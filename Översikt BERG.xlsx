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45706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45706</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45706</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45706</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45706</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45706</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45706</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45706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45706</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45706</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45706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45706</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45706</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45706</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45706</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45706</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45706</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45706</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45706</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45706</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45706</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45706</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45706</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45706</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45706</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45706</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45706</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45706</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45706</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45706</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45706</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45706</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45706</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45706</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45706</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45706</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45706</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45706</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45706</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45706</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45706</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45706</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45706</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45706</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45706</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45706</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45706</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45706</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45706</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45706</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45706</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45706</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45706</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45706</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45706</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45706</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45706</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45706</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45706</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45706</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45706</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45706</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45706</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45706</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45706</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45706</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45706</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45706</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45706</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45706</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45706</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45706</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45706</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45706</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45706</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45706</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45706</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45706</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45706</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45706</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45706</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45706</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45706</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45706</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45706</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45706</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45706</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45706</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45706</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45706</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45706</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45706</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45706</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45706</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45706</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45706</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45706</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45706</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45706</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45706</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45706</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45706</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45706</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45706</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45706</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45706</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45706</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45706</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45706</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45706</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45706</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45706</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45706</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45706</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45706</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45706</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45706</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45706</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45706</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10133-2023</t>
        </is>
      </c>
      <c r="B121" s="1" t="n">
        <v>44986</v>
      </c>
      <c r="C121" s="1" t="n">
        <v>45706</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16640-2023</t>
        </is>
      </c>
      <c r="B122" s="1" t="n">
        <v>45028</v>
      </c>
      <c r="C122" s="1" t="n">
        <v>45706</v>
      </c>
      <c r="D122" t="inlineStr">
        <is>
          <t>JÄMTLANDS LÄN</t>
        </is>
      </c>
      <c r="E122" t="inlineStr">
        <is>
          <t>BERG</t>
        </is>
      </c>
      <c r="G122" t="n">
        <v>17.9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16640-2023 artfynd.xlsx", "A 16640-2023")</f>
        <v/>
      </c>
      <c r="T122">
        <f>HYPERLINK("https://klasma.github.io/Logging_2326/kartor/A 16640-2023 karta.png", "A 16640-2023")</f>
        <v/>
      </c>
      <c r="V122">
        <f>HYPERLINK("https://klasma.github.io/Logging_2326/klagomål/A 16640-2023 FSC-klagomål.docx", "A 16640-2023")</f>
        <v/>
      </c>
      <c r="W122">
        <f>HYPERLINK("https://klasma.github.io/Logging_2326/klagomålsmail/A 16640-2023 FSC-klagomål mail.docx", "A 16640-2023")</f>
        <v/>
      </c>
      <c r="X122">
        <f>HYPERLINK("https://klasma.github.io/Logging_2326/tillsyn/A 16640-2023 tillsynsbegäran.docx", "A 16640-2023")</f>
        <v/>
      </c>
      <c r="Y122">
        <f>HYPERLINK("https://klasma.github.io/Logging_2326/tillsynsmail/A 16640-2023 tillsynsbegäran mail.docx", "A 16640-2023")</f>
        <v/>
      </c>
      <c r="Z122">
        <f>HYPERLINK("https://klasma.github.io/Logging_2326/fåglar/A 16640-2023 prioriterade fågelarter.docx", "A 16640-2023")</f>
        <v/>
      </c>
    </row>
    <row r="123" ht="15" customHeight="1">
      <c r="A123" t="inlineStr">
        <is>
          <t>A 29615-2023</t>
        </is>
      </c>
      <c r="B123" s="1" t="n">
        <v>45107</v>
      </c>
      <c r="C123" s="1" t="n">
        <v>45706</v>
      </c>
      <c r="D123" t="inlineStr">
        <is>
          <t>JÄMTLANDS LÄN</t>
        </is>
      </c>
      <c r="E123" t="inlineStr">
        <is>
          <t>BERG</t>
        </is>
      </c>
      <c r="F123" t="inlineStr">
        <is>
          <t>SCA</t>
        </is>
      </c>
      <c r="G123" t="n">
        <v>8.800000000000001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29615-2023 artfynd.xlsx", "A 29615-2023")</f>
        <v/>
      </c>
      <c r="T123">
        <f>HYPERLINK("https://klasma.github.io/Logging_2326/kartor/A 29615-2023 karta.png", "A 29615-2023")</f>
        <v/>
      </c>
      <c r="V123">
        <f>HYPERLINK("https://klasma.github.io/Logging_2326/klagomål/A 29615-2023 FSC-klagomål.docx", "A 29615-2023")</f>
        <v/>
      </c>
      <c r="W123">
        <f>HYPERLINK("https://klasma.github.io/Logging_2326/klagomålsmail/A 29615-2023 FSC-klagomål mail.docx", "A 29615-2023")</f>
        <v/>
      </c>
      <c r="X123">
        <f>HYPERLINK("https://klasma.github.io/Logging_2326/tillsyn/A 29615-2023 tillsynsbegäran.docx", "A 29615-2023")</f>
        <v/>
      </c>
      <c r="Y123">
        <f>HYPERLINK("https://klasma.github.io/Logging_2326/tillsynsmail/A 29615-2023 tillsynsbegäran mail.docx", "A 29615-2023")</f>
        <v/>
      </c>
      <c r="Z123">
        <f>HYPERLINK("https://klasma.github.io/Logging_2326/fåglar/A 29615-2023 prioriterade fågelarter.docx", "A 29615-2023")</f>
        <v/>
      </c>
    </row>
    <row r="124" ht="15" customHeight="1">
      <c r="A124" t="inlineStr">
        <is>
          <t>A 48880-2023</t>
        </is>
      </c>
      <c r="B124" s="1" t="n">
        <v>45209</v>
      </c>
      <c r="C124" s="1" t="n">
        <v>45706</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54313-2023</t>
        </is>
      </c>
      <c r="B125" s="1" t="n">
        <v>45232</v>
      </c>
      <c r="C125" s="1" t="n">
        <v>45706</v>
      </c>
      <c r="D125" t="inlineStr">
        <is>
          <t>JÄMTLANDS LÄN</t>
        </is>
      </c>
      <c r="E125" t="inlineStr">
        <is>
          <t>BERG</t>
        </is>
      </c>
      <c r="G125" t="n">
        <v>4.1</v>
      </c>
      <c r="H125" t="n">
        <v>0</v>
      </c>
      <c r="I125" t="n">
        <v>1</v>
      </c>
      <c r="J125" t="n">
        <v>1</v>
      </c>
      <c r="K125" t="n">
        <v>0</v>
      </c>
      <c r="L125" t="n">
        <v>0</v>
      </c>
      <c r="M125" t="n">
        <v>0</v>
      </c>
      <c r="N125" t="n">
        <v>0</v>
      </c>
      <c r="O125" t="n">
        <v>1</v>
      </c>
      <c r="P125" t="n">
        <v>0</v>
      </c>
      <c r="Q125" t="n">
        <v>2</v>
      </c>
      <c r="R125" s="2" t="inlineStr">
        <is>
          <t>Granticka
Kattfotslav</t>
        </is>
      </c>
      <c r="S125">
        <f>HYPERLINK("https://klasma.github.io/Logging_2326/artfynd/A 54313-2023 artfynd.xlsx", "A 54313-2023")</f>
        <v/>
      </c>
      <c r="T125">
        <f>HYPERLINK("https://klasma.github.io/Logging_2326/kartor/A 54313-2023 karta.png", "A 54313-2023")</f>
        <v/>
      </c>
      <c r="V125">
        <f>HYPERLINK("https://klasma.github.io/Logging_2326/klagomål/A 54313-2023 FSC-klagomål.docx", "A 54313-2023")</f>
        <v/>
      </c>
      <c r="W125">
        <f>HYPERLINK("https://klasma.github.io/Logging_2326/klagomålsmail/A 54313-2023 FSC-klagomål mail.docx", "A 54313-2023")</f>
        <v/>
      </c>
      <c r="X125">
        <f>HYPERLINK("https://klasma.github.io/Logging_2326/tillsyn/A 54313-2023 tillsynsbegäran.docx", "A 54313-2023")</f>
        <v/>
      </c>
      <c r="Y125">
        <f>HYPERLINK("https://klasma.github.io/Logging_2326/tillsynsmail/A 54313-2023 tillsynsbegäran mail.docx", "A 54313-2023")</f>
        <v/>
      </c>
    </row>
    <row r="126" ht="15" customHeight="1">
      <c r="A126" t="inlineStr">
        <is>
          <t>A 54996-2023</t>
        </is>
      </c>
      <c r="B126" s="1" t="n">
        <v>45237</v>
      </c>
      <c r="C126" s="1" t="n">
        <v>45706</v>
      </c>
      <c r="D126" t="inlineStr">
        <is>
          <t>JÄMTLANDS LÄN</t>
        </is>
      </c>
      <c r="E126" t="inlineStr">
        <is>
          <t>BERG</t>
        </is>
      </c>
      <c r="F126" t="inlineStr">
        <is>
          <t>SCA</t>
        </is>
      </c>
      <c r="G126" t="n">
        <v>6.2</v>
      </c>
      <c r="H126" t="n">
        <v>0</v>
      </c>
      <c r="I126" t="n">
        <v>0</v>
      </c>
      <c r="J126" t="n">
        <v>2</v>
      </c>
      <c r="K126" t="n">
        <v>0</v>
      </c>
      <c r="L126" t="n">
        <v>0</v>
      </c>
      <c r="M126" t="n">
        <v>0</v>
      </c>
      <c r="N126" t="n">
        <v>0</v>
      </c>
      <c r="O126" t="n">
        <v>2</v>
      </c>
      <c r="P126" t="n">
        <v>0</v>
      </c>
      <c r="Q126" t="n">
        <v>2</v>
      </c>
      <c r="R126" s="2" t="inlineStr">
        <is>
          <t>Dvärgbägarlav
Vedflamlav</t>
        </is>
      </c>
      <c r="S126">
        <f>HYPERLINK("https://klasma.github.io/Logging_2326/artfynd/A 54996-2023 artfynd.xlsx", "A 54996-2023")</f>
        <v/>
      </c>
      <c r="T126">
        <f>HYPERLINK("https://klasma.github.io/Logging_2326/kartor/A 54996-2023 karta.png", "A 54996-2023")</f>
        <v/>
      </c>
      <c r="V126">
        <f>HYPERLINK("https://klasma.github.io/Logging_2326/klagomål/A 54996-2023 FSC-klagomål.docx", "A 54996-2023")</f>
        <v/>
      </c>
      <c r="W126">
        <f>HYPERLINK("https://klasma.github.io/Logging_2326/klagomålsmail/A 54996-2023 FSC-klagomål mail.docx", "A 54996-2023")</f>
        <v/>
      </c>
      <c r="X126">
        <f>HYPERLINK("https://klasma.github.io/Logging_2326/tillsyn/A 54996-2023 tillsynsbegäran.docx", "A 54996-2023")</f>
        <v/>
      </c>
      <c r="Y126">
        <f>HYPERLINK("https://klasma.github.io/Logging_2326/tillsynsmail/A 54996-2023 tillsynsbegäran mail.docx", "A 54996-2023")</f>
        <v/>
      </c>
    </row>
    <row r="127" ht="15" customHeight="1">
      <c r="A127" t="inlineStr">
        <is>
          <t>A 55331-2023</t>
        </is>
      </c>
      <c r="B127" s="1" t="n">
        <v>45238</v>
      </c>
      <c r="C127" s="1" t="n">
        <v>45706</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12361-2024</t>
        </is>
      </c>
      <c r="B128" s="1" t="n">
        <v>45378</v>
      </c>
      <c r="C128" s="1" t="n">
        <v>45706</v>
      </c>
      <c r="D128" t="inlineStr">
        <is>
          <t>JÄMTLANDS LÄN</t>
        </is>
      </c>
      <c r="E128" t="inlineStr">
        <is>
          <t>BERG</t>
        </is>
      </c>
      <c r="F128" t="inlineStr">
        <is>
          <t>SCA</t>
        </is>
      </c>
      <c r="G128" t="n">
        <v>21.2</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12361-2024 artfynd.xlsx", "A 12361-2024")</f>
        <v/>
      </c>
      <c r="T128">
        <f>HYPERLINK("https://klasma.github.io/Logging_2326/kartor/A 12361-2024 karta.png", "A 12361-2024")</f>
        <v/>
      </c>
      <c r="V128">
        <f>HYPERLINK("https://klasma.github.io/Logging_2326/klagomål/A 12361-2024 FSC-klagomål.docx", "A 12361-2024")</f>
        <v/>
      </c>
      <c r="W128">
        <f>HYPERLINK("https://klasma.github.io/Logging_2326/klagomålsmail/A 12361-2024 FSC-klagomål mail.docx", "A 12361-2024")</f>
        <v/>
      </c>
      <c r="X128">
        <f>HYPERLINK("https://klasma.github.io/Logging_2326/tillsyn/A 12361-2024 tillsynsbegäran.docx", "A 12361-2024")</f>
        <v/>
      </c>
      <c r="Y128">
        <f>HYPERLINK("https://klasma.github.io/Logging_2326/tillsynsmail/A 12361-2024 tillsynsbegäran mail.docx", "A 12361-2024")</f>
        <v/>
      </c>
    </row>
    <row r="129" ht="15" customHeight="1">
      <c r="A129" t="inlineStr">
        <is>
          <t>A 12734-2024</t>
        </is>
      </c>
      <c r="B129" s="1" t="n">
        <v>45384</v>
      </c>
      <c r="C129" s="1" t="n">
        <v>45706</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12745-2024</t>
        </is>
      </c>
      <c r="B130" s="1" t="n">
        <v>45384</v>
      </c>
      <c r="C130" s="1" t="n">
        <v>45706</v>
      </c>
      <c r="D130" t="inlineStr">
        <is>
          <t>JÄMTLANDS LÄN</t>
        </is>
      </c>
      <c r="E130" t="inlineStr">
        <is>
          <t>BERG</t>
        </is>
      </c>
      <c r="G130" t="n">
        <v>8.5</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12745-2024 artfynd.xlsx", "A 12745-2024")</f>
        <v/>
      </c>
      <c r="T130">
        <f>HYPERLINK("https://klasma.github.io/Logging_2326/kartor/A 12745-2024 karta.png", "A 12745-2024")</f>
        <v/>
      </c>
      <c r="V130">
        <f>HYPERLINK("https://klasma.github.io/Logging_2326/klagomål/A 12745-2024 FSC-klagomål.docx", "A 12745-2024")</f>
        <v/>
      </c>
      <c r="W130">
        <f>HYPERLINK("https://klasma.github.io/Logging_2326/klagomålsmail/A 12745-2024 FSC-klagomål mail.docx", "A 12745-2024")</f>
        <v/>
      </c>
      <c r="X130">
        <f>HYPERLINK("https://klasma.github.io/Logging_2326/tillsyn/A 12745-2024 tillsynsbegäran.docx", "A 12745-2024")</f>
        <v/>
      </c>
      <c r="Y130">
        <f>HYPERLINK("https://klasma.github.io/Logging_2326/tillsynsmail/A 12745-2024 tillsynsbegäran mail.docx", "A 12745-2024")</f>
        <v/>
      </c>
      <c r="Z130">
        <f>HYPERLINK("https://klasma.github.io/Logging_2326/fåglar/A 12745-2024 prioriterade fågelarter.docx", "A 12745-2024")</f>
        <v/>
      </c>
    </row>
    <row r="131" ht="15" customHeight="1">
      <c r="A131" t="inlineStr">
        <is>
          <t>A 13463-2024</t>
        </is>
      </c>
      <c r="B131" s="1" t="n">
        <v>45387</v>
      </c>
      <c r="C131" s="1" t="n">
        <v>45706</v>
      </c>
      <c r="D131" t="inlineStr">
        <is>
          <t>JÄMTLANDS LÄN</t>
        </is>
      </c>
      <c r="E131" t="inlineStr">
        <is>
          <t>BERG</t>
        </is>
      </c>
      <c r="G131" t="n">
        <v>13</v>
      </c>
      <c r="H131" t="n">
        <v>2</v>
      </c>
      <c r="I131" t="n">
        <v>0</v>
      </c>
      <c r="J131" t="n">
        <v>2</v>
      </c>
      <c r="K131" t="n">
        <v>0</v>
      </c>
      <c r="L131" t="n">
        <v>0</v>
      </c>
      <c r="M131" t="n">
        <v>0</v>
      </c>
      <c r="N131" t="n">
        <v>0</v>
      </c>
      <c r="O131" t="n">
        <v>2</v>
      </c>
      <c r="P131" t="n">
        <v>0</v>
      </c>
      <c r="Q131" t="n">
        <v>2</v>
      </c>
      <c r="R131" s="2" t="inlineStr">
        <is>
          <t>Duvhök
Tretåig hackspett</t>
        </is>
      </c>
      <c r="S131">
        <f>HYPERLINK("https://klasma.github.io/Logging_2326/artfynd/A 13463-2024 artfynd.xlsx", "A 13463-2024")</f>
        <v/>
      </c>
      <c r="T131">
        <f>HYPERLINK("https://klasma.github.io/Logging_2326/kartor/A 13463-2024 karta.png", "A 13463-2024")</f>
        <v/>
      </c>
      <c r="V131">
        <f>HYPERLINK("https://klasma.github.io/Logging_2326/klagomål/A 13463-2024 FSC-klagomål.docx", "A 13463-2024")</f>
        <v/>
      </c>
      <c r="W131">
        <f>HYPERLINK("https://klasma.github.io/Logging_2326/klagomålsmail/A 13463-2024 FSC-klagomål mail.docx", "A 13463-2024")</f>
        <v/>
      </c>
      <c r="X131">
        <f>HYPERLINK("https://klasma.github.io/Logging_2326/tillsyn/A 13463-2024 tillsynsbegäran.docx", "A 13463-2024")</f>
        <v/>
      </c>
      <c r="Y131">
        <f>HYPERLINK("https://klasma.github.io/Logging_2326/tillsynsmail/A 13463-2024 tillsynsbegäran mail.docx", "A 13463-2024")</f>
        <v/>
      </c>
      <c r="Z131">
        <f>HYPERLINK("https://klasma.github.io/Logging_2326/fåglar/A 13463-2024 prioriterade fågelarter.docx", "A 13463-2024")</f>
        <v/>
      </c>
    </row>
    <row r="132" ht="15" customHeight="1">
      <c r="A132" t="inlineStr">
        <is>
          <t>A 16438-2024</t>
        </is>
      </c>
      <c r="B132" s="1" t="n">
        <v>45407</v>
      </c>
      <c r="C132" s="1" t="n">
        <v>45706</v>
      </c>
      <c r="D132" t="inlineStr">
        <is>
          <t>JÄMTLANDS LÄN</t>
        </is>
      </c>
      <c r="E132" t="inlineStr">
        <is>
          <t>BERG</t>
        </is>
      </c>
      <c r="G132" t="n">
        <v>26.3</v>
      </c>
      <c r="H132" t="n">
        <v>1</v>
      </c>
      <c r="I132" t="n">
        <v>0</v>
      </c>
      <c r="J132" t="n">
        <v>1</v>
      </c>
      <c r="K132" t="n">
        <v>0</v>
      </c>
      <c r="L132" t="n">
        <v>0</v>
      </c>
      <c r="M132" t="n">
        <v>0</v>
      </c>
      <c r="N132" t="n">
        <v>0</v>
      </c>
      <c r="O132" t="n">
        <v>1</v>
      </c>
      <c r="P132" t="n">
        <v>0</v>
      </c>
      <c r="Q132" t="n">
        <v>2</v>
      </c>
      <c r="R132" s="2" t="inlineStr">
        <is>
          <t>Dvärgbägarlav
Tjäder</t>
        </is>
      </c>
      <c r="S132">
        <f>HYPERLINK("https://klasma.github.io/Logging_2326/artfynd/A 16438-2024 artfynd.xlsx", "A 16438-2024")</f>
        <v/>
      </c>
      <c r="T132">
        <f>HYPERLINK("https://klasma.github.io/Logging_2326/kartor/A 16438-2024 karta.png", "A 16438-2024")</f>
        <v/>
      </c>
      <c r="V132">
        <f>HYPERLINK("https://klasma.github.io/Logging_2326/klagomål/A 16438-2024 FSC-klagomål.docx", "A 16438-2024")</f>
        <v/>
      </c>
      <c r="W132">
        <f>HYPERLINK("https://klasma.github.io/Logging_2326/klagomålsmail/A 16438-2024 FSC-klagomål mail.docx", "A 16438-2024")</f>
        <v/>
      </c>
      <c r="X132">
        <f>HYPERLINK("https://klasma.github.io/Logging_2326/tillsyn/A 16438-2024 tillsynsbegäran.docx", "A 16438-2024")</f>
        <v/>
      </c>
      <c r="Y132">
        <f>HYPERLINK("https://klasma.github.io/Logging_2326/tillsynsmail/A 16438-2024 tillsynsbegäran mail.docx", "A 16438-2024")</f>
        <v/>
      </c>
      <c r="Z132">
        <f>HYPERLINK("https://klasma.github.io/Logging_2326/fåglar/A 16438-2024 prioriterade fågelarter.docx", "A 16438-2024")</f>
        <v/>
      </c>
    </row>
    <row r="133" ht="15" customHeight="1">
      <c r="A133" t="inlineStr">
        <is>
          <t>A 17881-2024</t>
        </is>
      </c>
      <c r="B133" s="1" t="n">
        <v>45419</v>
      </c>
      <c r="C133" s="1" t="n">
        <v>45706</v>
      </c>
      <c r="D133" t="inlineStr">
        <is>
          <t>JÄMTLANDS LÄN</t>
        </is>
      </c>
      <c r="E133" t="inlineStr">
        <is>
          <t>BERG</t>
        </is>
      </c>
      <c r="G133" t="n">
        <v>24.3</v>
      </c>
      <c r="H133" t="n">
        <v>0</v>
      </c>
      <c r="I133" t="n">
        <v>0</v>
      </c>
      <c r="J133" t="n">
        <v>2</v>
      </c>
      <c r="K133" t="n">
        <v>0</v>
      </c>
      <c r="L133" t="n">
        <v>0</v>
      </c>
      <c r="M133" t="n">
        <v>0</v>
      </c>
      <c r="N133" t="n">
        <v>0</v>
      </c>
      <c r="O133" t="n">
        <v>2</v>
      </c>
      <c r="P133" t="n">
        <v>0</v>
      </c>
      <c r="Q133" t="n">
        <v>2</v>
      </c>
      <c r="R133" s="2" t="inlineStr">
        <is>
          <t>Lunglav
Skrovellav</t>
        </is>
      </c>
      <c r="S133">
        <f>HYPERLINK("https://klasma.github.io/Logging_2326/artfynd/A 17881-2024 artfynd.xlsx", "A 17881-2024")</f>
        <v/>
      </c>
      <c r="T133">
        <f>HYPERLINK("https://klasma.github.io/Logging_2326/kartor/A 17881-2024 karta.png", "A 17881-2024")</f>
        <v/>
      </c>
      <c r="V133">
        <f>HYPERLINK("https://klasma.github.io/Logging_2326/klagomål/A 17881-2024 FSC-klagomål.docx", "A 17881-2024")</f>
        <v/>
      </c>
      <c r="W133">
        <f>HYPERLINK("https://klasma.github.io/Logging_2326/klagomålsmail/A 17881-2024 FSC-klagomål mail.docx", "A 17881-2024")</f>
        <v/>
      </c>
      <c r="X133">
        <f>HYPERLINK("https://klasma.github.io/Logging_2326/tillsyn/A 17881-2024 tillsynsbegäran.docx", "A 17881-2024")</f>
        <v/>
      </c>
      <c r="Y133">
        <f>HYPERLINK("https://klasma.github.io/Logging_2326/tillsynsmail/A 17881-2024 tillsynsbegäran mail.docx", "A 17881-2024")</f>
        <v/>
      </c>
    </row>
    <row r="134" ht="15" customHeight="1">
      <c r="A134" t="inlineStr">
        <is>
          <t>A 26944-2024</t>
        </is>
      </c>
      <c r="B134" s="1" t="n">
        <v>45471</v>
      </c>
      <c r="C134" s="1" t="n">
        <v>45706</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27919-2024</t>
        </is>
      </c>
      <c r="B135" s="1" t="n">
        <v>45476</v>
      </c>
      <c r="C135" s="1" t="n">
        <v>45706</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28769-2024</t>
        </is>
      </c>
      <c r="B136" s="1" t="n">
        <v>45478</v>
      </c>
      <c r="C136" s="1" t="n">
        <v>45706</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30334-2024</t>
        </is>
      </c>
      <c r="B137" s="1" t="n">
        <v>45491</v>
      </c>
      <c r="C137" s="1" t="n">
        <v>45706</v>
      </c>
      <c r="D137" t="inlineStr">
        <is>
          <t>JÄMTLANDS LÄN</t>
        </is>
      </c>
      <c r="E137" t="inlineStr">
        <is>
          <t>BERG</t>
        </is>
      </c>
      <c r="F137" t="inlineStr">
        <is>
          <t>SCA</t>
        </is>
      </c>
      <c r="G137" t="n">
        <v>1.8</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30334-2024 artfynd.xlsx", "A 30334-2024")</f>
        <v/>
      </c>
      <c r="T137">
        <f>HYPERLINK("https://klasma.github.io/Logging_2326/kartor/A 30334-2024 karta.png", "A 30334-2024")</f>
        <v/>
      </c>
      <c r="V137">
        <f>HYPERLINK("https://klasma.github.io/Logging_2326/klagomål/A 30334-2024 FSC-klagomål.docx", "A 30334-2024")</f>
        <v/>
      </c>
      <c r="W137">
        <f>HYPERLINK("https://klasma.github.io/Logging_2326/klagomålsmail/A 30334-2024 FSC-klagomål mail.docx", "A 30334-2024")</f>
        <v/>
      </c>
      <c r="X137">
        <f>HYPERLINK("https://klasma.github.io/Logging_2326/tillsyn/A 30334-2024 tillsynsbegäran.docx", "A 30334-2024")</f>
        <v/>
      </c>
      <c r="Y137">
        <f>HYPERLINK("https://klasma.github.io/Logging_2326/tillsynsmail/A 30334-2024 tillsynsbegäran mail.docx", "A 30334-2024")</f>
        <v/>
      </c>
    </row>
    <row r="138" ht="15" customHeight="1">
      <c r="A138" t="inlineStr">
        <is>
          <t>A 33009-2024</t>
        </is>
      </c>
      <c r="B138" s="1" t="n">
        <v>45517</v>
      </c>
      <c r="C138" s="1" t="n">
        <v>45706</v>
      </c>
      <c r="D138" t="inlineStr">
        <is>
          <t>JÄMTLANDS LÄN</t>
        </is>
      </c>
      <c r="E138" t="inlineStr">
        <is>
          <t>BERG</t>
        </is>
      </c>
      <c r="G138" t="n">
        <v>2.7</v>
      </c>
      <c r="H138" t="n">
        <v>1</v>
      </c>
      <c r="I138" t="n">
        <v>0</v>
      </c>
      <c r="J138" t="n">
        <v>2</v>
      </c>
      <c r="K138" t="n">
        <v>0</v>
      </c>
      <c r="L138" t="n">
        <v>0</v>
      </c>
      <c r="M138" t="n">
        <v>0</v>
      </c>
      <c r="N138" t="n">
        <v>0</v>
      </c>
      <c r="O138" t="n">
        <v>2</v>
      </c>
      <c r="P138" t="n">
        <v>0</v>
      </c>
      <c r="Q138" t="n">
        <v>2</v>
      </c>
      <c r="R138" s="2" t="inlineStr">
        <is>
          <t>Garnlav
Talltita</t>
        </is>
      </c>
      <c r="S138">
        <f>HYPERLINK("https://klasma.github.io/Logging_2326/artfynd/A 33009-2024 artfynd.xlsx", "A 33009-2024")</f>
        <v/>
      </c>
      <c r="T138">
        <f>HYPERLINK("https://klasma.github.io/Logging_2326/kartor/A 33009-2024 karta.png", "A 33009-2024")</f>
        <v/>
      </c>
      <c r="V138">
        <f>HYPERLINK("https://klasma.github.io/Logging_2326/klagomål/A 33009-2024 FSC-klagomål.docx", "A 33009-2024")</f>
        <v/>
      </c>
      <c r="W138">
        <f>HYPERLINK("https://klasma.github.io/Logging_2326/klagomålsmail/A 33009-2024 FSC-klagomål mail.docx", "A 33009-2024")</f>
        <v/>
      </c>
      <c r="X138">
        <f>HYPERLINK("https://klasma.github.io/Logging_2326/tillsyn/A 33009-2024 tillsynsbegäran.docx", "A 33009-2024")</f>
        <v/>
      </c>
      <c r="Y138">
        <f>HYPERLINK("https://klasma.github.io/Logging_2326/tillsynsmail/A 33009-2024 tillsynsbegäran mail.docx", "A 33009-2024")</f>
        <v/>
      </c>
      <c r="Z138">
        <f>HYPERLINK("https://klasma.github.io/Logging_2326/fåglar/A 33009-2024 prioriterade fågelarter.docx", "A 33009-2024")</f>
        <v/>
      </c>
    </row>
    <row r="139" ht="15" customHeight="1">
      <c r="A139" t="inlineStr">
        <is>
          <t>A 50317-2024</t>
        </is>
      </c>
      <c r="B139" s="1" t="n">
        <v>45600</v>
      </c>
      <c r="C139" s="1" t="n">
        <v>45706</v>
      </c>
      <c r="D139" t="inlineStr">
        <is>
          <t>JÄMTLANDS LÄN</t>
        </is>
      </c>
      <c r="E139" t="inlineStr">
        <is>
          <t>BERG</t>
        </is>
      </c>
      <c r="F139" t="inlineStr">
        <is>
          <t>SCA</t>
        </is>
      </c>
      <c r="G139" t="n">
        <v>11.6</v>
      </c>
      <c r="H139" t="n">
        <v>0</v>
      </c>
      <c r="I139" t="n">
        <v>0</v>
      </c>
      <c r="J139" t="n">
        <v>1</v>
      </c>
      <c r="K139" t="n">
        <v>1</v>
      </c>
      <c r="L139" t="n">
        <v>0</v>
      </c>
      <c r="M139" t="n">
        <v>0</v>
      </c>
      <c r="N139" t="n">
        <v>0</v>
      </c>
      <c r="O139" t="n">
        <v>2</v>
      </c>
      <c r="P139" t="n">
        <v>1</v>
      </c>
      <c r="Q139" t="n">
        <v>2</v>
      </c>
      <c r="R139" s="2" t="inlineStr">
        <is>
          <t>Smalfotad taggsvamp
Dvärgbägarlav</t>
        </is>
      </c>
      <c r="S139">
        <f>HYPERLINK("https://klasma.github.io/Logging_2326/artfynd/A 50317-2024 artfynd.xlsx", "A 50317-2024")</f>
        <v/>
      </c>
      <c r="T139">
        <f>HYPERLINK("https://klasma.github.io/Logging_2326/kartor/A 50317-2024 karta.png", "A 50317-2024")</f>
        <v/>
      </c>
      <c r="V139">
        <f>HYPERLINK("https://klasma.github.io/Logging_2326/klagomål/A 50317-2024 FSC-klagomål.docx", "A 50317-2024")</f>
        <v/>
      </c>
      <c r="W139">
        <f>HYPERLINK("https://klasma.github.io/Logging_2326/klagomålsmail/A 50317-2024 FSC-klagomål mail.docx", "A 50317-2024")</f>
        <v/>
      </c>
      <c r="X139">
        <f>HYPERLINK("https://klasma.github.io/Logging_2326/tillsyn/A 50317-2024 tillsynsbegäran.docx", "A 50317-2024")</f>
        <v/>
      </c>
      <c r="Y139">
        <f>HYPERLINK("https://klasma.github.io/Logging_2326/tillsynsmail/A 50317-2024 tillsynsbegäran mail.docx", "A 50317-2024")</f>
        <v/>
      </c>
    </row>
    <row r="140" ht="15" customHeight="1">
      <c r="A140" t="inlineStr">
        <is>
          <t>A 60333-2024</t>
        </is>
      </c>
      <c r="B140" s="1" t="n">
        <v>45643</v>
      </c>
      <c r="C140" s="1" t="n">
        <v>45706</v>
      </c>
      <c r="D140" t="inlineStr">
        <is>
          <t>JÄMTLANDS LÄN</t>
        </is>
      </c>
      <c r="E140" t="inlineStr">
        <is>
          <t>BERG</t>
        </is>
      </c>
      <c r="G140" t="n">
        <v>25.5</v>
      </c>
      <c r="H140" t="n">
        <v>0</v>
      </c>
      <c r="I140" t="n">
        <v>2</v>
      </c>
      <c r="J140" t="n">
        <v>0</v>
      </c>
      <c r="K140" t="n">
        <v>0</v>
      </c>
      <c r="L140" t="n">
        <v>0</v>
      </c>
      <c r="M140" t="n">
        <v>0</v>
      </c>
      <c r="N140" t="n">
        <v>0</v>
      </c>
      <c r="O140" t="n">
        <v>0</v>
      </c>
      <c r="P140" t="n">
        <v>0</v>
      </c>
      <c r="Q140" t="n">
        <v>2</v>
      </c>
      <c r="R140" s="2" t="inlineStr">
        <is>
          <t>Honungsvaxskivling
Ängsvaxskivling</t>
        </is>
      </c>
      <c r="S140">
        <f>HYPERLINK("https://klasma.github.io/Logging_2326/artfynd/A 60333-2024 artfynd.xlsx", "A 60333-2024")</f>
        <v/>
      </c>
      <c r="T140">
        <f>HYPERLINK("https://klasma.github.io/Logging_2326/kartor/A 60333-2024 karta.png", "A 60333-2024")</f>
        <v/>
      </c>
      <c r="V140">
        <f>HYPERLINK("https://klasma.github.io/Logging_2326/klagomål/A 60333-2024 FSC-klagomål.docx", "A 60333-2024")</f>
        <v/>
      </c>
      <c r="W140">
        <f>HYPERLINK("https://klasma.github.io/Logging_2326/klagomålsmail/A 60333-2024 FSC-klagomål mail.docx", "A 60333-2024")</f>
        <v/>
      </c>
      <c r="X140">
        <f>HYPERLINK("https://klasma.github.io/Logging_2326/tillsyn/A 60333-2024 tillsynsbegäran.docx", "A 60333-2024")</f>
        <v/>
      </c>
      <c r="Y140">
        <f>HYPERLINK("https://klasma.github.io/Logging_2326/tillsynsmail/A 60333-2024 tillsynsbegäran mail.docx", "A 60333-2024")</f>
        <v/>
      </c>
    </row>
    <row r="141" ht="15" customHeight="1">
      <c r="A141" t="inlineStr">
        <is>
          <t>A 32121-2019</t>
        </is>
      </c>
      <c r="B141" s="1" t="n">
        <v>43643</v>
      </c>
      <c r="C141" s="1" t="n">
        <v>45706</v>
      </c>
      <c r="D141" t="inlineStr">
        <is>
          <t>JÄMTLANDS LÄN</t>
        </is>
      </c>
      <c r="E141" t="inlineStr">
        <is>
          <t>BERG</t>
        </is>
      </c>
      <c r="F141" t="inlineStr">
        <is>
          <t>Sveaskog</t>
        </is>
      </c>
      <c r="G141" t="n">
        <v>5.2</v>
      </c>
      <c r="H141" t="n">
        <v>0</v>
      </c>
      <c r="I141" t="n">
        <v>0</v>
      </c>
      <c r="J141" t="n">
        <v>1</v>
      </c>
      <c r="K141" t="n">
        <v>0</v>
      </c>
      <c r="L141" t="n">
        <v>0</v>
      </c>
      <c r="M141" t="n">
        <v>0</v>
      </c>
      <c r="N141" t="n">
        <v>0</v>
      </c>
      <c r="O141" t="n">
        <v>1</v>
      </c>
      <c r="P141" t="n">
        <v>0</v>
      </c>
      <c r="Q141" t="n">
        <v>1</v>
      </c>
      <c r="R141" s="2" t="inlineStr">
        <is>
          <t>Lunglav</t>
        </is>
      </c>
      <c r="S141">
        <f>HYPERLINK("https://klasma.github.io/Logging_2326/artfynd/A 32121-2019 artfynd.xlsx", "A 32121-2019")</f>
        <v/>
      </c>
      <c r="T141">
        <f>HYPERLINK("https://klasma.github.io/Logging_2326/kartor/A 32121-2019 karta.png", "A 32121-2019")</f>
        <v/>
      </c>
      <c r="V141">
        <f>HYPERLINK("https://klasma.github.io/Logging_2326/klagomål/A 32121-2019 FSC-klagomål.docx", "A 32121-2019")</f>
        <v/>
      </c>
      <c r="W141">
        <f>HYPERLINK("https://klasma.github.io/Logging_2326/klagomålsmail/A 32121-2019 FSC-klagomål mail.docx", "A 32121-2019")</f>
        <v/>
      </c>
      <c r="X141">
        <f>HYPERLINK("https://klasma.github.io/Logging_2326/tillsyn/A 32121-2019 tillsynsbegäran.docx", "A 32121-2019")</f>
        <v/>
      </c>
      <c r="Y141">
        <f>HYPERLINK("https://klasma.github.io/Logging_2326/tillsynsmail/A 32121-2019 tillsynsbegäran mail.docx", "A 32121-2019")</f>
        <v/>
      </c>
    </row>
    <row r="142" ht="15" customHeight="1">
      <c r="A142" t="inlineStr">
        <is>
          <t>A 43295-2019</t>
        </is>
      </c>
      <c r="B142" s="1" t="n">
        <v>43703</v>
      </c>
      <c r="C142" s="1" t="n">
        <v>45706</v>
      </c>
      <c r="D142" t="inlineStr">
        <is>
          <t>JÄMTLANDS LÄN</t>
        </is>
      </c>
      <c r="E142" t="inlineStr">
        <is>
          <t>BERG</t>
        </is>
      </c>
      <c r="G142" t="n">
        <v>0.7</v>
      </c>
      <c r="H142" t="n">
        <v>1</v>
      </c>
      <c r="I142" t="n">
        <v>0</v>
      </c>
      <c r="J142" t="n">
        <v>1</v>
      </c>
      <c r="K142" t="n">
        <v>0</v>
      </c>
      <c r="L142" t="n">
        <v>0</v>
      </c>
      <c r="M142" t="n">
        <v>0</v>
      </c>
      <c r="N142" t="n">
        <v>0</v>
      </c>
      <c r="O142" t="n">
        <v>1</v>
      </c>
      <c r="P142" t="n">
        <v>0</v>
      </c>
      <c r="Q142" t="n">
        <v>1</v>
      </c>
      <c r="R142" s="2" t="inlineStr">
        <is>
          <t>Mindre hackspett</t>
        </is>
      </c>
      <c r="S142">
        <f>HYPERLINK("https://klasma.github.io/Logging_2326/artfynd/A 43295-2019 artfynd.xlsx", "A 43295-2019")</f>
        <v/>
      </c>
      <c r="T142">
        <f>HYPERLINK("https://klasma.github.io/Logging_2326/kartor/A 43295-2019 karta.png", "A 43295-2019")</f>
        <v/>
      </c>
      <c r="V142">
        <f>HYPERLINK("https://klasma.github.io/Logging_2326/klagomål/A 43295-2019 FSC-klagomål.docx", "A 43295-2019")</f>
        <v/>
      </c>
      <c r="W142">
        <f>HYPERLINK("https://klasma.github.io/Logging_2326/klagomålsmail/A 43295-2019 FSC-klagomål mail.docx", "A 43295-2019")</f>
        <v/>
      </c>
      <c r="X142">
        <f>HYPERLINK("https://klasma.github.io/Logging_2326/tillsyn/A 43295-2019 tillsynsbegäran.docx", "A 43295-2019")</f>
        <v/>
      </c>
      <c r="Y142">
        <f>HYPERLINK("https://klasma.github.io/Logging_2326/tillsynsmail/A 43295-2019 tillsynsbegäran mail.docx", "A 43295-2019")</f>
        <v/>
      </c>
      <c r="Z142">
        <f>HYPERLINK("https://klasma.github.io/Logging_2326/fåglar/A 43295-2019 prioriterade fågelarter.docx", "A 43295-2019")</f>
        <v/>
      </c>
    </row>
    <row r="143" ht="15" customHeight="1">
      <c r="A143" t="inlineStr">
        <is>
          <t>A 43203-2019</t>
        </is>
      </c>
      <c r="B143" s="1" t="n">
        <v>43705</v>
      </c>
      <c r="C143" s="1" t="n">
        <v>45706</v>
      </c>
      <c r="D143" t="inlineStr">
        <is>
          <t>JÄMTLANDS LÄN</t>
        </is>
      </c>
      <c r="E143" t="inlineStr">
        <is>
          <t>BERG</t>
        </is>
      </c>
      <c r="F143" t="inlineStr">
        <is>
          <t>SCA</t>
        </is>
      </c>
      <c r="G143" t="n">
        <v>2.6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43203-2019 artfynd.xlsx", "A 43203-2019")</f>
        <v/>
      </c>
      <c r="T143">
        <f>HYPERLINK("https://klasma.github.io/Logging_2326/kartor/A 43203-2019 karta.png", "A 43203-2019")</f>
        <v/>
      </c>
      <c r="V143">
        <f>HYPERLINK("https://klasma.github.io/Logging_2326/klagomål/A 43203-2019 FSC-klagomål.docx", "A 43203-2019")</f>
        <v/>
      </c>
      <c r="W143">
        <f>HYPERLINK("https://klasma.github.io/Logging_2326/klagomålsmail/A 43203-2019 FSC-klagomål mail.docx", "A 43203-2019")</f>
        <v/>
      </c>
      <c r="X143">
        <f>HYPERLINK("https://klasma.github.io/Logging_2326/tillsyn/A 43203-2019 tillsynsbegäran.docx", "A 43203-2019")</f>
        <v/>
      </c>
      <c r="Y143">
        <f>HYPERLINK("https://klasma.github.io/Logging_2326/tillsynsmail/A 43203-2019 tillsynsbegäran mail.docx", "A 43203-2019")</f>
        <v/>
      </c>
    </row>
    <row r="144" ht="15" customHeight="1">
      <c r="A144" t="inlineStr">
        <is>
          <t>A 61775-2019</t>
        </is>
      </c>
      <c r="B144" s="1" t="n">
        <v>43784</v>
      </c>
      <c r="C144" s="1" t="n">
        <v>45706</v>
      </c>
      <c r="D144" t="inlineStr">
        <is>
          <t>JÄMTLANDS LÄN</t>
        </is>
      </c>
      <c r="E144" t="inlineStr">
        <is>
          <t>BERG</t>
        </is>
      </c>
      <c r="F144" t="inlineStr">
        <is>
          <t>SCA</t>
        </is>
      </c>
      <c r="G144" t="n">
        <v>5.4</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61775-2019 artfynd.xlsx", "A 61775-2019")</f>
        <v/>
      </c>
      <c r="T144">
        <f>HYPERLINK("https://klasma.github.io/Logging_2326/kartor/A 61775-2019 karta.png", "A 61775-2019")</f>
        <v/>
      </c>
      <c r="V144">
        <f>HYPERLINK("https://klasma.github.io/Logging_2326/klagomål/A 61775-2019 FSC-klagomål.docx", "A 61775-2019")</f>
        <v/>
      </c>
      <c r="W144">
        <f>HYPERLINK("https://klasma.github.io/Logging_2326/klagomålsmail/A 61775-2019 FSC-klagomål mail.docx", "A 61775-2019")</f>
        <v/>
      </c>
      <c r="X144">
        <f>HYPERLINK("https://klasma.github.io/Logging_2326/tillsyn/A 61775-2019 tillsynsbegäran.docx", "A 61775-2019")</f>
        <v/>
      </c>
      <c r="Y144">
        <f>HYPERLINK("https://klasma.github.io/Logging_2326/tillsynsmail/A 61775-2019 tillsynsbegäran mail.docx", "A 61775-2019")</f>
        <v/>
      </c>
    </row>
    <row r="145" ht="15" customHeight="1">
      <c r="A145" t="inlineStr">
        <is>
          <t>A 67342-2019</t>
        </is>
      </c>
      <c r="B145" s="1" t="n">
        <v>43812</v>
      </c>
      <c r="C145" s="1" t="n">
        <v>45706</v>
      </c>
      <c r="D145" t="inlineStr">
        <is>
          <t>JÄMTLANDS LÄN</t>
        </is>
      </c>
      <c r="E145" t="inlineStr">
        <is>
          <t>BERG</t>
        </is>
      </c>
      <c r="G145" t="n">
        <v>5</v>
      </c>
      <c r="H145" t="n">
        <v>1</v>
      </c>
      <c r="I145" t="n">
        <v>0</v>
      </c>
      <c r="J145" t="n">
        <v>0</v>
      </c>
      <c r="K145" t="n">
        <v>0</v>
      </c>
      <c r="L145" t="n">
        <v>0</v>
      </c>
      <c r="M145" t="n">
        <v>0</v>
      </c>
      <c r="N145" t="n">
        <v>0</v>
      </c>
      <c r="O145" t="n">
        <v>0</v>
      </c>
      <c r="P145" t="n">
        <v>0</v>
      </c>
      <c r="Q145" t="n">
        <v>1</v>
      </c>
      <c r="R145" s="2" t="inlineStr">
        <is>
          <t>Revlummer</t>
        </is>
      </c>
      <c r="S145">
        <f>HYPERLINK("https://klasma.github.io/Logging_2326/artfynd/A 67342-2019 artfynd.xlsx", "A 67342-2019")</f>
        <v/>
      </c>
      <c r="T145">
        <f>HYPERLINK("https://klasma.github.io/Logging_2326/kartor/A 67342-2019 karta.png", "A 67342-2019")</f>
        <v/>
      </c>
      <c r="V145">
        <f>HYPERLINK("https://klasma.github.io/Logging_2326/klagomål/A 67342-2019 FSC-klagomål.docx", "A 67342-2019")</f>
        <v/>
      </c>
      <c r="W145">
        <f>HYPERLINK("https://klasma.github.io/Logging_2326/klagomålsmail/A 67342-2019 FSC-klagomål mail.docx", "A 67342-2019")</f>
        <v/>
      </c>
      <c r="X145">
        <f>HYPERLINK("https://klasma.github.io/Logging_2326/tillsyn/A 67342-2019 tillsynsbegäran.docx", "A 67342-2019")</f>
        <v/>
      </c>
      <c r="Y145">
        <f>HYPERLINK("https://klasma.github.io/Logging_2326/tillsynsmail/A 67342-2019 tillsynsbegäran mail.docx", "A 67342-2019")</f>
        <v/>
      </c>
    </row>
    <row r="146" ht="15" customHeight="1">
      <c r="A146" t="inlineStr">
        <is>
          <t>A 34582-2020</t>
        </is>
      </c>
      <c r="B146" s="1" t="n">
        <v>44033</v>
      </c>
      <c r="C146" s="1" t="n">
        <v>45706</v>
      </c>
      <c r="D146" t="inlineStr">
        <is>
          <t>JÄMTLANDS LÄN</t>
        </is>
      </c>
      <c r="E146" t="inlineStr">
        <is>
          <t>BERG</t>
        </is>
      </c>
      <c r="F146" t="inlineStr">
        <is>
          <t>SCA</t>
        </is>
      </c>
      <c r="G146" t="n">
        <v>10.6</v>
      </c>
      <c r="H146" t="n">
        <v>0</v>
      </c>
      <c r="I146" t="n">
        <v>0</v>
      </c>
      <c r="J146" t="n">
        <v>1</v>
      </c>
      <c r="K146" t="n">
        <v>0</v>
      </c>
      <c r="L146" t="n">
        <v>0</v>
      </c>
      <c r="M146" t="n">
        <v>0</v>
      </c>
      <c r="N146" t="n">
        <v>0</v>
      </c>
      <c r="O146" t="n">
        <v>1</v>
      </c>
      <c r="P146" t="n">
        <v>0</v>
      </c>
      <c r="Q146" t="n">
        <v>1</v>
      </c>
      <c r="R146" s="2" t="inlineStr">
        <is>
          <t>Kolflarnlav</t>
        </is>
      </c>
      <c r="S146">
        <f>HYPERLINK("https://klasma.github.io/Logging_2326/artfynd/A 34582-2020 artfynd.xlsx", "A 34582-2020")</f>
        <v/>
      </c>
      <c r="T146">
        <f>HYPERLINK("https://klasma.github.io/Logging_2326/kartor/A 34582-2020 karta.png", "A 34582-2020")</f>
        <v/>
      </c>
      <c r="V146">
        <f>HYPERLINK("https://klasma.github.io/Logging_2326/klagomål/A 34582-2020 FSC-klagomål.docx", "A 34582-2020")</f>
        <v/>
      </c>
      <c r="W146">
        <f>HYPERLINK("https://klasma.github.io/Logging_2326/klagomålsmail/A 34582-2020 FSC-klagomål mail.docx", "A 34582-2020")</f>
        <v/>
      </c>
      <c r="X146">
        <f>HYPERLINK("https://klasma.github.io/Logging_2326/tillsyn/A 34582-2020 tillsynsbegäran.docx", "A 34582-2020")</f>
        <v/>
      </c>
      <c r="Y146">
        <f>HYPERLINK("https://klasma.github.io/Logging_2326/tillsynsmail/A 34582-2020 tillsynsbegäran mail.docx", "A 34582-2020")</f>
        <v/>
      </c>
    </row>
    <row r="147" ht="15" customHeight="1">
      <c r="A147" t="inlineStr">
        <is>
          <t>A 36966-2020</t>
        </is>
      </c>
      <c r="B147" s="1" t="n">
        <v>44053</v>
      </c>
      <c r="C147" s="1" t="n">
        <v>45706</v>
      </c>
      <c r="D147" t="inlineStr">
        <is>
          <t>JÄMTLANDS LÄN</t>
        </is>
      </c>
      <c r="E147" t="inlineStr">
        <is>
          <t>BERG</t>
        </is>
      </c>
      <c r="F147" t="inlineStr">
        <is>
          <t>SCA</t>
        </is>
      </c>
      <c r="G147" t="n">
        <v>2.7</v>
      </c>
      <c r="H147" t="n">
        <v>0</v>
      </c>
      <c r="I147" t="n">
        <v>0</v>
      </c>
      <c r="J147" t="n">
        <v>1</v>
      </c>
      <c r="K147" t="n">
        <v>0</v>
      </c>
      <c r="L147" t="n">
        <v>0</v>
      </c>
      <c r="M147" t="n">
        <v>0</v>
      </c>
      <c r="N147" t="n">
        <v>0</v>
      </c>
      <c r="O147" t="n">
        <v>1</v>
      </c>
      <c r="P147" t="n">
        <v>0</v>
      </c>
      <c r="Q147" t="n">
        <v>1</v>
      </c>
      <c r="R147" s="2" t="inlineStr">
        <is>
          <t>Reliktbock</t>
        </is>
      </c>
      <c r="S147">
        <f>HYPERLINK("https://klasma.github.io/Logging_2326/artfynd/A 36966-2020 artfynd.xlsx", "A 36966-2020")</f>
        <v/>
      </c>
      <c r="T147">
        <f>HYPERLINK("https://klasma.github.io/Logging_2326/kartor/A 36966-2020 karta.png", "A 36966-2020")</f>
        <v/>
      </c>
      <c r="V147">
        <f>HYPERLINK("https://klasma.github.io/Logging_2326/klagomål/A 36966-2020 FSC-klagomål.docx", "A 36966-2020")</f>
        <v/>
      </c>
      <c r="W147">
        <f>HYPERLINK("https://klasma.github.io/Logging_2326/klagomålsmail/A 36966-2020 FSC-klagomål mail.docx", "A 36966-2020")</f>
        <v/>
      </c>
      <c r="X147">
        <f>HYPERLINK("https://klasma.github.io/Logging_2326/tillsyn/A 36966-2020 tillsynsbegäran.docx", "A 36966-2020")</f>
        <v/>
      </c>
      <c r="Y147">
        <f>HYPERLINK("https://klasma.github.io/Logging_2326/tillsynsmail/A 36966-2020 tillsynsbegäran mail.docx", "A 36966-2020")</f>
        <v/>
      </c>
    </row>
    <row r="148" ht="15" customHeight="1">
      <c r="A148" t="inlineStr">
        <is>
          <t>A 16834-2021</t>
        </is>
      </c>
      <c r="B148" s="1" t="n">
        <v>44293</v>
      </c>
      <c r="C148" s="1" t="n">
        <v>45706</v>
      </c>
      <c r="D148" t="inlineStr">
        <is>
          <t>JÄMTLANDS LÄN</t>
        </is>
      </c>
      <c r="E148" t="inlineStr">
        <is>
          <t>BERG</t>
        </is>
      </c>
      <c r="G148" t="n">
        <v>18.7</v>
      </c>
      <c r="H148" t="n">
        <v>0</v>
      </c>
      <c r="I148" t="n">
        <v>0</v>
      </c>
      <c r="J148" t="n">
        <v>1</v>
      </c>
      <c r="K148" t="n">
        <v>0</v>
      </c>
      <c r="L148" t="n">
        <v>0</v>
      </c>
      <c r="M148" t="n">
        <v>0</v>
      </c>
      <c r="N148" t="n">
        <v>0</v>
      </c>
      <c r="O148" t="n">
        <v>1</v>
      </c>
      <c r="P148" t="n">
        <v>0</v>
      </c>
      <c r="Q148" t="n">
        <v>1</v>
      </c>
      <c r="R148" s="2" t="inlineStr">
        <is>
          <t>Gränsticka</t>
        </is>
      </c>
      <c r="S148">
        <f>HYPERLINK("https://klasma.github.io/Logging_2326/artfynd/A 16834-2021 artfynd.xlsx", "A 16834-2021")</f>
        <v/>
      </c>
      <c r="T148">
        <f>HYPERLINK("https://klasma.github.io/Logging_2326/kartor/A 16834-2021 karta.png", "A 16834-2021")</f>
        <v/>
      </c>
      <c r="V148">
        <f>HYPERLINK("https://klasma.github.io/Logging_2326/klagomål/A 16834-2021 FSC-klagomål.docx", "A 16834-2021")</f>
        <v/>
      </c>
      <c r="W148">
        <f>HYPERLINK("https://klasma.github.io/Logging_2326/klagomålsmail/A 16834-2021 FSC-klagomål mail.docx", "A 16834-2021")</f>
        <v/>
      </c>
      <c r="X148">
        <f>HYPERLINK("https://klasma.github.io/Logging_2326/tillsyn/A 16834-2021 tillsynsbegäran.docx", "A 16834-2021")</f>
        <v/>
      </c>
      <c r="Y148">
        <f>HYPERLINK("https://klasma.github.io/Logging_2326/tillsynsmail/A 16834-2021 tillsynsbegäran mail.docx", "A 16834-2021")</f>
        <v/>
      </c>
    </row>
    <row r="149" ht="15" customHeight="1">
      <c r="A149" t="inlineStr">
        <is>
          <t>A 33557-2021</t>
        </is>
      </c>
      <c r="B149" s="1" t="n">
        <v>44377</v>
      </c>
      <c r="C149" s="1" t="n">
        <v>45706</v>
      </c>
      <c r="D149" t="inlineStr">
        <is>
          <t>JÄMTLANDS LÄN</t>
        </is>
      </c>
      <c r="E149" t="inlineStr">
        <is>
          <t>BERG</t>
        </is>
      </c>
      <c r="F149" t="inlineStr">
        <is>
          <t>SCA</t>
        </is>
      </c>
      <c r="G149" t="n">
        <v>10</v>
      </c>
      <c r="H149" t="n">
        <v>0</v>
      </c>
      <c r="I149" t="n">
        <v>0</v>
      </c>
      <c r="J149" t="n">
        <v>0</v>
      </c>
      <c r="K149" t="n">
        <v>1</v>
      </c>
      <c r="L149" t="n">
        <v>0</v>
      </c>
      <c r="M149" t="n">
        <v>0</v>
      </c>
      <c r="N149" t="n">
        <v>0</v>
      </c>
      <c r="O149" t="n">
        <v>1</v>
      </c>
      <c r="P149" t="n">
        <v>1</v>
      </c>
      <c r="Q149" t="n">
        <v>1</v>
      </c>
      <c r="R149" s="2" t="inlineStr">
        <is>
          <t>Gräddporing</t>
        </is>
      </c>
      <c r="S149">
        <f>HYPERLINK("https://klasma.github.io/Logging_2326/artfynd/A 33557-2021 artfynd.xlsx", "A 33557-2021")</f>
        <v/>
      </c>
      <c r="T149">
        <f>HYPERLINK("https://klasma.github.io/Logging_2326/kartor/A 33557-2021 karta.png", "A 33557-2021")</f>
        <v/>
      </c>
      <c r="V149">
        <f>HYPERLINK("https://klasma.github.io/Logging_2326/klagomål/A 33557-2021 FSC-klagomål.docx", "A 33557-2021")</f>
        <v/>
      </c>
      <c r="W149">
        <f>HYPERLINK("https://klasma.github.io/Logging_2326/klagomålsmail/A 33557-2021 FSC-klagomål mail.docx", "A 33557-2021")</f>
        <v/>
      </c>
      <c r="X149">
        <f>HYPERLINK("https://klasma.github.io/Logging_2326/tillsyn/A 33557-2021 tillsynsbegäran.docx", "A 33557-2021")</f>
        <v/>
      </c>
      <c r="Y149">
        <f>HYPERLINK("https://klasma.github.io/Logging_2326/tillsynsmail/A 33557-2021 tillsynsbegäran mail.docx", "A 33557-2021")</f>
        <v/>
      </c>
    </row>
    <row r="150" ht="15" customHeight="1">
      <c r="A150" t="inlineStr">
        <is>
          <t>A 56202-2021</t>
        </is>
      </c>
      <c r="B150" s="1" t="n">
        <v>44477</v>
      </c>
      <c r="C150" s="1" t="n">
        <v>45706</v>
      </c>
      <c r="D150" t="inlineStr">
        <is>
          <t>JÄMTLANDS LÄN</t>
        </is>
      </c>
      <c r="E150" t="inlineStr">
        <is>
          <t>BERG</t>
        </is>
      </c>
      <c r="F150" t="inlineStr">
        <is>
          <t>SCA</t>
        </is>
      </c>
      <c r="G150" t="n">
        <v>1.1</v>
      </c>
      <c r="H150" t="n">
        <v>1</v>
      </c>
      <c r="I150" t="n">
        <v>0</v>
      </c>
      <c r="J150" t="n">
        <v>0</v>
      </c>
      <c r="K150" t="n">
        <v>1</v>
      </c>
      <c r="L150" t="n">
        <v>0</v>
      </c>
      <c r="M150" t="n">
        <v>0</v>
      </c>
      <c r="N150" t="n">
        <v>0</v>
      </c>
      <c r="O150" t="n">
        <v>1</v>
      </c>
      <c r="P150" t="n">
        <v>1</v>
      </c>
      <c r="Q150" t="n">
        <v>1</v>
      </c>
      <c r="R150" s="2" t="inlineStr">
        <is>
          <t>Knärot</t>
        </is>
      </c>
      <c r="S150">
        <f>HYPERLINK("https://klasma.github.io/Logging_2326/artfynd/A 56202-2021 artfynd.xlsx", "A 56202-2021")</f>
        <v/>
      </c>
      <c r="T150">
        <f>HYPERLINK("https://klasma.github.io/Logging_2326/kartor/A 56202-2021 karta.png", "A 56202-2021")</f>
        <v/>
      </c>
      <c r="U150">
        <f>HYPERLINK("https://klasma.github.io/Logging_2326/knärot/A 56202-2021 karta knärot.png", "A 56202-2021")</f>
        <v/>
      </c>
      <c r="V150">
        <f>HYPERLINK("https://klasma.github.io/Logging_2326/klagomål/A 56202-2021 FSC-klagomål.docx", "A 56202-2021")</f>
        <v/>
      </c>
      <c r="W150">
        <f>HYPERLINK("https://klasma.github.io/Logging_2326/klagomålsmail/A 56202-2021 FSC-klagomål mail.docx", "A 56202-2021")</f>
        <v/>
      </c>
      <c r="X150">
        <f>HYPERLINK("https://klasma.github.io/Logging_2326/tillsyn/A 56202-2021 tillsynsbegäran.docx", "A 56202-2021")</f>
        <v/>
      </c>
      <c r="Y150">
        <f>HYPERLINK("https://klasma.github.io/Logging_2326/tillsynsmail/A 56202-2021 tillsynsbegäran mail.docx", "A 56202-2021")</f>
        <v/>
      </c>
    </row>
    <row r="151" ht="15" customHeight="1">
      <c r="A151" t="inlineStr">
        <is>
          <t>A 68434-2021</t>
        </is>
      </c>
      <c r="B151" s="1" t="n">
        <v>44529</v>
      </c>
      <c r="C151" s="1" t="n">
        <v>45706</v>
      </c>
      <c r="D151" t="inlineStr">
        <is>
          <t>JÄMTLANDS LÄN</t>
        </is>
      </c>
      <c r="E151" t="inlineStr">
        <is>
          <t>BERG</t>
        </is>
      </c>
      <c r="G151" t="n">
        <v>14</v>
      </c>
      <c r="H151" t="n">
        <v>0</v>
      </c>
      <c r="I151" t="n">
        <v>0</v>
      </c>
      <c r="J151" t="n">
        <v>0</v>
      </c>
      <c r="K151" t="n">
        <v>1</v>
      </c>
      <c r="L151" t="n">
        <v>0</v>
      </c>
      <c r="M151" t="n">
        <v>0</v>
      </c>
      <c r="N151" t="n">
        <v>0</v>
      </c>
      <c r="O151" t="n">
        <v>1</v>
      </c>
      <c r="P151" t="n">
        <v>1</v>
      </c>
      <c r="Q151" t="n">
        <v>1</v>
      </c>
      <c r="R151" s="2" t="inlineStr">
        <is>
          <t>Ostticka</t>
        </is>
      </c>
      <c r="S151">
        <f>HYPERLINK("https://klasma.github.io/Logging_2326/artfynd/A 68434-2021 artfynd.xlsx", "A 68434-2021")</f>
        <v/>
      </c>
      <c r="T151">
        <f>HYPERLINK("https://klasma.github.io/Logging_2326/kartor/A 68434-2021 karta.png", "A 68434-2021")</f>
        <v/>
      </c>
      <c r="V151">
        <f>HYPERLINK("https://klasma.github.io/Logging_2326/klagomål/A 68434-2021 FSC-klagomål.docx", "A 68434-2021")</f>
        <v/>
      </c>
      <c r="W151">
        <f>HYPERLINK("https://klasma.github.io/Logging_2326/klagomålsmail/A 68434-2021 FSC-klagomål mail.docx", "A 68434-2021")</f>
        <v/>
      </c>
      <c r="X151">
        <f>HYPERLINK("https://klasma.github.io/Logging_2326/tillsyn/A 68434-2021 tillsynsbegäran.docx", "A 68434-2021")</f>
        <v/>
      </c>
      <c r="Y151">
        <f>HYPERLINK("https://klasma.github.io/Logging_2326/tillsynsmail/A 68434-2021 tillsynsbegäran mail.docx", "A 68434-2021")</f>
        <v/>
      </c>
    </row>
    <row r="152" ht="15" customHeight="1">
      <c r="A152" t="inlineStr">
        <is>
          <t>A 32686-2022</t>
        </is>
      </c>
      <c r="B152" s="1" t="n">
        <v>44776</v>
      </c>
      <c r="C152" s="1" t="n">
        <v>45706</v>
      </c>
      <c r="D152" t="inlineStr">
        <is>
          <t>JÄMTLANDS LÄN</t>
        </is>
      </c>
      <c r="E152" t="inlineStr">
        <is>
          <t>BERG</t>
        </is>
      </c>
      <c r="G152" t="n">
        <v>4.8</v>
      </c>
      <c r="H152" t="n">
        <v>1</v>
      </c>
      <c r="I152" t="n">
        <v>0</v>
      </c>
      <c r="J152" t="n">
        <v>0</v>
      </c>
      <c r="K152" t="n">
        <v>1</v>
      </c>
      <c r="L152" t="n">
        <v>0</v>
      </c>
      <c r="M152" t="n">
        <v>0</v>
      </c>
      <c r="N152" t="n">
        <v>0</v>
      </c>
      <c r="O152" t="n">
        <v>1</v>
      </c>
      <c r="P152" t="n">
        <v>1</v>
      </c>
      <c r="Q152" t="n">
        <v>1</v>
      </c>
      <c r="R152" s="2" t="inlineStr">
        <is>
          <t>Knärot</t>
        </is>
      </c>
      <c r="S152">
        <f>HYPERLINK("https://klasma.github.io/Logging_2326/artfynd/A 32686-2022 artfynd.xlsx", "A 32686-2022")</f>
        <v/>
      </c>
      <c r="T152">
        <f>HYPERLINK("https://klasma.github.io/Logging_2326/kartor/A 32686-2022 karta.png", "A 32686-2022")</f>
        <v/>
      </c>
      <c r="U152">
        <f>HYPERLINK("https://klasma.github.io/Logging_2326/knärot/A 32686-2022 karta knärot.png", "A 32686-2022")</f>
        <v/>
      </c>
      <c r="V152">
        <f>HYPERLINK("https://klasma.github.io/Logging_2326/klagomål/A 32686-2022 FSC-klagomål.docx", "A 32686-2022")</f>
        <v/>
      </c>
      <c r="W152">
        <f>HYPERLINK("https://klasma.github.io/Logging_2326/klagomålsmail/A 32686-2022 FSC-klagomål mail.docx", "A 32686-2022")</f>
        <v/>
      </c>
      <c r="X152">
        <f>HYPERLINK("https://klasma.github.io/Logging_2326/tillsyn/A 32686-2022 tillsynsbegäran.docx", "A 32686-2022")</f>
        <v/>
      </c>
      <c r="Y152">
        <f>HYPERLINK("https://klasma.github.io/Logging_2326/tillsynsmail/A 32686-2022 tillsynsbegäran mail.docx", "A 32686-2022")</f>
        <v/>
      </c>
    </row>
    <row r="153" ht="15" customHeight="1">
      <c r="A153" t="inlineStr">
        <is>
          <t>A 32307-2022</t>
        </is>
      </c>
      <c r="B153" s="1" t="n">
        <v>44781</v>
      </c>
      <c r="C153" s="1" t="n">
        <v>45706</v>
      </c>
      <c r="D153" t="inlineStr">
        <is>
          <t>JÄMTLANDS LÄN</t>
        </is>
      </c>
      <c r="E153" t="inlineStr">
        <is>
          <t>BERG</t>
        </is>
      </c>
      <c r="G153" t="n">
        <v>4.8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32307-2022 artfynd.xlsx", "A 32307-2022")</f>
        <v/>
      </c>
      <c r="T153">
        <f>HYPERLINK("https://klasma.github.io/Logging_2326/kartor/A 32307-2022 karta.png", "A 32307-2022")</f>
        <v/>
      </c>
      <c r="V153">
        <f>HYPERLINK("https://klasma.github.io/Logging_2326/klagomål/A 32307-2022 FSC-klagomål.docx", "A 32307-2022")</f>
        <v/>
      </c>
      <c r="W153">
        <f>HYPERLINK("https://klasma.github.io/Logging_2326/klagomålsmail/A 32307-2022 FSC-klagomål mail.docx", "A 32307-2022")</f>
        <v/>
      </c>
      <c r="X153">
        <f>HYPERLINK("https://klasma.github.io/Logging_2326/tillsyn/A 32307-2022 tillsynsbegäran.docx", "A 32307-2022")</f>
        <v/>
      </c>
      <c r="Y153">
        <f>HYPERLINK("https://klasma.github.io/Logging_2326/tillsynsmail/A 32307-2022 tillsynsbegäran mail.docx", "A 32307-2022")</f>
        <v/>
      </c>
      <c r="Z153">
        <f>HYPERLINK("https://klasma.github.io/Logging_2326/fåglar/A 32307-2022 prioriterade fågelarter.docx", "A 32307-2022")</f>
        <v/>
      </c>
    </row>
    <row r="154" ht="15" customHeight="1">
      <c r="A154" t="inlineStr">
        <is>
          <t>A 34271-2022</t>
        </is>
      </c>
      <c r="B154" s="1" t="n">
        <v>44792</v>
      </c>
      <c r="C154" s="1" t="n">
        <v>45706</v>
      </c>
      <c r="D154" t="inlineStr">
        <is>
          <t>JÄMTLANDS LÄN</t>
        </is>
      </c>
      <c r="E154" t="inlineStr">
        <is>
          <t>BERG</t>
        </is>
      </c>
      <c r="F154" t="inlineStr">
        <is>
          <t>SCA</t>
        </is>
      </c>
      <c r="G154" t="n">
        <v>17</v>
      </c>
      <c r="H154" t="n">
        <v>1</v>
      </c>
      <c r="I154" t="n">
        <v>0</v>
      </c>
      <c r="J154" t="n">
        <v>1</v>
      </c>
      <c r="K154" t="n">
        <v>0</v>
      </c>
      <c r="L154" t="n">
        <v>0</v>
      </c>
      <c r="M154" t="n">
        <v>0</v>
      </c>
      <c r="N154" t="n">
        <v>0</v>
      </c>
      <c r="O154" t="n">
        <v>1</v>
      </c>
      <c r="P154" t="n">
        <v>0</v>
      </c>
      <c r="Q154" t="n">
        <v>1</v>
      </c>
      <c r="R154" s="2" t="inlineStr">
        <is>
          <t>Spillkråka</t>
        </is>
      </c>
      <c r="S154">
        <f>HYPERLINK("https://klasma.github.io/Logging_2326/artfynd/A 34271-2022 artfynd.xlsx", "A 34271-2022")</f>
        <v/>
      </c>
      <c r="T154">
        <f>HYPERLINK("https://klasma.github.io/Logging_2326/kartor/A 34271-2022 karta.png", "A 34271-2022")</f>
        <v/>
      </c>
      <c r="V154">
        <f>HYPERLINK("https://klasma.github.io/Logging_2326/klagomål/A 34271-2022 FSC-klagomål.docx", "A 34271-2022")</f>
        <v/>
      </c>
      <c r="W154">
        <f>HYPERLINK("https://klasma.github.io/Logging_2326/klagomålsmail/A 34271-2022 FSC-klagomål mail.docx", "A 34271-2022")</f>
        <v/>
      </c>
      <c r="X154">
        <f>HYPERLINK("https://klasma.github.io/Logging_2326/tillsyn/A 34271-2022 tillsynsbegäran.docx", "A 34271-2022")</f>
        <v/>
      </c>
      <c r="Y154">
        <f>HYPERLINK("https://klasma.github.io/Logging_2326/tillsynsmail/A 34271-2022 tillsynsbegäran mail.docx", "A 34271-2022")</f>
        <v/>
      </c>
      <c r="Z154">
        <f>HYPERLINK("https://klasma.github.io/Logging_2326/fåglar/A 34271-2022 prioriterade fågelarter.docx", "A 34271-2022")</f>
        <v/>
      </c>
    </row>
    <row r="155" ht="15" customHeight="1">
      <c r="A155" t="inlineStr">
        <is>
          <t>A 34274-2022</t>
        </is>
      </c>
      <c r="B155" s="1" t="n">
        <v>44791</v>
      </c>
      <c r="C155" s="1" t="n">
        <v>45706</v>
      </c>
      <c r="D155" t="inlineStr">
        <is>
          <t>JÄMTLANDS LÄN</t>
        </is>
      </c>
      <c r="E155" t="inlineStr">
        <is>
          <t>BERG</t>
        </is>
      </c>
      <c r="F155" t="inlineStr">
        <is>
          <t>SCA</t>
        </is>
      </c>
      <c r="G155" t="n">
        <v>6.1</v>
      </c>
      <c r="H155" t="n">
        <v>0</v>
      </c>
      <c r="I155" t="n">
        <v>0</v>
      </c>
      <c r="J155" t="n">
        <v>1</v>
      </c>
      <c r="K155" t="n">
        <v>0</v>
      </c>
      <c r="L155" t="n">
        <v>0</v>
      </c>
      <c r="M155" t="n">
        <v>0</v>
      </c>
      <c r="N155" t="n">
        <v>0</v>
      </c>
      <c r="O155" t="n">
        <v>1</v>
      </c>
      <c r="P155" t="n">
        <v>0</v>
      </c>
      <c r="Q155" t="n">
        <v>1</v>
      </c>
      <c r="R155" s="2" t="inlineStr">
        <is>
          <t>Rosenticka</t>
        </is>
      </c>
      <c r="S155">
        <f>HYPERLINK("https://klasma.github.io/Logging_2326/artfynd/A 34274-2022 artfynd.xlsx", "A 34274-2022")</f>
        <v/>
      </c>
      <c r="T155">
        <f>HYPERLINK("https://klasma.github.io/Logging_2326/kartor/A 34274-2022 karta.png", "A 34274-2022")</f>
        <v/>
      </c>
      <c r="V155">
        <f>HYPERLINK("https://klasma.github.io/Logging_2326/klagomål/A 34274-2022 FSC-klagomål.docx", "A 34274-2022")</f>
        <v/>
      </c>
      <c r="W155">
        <f>HYPERLINK("https://klasma.github.io/Logging_2326/klagomålsmail/A 34274-2022 FSC-klagomål mail.docx", "A 34274-2022")</f>
        <v/>
      </c>
      <c r="X155">
        <f>HYPERLINK("https://klasma.github.io/Logging_2326/tillsyn/A 34274-2022 tillsynsbegäran.docx", "A 34274-2022")</f>
        <v/>
      </c>
      <c r="Y155">
        <f>HYPERLINK("https://klasma.github.io/Logging_2326/tillsynsmail/A 34274-2022 tillsynsbegäran mail.docx", "A 34274-2022")</f>
        <v/>
      </c>
    </row>
    <row r="156" ht="15" customHeight="1">
      <c r="A156" t="inlineStr">
        <is>
          <t>A 41317-2022</t>
        </is>
      </c>
      <c r="B156" s="1" t="n">
        <v>44826</v>
      </c>
      <c r="C156" s="1" t="n">
        <v>45706</v>
      </c>
      <c r="D156" t="inlineStr">
        <is>
          <t>JÄMTLANDS LÄN</t>
        </is>
      </c>
      <c r="E156" t="inlineStr">
        <is>
          <t>BERG</t>
        </is>
      </c>
      <c r="G156" t="n">
        <v>0.5</v>
      </c>
      <c r="H156" t="n">
        <v>1</v>
      </c>
      <c r="I156" t="n">
        <v>0</v>
      </c>
      <c r="J156" t="n">
        <v>0</v>
      </c>
      <c r="K156" t="n">
        <v>0</v>
      </c>
      <c r="L156" t="n">
        <v>0</v>
      </c>
      <c r="M156" t="n">
        <v>0</v>
      </c>
      <c r="N156" t="n">
        <v>0</v>
      </c>
      <c r="O156" t="n">
        <v>0</v>
      </c>
      <c r="P156" t="n">
        <v>0</v>
      </c>
      <c r="Q156" t="n">
        <v>1</v>
      </c>
      <c r="R156" s="2" t="inlineStr">
        <is>
          <t>Fläcknycklar</t>
        </is>
      </c>
      <c r="S156">
        <f>HYPERLINK("https://klasma.github.io/Logging_2326/artfynd/A 41317-2022 artfynd.xlsx", "A 41317-2022")</f>
        <v/>
      </c>
      <c r="T156">
        <f>HYPERLINK("https://klasma.github.io/Logging_2326/kartor/A 41317-2022 karta.png", "A 41317-2022")</f>
        <v/>
      </c>
      <c r="V156">
        <f>HYPERLINK("https://klasma.github.io/Logging_2326/klagomål/A 41317-2022 FSC-klagomål.docx", "A 41317-2022")</f>
        <v/>
      </c>
      <c r="W156">
        <f>HYPERLINK("https://klasma.github.io/Logging_2326/klagomålsmail/A 41317-2022 FSC-klagomål mail.docx", "A 41317-2022")</f>
        <v/>
      </c>
      <c r="X156">
        <f>HYPERLINK("https://klasma.github.io/Logging_2326/tillsyn/A 41317-2022 tillsynsbegäran.docx", "A 41317-2022")</f>
        <v/>
      </c>
      <c r="Y156">
        <f>HYPERLINK("https://klasma.github.io/Logging_2326/tillsynsmail/A 41317-2022 tillsynsbegäran mail.docx", "A 41317-2022")</f>
        <v/>
      </c>
    </row>
    <row r="157" ht="15" customHeight="1">
      <c r="A157" t="inlineStr">
        <is>
          <t>A 43132-2022</t>
        </is>
      </c>
      <c r="B157" s="1" t="n">
        <v>44833</v>
      </c>
      <c r="C157" s="1" t="n">
        <v>45706</v>
      </c>
      <c r="D157" t="inlineStr">
        <is>
          <t>JÄMTLANDS LÄN</t>
        </is>
      </c>
      <c r="E157" t="inlineStr">
        <is>
          <t>BERG</t>
        </is>
      </c>
      <c r="F157" t="inlineStr">
        <is>
          <t>SCA</t>
        </is>
      </c>
      <c r="G157" t="n">
        <v>11.5</v>
      </c>
      <c r="H157" t="n">
        <v>0</v>
      </c>
      <c r="I157" t="n">
        <v>0</v>
      </c>
      <c r="J157" t="n">
        <v>0</v>
      </c>
      <c r="K157" t="n">
        <v>1</v>
      </c>
      <c r="L157" t="n">
        <v>0</v>
      </c>
      <c r="M157" t="n">
        <v>0</v>
      </c>
      <c r="N157" t="n">
        <v>0</v>
      </c>
      <c r="O157" t="n">
        <v>1</v>
      </c>
      <c r="P157" t="n">
        <v>1</v>
      </c>
      <c r="Q157" t="n">
        <v>1</v>
      </c>
      <c r="R157" s="2" t="inlineStr">
        <is>
          <t>Gräddporing</t>
        </is>
      </c>
      <c r="S157">
        <f>HYPERLINK("https://klasma.github.io/Logging_2326/artfynd/A 43132-2022 artfynd.xlsx", "A 43132-2022")</f>
        <v/>
      </c>
      <c r="T157">
        <f>HYPERLINK("https://klasma.github.io/Logging_2326/kartor/A 43132-2022 karta.png", "A 43132-2022")</f>
        <v/>
      </c>
      <c r="V157">
        <f>HYPERLINK("https://klasma.github.io/Logging_2326/klagomål/A 43132-2022 FSC-klagomål.docx", "A 43132-2022")</f>
        <v/>
      </c>
      <c r="W157">
        <f>HYPERLINK("https://klasma.github.io/Logging_2326/klagomålsmail/A 43132-2022 FSC-klagomål mail.docx", "A 43132-2022")</f>
        <v/>
      </c>
      <c r="X157">
        <f>HYPERLINK("https://klasma.github.io/Logging_2326/tillsyn/A 43132-2022 tillsynsbegäran.docx", "A 43132-2022")</f>
        <v/>
      </c>
      <c r="Y157">
        <f>HYPERLINK("https://klasma.github.io/Logging_2326/tillsynsmail/A 43132-2022 tillsynsbegäran mail.docx", "A 43132-2022")</f>
        <v/>
      </c>
    </row>
    <row r="158" ht="15" customHeight="1">
      <c r="A158" t="inlineStr">
        <is>
          <t>A 43166-2022</t>
        </is>
      </c>
      <c r="B158" s="1" t="n">
        <v>44833</v>
      </c>
      <c r="C158" s="1" t="n">
        <v>45706</v>
      </c>
      <c r="D158" t="inlineStr">
        <is>
          <t>JÄMTLANDS LÄN</t>
        </is>
      </c>
      <c r="E158" t="inlineStr">
        <is>
          <t>BERG</t>
        </is>
      </c>
      <c r="F158" t="inlineStr">
        <is>
          <t>SCA</t>
        </is>
      </c>
      <c r="G158" t="n">
        <v>22.3</v>
      </c>
      <c r="H158" t="n">
        <v>0</v>
      </c>
      <c r="I158" t="n">
        <v>0</v>
      </c>
      <c r="J158" t="n">
        <v>1</v>
      </c>
      <c r="K158" t="n">
        <v>0</v>
      </c>
      <c r="L158" t="n">
        <v>0</v>
      </c>
      <c r="M158" t="n">
        <v>0</v>
      </c>
      <c r="N158" t="n">
        <v>0</v>
      </c>
      <c r="O158" t="n">
        <v>1</v>
      </c>
      <c r="P158" t="n">
        <v>0</v>
      </c>
      <c r="Q158" t="n">
        <v>1</v>
      </c>
      <c r="R158" s="2" t="inlineStr">
        <is>
          <t>Skrovellav</t>
        </is>
      </c>
      <c r="S158">
        <f>HYPERLINK("https://klasma.github.io/Logging_2326/artfynd/A 43166-2022 artfynd.xlsx", "A 43166-2022")</f>
        <v/>
      </c>
      <c r="T158">
        <f>HYPERLINK("https://klasma.github.io/Logging_2326/kartor/A 43166-2022 karta.png", "A 43166-2022")</f>
        <v/>
      </c>
      <c r="V158">
        <f>HYPERLINK("https://klasma.github.io/Logging_2326/klagomål/A 43166-2022 FSC-klagomål.docx", "A 43166-2022")</f>
        <v/>
      </c>
      <c r="W158">
        <f>HYPERLINK("https://klasma.github.io/Logging_2326/klagomålsmail/A 43166-2022 FSC-klagomål mail.docx", "A 43166-2022")</f>
        <v/>
      </c>
      <c r="X158">
        <f>HYPERLINK("https://klasma.github.io/Logging_2326/tillsyn/A 43166-2022 tillsynsbegäran.docx", "A 43166-2022")</f>
        <v/>
      </c>
      <c r="Y158">
        <f>HYPERLINK("https://klasma.github.io/Logging_2326/tillsynsmail/A 43166-2022 tillsynsbegäran mail.docx", "A 43166-2022")</f>
        <v/>
      </c>
    </row>
    <row r="159" ht="15" customHeight="1">
      <c r="A159" t="inlineStr">
        <is>
          <t>A 45082-2022</t>
        </is>
      </c>
      <c r="B159" s="1" t="n">
        <v>44842</v>
      </c>
      <c r="C159" s="1" t="n">
        <v>45706</v>
      </c>
      <c r="D159" t="inlineStr">
        <is>
          <t>JÄMTLANDS LÄN</t>
        </is>
      </c>
      <c r="E159" t="inlineStr">
        <is>
          <t>BERG</t>
        </is>
      </c>
      <c r="F159" t="inlineStr">
        <is>
          <t>SCA</t>
        </is>
      </c>
      <c r="G159" t="n">
        <v>10.8</v>
      </c>
      <c r="H159" t="n">
        <v>1</v>
      </c>
      <c r="I159" t="n">
        <v>0</v>
      </c>
      <c r="J159" t="n">
        <v>1</v>
      </c>
      <c r="K159" t="n">
        <v>0</v>
      </c>
      <c r="L159" t="n">
        <v>0</v>
      </c>
      <c r="M159" t="n">
        <v>0</v>
      </c>
      <c r="N159" t="n">
        <v>0</v>
      </c>
      <c r="O159" t="n">
        <v>1</v>
      </c>
      <c r="P159" t="n">
        <v>0</v>
      </c>
      <c r="Q159" t="n">
        <v>1</v>
      </c>
      <c r="R159" s="2" t="inlineStr">
        <is>
          <t>Fjällvråk</t>
        </is>
      </c>
      <c r="S159">
        <f>HYPERLINK("https://klasma.github.io/Logging_2326/artfynd/A 45082-2022 artfynd.xlsx", "A 45082-2022")</f>
        <v/>
      </c>
      <c r="T159">
        <f>HYPERLINK("https://klasma.github.io/Logging_2326/kartor/A 45082-2022 karta.png", "A 45082-2022")</f>
        <v/>
      </c>
      <c r="V159">
        <f>HYPERLINK("https://klasma.github.io/Logging_2326/klagomål/A 45082-2022 FSC-klagomål.docx", "A 45082-2022")</f>
        <v/>
      </c>
      <c r="W159">
        <f>HYPERLINK("https://klasma.github.io/Logging_2326/klagomålsmail/A 45082-2022 FSC-klagomål mail.docx", "A 45082-2022")</f>
        <v/>
      </c>
      <c r="X159">
        <f>HYPERLINK("https://klasma.github.io/Logging_2326/tillsyn/A 45082-2022 tillsynsbegäran.docx", "A 45082-2022")</f>
        <v/>
      </c>
      <c r="Y159">
        <f>HYPERLINK("https://klasma.github.io/Logging_2326/tillsynsmail/A 45082-2022 tillsynsbegäran mail.docx", "A 45082-2022")</f>
        <v/>
      </c>
      <c r="Z159">
        <f>HYPERLINK("https://klasma.github.io/Logging_2326/fåglar/A 45082-2022 prioriterade fågelarter.docx", "A 45082-2022")</f>
        <v/>
      </c>
    </row>
    <row r="160" ht="15" customHeight="1">
      <c r="A160" t="inlineStr">
        <is>
          <t>A 49532-2022</t>
        </is>
      </c>
      <c r="B160" s="1" t="n">
        <v>44861</v>
      </c>
      <c r="C160" s="1" t="n">
        <v>45706</v>
      </c>
      <c r="D160" t="inlineStr">
        <is>
          <t>JÄMTLANDS LÄN</t>
        </is>
      </c>
      <c r="E160" t="inlineStr">
        <is>
          <t>BERG</t>
        </is>
      </c>
      <c r="F160" t="inlineStr">
        <is>
          <t>SCA</t>
        </is>
      </c>
      <c r="G160" t="n">
        <v>12.7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49532-2022 artfynd.xlsx", "A 49532-2022")</f>
        <v/>
      </c>
      <c r="T160">
        <f>HYPERLINK("https://klasma.github.io/Logging_2326/kartor/A 49532-2022 karta.png", "A 49532-2022")</f>
        <v/>
      </c>
      <c r="V160">
        <f>HYPERLINK("https://klasma.github.io/Logging_2326/klagomål/A 49532-2022 FSC-klagomål.docx", "A 49532-2022")</f>
        <v/>
      </c>
      <c r="W160">
        <f>HYPERLINK("https://klasma.github.io/Logging_2326/klagomålsmail/A 49532-2022 FSC-klagomål mail.docx", "A 49532-2022")</f>
        <v/>
      </c>
      <c r="X160">
        <f>HYPERLINK("https://klasma.github.io/Logging_2326/tillsyn/A 49532-2022 tillsynsbegäran.docx", "A 49532-2022")</f>
        <v/>
      </c>
      <c r="Y160">
        <f>HYPERLINK("https://klasma.github.io/Logging_2326/tillsynsmail/A 49532-2022 tillsynsbegäran mail.docx", "A 49532-2022")</f>
        <v/>
      </c>
    </row>
    <row r="161" ht="15" customHeight="1">
      <c r="A161" t="inlineStr">
        <is>
          <t>A 53014-2022</t>
        </is>
      </c>
      <c r="B161" s="1" t="n">
        <v>44875</v>
      </c>
      <c r="C161" s="1" t="n">
        <v>45706</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59823-2022</t>
        </is>
      </c>
      <c r="B162" s="1" t="n">
        <v>44900</v>
      </c>
      <c r="C162" s="1" t="n">
        <v>45706</v>
      </c>
      <c r="D162" t="inlineStr">
        <is>
          <t>JÄMTLANDS LÄN</t>
        </is>
      </c>
      <c r="E162" t="inlineStr">
        <is>
          <t>BERG</t>
        </is>
      </c>
      <c r="G162" t="n">
        <v>14.8</v>
      </c>
      <c r="H162" t="n">
        <v>0</v>
      </c>
      <c r="I162" t="n">
        <v>0</v>
      </c>
      <c r="J162" t="n">
        <v>1</v>
      </c>
      <c r="K162" t="n">
        <v>0</v>
      </c>
      <c r="L162" t="n">
        <v>0</v>
      </c>
      <c r="M162" t="n">
        <v>0</v>
      </c>
      <c r="N162" t="n">
        <v>0</v>
      </c>
      <c r="O162" t="n">
        <v>1</v>
      </c>
      <c r="P162" t="n">
        <v>0</v>
      </c>
      <c r="Q162" t="n">
        <v>1</v>
      </c>
      <c r="R162" s="2" t="inlineStr">
        <is>
          <t>Granticka</t>
        </is>
      </c>
      <c r="S162">
        <f>HYPERLINK("https://klasma.github.io/Logging_2326/artfynd/A 59823-2022 artfynd.xlsx", "A 59823-2022")</f>
        <v/>
      </c>
      <c r="T162">
        <f>HYPERLINK("https://klasma.github.io/Logging_2326/kartor/A 59823-2022 karta.png", "A 59823-2022")</f>
        <v/>
      </c>
      <c r="V162">
        <f>HYPERLINK("https://klasma.github.io/Logging_2326/klagomål/A 59823-2022 FSC-klagomål.docx", "A 59823-2022")</f>
        <v/>
      </c>
      <c r="W162">
        <f>HYPERLINK("https://klasma.github.io/Logging_2326/klagomålsmail/A 59823-2022 FSC-klagomål mail.docx", "A 59823-2022")</f>
        <v/>
      </c>
      <c r="X162">
        <f>HYPERLINK("https://klasma.github.io/Logging_2326/tillsyn/A 59823-2022 tillsynsbegäran.docx", "A 59823-2022")</f>
        <v/>
      </c>
      <c r="Y162">
        <f>HYPERLINK("https://klasma.github.io/Logging_2326/tillsynsmail/A 59823-2022 tillsynsbegäran mail.docx", "A 59823-2022")</f>
        <v/>
      </c>
    </row>
    <row r="163" ht="15" customHeight="1">
      <c r="A163" t="inlineStr">
        <is>
          <t>A 47-2023</t>
        </is>
      </c>
      <c r="B163" s="1" t="n">
        <v>44928</v>
      </c>
      <c r="C163" s="1" t="n">
        <v>45706</v>
      </c>
      <c r="D163" t="inlineStr">
        <is>
          <t>JÄMTLANDS LÄN</t>
        </is>
      </c>
      <c r="E163" t="inlineStr">
        <is>
          <t>BERG</t>
        </is>
      </c>
      <c r="F163" t="inlineStr">
        <is>
          <t>Naturvårdsverket</t>
        </is>
      </c>
      <c r="G163" t="n">
        <v>1.5</v>
      </c>
      <c r="H163" t="n">
        <v>0</v>
      </c>
      <c r="I163" t="n">
        <v>0</v>
      </c>
      <c r="J163" t="n">
        <v>1</v>
      </c>
      <c r="K163" t="n">
        <v>0</v>
      </c>
      <c r="L163" t="n">
        <v>0</v>
      </c>
      <c r="M163" t="n">
        <v>0</v>
      </c>
      <c r="N163" t="n">
        <v>0</v>
      </c>
      <c r="O163" t="n">
        <v>1</v>
      </c>
      <c r="P163" t="n">
        <v>0</v>
      </c>
      <c r="Q163" t="n">
        <v>1</v>
      </c>
      <c r="R163" s="2" t="inlineStr">
        <is>
          <t>Violettgrå tagellav</t>
        </is>
      </c>
      <c r="S163">
        <f>HYPERLINK("https://klasma.github.io/Logging_2326/artfynd/A 47-2023 artfynd.xlsx", "A 47-2023")</f>
        <v/>
      </c>
      <c r="T163">
        <f>HYPERLINK("https://klasma.github.io/Logging_2326/kartor/A 47-2023 karta.png", "A 47-2023")</f>
        <v/>
      </c>
      <c r="V163">
        <f>HYPERLINK("https://klasma.github.io/Logging_2326/klagomål/A 47-2023 FSC-klagomål.docx", "A 47-2023")</f>
        <v/>
      </c>
      <c r="W163">
        <f>HYPERLINK("https://klasma.github.io/Logging_2326/klagomålsmail/A 47-2023 FSC-klagomål mail.docx", "A 47-2023")</f>
        <v/>
      </c>
      <c r="X163">
        <f>HYPERLINK("https://klasma.github.io/Logging_2326/tillsyn/A 47-2023 tillsynsbegäran.docx", "A 47-2023")</f>
        <v/>
      </c>
      <c r="Y163">
        <f>HYPERLINK("https://klasma.github.io/Logging_2326/tillsynsmail/A 47-2023 tillsynsbegäran mail.docx", "A 47-2023")</f>
        <v/>
      </c>
    </row>
    <row r="164" ht="15" customHeight="1">
      <c r="A164" t="inlineStr">
        <is>
          <t>A 9657-2023</t>
        </is>
      </c>
      <c r="B164" s="1" t="n">
        <v>44978</v>
      </c>
      <c r="C164" s="1" t="n">
        <v>45706</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9838-2023</t>
        </is>
      </c>
      <c r="B165" s="1" t="n">
        <v>44984</v>
      </c>
      <c r="C165" s="1" t="n">
        <v>45706</v>
      </c>
      <c r="D165" t="inlineStr">
        <is>
          <t>JÄMTLANDS LÄN</t>
        </is>
      </c>
      <c r="E165" t="inlineStr">
        <is>
          <t>BERG</t>
        </is>
      </c>
      <c r="F165" t="inlineStr">
        <is>
          <t>Kyrkan</t>
        </is>
      </c>
      <c r="G165" t="n">
        <v>13.7</v>
      </c>
      <c r="H165" t="n">
        <v>0</v>
      </c>
      <c r="I165" t="n">
        <v>0</v>
      </c>
      <c r="J165" t="n">
        <v>1</v>
      </c>
      <c r="K165" t="n">
        <v>0</v>
      </c>
      <c r="L165" t="n">
        <v>0</v>
      </c>
      <c r="M165" t="n">
        <v>0</v>
      </c>
      <c r="N165" t="n">
        <v>0</v>
      </c>
      <c r="O165" t="n">
        <v>1</v>
      </c>
      <c r="P165" t="n">
        <v>0</v>
      </c>
      <c r="Q165" t="n">
        <v>1</v>
      </c>
      <c r="R165" s="2" t="inlineStr">
        <is>
          <t>Motaggsvamp</t>
        </is>
      </c>
      <c r="S165">
        <f>HYPERLINK("https://klasma.github.io/Logging_2326/artfynd/A 9838-2023 artfynd.xlsx", "A 9838-2023")</f>
        <v/>
      </c>
      <c r="T165">
        <f>HYPERLINK("https://klasma.github.io/Logging_2326/kartor/A 9838-2023 karta.png", "A 9838-2023")</f>
        <v/>
      </c>
      <c r="V165">
        <f>HYPERLINK("https://klasma.github.io/Logging_2326/klagomål/A 9838-2023 FSC-klagomål.docx", "A 9838-2023")</f>
        <v/>
      </c>
      <c r="W165">
        <f>HYPERLINK("https://klasma.github.io/Logging_2326/klagomålsmail/A 9838-2023 FSC-klagomål mail.docx", "A 9838-2023")</f>
        <v/>
      </c>
      <c r="X165">
        <f>HYPERLINK("https://klasma.github.io/Logging_2326/tillsyn/A 9838-2023 tillsynsbegäran.docx", "A 9838-2023")</f>
        <v/>
      </c>
      <c r="Y165">
        <f>HYPERLINK("https://klasma.github.io/Logging_2326/tillsynsmail/A 9838-2023 tillsynsbegäran mail.docx", "A 9838-2023")</f>
        <v/>
      </c>
    </row>
    <row r="166" ht="15" customHeight="1">
      <c r="A166" t="inlineStr">
        <is>
          <t>A 24309-2023</t>
        </is>
      </c>
      <c r="B166" s="1" t="n">
        <v>45079</v>
      </c>
      <c r="C166" s="1" t="n">
        <v>45706</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29326-2023</t>
        </is>
      </c>
      <c r="B167" s="1" t="n">
        <v>45106</v>
      </c>
      <c r="C167" s="1" t="n">
        <v>45706</v>
      </c>
      <c r="D167" t="inlineStr">
        <is>
          <t>JÄMTLANDS LÄN</t>
        </is>
      </c>
      <c r="E167" t="inlineStr">
        <is>
          <t>BERG</t>
        </is>
      </c>
      <c r="F167" t="inlineStr">
        <is>
          <t>SCA</t>
        </is>
      </c>
      <c r="G167" t="n">
        <v>2</v>
      </c>
      <c r="H167" t="n">
        <v>0</v>
      </c>
      <c r="I167" t="n">
        <v>0</v>
      </c>
      <c r="J167" t="n">
        <v>1</v>
      </c>
      <c r="K167" t="n">
        <v>0</v>
      </c>
      <c r="L167" t="n">
        <v>0</v>
      </c>
      <c r="M167" t="n">
        <v>0</v>
      </c>
      <c r="N167" t="n">
        <v>0</v>
      </c>
      <c r="O167" t="n">
        <v>1</v>
      </c>
      <c r="P167" t="n">
        <v>0</v>
      </c>
      <c r="Q167" t="n">
        <v>1</v>
      </c>
      <c r="R167" s="2" t="inlineStr">
        <is>
          <t>Garnlav</t>
        </is>
      </c>
      <c r="S167">
        <f>HYPERLINK("https://klasma.github.io/Logging_2326/artfynd/A 29326-2023 artfynd.xlsx", "A 29326-2023")</f>
        <v/>
      </c>
      <c r="T167">
        <f>HYPERLINK("https://klasma.github.io/Logging_2326/kartor/A 29326-2023 karta.png", "A 29326-2023")</f>
        <v/>
      </c>
      <c r="V167">
        <f>HYPERLINK("https://klasma.github.io/Logging_2326/klagomål/A 29326-2023 FSC-klagomål.docx", "A 29326-2023")</f>
        <v/>
      </c>
      <c r="W167">
        <f>HYPERLINK("https://klasma.github.io/Logging_2326/klagomålsmail/A 29326-2023 FSC-klagomål mail.docx", "A 29326-2023")</f>
        <v/>
      </c>
      <c r="X167">
        <f>HYPERLINK("https://klasma.github.io/Logging_2326/tillsyn/A 29326-2023 tillsynsbegäran.docx", "A 29326-2023")</f>
        <v/>
      </c>
      <c r="Y167">
        <f>HYPERLINK("https://klasma.github.io/Logging_2326/tillsynsmail/A 29326-2023 tillsynsbegäran mail.docx", "A 29326-2023")</f>
        <v/>
      </c>
    </row>
    <row r="168" ht="15" customHeight="1">
      <c r="A168" t="inlineStr">
        <is>
          <t>A 33124-2023</t>
        </is>
      </c>
      <c r="B168" s="1" t="n">
        <v>45126</v>
      </c>
      <c r="C168" s="1" t="n">
        <v>45706</v>
      </c>
      <c r="D168" t="inlineStr">
        <is>
          <t>JÄMTLANDS LÄN</t>
        </is>
      </c>
      <c r="E168" t="inlineStr">
        <is>
          <t>BERG</t>
        </is>
      </c>
      <c r="F168" t="inlineStr">
        <is>
          <t>Sveaskog</t>
        </is>
      </c>
      <c r="G168" t="n">
        <v>4.2</v>
      </c>
      <c r="H168" t="n">
        <v>0</v>
      </c>
      <c r="I168" t="n">
        <v>0</v>
      </c>
      <c r="J168" t="n">
        <v>1</v>
      </c>
      <c r="K168" t="n">
        <v>0</v>
      </c>
      <c r="L168" t="n">
        <v>0</v>
      </c>
      <c r="M168" t="n">
        <v>0</v>
      </c>
      <c r="N168" t="n">
        <v>0</v>
      </c>
      <c r="O168" t="n">
        <v>1</v>
      </c>
      <c r="P168" t="n">
        <v>0</v>
      </c>
      <c r="Q168" t="n">
        <v>1</v>
      </c>
      <c r="R168" s="2" t="inlineStr">
        <is>
          <t>Lunglav</t>
        </is>
      </c>
      <c r="S168">
        <f>HYPERLINK("https://klasma.github.io/Logging_2326/artfynd/A 33124-2023 artfynd.xlsx", "A 33124-2023")</f>
        <v/>
      </c>
      <c r="T168">
        <f>HYPERLINK("https://klasma.github.io/Logging_2326/kartor/A 33124-2023 karta.png", "A 33124-2023")</f>
        <v/>
      </c>
      <c r="V168">
        <f>HYPERLINK("https://klasma.github.io/Logging_2326/klagomål/A 33124-2023 FSC-klagomål.docx", "A 33124-2023")</f>
        <v/>
      </c>
      <c r="W168">
        <f>HYPERLINK("https://klasma.github.io/Logging_2326/klagomålsmail/A 33124-2023 FSC-klagomål mail.docx", "A 33124-2023")</f>
        <v/>
      </c>
      <c r="X168">
        <f>HYPERLINK("https://klasma.github.io/Logging_2326/tillsyn/A 33124-2023 tillsynsbegäran.docx", "A 33124-2023")</f>
        <v/>
      </c>
      <c r="Y168">
        <f>HYPERLINK("https://klasma.github.io/Logging_2326/tillsynsmail/A 33124-2023 tillsynsbegäran mail.docx", "A 33124-2023")</f>
        <v/>
      </c>
    </row>
    <row r="169" ht="15" customHeight="1">
      <c r="A169" t="inlineStr">
        <is>
          <t>A 35275-2023</t>
        </is>
      </c>
      <c r="B169" s="1" t="n">
        <v>45145</v>
      </c>
      <c r="C169" s="1" t="n">
        <v>45706</v>
      </c>
      <c r="D169" t="inlineStr">
        <is>
          <t>JÄMTLANDS LÄN</t>
        </is>
      </c>
      <c r="E169" t="inlineStr">
        <is>
          <t>BERG</t>
        </is>
      </c>
      <c r="F169" t="inlineStr">
        <is>
          <t>SCA</t>
        </is>
      </c>
      <c r="G169" t="n">
        <v>8.5</v>
      </c>
      <c r="H169" t="n">
        <v>0</v>
      </c>
      <c r="I169" t="n">
        <v>0</v>
      </c>
      <c r="J169" t="n">
        <v>1</v>
      </c>
      <c r="K169" t="n">
        <v>0</v>
      </c>
      <c r="L169" t="n">
        <v>0</v>
      </c>
      <c r="M169" t="n">
        <v>0</v>
      </c>
      <c r="N169" t="n">
        <v>0</v>
      </c>
      <c r="O169" t="n">
        <v>1</v>
      </c>
      <c r="P169" t="n">
        <v>0</v>
      </c>
      <c r="Q169" t="n">
        <v>1</v>
      </c>
      <c r="R169" s="2" t="inlineStr">
        <is>
          <t>Motaggsvamp</t>
        </is>
      </c>
      <c r="S169">
        <f>HYPERLINK("https://klasma.github.io/Logging_2326/artfynd/A 35275-2023 artfynd.xlsx", "A 35275-2023")</f>
        <v/>
      </c>
      <c r="T169">
        <f>HYPERLINK("https://klasma.github.io/Logging_2326/kartor/A 35275-2023 karta.png", "A 35275-2023")</f>
        <v/>
      </c>
      <c r="V169">
        <f>HYPERLINK("https://klasma.github.io/Logging_2326/klagomål/A 35275-2023 FSC-klagomål.docx", "A 35275-2023")</f>
        <v/>
      </c>
      <c r="W169">
        <f>HYPERLINK("https://klasma.github.io/Logging_2326/klagomålsmail/A 35275-2023 FSC-klagomål mail.docx", "A 35275-2023")</f>
        <v/>
      </c>
      <c r="X169">
        <f>HYPERLINK("https://klasma.github.io/Logging_2326/tillsyn/A 35275-2023 tillsynsbegäran.docx", "A 35275-2023")</f>
        <v/>
      </c>
      <c r="Y169">
        <f>HYPERLINK("https://klasma.github.io/Logging_2326/tillsynsmail/A 35275-2023 tillsynsbegäran mail.docx", "A 35275-2023")</f>
        <v/>
      </c>
    </row>
    <row r="170" ht="15" customHeight="1">
      <c r="A170" t="inlineStr">
        <is>
          <t>A 50543-2023</t>
        </is>
      </c>
      <c r="B170" s="1" t="n">
        <v>45210</v>
      </c>
      <c r="C170" s="1" t="n">
        <v>45706</v>
      </c>
      <c r="D170" t="inlineStr">
        <is>
          <t>JÄMTLANDS LÄN</t>
        </is>
      </c>
      <c r="E170" t="inlineStr">
        <is>
          <t>BERG</t>
        </is>
      </c>
      <c r="F170" t="inlineStr">
        <is>
          <t>Övriga statliga verk och myndigheter</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50543-2023 artfynd.xlsx", "A 50543-2023")</f>
        <v/>
      </c>
      <c r="T170">
        <f>HYPERLINK("https://klasma.github.io/Logging_2326/kartor/A 50543-2023 karta.png", "A 50543-2023")</f>
        <v/>
      </c>
      <c r="V170">
        <f>HYPERLINK("https://klasma.github.io/Logging_2326/klagomål/A 50543-2023 FSC-klagomål.docx", "A 50543-2023")</f>
        <v/>
      </c>
      <c r="W170">
        <f>HYPERLINK("https://klasma.github.io/Logging_2326/klagomålsmail/A 50543-2023 FSC-klagomål mail.docx", "A 50543-2023")</f>
        <v/>
      </c>
      <c r="X170">
        <f>HYPERLINK("https://klasma.github.io/Logging_2326/tillsyn/A 50543-2023 tillsynsbegäran.docx", "A 50543-2023")</f>
        <v/>
      </c>
      <c r="Y170">
        <f>HYPERLINK("https://klasma.github.io/Logging_2326/tillsynsmail/A 50543-2023 tillsynsbegäran mail.docx", "A 50543-2023")</f>
        <v/>
      </c>
      <c r="Z170">
        <f>HYPERLINK("https://klasma.github.io/Logging_2326/fåglar/A 50543-2023 prioriterade fågelarter.docx", "A 50543-2023")</f>
        <v/>
      </c>
    </row>
    <row r="171" ht="15" customHeight="1">
      <c r="A171" t="inlineStr">
        <is>
          <t>A 50765-2023</t>
        </is>
      </c>
      <c r="B171" s="1" t="n">
        <v>45210</v>
      </c>
      <c r="C171" s="1" t="n">
        <v>45706</v>
      </c>
      <c r="D171" t="inlineStr">
        <is>
          <t>JÄMTLANDS LÄN</t>
        </is>
      </c>
      <c r="E171" t="inlineStr">
        <is>
          <t>BERG</t>
        </is>
      </c>
      <c r="G171" t="n">
        <v>9.4</v>
      </c>
      <c r="H171" t="n">
        <v>0</v>
      </c>
      <c r="I171" t="n">
        <v>0</v>
      </c>
      <c r="J171" t="n">
        <v>1</v>
      </c>
      <c r="K171" t="n">
        <v>0</v>
      </c>
      <c r="L171" t="n">
        <v>0</v>
      </c>
      <c r="M171" t="n">
        <v>0</v>
      </c>
      <c r="N171" t="n">
        <v>0</v>
      </c>
      <c r="O171" t="n">
        <v>1</v>
      </c>
      <c r="P171" t="n">
        <v>0</v>
      </c>
      <c r="Q171" t="n">
        <v>1</v>
      </c>
      <c r="R171" s="2" t="inlineStr">
        <is>
          <t>Äggvaxskivling</t>
        </is>
      </c>
      <c r="S171">
        <f>HYPERLINK("https://klasma.github.io/Logging_2326/artfynd/A 50765-2023 artfynd.xlsx", "A 50765-2023")</f>
        <v/>
      </c>
      <c r="T171">
        <f>HYPERLINK("https://klasma.github.io/Logging_2326/kartor/A 50765-2023 karta.png", "A 50765-2023")</f>
        <v/>
      </c>
      <c r="V171">
        <f>HYPERLINK("https://klasma.github.io/Logging_2326/klagomål/A 50765-2023 FSC-klagomål.docx", "A 50765-2023")</f>
        <v/>
      </c>
      <c r="W171">
        <f>HYPERLINK("https://klasma.github.io/Logging_2326/klagomålsmail/A 50765-2023 FSC-klagomål mail.docx", "A 50765-2023")</f>
        <v/>
      </c>
      <c r="X171">
        <f>HYPERLINK("https://klasma.github.io/Logging_2326/tillsyn/A 50765-2023 tillsynsbegäran.docx", "A 50765-2023")</f>
        <v/>
      </c>
      <c r="Y171">
        <f>HYPERLINK("https://klasma.github.io/Logging_2326/tillsynsmail/A 50765-2023 tillsynsbegäran mail.docx", "A 50765-2023")</f>
        <v/>
      </c>
    </row>
    <row r="172" ht="15" customHeight="1">
      <c r="A172" t="inlineStr">
        <is>
          <t>A 53443-2023</t>
        </is>
      </c>
      <c r="B172" s="1" t="n">
        <v>45210</v>
      </c>
      <c r="C172" s="1" t="n">
        <v>45706</v>
      </c>
      <c r="D172" t="inlineStr">
        <is>
          <t>JÄMTLANDS LÄN</t>
        </is>
      </c>
      <c r="E172" t="inlineStr">
        <is>
          <t>BERG</t>
        </is>
      </c>
      <c r="F172" t="inlineStr">
        <is>
          <t>Övriga statliga verk och myndigheter</t>
        </is>
      </c>
      <c r="G172" t="n">
        <v>3.4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53443-2023 artfynd.xlsx", "A 53443-2023")</f>
        <v/>
      </c>
      <c r="T172">
        <f>HYPERLINK("https://klasma.github.io/Logging_2326/kartor/A 53443-2023 karta.png", "A 53443-2023")</f>
        <v/>
      </c>
      <c r="V172">
        <f>HYPERLINK("https://klasma.github.io/Logging_2326/klagomål/A 53443-2023 FSC-klagomål.docx", "A 53443-2023")</f>
        <v/>
      </c>
      <c r="W172">
        <f>HYPERLINK("https://klasma.github.io/Logging_2326/klagomålsmail/A 53443-2023 FSC-klagomål mail.docx", "A 53443-2023")</f>
        <v/>
      </c>
      <c r="X172">
        <f>HYPERLINK("https://klasma.github.io/Logging_2326/tillsyn/A 53443-2023 tillsynsbegäran.docx", "A 53443-2023")</f>
        <v/>
      </c>
      <c r="Y172">
        <f>HYPERLINK("https://klasma.github.io/Logging_2326/tillsynsmail/A 53443-2023 tillsynsbegäran mail.docx", "A 53443-2023")</f>
        <v/>
      </c>
      <c r="Z172">
        <f>HYPERLINK("https://klasma.github.io/Logging_2326/fåglar/A 53443-2023 prioriterade fågelarter.docx", "A 53443-2023")</f>
        <v/>
      </c>
    </row>
    <row r="173" ht="15" customHeight="1">
      <c r="A173" t="inlineStr">
        <is>
          <t>A 50225-2023</t>
        </is>
      </c>
      <c r="B173" s="1" t="n">
        <v>45215</v>
      </c>
      <c r="C173" s="1" t="n">
        <v>45706</v>
      </c>
      <c r="D173" t="inlineStr">
        <is>
          <t>JÄMTLANDS LÄN</t>
        </is>
      </c>
      <c r="E173" t="inlineStr">
        <is>
          <t>BERG</t>
        </is>
      </c>
      <c r="F173" t="inlineStr">
        <is>
          <t>SCA</t>
        </is>
      </c>
      <c r="G173" t="n">
        <v>4.3</v>
      </c>
      <c r="H173" t="n">
        <v>0</v>
      </c>
      <c r="I173" t="n">
        <v>0</v>
      </c>
      <c r="J173" t="n">
        <v>0</v>
      </c>
      <c r="K173" t="n">
        <v>1</v>
      </c>
      <c r="L173" t="n">
        <v>0</v>
      </c>
      <c r="M173" t="n">
        <v>0</v>
      </c>
      <c r="N173" t="n">
        <v>0</v>
      </c>
      <c r="O173" t="n">
        <v>1</v>
      </c>
      <c r="P173" t="n">
        <v>1</v>
      </c>
      <c r="Q173" t="n">
        <v>1</v>
      </c>
      <c r="R173" s="2" t="inlineStr">
        <is>
          <t>Rynkskinn</t>
        </is>
      </c>
      <c r="S173">
        <f>HYPERLINK("https://klasma.github.io/Logging_2326/artfynd/A 50225-2023 artfynd.xlsx", "A 50225-2023")</f>
        <v/>
      </c>
      <c r="T173">
        <f>HYPERLINK("https://klasma.github.io/Logging_2326/kartor/A 50225-2023 karta.png", "A 50225-2023")</f>
        <v/>
      </c>
      <c r="V173">
        <f>HYPERLINK("https://klasma.github.io/Logging_2326/klagomål/A 50225-2023 FSC-klagomål.docx", "A 50225-2023")</f>
        <v/>
      </c>
      <c r="W173">
        <f>HYPERLINK("https://klasma.github.io/Logging_2326/klagomålsmail/A 50225-2023 FSC-klagomål mail.docx", "A 50225-2023")</f>
        <v/>
      </c>
      <c r="X173">
        <f>HYPERLINK("https://klasma.github.io/Logging_2326/tillsyn/A 50225-2023 tillsynsbegäran.docx", "A 50225-2023")</f>
        <v/>
      </c>
      <c r="Y173">
        <f>HYPERLINK("https://klasma.github.io/Logging_2326/tillsynsmail/A 50225-2023 tillsynsbegäran mail.docx", "A 50225-2023")</f>
        <v/>
      </c>
    </row>
    <row r="174" ht="15" customHeight="1">
      <c r="A174" t="inlineStr">
        <is>
          <t>A 50224-2023</t>
        </is>
      </c>
      <c r="B174" s="1" t="n">
        <v>45215</v>
      </c>
      <c r="C174" s="1" t="n">
        <v>45706</v>
      </c>
      <c r="D174" t="inlineStr">
        <is>
          <t>JÄMTLANDS LÄN</t>
        </is>
      </c>
      <c r="E174" t="inlineStr">
        <is>
          <t>BERG</t>
        </is>
      </c>
      <c r="F174" t="inlineStr">
        <is>
          <t>SCA</t>
        </is>
      </c>
      <c r="G174" t="n">
        <v>10.3</v>
      </c>
      <c r="H174" t="n">
        <v>0</v>
      </c>
      <c r="I174" t="n">
        <v>0</v>
      </c>
      <c r="J174" t="n">
        <v>1</v>
      </c>
      <c r="K174" t="n">
        <v>0</v>
      </c>
      <c r="L174" t="n">
        <v>0</v>
      </c>
      <c r="M174" t="n">
        <v>0</v>
      </c>
      <c r="N174" t="n">
        <v>0</v>
      </c>
      <c r="O174" t="n">
        <v>1</v>
      </c>
      <c r="P174" t="n">
        <v>0</v>
      </c>
      <c r="Q174" t="n">
        <v>1</v>
      </c>
      <c r="R174" s="2" t="inlineStr">
        <is>
          <t>Kolflarnlav</t>
        </is>
      </c>
      <c r="S174">
        <f>HYPERLINK("https://klasma.github.io/Logging_2326/artfynd/A 50224-2023 artfynd.xlsx", "A 50224-2023")</f>
        <v/>
      </c>
      <c r="T174">
        <f>HYPERLINK("https://klasma.github.io/Logging_2326/kartor/A 50224-2023 karta.png", "A 50224-2023")</f>
        <v/>
      </c>
      <c r="V174">
        <f>HYPERLINK("https://klasma.github.io/Logging_2326/klagomål/A 50224-2023 FSC-klagomål.docx", "A 50224-2023")</f>
        <v/>
      </c>
      <c r="W174">
        <f>HYPERLINK("https://klasma.github.io/Logging_2326/klagomålsmail/A 50224-2023 FSC-klagomål mail.docx", "A 50224-2023")</f>
        <v/>
      </c>
      <c r="X174">
        <f>HYPERLINK("https://klasma.github.io/Logging_2326/tillsyn/A 50224-2023 tillsynsbegäran.docx", "A 50224-2023")</f>
        <v/>
      </c>
      <c r="Y174">
        <f>HYPERLINK("https://klasma.github.io/Logging_2326/tillsynsmail/A 50224-2023 tillsynsbegäran mail.docx", "A 50224-2023")</f>
        <v/>
      </c>
    </row>
    <row r="175" ht="15" customHeight="1">
      <c r="A175" t="inlineStr">
        <is>
          <t>A 50519-2023</t>
        </is>
      </c>
      <c r="B175" s="1" t="n">
        <v>45217</v>
      </c>
      <c r="C175" s="1" t="n">
        <v>45706</v>
      </c>
      <c r="D175" t="inlineStr">
        <is>
          <t>JÄMTLANDS LÄN</t>
        </is>
      </c>
      <c r="E175" t="inlineStr">
        <is>
          <t>BERG</t>
        </is>
      </c>
      <c r="F175" t="inlineStr">
        <is>
          <t>SCA</t>
        </is>
      </c>
      <c r="G175" t="n">
        <v>0.8</v>
      </c>
      <c r="H175" t="n">
        <v>0</v>
      </c>
      <c r="I175" t="n">
        <v>1</v>
      </c>
      <c r="J175" t="n">
        <v>0</v>
      </c>
      <c r="K175" t="n">
        <v>0</v>
      </c>
      <c r="L175" t="n">
        <v>0</v>
      </c>
      <c r="M175" t="n">
        <v>0</v>
      </c>
      <c r="N175" t="n">
        <v>0</v>
      </c>
      <c r="O175" t="n">
        <v>0</v>
      </c>
      <c r="P175" t="n">
        <v>0</v>
      </c>
      <c r="Q175" t="n">
        <v>1</v>
      </c>
      <c r="R175" s="2" t="inlineStr">
        <is>
          <t>Norrlandslav</t>
        </is>
      </c>
      <c r="S175">
        <f>HYPERLINK("https://klasma.github.io/Logging_2326/artfynd/A 50519-2023 artfynd.xlsx", "A 50519-2023")</f>
        <v/>
      </c>
      <c r="T175">
        <f>HYPERLINK("https://klasma.github.io/Logging_2326/kartor/A 50519-2023 karta.png", "A 50519-2023")</f>
        <v/>
      </c>
      <c r="V175">
        <f>HYPERLINK("https://klasma.github.io/Logging_2326/klagomål/A 50519-2023 FSC-klagomål.docx", "A 50519-2023")</f>
        <v/>
      </c>
      <c r="W175">
        <f>HYPERLINK("https://klasma.github.io/Logging_2326/klagomålsmail/A 50519-2023 FSC-klagomål mail.docx", "A 50519-2023")</f>
        <v/>
      </c>
      <c r="X175">
        <f>HYPERLINK("https://klasma.github.io/Logging_2326/tillsyn/A 50519-2023 tillsynsbegäran.docx", "A 50519-2023")</f>
        <v/>
      </c>
      <c r="Y175">
        <f>HYPERLINK("https://klasma.github.io/Logging_2326/tillsynsmail/A 50519-2023 tillsynsbegäran mail.docx", "A 50519-2023")</f>
        <v/>
      </c>
    </row>
    <row r="176" ht="15" customHeight="1">
      <c r="A176" t="inlineStr">
        <is>
          <t>A 51811-2023</t>
        </is>
      </c>
      <c r="B176" s="1" t="n">
        <v>45222</v>
      </c>
      <c r="C176" s="1" t="n">
        <v>45706</v>
      </c>
      <c r="D176" t="inlineStr">
        <is>
          <t>JÄMTLANDS LÄN</t>
        </is>
      </c>
      <c r="E176" t="inlineStr">
        <is>
          <t>BERG</t>
        </is>
      </c>
      <c r="F176" t="inlineStr">
        <is>
          <t>SCA</t>
        </is>
      </c>
      <c r="G176" t="n">
        <v>7.9</v>
      </c>
      <c r="H176" t="n">
        <v>0</v>
      </c>
      <c r="I176" t="n">
        <v>0</v>
      </c>
      <c r="J176" t="n">
        <v>0</v>
      </c>
      <c r="K176" t="n">
        <v>1</v>
      </c>
      <c r="L176" t="n">
        <v>0</v>
      </c>
      <c r="M176" t="n">
        <v>0</v>
      </c>
      <c r="N176" t="n">
        <v>0</v>
      </c>
      <c r="O176" t="n">
        <v>1</v>
      </c>
      <c r="P176" t="n">
        <v>1</v>
      </c>
      <c r="Q176" t="n">
        <v>1</v>
      </c>
      <c r="R176" s="2" t="inlineStr">
        <is>
          <t>Gräddporing</t>
        </is>
      </c>
      <c r="S176">
        <f>HYPERLINK("https://klasma.github.io/Logging_2326/artfynd/A 51811-2023 artfynd.xlsx", "A 51811-2023")</f>
        <v/>
      </c>
      <c r="T176">
        <f>HYPERLINK("https://klasma.github.io/Logging_2326/kartor/A 51811-2023 karta.png", "A 51811-2023")</f>
        <v/>
      </c>
      <c r="V176">
        <f>HYPERLINK("https://klasma.github.io/Logging_2326/klagomål/A 51811-2023 FSC-klagomål.docx", "A 51811-2023")</f>
        <v/>
      </c>
      <c r="W176">
        <f>HYPERLINK("https://klasma.github.io/Logging_2326/klagomålsmail/A 51811-2023 FSC-klagomål mail.docx", "A 51811-2023")</f>
        <v/>
      </c>
      <c r="X176">
        <f>HYPERLINK("https://klasma.github.io/Logging_2326/tillsyn/A 51811-2023 tillsynsbegäran.docx", "A 51811-2023")</f>
        <v/>
      </c>
      <c r="Y176">
        <f>HYPERLINK("https://klasma.github.io/Logging_2326/tillsynsmail/A 51811-2023 tillsynsbegäran mail.docx", "A 51811-2023")</f>
        <v/>
      </c>
    </row>
    <row r="177" ht="15" customHeight="1">
      <c r="A177" t="inlineStr">
        <is>
          <t>A 54337-2023</t>
        </is>
      </c>
      <c r="B177" s="1" t="n">
        <v>45233</v>
      </c>
      <c r="C177" s="1" t="n">
        <v>45706</v>
      </c>
      <c r="D177" t="inlineStr">
        <is>
          <t>JÄMTLANDS LÄN</t>
        </is>
      </c>
      <c r="E177" t="inlineStr">
        <is>
          <t>BERG</t>
        </is>
      </c>
      <c r="F177" t="inlineStr">
        <is>
          <t>SCA</t>
        </is>
      </c>
      <c r="G177" t="n">
        <v>18.7</v>
      </c>
      <c r="H177" t="n">
        <v>0</v>
      </c>
      <c r="I177" t="n">
        <v>1</v>
      </c>
      <c r="J177" t="n">
        <v>0</v>
      </c>
      <c r="K177" t="n">
        <v>0</v>
      </c>
      <c r="L177" t="n">
        <v>0</v>
      </c>
      <c r="M177" t="n">
        <v>0</v>
      </c>
      <c r="N177" t="n">
        <v>0</v>
      </c>
      <c r="O177" t="n">
        <v>0</v>
      </c>
      <c r="P177" t="n">
        <v>0</v>
      </c>
      <c r="Q177" t="n">
        <v>1</v>
      </c>
      <c r="R177" s="2" t="inlineStr">
        <is>
          <t>Dropptaggsvamp</t>
        </is>
      </c>
      <c r="S177">
        <f>HYPERLINK("https://klasma.github.io/Logging_2326/artfynd/A 54337-2023 artfynd.xlsx", "A 54337-2023")</f>
        <v/>
      </c>
      <c r="T177">
        <f>HYPERLINK("https://klasma.github.io/Logging_2326/kartor/A 54337-2023 karta.png", "A 54337-2023")</f>
        <v/>
      </c>
      <c r="V177">
        <f>HYPERLINK("https://klasma.github.io/Logging_2326/klagomål/A 54337-2023 FSC-klagomål.docx", "A 54337-2023")</f>
        <v/>
      </c>
      <c r="W177">
        <f>HYPERLINK("https://klasma.github.io/Logging_2326/klagomålsmail/A 54337-2023 FSC-klagomål mail.docx", "A 54337-2023")</f>
        <v/>
      </c>
      <c r="X177">
        <f>HYPERLINK("https://klasma.github.io/Logging_2326/tillsyn/A 54337-2023 tillsynsbegäran.docx", "A 54337-2023")</f>
        <v/>
      </c>
      <c r="Y177">
        <f>HYPERLINK("https://klasma.github.io/Logging_2326/tillsynsmail/A 54337-2023 tillsynsbegäran mail.docx", "A 54337-2023")</f>
        <v/>
      </c>
    </row>
    <row r="178" ht="15" customHeight="1">
      <c r="A178" t="inlineStr">
        <is>
          <t>A 54347-2023</t>
        </is>
      </c>
      <c r="B178" s="1" t="n">
        <v>45233</v>
      </c>
      <c r="C178" s="1" t="n">
        <v>45706</v>
      </c>
      <c r="D178" t="inlineStr">
        <is>
          <t>JÄMTLANDS LÄN</t>
        </is>
      </c>
      <c r="E178" t="inlineStr">
        <is>
          <t>BERG</t>
        </is>
      </c>
      <c r="F178" t="inlineStr">
        <is>
          <t>SCA</t>
        </is>
      </c>
      <c r="G178" t="n">
        <v>13.4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54347-2023 artfynd.xlsx", "A 54347-2023")</f>
        <v/>
      </c>
      <c r="T178">
        <f>HYPERLINK("https://klasma.github.io/Logging_2326/kartor/A 54347-2023 karta.png", "A 54347-2023")</f>
        <v/>
      </c>
      <c r="V178">
        <f>HYPERLINK("https://klasma.github.io/Logging_2326/klagomål/A 54347-2023 FSC-klagomål.docx", "A 54347-2023")</f>
        <v/>
      </c>
      <c r="W178">
        <f>HYPERLINK("https://klasma.github.io/Logging_2326/klagomålsmail/A 54347-2023 FSC-klagomål mail.docx", "A 54347-2023")</f>
        <v/>
      </c>
      <c r="X178">
        <f>HYPERLINK("https://klasma.github.io/Logging_2326/tillsyn/A 54347-2023 tillsynsbegäran.docx", "A 54347-2023")</f>
        <v/>
      </c>
      <c r="Y178">
        <f>HYPERLINK("https://klasma.github.io/Logging_2326/tillsynsmail/A 54347-2023 tillsynsbegäran mail.docx", "A 54347-2023")</f>
        <v/>
      </c>
    </row>
    <row r="179" ht="15" customHeight="1">
      <c r="A179" t="inlineStr">
        <is>
          <t>A 55000-2023</t>
        </is>
      </c>
      <c r="B179" s="1" t="n">
        <v>45237</v>
      </c>
      <c r="C179" s="1" t="n">
        <v>45706</v>
      </c>
      <c r="D179" t="inlineStr">
        <is>
          <t>JÄMTLANDS LÄN</t>
        </is>
      </c>
      <c r="E179" t="inlineStr">
        <is>
          <t>BERG</t>
        </is>
      </c>
      <c r="F179" t="inlineStr">
        <is>
          <t>SCA</t>
        </is>
      </c>
      <c r="G179" t="n">
        <v>1.2</v>
      </c>
      <c r="H179" t="n">
        <v>0</v>
      </c>
      <c r="I179" t="n">
        <v>0</v>
      </c>
      <c r="J179" t="n">
        <v>1</v>
      </c>
      <c r="K179" t="n">
        <v>0</v>
      </c>
      <c r="L179" t="n">
        <v>0</v>
      </c>
      <c r="M179" t="n">
        <v>0</v>
      </c>
      <c r="N179" t="n">
        <v>0</v>
      </c>
      <c r="O179" t="n">
        <v>1</v>
      </c>
      <c r="P179" t="n">
        <v>0</v>
      </c>
      <c r="Q179" t="n">
        <v>1</v>
      </c>
      <c r="R179" s="2" t="inlineStr">
        <is>
          <t>Blå taggsvamp</t>
        </is>
      </c>
      <c r="S179">
        <f>HYPERLINK("https://klasma.github.io/Logging_2326/artfynd/A 55000-2023 artfynd.xlsx", "A 55000-2023")</f>
        <v/>
      </c>
      <c r="T179">
        <f>HYPERLINK("https://klasma.github.io/Logging_2326/kartor/A 55000-2023 karta.png", "A 55000-2023")</f>
        <v/>
      </c>
      <c r="V179">
        <f>HYPERLINK("https://klasma.github.io/Logging_2326/klagomål/A 55000-2023 FSC-klagomål.docx", "A 55000-2023")</f>
        <v/>
      </c>
      <c r="W179">
        <f>HYPERLINK("https://klasma.github.io/Logging_2326/klagomålsmail/A 55000-2023 FSC-klagomål mail.docx", "A 55000-2023")</f>
        <v/>
      </c>
      <c r="X179">
        <f>HYPERLINK("https://klasma.github.io/Logging_2326/tillsyn/A 55000-2023 tillsynsbegäran.docx", "A 55000-2023")</f>
        <v/>
      </c>
      <c r="Y179">
        <f>HYPERLINK("https://klasma.github.io/Logging_2326/tillsynsmail/A 55000-2023 tillsynsbegäran mail.docx", "A 55000-2023")</f>
        <v/>
      </c>
    </row>
    <row r="180" ht="15" customHeight="1">
      <c r="A180" t="inlineStr">
        <is>
          <t>A 57421-2023</t>
        </is>
      </c>
      <c r="B180" s="1" t="n">
        <v>45245</v>
      </c>
      <c r="C180" s="1" t="n">
        <v>45706</v>
      </c>
      <c r="D180" t="inlineStr">
        <is>
          <t>JÄMTLANDS LÄN</t>
        </is>
      </c>
      <c r="E180" t="inlineStr">
        <is>
          <t>BERG</t>
        </is>
      </c>
      <c r="F180" t="inlineStr">
        <is>
          <t>SCA</t>
        </is>
      </c>
      <c r="G180" t="n">
        <v>5.4</v>
      </c>
      <c r="H180" t="n">
        <v>0</v>
      </c>
      <c r="I180" t="n">
        <v>0</v>
      </c>
      <c r="J180" t="n">
        <v>0</v>
      </c>
      <c r="K180" t="n">
        <v>1</v>
      </c>
      <c r="L180" t="n">
        <v>0</v>
      </c>
      <c r="M180" t="n">
        <v>0</v>
      </c>
      <c r="N180" t="n">
        <v>0</v>
      </c>
      <c r="O180" t="n">
        <v>1</v>
      </c>
      <c r="P180" t="n">
        <v>1</v>
      </c>
      <c r="Q180" t="n">
        <v>1</v>
      </c>
      <c r="R180" s="2" t="inlineStr">
        <is>
          <t>Gräddporing</t>
        </is>
      </c>
      <c r="S180">
        <f>HYPERLINK("https://klasma.github.io/Logging_2326/artfynd/A 57421-2023 artfynd.xlsx", "A 57421-2023")</f>
        <v/>
      </c>
      <c r="T180">
        <f>HYPERLINK("https://klasma.github.io/Logging_2326/kartor/A 57421-2023 karta.png", "A 57421-2023")</f>
        <v/>
      </c>
      <c r="V180">
        <f>HYPERLINK("https://klasma.github.io/Logging_2326/klagomål/A 57421-2023 FSC-klagomål.docx", "A 57421-2023")</f>
        <v/>
      </c>
      <c r="W180">
        <f>HYPERLINK("https://klasma.github.io/Logging_2326/klagomålsmail/A 57421-2023 FSC-klagomål mail.docx", "A 57421-2023")</f>
        <v/>
      </c>
      <c r="X180">
        <f>HYPERLINK("https://klasma.github.io/Logging_2326/tillsyn/A 57421-2023 tillsynsbegäran.docx", "A 57421-2023")</f>
        <v/>
      </c>
      <c r="Y180">
        <f>HYPERLINK("https://klasma.github.io/Logging_2326/tillsynsmail/A 57421-2023 tillsynsbegäran mail.docx", "A 57421-2023")</f>
        <v/>
      </c>
    </row>
    <row r="181" ht="15" customHeight="1">
      <c r="A181" t="inlineStr">
        <is>
          <t>A 7195-2024</t>
        </is>
      </c>
      <c r="B181" s="1" t="n">
        <v>45344</v>
      </c>
      <c r="C181" s="1" t="n">
        <v>45706</v>
      </c>
      <c r="D181" t="inlineStr">
        <is>
          <t>JÄMTLANDS LÄN</t>
        </is>
      </c>
      <c r="E181" t="inlineStr">
        <is>
          <t>BERG</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HYPERLINK("https://klasma.github.io/Logging_2326/artfynd/A 7195-2024 artfynd.xlsx", "A 7195-2024")</f>
        <v/>
      </c>
      <c r="T181">
        <f>HYPERLINK("https://klasma.github.io/Logging_2326/kartor/A 7195-2024 karta.png", "A 7195-2024")</f>
        <v/>
      </c>
      <c r="V181">
        <f>HYPERLINK("https://klasma.github.io/Logging_2326/klagomål/A 7195-2024 FSC-klagomål.docx", "A 7195-2024")</f>
        <v/>
      </c>
      <c r="W181">
        <f>HYPERLINK("https://klasma.github.io/Logging_2326/klagomålsmail/A 7195-2024 FSC-klagomål mail.docx", "A 7195-2024")</f>
        <v/>
      </c>
      <c r="X181">
        <f>HYPERLINK("https://klasma.github.io/Logging_2326/tillsyn/A 7195-2024 tillsynsbegäran.docx", "A 7195-2024")</f>
        <v/>
      </c>
      <c r="Y181">
        <f>HYPERLINK("https://klasma.github.io/Logging_2326/tillsynsmail/A 7195-2024 tillsynsbegäran mail.docx", "A 7195-2024")</f>
        <v/>
      </c>
    </row>
    <row r="182" ht="15" customHeight="1">
      <c r="A182" t="inlineStr">
        <is>
          <t>A 12733-2024</t>
        </is>
      </c>
      <c r="B182" s="1" t="n">
        <v>45384</v>
      </c>
      <c r="C182" s="1" t="n">
        <v>45706</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20808-2024</t>
        </is>
      </c>
      <c r="B183" s="1" t="n">
        <v>45439</v>
      </c>
      <c r="C183" s="1" t="n">
        <v>45706</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20808-2024 artfynd.xlsx", "A 20808-2024")</f>
        <v/>
      </c>
      <c r="T183">
        <f>HYPERLINK("https://klasma.github.io/Logging_2326/kartor/A 20808-2024 karta.png", "A 20808-2024")</f>
        <v/>
      </c>
      <c r="V183">
        <f>HYPERLINK("https://klasma.github.io/Logging_2326/klagomål/A 20808-2024 FSC-klagomål.docx", "A 20808-2024")</f>
        <v/>
      </c>
      <c r="W183">
        <f>HYPERLINK("https://klasma.github.io/Logging_2326/klagomålsmail/A 20808-2024 FSC-klagomål mail.docx", "A 20808-2024")</f>
        <v/>
      </c>
      <c r="X183">
        <f>HYPERLINK("https://klasma.github.io/Logging_2326/tillsyn/A 20808-2024 tillsynsbegäran.docx", "A 20808-2024")</f>
        <v/>
      </c>
      <c r="Y183">
        <f>HYPERLINK("https://klasma.github.io/Logging_2326/tillsynsmail/A 20808-2024 tillsynsbegäran mail.docx", "A 20808-2024")</f>
        <v/>
      </c>
      <c r="Z183">
        <f>HYPERLINK("https://klasma.github.io/Logging_2326/fåglar/A 20808-2024 prioriterade fågelarter.docx", "A 20808-2024")</f>
        <v/>
      </c>
    </row>
    <row r="184" ht="15" customHeight="1">
      <c r="A184" t="inlineStr">
        <is>
          <t>A 22540-2024</t>
        </is>
      </c>
      <c r="B184" s="1" t="n">
        <v>45447</v>
      </c>
      <c r="C184" s="1" t="n">
        <v>45706</v>
      </c>
      <c r="D184" t="inlineStr">
        <is>
          <t>JÄMTLANDS LÄN</t>
        </is>
      </c>
      <c r="E184" t="inlineStr">
        <is>
          <t>BERG</t>
        </is>
      </c>
      <c r="G184" t="n">
        <v>9.199999999999999</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22540-2024 artfynd.xlsx", "A 22540-2024")</f>
        <v/>
      </c>
      <c r="T184">
        <f>HYPERLINK("https://klasma.github.io/Logging_2326/kartor/A 22540-2024 karta.png", "A 22540-2024")</f>
        <v/>
      </c>
      <c r="V184">
        <f>HYPERLINK("https://klasma.github.io/Logging_2326/klagomål/A 22540-2024 FSC-klagomål.docx", "A 22540-2024")</f>
        <v/>
      </c>
      <c r="W184">
        <f>HYPERLINK("https://klasma.github.io/Logging_2326/klagomålsmail/A 22540-2024 FSC-klagomål mail.docx", "A 22540-2024")</f>
        <v/>
      </c>
      <c r="X184">
        <f>HYPERLINK("https://klasma.github.io/Logging_2326/tillsyn/A 22540-2024 tillsynsbegäran.docx", "A 22540-2024")</f>
        <v/>
      </c>
      <c r="Y184">
        <f>HYPERLINK("https://klasma.github.io/Logging_2326/tillsynsmail/A 22540-2024 tillsynsbegäran mail.docx", "A 22540-2024")</f>
        <v/>
      </c>
    </row>
    <row r="185" ht="15" customHeight="1">
      <c r="A185" t="inlineStr">
        <is>
          <t>A 23966-2024</t>
        </is>
      </c>
      <c r="B185" s="1" t="n">
        <v>45456</v>
      </c>
      <c r="C185" s="1" t="n">
        <v>45706</v>
      </c>
      <c r="D185" t="inlineStr">
        <is>
          <t>JÄMTLANDS LÄN</t>
        </is>
      </c>
      <c r="E185" t="inlineStr">
        <is>
          <t>BERG</t>
        </is>
      </c>
      <c r="F185" t="inlineStr">
        <is>
          <t>SCA</t>
        </is>
      </c>
      <c r="G185" t="n">
        <v>28.7</v>
      </c>
      <c r="H185" t="n">
        <v>0</v>
      </c>
      <c r="I185" t="n">
        <v>0</v>
      </c>
      <c r="J185" t="n">
        <v>0</v>
      </c>
      <c r="K185" t="n">
        <v>1</v>
      </c>
      <c r="L185" t="n">
        <v>0</v>
      </c>
      <c r="M185" t="n">
        <v>0</v>
      </c>
      <c r="N185" t="n">
        <v>0</v>
      </c>
      <c r="O185" t="n">
        <v>1</v>
      </c>
      <c r="P185" t="n">
        <v>1</v>
      </c>
      <c r="Q185" t="n">
        <v>1</v>
      </c>
      <c r="R185" s="2" t="inlineStr">
        <is>
          <t>Gräddporing</t>
        </is>
      </c>
      <c r="S185">
        <f>HYPERLINK("https://klasma.github.io/Logging_2326/artfynd/A 23966-2024 artfynd.xlsx", "A 23966-2024")</f>
        <v/>
      </c>
      <c r="T185">
        <f>HYPERLINK("https://klasma.github.io/Logging_2326/kartor/A 23966-2024 karta.png", "A 23966-2024")</f>
        <v/>
      </c>
      <c r="V185">
        <f>HYPERLINK("https://klasma.github.io/Logging_2326/klagomål/A 23966-2024 FSC-klagomål.docx", "A 23966-2024")</f>
        <v/>
      </c>
      <c r="W185">
        <f>HYPERLINK("https://klasma.github.io/Logging_2326/klagomålsmail/A 23966-2024 FSC-klagomål mail.docx", "A 23966-2024")</f>
        <v/>
      </c>
      <c r="X185">
        <f>HYPERLINK("https://klasma.github.io/Logging_2326/tillsyn/A 23966-2024 tillsynsbegäran.docx", "A 23966-2024")</f>
        <v/>
      </c>
      <c r="Y185">
        <f>HYPERLINK("https://klasma.github.io/Logging_2326/tillsynsmail/A 23966-2024 tillsynsbegäran mail.docx", "A 23966-2024")</f>
        <v/>
      </c>
    </row>
    <row r="186" ht="15" customHeight="1">
      <c r="A186" t="inlineStr">
        <is>
          <t>A 29746-2024</t>
        </is>
      </c>
      <c r="B186" s="1" t="n">
        <v>45485</v>
      </c>
      <c r="C186" s="1" t="n">
        <v>45706</v>
      </c>
      <c r="D186" t="inlineStr">
        <is>
          <t>JÄMTLANDS LÄN</t>
        </is>
      </c>
      <c r="E186" t="inlineStr">
        <is>
          <t>BERG</t>
        </is>
      </c>
      <c r="F186" t="inlineStr">
        <is>
          <t>Sveaskog</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HYPERLINK("https://klasma.github.io/Logging_2326/artfynd/A 29746-2024 artfynd.xlsx", "A 29746-2024")</f>
        <v/>
      </c>
      <c r="T186">
        <f>HYPERLINK("https://klasma.github.io/Logging_2326/kartor/A 29746-2024 karta.png", "A 29746-2024")</f>
        <v/>
      </c>
      <c r="V186">
        <f>HYPERLINK("https://klasma.github.io/Logging_2326/klagomål/A 29746-2024 FSC-klagomål.docx", "A 29746-2024")</f>
        <v/>
      </c>
      <c r="W186">
        <f>HYPERLINK("https://klasma.github.io/Logging_2326/klagomålsmail/A 29746-2024 FSC-klagomål mail.docx", "A 29746-2024")</f>
        <v/>
      </c>
      <c r="X186">
        <f>HYPERLINK("https://klasma.github.io/Logging_2326/tillsyn/A 29746-2024 tillsynsbegäran.docx", "A 29746-2024")</f>
        <v/>
      </c>
      <c r="Y186">
        <f>HYPERLINK("https://klasma.github.io/Logging_2326/tillsynsmail/A 29746-2024 tillsynsbegäran mail.docx", "A 29746-2024")</f>
        <v/>
      </c>
    </row>
    <row r="187" ht="15" customHeight="1">
      <c r="A187" t="inlineStr">
        <is>
          <t>A 32171-2024</t>
        </is>
      </c>
      <c r="B187" s="1" t="n">
        <v>45511</v>
      </c>
      <c r="C187" s="1" t="n">
        <v>45706</v>
      </c>
      <c r="D187" t="inlineStr">
        <is>
          <t>JÄMTLANDS LÄN</t>
        </is>
      </c>
      <c r="E187" t="inlineStr">
        <is>
          <t>BERG</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32171-2024 artfynd.xlsx", "A 32171-2024")</f>
        <v/>
      </c>
      <c r="T187">
        <f>HYPERLINK("https://klasma.github.io/Logging_2326/kartor/A 32171-2024 karta.png", "A 32171-2024")</f>
        <v/>
      </c>
      <c r="V187">
        <f>HYPERLINK("https://klasma.github.io/Logging_2326/klagomål/A 32171-2024 FSC-klagomål.docx", "A 32171-2024")</f>
        <v/>
      </c>
      <c r="W187">
        <f>HYPERLINK("https://klasma.github.io/Logging_2326/klagomålsmail/A 32171-2024 FSC-klagomål mail.docx", "A 32171-2024")</f>
        <v/>
      </c>
      <c r="X187">
        <f>HYPERLINK("https://klasma.github.io/Logging_2326/tillsyn/A 32171-2024 tillsynsbegäran.docx", "A 32171-2024")</f>
        <v/>
      </c>
      <c r="Y187">
        <f>HYPERLINK("https://klasma.github.io/Logging_2326/tillsynsmail/A 32171-2024 tillsynsbegäran mail.docx", "A 32171-2024")</f>
        <v/>
      </c>
      <c r="Z187">
        <f>HYPERLINK("https://klasma.github.io/Logging_2326/fåglar/A 32171-2024 prioriterade fågelarter.docx", "A 32171-2024")</f>
        <v/>
      </c>
    </row>
    <row r="188" ht="15" customHeight="1">
      <c r="A188" t="inlineStr">
        <is>
          <t>A 32246-2024</t>
        </is>
      </c>
      <c r="B188" s="1" t="n">
        <v>45512</v>
      </c>
      <c r="C188" s="1" t="n">
        <v>45706</v>
      </c>
      <c r="D188" t="inlineStr">
        <is>
          <t>JÄMTLANDS LÄN</t>
        </is>
      </c>
      <c r="E188" t="inlineStr">
        <is>
          <t>BERG</t>
        </is>
      </c>
      <c r="F188" t="inlineStr">
        <is>
          <t>SCA</t>
        </is>
      </c>
      <c r="G188" t="n">
        <v>1.7</v>
      </c>
      <c r="H188" t="n">
        <v>0</v>
      </c>
      <c r="I188" t="n">
        <v>0</v>
      </c>
      <c r="J188" t="n">
        <v>1</v>
      </c>
      <c r="K188" t="n">
        <v>0</v>
      </c>
      <c r="L188" t="n">
        <v>0</v>
      </c>
      <c r="M188" t="n">
        <v>0</v>
      </c>
      <c r="N188" t="n">
        <v>0</v>
      </c>
      <c r="O188" t="n">
        <v>1</v>
      </c>
      <c r="P188" t="n">
        <v>0</v>
      </c>
      <c r="Q188" t="n">
        <v>1</v>
      </c>
      <c r="R188" s="2" t="inlineStr">
        <is>
          <t>Brunklöver</t>
        </is>
      </c>
      <c r="S188">
        <f>HYPERLINK("https://klasma.github.io/Logging_2326/artfynd/A 32246-2024 artfynd.xlsx", "A 32246-2024")</f>
        <v/>
      </c>
      <c r="T188">
        <f>HYPERLINK("https://klasma.github.io/Logging_2326/kartor/A 32246-2024 karta.png", "A 32246-2024")</f>
        <v/>
      </c>
      <c r="V188">
        <f>HYPERLINK("https://klasma.github.io/Logging_2326/klagomål/A 32246-2024 FSC-klagomål.docx", "A 32246-2024")</f>
        <v/>
      </c>
      <c r="W188">
        <f>HYPERLINK("https://klasma.github.io/Logging_2326/klagomålsmail/A 32246-2024 FSC-klagomål mail.docx", "A 32246-2024")</f>
        <v/>
      </c>
      <c r="X188">
        <f>HYPERLINK("https://klasma.github.io/Logging_2326/tillsyn/A 32246-2024 tillsynsbegäran.docx", "A 32246-2024")</f>
        <v/>
      </c>
      <c r="Y188">
        <f>HYPERLINK("https://klasma.github.io/Logging_2326/tillsynsmail/A 32246-2024 tillsynsbegäran mail.docx", "A 32246-2024")</f>
        <v/>
      </c>
    </row>
    <row r="189" ht="15" customHeight="1">
      <c r="A189" t="inlineStr">
        <is>
          <t>A 33083-2024</t>
        </is>
      </c>
      <c r="B189" s="1" t="n">
        <v>45517</v>
      </c>
      <c r="C189" s="1" t="n">
        <v>45706</v>
      </c>
      <c r="D189" t="inlineStr">
        <is>
          <t>JÄMTLANDS LÄN</t>
        </is>
      </c>
      <c r="E189" t="inlineStr">
        <is>
          <t>BERG</t>
        </is>
      </c>
      <c r="G189" t="n">
        <v>0.2</v>
      </c>
      <c r="H189" t="n">
        <v>0</v>
      </c>
      <c r="I189" t="n">
        <v>0</v>
      </c>
      <c r="J189" t="n">
        <v>1</v>
      </c>
      <c r="K189" t="n">
        <v>0</v>
      </c>
      <c r="L189" t="n">
        <v>0</v>
      </c>
      <c r="M189" t="n">
        <v>0</v>
      </c>
      <c r="N189" t="n">
        <v>0</v>
      </c>
      <c r="O189" t="n">
        <v>1</v>
      </c>
      <c r="P189" t="n">
        <v>0</v>
      </c>
      <c r="Q189" t="n">
        <v>1</v>
      </c>
      <c r="R189" s="2" t="inlineStr">
        <is>
          <t>Garnlav</t>
        </is>
      </c>
      <c r="S189">
        <f>HYPERLINK("https://klasma.github.io/Logging_2326/artfynd/A 33083-2024 artfynd.xlsx", "A 33083-2024")</f>
        <v/>
      </c>
      <c r="T189">
        <f>HYPERLINK("https://klasma.github.io/Logging_2326/kartor/A 33083-2024 karta.png", "A 33083-2024")</f>
        <v/>
      </c>
      <c r="V189">
        <f>HYPERLINK("https://klasma.github.io/Logging_2326/klagomål/A 33083-2024 FSC-klagomål.docx", "A 33083-2024")</f>
        <v/>
      </c>
      <c r="W189">
        <f>HYPERLINK("https://klasma.github.io/Logging_2326/klagomålsmail/A 33083-2024 FSC-klagomål mail.docx", "A 33083-2024")</f>
        <v/>
      </c>
      <c r="X189">
        <f>HYPERLINK("https://klasma.github.io/Logging_2326/tillsyn/A 33083-2024 tillsynsbegäran.docx", "A 33083-2024")</f>
        <v/>
      </c>
      <c r="Y189">
        <f>HYPERLINK("https://klasma.github.io/Logging_2326/tillsynsmail/A 33083-2024 tillsynsbegäran mail.docx", "A 33083-2024")</f>
        <v/>
      </c>
    </row>
    <row r="190" ht="15" customHeight="1">
      <c r="A190" t="inlineStr">
        <is>
          <t>A 33126-2024</t>
        </is>
      </c>
      <c r="B190" s="1" t="n">
        <v>45518</v>
      </c>
      <c r="C190" s="1" t="n">
        <v>45706</v>
      </c>
      <c r="D190" t="inlineStr">
        <is>
          <t>JÄMTLANDS LÄN</t>
        </is>
      </c>
      <c r="E190" t="inlineStr">
        <is>
          <t>BERG</t>
        </is>
      </c>
      <c r="F190" t="inlineStr">
        <is>
          <t>SCA</t>
        </is>
      </c>
      <c r="G190" t="n">
        <v>4.2</v>
      </c>
      <c r="H190" t="n">
        <v>0</v>
      </c>
      <c r="I190" t="n">
        <v>0</v>
      </c>
      <c r="J190" t="n">
        <v>0</v>
      </c>
      <c r="K190" t="n">
        <v>1</v>
      </c>
      <c r="L190" t="n">
        <v>0</v>
      </c>
      <c r="M190" t="n">
        <v>0</v>
      </c>
      <c r="N190" t="n">
        <v>0</v>
      </c>
      <c r="O190" t="n">
        <v>1</v>
      </c>
      <c r="P190" t="n">
        <v>1</v>
      </c>
      <c r="Q190" t="n">
        <v>1</v>
      </c>
      <c r="R190" s="2" t="inlineStr">
        <is>
          <t>Gräddporing</t>
        </is>
      </c>
      <c r="S190">
        <f>HYPERLINK("https://klasma.github.io/Logging_2326/artfynd/A 33126-2024 artfynd.xlsx", "A 33126-2024")</f>
        <v/>
      </c>
      <c r="T190">
        <f>HYPERLINK("https://klasma.github.io/Logging_2326/kartor/A 33126-2024 karta.png", "A 33126-2024")</f>
        <v/>
      </c>
      <c r="V190">
        <f>HYPERLINK("https://klasma.github.io/Logging_2326/klagomål/A 33126-2024 FSC-klagomål.docx", "A 33126-2024")</f>
        <v/>
      </c>
      <c r="W190">
        <f>HYPERLINK("https://klasma.github.io/Logging_2326/klagomålsmail/A 33126-2024 FSC-klagomål mail.docx", "A 33126-2024")</f>
        <v/>
      </c>
      <c r="X190">
        <f>HYPERLINK("https://klasma.github.io/Logging_2326/tillsyn/A 33126-2024 tillsynsbegäran.docx", "A 33126-2024")</f>
        <v/>
      </c>
      <c r="Y190">
        <f>HYPERLINK("https://klasma.github.io/Logging_2326/tillsynsmail/A 33126-2024 tillsynsbegäran mail.docx", "A 33126-2024")</f>
        <v/>
      </c>
    </row>
    <row r="191" ht="15" customHeight="1">
      <c r="A191" t="inlineStr">
        <is>
          <t>A 33317-2024</t>
        </is>
      </c>
      <c r="B191" s="1" t="n">
        <v>45519</v>
      </c>
      <c r="C191" s="1" t="n">
        <v>45706</v>
      </c>
      <c r="D191" t="inlineStr">
        <is>
          <t>JÄMTLANDS LÄN</t>
        </is>
      </c>
      <c r="E191" t="inlineStr">
        <is>
          <t>BERG</t>
        </is>
      </c>
      <c r="F191" t="inlineStr">
        <is>
          <t>SCA</t>
        </is>
      </c>
      <c r="G191" t="n">
        <v>12.8</v>
      </c>
      <c r="H191" t="n">
        <v>0</v>
      </c>
      <c r="I191" t="n">
        <v>0</v>
      </c>
      <c r="J191" t="n">
        <v>1</v>
      </c>
      <c r="K191" t="n">
        <v>0</v>
      </c>
      <c r="L191" t="n">
        <v>0</v>
      </c>
      <c r="M191" t="n">
        <v>0</v>
      </c>
      <c r="N191" t="n">
        <v>0</v>
      </c>
      <c r="O191" t="n">
        <v>1</v>
      </c>
      <c r="P191" t="n">
        <v>0</v>
      </c>
      <c r="Q191" t="n">
        <v>1</v>
      </c>
      <c r="R191" s="2" t="inlineStr">
        <is>
          <t>Gammelgransskål</t>
        </is>
      </c>
      <c r="S191">
        <f>HYPERLINK("https://klasma.github.io/Logging_2326/artfynd/A 33317-2024 artfynd.xlsx", "A 33317-2024")</f>
        <v/>
      </c>
      <c r="T191">
        <f>HYPERLINK("https://klasma.github.io/Logging_2326/kartor/A 33317-2024 karta.png", "A 33317-2024")</f>
        <v/>
      </c>
      <c r="V191">
        <f>HYPERLINK("https://klasma.github.io/Logging_2326/klagomål/A 33317-2024 FSC-klagomål.docx", "A 33317-2024")</f>
        <v/>
      </c>
      <c r="W191">
        <f>HYPERLINK("https://klasma.github.io/Logging_2326/klagomålsmail/A 33317-2024 FSC-klagomål mail.docx", "A 33317-2024")</f>
        <v/>
      </c>
      <c r="X191">
        <f>HYPERLINK("https://klasma.github.io/Logging_2326/tillsyn/A 33317-2024 tillsynsbegäran.docx", "A 33317-2024")</f>
        <v/>
      </c>
      <c r="Y191">
        <f>HYPERLINK("https://klasma.github.io/Logging_2326/tillsynsmail/A 33317-2024 tillsynsbegäran mail.docx", "A 33317-2024")</f>
        <v/>
      </c>
    </row>
    <row r="192" ht="15" customHeight="1">
      <c r="A192" t="inlineStr">
        <is>
          <t>A 36356-2024</t>
        </is>
      </c>
      <c r="B192" s="1" t="n">
        <v>45534</v>
      </c>
      <c r="C192" s="1" t="n">
        <v>45706</v>
      </c>
      <c r="D192" t="inlineStr">
        <is>
          <t>JÄMTLANDS LÄN</t>
        </is>
      </c>
      <c r="E192" t="inlineStr">
        <is>
          <t>BERG</t>
        </is>
      </c>
      <c r="F192" t="inlineStr">
        <is>
          <t>SCA</t>
        </is>
      </c>
      <c r="G192" t="n">
        <v>12.2</v>
      </c>
      <c r="H192" t="n">
        <v>0</v>
      </c>
      <c r="I192" t="n">
        <v>0</v>
      </c>
      <c r="J192" t="n">
        <v>0</v>
      </c>
      <c r="K192" t="n">
        <v>1</v>
      </c>
      <c r="L192" t="n">
        <v>0</v>
      </c>
      <c r="M192" t="n">
        <v>0</v>
      </c>
      <c r="N192" t="n">
        <v>0</v>
      </c>
      <c r="O192" t="n">
        <v>1</v>
      </c>
      <c r="P192" t="n">
        <v>1</v>
      </c>
      <c r="Q192" t="n">
        <v>1</v>
      </c>
      <c r="R192" s="2" t="inlineStr">
        <is>
          <t>Gräddporing</t>
        </is>
      </c>
      <c r="S192">
        <f>HYPERLINK("https://klasma.github.io/Logging_2326/artfynd/A 36356-2024 artfynd.xlsx", "A 36356-2024")</f>
        <v/>
      </c>
      <c r="T192">
        <f>HYPERLINK("https://klasma.github.io/Logging_2326/kartor/A 36356-2024 karta.png", "A 36356-2024")</f>
        <v/>
      </c>
      <c r="V192">
        <f>HYPERLINK("https://klasma.github.io/Logging_2326/klagomål/A 36356-2024 FSC-klagomål.docx", "A 36356-2024")</f>
        <v/>
      </c>
      <c r="W192">
        <f>HYPERLINK("https://klasma.github.io/Logging_2326/klagomålsmail/A 36356-2024 FSC-klagomål mail.docx", "A 36356-2024")</f>
        <v/>
      </c>
      <c r="X192">
        <f>HYPERLINK("https://klasma.github.io/Logging_2326/tillsyn/A 36356-2024 tillsynsbegäran.docx", "A 36356-2024")</f>
        <v/>
      </c>
      <c r="Y192">
        <f>HYPERLINK("https://klasma.github.io/Logging_2326/tillsynsmail/A 36356-2024 tillsynsbegäran mail.docx", "A 36356-2024")</f>
        <v/>
      </c>
    </row>
    <row r="193" ht="15" customHeight="1">
      <c r="A193" t="inlineStr">
        <is>
          <t>A 40215-2024</t>
        </is>
      </c>
      <c r="B193" s="1" t="n">
        <v>45554</v>
      </c>
      <c r="C193" s="1" t="n">
        <v>45706</v>
      </c>
      <c r="D193" t="inlineStr">
        <is>
          <t>JÄMTLANDS LÄN</t>
        </is>
      </c>
      <c r="E193" t="inlineStr">
        <is>
          <t>BERG</t>
        </is>
      </c>
      <c r="F193" t="inlineStr">
        <is>
          <t>SCA</t>
        </is>
      </c>
      <c r="G193" t="n">
        <v>18.6</v>
      </c>
      <c r="H193" t="n">
        <v>0</v>
      </c>
      <c r="I193" t="n">
        <v>1</v>
      </c>
      <c r="J193" t="n">
        <v>0</v>
      </c>
      <c r="K193" t="n">
        <v>0</v>
      </c>
      <c r="L193" t="n">
        <v>0</v>
      </c>
      <c r="M193" t="n">
        <v>0</v>
      </c>
      <c r="N193" t="n">
        <v>0</v>
      </c>
      <c r="O193" t="n">
        <v>0</v>
      </c>
      <c r="P193" t="n">
        <v>0</v>
      </c>
      <c r="Q193" t="n">
        <v>1</v>
      </c>
      <c r="R193" s="2" t="inlineStr">
        <is>
          <t>Dropptaggsvamp</t>
        </is>
      </c>
      <c r="S193">
        <f>HYPERLINK("https://klasma.github.io/Logging_2326/artfynd/A 40215-2024 artfynd.xlsx", "A 40215-2024")</f>
        <v/>
      </c>
      <c r="T193">
        <f>HYPERLINK("https://klasma.github.io/Logging_2326/kartor/A 40215-2024 karta.png", "A 40215-2024")</f>
        <v/>
      </c>
      <c r="V193">
        <f>HYPERLINK("https://klasma.github.io/Logging_2326/klagomål/A 40215-2024 FSC-klagomål.docx", "A 40215-2024")</f>
        <v/>
      </c>
      <c r="W193">
        <f>HYPERLINK("https://klasma.github.io/Logging_2326/klagomålsmail/A 40215-2024 FSC-klagomål mail.docx", "A 40215-2024")</f>
        <v/>
      </c>
      <c r="X193">
        <f>HYPERLINK("https://klasma.github.io/Logging_2326/tillsyn/A 40215-2024 tillsynsbegäran.docx", "A 40215-2024")</f>
        <v/>
      </c>
      <c r="Y193">
        <f>HYPERLINK("https://klasma.github.io/Logging_2326/tillsynsmail/A 40215-2024 tillsynsbegäran mail.docx", "A 40215-2024")</f>
        <v/>
      </c>
    </row>
    <row r="194" ht="15" customHeight="1">
      <c r="A194" t="inlineStr">
        <is>
          <t>A 40210-2024</t>
        </is>
      </c>
      <c r="B194" s="1" t="n">
        <v>45554</v>
      </c>
      <c r="C194" s="1" t="n">
        <v>45706</v>
      </c>
      <c r="D194" t="inlineStr">
        <is>
          <t>JÄMTLANDS LÄN</t>
        </is>
      </c>
      <c r="E194" t="inlineStr">
        <is>
          <t>BERG</t>
        </is>
      </c>
      <c r="F194" t="inlineStr">
        <is>
          <t>SCA</t>
        </is>
      </c>
      <c r="G194" t="n">
        <v>13.1</v>
      </c>
      <c r="H194" t="n">
        <v>0</v>
      </c>
      <c r="I194" t="n">
        <v>0</v>
      </c>
      <c r="J194" t="n">
        <v>1</v>
      </c>
      <c r="K194" t="n">
        <v>0</v>
      </c>
      <c r="L194" t="n">
        <v>0</v>
      </c>
      <c r="M194" t="n">
        <v>0</v>
      </c>
      <c r="N194" t="n">
        <v>0</v>
      </c>
      <c r="O194" t="n">
        <v>1</v>
      </c>
      <c r="P194" t="n">
        <v>0</v>
      </c>
      <c r="Q194" t="n">
        <v>1</v>
      </c>
      <c r="R194" s="2" t="inlineStr">
        <is>
          <t>Blå taggsvamp</t>
        </is>
      </c>
      <c r="S194">
        <f>HYPERLINK("https://klasma.github.io/Logging_2326/artfynd/A 40210-2024 artfynd.xlsx", "A 40210-2024")</f>
        <v/>
      </c>
      <c r="T194">
        <f>HYPERLINK("https://klasma.github.io/Logging_2326/kartor/A 40210-2024 karta.png", "A 40210-2024")</f>
        <v/>
      </c>
      <c r="V194">
        <f>HYPERLINK("https://klasma.github.io/Logging_2326/klagomål/A 40210-2024 FSC-klagomål.docx", "A 40210-2024")</f>
        <v/>
      </c>
      <c r="W194">
        <f>HYPERLINK("https://klasma.github.io/Logging_2326/klagomålsmail/A 40210-2024 FSC-klagomål mail.docx", "A 40210-2024")</f>
        <v/>
      </c>
      <c r="X194">
        <f>HYPERLINK("https://klasma.github.io/Logging_2326/tillsyn/A 40210-2024 tillsynsbegäran.docx", "A 40210-2024")</f>
        <v/>
      </c>
      <c r="Y194">
        <f>HYPERLINK("https://klasma.github.io/Logging_2326/tillsynsmail/A 40210-2024 tillsynsbegäran mail.docx", "A 40210-2024")</f>
        <v/>
      </c>
    </row>
    <row r="195" ht="15" customHeight="1">
      <c r="A195" t="inlineStr">
        <is>
          <t>A 40440-2024</t>
        </is>
      </c>
      <c r="B195" s="1" t="n">
        <v>45555</v>
      </c>
      <c r="C195" s="1" t="n">
        <v>45706</v>
      </c>
      <c r="D195" t="inlineStr">
        <is>
          <t>JÄMTLANDS LÄN</t>
        </is>
      </c>
      <c r="E195" t="inlineStr">
        <is>
          <t>BERG</t>
        </is>
      </c>
      <c r="G195" t="n">
        <v>3.6</v>
      </c>
      <c r="H195" t="n">
        <v>1</v>
      </c>
      <c r="I195" t="n">
        <v>0</v>
      </c>
      <c r="J195" t="n">
        <v>0</v>
      </c>
      <c r="K195" t="n">
        <v>0</v>
      </c>
      <c r="L195" t="n">
        <v>0</v>
      </c>
      <c r="M195" t="n">
        <v>0</v>
      </c>
      <c r="N195" t="n">
        <v>0</v>
      </c>
      <c r="O195" t="n">
        <v>0</v>
      </c>
      <c r="P195" t="n">
        <v>0</v>
      </c>
      <c r="Q195" t="n">
        <v>1</v>
      </c>
      <c r="R195" s="2" t="inlineStr">
        <is>
          <t>Fläcknycklar</t>
        </is>
      </c>
      <c r="S195">
        <f>HYPERLINK("https://klasma.github.io/Logging_2326/artfynd/A 40440-2024 artfynd.xlsx", "A 40440-2024")</f>
        <v/>
      </c>
      <c r="T195">
        <f>HYPERLINK("https://klasma.github.io/Logging_2326/kartor/A 40440-2024 karta.png", "A 40440-2024")</f>
        <v/>
      </c>
      <c r="V195">
        <f>HYPERLINK("https://klasma.github.io/Logging_2326/klagomål/A 40440-2024 FSC-klagomål.docx", "A 40440-2024")</f>
        <v/>
      </c>
      <c r="W195">
        <f>HYPERLINK("https://klasma.github.io/Logging_2326/klagomålsmail/A 40440-2024 FSC-klagomål mail.docx", "A 40440-2024")</f>
        <v/>
      </c>
      <c r="X195">
        <f>HYPERLINK("https://klasma.github.io/Logging_2326/tillsyn/A 40440-2024 tillsynsbegäran.docx", "A 40440-2024")</f>
        <v/>
      </c>
      <c r="Y195">
        <f>HYPERLINK("https://klasma.github.io/Logging_2326/tillsynsmail/A 40440-2024 tillsynsbegäran mail.docx", "A 40440-2024")</f>
        <v/>
      </c>
    </row>
    <row r="196" ht="15" customHeight="1">
      <c r="A196" t="inlineStr">
        <is>
          <t>A 41635-2024</t>
        </is>
      </c>
      <c r="B196" s="1" t="n">
        <v>45560</v>
      </c>
      <c r="C196" s="1" t="n">
        <v>45706</v>
      </c>
      <c r="D196" t="inlineStr">
        <is>
          <t>JÄMTLANDS LÄN</t>
        </is>
      </c>
      <c r="E196" t="inlineStr">
        <is>
          <t>BERG</t>
        </is>
      </c>
      <c r="F196" t="inlineStr">
        <is>
          <t>SCA</t>
        </is>
      </c>
      <c r="G196" t="n">
        <v>4.2</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41635-2024 artfynd.xlsx", "A 41635-2024")</f>
        <v/>
      </c>
      <c r="T196">
        <f>HYPERLINK("https://klasma.github.io/Logging_2326/kartor/A 41635-2024 karta.png", "A 41635-2024")</f>
        <v/>
      </c>
      <c r="V196">
        <f>HYPERLINK("https://klasma.github.io/Logging_2326/klagomål/A 41635-2024 FSC-klagomål.docx", "A 41635-2024")</f>
        <v/>
      </c>
      <c r="W196">
        <f>HYPERLINK("https://klasma.github.io/Logging_2326/klagomålsmail/A 41635-2024 FSC-klagomål mail.docx", "A 41635-2024")</f>
        <v/>
      </c>
      <c r="X196">
        <f>HYPERLINK("https://klasma.github.io/Logging_2326/tillsyn/A 41635-2024 tillsynsbegäran.docx", "A 41635-2024")</f>
        <v/>
      </c>
      <c r="Y196">
        <f>HYPERLINK("https://klasma.github.io/Logging_2326/tillsynsmail/A 41635-2024 tillsynsbegäran mail.docx", "A 41635-2024")</f>
        <v/>
      </c>
    </row>
    <row r="197" ht="15" customHeight="1">
      <c r="A197" t="inlineStr">
        <is>
          <t>A 44259-2024</t>
        </is>
      </c>
      <c r="B197" s="1" t="n">
        <v>45573</v>
      </c>
      <c r="C197" s="1" t="n">
        <v>45706</v>
      </c>
      <c r="D197" t="inlineStr">
        <is>
          <t>JÄMTLANDS LÄN</t>
        </is>
      </c>
      <c r="E197" t="inlineStr">
        <is>
          <t>BERG</t>
        </is>
      </c>
      <c r="G197" t="n">
        <v>1.4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44259-2024 artfynd.xlsx", "A 44259-2024")</f>
        <v/>
      </c>
      <c r="T197">
        <f>HYPERLINK("https://klasma.github.io/Logging_2326/kartor/A 44259-2024 karta.png", "A 44259-2024")</f>
        <v/>
      </c>
      <c r="V197">
        <f>HYPERLINK("https://klasma.github.io/Logging_2326/klagomål/A 44259-2024 FSC-klagomål.docx", "A 44259-2024")</f>
        <v/>
      </c>
      <c r="W197">
        <f>HYPERLINK("https://klasma.github.io/Logging_2326/klagomålsmail/A 44259-2024 FSC-klagomål mail.docx", "A 44259-2024")</f>
        <v/>
      </c>
      <c r="X197">
        <f>HYPERLINK("https://klasma.github.io/Logging_2326/tillsyn/A 44259-2024 tillsynsbegäran.docx", "A 44259-2024")</f>
        <v/>
      </c>
      <c r="Y197">
        <f>HYPERLINK("https://klasma.github.io/Logging_2326/tillsynsmail/A 44259-2024 tillsynsbegäran mail.docx", "A 44259-2024")</f>
        <v/>
      </c>
      <c r="Z197">
        <f>HYPERLINK("https://klasma.github.io/Logging_2326/fåglar/A 44259-2024 prioriterade fågelarter.docx", "A 44259-2024")</f>
        <v/>
      </c>
    </row>
    <row r="198" ht="15" customHeight="1">
      <c r="A198" t="inlineStr">
        <is>
          <t>A 49049-2024</t>
        </is>
      </c>
      <c r="B198" s="1" t="n">
        <v>45594</v>
      </c>
      <c r="C198" s="1" t="n">
        <v>45706</v>
      </c>
      <c r="D198" t="inlineStr">
        <is>
          <t>JÄMTLANDS LÄN</t>
        </is>
      </c>
      <c r="E198" t="inlineStr">
        <is>
          <t>BERG</t>
        </is>
      </c>
      <c r="G198" t="n">
        <v>0.8</v>
      </c>
      <c r="H198" t="n">
        <v>1</v>
      </c>
      <c r="I198" t="n">
        <v>1</v>
      </c>
      <c r="J198" t="n">
        <v>0</v>
      </c>
      <c r="K198" t="n">
        <v>0</v>
      </c>
      <c r="L198" t="n">
        <v>0</v>
      </c>
      <c r="M198" t="n">
        <v>0</v>
      </c>
      <c r="N198" t="n">
        <v>0</v>
      </c>
      <c r="O198" t="n">
        <v>0</v>
      </c>
      <c r="P198" t="n">
        <v>0</v>
      </c>
      <c r="Q198" t="n">
        <v>1</v>
      </c>
      <c r="R198" s="2" t="inlineStr">
        <is>
          <t>Korallrot</t>
        </is>
      </c>
      <c r="S198">
        <f>HYPERLINK("https://klasma.github.io/Logging_2326/artfynd/A 49049-2024 artfynd.xlsx", "A 49049-2024")</f>
        <v/>
      </c>
      <c r="T198">
        <f>HYPERLINK("https://klasma.github.io/Logging_2326/kartor/A 49049-2024 karta.png", "A 49049-2024")</f>
        <v/>
      </c>
      <c r="V198">
        <f>HYPERLINK("https://klasma.github.io/Logging_2326/klagomål/A 49049-2024 FSC-klagomål.docx", "A 49049-2024")</f>
        <v/>
      </c>
      <c r="W198">
        <f>HYPERLINK("https://klasma.github.io/Logging_2326/klagomålsmail/A 49049-2024 FSC-klagomål mail.docx", "A 49049-2024")</f>
        <v/>
      </c>
      <c r="X198">
        <f>HYPERLINK("https://klasma.github.io/Logging_2326/tillsyn/A 49049-2024 tillsynsbegäran.docx", "A 49049-2024")</f>
        <v/>
      </c>
      <c r="Y198">
        <f>HYPERLINK("https://klasma.github.io/Logging_2326/tillsynsmail/A 49049-2024 tillsynsbegäran mail.docx", "A 49049-2024")</f>
        <v/>
      </c>
    </row>
    <row r="199" ht="15" customHeight="1">
      <c r="A199" t="inlineStr">
        <is>
          <t>A 49276-2024</t>
        </is>
      </c>
      <c r="B199" s="1" t="n">
        <v>45595</v>
      </c>
      <c r="C199" s="1" t="n">
        <v>45706</v>
      </c>
      <c r="D199" t="inlineStr">
        <is>
          <t>JÄMTLANDS LÄN</t>
        </is>
      </c>
      <c r="E199" t="inlineStr">
        <is>
          <t>BERG</t>
        </is>
      </c>
      <c r="G199" t="n">
        <v>0.8</v>
      </c>
      <c r="H199" t="n">
        <v>1</v>
      </c>
      <c r="I199" t="n">
        <v>1</v>
      </c>
      <c r="J199" t="n">
        <v>0</v>
      </c>
      <c r="K199" t="n">
        <v>0</v>
      </c>
      <c r="L199" t="n">
        <v>0</v>
      </c>
      <c r="M199" t="n">
        <v>0</v>
      </c>
      <c r="N199" t="n">
        <v>0</v>
      </c>
      <c r="O199" t="n">
        <v>0</v>
      </c>
      <c r="P199" t="n">
        <v>0</v>
      </c>
      <c r="Q199" t="n">
        <v>1</v>
      </c>
      <c r="R199" s="2" t="inlineStr">
        <is>
          <t>Korallrot</t>
        </is>
      </c>
      <c r="S199">
        <f>HYPERLINK("https://klasma.github.io/Logging_2326/artfynd/A 49276-2024 artfynd.xlsx", "A 49276-2024")</f>
        <v/>
      </c>
      <c r="T199">
        <f>HYPERLINK("https://klasma.github.io/Logging_2326/kartor/A 49276-2024 karta.png", "A 49276-2024")</f>
        <v/>
      </c>
      <c r="V199">
        <f>HYPERLINK("https://klasma.github.io/Logging_2326/klagomål/A 49276-2024 FSC-klagomål.docx", "A 49276-2024")</f>
        <v/>
      </c>
      <c r="W199">
        <f>HYPERLINK("https://klasma.github.io/Logging_2326/klagomålsmail/A 49276-2024 FSC-klagomål mail.docx", "A 49276-2024")</f>
        <v/>
      </c>
      <c r="X199">
        <f>HYPERLINK("https://klasma.github.io/Logging_2326/tillsyn/A 49276-2024 tillsynsbegäran.docx", "A 49276-2024")</f>
        <v/>
      </c>
      <c r="Y199">
        <f>HYPERLINK("https://klasma.github.io/Logging_2326/tillsynsmail/A 49276-2024 tillsynsbegäran mail.docx", "A 49276-2024")</f>
        <v/>
      </c>
    </row>
    <row r="200" ht="15" customHeight="1">
      <c r="A200" t="inlineStr">
        <is>
          <t>A 50556-2024</t>
        </is>
      </c>
      <c r="B200" s="1" t="n">
        <v>45601</v>
      </c>
      <c r="C200" s="1" t="n">
        <v>45706</v>
      </c>
      <c r="D200" t="inlineStr">
        <is>
          <t>JÄMTLANDS LÄN</t>
        </is>
      </c>
      <c r="E200" t="inlineStr">
        <is>
          <t>BERG</t>
        </is>
      </c>
      <c r="G200" t="n">
        <v>5.7</v>
      </c>
      <c r="H200" t="n">
        <v>0</v>
      </c>
      <c r="I200" t="n">
        <v>0</v>
      </c>
      <c r="J200" t="n">
        <v>1</v>
      </c>
      <c r="K200" t="n">
        <v>0</v>
      </c>
      <c r="L200" t="n">
        <v>0</v>
      </c>
      <c r="M200" t="n">
        <v>0</v>
      </c>
      <c r="N200" t="n">
        <v>0</v>
      </c>
      <c r="O200" t="n">
        <v>1</v>
      </c>
      <c r="P200" t="n">
        <v>0</v>
      </c>
      <c r="Q200" t="n">
        <v>1</v>
      </c>
      <c r="R200" s="2" t="inlineStr">
        <is>
          <t>Kalkbräken</t>
        </is>
      </c>
      <c r="S200">
        <f>HYPERLINK("https://klasma.github.io/Logging_2326/artfynd/A 50556-2024 artfynd.xlsx", "A 50556-2024")</f>
        <v/>
      </c>
      <c r="T200">
        <f>HYPERLINK("https://klasma.github.io/Logging_2326/kartor/A 50556-2024 karta.png", "A 50556-2024")</f>
        <v/>
      </c>
      <c r="V200">
        <f>HYPERLINK("https://klasma.github.io/Logging_2326/klagomål/A 50556-2024 FSC-klagomål.docx", "A 50556-2024")</f>
        <v/>
      </c>
      <c r="W200">
        <f>HYPERLINK("https://klasma.github.io/Logging_2326/klagomålsmail/A 50556-2024 FSC-klagomål mail.docx", "A 50556-2024")</f>
        <v/>
      </c>
      <c r="X200">
        <f>HYPERLINK("https://klasma.github.io/Logging_2326/tillsyn/A 50556-2024 tillsynsbegäran.docx", "A 50556-2024")</f>
        <v/>
      </c>
      <c r="Y200">
        <f>HYPERLINK("https://klasma.github.io/Logging_2326/tillsynsmail/A 50556-2024 tillsynsbegäran mail.docx", "A 50556-2024")</f>
        <v/>
      </c>
    </row>
    <row r="201" ht="15" customHeight="1">
      <c r="A201" t="inlineStr">
        <is>
          <t>A 52193-2024</t>
        </is>
      </c>
      <c r="B201" s="1" t="n">
        <v>45608</v>
      </c>
      <c r="C201" s="1" t="n">
        <v>45706</v>
      </c>
      <c r="D201" t="inlineStr">
        <is>
          <t>JÄMTLANDS LÄN</t>
        </is>
      </c>
      <c r="E201" t="inlineStr">
        <is>
          <t>BERG</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52193-2024 artfynd.xlsx", "A 52193-2024")</f>
        <v/>
      </c>
      <c r="T201">
        <f>HYPERLINK("https://klasma.github.io/Logging_2326/kartor/A 52193-2024 karta.png", "A 52193-2024")</f>
        <v/>
      </c>
      <c r="V201">
        <f>HYPERLINK("https://klasma.github.io/Logging_2326/klagomål/A 52193-2024 FSC-klagomål.docx", "A 52193-2024")</f>
        <v/>
      </c>
      <c r="W201">
        <f>HYPERLINK("https://klasma.github.io/Logging_2326/klagomålsmail/A 52193-2024 FSC-klagomål mail.docx", "A 52193-2024")</f>
        <v/>
      </c>
      <c r="X201">
        <f>HYPERLINK("https://klasma.github.io/Logging_2326/tillsyn/A 52193-2024 tillsynsbegäran.docx", "A 52193-2024")</f>
        <v/>
      </c>
      <c r="Y201">
        <f>HYPERLINK("https://klasma.github.io/Logging_2326/tillsynsmail/A 52193-2024 tillsynsbegäran mail.docx", "A 52193-2024")</f>
        <v/>
      </c>
      <c r="Z201">
        <f>HYPERLINK("https://klasma.github.io/Logging_2326/fåglar/A 52193-2024 prioriterade fågelarter.docx", "A 52193-2024")</f>
        <v/>
      </c>
    </row>
    <row r="202" ht="15" customHeight="1">
      <c r="A202" t="inlineStr">
        <is>
          <t>A 53086-2024</t>
        </is>
      </c>
      <c r="B202" s="1" t="n">
        <v>45611</v>
      </c>
      <c r="C202" s="1" t="n">
        <v>45706</v>
      </c>
      <c r="D202" t="inlineStr">
        <is>
          <t>JÄMTLANDS LÄN</t>
        </is>
      </c>
      <c r="E202" t="inlineStr">
        <is>
          <t>BERG</t>
        </is>
      </c>
      <c r="F202" t="inlineStr">
        <is>
          <t>SCA</t>
        </is>
      </c>
      <c r="G202" t="n">
        <v>7.7</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53086-2024 artfynd.xlsx", "A 53086-2024")</f>
        <v/>
      </c>
      <c r="T202">
        <f>HYPERLINK("https://klasma.github.io/Logging_2326/kartor/A 53086-2024 karta.png", "A 53086-2024")</f>
        <v/>
      </c>
      <c r="V202">
        <f>HYPERLINK("https://klasma.github.io/Logging_2326/klagomål/A 53086-2024 FSC-klagomål.docx", "A 53086-2024")</f>
        <v/>
      </c>
      <c r="W202">
        <f>HYPERLINK("https://klasma.github.io/Logging_2326/klagomålsmail/A 53086-2024 FSC-klagomål mail.docx", "A 53086-2024")</f>
        <v/>
      </c>
      <c r="X202">
        <f>HYPERLINK("https://klasma.github.io/Logging_2326/tillsyn/A 53086-2024 tillsynsbegäran.docx", "A 53086-2024")</f>
        <v/>
      </c>
      <c r="Y202">
        <f>HYPERLINK("https://klasma.github.io/Logging_2326/tillsynsmail/A 53086-2024 tillsynsbegäran mail.docx", "A 53086-2024")</f>
        <v/>
      </c>
    </row>
    <row r="203" ht="15" customHeight="1">
      <c r="A203" t="inlineStr">
        <is>
          <t>A 54595-2024</t>
        </is>
      </c>
      <c r="B203" s="1" t="n">
        <v>45617</v>
      </c>
      <c r="C203" s="1" t="n">
        <v>45706</v>
      </c>
      <c r="D203" t="inlineStr">
        <is>
          <t>JÄMTLANDS LÄN</t>
        </is>
      </c>
      <c r="E203" t="inlineStr">
        <is>
          <t>BERG</t>
        </is>
      </c>
      <c r="G203" t="n">
        <v>4.4</v>
      </c>
      <c r="H203" t="n">
        <v>1</v>
      </c>
      <c r="I203" t="n">
        <v>0</v>
      </c>
      <c r="J203" t="n">
        <v>0</v>
      </c>
      <c r="K203" t="n">
        <v>0</v>
      </c>
      <c r="L203" t="n">
        <v>0</v>
      </c>
      <c r="M203" t="n">
        <v>0</v>
      </c>
      <c r="N203" t="n">
        <v>0</v>
      </c>
      <c r="O203" t="n">
        <v>0</v>
      </c>
      <c r="P203" t="n">
        <v>0</v>
      </c>
      <c r="Q203" t="n">
        <v>1</v>
      </c>
      <c r="R203" s="2" t="inlineStr">
        <is>
          <t>Tjäder</t>
        </is>
      </c>
      <c r="S203">
        <f>HYPERLINK("https://klasma.github.io/Logging_2326/artfynd/A 54595-2024 artfynd.xlsx", "A 54595-2024")</f>
        <v/>
      </c>
      <c r="T203">
        <f>HYPERLINK("https://klasma.github.io/Logging_2326/kartor/A 54595-2024 karta.png", "A 54595-2024")</f>
        <v/>
      </c>
      <c r="V203">
        <f>HYPERLINK("https://klasma.github.io/Logging_2326/klagomål/A 54595-2024 FSC-klagomål.docx", "A 54595-2024")</f>
        <v/>
      </c>
      <c r="W203">
        <f>HYPERLINK("https://klasma.github.io/Logging_2326/klagomålsmail/A 54595-2024 FSC-klagomål mail.docx", "A 54595-2024")</f>
        <v/>
      </c>
      <c r="X203">
        <f>HYPERLINK("https://klasma.github.io/Logging_2326/tillsyn/A 54595-2024 tillsynsbegäran.docx", "A 54595-2024")</f>
        <v/>
      </c>
      <c r="Y203">
        <f>HYPERLINK("https://klasma.github.io/Logging_2326/tillsynsmail/A 54595-2024 tillsynsbegäran mail.docx", "A 54595-2024")</f>
        <v/>
      </c>
      <c r="Z203">
        <f>HYPERLINK("https://klasma.github.io/Logging_2326/fåglar/A 54595-2024 prioriterade fågelarter.docx", "A 54595-2024")</f>
        <v/>
      </c>
    </row>
    <row r="204" ht="15" customHeight="1">
      <c r="A204" t="inlineStr">
        <is>
          <t>A 5504-2025</t>
        </is>
      </c>
      <c r="B204" s="1" t="n">
        <v>45693</v>
      </c>
      <c r="C204" s="1" t="n">
        <v>45706</v>
      </c>
      <c r="D204" t="inlineStr">
        <is>
          <t>JÄMTLANDS LÄN</t>
        </is>
      </c>
      <c r="E204" t="inlineStr">
        <is>
          <t>BERG</t>
        </is>
      </c>
      <c r="G204" t="n">
        <v>19.1</v>
      </c>
      <c r="H204" t="n">
        <v>0</v>
      </c>
      <c r="I204" t="n">
        <v>0</v>
      </c>
      <c r="J204" t="n">
        <v>0</v>
      </c>
      <c r="K204" t="n">
        <v>1</v>
      </c>
      <c r="L204" t="n">
        <v>0</v>
      </c>
      <c r="M204" t="n">
        <v>0</v>
      </c>
      <c r="N204" t="n">
        <v>0</v>
      </c>
      <c r="O204" t="n">
        <v>1</v>
      </c>
      <c r="P204" t="n">
        <v>1</v>
      </c>
      <c r="Q204" t="n">
        <v>1</v>
      </c>
      <c r="R204" s="2" t="inlineStr">
        <is>
          <t>Gräddporing</t>
        </is>
      </c>
      <c r="S204">
        <f>HYPERLINK("https://klasma.github.io/Logging_2326/artfynd/A 5504-2025 artfynd.xlsx", "A 5504-2025")</f>
        <v/>
      </c>
      <c r="T204">
        <f>HYPERLINK("https://klasma.github.io/Logging_2326/kartor/A 5504-2025 karta.png", "A 5504-2025")</f>
        <v/>
      </c>
      <c r="V204">
        <f>HYPERLINK("https://klasma.github.io/Logging_2326/klagomål/A 5504-2025 FSC-klagomål.docx", "A 5504-2025")</f>
        <v/>
      </c>
      <c r="W204">
        <f>HYPERLINK("https://klasma.github.io/Logging_2326/klagomålsmail/A 5504-2025 FSC-klagomål mail.docx", "A 5504-2025")</f>
        <v/>
      </c>
      <c r="X204">
        <f>HYPERLINK("https://klasma.github.io/Logging_2326/tillsyn/A 5504-2025 tillsynsbegäran.docx", "A 5504-2025")</f>
        <v/>
      </c>
      <c r="Y204">
        <f>HYPERLINK("https://klasma.github.io/Logging_2326/tillsynsmail/A 5504-2025 tillsynsbegäran mail.docx", "A 5504-2025")</f>
        <v/>
      </c>
    </row>
    <row r="205" ht="15" customHeight="1">
      <c r="A205" t="inlineStr">
        <is>
          <t>A 17791-2019</t>
        </is>
      </c>
      <c r="B205" s="1" t="n">
        <v>43556</v>
      </c>
      <c r="C205" s="1" t="n">
        <v>45706</v>
      </c>
      <c r="D205" t="inlineStr">
        <is>
          <t>JÄMTLANDS LÄN</t>
        </is>
      </c>
      <c r="E205" t="inlineStr">
        <is>
          <t>BERG</t>
        </is>
      </c>
      <c r="G205" t="n">
        <v>14.3</v>
      </c>
      <c r="H205" t="n">
        <v>0</v>
      </c>
      <c r="I205" t="n">
        <v>0</v>
      </c>
      <c r="J205" t="n">
        <v>0</v>
      </c>
      <c r="K205" t="n">
        <v>0</v>
      </c>
      <c r="L205" t="n">
        <v>0</v>
      </c>
      <c r="M205" t="n">
        <v>0</v>
      </c>
      <c r="N205" t="n">
        <v>0</v>
      </c>
      <c r="O205" t="n">
        <v>0</v>
      </c>
      <c r="P205" t="n">
        <v>0</v>
      </c>
      <c r="Q205" t="n">
        <v>0</v>
      </c>
      <c r="R205" s="2" t="inlineStr"/>
    </row>
    <row r="206" ht="15" customHeight="1">
      <c r="A206" t="inlineStr">
        <is>
          <t>A 21225-2019</t>
        </is>
      </c>
      <c r="B206" s="1" t="n">
        <v>43579</v>
      </c>
      <c r="C206" s="1" t="n">
        <v>45706</v>
      </c>
      <c r="D206" t="inlineStr">
        <is>
          <t>JÄMTLANDS LÄN</t>
        </is>
      </c>
      <c r="E206" t="inlineStr">
        <is>
          <t>BERG</t>
        </is>
      </c>
      <c r="G206" t="n">
        <v>6.3</v>
      </c>
      <c r="H206" t="n">
        <v>0</v>
      </c>
      <c r="I206" t="n">
        <v>0</v>
      </c>
      <c r="J206" t="n">
        <v>0</v>
      </c>
      <c r="K206" t="n">
        <v>0</v>
      </c>
      <c r="L206" t="n">
        <v>0</v>
      </c>
      <c r="M206" t="n">
        <v>0</v>
      </c>
      <c r="N206" t="n">
        <v>0</v>
      </c>
      <c r="O206" t="n">
        <v>0</v>
      </c>
      <c r="P206" t="n">
        <v>0</v>
      </c>
      <c r="Q206" t="n">
        <v>0</v>
      </c>
      <c r="R206" s="2" t="inlineStr"/>
    </row>
    <row r="207" ht="15" customHeight="1">
      <c r="A207" t="inlineStr">
        <is>
          <t>A 24710-2019</t>
        </is>
      </c>
      <c r="B207" s="1" t="n">
        <v>43601</v>
      </c>
      <c r="C207" s="1" t="n">
        <v>45706</v>
      </c>
      <c r="D207" t="inlineStr">
        <is>
          <t>JÄMTLANDS LÄN</t>
        </is>
      </c>
      <c r="E207" t="inlineStr">
        <is>
          <t>BERG</t>
        </is>
      </c>
      <c r="G207" t="n">
        <v>3.2</v>
      </c>
      <c r="H207" t="n">
        <v>0</v>
      </c>
      <c r="I207" t="n">
        <v>0</v>
      </c>
      <c r="J207" t="n">
        <v>0</v>
      </c>
      <c r="K207" t="n">
        <v>0</v>
      </c>
      <c r="L207" t="n">
        <v>0</v>
      </c>
      <c r="M207" t="n">
        <v>0</v>
      </c>
      <c r="N207" t="n">
        <v>0</v>
      </c>
      <c r="O207" t="n">
        <v>0</v>
      </c>
      <c r="P207" t="n">
        <v>0</v>
      </c>
      <c r="Q207" t="n">
        <v>0</v>
      </c>
      <c r="R207" s="2" t="inlineStr"/>
    </row>
    <row r="208" ht="15" customHeight="1">
      <c r="A208" t="inlineStr">
        <is>
          <t>A 24839-2019</t>
        </is>
      </c>
      <c r="B208" s="1" t="n">
        <v>43602</v>
      </c>
      <c r="C208" s="1" t="n">
        <v>45706</v>
      </c>
      <c r="D208" t="inlineStr">
        <is>
          <t>JÄMTLANDS LÄN</t>
        </is>
      </c>
      <c r="E208" t="inlineStr">
        <is>
          <t>BERG</t>
        </is>
      </c>
      <c r="G208" t="n">
        <v>5.9</v>
      </c>
      <c r="H208" t="n">
        <v>0</v>
      </c>
      <c r="I208" t="n">
        <v>0</v>
      </c>
      <c r="J208" t="n">
        <v>0</v>
      </c>
      <c r="K208" t="n">
        <v>0</v>
      </c>
      <c r="L208" t="n">
        <v>0</v>
      </c>
      <c r="M208" t="n">
        <v>0</v>
      </c>
      <c r="N208" t="n">
        <v>0</v>
      </c>
      <c r="O208" t="n">
        <v>0</v>
      </c>
      <c r="P208" t="n">
        <v>0</v>
      </c>
      <c r="Q208" t="n">
        <v>0</v>
      </c>
      <c r="R208" s="2" t="inlineStr"/>
    </row>
    <row r="209" ht="15" customHeight="1">
      <c r="A209" t="inlineStr">
        <is>
          <t>A 25844-2019</t>
        </is>
      </c>
      <c r="B209" s="1" t="n">
        <v>43605</v>
      </c>
      <c r="C209" s="1" t="n">
        <v>45706</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25588-2019</t>
        </is>
      </c>
      <c r="B210" s="1" t="n">
        <v>43607</v>
      </c>
      <c r="C210" s="1" t="n">
        <v>45706</v>
      </c>
      <c r="D210" t="inlineStr">
        <is>
          <t>JÄMTLANDS LÄN</t>
        </is>
      </c>
      <c r="E210" t="inlineStr">
        <is>
          <t>BERG</t>
        </is>
      </c>
      <c r="G210" t="n">
        <v>1.8</v>
      </c>
      <c r="H210" t="n">
        <v>0</v>
      </c>
      <c r="I210" t="n">
        <v>0</v>
      </c>
      <c r="J210" t="n">
        <v>0</v>
      </c>
      <c r="K210" t="n">
        <v>0</v>
      </c>
      <c r="L210" t="n">
        <v>0</v>
      </c>
      <c r="M210" t="n">
        <v>0</v>
      </c>
      <c r="N210" t="n">
        <v>0</v>
      </c>
      <c r="O210" t="n">
        <v>0</v>
      </c>
      <c r="P210" t="n">
        <v>0</v>
      </c>
      <c r="Q210" t="n">
        <v>0</v>
      </c>
      <c r="R210" s="2" t="inlineStr"/>
    </row>
    <row r="211" ht="15" customHeight="1">
      <c r="A211" t="inlineStr">
        <is>
          <t>A 25969-2019</t>
        </is>
      </c>
      <c r="B211" s="1" t="n">
        <v>43608</v>
      </c>
      <c r="C211" s="1" t="n">
        <v>45706</v>
      </c>
      <c r="D211" t="inlineStr">
        <is>
          <t>JÄMTLANDS LÄN</t>
        </is>
      </c>
      <c r="E211" t="inlineStr">
        <is>
          <t>BERG</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28788-2019</t>
        </is>
      </c>
      <c r="B212" s="1" t="n">
        <v>43616</v>
      </c>
      <c r="C212" s="1" t="n">
        <v>45706</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27540-2019</t>
        </is>
      </c>
      <c r="B213" s="1" t="n">
        <v>43619</v>
      </c>
      <c r="C213" s="1" t="n">
        <v>45706</v>
      </c>
      <c r="D213" t="inlineStr">
        <is>
          <t>JÄMTLANDS LÄN</t>
        </is>
      </c>
      <c r="E213" t="inlineStr">
        <is>
          <t>BERG</t>
        </is>
      </c>
      <c r="G213" t="n">
        <v>2.1</v>
      </c>
      <c r="H213" t="n">
        <v>0</v>
      </c>
      <c r="I213" t="n">
        <v>0</v>
      </c>
      <c r="J213" t="n">
        <v>0</v>
      </c>
      <c r="K213" t="n">
        <v>0</v>
      </c>
      <c r="L213" t="n">
        <v>0</v>
      </c>
      <c r="M213" t="n">
        <v>0</v>
      </c>
      <c r="N213" t="n">
        <v>0</v>
      </c>
      <c r="O213" t="n">
        <v>0</v>
      </c>
      <c r="P213" t="n">
        <v>0</v>
      </c>
      <c r="Q213" t="n">
        <v>0</v>
      </c>
      <c r="R213" s="2" t="inlineStr"/>
    </row>
    <row r="214" ht="15" customHeight="1">
      <c r="A214" t="inlineStr">
        <is>
          <t>A 28250-2019</t>
        </is>
      </c>
      <c r="B214" s="1" t="n">
        <v>43622</v>
      </c>
      <c r="C214" s="1" t="n">
        <v>45706</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29339-2019</t>
        </is>
      </c>
      <c r="B215" s="1" t="n">
        <v>43626</v>
      </c>
      <c r="C215" s="1" t="n">
        <v>45706</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29202-2019</t>
        </is>
      </c>
      <c r="B216" s="1" t="n">
        <v>43629</v>
      </c>
      <c r="C216" s="1" t="n">
        <v>45706</v>
      </c>
      <c r="D216" t="inlineStr">
        <is>
          <t>JÄMTLANDS LÄN</t>
        </is>
      </c>
      <c r="E216" t="inlineStr">
        <is>
          <t>BERG</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29728-2019</t>
        </is>
      </c>
      <c r="B217" s="1" t="n">
        <v>43630</v>
      </c>
      <c r="C217" s="1" t="n">
        <v>45706</v>
      </c>
      <c r="D217" t="inlineStr">
        <is>
          <t>JÄMTLANDS LÄN</t>
        </is>
      </c>
      <c r="E217" t="inlineStr">
        <is>
          <t>BERG</t>
        </is>
      </c>
      <c r="G217" t="n">
        <v>8.1</v>
      </c>
      <c r="H217" t="n">
        <v>0</v>
      </c>
      <c r="I217" t="n">
        <v>0</v>
      </c>
      <c r="J217" t="n">
        <v>0</v>
      </c>
      <c r="K217" t="n">
        <v>0</v>
      </c>
      <c r="L217" t="n">
        <v>0</v>
      </c>
      <c r="M217" t="n">
        <v>0</v>
      </c>
      <c r="N217" t="n">
        <v>0</v>
      </c>
      <c r="O217" t="n">
        <v>0</v>
      </c>
      <c r="P217" t="n">
        <v>0</v>
      </c>
      <c r="Q217" t="n">
        <v>0</v>
      </c>
      <c r="R217" s="2" t="inlineStr"/>
    </row>
    <row r="218" ht="15" customHeight="1">
      <c r="A218" t="inlineStr">
        <is>
          <t>A 31238-2019</t>
        </is>
      </c>
      <c r="B218" s="1" t="n">
        <v>43640</v>
      </c>
      <c r="C218" s="1" t="n">
        <v>45706</v>
      </c>
      <c r="D218" t="inlineStr">
        <is>
          <t>JÄMTLANDS LÄN</t>
        </is>
      </c>
      <c r="E218" t="inlineStr">
        <is>
          <t>BERG</t>
        </is>
      </c>
      <c r="F218" t="inlineStr">
        <is>
          <t>Sveaskog</t>
        </is>
      </c>
      <c r="G218" t="n">
        <v>9.6</v>
      </c>
      <c r="H218" t="n">
        <v>0</v>
      </c>
      <c r="I218" t="n">
        <v>0</v>
      </c>
      <c r="J218" t="n">
        <v>0</v>
      </c>
      <c r="K218" t="n">
        <v>0</v>
      </c>
      <c r="L218" t="n">
        <v>0</v>
      </c>
      <c r="M218" t="n">
        <v>0</v>
      </c>
      <c r="N218" t="n">
        <v>0</v>
      </c>
      <c r="O218" t="n">
        <v>0</v>
      </c>
      <c r="P218" t="n">
        <v>0</v>
      </c>
      <c r="Q218" t="n">
        <v>0</v>
      </c>
      <c r="R218" s="2" t="inlineStr"/>
    </row>
    <row r="219" ht="15" customHeight="1">
      <c r="A219" t="inlineStr">
        <is>
          <t>A 31206-2019</t>
        </is>
      </c>
      <c r="B219" s="1" t="n">
        <v>43640</v>
      </c>
      <c r="C219" s="1" t="n">
        <v>45706</v>
      </c>
      <c r="D219" t="inlineStr">
        <is>
          <t>JÄMTLANDS LÄN</t>
        </is>
      </c>
      <c r="E219" t="inlineStr">
        <is>
          <t>BERG</t>
        </is>
      </c>
      <c r="F219" t="inlineStr">
        <is>
          <t>Sveaskog</t>
        </is>
      </c>
      <c r="G219" t="n">
        <v>10.1</v>
      </c>
      <c r="H219" t="n">
        <v>0</v>
      </c>
      <c r="I219" t="n">
        <v>0</v>
      </c>
      <c r="J219" t="n">
        <v>0</v>
      </c>
      <c r="K219" t="n">
        <v>0</v>
      </c>
      <c r="L219" t="n">
        <v>0</v>
      </c>
      <c r="M219" t="n">
        <v>0</v>
      </c>
      <c r="N219" t="n">
        <v>0</v>
      </c>
      <c r="O219" t="n">
        <v>0</v>
      </c>
      <c r="P219" t="n">
        <v>0</v>
      </c>
      <c r="Q219" t="n">
        <v>0</v>
      </c>
      <c r="R219" s="2" t="inlineStr"/>
    </row>
    <row r="220" ht="15" customHeight="1">
      <c r="A220" t="inlineStr">
        <is>
          <t>A 31568-2019</t>
        </is>
      </c>
      <c r="B220" s="1" t="n">
        <v>43641</v>
      </c>
      <c r="C220" s="1" t="n">
        <v>45706</v>
      </c>
      <c r="D220" t="inlineStr">
        <is>
          <t>JÄMTLANDS LÄN</t>
        </is>
      </c>
      <c r="E220" t="inlineStr">
        <is>
          <t>BERG</t>
        </is>
      </c>
      <c r="F220" t="inlineStr">
        <is>
          <t>SCA</t>
        </is>
      </c>
      <c r="G220" t="n">
        <v>16.4</v>
      </c>
      <c r="H220" t="n">
        <v>0</v>
      </c>
      <c r="I220" t="n">
        <v>0</v>
      </c>
      <c r="J220" t="n">
        <v>0</v>
      </c>
      <c r="K220" t="n">
        <v>0</v>
      </c>
      <c r="L220" t="n">
        <v>0</v>
      </c>
      <c r="M220" t="n">
        <v>0</v>
      </c>
      <c r="N220" t="n">
        <v>0</v>
      </c>
      <c r="O220" t="n">
        <v>0</v>
      </c>
      <c r="P220" t="n">
        <v>0</v>
      </c>
      <c r="Q220" t="n">
        <v>0</v>
      </c>
      <c r="R220" s="2" t="inlineStr"/>
    </row>
    <row r="221" ht="15" customHeight="1">
      <c r="A221" t="inlineStr">
        <is>
          <t>A 32054-2019</t>
        </is>
      </c>
      <c r="B221" s="1" t="n">
        <v>43643</v>
      </c>
      <c r="C221" s="1" t="n">
        <v>45706</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32123-2019</t>
        </is>
      </c>
      <c r="B222" s="1" t="n">
        <v>43643</v>
      </c>
      <c r="C222" s="1" t="n">
        <v>45706</v>
      </c>
      <c r="D222" t="inlineStr">
        <is>
          <t>JÄMTLANDS LÄN</t>
        </is>
      </c>
      <c r="E222" t="inlineStr">
        <is>
          <t>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32156-2019</t>
        </is>
      </c>
      <c r="B223" s="1" t="n">
        <v>43643</v>
      </c>
      <c r="C223" s="1" t="n">
        <v>45706</v>
      </c>
      <c r="D223" t="inlineStr">
        <is>
          <t>JÄMTLANDS LÄN</t>
        </is>
      </c>
      <c r="E223" t="inlineStr">
        <is>
          <t>BERG</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34469-2019</t>
        </is>
      </c>
      <c r="B224" s="1" t="n">
        <v>43656</v>
      </c>
      <c r="C224" s="1" t="n">
        <v>45706</v>
      </c>
      <c r="D224" t="inlineStr">
        <is>
          <t>JÄMTLANDS LÄN</t>
        </is>
      </c>
      <c r="E224" t="inlineStr">
        <is>
          <t>BERG</t>
        </is>
      </c>
      <c r="G224" t="n">
        <v>6.3</v>
      </c>
      <c r="H224" t="n">
        <v>0</v>
      </c>
      <c r="I224" t="n">
        <v>0</v>
      </c>
      <c r="J224" t="n">
        <v>0</v>
      </c>
      <c r="K224" t="n">
        <v>0</v>
      </c>
      <c r="L224" t="n">
        <v>0</v>
      </c>
      <c r="M224" t="n">
        <v>0</v>
      </c>
      <c r="N224" t="n">
        <v>0</v>
      </c>
      <c r="O224" t="n">
        <v>0</v>
      </c>
      <c r="P224" t="n">
        <v>0</v>
      </c>
      <c r="Q224" t="n">
        <v>0</v>
      </c>
      <c r="R224" s="2" t="inlineStr"/>
    </row>
    <row r="225" ht="15" customHeight="1">
      <c r="A225" t="inlineStr">
        <is>
          <t>A 34468-2019</t>
        </is>
      </c>
      <c r="B225" s="1" t="n">
        <v>43656</v>
      </c>
      <c r="C225" s="1" t="n">
        <v>45706</v>
      </c>
      <c r="D225" t="inlineStr">
        <is>
          <t>JÄMTLANDS LÄN</t>
        </is>
      </c>
      <c r="E225" t="inlineStr">
        <is>
          <t>BERG</t>
        </is>
      </c>
      <c r="G225" t="n">
        <v>2</v>
      </c>
      <c r="H225" t="n">
        <v>0</v>
      </c>
      <c r="I225" t="n">
        <v>0</v>
      </c>
      <c r="J225" t="n">
        <v>0</v>
      </c>
      <c r="K225" t="n">
        <v>0</v>
      </c>
      <c r="L225" t="n">
        <v>0</v>
      </c>
      <c r="M225" t="n">
        <v>0</v>
      </c>
      <c r="N225" t="n">
        <v>0</v>
      </c>
      <c r="O225" t="n">
        <v>0</v>
      </c>
      <c r="P225" t="n">
        <v>0</v>
      </c>
      <c r="Q225" t="n">
        <v>0</v>
      </c>
      <c r="R225" s="2" t="inlineStr"/>
    </row>
    <row r="226" ht="15" customHeight="1">
      <c r="A226" t="inlineStr">
        <is>
          <t>A 34663-2019</t>
        </is>
      </c>
      <c r="B226" s="1" t="n">
        <v>43657</v>
      </c>
      <c r="C226" s="1" t="n">
        <v>45706</v>
      </c>
      <c r="D226" t="inlineStr">
        <is>
          <t>JÄMTLANDS LÄN</t>
        </is>
      </c>
      <c r="E226" t="inlineStr">
        <is>
          <t>BERG</t>
        </is>
      </c>
      <c r="G226" t="n">
        <v>0.5</v>
      </c>
      <c r="H226" t="n">
        <v>0</v>
      </c>
      <c r="I226" t="n">
        <v>0</v>
      </c>
      <c r="J226" t="n">
        <v>0</v>
      </c>
      <c r="K226" t="n">
        <v>0</v>
      </c>
      <c r="L226" t="n">
        <v>0</v>
      </c>
      <c r="M226" t="n">
        <v>0</v>
      </c>
      <c r="N226" t="n">
        <v>0</v>
      </c>
      <c r="O226" t="n">
        <v>0</v>
      </c>
      <c r="P226" t="n">
        <v>0</v>
      </c>
      <c r="Q226" t="n">
        <v>0</v>
      </c>
      <c r="R226" s="2" t="inlineStr"/>
    </row>
    <row r="227" ht="15" customHeight="1">
      <c r="A227" t="inlineStr">
        <is>
          <t>A 35043-2019</t>
        </is>
      </c>
      <c r="B227" s="1" t="n">
        <v>43661</v>
      </c>
      <c r="C227" s="1" t="n">
        <v>45706</v>
      </c>
      <c r="D227" t="inlineStr">
        <is>
          <t>JÄMTLANDS LÄN</t>
        </is>
      </c>
      <c r="E227" t="inlineStr">
        <is>
          <t>BERG</t>
        </is>
      </c>
      <c r="G227" t="n">
        <v>4</v>
      </c>
      <c r="H227" t="n">
        <v>0</v>
      </c>
      <c r="I227" t="n">
        <v>0</v>
      </c>
      <c r="J227" t="n">
        <v>0</v>
      </c>
      <c r="K227" t="n">
        <v>0</v>
      </c>
      <c r="L227" t="n">
        <v>0</v>
      </c>
      <c r="M227" t="n">
        <v>0</v>
      </c>
      <c r="N227" t="n">
        <v>0</v>
      </c>
      <c r="O227" t="n">
        <v>0</v>
      </c>
      <c r="P227" t="n">
        <v>0</v>
      </c>
      <c r="Q227" t="n">
        <v>0</v>
      </c>
      <c r="R227" s="2" t="inlineStr"/>
    </row>
    <row r="228" ht="15" customHeight="1">
      <c r="A228" t="inlineStr">
        <is>
          <t>A 36375-2019</t>
        </is>
      </c>
      <c r="B228" s="1" t="n">
        <v>43662</v>
      </c>
      <c r="C228" s="1" t="n">
        <v>45706</v>
      </c>
      <c r="D228" t="inlineStr">
        <is>
          <t>JÄMTLANDS LÄN</t>
        </is>
      </c>
      <c r="E228" t="inlineStr">
        <is>
          <t>BERG</t>
        </is>
      </c>
      <c r="G228" t="n">
        <v>1.5</v>
      </c>
      <c r="H228" t="n">
        <v>0</v>
      </c>
      <c r="I228" t="n">
        <v>0</v>
      </c>
      <c r="J228" t="n">
        <v>0</v>
      </c>
      <c r="K228" t="n">
        <v>0</v>
      </c>
      <c r="L228" t="n">
        <v>0</v>
      </c>
      <c r="M228" t="n">
        <v>0</v>
      </c>
      <c r="N228" t="n">
        <v>0</v>
      </c>
      <c r="O228" t="n">
        <v>0</v>
      </c>
      <c r="P228" t="n">
        <v>0</v>
      </c>
      <c r="Q228" t="n">
        <v>0</v>
      </c>
      <c r="R228" s="2" t="inlineStr"/>
    </row>
    <row r="229" ht="15" customHeight="1">
      <c r="A229" t="inlineStr">
        <is>
          <t>A 36702-2019</t>
        </is>
      </c>
      <c r="B229" s="1" t="n">
        <v>43671</v>
      </c>
      <c r="C229" s="1" t="n">
        <v>45706</v>
      </c>
      <c r="D229" t="inlineStr">
        <is>
          <t>JÄMTLANDS LÄN</t>
        </is>
      </c>
      <c r="E229" t="inlineStr">
        <is>
          <t>BERG</t>
        </is>
      </c>
      <c r="F229" t="inlineStr">
        <is>
          <t>SCA</t>
        </is>
      </c>
      <c r="G229" t="n">
        <v>16.6</v>
      </c>
      <c r="H229" t="n">
        <v>0</v>
      </c>
      <c r="I229" t="n">
        <v>0</v>
      </c>
      <c r="J229" t="n">
        <v>0</v>
      </c>
      <c r="K229" t="n">
        <v>0</v>
      </c>
      <c r="L229" t="n">
        <v>0</v>
      </c>
      <c r="M229" t="n">
        <v>0</v>
      </c>
      <c r="N229" t="n">
        <v>0</v>
      </c>
      <c r="O229" t="n">
        <v>0</v>
      </c>
      <c r="P229" t="n">
        <v>0</v>
      </c>
      <c r="Q229" t="n">
        <v>0</v>
      </c>
      <c r="R229" s="2" t="inlineStr"/>
    </row>
    <row r="230" ht="15" customHeight="1">
      <c r="A230" t="inlineStr">
        <is>
          <t>A 37426-2019</t>
        </is>
      </c>
      <c r="B230" s="1" t="n">
        <v>43678</v>
      </c>
      <c r="C230" s="1" t="n">
        <v>45706</v>
      </c>
      <c r="D230" t="inlineStr">
        <is>
          <t>JÄMTLANDS LÄN</t>
        </is>
      </c>
      <c r="E230" t="inlineStr">
        <is>
          <t>BERG</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37890-2019</t>
        </is>
      </c>
      <c r="B231" s="1" t="n">
        <v>43682</v>
      </c>
      <c r="C231" s="1" t="n">
        <v>45706</v>
      </c>
      <c r="D231" t="inlineStr">
        <is>
          <t>JÄMTLANDS LÄN</t>
        </is>
      </c>
      <c r="E231" t="inlineStr">
        <is>
          <t>BERG</t>
        </is>
      </c>
      <c r="F231" t="inlineStr">
        <is>
          <t>SCA</t>
        </is>
      </c>
      <c r="G231" t="n">
        <v>2.5</v>
      </c>
      <c r="H231" t="n">
        <v>0</v>
      </c>
      <c r="I231" t="n">
        <v>0</v>
      </c>
      <c r="J231" t="n">
        <v>0</v>
      </c>
      <c r="K231" t="n">
        <v>0</v>
      </c>
      <c r="L231" t="n">
        <v>0</v>
      </c>
      <c r="M231" t="n">
        <v>0</v>
      </c>
      <c r="N231" t="n">
        <v>0</v>
      </c>
      <c r="O231" t="n">
        <v>0</v>
      </c>
      <c r="P231" t="n">
        <v>0</v>
      </c>
      <c r="Q231" t="n">
        <v>0</v>
      </c>
      <c r="R231" s="2" t="inlineStr"/>
    </row>
    <row r="232" ht="15" customHeight="1">
      <c r="A232" t="inlineStr">
        <is>
          <t>A 38319-2019</t>
        </is>
      </c>
      <c r="B232" s="1" t="n">
        <v>43684</v>
      </c>
      <c r="C232" s="1" t="n">
        <v>45706</v>
      </c>
      <c r="D232" t="inlineStr">
        <is>
          <t>JÄMTLANDS LÄN</t>
        </is>
      </c>
      <c r="E232" t="inlineStr">
        <is>
          <t>BERG</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39128-2019</t>
        </is>
      </c>
      <c r="B233" s="1" t="n">
        <v>43689</v>
      </c>
      <c r="C233" s="1" t="n">
        <v>45706</v>
      </c>
      <c r="D233" t="inlineStr">
        <is>
          <t>JÄMTLANDS LÄN</t>
        </is>
      </c>
      <c r="E233" t="inlineStr">
        <is>
          <t>BERG</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39127-2019</t>
        </is>
      </c>
      <c r="B234" s="1" t="n">
        <v>43689</v>
      </c>
      <c r="C234" s="1" t="n">
        <v>45706</v>
      </c>
      <c r="D234" t="inlineStr">
        <is>
          <t>JÄMTLANDS LÄN</t>
        </is>
      </c>
      <c r="E234" t="inlineStr">
        <is>
          <t>BERG</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39130-2019</t>
        </is>
      </c>
      <c r="B235" s="1" t="n">
        <v>43689</v>
      </c>
      <c r="C235" s="1" t="n">
        <v>45706</v>
      </c>
      <c r="D235" t="inlineStr">
        <is>
          <t>JÄMTLANDS LÄN</t>
        </is>
      </c>
      <c r="E235" t="inlineStr">
        <is>
          <t>BERG</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40478-2019</t>
        </is>
      </c>
      <c r="B236" s="1" t="n">
        <v>43696</v>
      </c>
      <c r="C236" s="1" t="n">
        <v>45706</v>
      </c>
      <c r="D236" t="inlineStr">
        <is>
          <t>JÄMTLANDS LÄN</t>
        </is>
      </c>
      <c r="E236" t="inlineStr">
        <is>
          <t>BERG</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40529-2019</t>
        </is>
      </c>
      <c r="B237" s="1" t="n">
        <v>43696</v>
      </c>
      <c r="C237" s="1" t="n">
        <v>45706</v>
      </c>
      <c r="D237" t="inlineStr">
        <is>
          <t>JÄMTLANDS LÄN</t>
        </is>
      </c>
      <c r="E237" t="inlineStr">
        <is>
          <t>BERG</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40479-2019</t>
        </is>
      </c>
      <c r="B238" s="1" t="n">
        <v>43696</v>
      </c>
      <c r="C238" s="1" t="n">
        <v>45706</v>
      </c>
      <c r="D238" t="inlineStr">
        <is>
          <t>JÄMTLANDS LÄN</t>
        </is>
      </c>
      <c r="E238" t="inlineStr">
        <is>
          <t>BERG</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40584-2019</t>
        </is>
      </c>
      <c r="B239" s="1" t="n">
        <v>43696</v>
      </c>
      <c r="C239" s="1" t="n">
        <v>45706</v>
      </c>
      <c r="D239" t="inlineStr">
        <is>
          <t>JÄMTLANDS LÄN</t>
        </is>
      </c>
      <c r="E239" t="inlineStr">
        <is>
          <t>BERG</t>
        </is>
      </c>
      <c r="G239" t="n">
        <v>7.1</v>
      </c>
      <c r="H239" t="n">
        <v>0</v>
      </c>
      <c r="I239" t="n">
        <v>0</v>
      </c>
      <c r="J239" t="n">
        <v>0</v>
      </c>
      <c r="K239" t="n">
        <v>0</v>
      </c>
      <c r="L239" t="n">
        <v>0</v>
      </c>
      <c r="M239" t="n">
        <v>0</v>
      </c>
      <c r="N239" t="n">
        <v>0</v>
      </c>
      <c r="O239" t="n">
        <v>0</v>
      </c>
      <c r="P239" t="n">
        <v>0</v>
      </c>
      <c r="Q239" t="n">
        <v>0</v>
      </c>
      <c r="R239" s="2" t="inlineStr"/>
    </row>
    <row r="240" ht="15" customHeight="1">
      <c r="A240" t="inlineStr">
        <is>
          <t>A 41452-2019</t>
        </is>
      </c>
      <c r="B240" s="1" t="n">
        <v>43699</v>
      </c>
      <c r="C240" s="1" t="n">
        <v>45706</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43210-2019</t>
        </is>
      </c>
      <c r="B241" s="1" t="n">
        <v>43705</v>
      </c>
      <c r="C241" s="1" t="n">
        <v>45706</v>
      </c>
      <c r="D241" t="inlineStr">
        <is>
          <t>JÄMTLANDS LÄN</t>
        </is>
      </c>
      <c r="E241" t="inlineStr">
        <is>
          <t>BERG</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43942-2019</t>
        </is>
      </c>
      <c r="B242" s="1" t="n">
        <v>43707</v>
      </c>
      <c r="C242" s="1" t="n">
        <v>45706</v>
      </c>
      <c r="D242" t="inlineStr">
        <is>
          <t>JÄMTLANDS LÄN</t>
        </is>
      </c>
      <c r="E242" t="inlineStr">
        <is>
          <t>BERG</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44810-2019</t>
        </is>
      </c>
      <c r="B243" s="1" t="n">
        <v>43712</v>
      </c>
      <c r="C243" s="1" t="n">
        <v>45706</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44631-2019</t>
        </is>
      </c>
      <c r="B244" s="1" t="n">
        <v>43712</v>
      </c>
      <c r="C244" s="1" t="n">
        <v>45706</v>
      </c>
      <c r="D244" t="inlineStr">
        <is>
          <t>JÄMTLANDS LÄN</t>
        </is>
      </c>
      <c r="E244" t="inlineStr">
        <is>
          <t>BERG</t>
        </is>
      </c>
      <c r="G244" t="n">
        <v>5.7</v>
      </c>
      <c r="H244" t="n">
        <v>0</v>
      </c>
      <c r="I244" t="n">
        <v>0</v>
      </c>
      <c r="J244" t="n">
        <v>0</v>
      </c>
      <c r="K244" t="n">
        <v>0</v>
      </c>
      <c r="L244" t="n">
        <v>0</v>
      </c>
      <c r="M244" t="n">
        <v>0</v>
      </c>
      <c r="N244" t="n">
        <v>0</v>
      </c>
      <c r="O244" t="n">
        <v>0</v>
      </c>
      <c r="P244" t="n">
        <v>0</v>
      </c>
      <c r="Q244" t="n">
        <v>0</v>
      </c>
      <c r="R244" s="2" t="inlineStr"/>
    </row>
    <row r="245" ht="15" customHeight="1">
      <c r="A245" t="inlineStr">
        <is>
          <t>A 45623-2019</t>
        </is>
      </c>
      <c r="B245" s="1" t="n">
        <v>43717</v>
      </c>
      <c r="C245" s="1" t="n">
        <v>45706</v>
      </c>
      <c r="D245" t="inlineStr">
        <is>
          <t>JÄMTLANDS LÄN</t>
        </is>
      </c>
      <c r="E245" t="inlineStr">
        <is>
          <t>BERG</t>
        </is>
      </c>
      <c r="G245" t="n">
        <v>7.5</v>
      </c>
      <c r="H245" t="n">
        <v>0</v>
      </c>
      <c r="I245" t="n">
        <v>0</v>
      </c>
      <c r="J245" t="n">
        <v>0</v>
      </c>
      <c r="K245" t="n">
        <v>0</v>
      </c>
      <c r="L245" t="n">
        <v>0</v>
      </c>
      <c r="M245" t="n">
        <v>0</v>
      </c>
      <c r="N245" t="n">
        <v>0</v>
      </c>
      <c r="O245" t="n">
        <v>0</v>
      </c>
      <c r="P245" t="n">
        <v>0</v>
      </c>
      <c r="Q245" t="n">
        <v>0</v>
      </c>
      <c r="R245" s="2" t="inlineStr"/>
    </row>
    <row r="246" ht="15" customHeight="1">
      <c r="A246" t="inlineStr">
        <is>
          <t>A 47918-2019</t>
        </is>
      </c>
      <c r="B246" s="1" t="n">
        <v>43725</v>
      </c>
      <c r="C246" s="1" t="n">
        <v>45706</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50896-2019</t>
        </is>
      </c>
      <c r="B247" s="1" t="n">
        <v>43738</v>
      </c>
      <c r="C247" s="1" t="n">
        <v>45706</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50969-2019</t>
        </is>
      </c>
      <c r="B248" s="1" t="n">
        <v>43738</v>
      </c>
      <c r="C248" s="1" t="n">
        <v>45706</v>
      </c>
      <c r="D248" t="inlineStr">
        <is>
          <t>JÄMTLANDS LÄN</t>
        </is>
      </c>
      <c r="E248" t="inlineStr">
        <is>
          <t>BERG</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51206-2019</t>
        </is>
      </c>
      <c r="B249" s="1" t="n">
        <v>43739</v>
      </c>
      <c r="C249" s="1" t="n">
        <v>45706</v>
      </c>
      <c r="D249" t="inlineStr">
        <is>
          <t>JÄMTLANDS LÄN</t>
        </is>
      </c>
      <c r="E249" t="inlineStr">
        <is>
          <t>BERG</t>
        </is>
      </c>
      <c r="G249" t="n">
        <v>0.9</v>
      </c>
      <c r="H249" t="n">
        <v>0</v>
      </c>
      <c r="I249" t="n">
        <v>0</v>
      </c>
      <c r="J249" t="n">
        <v>0</v>
      </c>
      <c r="K249" t="n">
        <v>0</v>
      </c>
      <c r="L249" t="n">
        <v>0</v>
      </c>
      <c r="M249" t="n">
        <v>0</v>
      </c>
      <c r="N249" t="n">
        <v>0</v>
      </c>
      <c r="O249" t="n">
        <v>0</v>
      </c>
      <c r="P249" t="n">
        <v>0</v>
      </c>
      <c r="Q249" t="n">
        <v>0</v>
      </c>
      <c r="R249" s="2" t="inlineStr"/>
    </row>
    <row r="250" ht="15" customHeight="1">
      <c r="A250" t="inlineStr">
        <is>
          <t>A 53415-2019</t>
        </is>
      </c>
      <c r="B250" s="1" t="n">
        <v>43740</v>
      </c>
      <c r="C250" s="1" t="n">
        <v>45706</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52470-2019</t>
        </is>
      </c>
      <c r="B251" s="1" t="n">
        <v>43745</v>
      </c>
      <c r="C251" s="1" t="n">
        <v>45706</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52985-2019</t>
        </is>
      </c>
      <c r="B252" s="1" t="n">
        <v>43747</v>
      </c>
      <c r="C252" s="1" t="n">
        <v>45706</v>
      </c>
      <c r="D252" t="inlineStr">
        <is>
          <t>JÄMTLANDS LÄN</t>
        </is>
      </c>
      <c r="E252" t="inlineStr">
        <is>
          <t>BERG</t>
        </is>
      </c>
      <c r="G252" t="n">
        <v>8.4</v>
      </c>
      <c r="H252" t="n">
        <v>0</v>
      </c>
      <c r="I252" t="n">
        <v>0</v>
      </c>
      <c r="J252" t="n">
        <v>0</v>
      </c>
      <c r="K252" t="n">
        <v>0</v>
      </c>
      <c r="L252" t="n">
        <v>0</v>
      </c>
      <c r="M252" t="n">
        <v>0</v>
      </c>
      <c r="N252" t="n">
        <v>0</v>
      </c>
      <c r="O252" t="n">
        <v>0</v>
      </c>
      <c r="P252" t="n">
        <v>0</v>
      </c>
      <c r="Q252" t="n">
        <v>0</v>
      </c>
      <c r="R252" s="2" t="inlineStr"/>
    </row>
    <row r="253" ht="15" customHeight="1">
      <c r="A253" t="inlineStr">
        <is>
          <t>A 54594-2019</t>
        </is>
      </c>
      <c r="B253" s="1" t="n">
        <v>43754</v>
      </c>
      <c r="C253" s="1" t="n">
        <v>45706</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55611-2019</t>
        </is>
      </c>
      <c r="B254" s="1" t="n">
        <v>43760</v>
      </c>
      <c r="C254" s="1" t="n">
        <v>45706</v>
      </c>
      <c r="D254" t="inlineStr">
        <is>
          <t>JÄMTLANDS LÄN</t>
        </is>
      </c>
      <c r="E254" t="inlineStr">
        <is>
          <t>BERG</t>
        </is>
      </c>
      <c r="G254" t="n">
        <v>10</v>
      </c>
      <c r="H254" t="n">
        <v>0</v>
      </c>
      <c r="I254" t="n">
        <v>0</v>
      </c>
      <c r="J254" t="n">
        <v>0</v>
      </c>
      <c r="K254" t="n">
        <v>0</v>
      </c>
      <c r="L254" t="n">
        <v>0</v>
      </c>
      <c r="M254" t="n">
        <v>0</v>
      </c>
      <c r="N254" t="n">
        <v>0</v>
      </c>
      <c r="O254" t="n">
        <v>0</v>
      </c>
      <c r="P254" t="n">
        <v>0</v>
      </c>
      <c r="Q254" t="n">
        <v>0</v>
      </c>
      <c r="R254" s="2" t="inlineStr"/>
    </row>
    <row r="255" ht="15" customHeight="1">
      <c r="A255" t="inlineStr">
        <is>
          <t>A 55678-2019</t>
        </is>
      </c>
      <c r="B255" s="1" t="n">
        <v>43760</v>
      </c>
      <c r="C255" s="1" t="n">
        <v>45706</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58364-2019</t>
        </is>
      </c>
      <c r="B256" s="1" t="n">
        <v>43770</v>
      </c>
      <c r="C256" s="1" t="n">
        <v>45706</v>
      </c>
      <c r="D256" t="inlineStr">
        <is>
          <t>JÄMTLANDS LÄN</t>
        </is>
      </c>
      <c r="E256" t="inlineStr">
        <is>
          <t>BERG</t>
        </is>
      </c>
      <c r="G256" t="n">
        <v>4.8</v>
      </c>
      <c r="H256" t="n">
        <v>0</v>
      </c>
      <c r="I256" t="n">
        <v>0</v>
      </c>
      <c r="J256" t="n">
        <v>0</v>
      </c>
      <c r="K256" t="n">
        <v>0</v>
      </c>
      <c r="L256" t="n">
        <v>0</v>
      </c>
      <c r="M256" t="n">
        <v>0</v>
      </c>
      <c r="N256" t="n">
        <v>0</v>
      </c>
      <c r="O256" t="n">
        <v>0</v>
      </c>
      <c r="P256" t="n">
        <v>0</v>
      </c>
      <c r="Q256" t="n">
        <v>0</v>
      </c>
      <c r="R256" s="2" t="inlineStr"/>
    </row>
    <row r="257" ht="15" customHeight="1">
      <c r="A257" t="inlineStr">
        <is>
          <t>A 58361-2019</t>
        </is>
      </c>
      <c r="B257" s="1" t="n">
        <v>43770</v>
      </c>
      <c r="C257" s="1" t="n">
        <v>45706</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62908-2019</t>
        </is>
      </c>
      <c r="B258" s="1" t="n">
        <v>43783</v>
      </c>
      <c r="C258" s="1" t="n">
        <v>45706</v>
      </c>
      <c r="D258" t="inlineStr">
        <is>
          <t>JÄMTLANDS LÄN</t>
        </is>
      </c>
      <c r="E258" t="inlineStr">
        <is>
          <t>BERG</t>
        </is>
      </c>
      <c r="G258" t="n">
        <v>1.7</v>
      </c>
      <c r="H258" t="n">
        <v>0</v>
      </c>
      <c r="I258" t="n">
        <v>0</v>
      </c>
      <c r="J258" t="n">
        <v>0</v>
      </c>
      <c r="K258" t="n">
        <v>0</v>
      </c>
      <c r="L258" t="n">
        <v>0</v>
      </c>
      <c r="M258" t="n">
        <v>0</v>
      </c>
      <c r="N258" t="n">
        <v>0</v>
      </c>
      <c r="O258" t="n">
        <v>0</v>
      </c>
      <c r="P258" t="n">
        <v>0</v>
      </c>
      <c r="Q258" t="n">
        <v>0</v>
      </c>
      <c r="R258" s="2" t="inlineStr"/>
    </row>
    <row r="259" ht="15" customHeight="1">
      <c r="A259" t="inlineStr">
        <is>
          <t>A 62943-2019</t>
        </is>
      </c>
      <c r="B259" s="1" t="n">
        <v>43783</v>
      </c>
      <c r="C259" s="1" t="n">
        <v>45706</v>
      </c>
      <c r="D259" t="inlineStr">
        <is>
          <t>JÄMTLANDS LÄN</t>
        </is>
      </c>
      <c r="E259" t="inlineStr">
        <is>
          <t>BERG</t>
        </is>
      </c>
      <c r="G259" t="n">
        <v>0.8</v>
      </c>
      <c r="H259" t="n">
        <v>0</v>
      </c>
      <c r="I259" t="n">
        <v>0</v>
      </c>
      <c r="J259" t="n">
        <v>0</v>
      </c>
      <c r="K259" t="n">
        <v>0</v>
      </c>
      <c r="L259" t="n">
        <v>0</v>
      </c>
      <c r="M259" t="n">
        <v>0</v>
      </c>
      <c r="N259" t="n">
        <v>0</v>
      </c>
      <c r="O259" t="n">
        <v>0</v>
      </c>
      <c r="P259" t="n">
        <v>0</v>
      </c>
      <c r="Q259" t="n">
        <v>0</v>
      </c>
      <c r="R259" s="2" t="inlineStr"/>
    </row>
    <row r="260" ht="15" customHeight="1">
      <c r="A260" t="inlineStr">
        <is>
          <t>A 62973-2019</t>
        </is>
      </c>
      <c r="B260" s="1" t="n">
        <v>43790</v>
      </c>
      <c r="C260" s="1" t="n">
        <v>45706</v>
      </c>
      <c r="D260" t="inlineStr">
        <is>
          <t>JÄMTLANDS LÄN</t>
        </is>
      </c>
      <c r="E260" t="inlineStr">
        <is>
          <t>BERG</t>
        </is>
      </c>
      <c r="G260" t="n">
        <v>1.6</v>
      </c>
      <c r="H260" t="n">
        <v>0</v>
      </c>
      <c r="I260" t="n">
        <v>0</v>
      </c>
      <c r="J260" t="n">
        <v>0</v>
      </c>
      <c r="K260" t="n">
        <v>0</v>
      </c>
      <c r="L260" t="n">
        <v>0</v>
      </c>
      <c r="M260" t="n">
        <v>0</v>
      </c>
      <c r="N260" t="n">
        <v>0</v>
      </c>
      <c r="O260" t="n">
        <v>0</v>
      </c>
      <c r="P260" t="n">
        <v>0</v>
      </c>
      <c r="Q260" t="n">
        <v>0</v>
      </c>
      <c r="R260" s="2" t="inlineStr"/>
    </row>
    <row r="261" ht="15" customHeight="1">
      <c r="A261" t="inlineStr">
        <is>
          <t>A 63144-2019</t>
        </is>
      </c>
      <c r="B261" s="1" t="n">
        <v>43791</v>
      </c>
      <c r="C261" s="1" t="n">
        <v>45706</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65893-2019</t>
        </is>
      </c>
      <c r="B262" s="1" t="n">
        <v>43805</v>
      </c>
      <c r="C262" s="1" t="n">
        <v>45706</v>
      </c>
      <c r="D262" t="inlineStr">
        <is>
          <t>JÄMTLANDS LÄN</t>
        </is>
      </c>
      <c r="E262" t="inlineStr">
        <is>
          <t>BERG</t>
        </is>
      </c>
      <c r="G262" t="n">
        <v>6.7</v>
      </c>
      <c r="H262" t="n">
        <v>0</v>
      </c>
      <c r="I262" t="n">
        <v>0</v>
      </c>
      <c r="J262" t="n">
        <v>0</v>
      </c>
      <c r="K262" t="n">
        <v>0</v>
      </c>
      <c r="L262" t="n">
        <v>0</v>
      </c>
      <c r="M262" t="n">
        <v>0</v>
      </c>
      <c r="N262" t="n">
        <v>0</v>
      </c>
      <c r="O262" t="n">
        <v>0</v>
      </c>
      <c r="P262" t="n">
        <v>0</v>
      </c>
      <c r="Q262" t="n">
        <v>0</v>
      </c>
      <c r="R262" s="2" t="inlineStr"/>
    </row>
    <row r="263" ht="15" customHeight="1">
      <c r="A263" t="inlineStr">
        <is>
          <t>A 66275-2019</t>
        </is>
      </c>
      <c r="B263" s="1" t="n">
        <v>43808</v>
      </c>
      <c r="C263" s="1" t="n">
        <v>45706</v>
      </c>
      <c r="D263" t="inlineStr">
        <is>
          <t>JÄMTLANDS LÄN</t>
        </is>
      </c>
      <c r="E263" t="inlineStr">
        <is>
          <t>BERG</t>
        </is>
      </c>
      <c r="G263" t="n">
        <v>4.5</v>
      </c>
      <c r="H263" t="n">
        <v>0</v>
      </c>
      <c r="I263" t="n">
        <v>0</v>
      </c>
      <c r="J263" t="n">
        <v>0</v>
      </c>
      <c r="K263" t="n">
        <v>0</v>
      </c>
      <c r="L263" t="n">
        <v>0</v>
      </c>
      <c r="M263" t="n">
        <v>0</v>
      </c>
      <c r="N263" t="n">
        <v>0</v>
      </c>
      <c r="O263" t="n">
        <v>0</v>
      </c>
      <c r="P263" t="n">
        <v>0</v>
      </c>
      <c r="Q263" t="n">
        <v>0</v>
      </c>
      <c r="R263" s="2" t="inlineStr"/>
    </row>
    <row r="264" ht="15" customHeight="1">
      <c r="A264" t="inlineStr">
        <is>
          <t>A 67556-2019</t>
        </is>
      </c>
      <c r="B264" s="1" t="n">
        <v>43808</v>
      </c>
      <c r="C264" s="1" t="n">
        <v>45706</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67898-2019</t>
        </is>
      </c>
      <c r="B265" s="1" t="n">
        <v>43811</v>
      </c>
      <c r="C265" s="1" t="n">
        <v>45706</v>
      </c>
      <c r="D265" t="inlineStr">
        <is>
          <t>JÄMTLANDS LÄN</t>
        </is>
      </c>
      <c r="E265" t="inlineStr">
        <is>
          <t>BERG</t>
        </is>
      </c>
      <c r="G265" t="n">
        <v>3.2</v>
      </c>
      <c r="H265" t="n">
        <v>0</v>
      </c>
      <c r="I265" t="n">
        <v>0</v>
      </c>
      <c r="J265" t="n">
        <v>0</v>
      </c>
      <c r="K265" t="n">
        <v>0</v>
      </c>
      <c r="L265" t="n">
        <v>0</v>
      </c>
      <c r="M265" t="n">
        <v>0</v>
      </c>
      <c r="N265" t="n">
        <v>0</v>
      </c>
      <c r="O265" t="n">
        <v>0</v>
      </c>
      <c r="P265" t="n">
        <v>0</v>
      </c>
      <c r="Q265" t="n">
        <v>0</v>
      </c>
      <c r="R265" s="2" t="inlineStr"/>
    </row>
    <row r="266" ht="15" customHeight="1">
      <c r="A266" t="inlineStr">
        <is>
          <t>A 67225-2019</t>
        </is>
      </c>
      <c r="B266" s="1" t="n">
        <v>43811</v>
      </c>
      <c r="C266" s="1" t="n">
        <v>45706</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67255-2019</t>
        </is>
      </c>
      <c r="B267" s="1" t="n">
        <v>43812</v>
      </c>
      <c r="C267" s="1" t="n">
        <v>45706</v>
      </c>
      <c r="D267" t="inlineStr">
        <is>
          <t>JÄMTLANDS LÄN</t>
        </is>
      </c>
      <c r="E267" t="inlineStr">
        <is>
          <t>BERG</t>
        </is>
      </c>
      <c r="G267" t="n">
        <v>14.7</v>
      </c>
      <c r="H267" t="n">
        <v>0</v>
      </c>
      <c r="I267" t="n">
        <v>0</v>
      </c>
      <c r="J267" t="n">
        <v>0</v>
      </c>
      <c r="K267" t="n">
        <v>0</v>
      </c>
      <c r="L267" t="n">
        <v>0</v>
      </c>
      <c r="M267" t="n">
        <v>0</v>
      </c>
      <c r="N267" t="n">
        <v>0</v>
      </c>
      <c r="O267" t="n">
        <v>0</v>
      </c>
      <c r="P267" t="n">
        <v>0</v>
      </c>
      <c r="Q267" t="n">
        <v>0</v>
      </c>
      <c r="R267" s="2" t="inlineStr"/>
    </row>
    <row r="268" ht="15" customHeight="1">
      <c r="A268" t="inlineStr">
        <is>
          <t>A 152-2020</t>
        </is>
      </c>
      <c r="B268" s="1" t="n">
        <v>43833</v>
      </c>
      <c r="C268" s="1" t="n">
        <v>45706</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3389-2020</t>
        </is>
      </c>
      <c r="B269" s="1" t="n">
        <v>43844</v>
      </c>
      <c r="C269" s="1" t="n">
        <v>45706</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3321-2020</t>
        </is>
      </c>
      <c r="B270" s="1" t="n">
        <v>43844</v>
      </c>
      <c r="C270" s="1" t="n">
        <v>45706</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5556-2020</t>
        </is>
      </c>
      <c r="B271" s="1" t="n">
        <v>43860</v>
      </c>
      <c r="C271" s="1" t="n">
        <v>45706</v>
      </c>
      <c r="D271" t="inlineStr">
        <is>
          <t>JÄMTLANDS LÄN</t>
        </is>
      </c>
      <c r="E271" t="inlineStr">
        <is>
          <t>BERG</t>
        </is>
      </c>
      <c r="G271" t="n">
        <v>0.3</v>
      </c>
      <c r="H271" t="n">
        <v>0</v>
      </c>
      <c r="I271" t="n">
        <v>0</v>
      </c>
      <c r="J271" t="n">
        <v>0</v>
      </c>
      <c r="K271" t="n">
        <v>0</v>
      </c>
      <c r="L271" t="n">
        <v>0</v>
      </c>
      <c r="M271" t="n">
        <v>0</v>
      </c>
      <c r="N271" t="n">
        <v>0</v>
      </c>
      <c r="O271" t="n">
        <v>0</v>
      </c>
      <c r="P271" t="n">
        <v>0</v>
      </c>
      <c r="Q271" t="n">
        <v>0</v>
      </c>
      <c r="R271" s="2" t="inlineStr"/>
    </row>
    <row r="272" ht="15" customHeight="1">
      <c r="A272" t="inlineStr">
        <is>
          <t>A 6333-2020</t>
        </is>
      </c>
      <c r="B272" s="1" t="n">
        <v>43866</v>
      </c>
      <c r="C272" s="1" t="n">
        <v>45706</v>
      </c>
      <c r="D272" t="inlineStr">
        <is>
          <t>JÄMTLANDS LÄN</t>
        </is>
      </c>
      <c r="E272" t="inlineStr">
        <is>
          <t>BERG</t>
        </is>
      </c>
      <c r="G272" t="n">
        <v>7.8</v>
      </c>
      <c r="H272" t="n">
        <v>0</v>
      </c>
      <c r="I272" t="n">
        <v>0</v>
      </c>
      <c r="J272" t="n">
        <v>0</v>
      </c>
      <c r="K272" t="n">
        <v>0</v>
      </c>
      <c r="L272" t="n">
        <v>0</v>
      </c>
      <c r="M272" t="n">
        <v>0</v>
      </c>
      <c r="N272" t="n">
        <v>0</v>
      </c>
      <c r="O272" t="n">
        <v>0</v>
      </c>
      <c r="P272" t="n">
        <v>0</v>
      </c>
      <c r="Q272" t="n">
        <v>0</v>
      </c>
      <c r="R272" s="2" t="inlineStr"/>
    </row>
    <row r="273" ht="15" customHeight="1">
      <c r="A273" t="inlineStr">
        <is>
          <t>A 7228-2020</t>
        </is>
      </c>
      <c r="B273" s="1" t="n">
        <v>43871</v>
      </c>
      <c r="C273" s="1" t="n">
        <v>45706</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8715-2020</t>
        </is>
      </c>
      <c r="B274" s="1" t="n">
        <v>43878</v>
      </c>
      <c r="C274" s="1" t="n">
        <v>45706</v>
      </c>
      <c r="D274" t="inlineStr">
        <is>
          <t>JÄMTLANDS LÄN</t>
        </is>
      </c>
      <c r="E274" t="inlineStr">
        <is>
          <t>BERG</t>
        </is>
      </c>
      <c r="G274" t="n">
        <v>11.1</v>
      </c>
      <c r="H274" t="n">
        <v>0</v>
      </c>
      <c r="I274" t="n">
        <v>0</v>
      </c>
      <c r="J274" t="n">
        <v>0</v>
      </c>
      <c r="K274" t="n">
        <v>0</v>
      </c>
      <c r="L274" t="n">
        <v>0</v>
      </c>
      <c r="M274" t="n">
        <v>0</v>
      </c>
      <c r="N274" t="n">
        <v>0</v>
      </c>
      <c r="O274" t="n">
        <v>0</v>
      </c>
      <c r="P274" t="n">
        <v>0</v>
      </c>
      <c r="Q274" t="n">
        <v>0</v>
      </c>
      <c r="R274" s="2" t="inlineStr"/>
    </row>
    <row r="275" ht="15" customHeight="1">
      <c r="A275" t="inlineStr">
        <is>
          <t>A 9627-2020</t>
        </is>
      </c>
      <c r="B275" s="1" t="n">
        <v>43881</v>
      </c>
      <c r="C275" s="1" t="n">
        <v>45706</v>
      </c>
      <c r="D275" t="inlineStr">
        <is>
          <t>JÄMTLANDS LÄN</t>
        </is>
      </c>
      <c r="E275" t="inlineStr">
        <is>
          <t>BERG</t>
        </is>
      </c>
      <c r="G275" t="n">
        <v>3.3</v>
      </c>
      <c r="H275" t="n">
        <v>0</v>
      </c>
      <c r="I275" t="n">
        <v>0</v>
      </c>
      <c r="J275" t="n">
        <v>0</v>
      </c>
      <c r="K275" t="n">
        <v>0</v>
      </c>
      <c r="L275" t="n">
        <v>0</v>
      </c>
      <c r="M275" t="n">
        <v>0</v>
      </c>
      <c r="N275" t="n">
        <v>0</v>
      </c>
      <c r="O275" t="n">
        <v>0</v>
      </c>
      <c r="P275" t="n">
        <v>0</v>
      </c>
      <c r="Q275" t="n">
        <v>0</v>
      </c>
      <c r="R275" s="2" t="inlineStr"/>
    </row>
    <row r="276" ht="15" customHeight="1">
      <c r="A276" t="inlineStr">
        <is>
          <t>A 9670-2020</t>
        </is>
      </c>
      <c r="B276" s="1" t="n">
        <v>43881</v>
      </c>
      <c r="C276" s="1" t="n">
        <v>45706</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10715-2020</t>
        </is>
      </c>
      <c r="B277" s="1" t="n">
        <v>43888</v>
      </c>
      <c r="C277" s="1" t="n">
        <v>45706</v>
      </c>
      <c r="D277" t="inlineStr">
        <is>
          <t>JÄMTLANDS LÄN</t>
        </is>
      </c>
      <c r="E277" t="inlineStr">
        <is>
          <t>BERG</t>
        </is>
      </c>
      <c r="G277" t="n">
        <v>6.4</v>
      </c>
      <c r="H277" t="n">
        <v>0</v>
      </c>
      <c r="I277" t="n">
        <v>0</v>
      </c>
      <c r="J277" t="n">
        <v>0</v>
      </c>
      <c r="K277" t="n">
        <v>0</v>
      </c>
      <c r="L277" t="n">
        <v>0</v>
      </c>
      <c r="M277" t="n">
        <v>0</v>
      </c>
      <c r="N277" t="n">
        <v>0</v>
      </c>
      <c r="O277" t="n">
        <v>0</v>
      </c>
      <c r="P277" t="n">
        <v>0</v>
      </c>
      <c r="Q277" t="n">
        <v>0</v>
      </c>
      <c r="R277" s="2" t="inlineStr"/>
    </row>
    <row r="278" ht="15" customHeight="1">
      <c r="A278" t="inlineStr">
        <is>
          <t>A 11788-2020</t>
        </is>
      </c>
      <c r="B278" s="1" t="n">
        <v>43894</v>
      </c>
      <c r="C278" s="1" t="n">
        <v>45706</v>
      </c>
      <c r="D278" t="inlineStr">
        <is>
          <t>JÄMTLANDS LÄN</t>
        </is>
      </c>
      <c r="E278" t="inlineStr">
        <is>
          <t>BERG</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11825-2020</t>
        </is>
      </c>
      <c r="B279" s="1" t="n">
        <v>43894</v>
      </c>
      <c r="C279" s="1" t="n">
        <v>45706</v>
      </c>
      <c r="D279" t="inlineStr">
        <is>
          <t>JÄMTLANDS LÄN</t>
        </is>
      </c>
      <c r="E279" t="inlineStr">
        <is>
          <t>BERG</t>
        </is>
      </c>
      <c r="F279" t="inlineStr">
        <is>
          <t>Holmen skog AB</t>
        </is>
      </c>
      <c r="G279" t="n">
        <v>17.7</v>
      </c>
      <c r="H279" t="n">
        <v>0</v>
      </c>
      <c r="I279" t="n">
        <v>0</v>
      </c>
      <c r="J279" t="n">
        <v>0</v>
      </c>
      <c r="K279" t="n">
        <v>0</v>
      </c>
      <c r="L279" t="n">
        <v>0</v>
      </c>
      <c r="M279" t="n">
        <v>0</v>
      </c>
      <c r="N279" t="n">
        <v>0</v>
      </c>
      <c r="O279" t="n">
        <v>0</v>
      </c>
      <c r="P279" t="n">
        <v>0</v>
      </c>
      <c r="Q279" t="n">
        <v>0</v>
      </c>
      <c r="R279" s="2" t="inlineStr"/>
    </row>
    <row r="280" ht="15" customHeight="1">
      <c r="A280" t="inlineStr">
        <is>
          <t>A 11890-2020</t>
        </is>
      </c>
      <c r="B280" s="1" t="n">
        <v>43894</v>
      </c>
      <c r="C280" s="1" t="n">
        <v>45706</v>
      </c>
      <c r="D280" t="inlineStr">
        <is>
          <t>JÄMTLANDS LÄN</t>
        </is>
      </c>
      <c r="E280" t="inlineStr">
        <is>
          <t>BERG</t>
        </is>
      </c>
      <c r="F280" t="inlineStr">
        <is>
          <t>Holmen skog AB</t>
        </is>
      </c>
      <c r="G280" t="n">
        <v>15.3</v>
      </c>
      <c r="H280" t="n">
        <v>0</v>
      </c>
      <c r="I280" t="n">
        <v>0</v>
      </c>
      <c r="J280" t="n">
        <v>0</v>
      </c>
      <c r="K280" t="n">
        <v>0</v>
      </c>
      <c r="L280" t="n">
        <v>0</v>
      </c>
      <c r="M280" t="n">
        <v>0</v>
      </c>
      <c r="N280" t="n">
        <v>0</v>
      </c>
      <c r="O280" t="n">
        <v>0</v>
      </c>
      <c r="P280" t="n">
        <v>0</v>
      </c>
      <c r="Q280" t="n">
        <v>0</v>
      </c>
      <c r="R280" s="2" t="inlineStr"/>
    </row>
    <row r="281" ht="15" customHeight="1">
      <c r="A281" t="inlineStr">
        <is>
          <t>A 11785-2020</t>
        </is>
      </c>
      <c r="B281" s="1" t="n">
        <v>43894</v>
      </c>
      <c r="C281" s="1" t="n">
        <v>45706</v>
      </c>
      <c r="D281" t="inlineStr">
        <is>
          <t>JÄMTLANDS LÄN</t>
        </is>
      </c>
      <c r="E281" t="inlineStr">
        <is>
          <t>BERG</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14854-2020</t>
        </is>
      </c>
      <c r="B282" s="1" t="n">
        <v>43909</v>
      </c>
      <c r="C282" s="1" t="n">
        <v>45706</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18047-2020</t>
        </is>
      </c>
      <c r="B283" s="1" t="n">
        <v>43927</v>
      </c>
      <c r="C283" s="1" t="n">
        <v>45706</v>
      </c>
      <c r="D283" t="inlineStr">
        <is>
          <t>JÄMTLANDS LÄN</t>
        </is>
      </c>
      <c r="E283" t="inlineStr">
        <is>
          <t>BERG</t>
        </is>
      </c>
      <c r="G283" t="n">
        <v>15.8</v>
      </c>
      <c r="H283" t="n">
        <v>0</v>
      </c>
      <c r="I283" t="n">
        <v>0</v>
      </c>
      <c r="J283" t="n">
        <v>0</v>
      </c>
      <c r="K283" t="n">
        <v>0</v>
      </c>
      <c r="L283" t="n">
        <v>0</v>
      </c>
      <c r="M283" t="n">
        <v>0</v>
      </c>
      <c r="N283" t="n">
        <v>0</v>
      </c>
      <c r="O283" t="n">
        <v>0</v>
      </c>
      <c r="P283" t="n">
        <v>0</v>
      </c>
      <c r="Q283" t="n">
        <v>0</v>
      </c>
      <c r="R283" s="2" t="inlineStr"/>
    </row>
    <row r="284" ht="15" customHeight="1">
      <c r="A284" t="inlineStr">
        <is>
          <t>A 18613-2020</t>
        </is>
      </c>
      <c r="B284" s="1" t="n">
        <v>43929</v>
      </c>
      <c r="C284" s="1" t="n">
        <v>45706</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19531-2020</t>
        </is>
      </c>
      <c r="B285" s="1" t="n">
        <v>43940</v>
      </c>
      <c r="C285" s="1" t="n">
        <v>45706</v>
      </c>
      <c r="D285" t="inlineStr">
        <is>
          <t>JÄMTLANDS LÄN</t>
        </is>
      </c>
      <c r="E285" t="inlineStr">
        <is>
          <t>BERG</t>
        </is>
      </c>
      <c r="G285" t="n">
        <v>4.2</v>
      </c>
      <c r="H285" t="n">
        <v>0</v>
      </c>
      <c r="I285" t="n">
        <v>0</v>
      </c>
      <c r="J285" t="n">
        <v>0</v>
      </c>
      <c r="K285" t="n">
        <v>0</v>
      </c>
      <c r="L285" t="n">
        <v>0</v>
      </c>
      <c r="M285" t="n">
        <v>0</v>
      </c>
      <c r="N285" t="n">
        <v>0</v>
      </c>
      <c r="O285" t="n">
        <v>0</v>
      </c>
      <c r="P285" t="n">
        <v>0</v>
      </c>
      <c r="Q285" t="n">
        <v>0</v>
      </c>
      <c r="R285" s="2" t="inlineStr"/>
    </row>
    <row r="286" ht="15" customHeight="1">
      <c r="A286" t="inlineStr">
        <is>
          <t>A 19532-2020</t>
        </is>
      </c>
      <c r="B286" s="1" t="n">
        <v>43941</v>
      </c>
      <c r="C286" s="1" t="n">
        <v>45706</v>
      </c>
      <c r="D286" t="inlineStr">
        <is>
          <t>JÄMTLANDS LÄN</t>
        </is>
      </c>
      <c r="E286" t="inlineStr">
        <is>
          <t>BERG</t>
        </is>
      </c>
      <c r="F286" t="inlineStr">
        <is>
          <t>SCA</t>
        </is>
      </c>
      <c r="G286" t="n">
        <v>6.3</v>
      </c>
      <c r="H286" t="n">
        <v>0</v>
      </c>
      <c r="I286" t="n">
        <v>0</v>
      </c>
      <c r="J286" t="n">
        <v>0</v>
      </c>
      <c r="K286" t="n">
        <v>0</v>
      </c>
      <c r="L286" t="n">
        <v>0</v>
      </c>
      <c r="M286" t="n">
        <v>0</v>
      </c>
      <c r="N286" t="n">
        <v>0</v>
      </c>
      <c r="O286" t="n">
        <v>0</v>
      </c>
      <c r="P286" t="n">
        <v>0</v>
      </c>
      <c r="Q286" t="n">
        <v>0</v>
      </c>
      <c r="R286" s="2" t="inlineStr"/>
    </row>
    <row r="287" ht="15" customHeight="1">
      <c r="A287" t="inlineStr">
        <is>
          <t>A 20745-2020</t>
        </is>
      </c>
      <c r="B287" s="1" t="n">
        <v>43949</v>
      </c>
      <c r="C287" s="1" t="n">
        <v>45706</v>
      </c>
      <c r="D287" t="inlineStr">
        <is>
          <t>JÄMTLANDS LÄN</t>
        </is>
      </c>
      <c r="E287" t="inlineStr">
        <is>
          <t>BERG</t>
        </is>
      </c>
      <c r="G287" t="n">
        <v>9.1</v>
      </c>
      <c r="H287" t="n">
        <v>0</v>
      </c>
      <c r="I287" t="n">
        <v>0</v>
      </c>
      <c r="J287" t="n">
        <v>0</v>
      </c>
      <c r="K287" t="n">
        <v>0</v>
      </c>
      <c r="L287" t="n">
        <v>0</v>
      </c>
      <c r="M287" t="n">
        <v>0</v>
      </c>
      <c r="N287" t="n">
        <v>0</v>
      </c>
      <c r="O287" t="n">
        <v>0</v>
      </c>
      <c r="P287" t="n">
        <v>0</v>
      </c>
      <c r="Q287" t="n">
        <v>0</v>
      </c>
      <c r="R287" s="2" t="inlineStr"/>
    </row>
    <row r="288" ht="15" customHeight="1">
      <c r="A288" t="inlineStr">
        <is>
          <t>A 23490-2020</t>
        </is>
      </c>
      <c r="B288" s="1" t="n">
        <v>43966</v>
      </c>
      <c r="C288" s="1" t="n">
        <v>45706</v>
      </c>
      <c r="D288" t="inlineStr">
        <is>
          <t>JÄMTLANDS LÄN</t>
        </is>
      </c>
      <c r="E288" t="inlineStr">
        <is>
          <t>BERG</t>
        </is>
      </c>
      <c r="G288" t="n">
        <v>8.6</v>
      </c>
      <c r="H288" t="n">
        <v>0</v>
      </c>
      <c r="I288" t="n">
        <v>0</v>
      </c>
      <c r="J288" t="n">
        <v>0</v>
      </c>
      <c r="K288" t="n">
        <v>0</v>
      </c>
      <c r="L288" t="n">
        <v>0</v>
      </c>
      <c r="M288" t="n">
        <v>0</v>
      </c>
      <c r="N288" t="n">
        <v>0</v>
      </c>
      <c r="O288" t="n">
        <v>0</v>
      </c>
      <c r="P288" t="n">
        <v>0</v>
      </c>
      <c r="Q288" t="n">
        <v>0</v>
      </c>
      <c r="R288" s="2" t="inlineStr"/>
    </row>
    <row r="289" ht="15" customHeight="1">
      <c r="A289" t="inlineStr">
        <is>
          <t>A 24292-2020</t>
        </is>
      </c>
      <c r="B289" s="1" t="n">
        <v>43976</v>
      </c>
      <c r="C289" s="1" t="n">
        <v>45706</v>
      </c>
      <c r="D289" t="inlineStr">
        <is>
          <t>JÄMTLANDS LÄN</t>
        </is>
      </c>
      <c r="E289" t="inlineStr">
        <is>
          <t>BERG</t>
        </is>
      </c>
      <c r="F289" t="inlineStr">
        <is>
          <t>Kyrkan</t>
        </is>
      </c>
      <c r="G289" t="n">
        <v>11</v>
      </c>
      <c r="H289" t="n">
        <v>0</v>
      </c>
      <c r="I289" t="n">
        <v>0</v>
      </c>
      <c r="J289" t="n">
        <v>0</v>
      </c>
      <c r="K289" t="n">
        <v>0</v>
      </c>
      <c r="L289" t="n">
        <v>0</v>
      </c>
      <c r="M289" t="n">
        <v>0</v>
      </c>
      <c r="N289" t="n">
        <v>0</v>
      </c>
      <c r="O289" t="n">
        <v>0</v>
      </c>
      <c r="P289" t="n">
        <v>0</v>
      </c>
      <c r="Q289" t="n">
        <v>0</v>
      </c>
      <c r="R289" s="2" t="inlineStr"/>
    </row>
    <row r="290" ht="15" customHeight="1">
      <c r="A290" t="inlineStr">
        <is>
          <t>A 24932-2020</t>
        </is>
      </c>
      <c r="B290" s="1" t="n">
        <v>43979</v>
      </c>
      <c r="C290" s="1" t="n">
        <v>45706</v>
      </c>
      <c r="D290" t="inlineStr">
        <is>
          <t>JÄMTLANDS LÄN</t>
        </is>
      </c>
      <c r="E290" t="inlineStr">
        <is>
          <t>BERG</t>
        </is>
      </c>
      <c r="F290" t="inlineStr">
        <is>
          <t>Kyrkan</t>
        </is>
      </c>
      <c r="G290" t="n">
        <v>0.5</v>
      </c>
      <c r="H290" t="n">
        <v>0</v>
      </c>
      <c r="I290" t="n">
        <v>0</v>
      </c>
      <c r="J290" t="n">
        <v>0</v>
      </c>
      <c r="K290" t="n">
        <v>0</v>
      </c>
      <c r="L290" t="n">
        <v>0</v>
      </c>
      <c r="M290" t="n">
        <v>0</v>
      </c>
      <c r="N290" t="n">
        <v>0</v>
      </c>
      <c r="O290" t="n">
        <v>0</v>
      </c>
      <c r="P290" t="n">
        <v>0</v>
      </c>
      <c r="Q290" t="n">
        <v>0</v>
      </c>
      <c r="R290" s="2" t="inlineStr"/>
    </row>
    <row r="291" ht="15" customHeight="1">
      <c r="A291" t="inlineStr">
        <is>
          <t>A 25017-2020</t>
        </is>
      </c>
      <c r="B291" s="1" t="n">
        <v>43979</v>
      </c>
      <c r="C291" s="1" t="n">
        <v>45706</v>
      </c>
      <c r="D291" t="inlineStr">
        <is>
          <t>JÄMTLANDS LÄN</t>
        </is>
      </c>
      <c r="E291" t="inlineStr">
        <is>
          <t>BERG</t>
        </is>
      </c>
      <c r="G291" t="n">
        <v>6.3</v>
      </c>
      <c r="H291" t="n">
        <v>0</v>
      </c>
      <c r="I291" t="n">
        <v>0</v>
      </c>
      <c r="J291" t="n">
        <v>0</v>
      </c>
      <c r="K291" t="n">
        <v>0</v>
      </c>
      <c r="L291" t="n">
        <v>0</v>
      </c>
      <c r="M291" t="n">
        <v>0</v>
      </c>
      <c r="N291" t="n">
        <v>0</v>
      </c>
      <c r="O291" t="n">
        <v>0</v>
      </c>
      <c r="P291" t="n">
        <v>0</v>
      </c>
      <c r="Q291" t="n">
        <v>0</v>
      </c>
      <c r="R291" s="2" t="inlineStr"/>
    </row>
    <row r="292" ht="15" customHeight="1">
      <c r="A292" t="inlineStr">
        <is>
          <t>A 25978-2020</t>
        </is>
      </c>
      <c r="B292" s="1" t="n">
        <v>43985</v>
      </c>
      <c r="C292" s="1" t="n">
        <v>45706</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25993-2020</t>
        </is>
      </c>
      <c r="B293" s="1" t="n">
        <v>43985</v>
      </c>
      <c r="C293" s="1" t="n">
        <v>45706</v>
      </c>
      <c r="D293" t="inlineStr">
        <is>
          <t>JÄMTLANDS LÄN</t>
        </is>
      </c>
      <c r="E293" t="inlineStr">
        <is>
          <t>BERG</t>
        </is>
      </c>
      <c r="G293" t="n">
        <v>0.3</v>
      </c>
      <c r="H293" t="n">
        <v>0</v>
      </c>
      <c r="I293" t="n">
        <v>0</v>
      </c>
      <c r="J293" t="n">
        <v>0</v>
      </c>
      <c r="K293" t="n">
        <v>0</v>
      </c>
      <c r="L293" t="n">
        <v>0</v>
      </c>
      <c r="M293" t="n">
        <v>0</v>
      </c>
      <c r="N293" t="n">
        <v>0</v>
      </c>
      <c r="O293" t="n">
        <v>0</v>
      </c>
      <c r="P293" t="n">
        <v>0</v>
      </c>
      <c r="Q293" t="n">
        <v>0</v>
      </c>
      <c r="R293" s="2" t="inlineStr"/>
    </row>
    <row r="294" ht="15" customHeight="1">
      <c r="A294" t="inlineStr">
        <is>
          <t>A 25984-2020</t>
        </is>
      </c>
      <c r="B294" s="1" t="n">
        <v>43985</v>
      </c>
      <c r="C294" s="1" t="n">
        <v>45706</v>
      </c>
      <c r="D294" t="inlineStr">
        <is>
          <t>JÄMTLANDS LÄN</t>
        </is>
      </c>
      <c r="E294" t="inlineStr">
        <is>
          <t>BERG</t>
        </is>
      </c>
      <c r="G294" t="n">
        <v>3.6</v>
      </c>
      <c r="H294" t="n">
        <v>0</v>
      </c>
      <c r="I294" t="n">
        <v>0</v>
      </c>
      <c r="J294" t="n">
        <v>0</v>
      </c>
      <c r="K294" t="n">
        <v>0</v>
      </c>
      <c r="L294" t="n">
        <v>0</v>
      </c>
      <c r="M294" t="n">
        <v>0</v>
      </c>
      <c r="N294" t="n">
        <v>0</v>
      </c>
      <c r="O294" t="n">
        <v>0</v>
      </c>
      <c r="P294" t="n">
        <v>0</v>
      </c>
      <c r="Q294" t="n">
        <v>0</v>
      </c>
      <c r="R294" s="2" t="inlineStr"/>
    </row>
    <row r="295" ht="15" customHeight="1">
      <c r="A295" t="inlineStr">
        <is>
          <t>A 26175-2020</t>
        </is>
      </c>
      <c r="B295" s="1" t="n">
        <v>43985</v>
      </c>
      <c r="C295" s="1" t="n">
        <v>45706</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25975-2020</t>
        </is>
      </c>
      <c r="B296" s="1" t="n">
        <v>43985</v>
      </c>
      <c r="C296" s="1" t="n">
        <v>45706</v>
      </c>
      <c r="D296" t="inlineStr">
        <is>
          <t>JÄMTLANDS LÄN</t>
        </is>
      </c>
      <c r="E296" t="inlineStr">
        <is>
          <t>BERG</t>
        </is>
      </c>
      <c r="G296" t="n">
        <v>5.4</v>
      </c>
      <c r="H296" t="n">
        <v>0</v>
      </c>
      <c r="I296" t="n">
        <v>0</v>
      </c>
      <c r="J296" t="n">
        <v>0</v>
      </c>
      <c r="K296" t="n">
        <v>0</v>
      </c>
      <c r="L296" t="n">
        <v>0</v>
      </c>
      <c r="M296" t="n">
        <v>0</v>
      </c>
      <c r="N296" t="n">
        <v>0</v>
      </c>
      <c r="O296" t="n">
        <v>0</v>
      </c>
      <c r="P296" t="n">
        <v>0</v>
      </c>
      <c r="Q296" t="n">
        <v>0</v>
      </c>
      <c r="R296" s="2" t="inlineStr"/>
    </row>
    <row r="297" ht="15" customHeight="1">
      <c r="A297" t="inlineStr">
        <is>
          <t>A 28767-2020</t>
        </is>
      </c>
      <c r="B297" s="1" t="n">
        <v>44000</v>
      </c>
      <c r="C297" s="1" t="n">
        <v>45706</v>
      </c>
      <c r="D297" t="inlineStr">
        <is>
          <t>JÄMTLANDS LÄN</t>
        </is>
      </c>
      <c r="E297" t="inlineStr">
        <is>
          <t>BERG</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28961-2020</t>
        </is>
      </c>
      <c r="B298" s="1" t="n">
        <v>44000</v>
      </c>
      <c r="C298" s="1" t="n">
        <v>45706</v>
      </c>
      <c r="D298" t="inlineStr">
        <is>
          <t>JÄMTLANDS LÄN</t>
        </is>
      </c>
      <c r="E298" t="inlineStr">
        <is>
          <t>BERG</t>
        </is>
      </c>
      <c r="G298" t="n">
        <v>7.6</v>
      </c>
      <c r="H298" t="n">
        <v>0</v>
      </c>
      <c r="I298" t="n">
        <v>0</v>
      </c>
      <c r="J298" t="n">
        <v>0</v>
      </c>
      <c r="K298" t="n">
        <v>0</v>
      </c>
      <c r="L298" t="n">
        <v>0</v>
      </c>
      <c r="M298" t="n">
        <v>0</v>
      </c>
      <c r="N298" t="n">
        <v>0</v>
      </c>
      <c r="O298" t="n">
        <v>0</v>
      </c>
      <c r="P298" t="n">
        <v>0</v>
      </c>
      <c r="Q298" t="n">
        <v>0</v>
      </c>
      <c r="R298" s="2" t="inlineStr"/>
    </row>
    <row r="299" ht="15" customHeight="1">
      <c r="A299" t="inlineStr">
        <is>
          <t>A 29004-2020</t>
        </is>
      </c>
      <c r="B299" s="1" t="n">
        <v>44000</v>
      </c>
      <c r="C299" s="1" t="n">
        <v>45706</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29052-2020</t>
        </is>
      </c>
      <c r="B300" s="1" t="n">
        <v>44000</v>
      </c>
      <c r="C300" s="1" t="n">
        <v>45706</v>
      </c>
      <c r="D300" t="inlineStr">
        <is>
          <t>JÄMTLANDS LÄN</t>
        </is>
      </c>
      <c r="E300" t="inlineStr">
        <is>
          <t>BERG</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29788-2020</t>
        </is>
      </c>
      <c r="B301" s="1" t="n">
        <v>44005</v>
      </c>
      <c r="C301" s="1" t="n">
        <v>45706</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30477-2020</t>
        </is>
      </c>
      <c r="B302" s="1" t="n">
        <v>44007</v>
      </c>
      <c r="C302" s="1" t="n">
        <v>45706</v>
      </c>
      <c r="D302" t="inlineStr">
        <is>
          <t>JÄMTLANDS LÄN</t>
        </is>
      </c>
      <c r="E302" t="inlineStr">
        <is>
          <t>BERG</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31970-2020</t>
        </is>
      </c>
      <c r="B303" s="1" t="n">
        <v>44015</v>
      </c>
      <c r="C303" s="1" t="n">
        <v>45706</v>
      </c>
      <c r="D303" t="inlineStr">
        <is>
          <t>JÄMTLANDS LÄN</t>
        </is>
      </c>
      <c r="E303" t="inlineStr">
        <is>
          <t>BERG</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32744-2020</t>
        </is>
      </c>
      <c r="B304" s="1" t="n">
        <v>44019</v>
      </c>
      <c r="C304" s="1" t="n">
        <v>45706</v>
      </c>
      <c r="D304" t="inlineStr">
        <is>
          <t>JÄMTLANDS LÄN</t>
        </is>
      </c>
      <c r="E304" t="inlineStr">
        <is>
          <t>BERG</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33885-2020</t>
        </is>
      </c>
      <c r="B305" s="1" t="n">
        <v>44027</v>
      </c>
      <c r="C305" s="1" t="n">
        <v>45706</v>
      </c>
      <c r="D305" t="inlineStr">
        <is>
          <t>JÄMTLANDS LÄN</t>
        </is>
      </c>
      <c r="E305" t="inlineStr">
        <is>
          <t>BERG</t>
        </is>
      </c>
      <c r="G305" t="n">
        <v>7.2</v>
      </c>
      <c r="H305" t="n">
        <v>0</v>
      </c>
      <c r="I305" t="n">
        <v>0</v>
      </c>
      <c r="J305" t="n">
        <v>0</v>
      </c>
      <c r="K305" t="n">
        <v>0</v>
      </c>
      <c r="L305" t="n">
        <v>0</v>
      </c>
      <c r="M305" t="n">
        <v>0</v>
      </c>
      <c r="N305" t="n">
        <v>0</v>
      </c>
      <c r="O305" t="n">
        <v>0</v>
      </c>
      <c r="P305" t="n">
        <v>0</v>
      </c>
      <c r="Q305" t="n">
        <v>0</v>
      </c>
      <c r="R305" s="2" t="inlineStr"/>
    </row>
    <row r="306" ht="15" customHeight="1">
      <c r="A306" t="inlineStr">
        <is>
          <t>A 34584-2020</t>
        </is>
      </c>
      <c r="B306" s="1" t="n">
        <v>44033</v>
      </c>
      <c r="C306" s="1" t="n">
        <v>45706</v>
      </c>
      <c r="D306" t="inlineStr">
        <is>
          <t>JÄMTLANDS LÄN</t>
        </is>
      </c>
      <c r="E306" t="inlineStr">
        <is>
          <t>BERG</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34581-2020</t>
        </is>
      </c>
      <c r="B307" s="1" t="n">
        <v>44033</v>
      </c>
      <c r="C307" s="1" t="n">
        <v>45706</v>
      </c>
      <c r="D307" t="inlineStr">
        <is>
          <t>JÄMTLANDS LÄN</t>
        </is>
      </c>
      <c r="E307" t="inlineStr">
        <is>
          <t>BERG</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34738-2020</t>
        </is>
      </c>
      <c r="B308" s="1" t="n">
        <v>44035</v>
      </c>
      <c r="C308" s="1" t="n">
        <v>45706</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34804-2020</t>
        </is>
      </c>
      <c r="B309" s="1" t="n">
        <v>44036</v>
      </c>
      <c r="C309" s="1" t="n">
        <v>45706</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35620-2020</t>
        </is>
      </c>
      <c r="B310" s="1" t="n">
        <v>44045</v>
      </c>
      <c r="C310" s="1" t="n">
        <v>45706</v>
      </c>
      <c r="D310" t="inlineStr">
        <is>
          <t>JÄMTLANDS LÄN</t>
        </is>
      </c>
      <c r="E310" t="inlineStr">
        <is>
          <t>BERG</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38077-2020</t>
        </is>
      </c>
      <c r="B311" s="1" t="n">
        <v>44057</v>
      </c>
      <c r="C311" s="1" t="n">
        <v>45706</v>
      </c>
      <c r="D311" t="inlineStr">
        <is>
          <t>JÄMTLANDS LÄN</t>
        </is>
      </c>
      <c r="E311" t="inlineStr">
        <is>
          <t>BERG</t>
        </is>
      </c>
      <c r="G311" t="n">
        <v>0.5</v>
      </c>
      <c r="H311" t="n">
        <v>0</v>
      </c>
      <c r="I311" t="n">
        <v>0</v>
      </c>
      <c r="J311" t="n">
        <v>0</v>
      </c>
      <c r="K311" t="n">
        <v>0</v>
      </c>
      <c r="L311" t="n">
        <v>0</v>
      </c>
      <c r="M311" t="n">
        <v>0</v>
      </c>
      <c r="N311" t="n">
        <v>0</v>
      </c>
      <c r="O311" t="n">
        <v>0</v>
      </c>
      <c r="P311" t="n">
        <v>0</v>
      </c>
      <c r="Q311" t="n">
        <v>0</v>
      </c>
      <c r="R311" s="2" t="inlineStr"/>
    </row>
    <row r="312" ht="15" customHeight="1">
      <c r="A312" t="inlineStr">
        <is>
          <t>A 39137-2020</t>
        </is>
      </c>
      <c r="B312" s="1" t="n">
        <v>44062</v>
      </c>
      <c r="C312" s="1" t="n">
        <v>45706</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39220-2020</t>
        </is>
      </c>
      <c r="B313" s="1" t="n">
        <v>44063</v>
      </c>
      <c r="C313" s="1" t="n">
        <v>45706</v>
      </c>
      <c r="D313" t="inlineStr">
        <is>
          <t>JÄMTLANDS LÄN</t>
        </is>
      </c>
      <c r="E313" t="inlineStr">
        <is>
          <t>BERG</t>
        </is>
      </c>
      <c r="G313" t="n">
        <v>1.9</v>
      </c>
      <c r="H313" t="n">
        <v>0</v>
      </c>
      <c r="I313" t="n">
        <v>0</v>
      </c>
      <c r="J313" t="n">
        <v>0</v>
      </c>
      <c r="K313" t="n">
        <v>0</v>
      </c>
      <c r="L313" t="n">
        <v>0</v>
      </c>
      <c r="M313" t="n">
        <v>0</v>
      </c>
      <c r="N313" t="n">
        <v>0</v>
      </c>
      <c r="O313" t="n">
        <v>0</v>
      </c>
      <c r="P313" t="n">
        <v>0</v>
      </c>
      <c r="Q313" t="n">
        <v>0</v>
      </c>
      <c r="R313" s="2" t="inlineStr"/>
    </row>
    <row r="314" ht="15" customHeight="1">
      <c r="A314" t="inlineStr">
        <is>
          <t>A 39200-2020</t>
        </is>
      </c>
      <c r="B314" s="1" t="n">
        <v>44063</v>
      </c>
      <c r="C314" s="1" t="n">
        <v>45706</v>
      </c>
      <c r="D314" t="inlineStr">
        <is>
          <t>JÄMTLANDS LÄN</t>
        </is>
      </c>
      <c r="E314" t="inlineStr">
        <is>
          <t>BERG</t>
        </is>
      </c>
      <c r="G314" t="n">
        <v>1.6</v>
      </c>
      <c r="H314" t="n">
        <v>0</v>
      </c>
      <c r="I314" t="n">
        <v>0</v>
      </c>
      <c r="J314" t="n">
        <v>0</v>
      </c>
      <c r="K314" t="n">
        <v>0</v>
      </c>
      <c r="L314" t="n">
        <v>0</v>
      </c>
      <c r="M314" t="n">
        <v>0</v>
      </c>
      <c r="N314" t="n">
        <v>0</v>
      </c>
      <c r="O314" t="n">
        <v>0</v>
      </c>
      <c r="P314" t="n">
        <v>0</v>
      </c>
      <c r="Q314" t="n">
        <v>0</v>
      </c>
      <c r="R314" s="2" t="inlineStr"/>
    </row>
    <row r="315" ht="15" customHeight="1">
      <c r="A315" t="inlineStr">
        <is>
          <t>A 39212-2020</t>
        </is>
      </c>
      <c r="B315" s="1" t="n">
        <v>44063</v>
      </c>
      <c r="C315" s="1" t="n">
        <v>45706</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39228-2020</t>
        </is>
      </c>
      <c r="B316" s="1" t="n">
        <v>44063</v>
      </c>
      <c r="C316" s="1" t="n">
        <v>45706</v>
      </c>
      <c r="D316" t="inlineStr">
        <is>
          <t>JÄMTLANDS LÄN</t>
        </is>
      </c>
      <c r="E316" t="inlineStr">
        <is>
          <t>BERG</t>
        </is>
      </c>
      <c r="G316" t="n">
        <v>3.6</v>
      </c>
      <c r="H316" t="n">
        <v>0</v>
      </c>
      <c r="I316" t="n">
        <v>0</v>
      </c>
      <c r="J316" t="n">
        <v>0</v>
      </c>
      <c r="K316" t="n">
        <v>0</v>
      </c>
      <c r="L316" t="n">
        <v>0</v>
      </c>
      <c r="M316" t="n">
        <v>0</v>
      </c>
      <c r="N316" t="n">
        <v>0</v>
      </c>
      <c r="O316" t="n">
        <v>0</v>
      </c>
      <c r="P316" t="n">
        <v>0</v>
      </c>
      <c r="Q316" t="n">
        <v>0</v>
      </c>
      <c r="R316" s="2" t="inlineStr"/>
    </row>
    <row r="317" ht="15" customHeight="1">
      <c r="A317" t="inlineStr">
        <is>
          <t>A 39205-2020</t>
        </is>
      </c>
      <c r="B317" s="1" t="n">
        <v>44063</v>
      </c>
      <c r="C317" s="1" t="n">
        <v>45706</v>
      </c>
      <c r="D317" t="inlineStr">
        <is>
          <t>JÄMTLANDS LÄN</t>
        </is>
      </c>
      <c r="E317" t="inlineStr">
        <is>
          <t>BERG</t>
        </is>
      </c>
      <c r="G317" t="n">
        <v>5.3</v>
      </c>
      <c r="H317" t="n">
        <v>0</v>
      </c>
      <c r="I317" t="n">
        <v>0</v>
      </c>
      <c r="J317" t="n">
        <v>0</v>
      </c>
      <c r="K317" t="n">
        <v>0</v>
      </c>
      <c r="L317" t="n">
        <v>0</v>
      </c>
      <c r="M317" t="n">
        <v>0</v>
      </c>
      <c r="N317" t="n">
        <v>0</v>
      </c>
      <c r="O317" t="n">
        <v>0</v>
      </c>
      <c r="P317" t="n">
        <v>0</v>
      </c>
      <c r="Q317" t="n">
        <v>0</v>
      </c>
      <c r="R317" s="2" t="inlineStr"/>
    </row>
    <row r="318" ht="15" customHeight="1">
      <c r="A318" t="inlineStr">
        <is>
          <t>A 40333-2020</t>
        </is>
      </c>
      <c r="B318" s="1" t="n">
        <v>44068</v>
      </c>
      <c r="C318" s="1" t="n">
        <v>45706</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44003-2020</t>
        </is>
      </c>
      <c r="B319" s="1" t="n">
        <v>44083</v>
      </c>
      <c r="C319" s="1" t="n">
        <v>45706</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44422-2020</t>
        </is>
      </c>
      <c r="B320" s="1" t="n">
        <v>44084</v>
      </c>
      <c r="C320" s="1" t="n">
        <v>45706</v>
      </c>
      <c r="D320" t="inlineStr">
        <is>
          <t>JÄMTLANDS LÄN</t>
        </is>
      </c>
      <c r="E320" t="inlineStr">
        <is>
          <t>BERG</t>
        </is>
      </c>
      <c r="G320" t="n">
        <v>6.9</v>
      </c>
      <c r="H320" t="n">
        <v>0</v>
      </c>
      <c r="I320" t="n">
        <v>0</v>
      </c>
      <c r="J320" t="n">
        <v>0</v>
      </c>
      <c r="K320" t="n">
        <v>0</v>
      </c>
      <c r="L320" t="n">
        <v>0</v>
      </c>
      <c r="M320" t="n">
        <v>0</v>
      </c>
      <c r="N320" t="n">
        <v>0</v>
      </c>
      <c r="O320" t="n">
        <v>0</v>
      </c>
      <c r="P320" t="n">
        <v>0</v>
      </c>
      <c r="Q320" t="n">
        <v>0</v>
      </c>
      <c r="R320" s="2" t="inlineStr"/>
    </row>
    <row r="321" ht="15" customHeight="1">
      <c r="A321" t="inlineStr">
        <is>
          <t>A 46657-2020</t>
        </is>
      </c>
      <c r="B321" s="1" t="n">
        <v>44095</v>
      </c>
      <c r="C321" s="1" t="n">
        <v>45706</v>
      </c>
      <c r="D321" t="inlineStr">
        <is>
          <t>JÄMTLANDS LÄN</t>
        </is>
      </c>
      <c r="E321" t="inlineStr">
        <is>
          <t>BERG</t>
        </is>
      </c>
      <c r="F321" t="inlineStr">
        <is>
          <t>Kommuner</t>
        </is>
      </c>
      <c r="G321" t="n">
        <v>3.8</v>
      </c>
      <c r="H321" t="n">
        <v>0</v>
      </c>
      <c r="I321" t="n">
        <v>0</v>
      </c>
      <c r="J321" t="n">
        <v>0</v>
      </c>
      <c r="K321" t="n">
        <v>0</v>
      </c>
      <c r="L321" t="n">
        <v>0</v>
      </c>
      <c r="M321" t="n">
        <v>0</v>
      </c>
      <c r="N321" t="n">
        <v>0</v>
      </c>
      <c r="O321" t="n">
        <v>0</v>
      </c>
      <c r="P321" t="n">
        <v>0</v>
      </c>
      <c r="Q321" t="n">
        <v>0</v>
      </c>
      <c r="R321" s="2" t="inlineStr"/>
    </row>
    <row r="322" ht="15" customHeight="1">
      <c r="A322" t="inlineStr">
        <is>
          <t>A 46616-2020</t>
        </is>
      </c>
      <c r="B322" s="1" t="n">
        <v>44095</v>
      </c>
      <c r="C322" s="1" t="n">
        <v>45706</v>
      </c>
      <c r="D322" t="inlineStr">
        <is>
          <t>JÄMTLANDS LÄN</t>
        </is>
      </c>
      <c r="E322" t="inlineStr">
        <is>
          <t>BERG</t>
        </is>
      </c>
      <c r="F322" t="inlineStr">
        <is>
          <t>Kommuner</t>
        </is>
      </c>
      <c r="G322" t="n">
        <v>42.8</v>
      </c>
      <c r="H322" t="n">
        <v>0</v>
      </c>
      <c r="I322" t="n">
        <v>0</v>
      </c>
      <c r="J322" t="n">
        <v>0</v>
      </c>
      <c r="K322" t="n">
        <v>0</v>
      </c>
      <c r="L322" t="n">
        <v>0</v>
      </c>
      <c r="M322" t="n">
        <v>0</v>
      </c>
      <c r="N322" t="n">
        <v>0</v>
      </c>
      <c r="O322" t="n">
        <v>0</v>
      </c>
      <c r="P322" t="n">
        <v>0</v>
      </c>
      <c r="Q322" t="n">
        <v>0</v>
      </c>
      <c r="R322" s="2" t="inlineStr"/>
    </row>
    <row r="323" ht="15" customHeight="1">
      <c r="A323" t="inlineStr">
        <is>
          <t>A 46635-2020</t>
        </is>
      </c>
      <c r="B323" s="1" t="n">
        <v>44095</v>
      </c>
      <c r="C323" s="1" t="n">
        <v>45706</v>
      </c>
      <c r="D323" t="inlineStr">
        <is>
          <t>JÄMTLANDS LÄN</t>
        </is>
      </c>
      <c r="E323" t="inlineStr">
        <is>
          <t>BERG</t>
        </is>
      </c>
      <c r="F323" t="inlineStr">
        <is>
          <t>Kommuner</t>
        </is>
      </c>
      <c r="G323" t="n">
        <v>14.5</v>
      </c>
      <c r="H323" t="n">
        <v>0</v>
      </c>
      <c r="I323" t="n">
        <v>0</v>
      </c>
      <c r="J323" t="n">
        <v>0</v>
      </c>
      <c r="K323" t="n">
        <v>0</v>
      </c>
      <c r="L323" t="n">
        <v>0</v>
      </c>
      <c r="M323" t="n">
        <v>0</v>
      </c>
      <c r="N323" t="n">
        <v>0</v>
      </c>
      <c r="O323" t="n">
        <v>0</v>
      </c>
      <c r="P323" t="n">
        <v>0</v>
      </c>
      <c r="Q323" t="n">
        <v>0</v>
      </c>
      <c r="R323" s="2" t="inlineStr"/>
    </row>
    <row r="324" ht="15" customHeight="1">
      <c r="A324" t="inlineStr">
        <is>
          <t>A 46660-2020</t>
        </is>
      </c>
      <c r="B324" s="1" t="n">
        <v>44095</v>
      </c>
      <c r="C324" s="1" t="n">
        <v>45706</v>
      </c>
      <c r="D324" t="inlineStr">
        <is>
          <t>JÄMTLANDS LÄN</t>
        </is>
      </c>
      <c r="E324" t="inlineStr">
        <is>
          <t>BERG</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48801-2020</t>
        </is>
      </c>
      <c r="B325" s="1" t="n">
        <v>44103</v>
      </c>
      <c r="C325" s="1" t="n">
        <v>45706</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49174-2020</t>
        </is>
      </c>
      <c r="B326" s="1" t="n">
        <v>44104</v>
      </c>
      <c r="C326" s="1" t="n">
        <v>45706</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53958-2020</t>
        </is>
      </c>
      <c r="B327" s="1" t="n">
        <v>44123</v>
      </c>
      <c r="C327" s="1" t="n">
        <v>45706</v>
      </c>
      <c r="D327" t="inlineStr">
        <is>
          <t>JÄMTLANDS LÄN</t>
        </is>
      </c>
      <c r="E327" t="inlineStr">
        <is>
          <t>BERG</t>
        </is>
      </c>
      <c r="G327" t="n">
        <v>27.9</v>
      </c>
      <c r="H327" t="n">
        <v>0</v>
      </c>
      <c r="I327" t="n">
        <v>0</v>
      </c>
      <c r="J327" t="n">
        <v>0</v>
      </c>
      <c r="K327" t="n">
        <v>0</v>
      </c>
      <c r="L327" t="n">
        <v>0</v>
      </c>
      <c r="M327" t="n">
        <v>0</v>
      </c>
      <c r="N327" t="n">
        <v>0</v>
      </c>
      <c r="O327" t="n">
        <v>0</v>
      </c>
      <c r="P327" t="n">
        <v>0</v>
      </c>
      <c r="Q327" t="n">
        <v>0</v>
      </c>
      <c r="R327" s="2" t="inlineStr"/>
    </row>
    <row r="328" ht="15" customHeight="1">
      <c r="A328" t="inlineStr">
        <is>
          <t>A 53950-2020</t>
        </is>
      </c>
      <c r="B328" s="1" t="n">
        <v>44123</v>
      </c>
      <c r="C328" s="1" t="n">
        <v>45706</v>
      </c>
      <c r="D328" t="inlineStr">
        <is>
          <t>JÄMTLANDS LÄN</t>
        </is>
      </c>
      <c r="E328" t="inlineStr">
        <is>
          <t>BERG</t>
        </is>
      </c>
      <c r="G328" t="n">
        <v>11.8</v>
      </c>
      <c r="H328" t="n">
        <v>0</v>
      </c>
      <c r="I328" t="n">
        <v>0</v>
      </c>
      <c r="J328" t="n">
        <v>0</v>
      </c>
      <c r="K328" t="n">
        <v>0</v>
      </c>
      <c r="L328" t="n">
        <v>0</v>
      </c>
      <c r="M328" t="n">
        <v>0</v>
      </c>
      <c r="N328" t="n">
        <v>0</v>
      </c>
      <c r="O328" t="n">
        <v>0</v>
      </c>
      <c r="P328" t="n">
        <v>0</v>
      </c>
      <c r="Q328" t="n">
        <v>0</v>
      </c>
      <c r="R328" s="2" t="inlineStr"/>
    </row>
    <row r="329" ht="15" customHeight="1">
      <c r="A329" t="inlineStr">
        <is>
          <t>A 53877-2020</t>
        </is>
      </c>
      <c r="B329" s="1" t="n">
        <v>44123</v>
      </c>
      <c r="C329" s="1" t="n">
        <v>45706</v>
      </c>
      <c r="D329" t="inlineStr">
        <is>
          <t>JÄMTLANDS LÄN</t>
        </is>
      </c>
      <c r="E329" t="inlineStr">
        <is>
          <t>BERG</t>
        </is>
      </c>
      <c r="G329" t="n">
        <v>32.8</v>
      </c>
      <c r="H329" t="n">
        <v>0</v>
      </c>
      <c r="I329" t="n">
        <v>0</v>
      </c>
      <c r="J329" t="n">
        <v>0</v>
      </c>
      <c r="K329" t="n">
        <v>0</v>
      </c>
      <c r="L329" t="n">
        <v>0</v>
      </c>
      <c r="M329" t="n">
        <v>0</v>
      </c>
      <c r="N329" t="n">
        <v>0</v>
      </c>
      <c r="O329" t="n">
        <v>0</v>
      </c>
      <c r="P329" t="n">
        <v>0</v>
      </c>
      <c r="Q329" t="n">
        <v>0</v>
      </c>
      <c r="R329" s="2" t="inlineStr"/>
    </row>
    <row r="330" ht="15" customHeight="1">
      <c r="A330" t="inlineStr">
        <is>
          <t>A 53886-2020</t>
        </is>
      </c>
      <c r="B330" s="1" t="n">
        <v>44123</v>
      </c>
      <c r="C330" s="1" t="n">
        <v>45706</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53902-2020</t>
        </is>
      </c>
      <c r="B331" s="1" t="n">
        <v>44123</v>
      </c>
      <c r="C331" s="1" t="n">
        <v>45706</v>
      </c>
      <c r="D331" t="inlineStr">
        <is>
          <t>JÄMTLANDS LÄN</t>
        </is>
      </c>
      <c r="E331" t="inlineStr">
        <is>
          <t>BERG</t>
        </is>
      </c>
      <c r="G331" t="n">
        <v>22.5</v>
      </c>
      <c r="H331" t="n">
        <v>0</v>
      </c>
      <c r="I331" t="n">
        <v>0</v>
      </c>
      <c r="J331" t="n">
        <v>0</v>
      </c>
      <c r="K331" t="n">
        <v>0</v>
      </c>
      <c r="L331" t="n">
        <v>0</v>
      </c>
      <c r="M331" t="n">
        <v>0</v>
      </c>
      <c r="N331" t="n">
        <v>0</v>
      </c>
      <c r="O331" t="n">
        <v>0</v>
      </c>
      <c r="P331" t="n">
        <v>0</v>
      </c>
      <c r="Q331" t="n">
        <v>0</v>
      </c>
      <c r="R331" s="2" t="inlineStr"/>
    </row>
    <row r="332" ht="15" customHeight="1">
      <c r="A332" t="inlineStr">
        <is>
          <t>A 54511-2020</t>
        </is>
      </c>
      <c r="B332" s="1" t="n">
        <v>44126</v>
      </c>
      <c r="C332" s="1" t="n">
        <v>45706</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55311-2020</t>
        </is>
      </c>
      <c r="B333" s="1" t="n">
        <v>44130</v>
      </c>
      <c r="C333" s="1" t="n">
        <v>45706</v>
      </c>
      <c r="D333" t="inlineStr">
        <is>
          <t>JÄMTLANDS LÄN</t>
        </is>
      </c>
      <c r="E333" t="inlineStr">
        <is>
          <t>BERG</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62340-2020</t>
        </is>
      </c>
      <c r="B334" s="1" t="n">
        <v>44158</v>
      </c>
      <c r="C334" s="1" t="n">
        <v>45706</v>
      </c>
      <c r="D334" t="inlineStr">
        <is>
          <t>JÄMTLANDS LÄN</t>
        </is>
      </c>
      <c r="E334" t="inlineStr">
        <is>
          <t>BERG</t>
        </is>
      </c>
      <c r="G334" t="n">
        <v>2.5</v>
      </c>
      <c r="H334" t="n">
        <v>0</v>
      </c>
      <c r="I334" t="n">
        <v>0</v>
      </c>
      <c r="J334" t="n">
        <v>0</v>
      </c>
      <c r="K334" t="n">
        <v>0</v>
      </c>
      <c r="L334" t="n">
        <v>0</v>
      </c>
      <c r="M334" t="n">
        <v>0</v>
      </c>
      <c r="N334" t="n">
        <v>0</v>
      </c>
      <c r="O334" t="n">
        <v>0</v>
      </c>
      <c r="P334" t="n">
        <v>0</v>
      </c>
      <c r="Q334" t="n">
        <v>0</v>
      </c>
      <c r="R334" s="2" t="inlineStr"/>
    </row>
    <row r="335" ht="15" customHeight="1">
      <c r="A335" t="inlineStr">
        <is>
          <t>A 62490-2020</t>
        </is>
      </c>
      <c r="B335" s="1" t="n">
        <v>44160</v>
      </c>
      <c r="C335" s="1" t="n">
        <v>45706</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62494-2020</t>
        </is>
      </c>
      <c r="B336" s="1" t="n">
        <v>44160</v>
      </c>
      <c r="C336" s="1" t="n">
        <v>45706</v>
      </c>
      <c r="D336" t="inlineStr">
        <is>
          <t>JÄMTLANDS LÄN</t>
        </is>
      </c>
      <c r="E336" t="inlineStr">
        <is>
          <t>BERG</t>
        </is>
      </c>
      <c r="G336" t="n">
        <v>7.5</v>
      </c>
      <c r="H336" t="n">
        <v>0</v>
      </c>
      <c r="I336" t="n">
        <v>0</v>
      </c>
      <c r="J336" t="n">
        <v>0</v>
      </c>
      <c r="K336" t="n">
        <v>0</v>
      </c>
      <c r="L336" t="n">
        <v>0</v>
      </c>
      <c r="M336" t="n">
        <v>0</v>
      </c>
      <c r="N336" t="n">
        <v>0</v>
      </c>
      <c r="O336" t="n">
        <v>0</v>
      </c>
      <c r="P336" t="n">
        <v>0</v>
      </c>
      <c r="Q336" t="n">
        <v>0</v>
      </c>
      <c r="R336" s="2" t="inlineStr"/>
    </row>
    <row r="337" ht="15" customHeight="1">
      <c r="A337" t="inlineStr">
        <is>
          <t>A 63009-2020</t>
        </is>
      </c>
      <c r="B337" s="1" t="n">
        <v>44162</v>
      </c>
      <c r="C337" s="1" t="n">
        <v>45706</v>
      </c>
      <c r="D337" t="inlineStr">
        <is>
          <t>JÄMTLANDS LÄN</t>
        </is>
      </c>
      <c r="E337" t="inlineStr">
        <is>
          <t>BERG</t>
        </is>
      </c>
      <c r="G337" t="n">
        <v>4.9</v>
      </c>
      <c r="H337" t="n">
        <v>0</v>
      </c>
      <c r="I337" t="n">
        <v>0</v>
      </c>
      <c r="J337" t="n">
        <v>0</v>
      </c>
      <c r="K337" t="n">
        <v>0</v>
      </c>
      <c r="L337" t="n">
        <v>0</v>
      </c>
      <c r="M337" t="n">
        <v>0</v>
      </c>
      <c r="N337" t="n">
        <v>0</v>
      </c>
      <c r="O337" t="n">
        <v>0</v>
      </c>
      <c r="P337" t="n">
        <v>0</v>
      </c>
      <c r="Q337" t="n">
        <v>0</v>
      </c>
      <c r="R337" s="2" t="inlineStr"/>
    </row>
    <row r="338" ht="15" customHeight="1">
      <c r="A338" t="inlineStr">
        <is>
          <t>A 63002-2020</t>
        </is>
      </c>
      <c r="B338" s="1" t="n">
        <v>44162</v>
      </c>
      <c r="C338" s="1" t="n">
        <v>45706</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63522-2020</t>
        </is>
      </c>
      <c r="B339" s="1" t="n">
        <v>44165</v>
      </c>
      <c r="C339" s="1" t="n">
        <v>45706</v>
      </c>
      <c r="D339" t="inlineStr">
        <is>
          <t>JÄMTLANDS LÄN</t>
        </is>
      </c>
      <c r="E339" t="inlineStr">
        <is>
          <t>BERG</t>
        </is>
      </c>
      <c r="G339" t="n">
        <v>2.4</v>
      </c>
      <c r="H339" t="n">
        <v>0</v>
      </c>
      <c r="I339" t="n">
        <v>0</v>
      </c>
      <c r="J339" t="n">
        <v>0</v>
      </c>
      <c r="K339" t="n">
        <v>0</v>
      </c>
      <c r="L339" t="n">
        <v>0</v>
      </c>
      <c r="M339" t="n">
        <v>0</v>
      </c>
      <c r="N339" t="n">
        <v>0</v>
      </c>
      <c r="O339" t="n">
        <v>0</v>
      </c>
      <c r="P339" t="n">
        <v>0</v>
      </c>
      <c r="Q339" t="n">
        <v>0</v>
      </c>
      <c r="R339" s="2" t="inlineStr"/>
    </row>
    <row r="340" ht="15" customHeight="1">
      <c r="A340" t="inlineStr">
        <is>
          <t>A 64492-2020</t>
        </is>
      </c>
      <c r="B340" s="1" t="n">
        <v>44168</v>
      </c>
      <c r="C340" s="1" t="n">
        <v>45706</v>
      </c>
      <c r="D340" t="inlineStr">
        <is>
          <t>JÄMTLANDS LÄN</t>
        </is>
      </c>
      <c r="E340" t="inlineStr">
        <is>
          <t>BERG</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64490-2020</t>
        </is>
      </c>
      <c r="B341" s="1" t="n">
        <v>44168</v>
      </c>
      <c r="C341" s="1" t="n">
        <v>45706</v>
      </c>
      <c r="D341" t="inlineStr">
        <is>
          <t>JÄMTLANDS LÄN</t>
        </is>
      </c>
      <c r="E341" t="inlineStr">
        <is>
          <t>BERG</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68770-2020</t>
        </is>
      </c>
      <c r="B342" s="1" t="n">
        <v>44187</v>
      </c>
      <c r="C342" s="1" t="n">
        <v>45706</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68896-2020</t>
        </is>
      </c>
      <c r="B343" s="1" t="n">
        <v>44187</v>
      </c>
      <c r="C343" s="1" t="n">
        <v>45706</v>
      </c>
      <c r="D343" t="inlineStr">
        <is>
          <t>JÄMTLANDS LÄN</t>
        </is>
      </c>
      <c r="E343" t="inlineStr">
        <is>
          <t>BERG</t>
        </is>
      </c>
      <c r="G343" t="n">
        <v>9.6</v>
      </c>
      <c r="H343" t="n">
        <v>0</v>
      </c>
      <c r="I343" t="n">
        <v>0</v>
      </c>
      <c r="J343" t="n">
        <v>0</v>
      </c>
      <c r="K343" t="n">
        <v>0</v>
      </c>
      <c r="L343" t="n">
        <v>0</v>
      </c>
      <c r="M343" t="n">
        <v>0</v>
      </c>
      <c r="N343" t="n">
        <v>0</v>
      </c>
      <c r="O343" t="n">
        <v>0</v>
      </c>
      <c r="P343" t="n">
        <v>0</v>
      </c>
      <c r="Q343" t="n">
        <v>0</v>
      </c>
      <c r="R343" s="2" t="inlineStr"/>
    </row>
    <row r="344" ht="15" customHeight="1">
      <c r="A344" t="inlineStr">
        <is>
          <t>A 592-2021</t>
        </is>
      </c>
      <c r="B344" s="1" t="n">
        <v>44201</v>
      </c>
      <c r="C344" s="1" t="n">
        <v>45706</v>
      </c>
      <c r="D344" t="inlineStr">
        <is>
          <t>JÄMTLANDS LÄN</t>
        </is>
      </c>
      <c r="E344" t="inlineStr">
        <is>
          <t>BERG</t>
        </is>
      </c>
      <c r="G344" t="n">
        <v>1</v>
      </c>
      <c r="H344" t="n">
        <v>0</v>
      </c>
      <c r="I344" t="n">
        <v>0</v>
      </c>
      <c r="J344" t="n">
        <v>0</v>
      </c>
      <c r="K344" t="n">
        <v>0</v>
      </c>
      <c r="L344" t="n">
        <v>0</v>
      </c>
      <c r="M344" t="n">
        <v>0</v>
      </c>
      <c r="N344" t="n">
        <v>0</v>
      </c>
      <c r="O344" t="n">
        <v>0</v>
      </c>
      <c r="P344" t="n">
        <v>0</v>
      </c>
      <c r="Q344" t="n">
        <v>0</v>
      </c>
      <c r="R344" s="2" t="inlineStr"/>
    </row>
    <row r="345" ht="15" customHeight="1">
      <c r="A345" t="inlineStr">
        <is>
          <t>A 702-2021</t>
        </is>
      </c>
      <c r="B345" s="1" t="n">
        <v>44203</v>
      </c>
      <c r="C345" s="1" t="n">
        <v>45706</v>
      </c>
      <c r="D345" t="inlineStr">
        <is>
          <t>JÄMTLANDS LÄN</t>
        </is>
      </c>
      <c r="E345" t="inlineStr">
        <is>
          <t>BERG</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692-2021</t>
        </is>
      </c>
      <c r="B346" s="1" t="n">
        <v>44203</v>
      </c>
      <c r="C346" s="1" t="n">
        <v>45706</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1032-2021</t>
        </is>
      </c>
      <c r="B347" s="1" t="n">
        <v>44207</v>
      </c>
      <c r="C347" s="1" t="n">
        <v>45706</v>
      </c>
      <c r="D347" t="inlineStr">
        <is>
          <t>JÄMTLANDS LÄN</t>
        </is>
      </c>
      <c r="E347" t="inlineStr">
        <is>
          <t>BERG</t>
        </is>
      </c>
      <c r="G347" t="n">
        <v>3.4</v>
      </c>
      <c r="H347" t="n">
        <v>0</v>
      </c>
      <c r="I347" t="n">
        <v>0</v>
      </c>
      <c r="J347" t="n">
        <v>0</v>
      </c>
      <c r="K347" t="n">
        <v>0</v>
      </c>
      <c r="L347" t="n">
        <v>0</v>
      </c>
      <c r="M347" t="n">
        <v>0</v>
      </c>
      <c r="N347" t="n">
        <v>0</v>
      </c>
      <c r="O347" t="n">
        <v>0</v>
      </c>
      <c r="P347" t="n">
        <v>0</v>
      </c>
      <c r="Q347" t="n">
        <v>0</v>
      </c>
      <c r="R347" s="2" t="inlineStr"/>
    </row>
    <row r="348" ht="15" customHeight="1">
      <c r="A348" t="inlineStr">
        <is>
          <t>A 1640-2021</t>
        </is>
      </c>
      <c r="B348" s="1" t="n">
        <v>44209</v>
      </c>
      <c r="C348" s="1" t="n">
        <v>45706</v>
      </c>
      <c r="D348" t="inlineStr">
        <is>
          <t>JÄMTLANDS LÄN</t>
        </is>
      </c>
      <c r="E348" t="inlineStr">
        <is>
          <t>BERG</t>
        </is>
      </c>
      <c r="G348" t="n">
        <v>0.3</v>
      </c>
      <c r="H348" t="n">
        <v>0</v>
      </c>
      <c r="I348" t="n">
        <v>0</v>
      </c>
      <c r="J348" t="n">
        <v>0</v>
      </c>
      <c r="K348" t="n">
        <v>0</v>
      </c>
      <c r="L348" t="n">
        <v>0</v>
      </c>
      <c r="M348" t="n">
        <v>0</v>
      </c>
      <c r="N348" t="n">
        <v>0</v>
      </c>
      <c r="O348" t="n">
        <v>0</v>
      </c>
      <c r="P348" t="n">
        <v>0</v>
      </c>
      <c r="Q348" t="n">
        <v>0</v>
      </c>
      <c r="R348" s="2" t="inlineStr"/>
    </row>
    <row r="349" ht="15" customHeight="1">
      <c r="A349" t="inlineStr">
        <is>
          <t>A 1651-2021</t>
        </is>
      </c>
      <c r="B349" s="1" t="n">
        <v>44209</v>
      </c>
      <c r="C349" s="1" t="n">
        <v>45706</v>
      </c>
      <c r="D349" t="inlineStr">
        <is>
          <t>JÄMTLANDS LÄN</t>
        </is>
      </c>
      <c r="E349" t="inlineStr">
        <is>
          <t>BERG</t>
        </is>
      </c>
      <c r="G349" t="n">
        <v>0.1</v>
      </c>
      <c r="H349" t="n">
        <v>0</v>
      </c>
      <c r="I349" t="n">
        <v>0</v>
      </c>
      <c r="J349" t="n">
        <v>0</v>
      </c>
      <c r="K349" t="n">
        <v>0</v>
      </c>
      <c r="L349" t="n">
        <v>0</v>
      </c>
      <c r="M349" t="n">
        <v>0</v>
      </c>
      <c r="N349" t="n">
        <v>0</v>
      </c>
      <c r="O349" t="n">
        <v>0</v>
      </c>
      <c r="P349" t="n">
        <v>0</v>
      </c>
      <c r="Q349" t="n">
        <v>0</v>
      </c>
      <c r="R349" s="2" t="inlineStr"/>
    </row>
    <row r="350" ht="15" customHeight="1">
      <c r="A350" t="inlineStr">
        <is>
          <t>A 1646-2021</t>
        </is>
      </c>
      <c r="B350" s="1" t="n">
        <v>44209</v>
      </c>
      <c r="C350" s="1" t="n">
        <v>45706</v>
      </c>
      <c r="D350" t="inlineStr">
        <is>
          <t>JÄMTLANDS LÄN</t>
        </is>
      </c>
      <c r="E350" t="inlineStr">
        <is>
          <t>BERG</t>
        </is>
      </c>
      <c r="G350" t="n">
        <v>0.1</v>
      </c>
      <c r="H350" t="n">
        <v>0</v>
      </c>
      <c r="I350" t="n">
        <v>0</v>
      </c>
      <c r="J350" t="n">
        <v>0</v>
      </c>
      <c r="K350" t="n">
        <v>0</v>
      </c>
      <c r="L350" t="n">
        <v>0</v>
      </c>
      <c r="M350" t="n">
        <v>0</v>
      </c>
      <c r="N350" t="n">
        <v>0</v>
      </c>
      <c r="O350" t="n">
        <v>0</v>
      </c>
      <c r="P350" t="n">
        <v>0</v>
      </c>
      <c r="Q350" t="n">
        <v>0</v>
      </c>
      <c r="R350" s="2" t="inlineStr"/>
    </row>
    <row r="351" ht="15" customHeight="1">
      <c r="A351" t="inlineStr">
        <is>
          <t>A 1657-2021</t>
        </is>
      </c>
      <c r="B351" s="1" t="n">
        <v>44209</v>
      </c>
      <c r="C351" s="1" t="n">
        <v>45706</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3511-2021</t>
        </is>
      </c>
      <c r="B352" s="1" t="n">
        <v>44218</v>
      </c>
      <c r="C352" s="1" t="n">
        <v>45706</v>
      </c>
      <c r="D352" t="inlineStr">
        <is>
          <t>JÄMTLANDS LÄN</t>
        </is>
      </c>
      <c r="E352" t="inlineStr">
        <is>
          <t>BERG</t>
        </is>
      </c>
      <c r="G352" t="n">
        <v>3.9</v>
      </c>
      <c r="H352" t="n">
        <v>0</v>
      </c>
      <c r="I352" t="n">
        <v>0</v>
      </c>
      <c r="J352" t="n">
        <v>0</v>
      </c>
      <c r="K352" t="n">
        <v>0</v>
      </c>
      <c r="L352" t="n">
        <v>0</v>
      </c>
      <c r="M352" t="n">
        <v>0</v>
      </c>
      <c r="N352" t="n">
        <v>0</v>
      </c>
      <c r="O352" t="n">
        <v>0</v>
      </c>
      <c r="P352" t="n">
        <v>0</v>
      </c>
      <c r="Q352" t="n">
        <v>0</v>
      </c>
      <c r="R352" s="2" t="inlineStr"/>
    </row>
    <row r="353" ht="15" customHeight="1">
      <c r="A353" t="inlineStr">
        <is>
          <t>A 4651-2021</t>
        </is>
      </c>
      <c r="B353" s="1" t="n">
        <v>44224</v>
      </c>
      <c r="C353" s="1" t="n">
        <v>45706</v>
      </c>
      <c r="D353" t="inlineStr">
        <is>
          <t>JÄMTLANDS LÄN</t>
        </is>
      </c>
      <c r="E353" t="inlineStr">
        <is>
          <t>BERG</t>
        </is>
      </c>
      <c r="G353" t="n">
        <v>5.2</v>
      </c>
      <c r="H353" t="n">
        <v>0</v>
      </c>
      <c r="I353" t="n">
        <v>0</v>
      </c>
      <c r="J353" t="n">
        <v>0</v>
      </c>
      <c r="K353" t="n">
        <v>0</v>
      </c>
      <c r="L353" t="n">
        <v>0</v>
      </c>
      <c r="M353" t="n">
        <v>0</v>
      </c>
      <c r="N353" t="n">
        <v>0</v>
      </c>
      <c r="O353" t="n">
        <v>0</v>
      </c>
      <c r="P353" t="n">
        <v>0</v>
      </c>
      <c r="Q353" t="n">
        <v>0</v>
      </c>
      <c r="R353" s="2" t="inlineStr"/>
    </row>
    <row r="354" ht="15" customHeight="1">
      <c r="A354" t="inlineStr">
        <is>
          <t>A 8639-2021</t>
        </is>
      </c>
      <c r="B354" s="1" t="n">
        <v>44245</v>
      </c>
      <c r="C354" s="1" t="n">
        <v>45706</v>
      </c>
      <c r="D354" t="inlineStr">
        <is>
          <t>JÄMTLANDS LÄN</t>
        </is>
      </c>
      <c r="E354" t="inlineStr">
        <is>
          <t>BERG</t>
        </is>
      </c>
      <c r="F354" t="inlineStr">
        <is>
          <t>Naturvårdsverket</t>
        </is>
      </c>
      <c r="G354" t="n">
        <v>1.5</v>
      </c>
      <c r="H354" t="n">
        <v>0</v>
      </c>
      <c r="I354" t="n">
        <v>0</v>
      </c>
      <c r="J354" t="n">
        <v>0</v>
      </c>
      <c r="K354" t="n">
        <v>0</v>
      </c>
      <c r="L354" t="n">
        <v>0</v>
      </c>
      <c r="M354" t="n">
        <v>0</v>
      </c>
      <c r="N354" t="n">
        <v>0</v>
      </c>
      <c r="O354" t="n">
        <v>0</v>
      </c>
      <c r="P354" t="n">
        <v>0</v>
      </c>
      <c r="Q354" t="n">
        <v>0</v>
      </c>
      <c r="R354" s="2" t="inlineStr"/>
    </row>
    <row r="355" ht="15" customHeight="1">
      <c r="A355" t="inlineStr">
        <is>
          <t>A 9629-2021</t>
        </is>
      </c>
      <c r="B355" s="1" t="n">
        <v>44251</v>
      </c>
      <c r="C355" s="1" t="n">
        <v>45706</v>
      </c>
      <c r="D355" t="inlineStr">
        <is>
          <t>JÄMTLANDS LÄN</t>
        </is>
      </c>
      <c r="E355" t="inlineStr">
        <is>
          <t>BERG</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9920-2021</t>
        </is>
      </c>
      <c r="B356" s="1" t="n">
        <v>44253</v>
      </c>
      <c r="C356" s="1" t="n">
        <v>45706</v>
      </c>
      <c r="D356" t="inlineStr">
        <is>
          <t>JÄMTLANDS LÄN</t>
        </is>
      </c>
      <c r="E356" t="inlineStr">
        <is>
          <t>BERG</t>
        </is>
      </c>
      <c r="G356" t="n">
        <v>3.5</v>
      </c>
      <c r="H356" t="n">
        <v>0</v>
      </c>
      <c r="I356" t="n">
        <v>0</v>
      </c>
      <c r="J356" t="n">
        <v>0</v>
      </c>
      <c r="K356" t="n">
        <v>0</v>
      </c>
      <c r="L356" t="n">
        <v>0</v>
      </c>
      <c r="M356" t="n">
        <v>0</v>
      </c>
      <c r="N356" t="n">
        <v>0</v>
      </c>
      <c r="O356" t="n">
        <v>0</v>
      </c>
      <c r="P356" t="n">
        <v>0</v>
      </c>
      <c r="Q356" t="n">
        <v>0</v>
      </c>
      <c r="R356" s="2" t="inlineStr"/>
    </row>
    <row r="357" ht="15" customHeight="1">
      <c r="A357" t="inlineStr">
        <is>
          <t>A 12499-2021</t>
        </is>
      </c>
      <c r="B357" s="1" t="n">
        <v>44267</v>
      </c>
      <c r="C357" s="1" t="n">
        <v>45706</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14226-2021</t>
        </is>
      </c>
      <c r="B358" s="1" t="n">
        <v>44277</v>
      </c>
      <c r="C358" s="1" t="n">
        <v>45706</v>
      </c>
      <c r="D358" t="inlineStr">
        <is>
          <t>JÄMTLANDS LÄN</t>
        </is>
      </c>
      <c r="E358" t="inlineStr">
        <is>
          <t>BERG</t>
        </is>
      </c>
      <c r="G358" t="n">
        <v>23.7</v>
      </c>
      <c r="H358" t="n">
        <v>0</v>
      </c>
      <c r="I358" t="n">
        <v>0</v>
      </c>
      <c r="J358" t="n">
        <v>0</v>
      </c>
      <c r="K358" t="n">
        <v>0</v>
      </c>
      <c r="L358" t="n">
        <v>0</v>
      </c>
      <c r="M358" t="n">
        <v>0</v>
      </c>
      <c r="N358" t="n">
        <v>0</v>
      </c>
      <c r="O358" t="n">
        <v>0</v>
      </c>
      <c r="P358" t="n">
        <v>0</v>
      </c>
      <c r="Q358" t="n">
        <v>0</v>
      </c>
      <c r="R358" s="2" t="inlineStr"/>
    </row>
    <row r="359" ht="15" customHeight="1">
      <c r="A359" t="inlineStr">
        <is>
          <t>A 14218-2021</t>
        </is>
      </c>
      <c r="B359" s="1" t="n">
        <v>44277</v>
      </c>
      <c r="C359" s="1" t="n">
        <v>45706</v>
      </c>
      <c r="D359" t="inlineStr">
        <is>
          <t>JÄMTLANDS LÄN</t>
        </is>
      </c>
      <c r="E359" t="inlineStr">
        <is>
          <t>BERG</t>
        </is>
      </c>
      <c r="G359" t="n">
        <v>19.9</v>
      </c>
      <c r="H359" t="n">
        <v>0</v>
      </c>
      <c r="I359" t="n">
        <v>0</v>
      </c>
      <c r="J359" t="n">
        <v>0</v>
      </c>
      <c r="K359" t="n">
        <v>0</v>
      </c>
      <c r="L359" t="n">
        <v>0</v>
      </c>
      <c r="M359" t="n">
        <v>0</v>
      </c>
      <c r="N359" t="n">
        <v>0</v>
      </c>
      <c r="O359" t="n">
        <v>0</v>
      </c>
      <c r="P359" t="n">
        <v>0</v>
      </c>
      <c r="Q359" t="n">
        <v>0</v>
      </c>
      <c r="R359" s="2" t="inlineStr"/>
    </row>
    <row r="360" ht="15" customHeight="1">
      <c r="A360" t="inlineStr">
        <is>
          <t>A 14163-2021</t>
        </is>
      </c>
      <c r="B360" s="1" t="n">
        <v>44277</v>
      </c>
      <c r="C360" s="1" t="n">
        <v>45706</v>
      </c>
      <c r="D360" t="inlineStr">
        <is>
          <t>JÄMTLANDS LÄN</t>
        </is>
      </c>
      <c r="E360" t="inlineStr">
        <is>
          <t>BERG</t>
        </is>
      </c>
      <c r="G360" t="n">
        <v>8.1</v>
      </c>
      <c r="H360" t="n">
        <v>0</v>
      </c>
      <c r="I360" t="n">
        <v>0</v>
      </c>
      <c r="J360" t="n">
        <v>0</v>
      </c>
      <c r="K360" t="n">
        <v>0</v>
      </c>
      <c r="L360" t="n">
        <v>0</v>
      </c>
      <c r="M360" t="n">
        <v>0</v>
      </c>
      <c r="N360" t="n">
        <v>0</v>
      </c>
      <c r="O360" t="n">
        <v>0</v>
      </c>
      <c r="P360" t="n">
        <v>0</v>
      </c>
      <c r="Q360" t="n">
        <v>0</v>
      </c>
      <c r="R360" s="2" t="inlineStr"/>
    </row>
    <row r="361" ht="15" customHeight="1">
      <c r="A361" t="inlineStr">
        <is>
          <t>A 14224-2021</t>
        </is>
      </c>
      <c r="B361" s="1" t="n">
        <v>44277</v>
      </c>
      <c r="C361" s="1" t="n">
        <v>45706</v>
      </c>
      <c r="D361" t="inlineStr">
        <is>
          <t>JÄMTLANDS LÄN</t>
        </is>
      </c>
      <c r="E361" t="inlineStr">
        <is>
          <t>BERG</t>
        </is>
      </c>
      <c r="G361" t="n">
        <v>24.9</v>
      </c>
      <c r="H361" t="n">
        <v>0</v>
      </c>
      <c r="I361" t="n">
        <v>0</v>
      </c>
      <c r="J361" t="n">
        <v>0</v>
      </c>
      <c r="K361" t="n">
        <v>0</v>
      </c>
      <c r="L361" t="n">
        <v>0</v>
      </c>
      <c r="M361" t="n">
        <v>0</v>
      </c>
      <c r="N361" t="n">
        <v>0</v>
      </c>
      <c r="O361" t="n">
        <v>0</v>
      </c>
      <c r="P361" t="n">
        <v>0</v>
      </c>
      <c r="Q361" t="n">
        <v>0</v>
      </c>
      <c r="R361" s="2" t="inlineStr"/>
    </row>
    <row r="362" ht="15" customHeight="1">
      <c r="A362" t="inlineStr">
        <is>
          <t>A 14325-2021</t>
        </is>
      </c>
      <c r="B362" s="1" t="n">
        <v>44278</v>
      </c>
      <c r="C362" s="1" t="n">
        <v>45706</v>
      </c>
      <c r="D362" t="inlineStr">
        <is>
          <t>JÄMTLANDS LÄN</t>
        </is>
      </c>
      <c r="E362" t="inlineStr">
        <is>
          <t>BERG</t>
        </is>
      </c>
      <c r="G362" t="n">
        <v>27.3</v>
      </c>
      <c r="H362" t="n">
        <v>0</v>
      </c>
      <c r="I362" t="n">
        <v>0</v>
      </c>
      <c r="J362" t="n">
        <v>0</v>
      </c>
      <c r="K362" t="n">
        <v>0</v>
      </c>
      <c r="L362" t="n">
        <v>0</v>
      </c>
      <c r="M362" t="n">
        <v>0</v>
      </c>
      <c r="N362" t="n">
        <v>0</v>
      </c>
      <c r="O362" t="n">
        <v>0</v>
      </c>
      <c r="P362" t="n">
        <v>0</v>
      </c>
      <c r="Q362" t="n">
        <v>0</v>
      </c>
      <c r="R362" s="2" t="inlineStr"/>
    </row>
    <row r="363" ht="15" customHeight="1">
      <c r="A363" t="inlineStr">
        <is>
          <t>A 14772-2021</t>
        </is>
      </c>
      <c r="B363" s="1" t="n">
        <v>44280</v>
      </c>
      <c r="C363" s="1" t="n">
        <v>45706</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15277-2021</t>
        </is>
      </c>
      <c r="B364" s="1" t="n">
        <v>44284</v>
      </c>
      <c r="C364" s="1" t="n">
        <v>45706</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15785-2021</t>
        </is>
      </c>
      <c r="B365" s="1" t="n">
        <v>44286</v>
      </c>
      <c r="C365" s="1" t="n">
        <v>45706</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16819-2021</t>
        </is>
      </c>
      <c r="B366" s="1" t="n">
        <v>44293</v>
      </c>
      <c r="C366" s="1" t="n">
        <v>45706</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16822-2021</t>
        </is>
      </c>
      <c r="B367" s="1" t="n">
        <v>44293</v>
      </c>
      <c r="C367" s="1" t="n">
        <v>45706</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16831-2021</t>
        </is>
      </c>
      <c r="B368" s="1" t="n">
        <v>44293</v>
      </c>
      <c r="C368" s="1" t="n">
        <v>45706</v>
      </c>
      <c r="D368" t="inlineStr">
        <is>
          <t>JÄMTLANDS LÄN</t>
        </is>
      </c>
      <c r="E368" t="inlineStr">
        <is>
          <t>BERG</t>
        </is>
      </c>
      <c r="G368" t="n">
        <v>13.7</v>
      </c>
      <c r="H368" t="n">
        <v>0</v>
      </c>
      <c r="I368" t="n">
        <v>0</v>
      </c>
      <c r="J368" t="n">
        <v>0</v>
      </c>
      <c r="K368" t="n">
        <v>0</v>
      </c>
      <c r="L368" t="n">
        <v>0</v>
      </c>
      <c r="M368" t="n">
        <v>0</v>
      </c>
      <c r="N368" t="n">
        <v>0</v>
      </c>
      <c r="O368" t="n">
        <v>0</v>
      </c>
      <c r="P368" t="n">
        <v>0</v>
      </c>
      <c r="Q368" t="n">
        <v>0</v>
      </c>
      <c r="R368" s="2" t="inlineStr"/>
    </row>
    <row r="369" ht="15" customHeight="1">
      <c r="A369" t="inlineStr">
        <is>
          <t>A 16828-2021</t>
        </is>
      </c>
      <c r="B369" s="1" t="n">
        <v>44293</v>
      </c>
      <c r="C369" s="1" t="n">
        <v>45706</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16825-2021</t>
        </is>
      </c>
      <c r="B370" s="1" t="n">
        <v>44293</v>
      </c>
      <c r="C370" s="1" t="n">
        <v>45706</v>
      </c>
      <c r="D370" t="inlineStr">
        <is>
          <t>JÄMTLANDS LÄN</t>
        </is>
      </c>
      <c r="E370" t="inlineStr">
        <is>
          <t>BERG</t>
        </is>
      </c>
      <c r="G370" t="n">
        <v>20</v>
      </c>
      <c r="H370" t="n">
        <v>0</v>
      </c>
      <c r="I370" t="n">
        <v>0</v>
      </c>
      <c r="J370" t="n">
        <v>0</v>
      </c>
      <c r="K370" t="n">
        <v>0</v>
      </c>
      <c r="L370" t="n">
        <v>0</v>
      </c>
      <c r="M370" t="n">
        <v>0</v>
      </c>
      <c r="N370" t="n">
        <v>0</v>
      </c>
      <c r="O370" t="n">
        <v>0</v>
      </c>
      <c r="P370" t="n">
        <v>0</v>
      </c>
      <c r="Q370" t="n">
        <v>0</v>
      </c>
      <c r="R370" s="2" t="inlineStr"/>
    </row>
    <row r="371" ht="15" customHeight="1">
      <c r="A371" t="inlineStr">
        <is>
          <t>A 18569-2021</t>
        </is>
      </c>
      <c r="B371" s="1" t="n">
        <v>44306</v>
      </c>
      <c r="C371" s="1" t="n">
        <v>45706</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18567-2021</t>
        </is>
      </c>
      <c r="B372" s="1" t="n">
        <v>44306</v>
      </c>
      <c r="C372" s="1" t="n">
        <v>45706</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20179-2021</t>
        </is>
      </c>
      <c r="B373" s="1" t="n">
        <v>44314</v>
      </c>
      <c r="C373" s="1" t="n">
        <v>45706</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21629-2021</t>
        </is>
      </c>
      <c r="B374" s="1" t="n">
        <v>44321</v>
      </c>
      <c r="C374" s="1" t="n">
        <v>45706</v>
      </c>
      <c r="D374" t="inlineStr">
        <is>
          <t>JÄMTLANDS LÄN</t>
        </is>
      </c>
      <c r="E374" t="inlineStr">
        <is>
          <t>BERG</t>
        </is>
      </c>
      <c r="G374" t="n">
        <v>15.9</v>
      </c>
      <c r="H374" t="n">
        <v>0</v>
      </c>
      <c r="I374" t="n">
        <v>0</v>
      </c>
      <c r="J374" t="n">
        <v>0</v>
      </c>
      <c r="K374" t="n">
        <v>0</v>
      </c>
      <c r="L374" t="n">
        <v>0</v>
      </c>
      <c r="M374" t="n">
        <v>0</v>
      </c>
      <c r="N374" t="n">
        <v>0</v>
      </c>
      <c r="O374" t="n">
        <v>0</v>
      </c>
      <c r="P374" t="n">
        <v>0</v>
      </c>
      <c r="Q374" t="n">
        <v>0</v>
      </c>
      <c r="R374" s="2" t="inlineStr"/>
    </row>
    <row r="375" ht="15" customHeight="1">
      <c r="A375" t="inlineStr">
        <is>
          <t>A 21841-2021</t>
        </is>
      </c>
      <c r="B375" s="1" t="n">
        <v>44322</v>
      </c>
      <c r="C375" s="1" t="n">
        <v>45706</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21836-2021</t>
        </is>
      </c>
      <c r="B376" s="1" t="n">
        <v>44322</v>
      </c>
      <c r="C376" s="1" t="n">
        <v>45706</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24136-2021</t>
        </is>
      </c>
      <c r="B377" s="1" t="n">
        <v>44336</v>
      </c>
      <c r="C377" s="1" t="n">
        <v>45706</v>
      </c>
      <c r="D377" t="inlineStr">
        <is>
          <t>JÄMTLANDS LÄN</t>
        </is>
      </c>
      <c r="E377" t="inlineStr">
        <is>
          <t>BERG</t>
        </is>
      </c>
      <c r="G377" t="n">
        <v>12.6</v>
      </c>
      <c r="H377" t="n">
        <v>0</v>
      </c>
      <c r="I377" t="n">
        <v>0</v>
      </c>
      <c r="J377" t="n">
        <v>0</v>
      </c>
      <c r="K377" t="n">
        <v>0</v>
      </c>
      <c r="L377" t="n">
        <v>0</v>
      </c>
      <c r="M377" t="n">
        <v>0</v>
      </c>
      <c r="N377" t="n">
        <v>0</v>
      </c>
      <c r="O377" t="n">
        <v>0</v>
      </c>
      <c r="P377" t="n">
        <v>0</v>
      </c>
      <c r="Q377" t="n">
        <v>0</v>
      </c>
      <c r="R377" s="2" t="inlineStr"/>
    </row>
    <row r="378" ht="15" customHeight="1">
      <c r="A378" t="inlineStr">
        <is>
          <t>A 24843-2021</t>
        </is>
      </c>
      <c r="B378" s="1" t="n">
        <v>44340</v>
      </c>
      <c r="C378" s="1" t="n">
        <v>45706</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26721-2021</t>
        </is>
      </c>
      <c r="B379" s="1" t="n">
        <v>44349</v>
      </c>
      <c r="C379" s="1" t="n">
        <v>45706</v>
      </c>
      <c r="D379" t="inlineStr">
        <is>
          <t>JÄMTLANDS LÄN</t>
        </is>
      </c>
      <c r="E379" t="inlineStr">
        <is>
          <t>BERG</t>
        </is>
      </c>
      <c r="G379" t="n">
        <v>10.7</v>
      </c>
      <c r="H379" t="n">
        <v>0</v>
      </c>
      <c r="I379" t="n">
        <v>0</v>
      </c>
      <c r="J379" t="n">
        <v>0</v>
      </c>
      <c r="K379" t="n">
        <v>0</v>
      </c>
      <c r="L379" t="n">
        <v>0</v>
      </c>
      <c r="M379" t="n">
        <v>0</v>
      </c>
      <c r="N379" t="n">
        <v>0</v>
      </c>
      <c r="O379" t="n">
        <v>0</v>
      </c>
      <c r="P379" t="n">
        <v>0</v>
      </c>
      <c r="Q379" t="n">
        <v>0</v>
      </c>
      <c r="R379" s="2" t="inlineStr"/>
    </row>
    <row r="380" ht="15" customHeight="1">
      <c r="A380" t="inlineStr">
        <is>
          <t>A 26973-2021</t>
        </is>
      </c>
      <c r="B380" s="1" t="n">
        <v>44349</v>
      </c>
      <c r="C380" s="1" t="n">
        <v>45706</v>
      </c>
      <c r="D380" t="inlineStr">
        <is>
          <t>JÄMTLANDS LÄN</t>
        </is>
      </c>
      <c r="E380" t="inlineStr">
        <is>
          <t>BERG</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27144-2021</t>
        </is>
      </c>
      <c r="B381" s="1" t="n">
        <v>44350</v>
      </c>
      <c r="C381" s="1" t="n">
        <v>45706</v>
      </c>
      <c r="D381" t="inlineStr">
        <is>
          <t>JÄMTLANDS LÄN</t>
        </is>
      </c>
      <c r="E381" t="inlineStr">
        <is>
          <t>BERG</t>
        </is>
      </c>
      <c r="F381" t="inlineStr">
        <is>
          <t>Sveaskog</t>
        </is>
      </c>
      <c r="G381" t="n">
        <v>10.2</v>
      </c>
      <c r="H381" t="n">
        <v>0</v>
      </c>
      <c r="I381" t="n">
        <v>0</v>
      </c>
      <c r="J381" t="n">
        <v>0</v>
      </c>
      <c r="K381" t="n">
        <v>0</v>
      </c>
      <c r="L381" t="n">
        <v>0</v>
      </c>
      <c r="M381" t="n">
        <v>0</v>
      </c>
      <c r="N381" t="n">
        <v>0</v>
      </c>
      <c r="O381" t="n">
        <v>0</v>
      </c>
      <c r="P381" t="n">
        <v>0</v>
      </c>
      <c r="Q381" t="n">
        <v>0</v>
      </c>
      <c r="R381" s="2" t="inlineStr"/>
    </row>
    <row r="382" ht="15" customHeight="1">
      <c r="A382" t="inlineStr">
        <is>
          <t>A 27395-2021</t>
        </is>
      </c>
      <c r="B382" s="1" t="n">
        <v>44350</v>
      </c>
      <c r="C382" s="1" t="n">
        <v>45706</v>
      </c>
      <c r="D382" t="inlineStr">
        <is>
          <t>JÄMTLANDS LÄN</t>
        </is>
      </c>
      <c r="E382" t="inlineStr">
        <is>
          <t>BERG</t>
        </is>
      </c>
      <c r="G382" t="n">
        <v>4.4</v>
      </c>
      <c r="H382" t="n">
        <v>0</v>
      </c>
      <c r="I382" t="n">
        <v>0</v>
      </c>
      <c r="J382" t="n">
        <v>0</v>
      </c>
      <c r="K382" t="n">
        <v>0</v>
      </c>
      <c r="L382" t="n">
        <v>0</v>
      </c>
      <c r="M382" t="n">
        <v>0</v>
      </c>
      <c r="N382" t="n">
        <v>0</v>
      </c>
      <c r="O382" t="n">
        <v>0</v>
      </c>
      <c r="P382" t="n">
        <v>0</v>
      </c>
      <c r="Q382" t="n">
        <v>0</v>
      </c>
      <c r="R382" s="2" t="inlineStr"/>
    </row>
    <row r="383" ht="15" customHeight="1">
      <c r="A383" t="inlineStr">
        <is>
          <t>A 27772-2021</t>
        </is>
      </c>
      <c r="B383" s="1" t="n">
        <v>44354</v>
      </c>
      <c r="C383" s="1" t="n">
        <v>45706</v>
      </c>
      <c r="D383" t="inlineStr">
        <is>
          <t>JÄMTLANDS LÄN</t>
        </is>
      </c>
      <c r="E383" t="inlineStr">
        <is>
          <t>BERG</t>
        </is>
      </c>
      <c r="G383" t="n">
        <v>5.3</v>
      </c>
      <c r="H383" t="n">
        <v>0</v>
      </c>
      <c r="I383" t="n">
        <v>0</v>
      </c>
      <c r="J383" t="n">
        <v>0</v>
      </c>
      <c r="K383" t="n">
        <v>0</v>
      </c>
      <c r="L383" t="n">
        <v>0</v>
      </c>
      <c r="M383" t="n">
        <v>0</v>
      </c>
      <c r="N383" t="n">
        <v>0</v>
      </c>
      <c r="O383" t="n">
        <v>0</v>
      </c>
      <c r="P383" t="n">
        <v>0</v>
      </c>
      <c r="Q383" t="n">
        <v>0</v>
      </c>
      <c r="R383" s="2" t="inlineStr"/>
    </row>
    <row r="384" ht="15" customHeight="1">
      <c r="A384" t="inlineStr">
        <is>
          <t>A 28883-2021</t>
        </is>
      </c>
      <c r="B384" s="1" t="n">
        <v>44357</v>
      </c>
      <c r="C384" s="1" t="n">
        <v>45706</v>
      </c>
      <c r="D384" t="inlineStr">
        <is>
          <t>JÄMTLANDS LÄN</t>
        </is>
      </c>
      <c r="E384" t="inlineStr">
        <is>
          <t>BERG</t>
        </is>
      </c>
      <c r="F384" t="inlineStr">
        <is>
          <t>Kyrkan</t>
        </is>
      </c>
      <c r="G384" t="n">
        <v>7.3</v>
      </c>
      <c r="H384" t="n">
        <v>0</v>
      </c>
      <c r="I384" t="n">
        <v>0</v>
      </c>
      <c r="J384" t="n">
        <v>0</v>
      </c>
      <c r="K384" t="n">
        <v>0</v>
      </c>
      <c r="L384" t="n">
        <v>0</v>
      </c>
      <c r="M384" t="n">
        <v>0</v>
      </c>
      <c r="N384" t="n">
        <v>0</v>
      </c>
      <c r="O384" t="n">
        <v>0</v>
      </c>
      <c r="P384" t="n">
        <v>0</v>
      </c>
      <c r="Q384" t="n">
        <v>0</v>
      </c>
      <c r="R384" s="2" t="inlineStr"/>
    </row>
    <row r="385" ht="15" customHeight="1">
      <c r="A385" t="inlineStr">
        <is>
          <t>A 29019-2021</t>
        </is>
      </c>
      <c r="B385" s="1" t="n">
        <v>44358</v>
      </c>
      <c r="C385" s="1" t="n">
        <v>45706</v>
      </c>
      <c r="D385" t="inlineStr">
        <is>
          <t>JÄMTLANDS LÄN</t>
        </is>
      </c>
      <c r="E385" t="inlineStr">
        <is>
          <t>BERG</t>
        </is>
      </c>
      <c r="F385" t="inlineStr">
        <is>
          <t>Sveaskog</t>
        </is>
      </c>
      <c r="G385" t="n">
        <v>27.1</v>
      </c>
      <c r="H385" t="n">
        <v>0</v>
      </c>
      <c r="I385" t="n">
        <v>0</v>
      </c>
      <c r="J385" t="n">
        <v>0</v>
      </c>
      <c r="K385" t="n">
        <v>0</v>
      </c>
      <c r="L385" t="n">
        <v>0</v>
      </c>
      <c r="M385" t="n">
        <v>0</v>
      </c>
      <c r="N385" t="n">
        <v>0</v>
      </c>
      <c r="O385" t="n">
        <v>0</v>
      </c>
      <c r="P385" t="n">
        <v>0</v>
      </c>
      <c r="Q385" t="n">
        <v>0</v>
      </c>
      <c r="R385" s="2" t="inlineStr"/>
    </row>
    <row r="386" ht="15" customHeight="1">
      <c r="A386" t="inlineStr">
        <is>
          <t>A 29511-2021</t>
        </is>
      </c>
      <c r="B386" s="1" t="n">
        <v>44361</v>
      </c>
      <c r="C386" s="1" t="n">
        <v>45706</v>
      </c>
      <c r="D386" t="inlineStr">
        <is>
          <t>JÄMTLANDS LÄN</t>
        </is>
      </c>
      <c r="E386" t="inlineStr">
        <is>
          <t>BERG</t>
        </is>
      </c>
      <c r="G386" t="n">
        <v>5.6</v>
      </c>
      <c r="H386" t="n">
        <v>0</v>
      </c>
      <c r="I386" t="n">
        <v>0</v>
      </c>
      <c r="J386" t="n">
        <v>0</v>
      </c>
      <c r="K386" t="n">
        <v>0</v>
      </c>
      <c r="L386" t="n">
        <v>0</v>
      </c>
      <c r="M386" t="n">
        <v>0</v>
      </c>
      <c r="N386" t="n">
        <v>0</v>
      </c>
      <c r="O386" t="n">
        <v>0</v>
      </c>
      <c r="P386" t="n">
        <v>0</v>
      </c>
      <c r="Q386" t="n">
        <v>0</v>
      </c>
      <c r="R386" s="2" t="inlineStr"/>
    </row>
    <row r="387" ht="15" customHeight="1">
      <c r="A387" t="inlineStr">
        <is>
          <t>A 33878-2021</t>
        </is>
      </c>
      <c r="B387" s="1" t="n">
        <v>44378</v>
      </c>
      <c r="C387" s="1" t="n">
        <v>45706</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35308-2021</t>
        </is>
      </c>
      <c r="B388" s="1" t="n">
        <v>44384</v>
      </c>
      <c r="C388" s="1" t="n">
        <v>45706</v>
      </c>
      <c r="D388" t="inlineStr">
        <is>
          <t>JÄMTLANDS LÄN</t>
        </is>
      </c>
      <c r="E388" t="inlineStr">
        <is>
          <t>BERG</t>
        </is>
      </c>
      <c r="G388" t="n">
        <v>2.9</v>
      </c>
      <c r="H388" t="n">
        <v>0</v>
      </c>
      <c r="I388" t="n">
        <v>0</v>
      </c>
      <c r="J388" t="n">
        <v>0</v>
      </c>
      <c r="K388" t="n">
        <v>0</v>
      </c>
      <c r="L388" t="n">
        <v>0</v>
      </c>
      <c r="M388" t="n">
        <v>0</v>
      </c>
      <c r="N388" t="n">
        <v>0</v>
      </c>
      <c r="O388" t="n">
        <v>0</v>
      </c>
      <c r="P388" t="n">
        <v>0</v>
      </c>
      <c r="Q388" t="n">
        <v>0</v>
      </c>
      <c r="R388" s="2" t="inlineStr"/>
      <c r="U388">
        <f>HYPERLINK("https://klasma.github.io/Logging_2326/knärot/A 35308-2021 karta knärot.png", "A 35308-2021")</f>
        <v/>
      </c>
      <c r="V388">
        <f>HYPERLINK("https://klasma.github.io/Logging_2326/klagomål/A 35308-2021 FSC-klagomål.docx", "A 35308-2021")</f>
        <v/>
      </c>
      <c r="W388">
        <f>HYPERLINK("https://klasma.github.io/Logging_2326/klagomålsmail/A 35308-2021 FSC-klagomål mail.docx", "A 35308-2021")</f>
        <v/>
      </c>
      <c r="X388">
        <f>HYPERLINK("https://klasma.github.io/Logging_2326/tillsyn/A 35308-2021 tillsynsbegäran.docx", "A 35308-2021")</f>
        <v/>
      </c>
      <c r="Y388">
        <f>HYPERLINK("https://klasma.github.io/Logging_2326/tillsynsmail/A 35308-2021 tillsynsbegäran mail.docx", "A 35308-2021")</f>
        <v/>
      </c>
    </row>
    <row r="389" ht="15" customHeight="1">
      <c r="A389" t="inlineStr">
        <is>
          <t>A 35867-2021</t>
        </is>
      </c>
      <c r="B389" s="1" t="n">
        <v>44387</v>
      </c>
      <c r="C389" s="1" t="n">
        <v>45706</v>
      </c>
      <c r="D389" t="inlineStr">
        <is>
          <t>JÄMTLANDS LÄN</t>
        </is>
      </c>
      <c r="E389" t="inlineStr">
        <is>
          <t>BERG</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36031-2021</t>
        </is>
      </c>
      <c r="B390" s="1" t="n">
        <v>44389</v>
      </c>
      <c r="C390" s="1" t="n">
        <v>45706</v>
      </c>
      <c r="D390" t="inlineStr">
        <is>
          <t>JÄMTLANDS LÄN</t>
        </is>
      </c>
      <c r="E390" t="inlineStr">
        <is>
          <t>BERG</t>
        </is>
      </c>
      <c r="G390" t="n">
        <v>0.8</v>
      </c>
      <c r="H390" t="n">
        <v>0</v>
      </c>
      <c r="I390" t="n">
        <v>0</v>
      </c>
      <c r="J390" t="n">
        <v>0</v>
      </c>
      <c r="K390" t="n">
        <v>0</v>
      </c>
      <c r="L390" t="n">
        <v>0</v>
      </c>
      <c r="M390" t="n">
        <v>0</v>
      </c>
      <c r="N390" t="n">
        <v>0</v>
      </c>
      <c r="O390" t="n">
        <v>0</v>
      </c>
      <c r="P390" t="n">
        <v>0</v>
      </c>
      <c r="Q390" t="n">
        <v>0</v>
      </c>
      <c r="R390" s="2" t="inlineStr"/>
    </row>
    <row r="391" ht="15" customHeight="1">
      <c r="A391" t="inlineStr">
        <is>
          <t>A 36033-2021</t>
        </is>
      </c>
      <c r="B391" s="1" t="n">
        <v>44389</v>
      </c>
      <c r="C391" s="1" t="n">
        <v>45706</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36720-2021</t>
        </is>
      </c>
      <c r="B392" s="1" t="n">
        <v>44392</v>
      </c>
      <c r="C392" s="1" t="n">
        <v>45706</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37591-2021</t>
        </is>
      </c>
      <c r="B393" s="1" t="n">
        <v>44399</v>
      </c>
      <c r="C393" s="1" t="n">
        <v>45706</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37586-2021</t>
        </is>
      </c>
      <c r="B394" s="1" t="n">
        <v>44399</v>
      </c>
      <c r="C394" s="1" t="n">
        <v>45706</v>
      </c>
      <c r="D394" t="inlineStr">
        <is>
          <t>JÄMTLANDS LÄN</t>
        </is>
      </c>
      <c r="E394" t="inlineStr">
        <is>
          <t>BERG</t>
        </is>
      </c>
      <c r="G394" t="n">
        <v>15.4</v>
      </c>
      <c r="H394" t="n">
        <v>0</v>
      </c>
      <c r="I394" t="n">
        <v>0</v>
      </c>
      <c r="J394" t="n">
        <v>0</v>
      </c>
      <c r="K394" t="n">
        <v>0</v>
      </c>
      <c r="L394" t="n">
        <v>0</v>
      </c>
      <c r="M394" t="n">
        <v>0</v>
      </c>
      <c r="N394" t="n">
        <v>0</v>
      </c>
      <c r="O394" t="n">
        <v>0</v>
      </c>
      <c r="P394" t="n">
        <v>0</v>
      </c>
      <c r="Q394" t="n">
        <v>0</v>
      </c>
      <c r="R394" s="2" t="inlineStr"/>
    </row>
    <row r="395" ht="15" customHeight="1">
      <c r="A395" t="inlineStr">
        <is>
          <t>A 37589-2021</t>
        </is>
      </c>
      <c r="B395" s="1" t="n">
        <v>44399</v>
      </c>
      <c r="C395" s="1" t="n">
        <v>45706</v>
      </c>
      <c r="D395" t="inlineStr">
        <is>
          <t>JÄMTLANDS LÄN</t>
        </is>
      </c>
      <c r="E395" t="inlineStr">
        <is>
          <t>BERG</t>
        </is>
      </c>
      <c r="G395" t="n">
        <v>8.6</v>
      </c>
      <c r="H395" t="n">
        <v>0</v>
      </c>
      <c r="I395" t="n">
        <v>0</v>
      </c>
      <c r="J395" t="n">
        <v>0</v>
      </c>
      <c r="K395" t="n">
        <v>0</v>
      </c>
      <c r="L395" t="n">
        <v>0</v>
      </c>
      <c r="M395" t="n">
        <v>0</v>
      </c>
      <c r="N395" t="n">
        <v>0</v>
      </c>
      <c r="O395" t="n">
        <v>0</v>
      </c>
      <c r="P395" t="n">
        <v>0</v>
      </c>
      <c r="Q395" t="n">
        <v>0</v>
      </c>
      <c r="R395" s="2" t="inlineStr"/>
    </row>
    <row r="396" ht="15" customHeight="1">
      <c r="A396" t="inlineStr">
        <is>
          <t>A 37588-2021</t>
        </is>
      </c>
      <c r="B396" s="1" t="n">
        <v>44399</v>
      </c>
      <c r="C396" s="1" t="n">
        <v>45706</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37687-2021</t>
        </is>
      </c>
      <c r="B397" s="1" t="n">
        <v>44400</v>
      </c>
      <c r="C397" s="1" t="n">
        <v>45706</v>
      </c>
      <c r="D397" t="inlineStr">
        <is>
          <t>JÄMTLANDS LÄN</t>
        </is>
      </c>
      <c r="E397" t="inlineStr">
        <is>
          <t>BERG</t>
        </is>
      </c>
      <c r="F397" t="inlineStr">
        <is>
          <t>Sveaskog</t>
        </is>
      </c>
      <c r="G397" t="n">
        <v>15.7</v>
      </c>
      <c r="H397" t="n">
        <v>0</v>
      </c>
      <c r="I397" t="n">
        <v>0</v>
      </c>
      <c r="J397" t="n">
        <v>0</v>
      </c>
      <c r="K397" t="n">
        <v>0</v>
      </c>
      <c r="L397" t="n">
        <v>0</v>
      </c>
      <c r="M397" t="n">
        <v>0</v>
      </c>
      <c r="N397" t="n">
        <v>0</v>
      </c>
      <c r="O397" t="n">
        <v>0</v>
      </c>
      <c r="P397" t="n">
        <v>0</v>
      </c>
      <c r="Q397" t="n">
        <v>0</v>
      </c>
      <c r="R397" s="2" t="inlineStr"/>
    </row>
    <row r="398" ht="15" customHeight="1">
      <c r="A398" t="inlineStr">
        <is>
          <t>A 39943-2021</t>
        </is>
      </c>
      <c r="B398" s="1" t="n">
        <v>44417</v>
      </c>
      <c r="C398" s="1" t="n">
        <v>45706</v>
      </c>
      <c r="D398" t="inlineStr">
        <is>
          <t>JÄMTLANDS LÄN</t>
        </is>
      </c>
      <c r="E398" t="inlineStr">
        <is>
          <t>BERG</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44088-2021</t>
        </is>
      </c>
      <c r="B399" s="1" t="n">
        <v>44434</v>
      </c>
      <c r="C399" s="1" t="n">
        <v>45706</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44911-2021</t>
        </is>
      </c>
      <c r="B400" s="1" t="n">
        <v>44435</v>
      </c>
      <c r="C400" s="1" t="n">
        <v>45706</v>
      </c>
      <c r="D400" t="inlineStr">
        <is>
          <t>JÄMTLANDS LÄN</t>
        </is>
      </c>
      <c r="E400" t="inlineStr">
        <is>
          <t>BERG</t>
        </is>
      </c>
      <c r="G400" t="n">
        <v>1.3</v>
      </c>
      <c r="H400" t="n">
        <v>0</v>
      </c>
      <c r="I400" t="n">
        <v>0</v>
      </c>
      <c r="J400" t="n">
        <v>0</v>
      </c>
      <c r="K400" t="n">
        <v>0</v>
      </c>
      <c r="L400" t="n">
        <v>0</v>
      </c>
      <c r="M400" t="n">
        <v>0</v>
      </c>
      <c r="N400" t="n">
        <v>0</v>
      </c>
      <c r="O400" t="n">
        <v>0</v>
      </c>
      <c r="P400" t="n">
        <v>0</v>
      </c>
      <c r="Q400" t="n">
        <v>0</v>
      </c>
      <c r="R400" s="2" t="inlineStr"/>
    </row>
    <row r="401" ht="15" customHeight="1">
      <c r="A401" t="inlineStr">
        <is>
          <t>A 44997-2021</t>
        </is>
      </c>
      <c r="B401" s="1" t="n">
        <v>44438</v>
      </c>
      <c r="C401" s="1" t="n">
        <v>45706</v>
      </c>
      <c r="D401" t="inlineStr">
        <is>
          <t>JÄMTLANDS LÄN</t>
        </is>
      </c>
      <c r="E401" t="inlineStr">
        <is>
          <t>BERG</t>
        </is>
      </c>
      <c r="G401" t="n">
        <v>3.8</v>
      </c>
      <c r="H401" t="n">
        <v>0</v>
      </c>
      <c r="I401" t="n">
        <v>0</v>
      </c>
      <c r="J401" t="n">
        <v>0</v>
      </c>
      <c r="K401" t="n">
        <v>0</v>
      </c>
      <c r="L401" t="n">
        <v>0</v>
      </c>
      <c r="M401" t="n">
        <v>0</v>
      </c>
      <c r="N401" t="n">
        <v>0</v>
      </c>
      <c r="O401" t="n">
        <v>0</v>
      </c>
      <c r="P401" t="n">
        <v>0</v>
      </c>
      <c r="Q401" t="n">
        <v>0</v>
      </c>
      <c r="R401" s="2" t="inlineStr"/>
    </row>
    <row r="402" ht="15" customHeight="1">
      <c r="A402" t="inlineStr">
        <is>
          <t>A 45349-2021</t>
        </is>
      </c>
      <c r="B402" s="1" t="n">
        <v>44440</v>
      </c>
      <c r="C402" s="1" t="n">
        <v>45706</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46115-2021</t>
        </is>
      </c>
      <c r="B403" s="1" t="n">
        <v>44441</v>
      </c>
      <c r="C403" s="1" t="n">
        <v>45706</v>
      </c>
      <c r="D403" t="inlineStr">
        <is>
          <t>JÄMTLANDS LÄN</t>
        </is>
      </c>
      <c r="E403" t="inlineStr">
        <is>
          <t>BERG</t>
        </is>
      </c>
      <c r="G403" t="n">
        <v>15.1</v>
      </c>
      <c r="H403" t="n">
        <v>0</v>
      </c>
      <c r="I403" t="n">
        <v>0</v>
      </c>
      <c r="J403" t="n">
        <v>0</v>
      </c>
      <c r="K403" t="n">
        <v>0</v>
      </c>
      <c r="L403" t="n">
        <v>0</v>
      </c>
      <c r="M403" t="n">
        <v>0</v>
      </c>
      <c r="N403" t="n">
        <v>0</v>
      </c>
      <c r="O403" t="n">
        <v>0</v>
      </c>
      <c r="P403" t="n">
        <v>0</v>
      </c>
      <c r="Q403" t="n">
        <v>0</v>
      </c>
      <c r="R403" s="2" t="inlineStr"/>
    </row>
    <row r="404" ht="15" customHeight="1">
      <c r="A404" t="inlineStr">
        <is>
          <t>A 46515-2021</t>
        </is>
      </c>
      <c r="B404" s="1" t="n">
        <v>44445</v>
      </c>
      <c r="C404" s="1" t="n">
        <v>45706</v>
      </c>
      <c r="D404" t="inlineStr">
        <is>
          <t>JÄMTLANDS LÄN</t>
        </is>
      </c>
      <c r="E404" t="inlineStr">
        <is>
          <t>BERG</t>
        </is>
      </c>
      <c r="G404" t="n">
        <v>1.1</v>
      </c>
      <c r="H404" t="n">
        <v>0</v>
      </c>
      <c r="I404" t="n">
        <v>0</v>
      </c>
      <c r="J404" t="n">
        <v>0</v>
      </c>
      <c r="K404" t="n">
        <v>0</v>
      </c>
      <c r="L404" t="n">
        <v>0</v>
      </c>
      <c r="M404" t="n">
        <v>0</v>
      </c>
      <c r="N404" t="n">
        <v>0</v>
      </c>
      <c r="O404" t="n">
        <v>0</v>
      </c>
      <c r="P404" t="n">
        <v>0</v>
      </c>
      <c r="Q404" t="n">
        <v>0</v>
      </c>
      <c r="R404" s="2" t="inlineStr"/>
    </row>
    <row r="405" ht="15" customHeight="1">
      <c r="A405" t="inlineStr">
        <is>
          <t>A 46853-2021</t>
        </is>
      </c>
      <c r="B405" s="1" t="n">
        <v>44446</v>
      </c>
      <c r="C405" s="1" t="n">
        <v>45706</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46937-2021</t>
        </is>
      </c>
      <c r="B406" s="1" t="n">
        <v>44446</v>
      </c>
      <c r="C406" s="1" t="n">
        <v>45706</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50453-2021</t>
        </is>
      </c>
      <c r="B407" s="1" t="n">
        <v>44455</v>
      </c>
      <c r="C407" s="1" t="n">
        <v>45706</v>
      </c>
      <c r="D407" t="inlineStr">
        <is>
          <t>JÄMTLANDS LÄN</t>
        </is>
      </c>
      <c r="E407" t="inlineStr">
        <is>
          <t>BERG</t>
        </is>
      </c>
      <c r="G407" t="n">
        <v>3.9</v>
      </c>
      <c r="H407" t="n">
        <v>0</v>
      </c>
      <c r="I407" t="n">
        <v>0</v>
      </c>
      <c r="J407" t="n">
        <v>0</v>
      </c>
      <c r="K407" t="n">
        <v>0</v>
      </c>
      <c r="L407" t="n">
        <v>0</v>
      </c>
      <c r="M407" t="n">
        <v>0</v>
      </c>
      <c r="N407" t="n">
        <v>0</v>
      </c>
      <c r="O407" t="n">
        <v>0</v>
      </c>
      <c r="P407" t="n">
        <v>0</v>
      </c>
      <c r="Q407" t="n">
        <v>0</v>
      </c>
      <c r="R407" s="2" t="inlineStr"/>
    </row>
    <row r="408" ht="15" customHeight="1">
      <c r="A408" t="inlineStr">
        <is>
          <t>A 50780-2021</t>
        </is>
      </c>
      <c r="B408" s="1" t="n">
        <v>44459</v>
      </c>
      <c r="C408" s="1" t="n">
        <v>45706</v>
      </c>
      <c r="D408" t="inlineStr">
        <is>
          <t>JÄMTLANDS LÄN</t>
        </is>
      </c>
      <c r="E408" t="inlineStr">
        <is>
          <t>BERG</t>
        </is>
      </c>
      <c r="G408" t="n">
        <v>3.5</v>
      </c>
      <c r="H408" t="n">
        <v>0</v>
      </c>
      <c r="I408" t="n">
        <v>0</v>
      </c>
      <c r="J408" t="n">
        <v>0</v>
      </c>
      <c r="K408" t="n">
        <v>0</v>
      </c>
      <c r="L408" t="n">
        <v>0</v>
      </c>
      <c r="M408" t="n">
        <v>0</v>
      </c>
      <c r="N408" t="n">
        <v>0</v>
      </c>
      <c r="O408" t="n">
        <v>0</v>
      </c>
      <c r="P408" t="n">
        <v>0</v>
      </c>
      <c r="Q408" t="n">
        <v>0</v>
      </c>
      <c r="R408" s="2" t="inlineStr"/>
    </row>
    <row r="409" ht="15" customHeight="1">
      <c r="A409" t="inlineStr">
        <is>
          <t>A 51951-2021</t>
        </is>
      </c>
      <c r="B409" s="1" t="n">
        <v>44462</v>
      </c>
      <c r="C409" s="1" t="n">
        <v>45706</v>
      </c>
      <c r="D409" t="inlineStr">
        <is>
          <t>JÄMTLANDS LÄN</t>
        </is>
      </c>
      <c r="E409" t="inlineStr">
        <is>
          <t>BERG</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54766-2021</t>
        </is>
      </c>
      <c r="B410" s="1" t="n">
        <v>44473</v>
      </c>
      <c r="C410" s="1" t="n">
        <v>45706</v>
      </c>
      <c r="D410" t="inlineStr">
        <is>
          <t>JÄMTLANDS LÄN</t>
        </is>
      </c>
      <c r="E410" t="inlineStr">
        <is>
          <t>BERG</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54799-2021</t>
        </is>
      </c>
      <c r="B411" s="1" t="n">
        <v>44473</v>
      </c>
      <c r="C411" s="1" t="n">
        <v>45706</v>
      </c>
      <c r="D411" t="inlineStr">
        <is>
          <t>JÄMTLANDS LÄN</t>
        </is>
      </c>
      <c r="E411" t="inlineStr">
        <is>
          <t>BERG</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56220-2021</t>
        </is>
      </c>
      <c r="B412" s="1" t="n">
        <v>44477</v>
      </c>
      <c r="C412" s="1" t="n">
        <v>45706</v>
      </c>
      <c r="D412" t="inlineStr">
        <is>
          <t>JÄMTLANDS LÄN</t>
        </is>
      </c>
      <c r="E412" t="inlineStr">
        <is>
          <t>BERG</t>
        </is>
      </c>
      <c r="F412" t="inlineStr">
        <is>
          <t>SCA</t>
        </is>
      </c>
      <c r="G412" t="n">
        <v>12.8</v>
      </c>
      <c r="H412" t="n">
        <v>0</v>
      </c>
      <c r="I412" t="n">
        <v>0</v>
      </c>
      <c r="J412" t="n">
        <v>0</v>
      </c>
      <c r="K412" t="n">
        <v>0</v>
      </c>
      <c r="L412" t="n">
        <v>0</v>
      </c>
      <c r="M412" t="n">
        <v>0</v>
      </c>
      <c r="N412" t="n">
        <v>0</v>
      </c>
      <c r="O412" t="n">
        <v>0</v>
      </c>
      <c r="P412" t="n">
        <v>0</v>
      </c>
      <c r="Q412" t="n">
        <v>0</v>
      </c>
      <c r="R412" s="2" t="inlineStr"/>
    </row>
    <row r="413" ht="15" customHeight="1">
      <c r="A413" t="inlineStr">
        <is>
          <t>A 57949-2021</t>
        </is>
      </c>
      <c r="B413" s="1" t="n">
        <v>44487</v>
      </c>
      <c r="C413" s="1" t="n">
        <v>45706</v>
      </c>
      <c r="D413" t="inlineStr">
        <is>
          <t>JÄMTLANDS LÄN</t>
        </is>
      </c>
      <c r="E413" t="inlineStr">
        <is>
          <t>BERG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58088-2021</t>
        </is>
      </c>
      <c r="B414" s="1" t="n">
        <v>44487</v>
      </c>
      <c r="C414" s="1" t="n">
        <v>45706</v>
      </c>
      <c r="D414" t="inlineStr">
        <is>
          <t>JÄMTLANDS LÄN</t>
        </is>
      </c>
      <c r="E414" t="inlineStr">
        <is>
          <t>BERG</t>
        </is>
      </c>
      <c r="F414" t="inlineStr">
        <is>
          <t>Sveaskog</t>
        </is>
      </c>
      <c r="G414" t="n">
        <v>10.7</v>
      </c>
      <c r="H414" t="n">
        <v>0</v>
      </c>
      <c r="I414" t="n">
        <v>0</v>
      </c>
      <c r="J414" t="n">
        <v>0</v>
      </c>
      <c r="K414" t="n">
        <v>0</v>
      </c>
      <c r="L414" t="n">
        <v>0</v>
      </c>
      <c r="M414" t="n">
        <v>0</v>
      </c>
      <c r="N414" t="n">
        <v>0</v>
      </c>
      <c r="O414" t="n">
        <v>0</v>
      </c>
      <c r="P414" t="n">
        <v>0</v>
      </c>
      <c r="Q414" t="n">
        <v>0</v>
      </c>
      <c r="R414" s="2" t="inlineStr"/>
    </row>
    <row r="415" ht="15" customHeight="1">
      <c r="A415" t="inlineStr">
        <is>
          <t>A 58157-2021</t>
        </is>
      </c>
      <c r="B415" s="1" t="n">
        <v>44487</v>
      </c>
      <c r="C415" s="1" t="n">
        <v>45706</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58151-2021</t>
        </is>
      </c>
      <c r="B416" s="1" t="n">
        <v>44487</v>
      </c>
      <c r="C416" s="1" t="n">
        <v>45706</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59245-2021</t>
        </is>
      </c>
      <c r="B417" s="1" t="n">
        <v>44490</v>
      </c>
      <c r="C417" s="1" t="n">
        <v>45706</v>
      </c>
      <c r="D417" t="inlineStr">
        <is>
          <t>JÄMTLANDS LÄN</t>
        </is>
      </c>
      <c r="E417" t="inlineStr">
        <is>
          <t>BERG</t>
        </is>
      </c>
      <c r="G417" t="n">
        <v>15.8</v>
      </c>
      <c r="H417" t="n">
        <v>0</v>
      </c>
      <c r="I417" t="n">
        <v>0</v>
      </c>
      <c r="J417" t="n">
        <v>0</v>
      </c>
      <c r="K417" t="n">
        <v>0</v>
      </c>
      <c r="L417" t="n">
        <v>0</v>
      </c>
      <c r="M417" t="n">
        <v>0</v>
      </c>
      <c r="N417" t="n">
        <v>0</v>
      </c>
      <c r="O417" t="n">
        <v>0</v>
      </c>
      <c r="P417" t="n">
        <v>0</v>
      </c>
      <c r="Q417" t="n">
        <v>0</v>
      </c>
      <c r="R417" s="2" t="inlineStr"/>
    </row>
    <row r="418" ht="15" customHeight="1">
      <c r="A418" t="inlineStr">
        <is>
          <t>A 64709-2021</t>
        </is>
      </c>
      <c r="B418" s="1" t="n">
        <v>44512</v>
      </c>
      <c r="C418" s="1" t="n">
        <v>45706</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68441-2021</t>
        </is>
      </c>
      <c r="B419" s="1" t="n">
        <v>44529</v>
      </c>
      <c r="C419" s="1" t="n">
        <v>45706</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68450-2021</t>
        </is>
      </c>
      <c r="B420" s="1" t="n">
        <v>44529</v>
      </c>
      <c r="C420" s="1" t="n">
        <v>45706</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68468-2021</t>
        </is>
      </c>
      <c r="B421" s="1" t="n">
        <v>44529</v>
      </c>
      <c r="C421" s="1" t="n">
        <v>45706</v>
      </c>
      <c r="D421" t="inlineStr">
        <is>
          <t>JÄMTLANDS LÄN</t>
        </is>
      </c>
      <c r="E421" t="inlineStr">
        <is>
          <t>BERG</t>
        </is>
      </c>
      <c r="G421" t="n">
        <v>4.6</v>
      </c>
      <c r="H421" t="n">
        <v>0</v>
      </c>
      <c r="I421" t="n">
        <v>0</v>
      </c>
      <c r="J421" t="n">
        <v>0</v>
      </c>
      <c r="K421" t="n">
        <v>0</v>
      </c>
      <c r="L421" t="n">
        <v>0</v>
      </c>
      <c r="M421" t="n">
        <v>0</v>
      </c>
      <c r="N421" t="n">
        <v>0</v>
      </c>
      <c r="O421" t="n">
        <v>0</v>
      </c>
      <c r="P421" t="n">
        <v>0</v>
      </c>
      <c r="Q421" t="n">
        <v>0</v>
      </c>
      <c r="R421" s="2" t="inlineStr"/>
    </row>
    <row r="422" ht="15" customHeight="1">
      <c r="A422" t="inlineStr">
        <is>
          <t>A 68483-2021</t>
        </is>
      </c>
      <c r="B422" s="1" t="n">
        <v>44529</v>
      </c>
      <c r="C422" s="1" t="n">
        <v>45706</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68854-2021</t>
        </is>
      </c>
      <c r="B423" s="1" t="n">
        <v>44530</v>
      </c>
      <c r="C423" s="1" t="n">
        <v>45706</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70463-2021</t>
        </is>
      </c>
      <c r="B424" s="1" t="n">
        <v>44536</v>
      </c>
      <c r="C424" s="1" t="n">
        <v>45706</v>
      </c>
      <c r="D424" t="inlineStr">
        <is>
          <t>JÄMTLANDS LÄN</t>
        </is>
      </c>
      <c r="E424" t="inlineStr">
        <is>
          <t>BERG</t>
        </is>
      </c>
      <c r="G424" t="n">
        <v>10.8</v>
      </c>
      <c r="H424" t="n">
        <v>0</v>
      </c>
      <c r="I424" t="n">
        <v>0</v>
      </c>
      <c r="J424" t="n">
        <v>0</v>
      </c>
      <c r="K424" t="n">
        <v>0</v>
      </c>
      <c r="L424" t="n">
        <v>0</v>
      </c>
      <c r="M424" t="n">
        <v>0</v>
      </c>
      <c r="N424" t="n">
        <v>0</v>
      </c>
      <c r="O424" t="n">
        <v>0</v>
      </c>
      <c r="P424" t="n">
        <v>0</v>
      </c>
      <c r="Q424" t="n">
        <v>0</v>
      </c>
      <c r="R424" s="2" t="inlineStr"/>
    </row>
    <row r="425" ht="15" customHeight="1">
      <c r="A425" t="inlineStr">
        <is>
          <t>A 70570-2021</t>
        </is>
      </c>
      <c r="B425" s="1" t="n">
        <v>44536</v>
      </c>
      <c r="C425" s="1" t="n">
        <v>45706</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70468-2021</t>
        </is>
      </c>
      <c r="B426" s="1" t="n">
        <v>44536</v>
      </c>
      <c r="C426" s="1" t="n">
        <v>45706</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71525-2021</t>
        </is>
      </c>
      <c r="B427" s="1" t="n">
        <v>44540</v>
      </c>
      <c r="C427" s="1" t="n">
        <v>45706</v>
      </c>
      <c r="D427" t="inlineStr">
        <is>
          <t>JÄMTLANDS LÄN</t>
        </is>
      </c>
      <c r="E427" t="inlineStr">
        <is>
          <t>BERG</t>
        </is>
      </c>
      <c r="G427" t="n">
        <v>3.2</v>
      </c>
      <c r="H427" t="n">
        <v>0</v>
      </c>
      <c r="I427" t="n">
        <v>0</v>
      </c>
      <c r="J427" t="n">
        <v>0</v>
      </c>
      <c r="K427" t="n">
        <v>0</v>
      </c>
      <c r="L427" t="n">
        <v>0</v>
      </c>
      <c r="M427" t="n">
        <v>0</v>
      </c>
      <c r="N427" t="n">
        <v>0</v>
      </c>
      <c r="O427" t="n">
        <v>0</v>
      </c>
      <c r="P427" t="n">
        <v>0</v>
      </c>
      <c r="Q427" t="n">
        <v>0</v>
      </c>
      <c r="R427" s="2" t="inlineStr"/>
    </row>
    <row r="428" ht="15" customHeight="1">
      <c r="A428" t="inlineStr">
        <is>
          <t>A 72265-2021</t>
        </is>
      </c>
      <c r="B428" s="1" t="n">
        <v>44543</v>
      </c>
      <c r="C428" s="1" t="n">
        <v>45706</v>
      </c>
      <c r="D428" t="inlineStr">
        <is>
          <t>JÄMTLANDS LÄN</t>
        </is>
      </c>
      <c r="E428" t="inlineStr">
        <is>
          <t>BERG</t>
        </is>
      </c>
      <c r="G428" t="n">
        <v>9.9</v>
      </c>
      <c r="H428" t="n">
        <v>0</v>
      </c>
      <c r="I428" t="n">
        <v>0</v>
      </c>
      <c r="J428" t="n">
        <v>0</v>
      </c>
      <c r="K428" t="n">
        <v>0</v>
      </c>
      <c r="L428" t="n">
        <v>0</v>
      </c>
      <c r="M428" t="n">
        <v>0</v>
      </c>
      <c r="N428" t="n">
        <v>0</v>
      </c>
      <c r="O428" t="n">
        <v>0</v>
      </c>
      <c r="P428" t="n">
        <v>0</v>
      </c>
      <c r="Q428" t="n">
        <v>0</v>
      </c>
      <c r="R428" s="2" t="inlineStr"/>
    </row>
    <row r="429" ht="15" customHeight="1">
      <c r="A429" t="inlineStr">
        <is>
          <t>A 72264-2021</t>
        </is>
      </c>
      <c r="B429" s="1" t="n">
        <v>44543</v>
      </c>
      <c r="C429" s="1" t="n">
        <v>45706</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72498-2021</t>
        </is>
      </c>
      <c r="B430" s="1" t="n">
        <v>44545</v>
      </c>
      <c r="C430" s="1" t="n">
        <v>45706</v>
      </c>
      <c r="D430" t="inlineStr">
        <is>
          <t>JÄMTLANDS LÄN</t>
        </is>
      </c>
      <c r="E430" t="inlineStr">
        <is>
          <t>BERG</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72926-2021</t>
        </is>
      </c>
      <c r="B431" s="1" t="n">
        <v>44546</v>
      </c>
      <c r="C431" s="1" t="n">
        <v>45706</v>
      </c>
      <c r="D431" t="inlineStr">
        <is>
          <t>JÄMTLANDS LÄN</t>
        </is>
      </c>
      <c r="E431" t="inlineStr">
        <is>
          <t>BERG</t>
        </is>
      </c>
      <c r="G431" t="n">
        <v>4.6</v>
      </c>
      <c r="H431" t="n">
        <v>0</v>
      </c>
      <c r="I431" t="n">
        <v>0</v>
      </c>
      <c r="J431" t="n">
        <v>0</v>
      </c>
      <c r="K431" t="n">
        <v>0</v>
      </c>
      <c r="L431" t="n">
        <v>0</v>
      </c>
      <c r="M431" t="n">
        <v>0</v>
      </c>
      <c r="N431" t="n">
        <v>0</v>
      </c>
      <c r="O431" t="n">
        <v>0</v>
      </c>
      <c r="P431" t="n">
        <v>0</v>
      </c>
      <c r="Q431" t="n">
        <v>0</v>
      </c>
      <c r="R431" s="2" t="inlineStr"/>
    </row>
    <row r="432" ht="15" customHeight="1">
      <c r="A432" t="inlineStr">
        <is>
          <t>A 73586-2021</t>
        </is>
      </c>
      <c r="B432" s="1" t="n">
        <v>44551</v>
      </c>
      <c r="C432" s="1" t="n">
        <v>45706</v>
      </c>
      <c r="D432" t="inlineStr">
        <is>
          <t>JÄMTLANDS LÄN</t>
        </is>
      </c>
      <c r="E432" t="inlineStr">
        <is>
          <t>BERG</t>
        </is>
      </c>
      <c r="G432" t="n">
        <v>5.1</v>
      </c>
      <c r="H432" t="n">
        <v>0</v>
      </c>
      <c r="I432" t="n">
        <v>0</v>
      </c>
      <c r="J432" t="n">
        <v>0</v>
      </c>
      <c r="K432" t="n">
        <v>0</v>
      </c>
      <c r="L432" t="n">
        <v>0</v>
      </c>
      <c r="M432" t="n">
        <v>0</v>
      </c>
      <c r="N432" t="n">
        <v>0</v>
      </c>
      <c r="O432" t="n">
        <v>0</v>
      </c>
      <c r="P432" t="n">
        <v>0</v>
      </c>
      <c r="Q432" t="n">
        <v>0</v>
      </c>
      <c r="R432" s="2" t="inlineStr"/>
    </row>
    <row r="433" ht="15" customHeight="1">
      <c r="A433" t="inlineStr">
        <is>
          <t>A 164-2022</t>
        </is>
      </c>
      <c r="B433" s="1" t="n">
        <v>44564</v>
      </c>
      <c r="C433" s="1" t="n">
        <v>45706</v>
      </c>
      <c r="D433" t="inlineStr">
        <is>
          <t>JÄMTLANDS LÄN</t>
        </is>
      </c>
      <c r="E433" t="inlineStr">
        <is>
          <t>BERG</t>
        </is>
      </c>
      <c r="G433" t="n">
        <v>12.4</v>
      </c>
      <c r="H433" t="n">
        <v>0</v>
      </c>
      <c r="I433" t="n">
        <v>0</v>
      </c>
      <c r="J433" t="n">
        <v>0</v>
      </c>
      <c r="K433" t="n">
        <v>0</v>
      </c>
      <c r="L433" t="n">
        <v>0</v>
      </c>
      <c r="M433" t="n">
        <v>0</v>
      </c>
      <c r="N433" t="n">
        <v>0</v>
      </c>
      <c r="O433" t="n">
        <v>0</v>
      </c>
      <c r="P433" t="n">
        <v>0</v>
      </c>
      <c r="Q433" t="n">
        <v>0</v>
      </c>
      <c r="R433" s="2" t="inlineStr"/>
    </row>
    <row r="434" ht="15" customHeight="1">
      <c r="A434" t="inlineStr">
        <is>
          <t>A 171-2022</t>
        </is>
      </c>
      <c r="B434" s="1" t="n">
        <v>44564</v>
      </c>
      <c r="C434" s="1" t="n">
        <v>45706</v>
      </c>
      <c r="D434" t="inlineStr">
        <is>
          <t>JÄMTLANDS LÄN</t>
        </is>
      </c>
      <c r="E434" t="inlineStr">
        <is>
          <t>BERG</t>
        </is>
      </c>
      <c r="G434" t="n">
        <v>2.3</v>
      </c>
      <c r="H434" t="n">
        <v>0</v>
      </c>
      <c r="I434" t="n">
        <v>0</v>
      </c>
      <c r="J434" t="n">
        <v>0</v>
      </c>
      <c r="K434" t="n">
        <v>0</v>
      </c>
      <c r="L434" t="n">
        <v>0</v>
      </c>
      <c r="M434" t="n">
        <v>0</v>
      </c>
      <c r="N434" t="n">
        <v>0</v>
      </c>
      <c r="O434" t="n">
        <v>0</v>
      </c>
      <c r="P434" t="n">
        <v>0</v>
      </c>
      <c r="Q434" t="n">
        <v>0</v>
      </c>
      <c r="R434" s="2" t="inlineStr"/>
    </row>
    <row r="435" ht="15" customHeight="1">
      <c r="A435" t="inlineStr">
        <is>
          <t>A 1344-2022</t>
        </is>
      </c>
      <c r="B435" s="1" t="n">
        <v>44572</v>
      </c>
      <c r="C435" s="1" t="n">
        <v>45706</v>
      </c>
      <c r="D435" t="inlineStr">
        <is>
          <t>JÄMTLANDS LÄN</t>
        </is>
      </c>
      <c r="E435" t="inlineStr">
        <is>
          <t>BERG</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1520-2022</t>
        </is>
      </c>
      <c r="B436" s="1" t="n">
        <v>44572</v>
      </c>
      <c r="C436" s="1" t="n">
        <v>45706</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1559-2022</t>
        </is>
      </c>
      <c r="B437" s="1" t="n">
        <v>44573</v>
      </c>
      <c r="C437" s="1" t="n">
        <v>45706</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1983-2022</t>
        </is>
      </c>
      <c r="B438" s="1" t="n">
        <v>44575</v>
      </c>
      <c r="C438" s="1" t="n">
        <v>45706</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2002-2022</t>
        </is>
      </c>
      <c r="B439" s="1" t="n">
        <v>44575</v>
      </c>
      <c r="C439" s="1" t="n">
        <v>45706</v>
      </c>
      <c r="D439" t="inlineStr">
        <is>
          <t>JÄMTLANDS LÄN</t>
        </is>
      </c>
      <c r="E439" t="inlineStr">
        <is>
          <t>BERG</t>
        </is>
      </c>
      <c r="G439" t="n">
        <v>11.3</v>
      </c>
      <c r="H439" t="n">
        <v>0</v>
      </c>
      <c r="I439" t="n">
        <v>0</v>
      </c>
      <c r="J439" t="n">
        <v>0</v>
      </c>
      <c r="K439" t="n">
        <v>0</v>
      </c>
      <c r="L439" t="n">
        <v>0</v>
      </c>
      <c r="M439" t="n">
        <v>0</v>
      </c>
      <c r="N439" t="n">
        <v>0</v>
      </c>
      <c r="O439" t="n">
        <v>0</v>
      </c>
      <c r="P439" t="n">
        <v>0</v>
      </c>
      <c r="Q439" t="n">
        <v>0</v>
      </c>
      <c r="R439" s="2" t="inlineStr"/>
    </row>
    <row r="440" ht="15" customHeight="1">
      <c r="A440" t="inlineStr">
        <is>
          <t>A 2009-2022</t>
        </is>
      </c>
      <c r="B440" s="1" t="n">
        <v>44575</v>
      </c>
      <c r="C440" s="1" t="n">
        <v>45706</v>
      </c>
      <c r="D440" t="inlineStr">
        <is>
          <t>JÄMTLANDS LÄN</t>
        </is>
      </c>
      <c r="E440" t="inlineStr">
        <is>
          <t>BERG</t>
        </is>
      </c>
      <c r="G440" t="n">
        <v>11.9</v>
      </c>
      <c r="H440" t="n">
        <v>0</v>
      </c>
      <c r="I440" t="n">
        <v>0</v>
      </c>
      <c r="J440" t="n">
        <v>0</v>
      </c>
      <c r="K440" t="n">
        <v>0</v>
      </c>
      <c r="L440" t="n">
        <v>0</v>
      </c>
      <c r="M440" t="n">
        <v>0</v>
      </c>
      <c r="N440" t="n">
        <v>0</v>
      </c>
      <c r="O440" t="n">
        <v>0</v>
      </c>
      <c r="P440" t="n">
        <v>0</v>
      </c>
      <c r="Q440" t="n">
        <v>0</v>
      </c>
      <c r="R440" s="2" t="inlineStr"/>
    </row>
    <row r="441" ht="15" customHeight="1">
      <c r="A441" t="inlineStr">
        <is>
          <t>A 2010-2022</t>
        </is>
      </c>
      <c r="B441" s="1" t="n">
        <v>44575</v>
      </c>
      <c r="C441" s="1" t="n">
        <v>45706</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1982-2022</t>
        </is>
      </c>
      <c r="B442" s="1" t="n">
        <v>44575</v>
      </c>
      <c r="C442" s="1" t="n">
        <v>45706</v>
      </c>
      <c r="D442" t="inlineStr">
        <is>
          <t>JÄMTLANDS LÄN</t>
        </is>
      </c>
      <c r="E442" t="inlineStr">
        <is>
          <t>BERG</t>
        </is>
      </c>
      <c r="G442" t="n">
        <v>1.6</v>
      </c>
      <c r="H442" t="n">
        <v>0</v>
      </c>
      <c r="I442" t="n">
        <v>0</v>
      </c>
      <c r="J442" t="n">
        <v>0</v>
      </c>
      <c r="K442" t="n">
        <v>0</v>
      </c>
      <c r="L442" t="n">
        <v>0</v>
      </c>
      <c r="M442" t="n">
        <v>0</v>
      </c>
      <c r="N442" t="n">
        <v>0</v>
      </c>
      <c r="O442" t="n">
        <v>0</v>
      </c>
      <c r="P442" t="n">
        <v>0</v>
      </c>
      <c r="Q442" t="n">
        <v>0</v>
      </c>
      <c r="R442" s="2" t="inlineStr"/>
    </row>
    <row r="443" ht="15" customHeight="1">
      <c r="A443" t="inlineStr">
        <is>
          <t>A 2076-2022</t>
        </is>
      </c>
      <c r="B443" s="1" t="n">
        <v>44575</v>
      </c>
      <c r="C443" s="1" t="n">
        <v>45706</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2539-2022</t>
        </is>
      </c>
      <c r="B444" s="1" t="n">
        <v>44580</v>
      </c>
      <c r="C444" s="1" t="n">
        <v>45706</v>
      </c>
      <c r="D444" t="inlineStr">
        <is>
          <t>JÄMTLANDS LÄN</t>
        </is>
      </c>
      <c r="E444" t="inlineStr">
        <is>
          <t>BERG</t>
        </is>
      </c>
      <c r="G444" t="n">
        <v>6.3</v>
      </c>
      <c r="H444" t="n">
        <v>0</v>
      </c>
      <c r="I444" t="n">
        <v>0</v>
      </c>
      <c r="J444" t="n">
        <v>0</v>
      </c>
      <c r="K444" t="n">
        <v>0</v>
      </c>
      <c r="L444" t="n">
        <v>0</v>
      </c>
      <c r="M444" t="n">
        <v>0</v>
      </c>
      <c r="N444" t="n">
        <v>0</v>
      </c>
      <c r="O444" t="n">
        <v>0</v>
      </c>
      <c r="P444" t="n">
        <v>0</v>
      </c>
      <c r="Q444" t="n">
        <v>0</v>
      </c>
      <c r="R444" s="2" t="inlineStr"/>
    </row>
    <row r="445" ht="15" customHeight="1">
      <c r="A445" t="inlineStr">
        <is>
          <t>A 2544-2022</t>
        </is>
      </c>
      <c r="B445" s="1" t="n">
        <v>44580</v>
      </c>
      <c r="C445" s="1" t="n">
        <v>45706</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3543-2022</t>
        </is>
      </c>
      <c r="B446" s="1" t="n">
        <v>44585</v>
      </c>
      <c r="C446" s="1" t="n">
        <v>45706</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3801-2022</t>
        </is>
      </c>
      <c r="B447" s="1" t="n">
        <v>44586</v>
      </c>
      <c r="C447" s="1" t="n">
        <v>45706</v>
      </c>
      <c r="D447" t="inlineStr">
        <is>
          <t>JÄMTLANDS LÄN</t>
        </is>
      </c>
      <c r="E447" t="inlineStr">
        <is>
          <t>BERG</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3798-2022</t>
        </is>
      </c>
      <c r="B448" s="1" t="n">
        <v>44586</v>
      </c>
      <c r="C448" s="1" t="n">
        <v>45706</v>
      </c>
      <c r="D448" t="inlineStr">
        <is>
          <t>JÄMTLANDS LÄN</t>
        </is>
      </c>
      <c r="E448" t="inlineStr">
        <is>
          <t>BERG</t>
        </is>
      </c>
      <c r="G448" t="n">
        <v>0.1</v>
      </c>
      <c r="H448" t="n">
        <v>0</v>
      </c>
      <c r="I448" t="n">
        <v>0</v>
      </c>
      <c r="J448" t="n">
        <v>0</v>
      </c>
      <c r="K448" t="n">
        <v>0</v>
      </c>
      <c r="L448" t="n">
        <v>0</v>
      </c>
      <c r="M448" t="n">
        <v>0</v>
      </c>
      <c r="N448" t="n">
        <v>0</v>
      </c>
      <c r="O448" t="n">
        <v>0</v>
      </c>
      <c r="P448" t="n">
        <v>0</v>
      </c>
      <c r="Q448" t="n">
        <v>0</v>
      </c>
      <c r="R448" s="2" t="inlineStr"/>
    </row>
    <row r="449" ht="15" customHeight="1">
      <c r="A449" t="inlineStr">
        <is>
          <t>A 3891-2022</t>
        </is>
      </c>
      <c r="B449" s="1" t="n">
        <v>44587</v>
      </c>
      <c r="C449" s="1" t="n">
        <v>45706</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3870-2022</t>
        </is>
      </c>
      <c r="B450" s="1" t="n">
        <v>44587</v>
      </c>
      <c r="C450" s="1" t="n">
        <v>45706</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3983-2022</t>
        </is>
      </c>
      <c r="B451" s="1" t="n">
        <v>44587</v>
      </c>
      <c r="C451" s="1" t="n">
        <v>45706</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5221-2022</t>
        </is>
      </c>
      <c r="B452" s="1" t="n">
        <v>44594</v>
      </c>
      <c r="C452" s="1" t="n">
        <v>45706</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5219-2022</t>
        </is>
      </c>
      <c r="B453" s="1" t="n">
        <v>44594</v>
      </c>
      <c r="C453" s="1" t="n">
        <v>45706</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5222-2022</t>
        </is>
      </c>
      <c r="B454" s="1" t="n">
        <v>44594</v>
      </c>
      <c r="C454" s="1" t="n">
        <v>45706</v>
      </c>
      <c r="D454" t="inlineStr">
        <is>
          <t>JÄMTLANDS LÄN</t>
        </is>
      </c>
      <c r="E454" t="inlineStr">
        <is>
          <t>BERG</t>
        </is>
      </c>
      <c r="G454" t="n">
        <v>12.3</v>
      </c>
      <c r="H454" t="n">
        <v>0</v>
      </c>
      <c r="I454" t="n">
        <v>0</v>
      </c>
      <c r="J454" t="n">
        <v>0</v>
      </c>
      <c r="K454" t="n">
        <v>0</v>
      </c>
      <c r="L454" t="n">
        <v>0</v>
      </c>
      <c r="M454" t="n">
        <v>0</v>
      </c>
      <c r="N454" t="n">
        <v>0</v>
      </c>
      <c r="O454" t="n">
        <v>0</v>
      </c>
      <c r="P454" t="n">
        <v>0</v>
      </c>
      <c r="Q454" t="n">
        <v>0</v>
      </c>
      <c r="R454" s="2" t="inlineStr"/>
    </row>
    <row r="455" ht="15" customHeight="1">
      <c r="A455" t="inlineStr">
        <is>
          <t>A 5218-2022</t>
        </is>
      </c>
      <c r="B455" s="1" t="n">
        <v>44594</v>
      </c>
      <c r="C455" s="1" t="n">
        <v>45706</v>
      </c>
      <c r="D455" t="inlineStr">
        <is>
          <t>JÄMTLANDS LÄN</t>
        </is>
      </c>
      <c r="E455" t="inlineStr">
        <is>
          <t>BERG</t>
        </is>
      </c>
      <c r="G455" t="n">
        <v>2.5</v>
      </c>
      <c r="H455" t="n">
        <v>0</v>
      </c>
      <c r="I455" t="n">
        <v>0</v>
      </c>
      <c r="J455" t="n">
        <v>0</v>
      </c>
      <c r="K455" t="n">
        <v>0</v>
      </c>
      <c r="L455" t="n">
        <v>0</v>
      </c>
      <c r="M455" t="n">
        <v>0</v>
      </c>
      <c r="N455" t="n">
        <v>0</v>
      </c>
      <c r="O455" t="n">
        <v>0</v>
      </c>
      <c r="P455" t="n">
        <v>0</v>
      </c>
      <c r="Q455" t="n">
        <v>0</v>
      </c>
      <c r="R455" s="2" t="inlineStr"/>
    </row>
    <row r="456" ht="15" customHeight="1">
      <c r="A456" t="inlineStr">
        <is>
          <t>A 6090-2022</t>
        </is>
      </c>
      <c r="B456" s="1" t="n">
        <v>44599</v>
      </c>
      <c r="C456" s="1" t="n">
        <v>45706</v>
      </c>
      <c r="D456" t="inlineStr">
        <is>
          <t>JÄMTLANDS LÄN</t>
        </is>
      </c>
      <c r="E456" t="inlineStr">
        <is>
          <t>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6919-2022</t>
        </is>
      </c>
      <c r="B457" s="1" t="n">
        <v>44602</v>
      </c>
      <c r="C457" s="1" t="n">
        <v>45706</v>
      </c>
      <c r="D457" t="inlineStr">
        <is>
          <t>JÄMTLANDS LÄN</t>
        </is>
      </c>
      <c r="E457" t="inlineStr">
        <is>
          <t>BERG</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6943-2022</t>
        </is>
      </c>
      <c r="B458" s="1" t="n">
        <v>44603</v>
      </c>
      <c r="C458" s="1" t="n">
        <v>45706</v>
      </c>
      <c r="D458" t="inlineStr">
        <is>
          <t>JÄMTLANDS LÄN</t>
        </is>
      </c>
      <c r="E458" t="inlineStr">
        <is>
          <t>BERG</t>
        </is>
      </c>
      <c r="F458" t="inlineStr">
        <is>
          <t>Holmen skog AB</t>
        </is>
      </c>
      <c r="G458" t="n">
        <v>7.1</v>
      </c>
      <c r="H458" t="n">
        <v>0</v>
      </c>
      <c r="I458" t="n">
        <v>0</v>
      </c>
      <c r="J458" t="n">
        <v>0</v>
      </c>
      <c r="K458" t="n">
        <v>0</v>
      </c>
      <c r="L458" t="n">
        <v>0</v>
      </c>
      <c r="M458" t="n">
        <v>0</v>
      </c>
      <c r="N458" t="n">
        <v>0</v>
      </c>
      <c r="O458" t="n">
        <v>0</v>
      </c>
      <c r="P458" t="n">
        <v>0</v>
      </c>
      <c r="Q458" t="n">
        <v>0</v>
      </c>
      <c r="R458" s="2" t="inlineStr"/>
    </row>
    <row r="459" ht="15" customHeight="1">
      <c r="A459" t="inlineStr">
        <is>
          <t>A 7482-2022</t>
        </is>
      </c>
      <c r="B459" s="1" t="n">
        <v>44606</v>
      </c>
      <c r="C459" s="1" t="n">
        <v>45706</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7447-2022</t>
        </is>
      </c>
      <c r="B460" s="1" t="n">
        <v>44606</v>
      </c>
      <c r="C460" s="1" t="n">
        <v>45706</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8388-2022</t>
        </is>
      </c>
      <c r="B461" s="1" t="n">
        <v>44610</v>
      </c>
      <c r="C461" s="1" t="n">
        <v>45706</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8594-2022</t>
        </is>
      </c>
      <c r="B462" s="1" t="n">
        <v>44613</v>
      </c>
      <c r="C462" s="1" t="n">
        <v>45706</v>
      </c>
      <c r="D462" t="inlineStr">
        <is>
          <t>JÄMTLANDS LÄN</t>
        </is>
      </c>
      <c r="E462" t="inlineStr">
        <is>
          <t>BERG</t>
        </is>
      </c>
      <c r="G462" t="n">
        <v>4.2</v>
      </c>
      <c r="H462" t="n">
        <v>0</v>
      </c>
      <c r="I462" t="n">
        <v>0</v>
      </c>
      <c r="J462" t="n">
        <v>0</v>
      </c>
      <c r="K462" t="n">
        <v>0</v>
      </c>
      <c r="L462" t="n">
        <v>0</v>
      </c>
      <c r="M462" t="n">
        <v>0</v>
      </c>
      <c r="N462" t="n">
        <v>0</v>
      </c>
      <c r="O462" t="n">
        <v>0</v>
      </c>
      <c r="P462" t="n">
        <v>0</v>
      </c>
      <c r="Q462" t="n">
        <v>0</v>
      </c>
      <c r="R462" s="2" t="inlineStr"/>
    </row>
    <row r="463" ht="15" customHeight="1">
      <c r="A463" t="inlineStr">
        <is>
          <t>A 9114-2022</t>
        </is>
      </c>
      <c r="B463" s="1" t="n">
        <v>44615</v>
      </c>
      <c r="C463" s="1" t="n">
        <v>45706</v>
      </c>
      <c r="D463" t="inlineStr">
        <is>
          <t>JÄMTLANDS LÄN</t>
        </is>
      </c>
      <c r="E463" t="inlineStr">
        <is>
          <t>BERG</t>
        </is>
      </c>
      <c r="G463" t="n">
        <v>2.9</v>
      </c>
      <c r="H463" t="n">
        <v>0</v>
      </c>
      <c r="I463" t="n">
        <v>0</v>
      </c>
      <c r="J463" t="n">
        <v>0</v>
      </c>
      <c r="K463" t="n">
        <v>0</v>
      </c>
      <c r="L463" t="n">
        <v>0</v>
      </c>
      <c r="M463" t="n">
        <v>0</v>
      </c>
      <c r="N463" t="n">
        <v>0</v>
      </c>
      <c r="O463" t="n">
        <v>0</v>
      </c>
      <c r="P463" t="n">
        <v>0</v>
      </c>
      <c r="Q463" t="n">
        <v>0</v>
      </c>
      <c r="R463" s="2" t="inlineStr"/>
    </row>
    <row r="464" ht="15" customHeight="1">
      <c r="A464" t="inlineStr">
        <is>
          <t>A 12457-2022</t>
        </is>
      </c>
      <c r="B464" s="1" t="n">
        <v>44638</v>
      </c>
      <c r="C464" s="1" t="n">
        <v>45706</v>
      </c>
      <c r="D464" t="inlineStr">
        <is>
          <t>JÄMTLANDS LÄN</t>
        </is>
      </c>
      <c r="E464" t="inlineStr">
        <is>
          <t>BERG</t>
        </is>
      </c>
      <c r="G464" t="n">
        <v>11.7</v>
      </c>
      <c r="H464" t="n">
        <v>0</v>
      </c>
      <c r="I464" t="n">
        <v>0</v>
      </c>
      <c r="J464" t="n">
        <v>0</v>
      </c>
      <c r="K464" t="n">
        <v>0</v>
      </c>
      <c r="L464" t="n">
        <v>0</v>
      </c>
      <c r="M464" t="n">
        <v>0</v>
      </c>
      <c r="N464" t="n">
        <v>0</v>
      </c>
      <c r="O464" t="n">
        <v>0</v>
      </c>
      <c r="P464" t="n">
        <v>0</v>
      </c>
      <c r="Q464" t="n">
        <v>0</v>
      </c>
      <c r="R464" s="2" t="inlineStr"/>
    </row>
    <row r="465" ht="15" customHeight="1">
      <c r="A465" t="inlineStr">
        <is>
          <t>A 13634-2022</t>
        </is>
      </c>
      <c r="B465" s="1" t="n">
        <v>44648</v>
      </c>
      <c r="C465" s="1" t="n">
        <v>45706</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13636-2022</t>
        </is>
      </c>
      <c r="B466" s="1" t="n">
        <v>44648</v>
      </c>
      <c r="C466" s="1" t="n">
        <v>45706</v>
      </c>
      <c r="D466" t="inlineStr">
        <is>
          <t>JÄMTLANDS LÄN</t>
        </is>
      </c>
      <c r="E466" t="inlineStr">
        <is>
          <t>BERG</t>
        </is>
      </c>
      <c r="G466" t="n">
        <v>1.2</v>
      </c>
      <c r="H466" t="n">
        <v>0</v>
      </c>
      <c r="I466" t="n">
        <v>0</v>
      </c>
      <c r="J466" t="n">
        <v>0</v>
      </c>
      <c r="K466" t="n">
        <v>0</v>
      </c>
      <c r="L466" t="n">
        <v>0</v>
      </c>
      <c r="M466" t="n">
        <v>0</v>
      </c>
      <c r="N466" t="n">
        <v>0</v>
      </c>
      <c r="O466" t="n">
        <v>0</v>
      </c>
      <c r="P466" t="n">
        <v>0</v>
      </c>
      <c r="Q466" t="n">
        <v>0</v>
      </c>
      <c r="R466" s="2" t="inlineStr"/>
    </row>
    <row r="467" ht="15" customHeight="1">
      <c r="A467" t="inlineStr">
        <is>
          <t>A 14506-2022</t>
        </is>
      </c>
      <c r="B467" s="1" t="n">
        <v>44655</v>
      </c>
      <c r="C467" s="1" t="n">
        <v>45706</v>
      </c>
      <c r="D467" t="inlineStr">
        <is>
          <t>JÄMTLANDS LÄN</t>
        </is>
      </c>
      <c r="E467" t="inlineStr">
        <is>
          <t>BERG</t>
        </is>
      </c>
      <c r="G467" t="n">
        <v>16.9</v>
      </c>
      <c r="H467" t="n">
        <v>0</v>
      </c>
      <c r="I467" t="n">
        <v>0</v>
      </c>
      <c r="J467" t="n">
        <v>0</v>
      </c>
      <c r="K467" t="n">
        <v>0</v>
      </c>
      <c r="L467" t="n">
        <v>0</v>
      </c>
      <c r="M467" t="n">
        <v>0</v>
      </c>
      <c r="N467" t="n">
        <v>0</v>
      </c>
      <c r="O467" t="n">
        <v>0</v>
      </c>
      <c r="P467" t="n">
        <v>0</v>
      </c>
      <c r="Q467" t="n">
        <v>0</v>
      </c>
      <c r="R467" s="2" t="inlineStr"/>
    </row>
    <row r="468" ht="15" customHeight="1">
      <c r="A468" t="inlineStr">
        <is>
          <t>A 17750-2022</t>
        </is>
      </c>
      <c r="B468" s="1" t="n">
        <v>44680</v>
      </c>
      <c r="C468" s="1" t="n">
        <v>45706</v>
      </c>
      <c r="D468" t="inlineStr">
        <is>
          <t>JÄMTLANDS LÄN</t>
        </is>
      </c>
      <c r="E468" t="inlineStr">
        <is>
          <t>BERG</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17746-2022</t>
        </is>
      </c>
      <c r="B469" s="1" t="n">
        <v>44681</v>
      </c>
      <c r="C469" s="1" t="n">
        <v>45706</v>
      </c>
      <c r="D469" t="inlineStr">
        <is>
          <t>JÄMTLANDS LÄN</t>
        </is>
      </c>
      <c r="E469" t="inlineStr">
        <is>
          <t>BERG</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18261-2022</t>
        </is>
      </c>
      <c r="B470" s="1" t="n">
        <v>44685</v>
      </c>
      <c r="C470" s="1" t="n">
        <v>45706</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18629-2022</t>
        </is>
      </c>
      <c r="B471" s="1" t="n">
        <v>44687</v>
      </c>
      <c r="C471" s="1" t="n">
        <v>45706</v>
      </c>
      <c r="D471" t="inlineStr">
        <is>
          <t>JÄMTLANDS LÄN</t>
        </is>
      </c>
      <c r="E471" t="inlineStr">
        <is>
          <t>BERG</t>
        </is>
      </c>
      <c r="G471" t="n">
        <v>5.8</v>
      </c>
      <c r="H471" t="n">
        <v>0</v>
      </c>
      <c r="I471" t="n">
        <v>0</v>
      </c>
      <c r="J471" t="n">
        <v>0</v>
      </c>
      <c r="K471" t="n">
        <v>0</v>
      </c>
      <c r="L471" t="n">
        <v>0</v>
      </c>
      <c r="M471" t="n">
        <v>0</v>
      </c>
      <c r="N471" t="n">
        <v>0</v>
      </c>
      <c r="O471" t="n">
        <v>0</v>
      </c>
      <c r="P471" t="n">
        <v>0</v>
      </c>
      <c r="Q471" t="n">
        <v>0</v>
      </c>
      <c r="R471" s="2" t="inlineStr"/>
    </row>
    <row r="472" ht="15" customHeight="1">
      <c r="A472" t="inlineStr">
        <is>
          <t>A 19004-2022</t>
        </is>
      </c>
      <c r="B472" s="1" t="n">
        <v>44691</v>
      </c>
      <c r="C472" s="1" t="n">
        <v>45706</v>
      </c>
      <c r="D472" t="inlineStr">
        <is>
          <t>JÄMTLANDS LÄN</t>
        </is>
      </c>
      <c r="E472" t="inlineStr">
        <is>
          <t>BERG</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19807-2022</t>
        </is>
      </c>
      <c r="B473" s="1" t="n">
        <v>44694</v>
      </c>
      <c r="C473" s="1" t="n">
        <v>45706</v>
      </c>
      <c r="D473" t="inlineStr">
        <is>
          <t>JÄMTLANDS LÄN</t>
        </is>
      </c>
      <c r="E473" t="inlineStr">
        <is>
          <t>BERG</t>
        </is>
      </c>
      <c r="G473" t="n">
        <v>14.9</v>
      </c>
      <c r="H473" t="n">
        <v>0</v>
      </c>
      <c r="I473" t="n">
        <v>0</v>
      </c>
      <c r="J473" t="n">
        <v>0</v>
      </c>
      <c r="K473" t="n">
        <v>0</v>
      </c>
      <c r="L473" t="n">
        <v>0</v>
      </c>
      <c r="M473" t="n">
        <v>0</v>
      </c>
      <c r="N473" t="n">
        <v>0</v>
      </c>
      <c r="O473" t="n">
        <v>0</v>
      </c>
      <c r="P473" t="n">
        <v>0</v>
      </c>
      <c r="Q473" t="n">
        <v>0</v>
      </c>
      <c r="R473" s="2" t="inlineStr"/>
    </row>
    <row r="474" ht="15" customHeight="1">
      <c r="A474" t="inlineStr">
        <is>
          <t>A 19809-2022</t>
        </is>
      </c>
      <c r="B474" s="1" t="n">
        <v>44694</v>
      </c>
      <c r="C474" s="1" t="n">
        <v>45706</v>
      </c>
      <c r="D474" t="inlineStr">
        <is>
          <t>JÄMTLANDS LÄN</t>
        </is>
      </c>
      <c r="E474" t="inlineStr">
        <is>
          <t>BERG</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19818-2022</t>
        </is>
      </c>
      <c r="B475" s="1" t="n">
        <v>44695</v>
      </c>
      <c r="C475" s="1" t="n">
        <v>45706</v>
      </c>
      <c r="D475" t="inlineStr">
        <is>
          <t>JÄMTLANDS LÄN</t>
        </is>
      </c>
      <c r="E475" t="inlineStr">
        <is>
          <t>BERG</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20304-2022</t>
        </is>
      </c>
      <c r="B476" s="1" t="n">
        <v>44699</v>
      </c>
      <c r="C476" s="1" t="n">
        <v>45706</v>
      </c>
      <c r="D476" t="inlineStr">
        <is>
          <t>JÄMTLANDS LÄN</t>
        </is>
      </c>
      <c r="E476" t="inlineStr">
        <is>
          <t>BERG</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21064-2022</t>
        </is>
      </c>
      <c r="B477" s="1" t="n">
        <v>44704</v>
      </c>
      <c r="C477" s="1" t="n">
        <v>45706</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21080-2022</t>
        </is>
      </c>
      <c r="B478" s="1" t="n">
        <v>44704</v>
      </c>
      <c r="C478" s="1" t="n">
        <v>45706</v>
      </c>
      <c r="D478" t="inlineStr">
        <is>
          <t>JÄMTLANDS LÄN</t>
        </is>
      </c>
      <c r="E478" t="inlineStr">
        <is>
          <t>BERG</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21203-2022</t>
        </is>
      </c>
      <c r="B479" s="1" t="n">
        <v>44705</v>
      </c>
      <c r="C479" s="1" t="n">
        <v>45706</v>
      </c>
      <c r="D479" t="inlineStr">
        <is>
          <t>JÄMTLANDS LÄN</t>
        </is>
      </c>
      <c r="E479" t="inlineStr">
        <is>
          <t>BERG</t>
        </is>
      </c>
      <c r="G479" t="n">
        <v>7.3</v>
      </c>
      <c r="H479" t="n">
        <v>0</v>
      </c>
      <c r="I479" t="n">
        <v>0</v>
      </c>
      <c r="J479" t="n">
        <v>0</v>
      </c>
      <c r="K479" t="n">
        <v>0</v>
      </c>
      <c r="L479" t="n">
        <v>0</v>
      </c>
      <c r="M479" t="n">
        <v>0</v>
      </c>
      <c r="N479" t="n">
        <v>0</v>
      </c>
      <c r="O479" t="n">
        <v>0</v>
      </c>
      <c r="P479" t="n">
        <v>0</v>
      </c>
      <c r="Q479" t="n">
        <v>0</v>
      </c>
      <c r="R479" s="2" t="inlineStr"/>
    </row>
    <row r="480" ht="15" customHeight="1">
      <c r="A480" t="inlineStr">
        <is>
          <t>A 21201-2022</t>
        </is>
      </c>
      <c r="B480" s="1" t="n">
        <v>44705</v>
      </c>
      <c r="C480" s="1" t="n">
        <v>45706</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21202-2022</t>
        </is>
      </c>
      <c r="B481" s="1" t="n">
        <v>44705</v>
      </c>
      <c r="C481" s="1" t="n">
        <v>45706</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21200-2022</t>
        </is>
      </c>
      <c r="B482" s="1" t="n">
        <v>44705</v>
      </c>
      <c r="C482" s="1" t="n">
        <v>45706</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21403-2022</t>
        </is>
      </c>
      <c r="B483" s="1" t="n">
        <v>44706</v>
      </c>
      <c r="C483" s="1" t="n">
        <v>45706</v>
      </c>
      <c r="D483" t="inlineStr">
        <is>
          <t>JÄMTLANDS LÄN</t>
        </is>
      </c>
      <c r="E483" t="inlineStr">
        <is>
          <t>BERG</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21400-2022</t>
        </is>
      </c>
      <c r="B484" s="1" t="n">
        <v>44706</v>
      </c>
      <c r="C484" s="1" t="n">
        <v>45706</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21401-2022</t>
        </is>
      </c>
      <c r="B485" s="1" t="n">
        <v>44706</v>
      </c>
      <c r="C485" s="1" t="n">
        <v>45706</v>
      </c>
      <c r="D485" t="inlineStr">
        <is>
          <t>JÄMTLANDS LÄN</t>
        </is>
      </c>
      <c r="E485" t="inlineStr">
        <is>
          <t>BERG</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22275-2022</t>
        </is>
      </c>
      <c r="B486" s="1" t="n">
        <v>44712</v>
      </c>
      <c r="C486" s="1" t="n">
        <v>45706</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22297-2022</t>
        </is>
      </c>
      <c r="B487" s="1" t="n">
        <v>44712</v>
      </c>
      <c r="C487" s="1" t="n">
        <v>45706</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22680-2022</t>
        </is>
      </c>
      <c r="B488" s="1" t="n">
        <v>44714</v>
      </c>
      <c r="C488" s="1" t="n">
        <v>45706</v>
      </c>
      <c r="D488" t="inlineStr">
        <is>
          <t>JÄMTLANDS LÄN</t>
        </is>
      </c>
      <c r="E488" t="inlineStr">
        <is>
          <t>BERG</t>
        </is>
      </c>
      <c r="G488" t="n">
        <v>15.4</v>
      </c>
      <c r="H488" t="n">
        <v>0</v>
      </c>
      <c r="I488" t="n">
        <v>0</v>
      </c>
      <c r="J488" t="n">
        <v>0</v>
      </c>
      <c r="K488" t="n">
        <v>0</v>
      </c>
      <c r="L488" t="n">
        <v>0</v>
      </c>
      <c r="M488" t="n">
        <v>0</v>
      </c>
      <c r="N488" t="n">
        <v>0</v>
      </c>
      <c r="O488" t="n">
        <v>0</v>
      </c>
      <c r="P488" t="n">
        <v>0</v>
      </c>
      <c r="Q488" t="n">
        <v>0</v>
      </c>
      <c r="R488" s="2" t="inlineStr"/>
    </row>
    <row r="489" ht="15" customHeight="1">
      <c r="A489" t="inlineStr">
        <is>
          <t>A 22947-2022</t>
        </is>
      </c>
      <c r="B489" s="1" t="n">
        <v>44716</v>
      </c>
      <c r="C489" s="1" t="n">
        <v>45706</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23451-2022</t>
        </is>
      </c>
      <c r="B490" s="1" t="n">
        <v>44721</v>
      </c>
      <c r="C490" s="1" t="n">
        <v>45706</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24119-2022</t>
        </is>
      </c>
      <c r="B491" s="1" t="n">
        <v>44725</v>
      </c>
      <c r="C491" s="1" t="n">
        <v>45706</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24378-2022</t>
        </is>
      </c>
      <c r="B492" s="1" t="n">
        <v>44726</v>
      </c>
      <c r="C492" s="1" t="n">
        <v>45706</v>
      </c>
      <c r="D492" t="inlineStr">
        <is>
          <t>JÄMTLANDS LÄN</t>
        </is>
      </c>
      <c r="E492" t="inlineStr">
        <is>
          <t>BERG</t>
        </is>
      </c>
      <c r="G492" t="n">
        <v>4</v>
      </c>
      <c r="H492" t="n">
        <v>0</v>
      </c>
      <c r="I492" t="n">
        <v>0</v>
      </c>
      <c r="J492" t="n">
        <v>0</v>
      </c>
      <c r="K492" t="n">
        <v>0</v>
      </c>
      <c r="L492" t="n">
        <v>0</v>
      </c>
      <c r="M492" t="n">
        <v>0</v>
      </c>
      <c r="N492" t="n">
        <v>0</v>
      </c>
      <c r="O492" t="n">
        <v>0</v>
      </c>
      <c r="P492" t="n">
        <v>0</v>
      </c>
      <c r="Q492" t="n">
        <v>0</v>
      </c>
      <c r="R492" s="2" t="inlineStr"/>
    </row>
    <row r="493" ht="15" customHeight="1">
      <c r="A493" t="inlineStr">
        <is>
          <t>A 24661-2022</t>
        </is>
      </c>
      <c r="B493" s="1" t="n">
        <v>44727</v>
      </c>
      <c r="C493" s="1" t="n">
        <v>45706</v>
      </c>
      <c r="D493" t="inlineStr">
        <is>
          <t>JÄMTLANDS LÄN</t>
        </is>
      </c>
      <c r="E493" t="inlineStr">
        <is>
          <t>BERG</t>
        </is>
      </c>
      <c r="G493" t="n">
        <v>7.6</v>
      </c>
      <c r="H493" t="n">
        <v>0</v>
      </c>
      <c r="I493" t="n">
        <v>0</v>
      </c>
      <c r="J493" t="n">
        <v>0</v>
      </c>
      <c r="K493" t="n">
        <v>0</v>
      </c>
      <c r="L493" t="n">
        <v>0</v>
      </c>
      <c r="M493" t="n">
        <v>0</v>
      </c>
      <c r="N493" t="n">
        <v>0</v>
      </c>
      <c r="O493" t="n">
        <v>0</v>
      </c>
      <c r="P493" t="n">
        <v>0</v>
      </c>
      <c r="Q493" t="n">
        <v>0</v>
      </c>
      <c r="R493" s="2" t="inlineStr"/>
    </row>
    <row r="494" ht="15" customHeight="1">
      <c r="A494" t="inlineStr">
        <is>
          <t>A 25265-2022</t>
        </is>
      </c>
      <c r="B494" s="1" t="n">
        <v>44730</v>
      </c>
      <c r="C494" s="1" t="n">
        <v>45706</v>
      </c>
      <c r="D494" t="inlineStr">
        <is>
          <t>JÄMTLANDS LÄN</t>
        </is>
      </c>
      <c r="E494" t="inlineStr">
        <is>
          <t>BERG</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25264-2022</t>
        </is>
      </c>
      <c r="B495" s="1" t="n">
        <v>44730</v>
      </c>
      <c r="C495" s="1" t="n">
        <v>45706</v>
      </c>
      <c r="D495" t="inlineStr">
        <is>
          <t>JÄMTLANDS LÄN</t>
        </is>
      </c>
      <c r="E495" t="inlineStr">
        <is>
          <t>BERG</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25266-2022</t>
        </is>
      </c>
      <c r="B496" s="1" t="n">
        <v>44729</v>
      </c>
      <c r="C496" s="1" t="n">
        <v>45706</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25657-2022</t>
        </is>
      </c>
      <c r="B497" s="1" t="n">
        <v>44733</v>
      </c>
      <c r="C497" s="1" t="n">
        <v>45706</v>
      </c>
      <c r="D497" t="inlineStr">
        <is>
          <t>JÄMTLANDS LÄN</t>
        </is>
      </c>
      <c r="E497" t="inlineStr">
        <is>
          <t>BERG</t>
        </is>
      </c>
      <c r="F497" t="inlineStr">
        <is>
          <t>SCA</t>
        </is>
      </c>
      <c r="G497" t="n">
        <v>10.5</v>
      </c>
      <c r="H497" t="n">
        <v>0</v>
      </c>
      <c r="I497" t="n">
        <v>0</v>
      </c>
      <c r="J497" t="n">
        <v>0</v>
      </c>
      <c r="K497" t="n">
        <v>0</v>
      </c>
      <c r="L497" t="n">
        <v>0</v>
      </c>
      <c r="M497" t="n">
        <v>0</v>
      </c>
      <c r="N497" t="n">
        <v>0</v>
      </c>
      <c r="O497" t="n">
        <v>0</v>
      </c>
      <c r="P497" t="n">
        <v>0</v>
      </c>
      <c r="Q497" t="n">
        <v>0</v>
      </c>
      <c r="R497" s="2" t="inlineStr"/>
    </row>
    <row r="498" ht="15" customHeight="1">
      <c r="A498" t="inlineStr">
        <is>
          <t>A 26062-2022</t>
        </is>
      </c>
      <c r="B498" s="1" t="n">
        <v>44734</v>
      </c>
      <c r="C498" s="1" t="n">
        <v>45706</v>
      </c>
      <c r="D498" t="inlineStr">
        <is>
          <t>JÄMTLANDS LÄN</t>
        </is>
      </c>
      <c r="E498" t="inlineStr">
        <is>
          <t>BERG</t>
        </is>
      </c>
      <c r="G498" t="n">
        <v>6.7</v>
      </c>
      <c r="H498" t="n">
        <v>0</v>
      </c>
      <c r="I498" t="n">
        <v>0</v>
      </c>
      <c r="J498" t="n">
        <v>0</v>
      </c>
      <c r="K498" t="n">
        <v>0</v>
      </c>
      <c r="L498" t="n">
        <v>0</v>
      </c>
      <c r="M498" t="n">
        <v>0</v>
      </c>
      <c r="N498" t="n">
        <v>0</v>
      </c>
      <c r="O498" t="n">
        <v>0</v>
      </c>
      <c r="P498" t="n">
        <v>0</v>
      </c>
      <c r="Q498" t="n">
        <v>0</v>
      </c>
      <c r="R498" s="2" t="inlineStr"/>
    </row>
    <row r="499" ht="15" customHeight="1">
      <c r="A499" t="inlineStr">
        <is>
          <t>A 26405-2022</t>
        </is>
      </c>
      <c r="B499" s="1" t="n">
        <v>44735</v>
      </c>
      <c r="C499" s="1" t="n">
        <v>45706</v>
      </c>
      <c r="D499" t="inlineStr">
        <is>
          <t>JÄMTLANDS LÄN</t>
        </is>
      </c>
      <c r="E499" t="inlineStr">
        <is>
          <t>BERG</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26739-2022</t>
        </is>
      </c>
      <c r="B500" s="1" t="n">
        <v>44740</v>
      </c>
      <c r="C500" s="1" t="n">
        <v>45706</v>
      </c>
      <c r="D500" t="inlineStr">
        <is>
          <t>JÄMTLANDS LÄN</t>
        </is>
      </c>
      <c r="E500" t="inlineStr">
        <is>
          <t>BERG</t>
        </is>
      </c>
      <c r="F500" t="inlineStr">
        <is>
          <t>SCA</t>
        </is>
      </c>
      <c r="G500" t="n">
        <v>16.4</v>
      </c>
      <c r="H500" t="n">
        <v>0</v>
      </c>
      <c r="I500" t="n">
        <v>0</v>
      </c>
      <c r="J500" t="n">
        <v>0</v>
      </c>
      <c r="K500" t="n">
        <v>0</v>
      </c>
      <c r="L500" t="n">
        <v>0</v>
      </c>
      <c r="M500" t="n">
        <v>0</v>
      </c>
      <c r="N500" t="n">
        <v>0</v>
      </c>
      <c r="O500" t="n">
        <v>0</v>
      </c>
      <c r="P500" t="n">
        <v>0</v>
      </c>
      <c r="Q500" t="n">
        <v>0</v>
      </c>
      <c r="R500" s="2" t="inlineStr"/>
    </row>
    <row r="501" ht="15" customHeight="1">
      <c r="A501" t="inlineStr">
        <is>
          <t>A 26738-2022</t>
        </is>
      </c>
      <c r="B501" s="1" t="n">
        <v>44739</v>
      </c>
      <c r="C501" s="1" t="n">
        <v>45706</v>
      </c>
      <c r="D501" t="inlineStr">
        <is>
          <t>JÄMTLANDS LÄN</t>
        </is>
      </c>
      <c r="E501" t="inlineStr">
        <is>
          <t>BERG</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26944-2022</t>
        </is>
      </c>
      <c r="B502" s="1" t="n">
        <v>44740</v>
      </c>
      <c r="C502" s="1" t="n">
        <v>45706</v>
      </c>
      <c r="D502" t="inlineStr">
        <is>
          <t>JÄMTLANDS LÄN</t>
        </is>
      </c>
      <c r="E502" t="inlineStr">
        <is>
          <t>BERG</t>
        </is>
      </c>
      <c r="G502" t="n">
        <v>3.3</v>
      </c>
      <c r="H502" t="n">
        <v>0</v>
      </c>
      <c r="I502" t="n">
        <v>0</v>
      </c>
      <c r="J502" t="n">
        <v>0</v>
      </c>
      <c r="K502" t="n">
        <v>0</v>
      </c>
      <c r="L502" t="n">
        <v>0</v>
      </c>
      <c r="M502" t="n">
        <v>0</v>
      </c>
      <c r="N502" t="n">
        <v>0</v>
      </c>
      <c r="O502" t="n">
        <v>0</v>
      </c>
      <c r="P502" t="n">
        <v>0</v>
      </c>
      <c r="Q502" t="n">
        <v>0</v>
      </c>
      <c r="R502" s="2" t="inlineStr"/>
    </row>
    <row r="503" ht="15" customHeight="1">
      <c r="A503" t="inlineStr">
        <is>
          <t>A 26959-2022</t>
        </is>
      </c>
      <c r="B503" s="1" t="n">
        <v>44740</v>
      </c>
      <c r="C503" s="1" t="n">
        <v>45706</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27599-2022</t>
        </is>
      </c>
      <c r="B504" s="1" t="n">
        <v>44742</v>
      </c>
      <c r="C504" s="1" t="n">
        <v>45706</v>
      </c>
      <c r="D504" t="inlineStr">
        <is>
          <t>JÄMTLANDS LÄN</t>
        </is>
      </c>
      <c r="E504" t="inlineStr">
        <is>
          <t>BERG</t>
        </is>
      </c>
      <c r="F504" t="inlineStr">
        <is>
          <t>SCA</t>
        </is>
      </c>
      <c r="G504" t="n">
        <v>7</v>
      </c>
      <c r="H504" t="n">
        <v>0</v>
      </c>
      <c r="I504" t="n">
        <v>0</v>
      </c>
      <c r="J504" t="n">
        <v>0</v>
      </c>
      <c r="K504" t="n">
        <v>0</v>
      </c>
      <c r="L504" t="n">
        <v>0</v>
      </c>
      <c r="M504" t="n">
        <v>0</v>
      </c>
      <c r="N504" t="n">
        <v>0</v>
      </c>
      <c r="O504" t="n">
        <v>0</v>
      </c>
      <c r="P504" t="n">
        <v>0</v>
      </c>
      <c r="Q504" t="n">
        <v>0</v>
      </c>
      <c r="R504" s="2" t="inlineStr"/>
    </row>
    <row r="505" ht="15" customHeight="1">
      <c r="A505" t="inlineStr">
        <is>
          <t>A 27598-2022</t>
        </is>
      </c>
      <c r="B505" s="1" t="n">
        <v>44743</v>
      </c>
      <c r="C505" s="1" t="n">
        <v>45706</v>
      </c>
      <c r="D505" t="inlineStr">
        <is>
          <t>JÄMTLANDS LÄN</t>
        </is>
      </c>
      <c r="E505" t="inlineStr">
        <is>
          <t>BERG</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28500-2022</t>
        </is>
      </c>
      <c r="B506" s="1" t="n">
        <v>44747</v>
      </c>
      <c r="C506" s="1" t="n">
        <v>45706</v>
      </c>
      <c r="D506" t="inlineStr">
        <is>
          <t>JÄMTLANDS LÄN</t>
        </is>
      </c>
      <c r="E506" t="inlineStr">
        <is>
          <t>BERG</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28501-2022</t>
        </is>
      </c>
      <c r="B507" s="1" t="n">
        <v>44748</v>
      </c>
      <c r="C507" s="1" t="n">
        <v>45706</v>
      </c>
      <c r="D507" t="inlineStr">
        <is>
          <t>JÄMTLANDS LÄN</t>
        </is>
      </c>
      <c r="E507" t="inlineStr">
        <is>
          <t>BERG</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29498-2022</t>
        </is>
      </c>
      <c r="B508" s="1" t="n">
        <v>44753</v>
      </c>
      <c r="C508" s="1" t="n">
        <v>45706</v>
      </c>
      <c r="D508" t="inlineStr">
        <is>
          <t>JÄMTLANDS LÄN</t>
        </is>
      </c>
      <c r="E508" t="inlineStr">
        <is>
          <t>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30187-2022</t>
        </is>
      </c>
      <c r="B509" s="1" t="n">
        <v>44757</v>
      </c>
      <c r="C509" s="1" t="n">
        <v>45706</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30765-2022</t>
        </is>
      </c>
      <c r="B510" s="1" t="n">
        <v>44764</v>
      </c>
      <c r="C510" s="1" t="n">
        <v>45706</v>
      </c>
      <c r="D510" t="inlineStr">
        <is>
          <t>JÄMTLANDS LÄN</t>
        </is>
      </c>
      <c r="E510" t="inlineStr">
        <is>
          <t>BERG</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31371-2022</t>
        </is>
      </c>
      <c r="B511" s="1" t="n">
        <v>44774</v>
      </c>
      <c r="C511" s="1" t="n">
        <v>45706</v>
      </c>
      <c r="D511" t="inlineStr">
        <is>
          <t>JÄMTLANDS LÄN</t>
        </is>
      </c>
      <c r="E511" t="inlineStr">
        <is>
          <t>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31375-2022</t>
        </is>
      </c>
      <c r="B512" s="1" t="n">
        <v>44774</v>
      </c>
      <c r="C512" s="1" t="n">
        <v>45706</v>
      </c>
      <c r="D512" t="inlineStr">
        <is>
          <t>JÄMTLANDS LÄN</t>
        </is>
      </c>
      <c r="E512" t="inlineStr">
        <is>
          <t>BERG</t>
        </is>
      </c>
      <c r="F512" t="inlineStr">
        <is>
          <t>Sveaskog</t>
        </is>
      </c>
      <c r="G512" t="n">
        <v>3.5</v>
      </c>
      <c r="H512" t="n">
        <v>0</v>
      </c>
      <c r="I512" t="n">
        <v>0</v>
      </c>
      <c r="J512" t="n">
        <v>0</v>
      </c>
      <c r="K512" t="n">
        <v>0</v>
      </c>
      <c r="L512" t="n">
        <v>0</v>
      </c>
      <c r="M512" t="n">
        <v>0</v>
      </c>
      <c r="N512" t="n">
        <v>0</v>
      </c>
      <c r="O512" t="n">
        <v>0</v>
      </c>
      <c r="P512" t="n">
        <v>0</v>
      </c>
      <c r="Q512" t="n">
        <v>0</v>
      </c>
      <c r="R512" s="2" t="inlineStr"/>
    </row>
    <row r="513" ht="15" customHeight="1">
      <c r="A513" t="inlineStr">
        <is>
          <t>A 31564-2022</t>
        </is>
      </c>
      <c r="B513" s="1" t="n">
        <v>44775</v>
      </c>
      <c r="C513" s="1" t="n">
        <v>45706</v>
      </c>
      <c r="D513" t="inlineStr">
        <is>
          <t>JÄMTLANDS LÄN</t>
        </is>
      </c>
      <c r="E513" t="inlineStr">
        <is>
          <t>BERG</t>
        </is>
      </c>
      <c r="G513" t="n">
        <v>2.3</v>
      </c>
      <c r="H513" t="n">
        <v>0</v>
      </c>
      <c r="I513" t="n">
        <v>0</v>
      </c>
      <c r="J513" t="n">
        <v>0</v>
      </c>
      <c r="K513" t="n">
        <v>0</v>
      </c>
      <c r="L513" t="n">
        <v>0</v>
      </c>
      <c r="M513" t="n">
        <v>0</v>
      </c>
      <c r="N513" t="n">
        <v>0</v>
      </c>
      <c r="O513" t="n">
        <v>0</v>
      </c>
      <c r="P513" t="n">
        <v>0</v>
      </c>
      <c r="Q513" t="n">
        <v>0</v>
      </c>
      <c r="R513" s="2" t="inlineStr"/>
    </row>
    <row r="514" ht="15" customHeight="1">
      <c r="A514" t="inlineStr">
        <is>
          <t>A 31641-2022</t>
        </is>
      </c>
      <c r="B514" s="1" t="n">
        <v>44776</v>
      </c>
      <c r="C514" s="1" t="n">
        <v>45706</v>
      </c>
      <c r="D514" t="inlineStr">
        <is>
          <t>JÄMTLANDS LÄN</t>
        </is>
      </c>
      <c r="E514" t="inlineStr">
        <is>
          <t>BERG</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31638-2022</t>
        </is>
      </c>
      <c r="B515" s="1" t="n">
        <v>44775</v>
      </c>
      <c r="C515" s="1" t="n">
        <v>45706</v>
      </c>
      <c r="D515" t="inlineStr">
        <is>
          <t>JÄMTLANDS LÄN</t>
        </is>
      </c>
      <c r="E515" t="inlineStr">
        <is>
          <t>BERG</t>
        </is>
      </c>
      <c r="F515" t="inlineStr">
        <is>
          <t>SCA</t>
        </is>
      </c>
      <c r="G515" t="n">
        <v>15.3</v>
      </c>
      <c r="H515" t="n">
        <v>0</v>
      </c>
      <c r="I515" t="n">
        <v>0</v>
      </c>
      <c r="J515" t="n">
        <v>0</v>
      </c>
      <c r="K515" t="n">
        <v>0</v>
      </c>
      <c r="L515" t="n">
        <v>0</v>
      </c>
      <c r="M515" t="n">
        <v>0</v>
      </c>
      <c r="N515" t="n">
        <v>0</v>
      </c>
      <c r="O515" t="n">
        <v>0</v>
      </c>
      <c r="P515" t="n">
        <v>0</v>
      </c>
      <c r="Q515" t="n">
        <v>0</v>
      </c>
      <c r="R515" s="2" t="inlineStr"/>
    </row>
    <row r="516" ht="15" customHeight="1">
      <c r="A516" t="inlineStr">
        <is>
          <t>A 31682-2022</t>
        </is>
      </c>
      <c r="B516" s="1" t="n">
        <v>44776</v>
      </c>
      <c r="C516" s="1" t="n">
        <v>45706</v>
      </c>
      <c r="D516" t="inlineStr">
        <is>
          <t>JÄMTLANDS LÄN</t>
        </is>
      </c>
      <c r="E516" t="inlineStr">
        <is>
          <t>BERG</t>
        </is>
      </c>
      <c r="G516" t="n">
        <v>8</v>
      </c>
      <c r="H516" t="n">
        <v>0</v>
      </c>
      <c r="I516" t="n">
        <v>0</v>
      </c>
      <c r="J516" t="n">
        <v>0</v>
      </c>
      <c r="K516" t="n">
        <v>0</v>
      </c>
      <c r="L516" t="n">
        <v>0</v>
      </c>
      <c r="M516" t="n">
        <v>0</v>
      </c>
      <c r="N516" t="n">
        <v>0</v>
      </c>
      <c r="O516" t="n">
        <v>0</v>
      </c>
      <c r="P516" t="n">
        <v>0</v>
      </c>
      <c r="Q516" t="n">
        <v>0</v>
      </c>
      <c r="R516" s="2" t="inlineStr"/>
    </row>
    <row r="517" ht="15" customHeight="1">
      <c r="A517" t="inlineStr">
        <is>
          <t>A 32703-2022</t>
        </is>
      </c>
      <c r="B517" s="1" t="n">
        <v>44776</v>
      </c>
      <c r="C517" s="1" t="n">
        <v>45706</v>
      </c>
      <c r="D517" t="inlineStr">
        <is>
          <t>JÄMTLANDS LÄN</t>
        </is>
      </c>
      <c r="E517" t="inlineStr">
        <is>
          <t>BERG</t>
        </is>
      </c>
      <c r="G517" t="n">
        <v>1.2</v>
      </c>
      <c r="H517" t="n">
        <v>0</v>
      </c>
      <c r="I517" t="n">
        <v>0</v>
      </c>
      <c r="J517" t="n">
        <v>0</v>
      </c>
      <c r="K517" t="n">
        <v>0</v>
      </c>
      <c r="L517" t="n">
        <v>0</v>
      </c>
      <c r="M517" t="n">
        <v>0</v>
      </c>
      <c r="N517" t="n">
        <v>0</v>
      </c>
      <c r="O517" t="n">
        <v>0</v>
      </c>
      <c r="P517" t="n">
        <v>0</v>
      </c>
      <c r="Q517" t="n">
        <v>0</v>
      </c>
      <c r="R517" s="2" t="inlineStr"/>
    </row>
    <row r="518" ht="15" customHeight="1">
      <c r="A518" t="inlineStr">
        <is>
          <t>A 32133-2022</t>
        </is>
      </c>
      <c r="B518" s="1" t="n">
        <v>44779</v>
      </c>
      <c r="C518" s="1" t="n">
        <v>45706</v>
      </c>
      <c r="D518" t="inlineStr">
        <is>
          <t>JÄMTLANDS LÄN</t>
        </is>
      </c>
      <c r="E518" t="inlineStr">
        <is>
          <t>BERG</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32707-2022</t>
        </is>
      </c>
      <c r="B519" s="1" t="n">
        <v>44783</v>
      </c>
      <c r="C519" s="1" t="n">
        <v>45706</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33068-2022</t>
        </is>
      </c>
      <c r="B520" s="1" t="n">
        <v>44785</v>
      </c>
      <c r="C520" s="1" t="n">
        <v>45706</v>
      </c>
      <c r="D520" t="inlineStr">
        <is>
          <t>JÄMTLANDS LÄN</t>
        </is>
      </c>
      <c r="E520" t="inlineStr">
        <is>
          <t>BERG</t>
        </is>
      </c>
      <c r="G520" t="n">
        <v>6</v>
      </c>
      <c r="H520" t="n">
        <v>0</v>
      </c>
      <c r="I520" t="n">
        <v>0</v>
      </c>
      <c r="J520" t="n">
        <v>0</v>
      </c>
      <c r="K520" t="n">
        <v>0</v>
      </c>
      <c r="L520" t="n">
        <v>0</v>
      </c>
      <c r="M520" t="n">
        <v>0</v>
      </c>
      <c r="N520" t="n">
        <v>0</v>
      </c>
      <c r="O520" t="n">
        <v>0</v>
      </c>
      <c r="P520" t="n">
        <v>0</v>
      </c>
      <c r="Q520" t="n">
        <v>0</v>
      </c>
      <c r="R520" s="2" t="inlineStr"/>
    </row>
    <row r="521" ht="15" customHeight="1">
      <c r="A521" t="inlineStr">
        <is>
          <t>A 33232-2022</t>
        </is>
      </c>
      <c r="B521" s="1" t="n">
        <v>44786</v>
      </c>
      <c r="C521" s="1" t="n">
        <v>45706</v>
      </c>
      <c r="D521" t="inlineStr">
        <is>
          <t>JÄMTLANDS LÄN</t>
        </is>
      </c>
      <c r="E521" t="inlineStr">
        <is>
          <t>BERG</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34260-2022</t>
        </is>
      </c>
      <c r="B522" s="1" t="n">
        <v>44791</v>
      </c>
      <c r="C522" s="1" t="n">
        <v>45706</v>
      </c>
      <c r="D522" t="inlineStr">
        <is>
          <t>JÄMTLANDS LÄN</t>
        </is>
      </c>
      <c r="E522" t="inlineStr">
        <is>
          <t>BERG</t>
        </is>
      </c>
      <c r="F522" t="inlineStr">
        <is>
          <t>Övriga Aktiebolag</t>
        </is>
      </c>
      <c r="G522" t="n">
        <v>32.2</v>
      </c>
      <c r="H522" t="n">
        <v>0</v>
      </c>
      <c r="I522" t="n">
        <v>0</v>
      </c>
      <c r="J522" t="n">
        <v>0</v>
      </c>
      <c r="K522" t="n">
        <v>0</v>
      </c>
      <c r="L522" t="n">
        <v>0</v>
      </c>
      <c r="M522" t="n">
        <v>0</v>
      </c>
      <c r="N522" t="n">
        <v>0</v>
      </c>
      <c r="O522" t="n">
        <v>0</v>
      </c>
      <c r="P522" t="n">
        <v>0</v>
      </c>
      <c r="Q522" t="n">
        <v>0</v>
      </c>
      <c r="R522" s="2" t="inlineStr"/>
    </row>
    <row r="523" ht="15" customHeight="1">
      <c r="A523" t="inlineStr">
        <is>
          <t>A 34273-2022</t>
        </is>
      </c>
      <c r="B523" s="1" t="n">
        <v>44792</v>
      </c>
      <c r="C523" s="1" t="n">
        <v>45706</v>
      </c>
      <c r="D523" t="inlineStr">
        <is>
          <t>JÄMTLANDS LÄN</t>
        </is>
      </c>
      <c r="E523" t="inlineStr">
        <is>
          <t>BERG</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34272-2022</t>
        </is>
      </c>
      <c r="B524" s="1" t="n">
        <v>44791</v>
      </c>
      <c r="C524" s="1" t="n">
        <v>45706</v>
      </c>
      <c r="D524" t="inlineStr">
        <is>
          <t>JÄMTLANDS LÄN</t>
        </is>
      </c>
      <c r="E524" t="inlineStr">
        <is>
          <t>BERG</t>
        </is>
      </c>
      <c r="F524" t="inlineStr">
        <is>
          <t>SCA</t>
        </is>
      </c>
      <c r="G524" t="n">
        <v>6.5</v>
      </c>
      <c r="H524" t="n">
        <v>0</v>
      </c>
      <c r="I524" t="n">
        <v>0</v>
      </c>
      <c r="J524" t="n">
        <v>0</v>
      </c>
      <c r="K524" t="n">
        <v>0</v>
      </c>
      <c r="L524" t="n">
        <v>0</v>
      </c>
      <c r="M524" t="n">
        <v>0</v>
      </c>
      <c r="N524" t="n">
        <v>0</v>
      </c>
      <c r="O524" t="n">
        <v>0</v>
      </c>
      <c r="P524" t="n">
        <v>0</v>
      </c>
      <c r="Q524" t="n">
        <v>0</v>
      </c>
      <c r="R524" s="2" t="inlineStr"/>
    </row>
    <row r="525" ht="15" customHeight="1">
      <c r="A525" t="inlineStr">
        <is>
          <t>A 34803-2022</t>
        </is>
      </c>
      <c r="B525" s="1" t="n">
        <v>44796</v>
      </c>
      <c r="C525" s="1" t="n">
        <v>45706</v>
      </c>
      <c r="D525" t="inlineStr">
        <is>
          <t>JÄMTLANDS LÄN</t>
        </is>
      </c>
      <c r="E525" t="inlineStr">
        <is>
          <t>BERG</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35126-2022</t>
        </is>
      </c>
      <c r="B526" s="1" t="n">
        <v>44797</v>
      </c>
      <c r="C526" s="1" t="n">
        <v>45706</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35740-2022</t>
        </is>
      </c>
      <c r="B527" s="1" t="n">
        <v>44800</v>
      </c>
      <c r="C527" s="1" t="n">
        <v>45706</v>
      </c>
      <c r="D527" t="inlineStr">
        <is>
          <t>JÄMTLANDS LÄN</t>
        </is>
      </c>
      <c r="E527" t="inlineStr">
        <is>
          <t>BERG</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36071-2022</t>
        </is>
      </c>
      <c r="B528" s="1" t="n">
        <v>44802</v>
      </c>
      <c r="C528" s="1" t="n">
        <v>45706</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36373-2022</t>
        </is>
      </c>
      <c r="B529" s="1" t="n">
        <v>44803</v>
      </c>
      <c r="C529" s="1" t="n">
        <v>45706</v>
      </c>
      <c r="D529" t="inlineStr">
        <is>
          <t>JÄMTLANDS LÄN</t>
        </is>
      </c>
      <c r="E529" t="inlineStr">
        <is>
          <t>BERG</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37333-2022</t>
        </is>
      </c>
      <c r="B530" s="1" t="n">
        <v>44806</v>
      </c>
      <c r="C530" s="1" t="n">
        <v>45706</v>
      </c>
      <c r="D530" t="inlineStr">
        <is>
          <t>JÄMTLANDS LÄN</t>
        </is>
      </c>
      <c r="E530" t="inlineStr">
        <is>
          <t>BERG</t>
        </is>
      </c>
      <c r="G530" t="n">
        <v>5.5</v>
      </c>
      <c r="H530" t="n">
        <v>0</v>
      </c>
      <c r="I530" t="n">
        <v>0</v>
      </c>
      <c r="J530" t="n">
        <v>0</v>
      </c>
      <c r="K530" t="n">
        <v>0</v>
      </c>
      <c r="L530" t="n">
        <v>0</v>
      </c>
      <c r="M530" t="n">
        <v>0</v>
      </c>
      <c r="N530" t="n">
        <v>0</v>
      </c>
      <c r="O530" t="n">
        <v>0</v>
      </c>
      <c r="P530" t="n">
        <v>0</v>
      </c>
      <c r="Q530" t="n">
        <v>0</v>
      </c>
      <c r="R530" s="2" t="inlineStr"/>
    </row>
    <row r="531" ht="15" customHeight="1">
      <c r="A531" t="inlineStr">
        <is>
          <t>A 37711-2022</t>
        </is>
      </c>
      <c r="B531" s="1" t="n">
        <v>44810</v>
      </c>
      <c r="C531" s="1" t="n">
        <v>45706</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37726-2022</t>
        </is>
      </c>
      <c r="B532" s="1" t="n">
        <v>44810</v>
      </c>
      <c r="C532" s="1" t="n">
        <v>45706</v>
      </c>
      <c r="D532" t="inlineStr">
        <is>
          <t>JÄMTLANDS LÄN</t>
        </is>
      </c>
      <c r="E532" t="inlineStr">
        <is>
          <t>BERG</t>
        </is>
      </c>
      <c r="G532" t="n">
        <v>1.4</v>
      </c>
      <c r="H532" t="n">
        <v>0</v>
      </c>
      <c r="I532" t="n">
        <v>0</v>
      </c>
      <c r="J532" t="n">
        <v>0</v>
      </c>
      <c r="K532" t="n">
        <v>0</v>
      </c>
      <c r="L532" t="n">
        <v>0</v>
      </c>
      <c r="M532" t="n">
        <v>0</v>
      </c>
      <c r="N532" t="n">
        <v>0</v>
      </c>
      <c r="O532" t="n">
        <v>0</v>
      </c>
      <c r="P532" t="n">
        <v>0</v>
      </c>
      <c r="Q532" t="n">
        <v>0</v>
      </c>
      <c r="R532" s="2" t="inlineStr"/>
    </row>
    <row r="533" ht="15" customHeight="1">
      <c r="A533" t="inlineStr">
        <is>
          <t>A 40601-2022</t>
        </is>
      </c>
      <c r="B533" s="1" t="n">
        <v>44823</v>
      </c>
      <c r="C533" s="1" t="n">
        <v>45706</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40990-2022</t>
        </is>
      </c>
      <c r="B534" s="1" t="n">
        <v>44823</v>
      </c>
      <c r="C534" s="1" t="n">
        <v>45706</v>
      </c>
      <c r="D534" t="inlineStr">
        <is>
          <t>JÄMTLANDS LÄN</t>
        </is>
      </c>
      <c r="E534" t="inlineStr">
        <is>
          <t>BERG</t>
        </is>
      </c>
      <c r="G534" t="n">
        <v>11.7</v>
      </c>
      <c r="H534" t="n">
        <v>0</v>
      </c>
      <c r="I534" t="n">
        <v>0</v>
      </c>
      <c r="J534" t="n">
        <v>0</v>
      </c>
      <c r="K534" t="n">
        <v>0</v>
      </c>
      <c r="L534" t="n">
        <v>0</v>
      </c>
      <c r="M534" t="n">
        <v>0</v>
      </c>
      <c r="N534" t="n">
        <v>0</v>
      </c>
      <c r="O534" t="n">
        <v>0</v>
      </c>
      <c r="P534" t="n">
        <v>0</v>
      </c>
      <c r="Q534" t="n">
        <v>0</v>
      </c>
      <c r="R534" s="2" t="inlineStr"/>
    </row>
    <row r="535" ht="15" customHeight="1">
      <c r="A535" t="inlineStr">
        <is>
          <t>A 40847-2022</t>
        </is>
      </c>
      <c r="B535" s="1" t="n">
        <v>44824</v>
      </c>
      <c r="C535" s="1" t="n">
        <v>45706</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41063-2022</t>
        </is>
      </c>
      <c r="B536" s="1" t="n">
        <v>44824</v>
      </c>
      <c r="C536" s="1" t="n">
        <v>45706</v>
      </c>
      <c r="D536" t="inlineStr">
        <is>
          <t>JÄMTLANDS LÄN</t>
        </is>
      </c>
      <c r="E536" t="inlineStr">
        <is>
          <t>BERG</t>
        </is>
      </c>
      <c r="G536" t="n">
        <v>13.6</v>
      </c>
      <c r="H536" t="n">
        <v>0</v>
      </c>
      <c r="I536" t="n">
        <v>0</v>
      </c>
      <c r="J536" t="n">
        <v>0</v>
      </c>
      <c r="K536" t="n">
        <v>0</v>
      </c>
      <c r="L536" t="n">
        <v>0</v>
      </c>
      <c r="M536" t="n">
        <v>0</v>
      </c>
      <c r="N536" t="n">
        <v>0</v>
      </c>
      <c r="O536" t="n">
        <v>0</v>
      </c>
      <c r="P536" t="n">
        <v>0</v>
      </c>
      <c r="Q536" t="n">
        <v>0</v>
      </c>
      <c r="R536" s="2" t="inlineStr"/>
    </row>
    <row r="537" ht="15" customHeight="1">
      <c r="A537" t="inlineStr">
        <is>
          <t>A 41069-2022</t>
        </is>
      </c>
      <c r="B537" s="1" t="n">
        <v>44825</v>
      </c>
      <c r="C537" s="1" t="n">
        <v>45706</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43168-2022</t>
        </is>
      </c>
      <c r="B538" s="1" t="n">
        <v>44834</v>
      </c>
      <c r="C538" s="1" t="n">
        <v>45706</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43296-2022</t>
        </is>
      </c>
      <c r="B539" s="1" t="n">
        <v>44834</v>
      </c>
      <c r="C539" s="1" t="n">
        <v>45706</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43298-2022</t>
        </is>
      </c>
      <c r="B540" s="1" t="n">
        <v>44834</v>
      </c>
      <c r="C540" s="1" t="n">
        <v>45706</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44110-2022</t>
        </is>
      </c>
      <c r="B541" s="1" t="n">
        <v>44837</v>
      </c>
      <c r="C541" s="1" t="n">
        <v>45706</v>
      </c>
      <c r="D541" t="inlineStr">
        <is>
          <t>JÄMTLANDS LÄN</t>
        </is>
      </c>
      <c r="E541" t="inlineStr">
        <is>
          <t>BERG</t>
        </is>
      </c>
      <c r="G541" t="n">
        <v>1.9</v>
      </c>
      <c r="H541" t="n">
        <v>0</v>
      </c>
      <c r="I541" t="n">
        <v>0</v>
      </c>
      <c r="J541" t="n">
        <v>0</v>
      </c>
      <c r="K541" t="n">
        <v>0</v>
      </c>
      <c r="L541" t="n">
        <v>0</v>
      </c>
      <c r="M541" t="n">
        <v>0</v>
      </c>
      <c r="N541" t="n">
        <v>0</v>
      </c>
      <c r="O541" t="n">
        <v>0</v>
      </c>
      <c r="P541" t="n">
        <v>0</v>
      </c>
      <c r="Q541" t="n">
        <v>0</v>
      </c>
      <c r="R541" s="2" t="inlineStr"/>
    </row>
    <row r="542" ht="15" customHeight="1">
      <c r="A542" t="inlineStr">
        <is>
          <t>A 44443-2022</t>
        </is>
      </c>
      <c r="B542" s="1" t="n">
        <v>44840</v>
      </c>
      <c r="C542" s="1" t="n">
        <v>45706</v>
      </c>
      <c r="D542" t="inlineStr">
        <is>
          <t>JÄMTLANDS LÄN</t>
        </is>
      </c>
      <c r="E542" t="inlineStr">
        <is>
          <t>BERG</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44442-2022</t>
        </is>
      </c>
      <c r="B543" s="1" t="n">
        <v>44839</v>
      </c>
      <c r="C543" s="1" t="n">
        <v>45706</v>
      </c>
      <c r="D543" t="inlineStr">
        <is>
          <t>JÄMTLANDS LÄN</t>
        </is>
      </c>
      <c r="E543" t="inlineStr">
        <is>
          <t>BERG</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45081-2022</t>
        </is>
      </c>
      <c r="B544" s="1" t="n">
        <v>44841</v>
      </c>
      <c r="C544" s="1" t="n">
        <v>45706</v>
      </c>
      <c r="D544" t="inlineStr">
        <is>
          <t>JÄMTLANDS LÄN</t>
        </is>
      </c>
      <c r="E544" t="inlineStr">
        <is>
          <t>BERG</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45487-2022</t>
        </is>
      </c>
      <c r="B545" s="1" t="n">
        <v>44845</v>
      </c>
      <c r="C545" s="1" t="n">
        <v>45706</v>
      </c>
      <c r="D545" t="inlineStr">
        <is>
          <t>JÄMTLANDS LÄN</t>
        </is>
      </c>
      <c r="E545" t="inlineStr">
        <is>
          <t>BERG</t>
        </is>
      </c>
      <c r="G545" t="n">
        <v>5.4</v>
      </c>
      <c r="H545" t="n">
        <v>0</v>
      </c>
      <c r="I545" t="n">
        <v>0</v>
      </c>
      <c r="J545" t="n">
        <v>0</v>
      </c>
      <c r="K545" t="n">
        <v>0</v>
      </c>
      <c r="L545" t="n">
        <v>0</v>
      </c>
      <c r="M545" t="n">
        <v>0</v>
      </c>
      <c r="N545" t="n">
        <v>0</v>
      </c>
      <c r="O545" t="n">
        <v>0</v>
      </c>
      <c r="P545" t="n">
        <v>0</v>
      </c>
      <c r="Q545" t="n">
        <v>0</v>
      </c>
      <c r="R545" s="2" t="inlineStr"/>
    </row>
    <row r="546" ht="15" customHeight="1">
      <c r="A546" t="inlineStr">
        <is>
          <t>A 46167-2022</t>
        </is>
      </c>
      <c r="B546" s="1" t="n">
        <v>44845</v>
      </c>
      <c r="C546" s="1" t="n">
        <v>45706</v>
      </c>
      <c r="D546" t="inlineStr">
        <is>
          <t>JÄMTLANDS LÄN</t>
        </is>
      </c>
      <c r="E546" t="inlineStr">
        <is>
          <t>BERG</t>
        </is>
      </c>
      <c r="G546" t="n">
        <v>35.2</v>
      </c>
      <c r="H546" t="n">
        <v>0</v>
      </c>
      <c r="I546" t="n">
        <v>0</v>
      </c>
      <c r="J546" t="n">
        <v>0</v>
      </c>
      <c r="K546" t="n">
        <v>0</v>
      </c>
      <c r="L546" t="n">
        <v>0</v>
      </c>
      <c r="M546" t="n">
        <v>0</v>
      </c>
      <c r="N546" t="n">
        <v>0</v>
      </c>
      <c r="O546" t="n">
        <v>0</v>
      </c>
      <c r="P546" t="n">
        <v>0</v>
      </c>
      <c r="Q546" t="n">
        <v>0</v>
      </c>
      <c r="R546" s="2" t="inlineStr"/>
    </row>
    <row r="547" ht="15" customHeight="1">
      <c r="A547" t="inlineStr">
        <is>
          <t>A 46151-2022</t>
        </is>
      </c>
      <c r="B547" s="1" t="n">
        <v>44845</v>
      </c>
      <c r="C547" s="1" t="n">
        <v>45706</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45972-2022</t>
        </is>
      </c>
      <c r="B548" s="1" t="n">
        <v>44846</v>
      </c>
      <c r="C548" s="1" t="n">
        <v>45706</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45967-2022</t>
        </is>
      </c>
      <c r="B549" s="1" t="n">
        <v>44846</v>
      </c>
      <c r="C549" s="1" t="n">
        <v>45706</v>
      </c>
      <c r="D549" t="inlineStr">
        <is>
          <t>JÄMTLANDS LÄN</t>
        </is>
      </c>
      <c r="E549" t="inlineStr">
        <is>
          <t>BERG</t>
        </is>
      </c>
      <c r="G549" t="n">
        <v>5.9</v>
      </c>
      <c r="H549" t="n">
        <v>0</v>
      </c>
      <c r="I549" t="n">
        <v>0</v>
      </c>
      <c r="J549" t="n">
        <v>0</v>
      </c>
      <c r="K549" t="n">
        <v>0</v>
      </c>
      <c r="L549" t="n">
        <v>0</v>
      </c>
      <c r="M549" t="n">
        <v>0</v>
      </c>
      <c r="N549" t="n">
        <v>0</v>
      </c>
      <c r="O549" t="n">
        <v>0</v>
      </c>
      <c r="P549" t="n">
        <v>0</v>
      </c>
      <c r="Q549" t="n">
        <v>0</v>
      </c>
      <c r="R549" s="2" t="inlineStr"/>
    </row>
    <row r="550" ht="15" customHeight="1">
      <c r="A550" t="inlineStr">
        <is>
          <t>A 46199-2022</t>
        </is>
      </c>
      <c r="B550" s="1" t="n">
        <v>44847</v>
      </c>
      <c r="C550" s="1" t="n">
        <v>45706</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46278-2022</t>
        </is>
      </c>
      <c r="B551" s="1" t="n">
        <v>44847</v>
      </c>
      <c r="C551" s="1" t="n">
        <v>45706</v>
      </c>
      <c r="D551" t="inlineStr">
        <is>
          <t>JÄMTLANDS LÄN</t>
        </is>
      </c>
      <c r="E551" t="inlineStr">
        <is>
          <t>BERG</t>
        </is>
      </c>
      <c r="G551" t="n">
        <v>11.7</v>
      </c>
      <c r="H551" t="n">
        <v>0</v>
      </c>
      <c r="I551" t="n">
        <v>0</v>
      </c>
      <c r="J551" t="n">
        <v>0</v>
      </c>
      <c r="K551" t="n">
        <v>0</v>
      </c>
      <c r="L551" t="n">
        <v>0</v>
      </c>
      <c r="M551" t="n">
        <v>0</v>
      </c>
      <c r="N551" t="n">
        <v>0</v>
      </c>
      <c r="O551" t="n">
        <v>0</v>
      </c>
      <c r="P551" t="n">
        <v>0</v>
      </c>
      <c r="Q551" t="n">
        <v>0</v>
      </c>
      <c r="R551" s="2" t="inlineStr"/>
    </row>
    <row r="552" ht="15" customHeight="1">
      <c r="A552" t="inlineStr">
        <is>
          <t>A 46907-2022</t>
        </is>
      </c>
      <c r="B552" s="1" t="n">
        <v>44851</v>
      </c>
      <c r="C552" s="1" t="n">
        <v>45706</v>
      </c>
      <c r="D552" t="inlineStr">
        <is>
          <t>JÄMTLANDS LÄN</t>
        </is>
      </c>
      <c r="E552" t="inlineStr">
        <is>
          <t>BERG</t>
        </is>
      </c>
      <c r="G552" t="n">
        <v>15.1</v>
      </c>
      <c r="H552" t="n">
        <v>0</v>
      </c>
      <c r="I552" t="n">
        <v>0</v>
      </c>
      <c r="J552" t="n">
        <v>0</v>
      </c>
      <c r="K552" t="n">
        <v>0</v>
      </c>
      <c r="L552" t="n">
        <v>0</v>
      </c>
      <c r="M552" t="n">
        <v>0</v>
      </c>
      <c r="N552" t="n">
        <v>0</v>
      </c>
      <c r="O552" t="n">
        <v>0</v>
      </c>
      <c r="P552" t="n">
        <v>0</v>
      </c>
      <c r="Q552" t="n">
        <v>0</v>
      </c>
      <c r="R552" s="2" t="inlineStr"/>
    </row>
    <row r="553" ht="15" customHeight="1">
      <c r="A553" t="inlineStr">
        <is>
          <t>A 47432-2022</t>
        </is>
      </c>
      <c r="B553" s="1" t="n">
        <v>44853</v>
      </c>
      <c r="C553" s="1" t="n">
        <v>45706</v>
      </c>
      <c r="D553" t="inlineStr">
        <is>
          <t>JÄMTLANDS LÄN</t>
        </is>
      </c>
      <c r="E553" t="inlineStr">
        <is>
          <t>BERG</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47982-2022</t>
        </is>
      </c>
      <c r="B554" s="1" t="n">
        <v>44853</v>
      </c>
      <c r="C554" s="1" t="n">
        <v>45706</v>
      </c>
      <c r="D554" t="inlineStr">
        <is>
          <t>JÄMTLANDS LÄN</t>
        </is>
      </c>
      <c r="E554" t="inlineStr">
        <is>
          <t>BERG</t>
        </is>
      </c>
      <c r="G554" t="n">
        <v>5.1</v>
      </c>
      <c r="H554" t="n">
        <v>0</v>
      </c>
      <c r="I554" t="n">
        <v>0</v>
      </c>
      <c r="J554" t="n">
        <v>0</v>
      </c>
      <c r="K554" t="n">
        <v>0</v>
      </c>
      <c r="L554" t="n">
        <v>0</v>
      </c>
      <c r="M554" t="n">
        <v>0</v>
      </c>
      <c r="N554" t="n">
        <v>0</v>
      </c>
      <c r="O554" t="n">
        <v>0</v>
      </c>
      <c r="P554" t="n">
        <v>0</v>
      </c>
      <c r="Q554" t="n">
        <v>0</v>
      </c>
      <c r="R554" s="2" t="inlineStr"/>
    </row>
    <row r="555" ht="15" customHeight="1">
      <c r="A555" t="inlineStr">
        <is>
          <t>A 47967-2022</t>
        </is>
      </c>
      <c r="B555" s="1" t="n">
        <v>44853</v>
      </c>
      <c r="C555" s="1" t="n">
        <v>45706</v>
      </c>
      <c r="D555" t="inlineStr">
        <is>
          <t>JÄMTLANDS LÄN</t>
        </is>
      </c>
      <c r="E555" t="inlineStr">
        <is>
          <t>BERG</t>
        </is>
      </c>
      <c r="G555" t="n">
        <v>15</v>
      </c>
      <c r="H555" t="n">
        <v>0</v>
      </c>
      <c r="I555" t="n">
        <v>0</v>
      </c>
      <c r="J555" t="n">
        <v>0</v>
      </c>
      <c r="K555" t="n">
        <v>0</v>
      </c>
      <c r="L555" t="n">
        <v>0</v>
      </c>
      <c r="M555" t="n">
        <v>0</v>
      </c>
      <c r="N555" t="n">
        <v>0</v>
      </c>
      <c r="O555" t="n">
        <v>0</v>
      </c>
      <c r="P555" t="n">
        <v>0</v>
      </c>
      <c r="Q555" t="n">
        <v>0</v>
      </c>
      <c r="R555" s="2" t="inlineStr"/>
    </row>
    <row r="556" ht="15" customHeight="1">
      <c r="A556" t="inlineStr">
        <is>
          <t>A 47978-2022</t>
        </is>
      </c>
      <c r="B556" s="1" t="n">
        <v>44853</v>
      </c>
      <c r="C556" s="1" t="n">
        <v>45706</v>
      </c>
      <c r="D556" t="inlineStr">
        <is>
          <t>JÄMTLANDS LÄN</t>
        </is>
      </c>
      <c r="E556" t="inlineStr">
        <is>
          <t>BERG</t>
        </is>
      </c>
      <c r="G556" t="n">
        <v>7.1</v>
      </c>
      <c r="H556" t="n">
        <v>0</v>
      </c>
      <c r="I556" t="n">
        <v>0</v>
      </c>
      <c r="J556" t="n">
        <v>0</v>
      </c>
      <c r="K556" t="n">
        <v>0</v>
      </c>
      <c r="L556" t="n">
        <v>0</v>
      </c>
      <c r="M556" t="n">
        <v>0</v>
      </c>
      <c r="N556" t="n">
        <v>0</v>
      </c>
      <c r="O556" t="n">
        <v>0</v>
      </c>
      <c r="P556" t="n">
        <v>0</v>
      </c>
      <c r="Q556" t="n">
        <v>0</v>
      </c>
      <c r="R556" s="2" t="inlineStr"/>
    </row>
    <row r="557" ht="15" customHeight="1">
      <c r="A557" t="inlineStr">
        <is>
          <t>A 48729-2022</t>
        </is>
      </c>
      <c r="B557" s="1" t="n">
        <v>44855</v>
      </c>
      <c r="C557" s="1" t="n">
        <v>45706</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49035-2022</t>
        </is>
      </c>
      <c r="B558" s="1" t="n">
        <v>44855</v>
      </c>
      <c r="C558" s="1" t="n">
        <v>45706</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49104-2022</t>
        </is>
      </c>
      <c r="B559" s="1" t="n">
        <v>44855</v>
      </c>
      <c r="C559" s="1" t="n">
        <v>45706</v>
      </c>
      <c r="D559" t="inlineStr">
        <is>
          <t>JÄMTLANDS LÄN</t>
        </is>
      </c>
      <c r="E559" t="inlineStr">
        <is>
          <t>BERG</t>
        </is>
      </c>
      <c r="G559" t="n">
        <v>1</v>
      </c>
      <c r="H559" t="n">
        <v>0</v>
      </c>
      <c r="I559" t="n">
        <v>0</v>
      </c>
      <c r="J559" t="n">
        <v>0</v>
      </c>
      <c r="K559" t="n">
        <v>0</v>
      </c>
      <c r="L559" t="n">
        <v>0</v>
      </c>
      <c r="M559" t="n">
        <v>0</v>
      </c>
      <c r="N559" t="n">
        <v>0</v>
      </c>
      <c r="O559" t="n">
        <v>0</v>
      </c>
      <c r="P559" t="n">
        <v>0</v>
      </c>
      <c r="Q559" t="n">
        <v>0</v>
      </c>
      <c r="R559" s="2" t="inlineStr"/>
    </row>
    <row r="560" ht="15" customHeight="1">
      <c r="A560" t="inlineStr">
        <is>
          <t>A 48756-2022</t>
        </is>
      </c>
      <c r="B560" s="1" t="n">
        <v>44859</v>
      </c>
      <c r="C560" s="1" t="n">
        <v>45706</v>
      </c>
      <c r="D560" t="inlineStr">
        <is>
          <t>JÄMTLANDS LÄN</t>
        </is>
      </c>
      <c r="E560" t="inlineStr">
        <is>
          <t>BERG</t>
        </is>
      </c>
      <c r="G560" t="n">
        <v>10.8</v>
      </c>
      <c r="H560" t="n">
        <v>0</v>
      </c>
      <c r="I560" t="n">
        <v>0</v>
      </c>
      <c r="J560" t="n">
        <v>0</v>
      </c>
      <c r="K560" t="n">
        <v>0</v>
      </c>
      <c r="L560" t="n">
        <v>0</v>
      </c>
      <c r="M560" t="n">
        <v>0</v>
      </c>
      <c r="N560" t="n">
        <v>0</v>
      </c>
      <c r="O560" t="n">
        <v>0</v>
      </c>
      <c r="P560" t="n">
        <v>0</v>
      </c>
      <c r="Q560" t="n">
        <v>0</v>
      </c>
      <c r="R560" s="2" t="inlineStr"/>
    </row>
    <row r="561" ht="15" customHeight="1">
      <c r="A561" t="inlineStr">
        <is>
          <t>A 49196-2022</t>
        </is>
      </c>
      <c r="B561" s="1" t="n">
        <v>44861</v>
      </c>
      <c r="C561" s="1" t="n">
        <v>45706</v>
      </c>
      <c r="D561" t="inlineStr">
        <is>
          <t>JÄMTLANDS LÄN</t>
        </is>
      </c>
      <c r="E561" t="inlineStr">
        <is>
          <t>BERG</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50024-2022</t>
        </is>
      </c>
      <c r="B562" s="1" t="n">
        <v>44860</v>
      </c>
      <c r="C562" s="1" t="n">
        <v>45706</v>
      </c>
      <c r="D562" t="inlineStr">
        <is>
          <t>JÄMTLANDS LÄN</t>
        </is>
      </c>
      <c r="E562" t="inlineStr">
        <is>
          <t>BERG</t>
        </is>
      </c>
      <c r="G562" t="n">
        <v>1.8</v>
      </c>
      <c r="H562" t="n">
        <v>0</v>
      </c>
      <c r="I562" t="n">
        <v>0</v>
      </c>
      <c r="J562" t="n">
        <v>0</v>
      </c>
      <c r="K562" t="n">
        <v>0</v>
      </c>
      <c r="L562" t="n">
        <v>0</v>
      </c>
      <c r="M562" t="n">
        <v>0</v>
      </c>
      <c r="N562" t="n">
        <v>0</v>
      </c>
      <c r="O562" t="n">
        <v>0</v>
      </c>
      <c r="P562" t="n">
        <v>0</v>
      </c>
      <c r="Q562" t="n">
        <v>0</v>
      </c>
      <c r="R562" s="2" t="inlineStr"/>
    </row>
    <row r="563" ht="15" customHeight="1">
      <c r="A563" t="inlineStr">
        <is>
          <t>A 49643-2022</t>
        </is>
      </c>
      <c r="B563" s="1" t="n">
        <v>44862</v>
      </c>
      <c r="C563" s="1" t="n">
        <v>45706</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49851-2022</t>
        </is>
      </c>
      <c r="B564" s="1" t="n">
        <v>44863</v>
      </c>
      <c r="C564" s="1" t="n">
        <v>45706</v>
      </c>
      <c r="D564" t="inlineStr">
        <is>
          <t>JÄMTLANDS LÄN</t>
        </is>
      </c>
      <c r="E564" t="inlineStr">
        <is>
          <t>BERG</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50679-2022</t>
        </is>
      </c>
      <c r="B565" s="1" t="n">
        <v>44866</v>
      </c>
      <c r="C565" s="1" t="n">
        <v>45706</v>
      </c>
      <c r="D565" t="inlineStr">
        <is>
          <t>JÄMTLANDS LÄN</t>
        </is>
      </c>
      <c r="E565" t="inlineStr">
        <is>
          <t>BERG</t>
        </is>
      </c>
      <c r="F565" t="inlineStr">
        <is>
          <t>SCA</t>
        </is>
      </c>
      <c r="G565" t="n">
        <v>18.6</v>
      </c>
      <c r="H565" t="n">
        <v>0</v>
      </c>
      <c r="I565" t="n">
        <v>0</v>
      </c>
      <c r="J565" t="n">
        <v>0</v>
      </c>
      <c r="K565" t="n">
        <v>0</v>
      </c>
      <c r="L565" t="n">
        <v>0</v>
      </c>
      <c r="M565" t="n">
        <v>0</v>
      </c>
      <c r="N565" t="n">
        <v>0</v>
      </c>
      <c r="O565" t="n">
        <v>0</v>
      </c>
      <c r="P565" t="n">
        <v>0</v>
      </c>
      <c r="Q565" t="n">
        <v>0</v>
      </c>
      <c r="R565" s="2" t="inlineStr"/>
    </row>
    <row r="566" ht="15" customHeight="1">
      <c r="A566" t="inlineStr">
        <is>
          <t>A 50678-2022</t>
        </is>
      </c>
      <c r="B566" s="1" t="n">
        <v>44866</v>
      </c>
      <c r="C566" s="1" t="n">
        <v>45706</v>
      </c>
      <c r="D566" t="inlineStr">
        <is>
          <t>JÄMTLANDS LÄN</t>
        </is>
      </c>
      <c r="E566" t="inlineStr">
        <is>
          <t>BERG</t>
        </is>
      </c>
      <c r="F566" t="inlineStr">
        <is>
          <t>SCA</t>
        </is>
      </c>
      <c r="G566" t="n">
        <v>18.5</v>
      </c>
      <c r="H566" t="n">
        <v>0</v>
      </c>
      <c r="I566" t="n">
        <v>0</v>
      </c>
      <c r="J566" t="n">
        <v>0</v>
      </c>
      <c r="K566" t="n">
        <v>0</v>
      </c>
      <c r="L566" t="n">
        <v>0</v>
      </c>
      <c r="M566" t="n">
        <v>0</v>
      </c>
      <c r="N566" t="n">
        <v>0</v>
      </c>
      <c r="O566" t="n">
        <v>0</v>
      </c>
      <c r="P566" t="n">
        <v>0</v>
      </c>
      <c r="Q566" t="n">
        <v>0</v>
      </c>
      <c r="R566" s="2" t="inlineStr"/>
    </row>
    <row r="567" ht="15" customHeight="1">
      <c r="A567" t="inlineStr">
        <is>
          <t>A 52927-2022</t>
        </is>
      </c>
      <c r="B567" s="1" t="n">
        <v>44872</v>
      </c>
      <c r="C567" s="1" t="n">
        <v>45706</v>
      </c>
      <c r="D567" t="inlineStr">
        <is>
          <t>JÄMTLANDS LÄN</t>
        </is>
      </c>
      <c r="E567" t="inlineStr">
        <is>
          <t>BERG</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53456-2022</t>
        </is>
      </c>
      <c r="B568" s="1" t="n">
        <v>44874</v>
      </c>
      <c r="C568" s="1" t="n">
        <v>45706</v>
      </c>
      <c r="D568" t="inlineStr">
        <is>
          <t>JÄMTLANDS LÄN</t>
        </is>
      </c>
      <c r="E568" t="inlineStr">
        <is>
          <t>BERG</t>
        </is>
      </c>
      <c r="G568" t="n">
        <v>13.3</v>
      </c>
      <c r="H568" t="n">
        <v>0</v>
      </c>
      <c r="I568" t="n">
        <v>0</v>
      </c>
      <c r="J568" t="n">
        <v>0</v>
      </c>
      <c r="K568" t="n">
        <v>0</v>
      </c>
      <c r="L568" t="n">
        <v>0</v>
      </c>
      <c r="M568" t="n">
        <v>0</v>
      </c>
      <c r="N568" t="n">
        <v>0</v>
      </c>
      <c r="O568" t="n">
        <v>0</v>
      </c>
      <c r="P568" t="n">
        <v>0</v>
      </c>
      <c r="Q568" t="n">
        <v>0</v>
      </c>
      <c r="R568" s="2" t="inlineStr"/>
    </row>
    <row r="569" ht="15" customHeight="1">
      <c r="A569" t="inlineStr">
        <is>
          <t>A 53015-2022</t>
        </is>
      </c>
      <c r="B569" s="1" t="n">
        <v>44875</v>
      </c>
      <c r="C569" s="1" t="n">
        <v>45706</v>
      </c>
      <c r="D569" t="inlineStr">
        <is>
          <t>JÄMTLANDS LÄN</t>
        </is>
      </c>
      <c r="E569" t="inlineStr">
        <is>
          <t>BERG</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53521-2022</t>
        </is>
      </c>
      <c r="B570" s="1" t="n">
        <v>44875</v>
      </c>
      <c r="C570" s="1" t="n">
        <v>45706</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54410-2022</t>
        </is>
      </c>
      <c r="B571" s="1" t="n">
        <v>44879</v>
      </c>
      <c r="C571" s="1" t="n">
        <v>45706</v>
      </c>
      <c r="D571" t="inlineStr">
        <is>
          <t>JÄMTLANDS LÄN</t>
        </is>
      </c>
      <c r="E571" t="inlineStr">
        <is>
          <t>BERG</t>
        </is>
      </c>
      <c r="G571" t="n">
        <v>8.5</v>
      </c>
      <c r="H571" t="n">
        <v>0</v>
      </c>
      <c r="I571" t="n">
        <v>0</v>
      </c>
      <c r="J571" t="n">
        <v>0</v>
      </c>
      <c r="K571" t="n">
        <v>0</v>
      </c>
      <c r="L571" t="n">
        <v>0</v>
      </c>
      <c r="M571" t="n">
        <v>0</v>
      </c>
      <c r="N571" t="n">
        <v>0</v>
      </c>
      <c r="O571" t="n">
        <v>0</v>
      </c>
      <c r="P571" t="n">
        <v>0</v>
      </c>
      <c r="Q571" t="n">
        <v>0</v>
      </c>
      <c r="R571" s="2" t="inlineStr"/>
    </row>
    <row r="572" ht="15" customHeight="1">
      <c r="A572" t="inlineStr">
        <is>
          <t>A 55518-2022</t>
        </is>
      </c>
      <c r="B572" s="1" t="n">
        <v>44887</v>
      </c>
      <c r="C572" s="1" t="n">
        <v>45706</v>
      </c>
      <c r="D572" t="inlineStr">
        <is>
          <t>JÄMTLANDS LÄN</t>
        </is>
      </c>
      <c r="E572" t="inlineStr">
        <is>
          <t>BERG</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57183-2022</t>
        </is>
      </c>
      <c r="B573" s="1" t="n">
        <v>44895</v>
      </c>
      <c r="C573" s="1" t="n">
        <v>45706</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57226-2022</t>
        </is>
      </c>
      <c r="B574" s="1" t="n">
        <v>44895</v>
      </c>
      <c r="C574" s="1" t="n">
        <v>45706</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57842-2022</t>
        </is>
      </c>
      <c r="B575" s="1" t="n">
        <v>44897</v>
      </c>
      <c r="C575" s="1" t="n">
        <v>45706</v>
      </c>
      <c r="D575" t="inlineStr">
        <is>
          <t>JÄMTLANDS LÄN</t>
        </is>
      </c>
      <c r="E575" t="inlineStr">
        <is>
          <t>BERG</t>
        </is>
      </c>
      <c r="G575" t="n">
        <v>9.9</v>
      </c>
      <c r="H575" t="n">
        <v>0</v>
      </c>
      <c r="I575" t="n">
        <v>0</v>
      </c>
      <c r="J575" t="n">
        <v>0</v>
      </c>
      <c r="K575" t="n">
        <v>0</v>
      </c>
      <c r="L575" t="n">
        <v>0</v>
      </c>
      <c r="M575" t="n">
        <v>0</v>
      </c>
      <c r="N575" t="n">
        <v>0</v>
      </c>
      <c r="O575" t="n">
        <v>0</v>
      </c>
      <c r="P575" t="n">
        <v>0</v>
      </c>
      <c r="Q575" t="n">
        <v>0</v>
      </c>
      <c r="R575" s="2" t="inlineStr"/>
    </row>
    <row r="576" ht="15" customHeight="1">
      <c r="A576" t="inlineStr">
        <is>
          <t>A 58180-2022</t>
        </is>
      </c>
      <c r="B576" s="1" t="n">
        <v>44900</v>
      </c>
      <c r="C576" s="1" t="n">
        <v>45706</v>
      </c>
      <c r="D576" t="inlineStr">
        <is>
          <t>JÄMTLANDS LÄN</t>
        </is>
      </c>
      <c r="E576" t="inlineStr">
        <is>
          <t>BERG</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58431-2022</t>
        </is>
      </c>
      <c r="B577" s="1" t="n">
        <v>44901</v>
      </c>
      <c r="C577" s="1" t="n">
        <v>45706</v>
      </c>
      <c r="D577" t="inlineStr">
        <is>
          <t>JÄMTLANDS LÄN</t>
        </is>
      </c>
      <c r="E577" t="inlineStr">
        <is>
          <t>BERG</t>
        </is>
      </c>
      <c r="F577" t="inlineStr">
        <is>
          <t>SCA</t>
        </is>
      </c>
      <c r="G577" t="n">
        <v>8.1</v>
      </c>
      <c r="H577" t="n">
        <v>0</v>
      </c>
      <c r="I577" t="n">
        <v>0</v>
      </c>
      <c r="J577" t="n">
        <v>0</v>
      </c>
      <c r="K577" t="n">
        <v>0</v>
      </c>
      <c r="L577" t="n">
        <v>0</v>
      </c>
      <c r="M577" t="n">
        <v>0</v>
      </c>
      <c r="N577" t="n">
        <v>0</v>
      </c>
      <c r="O577" t="n">
        <v>0</v>
      </c>
      <c r="P577" t="n">
        <v>0</v>
      </c>
      <c r="Q577" t="n">
        <v>0</v>
      </c>
      <c r="R577" s="2" t="inlineStr"/>
    </row>
    <row r="578" ht="15" customHeight="1">
      <c r="A578" t="inlineStr">
        <is>
          <t>A 58432-2022</t>
        </is>
      </c>
      <c r="B578" s="1" t="n">
        <v>44901</v>
      </c>
      <c r="C578" s="1" t="n">
        <v>45706</v>
      </c>
      <c r="D578" t="inlineStr">
        <is>
          <t>JÄMTLANDS LÄN</t>
        </is>
      </c>
      <c r="E578" t="inlineStr">
        <is>
          <t>BERG</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60068-2022</t>
        </is>
      </c>
      <c r="B579" s="1" t="n">
        <v>44902</v>
      </c>
      <c r="C579" s="1" t="n">
        <v>45706</v>
      </c>
      <c r="D579" t="inlineStr">
        <is>
          <t>JÄMTLANDS LÄN</t>
        </is>
      </c>
      <c r="E579" t="inlineStr">
        <is>
          <t>BERG</t>
        </is>
      </c>
      <c r="G579" t="n">
        <v>5.2</v>
      </c>
      <c r="H579" t="n">
        <v>0</v>
      </c>
      <c r="I579" t="n">
        <v>0</v>
      </c>
      <c r="J579" t="n">
        <v>0</v>
      </c>
      <c r="K579" t="n">
        <v>0</v>
      </c>
      <c r="L579" t="n">
        <v>0</v>
      </c>
      <c r="M579" t="n">
        <v>0</v>
      </c>
      <c r="N579" t="n">
        <v>0</v>
      </c>
      <c r="O579" t="n">
        <v>0</v>
      </c>
      <c r="P579" t="n">
        <v>0</v>
      </c>
      <c r="Q579" t="n">
        <v>0</v>
      </c>
      <c r="R579" s="2" t="inlineStr"/>
    </row>
    <row r="580" ht="15" customHeight="1">
      <c r="A580" t="inlineStr">
        <is>
          <t>A 60028-2022</t>
        </is>
      </c>
      <c r="B580" s="1" t="n">
        <v>44902</v>
      </c>
      <c r="C580" s="1" t="n">
        <v>45706</v>
      </c>
      <c r="D580" t="inlineStr">
        <is>
          <t>JÄMTLANDS LÄN</t>
        </is>
      </c>
      <c r="E580" t="inlineStr">
        <is>
          <t>BERG</t>
        </is>
      </c>
      <c r="G580" t="n">
        <v>20</v>
      </c>
      <c r="H580" t="n">
        <v>0</v>
      </c>
      <c r="I580" t="n">
        <v>0</v>
      </c>
      <c r="J580" t="n">
        <v>0</v>
      </c>
      <c r="K580" t="n">
        <v>0</v>
      </c>
      <c r="L580" t="n">
        <v>0</v>
      </c>
      <c r="M580" t="n">
        <v>0</v>
      </c>
      <c r="N580" t="n">
        <v>0</v>
      </c>
      <c r="O580" t="n">
        <v>0</v>
      </c>
      <c r="P580" t="n">
        <v>0</v>
      </c>
      <c r="Q580" t="n">
        <v>0</v>
      </c>
      <c r="R580" s="2" t="inlineStr"/>
    </row>
    <row r="581" ht="15" customHeight="1">
      <c r="A581" t="inlineStr">
        <is>
          <t>A 60024-2022</t>
        </is>
      </c>
      <c r="B581" s="1" t="n">
        <v>44902</v>
      </c>
      <c r="C581" s="1" t="n">
        <v>45706</v>
      </c>
      <c r="D581" t="inlineStr">
        <is>
          <t>JÄMTLANDS LÄN</t>
        </is>
      </c>
      <c r="E581" t="inlineStr">
        <is>
          <t>BERG</t>
        </is>
      </c>
      <c r="G581" t="n">
        <v>6.2</v>
      </c>
      <c r="H581" t="n">
        <v>0</v>
      </c>
      <c r="I581" t="n">
        <v>0</v>
      </c>
      <c r="J581" t="n">
        <v>0</v>
      </c>
      <c r="K581" t="n">
        <v>0</v>
      </c>
      <c r="L581" t="n">
        <v>0</v>
      </c>
      <c r="M581" t="n">
        <v>0</v>
      </c>
      <c r="N581" t="n">
        <v>0</v>
      </c>
      <c r="O581" t="n">
        <v>0</v>
      </c>
      <c r="P581" t="n">
        <v>0</v>
      </c>
      <c r="Q581" t="n">
        <v>0</v>
      </c>
      <c r="R581" s="2" t="inlineStr"/>
    </row>
    <row r="582" ht="15" customHeight="1">
      <c r="A582" t="inlineStr">
        <is>
          <t>A 58910-2022</t>
        </is>
      </c>
      <c r="B582" s="1" t="n">
        <v>44903</v>
      </c>
      <c r="C582" s="1" t="n">
        <v>45706</v>
      </c>
      <c r="D582" t="inlineStr">
        <is>
          <t>JÄMTLANDS LÄN</t>
        </is>
      </c>
      <c r="E582" t="inlineStr">
        <is>
          <t>BERG</t>
        </is>
      </c>
      <c r="G582" t="n">
        <v>2.7</v>
      </c>
      <c r="H582" t="n">
        <v>0</v>
      </c>
      <c r="I582" t="n">
        <v>0</v>
      </c>
      <c r="J582" t="n">
        <v>0</v>
      </c>
      <c r="K582" t="n">
        <v>0</v>
      </c>
      <c r="L582" t="n">
        <v>0</v>
      </c>
      <c r="M582" t="n">
        <v>0</v>
      </c>
      <c r="N582" t="n">
        <v>0</v>
      </c>
      <c r="O582" t="n">
        <v>0</v>
      </c>
      <c r="P582" t="n">
        <v>0</v>
      </c>
      <c r="Q582" t="n">
        <v>0</v>
      </c>
      <c r="R582" s="2" t="inlineStr"/>
    </row>
    <row r="583" ht="15" customHeight="1">
      <c r="A583" t="inlineStr">
        <is>
          <t>A 60274-2022</t>
        </is>
      </c>
      <c r="B583" s="1" t="n">
        <v>44903</v>
      </c>
      <c r="C583" s="1" t="n">
        <v>45706</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60249-2022</t>
        </is>
      </c>
      <c r="B584" s="1" t="n">
        <v>44903</v>
      </c>
      <c r="C584" s="1" t="n">
        <v>45706</v>
      </c>
      <c r="D584" t="inlineStr">
        <is>
          <t>JÄMTLANDS LÄN</t>
        </is>
      </c>
      <c r="E584" t="inlineStr">
        <is>
          <t>BERG</t>
        </is>
      </c>
      <c r="G584" t="n">
        <v>6</v>
      </c>
      <c r="H584" t="n">
        <v>0</v>
      </c>
      <c r="I584" t="n">
        <v>0</v>
      </c>
      <c r="J584" t="n">
        <v>0</v>
      </c>
      <c r="K584" t="n">
        <v>0</v>
      </c>
      <c r="L584" t="n">
        <v>0</v>
      </c>
      <c r="M584" t="n">
        <v>0</v>
      </c>
      <c r="N584" t="n">
        <v>0</v>
      </c>
      <c r="O584" t="n">
        <v>0</v>
      </c>
      <c r="P584" t="n">
        <v>0</v>
      </c>
      <c r="Q584" t="n">
        <v>0</v>
      </c>
      <c r="R584" s="2" t="inlineStr"/>
    </row>
    <row r="585" ht="15" customHeight="1">
      <c r="A585" t="inlineStr">
        <is>
          <t>A 60280-2022</t>
        </is>
      </c>
      <c r="B585" s="1" t="n">
        <v>44903</v>
      </c>
      <c r="C585" s="1" t="n">
        <v>45706</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60271-2022</t>
        </is>
      </c>
      <c r="B586" s="1" t="n">
        <v>44903</v>
      </c>
      <c r="C586" s="1" t="n">
        <v>45706</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59634-2022</t>
        </is>
      </c>
      <c r="B587" s="1" t="n">
        <v>44908</v>
      </c>
      <c r="C587" s="1" t="n">
        <v>45706</v>
      </c>
      <c r="D587" t="inlineStr">
        <is>
          <t>JÄMTLANDS LÄN</t>
        </is>
      </c>
      <c r="E587" t="inlineStr">
        <is>
          <t>BERG</t>
        </is>
      </c>
      <c r="G587" t="n">
        <v>1.2</v>
      </c>
      <c r="H587" t="n">
        <v>0</v>
      </c>
      <c r="I587" t="n">
        <v>0</v>
      </c>
      <c r="J587" t="n">
        <v>0</v>
      </c>
      <c r="K587" t="n">
        <v>0</v>
      </c>
      <c r="L587" t="n">
        <v>0</v>
      </c>
      <c r="M587" t="n">
        <v>0</v>
      </c>
      <c r="N587" t="n">
        <v>0</v>
      </c>
      <c r="O587" t="n">
        <v>0</v>
      </c>
      <c r="P587" t="n">
        <v>0</v>
      </c>
      <c r="Q587" t="n">
        <v>0</v>
      </c>
      <c r="R587" s="2" t="inlineStr"/>
    </row>
    <row r="588" ht="15" customHeight="1">
      <c r="A588" t="inlineStr">
        <is>
          <t>A 59652-2022</t>
        </is>
      </c>
      <c r="B588" s="1" t="n">
        <v>44908</v>
      </c>
      <c r="C588" s="1" t="n">
        <v>45706</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59635-2022</t>
        </is>
      </c>
      <c r="B589" s="1" t="n">
        <v>44907</v>
      </c>
      <c r="C589" s="1" t="n">
        <v>45706</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60845-2022</t>
        </is>
      </c>
      <c r="B590" s="1" t="n">
        <v>44907</v>
      </c>
      <c r="C590" s="1" t="n">
        <v>45706</v>
      </c>
      <c r="D590" t="inlineStr">
        <is>
          <t>JÄMTLANDS LÄN</t>
        </is>
      </c>
      <c r="E590" t="inlineStr">
        <is>
          <t>BERG</t>
        </is>
      </c>
      <c r="G590" t="n">
        <v>14.6</v>
      </c>
      <c r="H590" t="n">
        <v>0</v>
      </c>
      <c r="I590" t="n">
        <v>0</v>
      </c>
      <c r="J590" t="n">
        <v>0</v>
      </c>
      <c r="K590" t="n">
        <v>0</v>
      </c>
      <c r="L590" t="n">
        <v>0</v>
      </c>
      <c r="M590" t="n">
        <v>0</v>
      </c>
      <c r="N590" t="n">
        <v>0</v>
      </c>
      <c r="O590" t="n">
        <v>0</v>
      </c>
      <c r="P590" t="n">
        <v>0</v>
      </c>
      <c r="Q590" t="n">
        <v>0</v>
      </c>
      <c r="R590" s="2" t="inlineStr"/>
    </row>
    <row r="591" ht="15" customHeight="1">
      <c r="A591" t="inlineStr">
        <is>
          <t>A 59650-2022</t>
        </is>
      </c>
      <c r="B591" s="1" t="n">
        <v>44907</v>
      </c>
      <c r="C591" s="1" t="n">
        <v>45706</v>
      </c>
      <c r="D591" t="inlineStr">
        <is>
          <t>JÄMTLANDS LÄN</t>
        </is>
      </c>
      <c r="E591" t="inlineStr">
        <is>
          <t>BERG</t>
        </is>
      </c>
      <c r="G591" t="n">
        <v>3.3</v>
      </c>
      <c r="H591" t="n">
        <v>0</v>
      </c>
      <c r="I591" t="n">
        <v>0</v>
      </c>
      <c r="J591" t="n">
        <v>0</v>
      </c>
      <c r="K591" t="n">
        <v>0</v>
      </c>
      <c r="L591" t="n">
        <v>0</v>
      </c>
      <c r="M591" t="n">
        <v>0</v>
      </c>
      <c r="N591" t="n">
        <v>0</v>
      </c>
      <c r="O591" t="n">
        <v>0</v>
      </c>
      <c r="P591" t="n">
        <v>0</v>
      </c>
      <c r="Q591" t="n">
        <v>0</v>
      </c>
      <c r="R591" s="2" t="inlineStr"/>
    </row>
    <row r="592" ht="15" customHeight="1">
      <c r="A592" t="inlineStr">
        <is>
          <t>A 59651-2022</t>
        </is>
      </c>
      <c r="B592" s="1" t="n">
        <v>44908</v>
      </c>
      <c r="C592" s="1" t="n">
        <v>45706</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60852-2022</t>
        </is>
      </c>
      <c r="B593" s="1" t="n">
        <v>44908</v>
      </c>
      <c r="C593" s="1" t="n">
        <v>45706</v>
      </c>
      <c r="D593" t="inlineStr">
        <is>
          <t>JÄMTLANDS LÄN</t>
        </is>
      </c>
      <c r="E593" t="inlineStr">
        <is>
          <t>BERG</t>
        </is>
      </c>
      <c r="G593" t="n">
        <v>17.3</v>
      </c>
      <c r="H593" t="n">
        <v>0</v>
      </c>
      <c r="I593" t="n">
        <v>0</v>
      </c>
      <c r="J593" t="n">
        <v>0</v>
      </c>
      <c r="K593" t="n">
        <v>0</v>
      </c>
      <c r="L593" t="n">
        <v>0</v>
      </c>
      <c r="M593" t="n">
        <v>0</v>
      </c>
      <c r="N593" t="n">
        <v>0</v>
      </c>
      <c r="O593" t="n">
        <v>0</v>
      </c>
      <c r="P593" t="n">
        <v>0</v>
      </c>
      <c r="Q593" t="n">
        <v>0</v>
      </c>
      <c r="R593" s="2" t="inlineStr"/>
    </row>
    <row r="594" ht="15" customHeight="1">
      <c r="A594" t="inlineStr">
        <is>
          <t>A 60854-2022</t>
        </is>
      </c>
      <c r="B594" s="1" t="n">
        <v>44908</v>
      </c>
      <c r="C594" s="1" t="n">
        <v>45706</v>
      </c>
      <c r="D594" t="inlineStr">
        <is>
          <t>JÄMTLANDS LÄN</t>
        </is>
      </c>
      <c r="E594" t="inlineStr">
        <is>
          <t>BERG</t>
        </is>
      </c>
      <c r="G594" t="n">
        <v>26.9</v>
      </c>
      <c r="H594" t="n">
        <v>0</v>
      </c>
      <c r="I594" t="n">
        <v>0</v>
      </c>
      <c r="J594" t="n">
        <v>0</v>
      </c>
      <c r="K594" t="n">
        <v>0</v>
      </c>
      <c r="L594" t="n">
        <v>0</v>
      </c>
      <c r="M594" t="n">
        <v>0</v>
      </c>
      <c r="N594" t="n">
        <v>0</v>
      </c>
      <c r="O594" t="n">
        <v>0</v>
      </c>
      <c r="P594" t="n">
        <v>0</v>
      </c>
      <c r="Q594" t="n">
        <v>0</v>
      </c>
      <c r="R594" s="2" t="inlineStr"/>
    </row>
    <row r="595" ht="15" customHeight="1">
      <c r="A595" t="inlineStr">
        <is>
          <t>A 61248-2022</t>
        </is>
      </c>
      <c r="B595" s="1" t="n">
        <v>44909</v>
      </c>
      <c r="C595" s="1" t="n">
        <v>45706</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61251-2022</t>
        </is>
      </c>
      <c r="B596" s="1" t="n">
        <v>44909</v>
      </c>
      <c r="C596" s="1" t="n">
        <v>45706</v>
      </c>
      <c r="D596" t="inlineStr">
        <is>
          <t>JÄMTLANDS LÄN</t>
        </is>
      </c>
      <c r="E596" t="inlineStr">
        <is>
          <t>BERG</t>
        </is>
      </c>
      <c r="G596" t="n">
        <v>3</v>
      </c>
      <c r="H596" t="n">
        <v>0</v>
      </c>
      <c r="I596" t="n">
        <v>0</v>
      </c>
      <c r="J596" t="n">
        <v>0</v>
      </c>
      <c r="K596" t="n">
        <v>0</v>
      </c>
      <c r="L596" t="n">
        <v>0</v>
      </c>
      <c r="M596" t="n">
        <v>0</v>
      </c>
      <c r="N596" t="n">
        <v>0</v>
      </c>
      <c r="O596" t="n">
        <v>0</v>
      </c>
      <c r="P596" t="n">
        <v>0</v>
      </c>
      <c r="Q596" t="n">
        <v>0</v>
      </c>
      <c r="R596" s="2" t="inlineStr"/>
    </row>
    <row r="597" ht="15" customHeight="1">
      <c r="A597" t="inlineStr">
        <is>
          <t>A 61239-2022</t>
        </is>
      </c>
      <c r="B597" s="1" t="n">
        <v>44909</v>
      </c>
      <c r="C597" s="1" t="n">
        <v>45706</v>
      </c>
      <c r="D597" t="inlineStr">
        <is>
          <t>JÄMTLANDS LÄN</t>
        </is>
      </c>
      <c r="E597" t="inlineStr">
        <is>
          <t>BERG</t>
        </is>
      </c>
      <c r="G597" t="n">
        <v>13.5</v>
      </c>
      <c r="H597" t="n">
        <v>0</v>
      </c>
      <c r="I597" t="n">
        <v>0</v>
      </c>
      <c r="J597" t="n">
        <v>0</v>
      </c>
      <c r="K597" t="n">
        <v>0</v>
      </c>
      <c r="L597" t="n">
        <v>0</v>
      </c>
      <c r="M597" t="n">
        <v>0</v>
      </c>
      <c r="N597" t="n">
        <v>0</v>
      </c>
      <c r="O597" t="n">
        <v>0</v>
      </c>
      <c r="P597" t="n">
        <v>0</v>
      </c>
      <c r="Q597" t="n">
        <v>0</v>
      </c>
      <c r="R597" s="2" t="inlineStr"/>
    </row>
    <row r="598" ht="15" customHeight="1">
      <c r="A598" t="inlineStr">
        <is>
          <t>A 61255-2022</t>
        </is>
      </c>
      <c r="B598" s="1" t="n">
        <v>44909</v>
      </c>
      <c r="C598" s="1" t="n">
        <v>45706</v>
      </c>
      <c r="D598" t="inlineStr">
        <is>
          <t>JÄMTLANDS LÄN</t>
        </is>
      </c>
      <c r="E598" t="inlineStr">
        <is>
          <t>BERG</t>
        </is>
      </c>
      <c r="G598" t="n">
        <v>12</v>
      </c>
      <c r="H598" t="n">
        <v>0</v>
      </c>
      <c r="I598" t="n">
        <v>0</v>
      </c>
      <c r="J598" t="n">
        <v>0</v>
      </c>
      <c r="K598" t="n">
        <v>0</v>
      </c>
      <c r="L598" t="n">
        <v>0</v>
      </c>
      <c r="M598" t="n">
        <v>0</v>
      </c>
      <c r="N598" t="n">
        <v>0</v>
      </c>
      <c r="O598" t="n">
        <v>0</v>
      </c>
      <c r="P598" t="n">
        <v>0</v>
      </c>
      <c r="Q598" t="n">
        <v>0</v>
      </c>
      <c r="R598" s="2" t="inlineStr"/>
    </row>
    <row r="599" ht="15" customHeight="1">
      <c r="A599" t="inlineStr">
        <is>
          <t>A 60587-2022</t>
        </is>
      </c>
      <c r="B599" s="1" t="n">
        <v>44911</v>
      </c>
      <c r="C599" s="1" t="n">
        <v>45706</v>
      </c>
      <c r="D599" t="inlineStr">
        <is>
          <t>JÄMTLANDS LÄN</t>
        </is>
      </c>
      <c r="E599" t="inlineStr">
        <is>
          <t>BERG</t>
        </is>
      </c>
      <c r="G599" t="n">
        <v>4.8</v>
      </c>
      <c r="H599" t="n">
        <v>0</v>
      </c>
      <c r="I599" t="n">
        <v>0</v>
      </c>
      <c r="J599" t="n">
        <v>0</v>
      </c>
      <c r="K599" t="n">
        <v>0</v>
      </c>
      <c r="L599" t="n">
        <v>0</v>
      </c>
      <c r="M599" t="n">
        <v>0</v>
      </c>
      <c r="N599" t="n">
        <v>0</v>
      </c>
      <c r="O599" t="n">
        <v>0</v>
      </c>
      <c r="P599" t="n">
        <v>0</v>
      </c>
      <c r="Q599" t="n">
        <v>0</v>
      </c>
      <c r="R599" s="2" t="inlineStr"/>
    </row>
    <row r="600" ht="15" customHeight="1">
      <c r="A600" t="inlineStr">
        <is>
          <t>A 60668-2022</t>
        </is>
      </c>
      <c r="B600" s="1" t="n">
        <v>44911</v>
      </c>
      <c r="C600" s="1" t="n">
        <v>45706</v>
      </c>
      <c r="D600" t="inlineStr">
        <is>
          <t>JÄMTLANDS LÄN</t>
        </is>
      </c>
      <c r="E600" t="inlineStr">
        <is>
          <t>BERG</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60657-2022</t>
        </is>
      </c>
      <c r="B601" s="1" t="n">
        <v>44911</v>
      </c>
      <c r="C601" s="1" t="n">
        <v>45706</v>
      </c>
      <c r="D601" t="inlineStr">
        <is>
          <t>JÄMTLANDS LÄN</t>
        </is>
      </c>
      <c r="E601" t="inlineStr">
        <is>
          <t>BERG</t>
        </is>
      </c>
      <c r="G601" t="n">
        <v>11.7</v>
      </c>
      <c r="H601" t="n">
        <v>0</v>
      </c>
      <c r="I601" t="n">
        <v>0</v>
      </c>
      <c r="J601" t="n">
        <v>0</v>
      </c>
      <c r="K601" t="n">
        <v>0</v>
      </c>
      <c r="L601" t="n">
        <v>0</v>
      </c>
      <c r="M601" t="n">
        <v>0</v>
      </c>
      <c r="N601" t="n">
        <v>0</v>
      </c>
      <c r="O601" t="n">
        <v>0</v>
      </c>
      <c r="P601" t="n">
        <v>0</v>
      </c>
      <c r="Q601" t="n">
        <v>0</v>
      </c>
      <c r="R601" s="2" t="inlineStr"/>
    </row>
    <row r="602" ht="15" customHeight="1">
      <c r="A602" t="inlineStr">
        <is>
          <t>A 62153-2022</t>
        </is>
      </c>
      <c r="B602" s="1" t="n">
        <v>44914</v>
      </c>
      <c r="C602" s="1" t="n">
        <v>45706</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62147-2022</t>
        </is>
      </c>
      <c r="B603" s="1" t="n">
        <v>44914</v>
      </c>
      <c r="C603" s="1" t="n">
        <v>45706</v>
      </c>
      <c r="D603" t="inlineStr">
        <is>
          <t>JÄMTLANDS LÄN</t>
        </is>
      </c>
      <c r="E603" t="inlineStr">
        <is>
          <t>BERG</t>
        </is>
      </c>
      <c r="G603" t="n">
        <v>1.1</v>
      </c>
      <c r="H603" t="n">
        <v>0</v>
      </c>
      <c r="I603" t="n">
        <v>0</v>
      </c>
      <c r="J603" t="n">
        <v>0</v>
      </c>
      <c r="K603" t="n">
        <v>0</v>
      </c>
      <c r="L603" t="n">
        <v>0</v>
      </c>
      <c r="M603" t="n">
        <v>0</v>
      </c>
      <c r="N603" t="n">
        <v>0</v>
      </c>
      <c r="O603" t="n">
        <v>0</v>
      </c>
      <c r="P603" t="n">
        <v>0</v>
      </c>
      <c r="Q603" t="n">
        <v>0</v>
      </c>
      <c r="R603" s="2" t="inlineStr"/>
    </row>
    <row r="604" ht="15" customHeight="1">
      <c r="A604" t="inlineStr">
        <is>
          <t>A 62205-2022</t>
        </is>
      </c>
      <c r="B604" s="1" t="n">
        <v>44915</v>
      </c>
      <c r="C604" s="1" t="n">
        <v>45706</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61472-2022</t>
        </is>
      </c>
      <c r="B605" s="1" t="n">
        <v>44916</v>
      </c>
      <c r="C605" s="1" t="n">
        <v>45706</v>
      </c>
      <c r="D605" t="inlineStr">
        <is>
          <t>JÄMTLANDS LÄN</t>
        </is>
      </c>
      <c r="E605" t="inlineStr">
        <is>
          <t>BERG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61917-2022</t>
        </is>
      </c>
      <c r="B606" s="1" t="n">
        <v>44917</v>
      </c>
      <c r="C606" s="1" t="n">
        <v>45706</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62659-2022</t>
        </is>
      </c>
      <c r="B607" s="1" t="n">
        <v>44917</v>
      </c>
      <c r="C607" s="1" t="n">
        <v>45706</v>
      </c>
      <c r="D607" t="inlineStr">
        <is>
          <t>JÄMTLANDS LÄN</t>
        </is>
      </c>
      <c r="E607" t="inlineStr">
        <is>
          <t>BERG</t>
        </is>
      </c>
      <c r="G607" t="n">
        <v>10.3</v>
      </c>
      <c r="H607" t="n">
        <v>0</v>
      </c>
      <c r="I607" t="n">
        <v>0</v>
      </c>
      <c r="J607" t="n">
        <v>0</v>
      </c>
      <c r="K607" t="n">
        <v>0</v>
      </c>
      <c r="L607" t="n">
        <v>0</v>
      </c>
      <c r="M607" t="n">
        <v>0</v>
      </c>
      <c r="N607" t="n">
        <v>0</v>
      </c>
      <c r="O607" t="n">
        <v>0</v>
      </c>
      <c r="P607" t="n">
        <v>0</v>
      </c>
      <c r="Q607" t="n">
        <v>0</v>
      </c>
      <c r="R607" s="2" t="inlineStr"/>
    </row>
    <row r="608" ht="15" customHeight="1">
      <c r="A608" t="inlineStr">
        <is>
          <t>A 62029-2022</t>
        </is>
      </c>
      <c r="B608" s="1" t="n">
        <v>44918</v>
      </c>
      <c r="C608" s="1" t="n">
        <v>45706</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441-2023</t>
        </is>
      </c>
      <c r="B609" s="1" t="n">
        <v>44923</v>
      </c>
      <c r="C609" s="1" t="n">
        <v>45706</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433-2023</t>
        </is>
      </c>
      <c r="B610" s="1" t="n">
        <v>44923</v>
      </c>
      <c r="C610" s="1" t="n">
        <v>45706</v>
      </c>
      <c r="D610" t="inlineStr">
        <is>
          <t>JÄMTLANDS LÄN</t>
        </is>
      </c>
      <c r="E610" t="inlineStr">
        <is>
          <t>BERG</t>
        </is>
      </c>
      <c r="G610" t="n">
        <v>1.5</v>
      </c>
      <c r="H610" t="n">
        <v>0</v>
      </c>
      <c r="I610" t="n">
        <v>0</v>
      </c>
      <c r="J610" t="n">
        <v>0</v>
      </c>
      <c r="K610" t="n">
        <v>0</v>
      </c>
      <c r="L610" t="n">
        <v>0</v>
      </c>
      <c r="M610" t="n">
        <v>0</v>
      </c>
      <c r="N610" t="n">
        <v>0</v>
      </c>
      <c r="O610" t="n">
        <v>0</v>
      </c>
      <c r="P610" t="n">
        <v>0</v>
      </c>
      <c r="Q610" t="n">
        <v>0</v>
      </c>
      <c r="R610" s="2" t="inlineStr"/>
    </row>
    <row r="611" ht="15" customHeight="1">
      <c r="A611" t="inlineStr">
        <is>
          <t>A 442-2023</t>
        </is>
      </c>
      <c r="B611" s="1" t="n">
        <v>44923</v>
      </c>
      <c r="C611" s="1" t="n">
        <v>45706</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525-2023</t>
        </is>
      </c>
      <c r="B612" s="1" t="n">
        <v>44924</v>
      </c>
      <c r="C612" s="1" t="n">
        <v>45706</v>
      </c>
      <c r="D612" t="inlineStr">
        <is>
          <t>JÄMTLANDS LÄN</t>
        </is>
      </c>
      <c r="E612" t="inlineStr">
        <is>
          <t>BERG</t>
        </is>
      </c>
      <c r="G612" t="n">
        <v>4</v>
      </c>
      <c r="H612" t="n">
        <v>0</v>
      </c>
      <c r="I612" t="n">
        <v>0</v>
      </c>
      <c r="J612" t="n">
        <v>0</v>
      </c>
      <c r="K612" t="n">
        <v>0</v>
      </c>
      <c r="L612" t="n">
        <v>0</v>
      </c>
      <c r="M612" t="n">
        <v>0</v>
      </c>
      <c r="N612" t="n">
        <v>0</v>
      </c>
      <c r="O612" t="n">
        <v>0</v>
      </c>
      <c r="P612" t="n">
        <v>0</v>
      </c>
      <c r="Q612" t="n">
        <v>0</v>
      </c>
      <c r="R612" s="2" t="inlineStr"/>
    </row>
    <row r="613" ht="15" customHeight="1">
      <c r="A613" t="inlineStr">
        <is>
          <t>A 613-2023</t>
        </is>
      </c>
      <c r="B613" s="1" t="n">
        <v>44924</v>
      </c>
      <c r="C613" s="1" t="n">
        <v>45706</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461-2023</t>
        </is>
      </c>
      <c r="B614" s="1" t="n">
        <v>44929</v>
      </c>
      <c r="C614" s="1" t="n">
        <v>45706</v>
      </c>
      <c r="D614" t="inlineStr">
        <is>
          <t>JÄMTLANDS LÄN</t>
        </is>
      </c>
      <c r="E614" t="inlineStr">
        <is>
          <t>BERG</t>
        </is>
      </c>
      <c r="G614" t="n">
        <v>5.8</v>
      </c>
      <c r="H614" t="n">
        <v>0</v>
      </c>
      <c r="I614" t="n">
        <v>0</v>
      </c>
      <c r="J614" t="n">
        <v>0</v>
      </c>
      <c r="K614" t="n">
        <v>0</v>
      </c>
      <c r="L614" t="n">
        <v>0</v>
      </c>
      <c r="M614" t="n">
        <v>0</v>
      </c>
      <c r="N614" t="n">
        <v>0</v>
      </c>
      <c r="O614" t="n">
        <v>0</v>
      </c>
      <c r="P614" t="n">
        <v>0</v>
      </c>
      <c r="Q614" t="n">
        <v>0</v>
      </c>
      <c r="R614" s="2" t="inlineStr"/>
    </row>
    <row r="615" ht="15" customHeight="1">
      <c r="A615" t="inlineStr">
        <is>
          <t>A 2267-2023</t>
        </is>
      </c>
      <c r="B615" s="1" t="n">
        <v>44942</v>
      </c>
      <c r="C615" s="1" t="n">
        <v>45706</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3842-2023</t>
        </is>
      </c>
      <c r="B616" s="1" t="n">
        <v>44951</v>
      </c>
      <c r="C616" s="1" t="n">
        <v>45706</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7099-2023</t>
        </is>
      </c>
      <c r="B617" s="1" t="n">
        <v>44965</v>
      </c>
      <c r="C617" s="1" t="n">
        <v>45706</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7105-2023</t>
        </is>
      </c>
      <c r="B618" s="1" t="n">
        <v>44965</v>
      </c>
      <c r="C618" s="1" t="n">
        <v>45706</v>
      </c>
      <c r="D618" t="inlineStr">
        <is>
          <t>JÄMTLANDS LÄN</t>
        </is>
      </c>
      <c r="E618" t="inlineStr">
        <is>
          <t>BERG</t>
        </is>
      </c>
      <c r="G618" t="n">
        <v>3.2</v>
      </c>
      <c r="H618" t="n">
        <v>0</v>
      </c>
      <c r="I618" t="n">
        <v>0</v>
      </c>
      <c r="J618" t="n">
        <v>0</v>
      </c>
      <c r="K618" t="n">
        <v>0</v>
      </c>
      <c r="L618" t="n">
        <v>0</v>
      </c>
      <c r="M618" t="n">
        <v>0</v>
      </c>
      <c r="N618" t="n">
        <v>0</v>
      </c>
      <c r="O618" t="n">
        <v>0</v>
      </c>
      <c r="P618" t="n">
        <v>0</v>
      </c>
      <c r="Q618" t="n">
        <v>0</v>
      </c>
      <c r="R618" s="2" t="inlineStr"/>
    </row>
    <row r="619" ht="15" customHeight="1">
      <c r="A619" t="inlineStr">
        <is>
          <t>A 7488-2023</t>
        </is>
      </c>
      <c r="B619" s="1" t="n">
        <v>44966</v>
      </c>
      <c r="C619" s="1" t="n">
        <v>45706</v>
      </c>
      <c r="D619" t="inlineStr">
        <is>
          <t>JÄMTLANDS LÄN</t>
        </is>
      </c>
      <c r="E619" t="inlineStr">
        <is>
          <t>BERG</t>
        </is>
      </c>
      <c r="G619" t="n">
        <v>19.5</v>
      </c>
      <c r="H619" t="n">
        <v>0</v>
      </c>
      <c r="I619" t="n">
        <v>0</v>
      </c>
      <c r="J619" t="n">
        <v>0</v>
      </c>
      <c r="K619" t="n">
        <v>0</v>
      </c>
      <c r="L619" t="n">
        <v>0</v>
      </c>
      <c r="M619" t="n">
        <v>0</v>
      </c>
      <c r="N619" t="n">
        <v>0</v>
      </c>
      <c r="O619" t="n">
        <v>0</v>
      </c>
      <c r="P619" t="n">
        <v>0</v>
      </c>
      <c r="Q619" t="n">
        <v>0</v>
      </c>
      <c r="R619" s="2" t="inlineStr"/>
    </row>
    <row r="620" ht="15" customHeight="1">
      <c r="A620" t="inlineStr">
        <is>
          <t>A 7463-2023</t>
        </is>
      </c>
      <c r="B620" s="1" t="n">
        <v>44966</v>
      </c>
      <c r="C620" s="1" t="n">
        <v>45706</v>
      </c>
      <c r="D620" t="inlineStr">
        <is>
          <t>JÄMTLANDS LÄN</t>
        </is>
      </c>
      <c r="E620" t="inlineStr">
        <is>
          <t>BERG</t>
        </is>
      </c>
      <c r="G620" t="n">
        <v>13.1</v>
      </c>
      <c r="H620" t="n">
        <v>0</v>
      </c>
      <c r="I620" t="n">
        <v>0</v>
      </c>
      <c r="J620" t="n">
        <v>0</v>
      </c>
      <c r="K620" t="n">
        <v>0</v>
      </c>
      <c r="L620" t="n">
        <v>0</v>
      </c>
      <c r="M620" t="n">
        <v>0</v>
      </c>
      <c r="N620" t="n">
        <v>0</v>
      </c>
      <c r="O620" t="n">
        <v>0</v>
      </c>
      <c r="P620" t="n">
        <v>0</v>
      </c>
      <c r="Q620" t="n">
        <v>0</v>
      </c>
      <c r="R620" s="2" t="inlineStr"/>
    </row>
    <row r="621" ht="15" customHeight="1">
      <c r="A621" t="inlineStr">
        <is>
          <t>A 7483-2023</t>
        </is>
      </c>
      <c r="B621" s="1" t="n">
        <v>44966</v>
      </c>
      <c r="C621" s="1" t="n">
        <v>45706</v>
      </c>
      <c r="D621" t="inlineStr">
        <is>
          <t>JÄMTLANDS LÄN</t>
        </is>
      </c>
      <c r="E621" t="inlineStr">
        <is>
          <t>BERG</t>
        </is>
      </c>
      <c r="G621" t="n">
        <v>20.1</v>
      </c>
      <c r="H621" t="n">
        <v>0</v>
      </c>
      <c r="I621" t="n">
        <v>0</v>
      </c>
      <c r="J621" t="n">
        <v>0</v>
      </c>
      <c r="K621" t="n">
        <v>0</v>
      </c>
      <c r="L621" t="n">
        <v>0</v>
      </c>
      <c r="M621" t="n">
        <v>0</v>
      </c>
      <c r="N621" t="n">
        <v>0</v>
      </c>
      <c r="O621" t="n">
        <v>0</v>
      </c>
      <c r="P621" t="n">
        <v>0</v>
      </c>
      <c r="Q621" t="n">
        <v>0</v>
      </c>
      <c r="R621" s="2" t="inlineStr"/>
    </row>
    <row r="622" ht="15" customHeight="1">
      <c r="A622" t="inlineStr">
        <is>
          <t>A 7802-2023</t>
        </is>
      </c>
      <c r="B622" s="1" t="n">
        <v>44973</v>
      </c>
      <c r="C622" s="1" t="n">
        <v>45706</v>
      </c>
      <c r="D622" t="inlineStr">
        <is>
          <t>JÄMTLANDS LÄN</t>
        </is>
      </c>
      <c r="E622" t="inlineStr">
        <is>
          <t>BERG</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8251-2023</t>
        </is>
      </c>
      <c r="B623" s="1" t="n">
        <v>44974</v>
      </c>
      <c r="C623" s="1" t="n">
        <v>45706</v>
      </c>
      <c r="D623" t="inlineStr">
        <is>
          <t>JÄMTLANDS LÄN</t>
        </is>
      </c>
      <c r="E623" t="inlineStr">
        <is>
          <t>BERG</t>
        </is>
      </c>
      <c r="G623" t="n">
        <v>1.7</v>
      </c>
      <c r="H623" t="n">
        <v>0</v>
      </c>
      <c r="I623" t="n">
        <v>0</v>
      </c>
      <c r="J623" t="n">
        <v>0</v>
      </c>
      <c r="K623" t="n">
        <v>0</v>
      </c>
      <c r="L623" t="n">
        <v>0</v>
      </c>
      <c r="M623" t="n">
        <v>0</v>
      </c>
      <c r="N623" t="n">
        <v>0</v>
      </c>
      <c r="O623" t="n">
        <v>0</v>
      </c>
      <c r="P623" t="n">
        <v>0</v>
      </c>
      <c r="Q623" t="n">
        <v>0</v>
      </c>
      <c r="R623" s="2" t="inlineStr"/>
    </row>
    <row r="624" ht="15" customHeight="1">
      <c r="A624" t="inlineStr">
        <is>
          <t>A 8413-2023</t>
        </is>
      </c>
      <c r="B624" s="1" t="n">
        <v>44977</v>
      </c>
      <c r="C624" s="1" t="n">
        <v>45706</v>
      </c>
      <c r="D624" t="inlineStr">
        <is>
          <t>JÄMTLANDS LÄN</t>
        </is>
      </c>
      <c r="E624" t="inlineStr">
        <is>
          <t>BERG</t>
        </is>
      </c>
      <c r="F624" t="inlineStr">
        <is>
          <t>Kyrkan</t>
        </is>
      </c>
      <c r="G624" t="n">
        <v>10.1</v>
      </c>
      <c r="H624" t="n">
        <v>0</v>
      </c>
      <c r="I624" t="n">
        <v>0</v>
      </c>
      <c r="J624" t="n">
        <v>0</v>
      </c>
      <c r="K624" t="n">
        <v>0</v>
      </c>
      <c r="L624" t="n">
        <v>0</v>
      </c>
      <c r="M624" t="n">
        <v>0</v>
      </c>
      <c r="N624" t="n">
        <v>0</v>
      </c>
      <c r="O624" t="n">
        <v>0</v>
      </c>
      <c r="P624" t="n">
        <v>0</v>
      </c>
      <c r="Q624" t="n">
        <v>0</v>
      </c>
      <c r="R624" s="2" t="inlineStr"/>
    </row>
    <row r="625" ht="15" customHeight="1">
      <c r="A625" t="inlineStr">
        <is>
          <t>A 8624-2023</t>
        </is>
      </c>
      <c r="B625" s="1" t="n">
        <v>44977</v>
      </c>
      <c r="C625" s="1" t="n">
        <v>45706</v>
      </c>
      <c r="D625" t="inlineStr">
        <is>
          <t>JÄMTLANDS LÄN</t>
        </is>
      </c>
      <c r="E625" t="inlineStr">
        <is>
          <t>BERG</t>
        </is>
      </c>
      <c r="F625" t="inlineStr">
        <is>
          <t>Kyrkan</t>
        </is>
      </c>
      <c r="G625" t="n">
        <v>7</v>
      </c>
      <c r="H625" t="n">
        <v>0</v>
      </c>
      <c r="I625" t="n">
        <v>0</v>
      </c>
      <c r="J625" t="n">
        <v>0</v>
      </c>
      <c r="K625" t="n">
        <v>0</v>
      </c>
      <c r="L625" t="n">
        <v>0</v>
      </c>
      <c r="M625" t="n">
        <v>0</v>
      </c>
      <c r="N625" t="n">
        <v>0</v>
      </c>
      <c r="O625" t="n">
        <v>0</v>
      </c>
      <c r="P625" t="n">
        <v>0</v>
      </c>
      <c r="Q625" t="n">
        <v>0</v>
      </c>
      <c r="R625" s="2" t="inlineStr"/>
    </row>
    <row r="626" ht="15" customHeight="1">
      <c r="A626" t="inlineStr">
        <is>
          <t>A 9077-2023</t>
        </is>
      </c>
      <c r="B626" s="1" t="n">
        <v>44979</v>
      </c>
      <c r="C626" s="1" t="n">
        <v>45706</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10226-2023</t>
        </is>
      </c>
      <c r="B627" s="1" t="n">
        <v>44980</v>
      </c>
      <c r="C627" s="1" t="n">
        <v>45706</v>
      </c>
      <c r="D627" t="inlineStr">
        <is>
          <t>JÄMTLANDS LÄN</t>
        </is>
      </c>
      <c r="E627" t="inlineStr">
        <is>
          <t>BERG</t>
        </is>
      </c>
      <c r="G627" t="n">
        <v>12.1</v>
      </c>
      <c r="H627" t="n">
        <v>0</v>
      </c>
      <c r="I627" t="n">
        <v>0</v>
      </c>
      <c r="J627" t="n">
        <v>0</v>
      </c>
      <c r="K627" t="n">
        <v>0</v>
      </c>
      <c r="L627" t="n">
        <v>0</v>
      </c>
      <c r="M627" t="n">
        <v>0</v>
      </c>
      <c r="N627" t="n">
        <v>0</v>
      </c>
      <c r="O627" t="n">
        <v>0</v>
      </c>
      <c r="P627" t="n">
        <v>0</v>
      </c>
      <c r="Q627" t="n">
        <v>0</v>
      </c>
      <c r="R627" s="2" t="inlineStr"/>
    </row>
    <row r="628" ht="15" customHeight="1">
      <c r="A628" t="inlineStr">
        <is>
          <t>A 10254-2023</t>
        </is>
      </c>
      <c r="B628" s="1" t="n">
        <v>44980</v>
      </c>
      <c r="C628" s="1" t="n">
        <v>45706</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10255-2023</t>
        </is>
      </c>
      <c r="B629" s="1" t="n">
        <v>44980</v>
      </c>
      <c r="C629" s="1" t="n">
        <v>45706</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10125-2023</t>
        </is>
      </c>
      <c r="B630" s="1" t="n">
        <v>44986</v>
      </c>
      <c r="C630" s="1" t="n">
        <v>45706</v>
      </c>
      <c r="D630" t="inlineStr">
        <is>
          <t>JÄMTLANDS LÄN</t>
        </is>
      </c>
      <c r="E630" t="inlineStr">
        <is>
          <t>BERG</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10138-2023</t>
        </is>
      </c>
      <c r="B631" s="1" t="n">
        <v>44986</v>
      </c>
      <c r="C631" s="1" t="n">
        <v>45706</v>
      </c>
      <c r="D631" t="inlineStr">
        <is>
          <t>JÄMTLANDS LÄN</t>
        </is>
      </c>
      <c r="E631" t="inlineStr">
        <is>
          <t>BERG</t>
        </is>
      </c>
      <c r="F631" t="inlineStr">
        <is>
          <t>Holmen skog AB</t>
        </is>
      </c>
      <c r="G631" t="n">
        <v>7.5</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v>
      </c>
      <c r="C632" s="1" t="n">
        <v>45706</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10495-2023</t>
        </is>
      </c>
      <c r="B633" s="1" t="n">
        <v>44987</v>
      </c>
      <c r="C633" s="1" t="n">
        <v>45706</v>
      </c>
      <c r="D633" t="inlineStr">
        <is>
          <t>JÄMTLANDS LÄN</t>
        </is>
      </c>
      <c r="E633" t="inlineStr">
        <is>
          <t>BERG</t>
        </is>
      </c>
      <c r="G633" t="n">
        <v>12.8</v>
      </c>
      <c r="H633" t="n">
        <v>0</v>
      </c>
      <c r="I633" t="n">
        <v>0</v>
      </c>
      <c r="J633" t="n">
        <v>0</v>
      </c>
      <c r="K633" t="n">
        <v>0</v>
      </c>
      <c r="L633" t="n">
        <v>0</v>
      </c>
      <c r="M633" t="n">
        <v>0</v>
      </c>
      <c r="N633" t="n">
        <v>0</v>
      </c>
      <c r="O633" t="n">
        <v>0</v>
      </c>
      <c r="P633" t="n">
        <v>0</v>
      </c>
      <c r="Q633" t="n">
        <v>0</v>
      </c>
      <c r="R633" s="2" t="inlineStr"/>
    </row>
    <row r="634" ht="15" customHeight="1">
      <c r="A634" t="inlineStr">
        <is>
          <t>A 10478-2023</t>
        </is>
      </c>
      <c r="B634" s="1" t="n">
        <v>44987</v>
      </c>
      <c r="C634" s="1" t="n">
        <v>45706</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11185-2023</t>
        </is>
      </c>
      <c r="B635" s="1" t="n">
        <v>44987</v>
      </c>
      <c r="C635" s="1" t="n">
        <v>45706</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11702-2023</t>
        </is>
      </c>
      <c r="B636" s="1" t="n">
        <v>44994</v>
      </c>
      <c r="C636" s="1" t="n">
        <v>45706</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11697-2023</t>
        </is>
      </c>
      <c r="B637" s="1" t="n">
        <v>44994</v>
      </c>
      <c r="C637" s="1" t="n">
        <v>45706</v>
      </c>
      <c r="D637" t="inlineStr">
        <is>
          <t>JÄMTLANDS LÄN</t>
        </is>
      </c>
      <c r="E637" t="inlineStr">
        <is>
          <t>BERG</t>
        </is>
      </c>
      <c r="G637" t="n">
        <v>8.9</v>
      </c>
      <c r="H637" t="n">
        <v>0</v>
      </c>
      <c r="I637" t="n">
        <v>0</v>
      </c>
      <c r="J637" t="n">
        <v>0</v>
      </c>
      <c r="K637" t="n">
        <v>0</v>
      </c>
      <c r="L637" t="n">
        <v>0</v>
      </c>
      <c r="M637" t="n">
        <v>0</v>
      </c>
      <c r="N637" t="n">
        <v>0</v>
      </c>
      <c r="O637" t="n">
        <v>0</v>
      </c>
      <c r="P637" t="n">
        <v>0</v>
      </c>
      <c r="Q637" t="n">
        <v>0</v>
      </c>
      <c r="R637" s="2" t="inlineStr"/>
    </row>
    <row r="638" ht="15" customHeight="1">
      <c r="A638" t="inlineStr">
        <is>
          <t>A 11704-2023</t>
        </is>
      </c>
      <c r="B638" s="1" t="n">
        <v>44994</v>
      </c>
      <c r="C638" s="1" t="n">
        <v>45706</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11948-2023</t>
        </is>
      </c>
      <c r="B639" s="1" t="n">
        <v>44994</v>
      </c>
      <c r="C639" s="1" t="n">
        <v>45706</v>
      </c>
      <c r="D639" t="inlineStr">
        <is>
          <t>JÄMTLANDS LÄN</t>
        </is>
      </c>
      <c r="E639" t="inlineStr">
        <is>
          <t>BERG</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12342-2023</t>
        </is>
      </c>
      <c r="B640" s="1" t="n">
        <v>44998</v>
      </c>
      <c r="C640" s="1" t="n">
        <v>45706</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12636-2023</t>
        </is>
      </c>
      <c r="B641" s="1" t="n">
        <v>44999</v>
      </c>
      <c r="C641" s="1" t="n">
        <v>45706</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12774-2023</t>
        </is>
      </c>
      <c r="B642" s="1" t="n">
        <v>45001</v>
      </c>
      <c r="C642" s="1" t="n">
        <v>45706</v>
      </c>
      <c r="D642" t="inlineStr">
        <is>
          <t>JÄMTLANDS LÄN</t>
        </is>
      </c>
      <c r="E642" t="inlineStr">
        <is>
          <t>BERG</t>
        </is>
      </c>
      <c r="G642" t="n">
        <v>0.7</v>
      </c>
      <c r="H642" t="n">
        <v>0</v>
      </c>
      <c r="I642" t="n">
        <v>0</v>
      </c>
      <c r="J642" t="n">
        <v>0</v>
      </c>
      <c r="K642" t="n">
        <v>0</v>
      </c>
      <c r="L642" t="n">
        <v>0</v>
      </c>
      <c r="M642" t="n">
        <v>0</v>
      </c>
      <c r="N642" t="n">
        <v>0</v>
      </c>
      <c r="O642" t="n">
        <v>0</v>
      </c>
      <c r="P642" t="n">
        <v>0</v>
      </c>
      <c r="Q642" t="n">
        <v>0</v>
      </c>
      <c r="R642" s="2" t="inlineStr"/>
    </row>
    <row r="643" ht="15" customHeight="1">
      <c r="A643" t="inlineStr">
        <is>
          <t>A 14160-2023</t>
        </is>
      </c>
      <c r="B643" s="1" t="n">
        <v>45008</v>
      </c>
      <c r="C643" s="1" t="n">
        <v>45706</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14153-2023</t>
        </is>
      </c>
      <c r="B644" s="1" t="n">
        <v>45008</v>
      </c>
      <c r="C644" s="1" t="n">
        <v>45706</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14192-2023</t>
        </is>
      </c>
      <c r="B645" s="1" t="n">
        <v>45009</v>
      </c>
      <c r="C645" s="1" t="n">
        <v>45706</v>
      </c>
      <c r="D645" t="inlineStr">
        <is>
          <t>JÄMTLANDS LÄN</t>
        </is>
      </c>
      <c r="E645" t="inlineStr">
        <is>
          <t>BERG</t>
        </is>
      </c>
      <c r="G645" t="n">
        <v>4.7</v>
      </c>
      <c r="H645" t="n">
        <v>0</v>
      </c>
      <c r="I645" t="n">
        <v>0</v>
      </c>
      <c r="J645" t="n">
        <v>0</v>
      </c>
      <c r="K645" t="n">
        <v>0</v>
      </c>
      <c r="L645" t="n">
        <v>0</v>
      </c>
      <c r="M645" t="n">
        <v>0</v>
      </c>
      <c r="N645" t="n">
        <v>0</v>
      </c>
      <c r="O645" t="n">
        <v>0</v>
      </c>
      <c r="P645" t="n">
        <v>0</v>
      </c>
      <c r="Q645" t="n">
        <v>0</v>
      </c>
      <c r="R645" s="2" t="inlineStr"/>
    </row>
    <row r="646" ht="15" customHeight="1">
      <c r="A646" t="inlineStr">
        <is>
          <t>A 14190-2023</t>
        </is>
      </c>
      <c r="B646" s="1" t="n">
        <v>45009</v>
      </c>
      <c r="C646" s="1" t="n">
        <v>45706</v>
      </c>
      <c r="D646" t="inlineStr">
        <is>
          <t>JÄMTLANDS LÄN</t>
        </is>
      </c>
      <c r="E646" t="inlineStr">
        <is>
          <t>BERG</t>
        </is>
      </c>
      <c r="G646" t="n">
        <v>3.8</v>
      </c>
      <c r="H646" t="n">
        <v>0</v>
      </c>
      <c r="I646" t="n">
        <v>0</v>
      </c>
      <c r="J646" t="n">
        <v>0</v>
      </c>
      <c r="K646" t="n">
        <v>0</v>
      </c>
      <c r="L646" t="n">
        <v>0</v>
      </c>
      <c r="M646" t="n">
        <v>0</v>
      </c>
      <c r="N646" t="n">
        <v>0</v>
      </c>
      <c r="O646" t="n">
        <v>0</v>
      </c>
      <c r="P646" t="n">
        <v>0</v>
      </c>
      <c r="Q646" t="n">
        <v>0</v>
      </c>
      <c r="R646" s="2" t="inlineStr"/>
    </row>
    <row r="647" ht="15" customHeight="1">
      <c r="A647" t="inlineStr">
        <is>
          <t>A 14198-2023</t>
        </is>
      </c>
      <c r="B647" s="1" t="n">
        <v>45009</v>
      </c>
      <c r="C647" s="1" t="n">
        <v>45706</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14663-2023</t>
        </is>
      </c>
      <c r="B648" s="1" t="n">
        <v>45014</v>
      </c>
      <c r="C648" s="1" t="n">
        <v>45706</v>
      </c>
      <c r="D648" t="inlineStr">
        <is>
          <t>JÄMTLANDS LÄN</t>
        </is>
      </c>
      <c r="E648" t="inlineStr">
        <is>
          <t>BERG</t>
        </is>
      </c>
      <c r="G648" t="n">
        <v>4.2</v>
      </c>
      <c r="H648" t="n">
        <v>0</v>
      </c>
      <c r="I648" t="n">
        <v>0</v>
      </c>
      <c r="J648" t="n">
        <v>0</v>
      </c>
      <c r="K648" t="n">
        <v>0</v>
      </c>
      <c r="L648" t="n">
        <v>0</v>
      </c>
      <c r="M648" t="n">
        <v>0</v>
      </c>
      <c r="N648" t="n">
        <v>0</v>
      </c>
      <c r="O648" t="n">
        <v>0</v>
      </c>
      <c r="P648" t="n">
        <v>0</v>
      </c>
      <c r="Q648" t="n">
        <v>0</v>
      </c>
      <c r="R648" s="2" t="inlineStr"/>
    </row>
    <row r="649" ht="15" customHeight="1">
      <c r="A649" t="inlineStr">
        <is>
          <t>A 15409-2023</t>
        </is>
      </c>
      <c r="B649" s="1" t="n">
        <v>45016</v>
      </c>
      <c r="C649" s="1" t="n">
        <v>45706</v>
      </c>
      <c r="D649" t="inlineStr">
        <is>
          <t>JÄMTLANDS LÄN</t>
        </is>
      </c>
      <c r="E649" t="inlineStr">
        <is>
          <t>BERG</t>
        </is>
      </c>
      <c r="G649" t="n">
        <v>10.7</v>
      </c>
      <c r="H649" t="n">
        <v>0</v>
      </c>
      <c r="I649" t="n">
        <v>0</v>
      </c>
      <c r="J649" t="n">
        <v>0</v>
      </c>
      <c r="K649" t="n">
        <v>0</v>
      </c>
      <c r="L649" t="n">
        <v>0</v>
      </c>
      <c r="M649" t="n">
        <v>0</v>
      </c>
      <c r="N649" t="n">
        <v>0</v>
      </c>
      <c r="O649" t="n">
        <v>0</v>
      </c>
      <c r="P649" t="n">
        <v>0</v>
      </c>
      <c r="Q649" t="n">
        <v>0</v>
      </c>
      <c r="R649" s="2" t="inlineStr"/>
    </row>
    <row r="650" ht="15" customHeight="1">
      <c r="A650" t="inlineStr">
        <is>
          <t>A 15624-2023</t>
        </is>
      </c>
      <c r="B650" s="1" t="n">
        <v>45021</v>
      </c>
      <c r="C650" s="1" t="n">
        <v>45706</v>
      </c>
      <c r="D650" t="inlineStr">
        <is>
          <t>JÄMTLANDS LÄN</t>
        </is>
      </c>
      <c r="E650" t="inlineStr">
        <is>
          <t>BERG</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16491-2023</t>
        </is>
      </c>
      <c r="B651" s="1" t="n">
        <v>45027</v>
      </c>
      <c r="C651" s="1" t="n">
        <v>45706</v>
      </c>
      <c r="D651" t="inlineStr">
        <is>
          <t>JÄMTLANDS LÄN</t>
        </is>
      </c>
      <c r="E651" t="inlineStr">
        <is>
          <t>BERG</t>
        </is>
      </c>
      <c r="G651" t="n">
        <v>2.5</v>
      </c>
      <c r="H651" t="n">
        <v>0</v>
      </c>
      <c r="I651" t="n">
        <v>0</v>
      </c>
      <c r="J651" t="n">
        <v>0</v>
      </c>
      <c r="K651" t="n">
        <v>0</v>
      </c>
      <c r="L651" t="n">
        <v>0</v>
      </c>
      <c r="M651" t="n">
        <v>0</v>
      </c>
      <c r="N651" t="n">
        <v>0</v>
      </c>
      <c r="O651" t="n">
        <v>0</v>
      </c>
      <c r="P651" t="n">
        <v>0</v>
      </c>
      <c r="Q651" t="n">
        <v>0</v>
      </c>
      <c r="R651" s="2" t="inlineStr"/>
    </row>
    <row r="652" ht="15" customHeight="1">
      <c r="A652" t="inlineStr">
        <is>
          <t>A 16245-2023</t>
        </is>
      </c>
      <c r="B652" s="1" t="n">
        <v>45028</v>
      </c>
      <c r="C652" s="1" t="n">
        <v>45706</v>
      </c>
      <c r="D652" t="inlineStr">
        <is>
          <t>JÄMTLANDS LÄN</t>
        </is>
      </c>
      <c r="E652" t="inlineStr">
        <is>
          <t>BERG</t>
        </is>
      </c>
      <c r="G652" t="n">
        <v>16.2</v>
      </c>
      <c r="H652" t="n">
        <v>0</v>
      </c>
      <c r="I652" t="n">
        <v>0</v>
      </c>
      <c r="J652" t="n">
        <v>0</v>
      </c>
      <c r="K652" t="n">
        <v>0</v>
      </c>
      <c r="L652" t="n">
        <v>0</v>
      </c>
      <c r="M652" t="n">
        <v>0</v>
      </c>
      <c r="N652" t="n">
        <v>0</v>
      </c>
      <c r="O652" t="n">
        <v>0</v>
      </c>
      <c r="P652" t="n">
        <v>0</v>
      </c>
      <c r="Q652" t="n">
        <v>0</v>
      </c>
      <c r="R652" s="2" t="inlineStr"/>
    </row>
    <row r="653" ht="15" customHeight="1">
      <c r="A653" t="inlineStr">
        <is>
          <t>A 18217-2023</t>
        </is>
      </c>
      <c r="B653" s="1" t="n">
        <v>45040</v>
      </c>
      <c r="C653" s="1" t="n">
        <v>45706</v>
      </c>
      <c r="D653" t="inlineStr">
        <is>
          <t>JÄMTLANDS LÄN</t>
        </is>
      </c>
      <c r="E653" t="inlineStr">
        <is>
          <t>BERG</t>
        </is>
      </c>
      <c r="G653" t="n">
        <v>4.5</v>
      </c>
      <c r="H653" t="n">
        <v>0</v>
      </c>
      <c r="I653" t="n">
        <v>0</v>
      </c>
      <c r="J653" t="n">
        <v>0</v>
      </c>
      <c r="K653" t="n">
        <v>0</v>
      </c>
      <c r="L653" t="n">
        <v>0</v>
      </c>
      <c r="M653" t="n">
        <v>0</v>
      </c>
      <c r="N653" t="n">
        <v>0</v>
      </c>
      <c r="O653" t="n">
        <v>0</v>
      </c>
      <c r="P653" t="n">
        <v>0</v>
      </c>
      <c r="Q653" t="n">
        <v>0</v>
      </c>
      <c r="R653" s="2" t="inlineStr"/>
    </row>
    <row r="654" ht="15" customHeight="1">
      <c r="A654" t="inlineStr">
        <is>
          <t>A 18497-2023</t>
        </is>
      </c>
      <c r="B654" s="1" t="n">
        <v>45042</v>
      </c>
      <c r="C654" s="1" t="n">
        <v>45706</v>
      </c>
      <c r="D654" t="inlineStr">
        <is>
          <t>JÄMTLANDS LÄN</t>
        </is>
      </c>
      <c r="E654" t="inlineStr">
        <is>
          <t>BERG</t>
        </is>
      </c>
      <c r="G654" t="n">
        <v>2.4</v>
      </c>
      <c r="H654" t="n">
        <v>0</v>
      </c>
      <c r="I654" t="n">
        <v>0</v>
      </c>
      <c r="J654" t="n">
        <v>0</v>
      </c>
      <c r="K654" t="n">
        <v>0</v>
      </c>
      <c r="L654" t="n">
        <v>0</v>
      </c>
      <c r="M654" t="n">
        <v>0</v>
      </c>
      <c r="N654" t="n">
        <v>0</v>
      </c>
      <c r="O654" t="n">
        <v>0</v>
      </c>
      <c r="P654" t="n">
        <v>0</v>
      </c>
      <c r="Q654" t="n">
        <v>0</v>
      </c>
      <c r="R654" s="2" t="inlineStr"/>
    </row>
    <row r="655" ht="15" customHeight="1">
      <c r="A655" t="inlineStr">
        <is>
          <t>A 18872-2023</t>
        </is>
      </c>
      <c r="B655" s="1" t="n">
        <v>45042</v>
      </c>
      <c r="C655" s="1" t="n">
        <v>45706</v>
      </c>
      <c r="D655" t="inlineStr">
        <is>
          <t>JÄMTLANDS LÄN</t>
        </is>
      </c>
      <c r="E655" t="inlineStr">
        <is>
          <t>BERG</t>
        </is>
      </c>
      <c r="G655" t="n">
        <v>13.2</v>
      </c>
      <c r="H655" t="n">
        <v>0</v>
      </c>
      <c r="I655" t="n">
        <v>0</v>
      </c>
      <c r="J655" t="n">
        <v>0</v>
      </c>
      <c r="K655" t="n">
        <v>0</v>
      </c>
      <c r="L655" t="n">
        <v>0</v>
      </c>
      <c r="M655" t="n">
        <v>0</v>
      </c>
      <c r="N655" t="n">
        <v>0</v>
      </c>
      <c r="O655" t="n">
        <v>0</v>
      </c>
      <c r="P655" t="n">
        <v>0</v>
      </c>
      <c r="Q655" t="n">
        <v>0</v>
      </c>
      <c r="R655" s="2" t="inlineStr"/>
    </row>
    <row r="656" ht="15" customHeight="1">
      <c r="A656" t="inlineStr">
        <is>
          <t>A 19325-2023</t>
        </is>
      </c>
      <c r="B656" s="1" t="n">
        <v>45048</v>
      </c>
      <c r="C656" s="1" t="n">
        <v>45706</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19538-2023</t>
        </is>
      </c>
      <c r="B657" s="1" t="n">
        <v>45050</v>
      </c>
      <c r="C657" s="1" t="n">
        <v>45706</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19529-2023</t>
        </is>
      </c>
      <c r="B658" s="1" t="n">
        <v>45050</v>
      </c>
      <c r="C658" s="1" t="n">
        <v>45706</v>
      </c>
      <c r="D658" t="inlineStr">
        <is>
          <t>JÄMTLANDS LÄN</t>
        </is>
      </c>
      <c r="E658" t="inlineStr">
        <is>
          <t>BERG</t>
        </is>
      </c>
      <c r="G658" t="n">
        <v>3.7</v>
      </c>
      <c r="H658" t="n">
        <v>0</v>
      </c>
      <c r="I658" t="n">
        <v>0</v>
      </c>
      <c r="J658" t="n">
        <v>0</v>
      </c>
      <c r="K658" t="n">
        <v>0</v>
      </c>
      <c r="L658" t="n">
        <v>0</v>
      </c>
      <c r="M658" t="n">
        <v>0</v>
      </c>
      <c r="N658" t="n">
        <v>0</v>
      </c>
      <c r="O658" t="n">
        <v>0</v>
      </c>
      <c r="P658" t="n">
        <v>0</v>
      </c>
      <c r="Q658" t="n">
        <v>0</v>
      </c>
      <c r="R658" s="2" t="inlineStr"/>
    </row>
    <row r="659" ht="15" customHeight="1">
      <c r="A659" t="inlineStr">
        <is>
          <t>A 19535-2023</t>
        </is>
      </c>
      <c r="B659" s="1" t="n">
        <v>45050</v>
      </c>
      <c r="C659" s="1" t="n">
        <v>45706</v>
      </c>
      <c r="D659" t="inlineStr">
        <is>
          <t>JÄMTLANDS LÄN</t>
        </is>
      </c>
      <c r="E659" t="inlineStr">
        <is>
          <t>BERG</t>
        </is>
      </c>
      <c r="G659" t="n">
        <v>10</v>
      </c>
      <c r="H659" t="n">
        <v>0</v>
      </c>
      <c r="I659" t="n">
        <v>0</v>
      </c>
      <c r="J659" t="n">
        <v>0</v>
      </c>
      <c r="K659" t="n">
        <v>0</v>
      </c>
      <c r="L659" t="n">
        <v>0</v>
      </c>
      <c r="M659" t="n">
        <v>0</v>
      </c>
      <c r="N659" t="n">
        <v>0</v>
      </c>
      <c r="O659" t="n">
        <v>0</v>
      </c>
      <c r="P659" t="n">
        <v>0</v>
      </c>
      <c r="Q659" t="n">
        <v>0</v>
      </c>
      <c r="R659" s="2" t="inlineStr"/>
    </row>
    <row r="660" ht="15" customHeight="1">
      <c r="A660" t="inlineStr">
        <is>
          <t>A 20882-2023</t>
        </is>
      </c>
      <c r="B660" s="1" t="n">
        <v>45058</v>
      </c>
      <c r="C660" s="1" t="n">
        <v>45706</v>
      </c>
      <c r="D660" t="inlineStr">
        <is>
          <t>JÄMTLANDS LÄN</t>
        </is>
      </c>
      <c r="E660" t="inlineStr">
        <is>
          <t>BERG</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20899-2023</t>
        </is>
      </c>
      <c r="B661" s="1" t="n">
        <v>45060</v>
      </c>
      <c r="C661" s="1" t="n">
        <v>45706</v>
      </c>
      <c r="D661" t="inlineStr">
        <is>
          <t>JÄMTLANDS LÄN</t>
        </is>
      </c>
      <c r="E661" t="inlineStr">
        <is>
          <t>BERG</t>
        </is>
      </c>
      <c r="G661" t="n">
        <v>1.9</v>
      </c>
      <c r="H661" t="n">
        <v>0</v>
      </c>
      <c r="I661" t="n">
        <v>0</v>
      </c>
      <c r="J661" t="n">
        <v>0</v>
      </c>
      <c r="K661" t="n">
        <v>0</v>
      </c>
      <c r="L661" t="n">
        <v>0</v>
      </c>
      <c r="M661" t="n">
        <v>0</v>
      </c>
      <c r="N661" t="n">
        <v>0</v>
      </c>
      <c r="O661" t="n">
        <v>0</v>
      </c>
      <c r="P661" t="n">
        <v>0</v>
      </c>
      <c r="Q661" t="n">
        <v>0</v>
      </c>
      <c r="R661" s="2" t="inlineStr"/>
    </row>
    <row r="662" ht="15" customHeight="1">
      <c r="A662" t="inlineStr">
        <is>
          <t>A 21679-2023</t>
        </is>
      </c>
      <c r="B662" s="1" t="n">
        <v>45064</v>
      </c>
      <c r="C662" s="1" t="n">
        <v>45706</v>
      </c>
      <c r="D662" t="inlineStr">
        <is>
          <t>JÄMTLANDS LÄN</t>
        </is>
      </c>
      <c r="E662" t="inlineStr">
        <is>
          <t>BERG</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21717-2023</t>
        </is>
      </c>
      <c r="B663" s="1" t="n">
        <v>45063</v>
      </c>
      <c r="C663" s="1" t="n">
        <v>45706</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22950-2023</t>
        </is>
      </c>
      <c r="B664" s="1" t="n">
        <v>45072</v>
      </c>
      <c r="C664" s="1" t="n">
        <v>45706</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22991-2023</t>
        </is>
      </c>
      <c r="B665" s="1" t="n">
        <v>45073</v>
      </c>
      <c r="C665" s="1" t="n">
        <v>45706</v>
      </c>
      <c r="D665" t="inlineStr">
        <is>
          <t>JÄMTLANDS LÄN</t>
        </is>
      </c>
      <c r="E665" t="inlineStr">
        <is>
          <t>BERG</t>
        </is>
      </c>
      <c r="G665" t="n">
        <v>4.1</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45706</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24310-2023</t>
        </is>
      </c>
      <c r="B667" s="1" t="n">
        <v>45079</v>
      </c>
      <c r="C667" s="1" t="n">
        <v>45706</v>
      </c>
      <c r="D667" t="inlineStr">
        <is>
          <t>JÄMTLANDS LÄN</t>
        </is>
      </c>
      <c r="E667" t="inlineStr">
        <is>
          <t>BERG</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24307-2023</t>
        </is>
      </c>
      <c r="B668" s="1" t="n">
        <v>45080</v>
      </c>
      <c r="C668" s="1" t="n">
        <v>45706</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25507-2023</t>
        </is>
      </c>
      <c r="B669" s="1" t="n">
        <v>45082</v>
      </c>
      <c r="C669" s="1" t="n">
        <v>45706</v>
      </c>
      <c r="D669" t="inlineStr">
        <is>
          <t>JÄMTLANDS LÄN</t>
        </is>
      </c>
      <c r="E669" t="inlineStr">
        <is>
          <t>BERG</t>
        </is>
      </c>
      <c r="G669" t="n">
        <v>7</v>
      </c>
      <c r="H669" t="n">
        <v>0</v>
      </c>
      <c r="I669" t="n">
        <v>0</v>
      </c>
      <c r="J669" t="n">
        <v>0</v>
      </c>
      <c r="K669" t="n">
        <v>0</v>
      </c>
      <c r="L669" t="n">
        <v>0</v>
      </c>
      <c r="M669" t="n">
        <v>0</v>
      </c>
      <c r="N669" t="n">
        <v>0</v>
      </c>
      <c r="O669" t="n">
        <v>0</v>
      </c>
      <c r="P669" t="n">
        <v>0</v>
      </c>
      <c r="Q669" t="n">
        <v>0</v>
      </c>
      <c r="R669" s="2" t="inlineStr"/>
    </row>
    <row r="670" ht="15" customHeight="1">
      <c r="A670" t="inlineStr">
        <is>
          <t>A 24542-2023</t>
        </is>
      </c>
      <c r="B670" s="1" t="n">
        <v>45082</v>
      </c>
      <c r="C670" s="1" t="n">
        <v>45706</v>
      </c>
      <c r="D670" t="inlineStr">
        <is>
          <t>JÄMTLANDS LÄN</t>
        </is>
      </c>
      <c r="E670" t="inlineStr">
        <is>
          <t>BERG</t>
        </is>
      </c>
      <c r="F670" t="inlineStr">
        <is>
          <t>SCA</t>
        </is>
      </c>
      <c r="G670" t="n">
        <v>12.1</v>
      </c>
      <c r="H670" t="n">
        <v>0</v>
      </c>
      <c r="I670" t="n">
        <v>0</v>
      </c>
      <c r="J670" t="n">
        <v>0</v>
      </c>
      <c r="K670" t="n">
        <v>0</v>
      </c>
      <c r="L670" t="n">
        <v>0</v>
      </c>
      <c r="M670" t="n">
        <v>0</v>
      </c>
      <c r="N670" t="n">
        <v>0</v>
      </c>
      <c r="O670" t="n">
        <v>0</v>
      </c>
      <c r="P670" t="n">
        <v>0</v>
      </c>
      <c r="Q670" t="n">
        <v>0</v>
      </c>
      <c r="R670" s="2" t="inlineStr"/>
    </row>
    <row r="671" ht="15" customHeight="1">
      <c r="A671" t="inlineStr">
        <is>
          <t>A 25565-2023</t>
        </is>
      </c>
      <c r="B671" s="1" t="n">
        <v>45082</v>
      </c>
      <c r="C671" s="1" t="n">
        <v>45706</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25306-2023</t>
        </is>
      </c>
      <c r="B672" s="1" t="n">
        <v>45086</v>
      </c>
      <c r="C672" s="1" t="n">
        <v>45706</v>
      </c>
      <c r="D672" t="inlineStr">
        <is>
          <t>JÄMTLANDS LÄN</t>
        </is>
      </c>
      <c r="E672" t="inlineStr">
        <is>
          <t>BERG</t>
        </is>
      </c>
      <c r="G672" t="n">
        <v>23.3</v>
      </c>
      <c r="H672" t="n">
        <v>0</v>
      </c>
      <c r="I672" t="n">
        <v>0</v>
      </c>
      <c r="J672" t="n">
        <v>0</v>
      </c>
      <c r="K672" t="n">
        <v>0</v>
      </c>
      <c r="L672" t="n">
        <v>0</v>
      </c>
      <c r="M672" t="n">
        <v>0</v>
      </c>
      <c r="N672" t="n">
        <v>0</v>
      </c>
      <c r="O672" t="n">
        <v>0</v>
      </c>
      <c r="P672" t="n">
        <v>0</v>
      </c>
      <c r="Q672" t="n">
        <v>0</v>
      </c>
      <c r="R672" s="2" t="inlineStr"/>
    </row>
    <row r="673" ht="15" customHeight="1">
      <c r="A673" t="inlineStr">
        <is>
          <t>A 26011-2023</t>
        </is>
      </c>
      <c r="B673" s="1" t="n">
        <v>45091</v>
      </c>
      <c r="C673" s="1" t="n">
        <v>45706</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26009-2023</t>
        </is>
      </c>
      <c r="B674" s="1" t="n">
        <v>45091</v>
      </c>
      <c r="C674" s="1" t="n">
        <v>45706</v>
      </c>
      <c r="D674" t="inlineStr">
        <is>
          <t>JÄMTLANDS LÄN</t>
        </is>
      </c>
      <c r="E674" t="inlineStr">
        <is>
          <t>BERG</t>
        </is>
      </c>
      <c r="F674" t="inlineStr">
        <is>
          <t>SCA</t>
        </is>
      </c>
      <c r="G674" t="n">
        <v>10.9</v>
      </c>
      <c r="H674" t="n">
        <v>0</v>
      </c>
      <c r="I674" t="n">
        <v>0</v>
      </c>
      <c r="J674" t="n">
        <v>0</v>
      </c>
      <c r="K674" t="n">
        <v>0</v>
      </c>
      <c r="L674" t="n">
        <v>0</v>
      </c>
      <c r="M674" t="n">
        <v>0</v>
      </c>
      <c r="N674" t="n">
        <v>0</v>
      </c>
      <c r="O674" t="n">
        <v>0</v>
      </c>
      <c r="P674" t="n">
        <v>0</v>
      </c>
      <c r="Q674" t="n">
        <v>0</v>
      </c>
      <c r="R674" s="2" t="inlineStr"/>
    </row>
    <row r="675" ht="15" customHeight="1">
      <c r="A675" t="inlineStr">
        <is>
          <t>A 25990-2023</t>
        </is>
      </c>
      <c r="B675" s="1" t="n">
        <v>45091</v>
      </c>
      <c r="C675" s="1" t="n">
        <v>45706</v>
      </c>
      <c r="D675" t="inlineStr">
        <is>
          <t>JÄMTLANDS LÄN</t>
        </is>
      </c>
      <c r="E675" t="inlineStr">
        <is>
          <t>BERG</t>
        </is>
      </c>
      <c r="G675" t="n">
        <v>0.8</v>
      </c>
      <c r="H675" t="n">
        <v>0</v>
      </c>
      <c r="I675" t="n">
        <v>0</v>
      </c>
      <c r="J675" t="n">
        <v>0</v>
      </c>
      <c r="K675" t="n">
        <v>0</v>
      </c>
      <c r="L675" t="n">
        <v>0</v>
      </c>
      <c r="M675" t="n">
        <v>0</v>
      </c>
      <c r="N675" t="n">
        <v>0</v>
      </c>
      <c r="O675" t="n">
        <v>0</v>
      </c>
      <c r="P675" t="n">
        <v>0</v>
      </c>
      <c r="Q675" t="n">
        <v>0</v>
      </c>
      <c r="R675" s="2" t="inlineStr"/>
    </row>
    <row r="676" ht="15" customHeight="1">
      <c r="A676" t="inlineStr">
        <is>
          <t>A 26010-2023</t>
        </is>
      </c>
      <c r="B676" s="1" t="n">
        <v>45091</v>
      </c>
      <c r="C676" s="1" t="n">
        <v>45706</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26008-2023</t>
        </is>
      </c>
      <c r="B677" s="1" t="n">
        <v>45091</v>
      </c>
      <c r="C677" s="1" t="n">
        <v>45706</v>
      </c>
      <c r="D677" t="inlineStr">
        <is>
          <t>JÄMTLANDS LÄN</t>
        </is>
      </c>
      <c r="E677" t="inlineStr">
        <is>
          <t>BERG</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26652-2023</t>
        </is>
      </c>
      <c r="B678" s="1" t="n">
        <v>45093</v>
      </c>
      <c r="C678" s="1" t="n">
        <v>45706</v>
      </c>
      <c r="D678" t="inlineStr">
        <is>
          <t>JÄMTLANDS LÄN</t>
        </is>
      </c>
      <c r="E678" t="inlineStr">
        <is>
          <t>BERG</t>
        </is>
      </c>
      <c r="G678" t="n">
        <v>2.7</v>
      </c>
      <c r="H678" t="n">
        <v>0</v>
      </c>
      <c r="I678" t="n">
        <v>0</v>
      </c>
      <c r="J678" t="n">
        <v>0</v>
      </c>
      <c r="K678" t="n">
        <v>0</v>
      </c>
      <c r="L678" t="n">
        <v>0</v>
      </c>
      <c r="M678" t="n">
        <v>0</v>
      </c>
      <c r="N678" t="n">
        <v>0</v>
      </c>
      <c r="O678" t="n">
        <v>0</v>
      </c>
      <c r="P678" t="n">
        <v>0</v>
      </c>
      <c r="Q678" t="n">
        <v>0</v>
      </c>
      <c r="R678" s="2" t="inlineStr"/>
    </row>
    <row r="679" ht="15" customHeight="1">
      <c r="A679" t="inlineStr">
        <is>
          <t>A 27239-2023</t>
        </is>
      </c>
      <c r="B679" s="1" t="n">
        <v>45092</v>
      </c>
      <c r="C679" s="1" t="n">
        <v>45706</v>
      </c>
      <c r="D679" t="inlineStr">
        <is>
          <t>JÄMTLANDS LÄN</t>
        </is>
      </c>
      <c r="E679" t="inlineStr">
        <is>
          <t>BERG</t>
        </is>
      </c>
      <c r="G679" t="n">
        <v>5.3</v>
      </c>
      <c r="H679" t="n">
        <v>0</v>
      </c>
      <c r="I679" t="n">
        <v>0</v>
      </c>
      <c r="J679" t="n">
        <v>0</v>
      </c>
      <c r="K679" t="n">
        <v>0</v>
      </c>
      <c r="L679" t="n">
        <v>0</v>
      </c>
      <c r="M679" t="n">
        <v>0</v>
      </c>
      <c r="N679" t="n">
        <v>0</v>
      </c>
      <c r="O679" t="n">
        <v>0</v>
      </c>
      <c r="P679" t="n">
        <v>0</v>
      </c>
      <c r="Q679" t="n">
        <v>0</v>
      </c>
      <c r="R679" s="2" t="inlineStr"/>
    </row>
    <row r="680" ht="15" customHeight="1">
      <c r="A680" t="inlineStr">
        <is>
          <t>A 27377-2023</t>
        </is>
      </c>
      <c r="B680" s="1" t="n">
        <v>45096</v>
      </c>
      <c r="C680" s="1" t="n">
        <v>45706</v>
      </c>
      <c r="D680" t="inlineStr">
        <is>
          <t>JÄMTLANDS LÄN</t>
        </is>
      </c>
      <c r="E680" t="inlineStr">
        <is>
          <t>BERG</t>
        </is>
      </c>
      <c r="F680" t="inlineStr">
        <is>
          <t>SCA</t>
        </is>
      </c>
      <c r="G680" t="n">
        <v>25.3</v>
      </c>
      <c r="H680" t="n">
        <v>0</v>
      </c>
      <c r="I680" t="n">
        <v>0</v>
      </c>
      <c r="J680" t="n">
        <v>0</v>
      </c>
      <c r="K680" t="n">
        <v>0</v>
      </c>
      <c r="L680" t="n">
        <v>0</v>
      </c>
      <c r="M680" t="n">
        <v>0</v>
      </c>
      <c r="N680" t="n">
        <v>0</v>
      </c>
      <c r="O680" t="n">
        <v>0</v>
      </c>
      <c r="P680" t="n">
        <v>0</v>
      </c>
      <c r="Q680" t="n">
        <v>0</v>
      </c>
      <c r="R680" s="2" t="inlineStr"/>
    </row>
    <row r="681" ht="15" customHeight="1">
      <c r="A681" t="inlineStr">
        <is>
          <t>A 27376-2023</t>
        </is>
      </c>
      <c r="B681" s="1" t="n">
        <v>45097</v>
      </c>
      <c r="C681" s="1" t="n">
        <v>45706</v>
      </c>
      <c r="D681" t="inlineStr">
        <is>
          <t>JÄMTLANDS LÄN</t>
        </is>
      </c>
      <c r="E681" t="inlineStr">
        <is>
          <t>BERG</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29143-2023</t>
        </is>
      </c>
      <c r="B682" s="1" t="n">
        <v>45097</v>
      </c>
      <c r="C682" s="1" t="n">
        <v>45706</v>
      </c>
      <c r="D682" t="inlineStr">
        <is>
          <t>JÄMTLANDS LÄN</t>
        </is>
      </c>
      <c r="E682" t="inlineStr">
        <is>
          <t>BERG</t>
        </is>
      </c>
      <c r="G682" t="n">
        <v>3.1</v>
      </c>
      <c r="H682" t="n">
        <v>0</v>
      </c>
      <c r="I682" t="n">
        <v>0</v>
      </c>
      <c r="J682" t="n">
        <v>0</v>
      </c>
      <c r="K682" t="n">
        <v>0</v>
      </c>
      <c r="L682" t="n">
        <v>0</v>
      </c>
      <c r="M682" t="n">
        <v>0</v>
      </c>
      <c r="N682" t="n">
        <v>0</v>
      </c>
      <c r="O682" t="n">
        <v>0</v>
      </c>
      <c r="P682" t="n">
        <v>0</v>
      </c>
      <c r="Q682" t="n">
        <v>0</v>
      </c>
      <c r="R682" s="2" t="inlineStr"/>
    </row>
    <row r="683" ht="15" customHeight="1">
      <c r="A683" t="inlineStr">
        <is>
          <t>A 29078-2023</t>
        </is>
      </c>
      <c r="B683" s="1" t="n">
        <v>45097</v>
      </c>
      <c r="C683" s="1" t="n">
        <v>45706</v>
      </c>
      <c r="D683" t="inlineStr">
        <is>
          <t>JÄMTLANDS LÄN</t>
        </is>
      </c>
      <c r="E683" t="inlineStr">
        <is>
          <t>BERG</t>
        </is>
      </c>
      <c r="G683" t="n">
        <v>5.9</v>
      </c>
      <c r="H683" t="n">
        <v>0</v>
      </c>
      <c r="I683" t="n">
        <v>0</v>
      </c>
      <c r="J683" t="n">
        <v>0</v>
      </c>
      <c r="K683" t="n">
        <v>0</v>
      </c>
      <c r="L683" t="n">
        <v>0</v>
      </c>
      <c r="M683" t="n">
        <v>0</v>
      </c>
      <c r="N683" t="n">
        <v>0</v>
      </c>
      <c r="O683" t="n">
        <v>0</v>
      </c>
      <c r="P683" t="n">
        <v>0</v>
      </c>
      <c r="Q683" t="n">
        <v>0</v>
      </c>
      <c r="R683" s="2" t="inlineStr"/>
    </row>
    <row r="684" ht="15" customHeight="1">
      <c r="A684" t="inlineStr">
        <is>
          <t>A 28009-2023</t>
        </is>
      </c>
      <c r="B684" s="1" t="n">
        <v>45098</v>
      </c>
      <c r="C684" s="1" t="n">
        <v>45706</v>
      </c>
      <c r="D684" t="inlineStr">
        <is>
          <t>JÄMTLANDS LÄN</t>
        </is>
      </c>
      <c r="E684" t="inlineStr">
        <is>
          <t>BERG</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28363-2023</t>
        </is>
      </c>
      <c r="B685" s="1" t="n">
        <v>45100</v>
      </c>
      <c r="C685" s="1" t="n">
        <v>45706</v>
      </c>
      <c r="D685" t="inlineStr">
        <is>
          <t>JÄMTLANDS LÄN</t>
        </is>
      </c>
      <c r="E685" t="inlineStr">
        <is>
          <t>BERG</t>
        </is>
      </c>
      <c r="G685" t="n">
        <v>18.1</v>
      </c>
      <c r="H685" t="n">
        <v>0</v>
      </c>
      <c r="I685" t="n">
        <v>0</v>
      </c>
      <c r="J685" t="n">
        <v>0</v>
      </c>
      <c r="K685" t="n">
        <v>0</v>
      </c>
      <c r="L685" t="n">
        <v>0</v>
      </c>
      <c r="M685" t="n">
        <v>0</v>
      </c>
      <c r="N685" t="n">
        <v>0</v>
      </c>
      <c r="O685" t="n">
        <v>0</v>
      </c>
      <c r="P685" t="n">
        <v>0</v>
      </c>
      <c r="Q685" t="n">
        <v>0</v>
      </c>
      <c r="R685" s="2" t="inlineStr"/>
    </row>
    <row r="686" ht="15" customHeight="1">
      <c r="A686" t="inlineStr">
        <is>
          <t>A 30191-2023</t>
        </is>
      </c>
      <c r="B686" s="1" t="n">
        <v>45099</v>
      </c>
      <c r="C686" s="1" t="n">
        <v>45706</v>
      </c>
      <c r="D686" t="inlineStr">
        <is>
          <t>JÄMTLANDS LÄN</t>
        </is>
      </c>
      <c r="E686" t="inlineStr">
        <is>
          <t>BERG</t>
        </is>
      </c>
      <c r="G686" t="n">
        <v>6.4</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45706</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45706</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45706</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45706</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45706</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45706</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45706</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45706</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45706</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45706</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45706</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45706</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45706</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45706</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45706</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45706</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45706</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45706</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45706</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45706</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45706</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45706</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45706</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45706</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45706</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45706</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45706</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45706</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45706</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45706</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45706</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45706</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45706</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45706</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45706</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45706</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45706</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45706</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45706</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45706</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45706</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45706</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45706</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45706</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45706</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45706</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45706</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45706</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45706</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45706</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45706</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45706</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45706</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45706</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45706</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45706</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45706</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45706</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45706</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45706</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45706</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45706</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45706</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45706</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45706</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45706</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45706</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45706</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45706</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45706</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45706</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45706</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45706</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45706</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45706</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45706</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45706</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45706</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45706</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45706</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45706</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45706</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45706</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45706</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45706</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45706</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45706</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45706</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45706</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45706</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45706</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45706</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45706</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45706</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45706</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45706</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45706</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45706</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45706</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45706</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45706</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45706</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45706</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45706</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45706</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45706</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45706</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45706</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45706</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45706</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45706</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45706</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45706</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45706</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45706</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45706</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45706</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45706</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45706</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45706</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45706</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45706</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45706</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45706</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45706</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45706</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45706</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45706</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45706</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45706</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45706</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45706</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45706</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45706</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45706</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45706</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45706</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45706</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45706</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45706</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45706</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45706</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45706</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45706</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45706</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45706</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45706</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45706</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45706</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45706</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45706</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45706</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45706</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45706</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45706</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45706</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45706</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45706</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45706</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45706</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45706</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45706</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45706</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45706</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45706</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45706</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45706</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45706</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45706</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45706</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45706</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45706</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45706</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45706</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45706</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45706</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45706</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45706</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45706</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45706</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45706</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45706</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45706</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45706</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45706</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45706</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45706</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45706</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45706</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45706</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45706</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45706</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45706</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45706</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45706</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45706</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45706</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45706</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45706</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45706</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45706</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45706</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45706</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45706</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45706</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45706</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45706</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45706</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45706</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45706</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45706</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45706</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45706</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45706</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45706</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45706</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45706</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45706</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45706</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45706</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45706</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45706</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45706</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45706</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45706</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45706</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45706</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45706</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45706</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45706</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45706</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45706</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45706</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45706</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45706</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45706</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45706</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45706</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45706</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45706</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45706</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45706</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45706</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45706</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45706</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45706</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45706</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45706</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45706</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45706</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45706</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45706</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45706</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45706</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45706</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45706</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45706</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45706</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45706</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45706</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45706</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45706</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45706</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45706</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45706</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45706</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45706</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45706</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45706</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45706</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45706</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45706</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45706</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45706</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45706</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45706</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45706</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45706</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45706</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45706</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45706</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45706</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45706</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45706</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45706</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45706</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45706</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45706</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45706</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45706</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45706</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45706</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45706</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45706</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45706</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45706</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45706</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45706</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45706</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45706</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45706</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45706</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45706</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45706</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45706</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45706</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45706</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45706</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45706</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45706</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45706</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45706</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45706</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45706</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45706</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45706</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45706</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45706</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45706</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45706</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45706</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45706</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45706</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45706</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45706</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45706</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45706</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45706</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45706</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45706</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45706</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45706</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45706</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45706</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45706</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45706</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45706</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45706</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45706</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45706</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45706</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45706</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45706</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45706</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45706</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45706</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45706</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45706</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45706</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45706</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45706</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45706</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45706</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45706</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45706</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45706</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45706</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45706</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45706</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45706</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45706</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45706</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45706</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45706</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45706</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45706</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45706</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45706</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45706</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45706</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45706</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45706</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45706</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45706</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45706</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45706</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45706</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45706</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45706</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45706</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45706</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45706</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45706</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45706</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45706</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45706</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45706</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45706</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45706</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45706</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45706</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45706</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45706</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45706</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45706</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45706</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45706</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45706</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45706</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45706</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45706</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45706</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45706</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45706</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45706</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45706</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45706</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45706</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45706</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45706</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45706</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45706</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45706</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45706</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45706</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45706</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45706</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45706</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45706</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45706</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45706</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45706</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45706</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45706</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45706</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45706</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45706</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45706</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45706</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45706</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45706</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45706</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45706</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45706</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45706</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45706</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45706</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45706</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45706</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45706</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45706</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45706</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45706</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45706</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45706</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45706</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45706</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45706</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45706</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45706</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45706</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45706</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45706</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45706</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45706</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45706</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45706</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45706</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45706</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45706</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45706</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45706</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45706</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45706</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45706</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45706</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45706</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45706</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45706</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45706</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45706</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45706</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45706</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45706</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45706</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45706</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45706</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45706</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45706</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45706</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45706</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45706</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45706</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45706</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45706</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45706</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45706</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45706</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45706</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45706</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45706</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45706</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45706</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45706</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45706</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45706</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45706</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45706</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45706</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45706</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45706</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45706</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45706</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45706</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45706</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45706</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45706</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45706</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45706</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45706</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45706</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45706</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45706</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45706</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45706</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45706</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45706</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45706</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45706</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45706</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45706</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45706</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45706</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45706</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45706</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45706</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45706</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45706</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45706</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45706</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45706</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45706</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45706</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45706</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45706</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45706</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45706</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45706</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45706</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45706</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45706</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45706</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45706</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45706</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45706</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45706</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45706</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45706</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45706</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45706</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45706</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45706</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45706</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45706</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45706</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45706</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45706</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45706</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45706</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45706</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45706</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45706</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45706</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45706</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45706</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45706</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45706</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45706</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45706</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45706</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45706</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45706</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45706</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45706</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45706</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45706</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1496-2025</t>
        </is>
      </c>
      <c r="B1263" s="1" t="n">
        <v>45670</v>
      </c>
      <c r="C1263" s="1" t="n">
        <v>45706</v>
      </c>
      <c r="D1263" t="inlineStr">
        <is>
          <t>JÄMTLANDS LÄN</t>
        </is>
      </c>
      <c r="E1263" t="inlineStr">
        <is>
          <t>BERG</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45706</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45706</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45706</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2474-2025</t>
        </is>
      </c>
      <c r="B1267" s="1" t="n">
        <v>45674</v>
      </c>
      <c r="C1267" s="1" t="n">
        <v>45706</v>
      </c>
      <c r="D1267" t="inlineStr">
        <is>
          <t>JÄMTLANDS LÄN</t>
        </is>
      </c>
      <c r="E1267" t="inlineStr">
        <is>
          <t>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2472-2025</t>
        </is>
      </c>
      <c r="B1268" s="1" t="n">
        <v>45674</v>
      </c>
      <c r="C1268" s="1" t="n">
        <v>45706</v>
      </c>
      <c r="D1268" t="inlineStr">
        <is>
          <t>JÄMTLANDS LÄN</t>
        </is>
      </c>
      <c r="E1268" t="inlineStr">
        <is>
          <t>BERG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45706</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3027-2025</t>
        </is>
      </c>
      <c r="B1270" s="1" t="n">
        <v>45678</v>
      </c>
      <c r="C1270" s="1" t="n">
        <v>45706</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45706</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45706</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45706</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45706</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3964-2025</t>
        </is>
      </c>
      <c r="B1275" s="1" t="n">
        <v>45684</v>
      </c>
      <c r="C1275" s="1" t="n">
        <v>45706</v>
      </c>
      <c r="D1275" t="inlineStr">
        <is>
          <t>JÄMTLANDS LÄN</t>
        </is>
      </c>
      <c r="E1275" t="inlineStr">
        <is>
          <t>BERG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3984-2025</t>
        </is>
      </c>
      <c r="B1276" s="1" t="n">
        <v>45684</v>
      </c>
      <c r="C1276" s="1" t="n">
        <v>45706</v>
      </c>
      <c r="D1276" t="inlineStr">
        <is>
          <t>JÄMTLANDS LÄN</t>
        </is>
      </c>
      <c r="E1276" t="inlineStr">
        <is>
          <t>BERG</t>
        </is>
      </c>
      <c r="F1276" t="inlineStr">
        <is>
          <t>SCA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45706</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3946-2025</t>
        </is>
      </c>
      <c r="B1278" s="1" t="n">
        <v>45684</v>
      </c>
      <c r="C1278" s="1" t="n">
        <v>45706</v>
      </c>
      <c r="D1278" t="inlineStr">
        <is>
          <t>JÄMTLANDS LÄN</t>
        </is>
      </c>
      <c r="E1278" t="inlineStr">
        <is>
          <t>BERG</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4259-2025</t>
        </is>
      </c>
      <c r="B1279" s="1" t="n">
        <v>45685</v>
      </c>
      <c r="C1279" s="1" t="n">
        <v>45706</v>
      </c>
      <c r="D1279" t="inlineStr">
        <is>
          <t>JÄMTLANDS LÄN</t>
        </is>
      </c>
      <c r="E1279" t="inlineStr">
        <is>
          <t>BERG</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45706</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4527-2025</t>
        </is>
      </c>
      <c r="B1281" s="1" t="n">
        <v>45686</v>
      </c>
      <c r="C1281" s="1" t="n">
        <v>45706</v>
      </c>
      <c r="D1281" t="inlineStr">
        <is>
          <t>JÄMTLANDS LÄN</t>
        </is>
      </c>
      <c r="E1281" t="inlineStr">
        <is>
          <t>BERG</t>
        </is>
      </c>
      <c r="G1281" t="n">
        <v>17.8</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45706</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45706</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45706</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45706</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45706</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5644-2025</t>
        </is>
      </c>
      <c r="B1287" s="1" t="n">
        <v>45693</v>
      </c>
      <c r="C1287" s="1" t="n">
        <v>45706</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6645-2025</t>
        </is>
      </c>
      <c r="B1288" s="1" t="n">
        <v>45700</v>
      </c>
      <c r="C1288" s="1" t="n">
        <v>45706</v>
      </c>
      <c r="D1288" t="inlineStr">
        <is>
          <t>JÄMTLANDS LÄN</t>
        </is>
      </c>
      <c r="E1288" t="inlineStr">
        <is>
          <t>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6982-2025</t>
        </is>
      </c>
      <c r="B1289" s="1" t="n">
        <v>45701</v>
      </c>
      <c r="C1289" s="1" t="n">
        <v>45706</v>
      </c>
      <c r="D1289" t="inlineStr">
        <is>
          <t>JÄMTLANDS LÄN</t>
        </is>
      </c>
      <c r="E1289" t="inlineStr">
        <is>
          <t>BERG</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7049-2025</t>
        </is>
      </c>
      <c r="B1290" s="1" t="n">
        <v>45701</v>
      </c>
      <c r="C1290" s="1" t="n">
        <v>45706</v>
      </c>
      <c r="D1290" t="inlineStr">
        <is>
          <t>JÄMTLANDS LÄN</t>
        </is>
      </c>
      <c r="E1290" t="inlineStr">
        <is>
          <t>BERG</t>
        </is>
      </c>
      <c r="G1290" t="n">
        <v>5.5</v>
      </c>
      <c r="H1290" t="n">
        <v>0</v>
      </c>
      <c r="I1290" t="n">
        <v>0</v>
      </c>
      <c r="J1290" t="n">
        <v>0</v>
      </c>
      <c r="K1290" t="n">
        <v>0</v>
      </c>
      <c r="L1290" t="n">
        <v>0</v>
      </c>
      <c r="M1290" t="n">
        <v>0</v>
      </c>
      <c r="N1290" t="n">
        <v>0</v>
      </c>
      <c r="O1290" t="n">
        <v>0</v>
      </c>
      <c r="P1290" t="n">
        <v>0</v>
      </c>
      <c r="Q1290" t="n">
        <v>0</v>
      </c>
      <c r="R1290" s="2" t="inlineStr"/>
    </row>
    <row r="1291">
      <c r="A1291" t="inlineStr">
        <is>
          <t>A 7021-2025</t>
        </is>
      </c>
      <c r="B1291" s="1" t="n">
        <v>45701</v>
      </c>
      <c r="C1291" s="1" t="n">
        <v>45706</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2025-02-18T16:13:45Z</dcterms:created>
  <dcterms:modified xmlns:dcterms="http://purl.org/dc/terms/" xmlns:xsi="http://www.w3.org/2001/XMLSchema-instance" xsi:type="dcterms:W3CDTF">2025-02-18T16:13:46Z</dcterms:modified>
</cp:coreProperties>
</file>