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46037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46037</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46037</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46037</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46037</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46037</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46037</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33400-2024</t>
        </is>
      </c>
      <c r="B21" s="1" t="n">
        <v>45519</v>
      </c>
      <c r="C21" s="1" t="n">
        <v>46037</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46037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46037</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46037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46037</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46037</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46037</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46037</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46037</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46037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46037</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46037</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46037</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46037</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46037</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46037</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7483-2023</t>
        </is>
      </c>
      <c r="B40" s="1" t="n">
        <v>44966</v>
      </c>
      <c r="C40" s="1" t="n">
        <v>46037</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49797-2025</t>
        </is>
      </c>
      <c r="B41" s="1" t="n">
        <v>45940.40804398148</v>
      </c>
      <c r="C41" s="1" t="n">
        <v>46037</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43991-2023</t>
        </is>
      </c>
      <c r="B42" s="1" t="n">
        <v>45187</v>
      </c>
      <c r="C42" s="1" t="n">
        <v>46037</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39288-2025</t>
        </is>
      </c>
      <c r="B43" s="1" t="n">
        <v>45889</v>
      </c>
      <c r="C43" s="1" t="n">
        <v>46037</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46037</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46037</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46037</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46037</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46037</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46037</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46037</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46037</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46037</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46037</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46037</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46037</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46037</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46037</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46037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46037</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46037</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46037</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46037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46037</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46037</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46037</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12966-2024</t>
        </is>
      </c>
      <c r="B66" s="1" t="n">
        <v>45385</v>
      </c>
      <c r="C66" s="1" t="n">
        <v>46037</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56203-2021</t>
        </is>
      </c>
      <c r="B67" s="1" t="n">
        <v>44477</v>
      </c>
      <c r="C67" s="1" t="n">
        <v>46037</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46037</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19530-2025</t>
        </is>
      </c>
      <c r="B69" s="1" t="n">
        <v>45770.46903935185</v>
      </c>
      <c r="C69" s="1" t="n">
        <v>46037</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46037</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46037</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46037</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25871-2025</t>
        </is>
      </c>
      <c r="B73" s="1" t="n">
        <v>45804.4903125</v>
      </c>
      <c r="C73" s="1" t="n">
        <v>46037</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12962-2024</t>
        </is>
      </c>
      <c r="B74" s="1" t="n">
        <v>45385.49314814815</v>
      </c>
      <c r="C74" s="1" t="n">
        <v>46037</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46037</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27574-2025</t>
        </is>
      </c>
      <c r="B76" s="1" t="n">
        <v>45813.49072916667</v>
      </c>
      <c r="C76" s="1" t="n">
        <v>46037</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27100-2025</t>
        </is>
      </c>
      <c r="B77" s="1" t="n">
        <v>45811.67803240741</v>
      </c>
      <c r="C77" s="1" t="n">
        <v>46037</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31715-2025</t>
        </is>
      </c>
      <c r="B78" s="1" t="n">
        <v>45834.45671296296</v>
      </c>
      <c r="C78" s="1" t="n">
        <v>46037</v>
      </c>
      <c r="D78" t="inlineStr">
        <is>
          <t>JÄMTLANDS LÄN</t>
        </is>
      </c>
      <c r="E78" t="inlineStr">
        <is>
          <t>BERG</t>
        </is>
      </c>
      <c r="G78" t="n">
        <v>1.6</v>
      </c>
      <c r="H78" t="n">
        <v>1</v>
      </c>
      <c r="I78" t="n">
        <v>1</v>
      </c>
      <c r="J78" t="n">
        <v>2</v>
      </c>
      <c r="K78" t="n">
        <v>1</v>
      </c>
      <c r="L78" t="n">
        <v>0</v>
      </c>
      <c r="M78" t="n">
        <v>0</v>
      </c>
      <c r="N78" t="n">
        <v>0</v>
      </c>
      <c r="O78" t="n">
        <v>3</v>
      </c>
      <c r="P78" t="n">
        <v>1</v>
      </c>
      <c r="Q78" t="n">
        <v>4</v>
      </c>
      <c r="R78" s="2" t="inlineStr">
        <is>
          <t>Knärot
Gammelgransskål
Garnlav
Norrlandslav</t>
        </is>
      </c>
      <c r="S78">
        <f>HYPERLINK("https://klasma.github.io/Logging_2326/artfynd/A 31715-2025 artfynd.xlsx", "A 31715-2025")</f>
        <v/>
      </c>
      <c r="T78">
        <f>HYPERLINK("https://klasma.github.io/Logging_2326/kartor/A 31715-2025 karta.png", "A 31715-2025")</f>
        <v/>
      </c>
      <c r="U78">
        <f>HYPERLINK("https://klasma.github.io/Logging_2326/knärot/A 31715-2025 karta knärot.png", "A 31715-2025")</f>
        <v/>
      </c>
      <c r="V78">
        <f>HYPERLINK("https://klasma.github.io/Logging_2326/klagomål/A 31715-2025 FSC-klagomål.docx", "A 31715-2025")</f>
        <v/>
      </c>
      <c r="W78">
        <f>HYPERLINK("https://klasma.github.io/Logging_2326/klagomålsmail/A 31715-2025 FSC-klagomål mail.docx", "A 31715-2025")</f>
        <v/>
      </c>
      <c r="X78">
        <f>HYPERLINK("https://klasma.github.io/Logging_2326/tillsyn/A 31715-2025 tillsynsbegäran.docx", "A 31715-2025")</f>
        <v/>
      </c>
      <c r="Y78">
        <f>HYPERLINK("https://klasma.github.io/Logging_2326/tillsynsmail/A 31715-2025 tillsynsbegäran mail.docx", "A 31715-2025")</f>
        <v/>
      </c>
    </row>
    <row r="79" ht="15" customHeight="1">
      <c r="A79" t="inlineStr">
        <is>
          <t>A 31742-2025</t>
        </is>
      </c>
      <c r="B79" s="1" t="n">
        <v>45834.47548611111</v>
      </c>
      <c r="C79" s="1" t="n">
        <v>46037</v>
      </c>
      <c r="D79" t="inlineStr">
        <is>
          <t>JÄMTLANDS LÄN</t>
        </is>
      </c>
      <c r="E79" t="inlineStr">
        <is>
          <t>BERG</t>
        </is>
      </c>
      <c r="G79" t="n">
        <v>10.7</v>
      </c>
      <c r="H79" t="n">
        <v>0</v>
      </c>
      <c r="I79" t="n">
        <v>0</v>
      </c>
      <c r="J79" t="n">
        <v>4</v>
      </c>
      <c r="K79" t="n">
        <v>0</v>
      </c>
      <c r="L79" t="n">
        <v>0</v>
      </c>
      <c r="M79" t="n">
        <v>0</v>
      </c>
      <c r="N79" t="n">
        <v>0</v>
      </c>
      <c r="O79" t="n">
        <v>4</v>
      </c>
      <c r="P79" t="n">
        <v>0</v>
      </c>
      <c r="Q79" t="n">
        <v>4</v>
      </c>
      <c r="R79" s="2" t="inlineStr">
        <is>
          <t>Blågrå svartspik
Dvärgbägarlav
Kolflarnlav
Mörk kolflarnlav</t>
        </is>
      </c>
      <c r="S79">
        <f>HYPERLINK("https://klasma.github.io/Logging_2326/artfynd/A 31742-2025 artfynd.xlsx", "A 31742-2025")</f>
        <v/>
      </c>
      <c r="T79">
        <f>HYPERLINK("https://klasma.github.io/Logging_2326/kartor/A 31742-2025 karta.png", "A 31742-2025")</f>
        <v/>
      </c>
      <c r="V79">
        <f>HYPERLINK("https://klasma.github.io/Logging_2326/klagomål/A 31742-2025 FSC-klagomål.docx", "A 31742-2025")</f>
        <v/>
      </c>
      <c r="W79">
        <f>HYPERLINK("https://klasma.github.io/Logging_2326/klagomålsmail/A 31742-2025 FSC-klagomål mail.docx", "A 31742-2025")</f>
        <v/>
      </c>
      <c r="X79">
        <f>HYPERLINK("https://klasma.github.io/Logging_2326/tillsyn/A 31742-2025 tillsynsbegäran.docx", "A 31742-2025")</f>
        <v/>
      </c>
      <c r="Y79">
        <f>HYPERLINK("https://klasma.github.io/Logging_2326/tillsynsmail/A 31742-2025 tillsynsbegäran mail.docx", "A 31742-2025")</f>
        <v/>
      </c>
    </row>
    <row r="80" ht="15" customHeight="1">
      <c r="A80" t="inlineStr">
        <is>
          <t>A 46795-2025</t>
        </is>
      </c>
      <c r="B80" s="1" t="n">
        <v>45926.65668981482</v>
      </c>
      <c r="C80" s="1" t="n">
        <v>46037</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45424-2024</t>
        </is>
      </c>
      <c r="B81" s="1" t="n">
        <v>45576.60398148148</v>
      </c>
      <c r="C81" s="1" t="n">
        <v>46037</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56224-2024</t>
        </is>
      </c>
      <c r="B82" s="1" t="n">
        <v>45624.61491898148</v>
      </c>
      <c r="C82" s="1" t="n">
        <v>46037</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13487-2024</t>
        </is>
      </c>
      <c r="B83" s="1" t="n">
        <v>45387</v>
      </c>
      <c r="C83" s="1" t="n">
        <v>46037</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46037</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46037</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59823-2022</t>
        </is>
      </c>
      <c r="B86" s="1" t="n">
        <v>44900</v>
      </c>
      <c r="C86" s="1" t="n">
        <v>46037</v>
      </c>
      <c r="D86" t="inlineStr">
        <is>
          <t>JÄMTLANDS LÄN</t>
        </is>
      </c>
      <c r="E86" t="inlineStr">
        <is>
          <t>BERG</t>
        </is>
      </c>
      <c r="G86" t="n">
        <v>14.8</v>
      </c>
      <c r="H86" t="n">
        <v>2</v>
      </c>
      <c r="I86" t="n">
        <v>0</v>
      </c>
      <c r="J86" t="n">
        <v>2</v>
      </c>
      <c r="K86" t="n">
        <v>0</v>
      </c>
      <c r="L86" t="n">
        <v>0</v>
      </c>
      <c r="M86" t="n">
        <v>0</v>
      </c>
      <c r="N86" t="n">
        <v>0</v>
      </c>
      <c r="O86" t="n">
        <v>2</v>
      </c>
      <c r="P86" t="n">
        <v>0</v>
      </c>
      <c r="Q86" t="n">
        <v>4</v>
      </c>
      <c r="R86" s="2" t="inlineStr">
        <is>
          <t>Garnlav
Granticka
Orre
Fläcknycklar</t>
        </is>
      </c>
      <c r="S86">
        <f>HYPERLINK("https://klasma.github.io/Logging_2326/artfynd/A 59823-2022 artfynd.xlsx", "A 59823-2022")</f>
        <v/>
      </c>
      <c r="T86">
        <f>HYPERLINK("https://klasma.github.io/Logging_2326/kartor/A 59823-2022 karta.png", "A 59823-2022")</f>
        <v/>
      </c>
      <c r="V86">
        <f>HYPERLINK("https://klasma.github.io/Logging_2326/klagomål/A 59823-2022 FSC-klagomål.docx", "A 59823-2022")</f>
        <v/>
      </c>
      <c r="W86">
        <f>HYPERLINK("https://klasma.github.io/Logging_2326/klagomålsmail/A 59823-2022 FSC-klagomål mail.docx", "A 59823-2022")</f>
        <v/>
      </c>
      <c r="X86">
        <f>HYPERLINK("https://klasma.github.io/Logging_2326/tillsyn/A 59823-2022 tillsynsbegäran.docx", "A 59823-2022")</f>
        <v/>
      </c>
      <c r="Y86">
        <f>HYPERLINK("https://klasma.github.io/Logging_2326/tillsynsmail/A 59823-2022 tillsynsbegäran mail.docx", "A 59823-2022")</f>
        <v/>
      </c>
      <c r="Z86">
        <f>HYPERLINK("https://klasma.github.io/Logging_2326/fåglar/A 59823-2022 prioriterade fågelarter.docx", "A 59823-2022")</f>
        <v/>
      </c>
    </row>
    <row r="87" ht="15" customHeight="1">
      <c r="A87" t="inlineStr">
        <is>
          <t>A 58238-2025</t>
        </is>
      </c>
      <c r="B87" s="1" t="n">
        <v>45985.38775462963</v>
      </c>
      <c r="C87" s="1" t="n">
        <v>46037</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57276-2025</t>
        </is>
      </c>
      <c r="B88" s="1" t="n">
        <v>45979.68783564815</v>
      </c>
      <c r="C88" s="1" t="n">
        <v>46037</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7891-2022</t>
        </is>
      </c>
      <c r="B89" s="1" t="n">
        <v>44607</v>
      </c>
      <c r="C89" s="1" t="n">
        <v>46037</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46037</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16830-2021</t>
        </is>
      </c>
      <c r="B91" s="1" t="n">
        <v>44293</v>
      </c>
      <c r="C91" s="1" t="n">
        <v>46037</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46037</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35925-2024</t>
        </is>
      </c>
      <c r="B93" s="1" t="n">
        <v>45533.43868055556</v>
      </c>
      <c r="C93" s="1" t="n">
        <v>46037</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3062-2025</t>
        </is>
      </c>
      <c r="B94" s="1" t="n">
        <v>45678</v>
      </c>
      <c r="C94" s="1" t="n">
        <v>46037</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54802-2021</t>
        </is>
      </c>
      <c r="B95" s="1" t="n">
        <v>44473</v>
      </c>
      <c r="C95" s="1" t="n">
        <v>46037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47122-2024</t>
        </is>
      </c>
      <c r="B96" s="1" t="n">
        <v>45586.5674074074</v>
      </c>
      <c r="C96" s="1" t="n">
        <v>46037</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12995-2024</t>
        </is>
      </c>
      <c r="B97" s="1" t="n">
        <v>45385</v>
      </c>
      <c r="C97" s="1" t="n">
        <v>46037</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49611-2025</t>
        </is>
      </c>
      <c r="B98" s="1" t="n">
        <v>45939.5735300926</v>
      </c>
      <c r="C98" s="1" t="n">
        <v>46037</v>
      </c>
      <c r="D98" t="inlineStr">
        <is>
          <t>JÄMTLANDS LÄN</t>
        </is>
      </c>
      <c r="E98" t="inlineStr">
        <is>
          <t>BERG</t>
        </is>
      </c>
      <c r="F98" t="inlineStr">
        <is>
          <t>SCA</t>
        </is>
      </c>
      <c r="G98" t="n">
        <v>7.1</v>
      </c>
      <c r="H98" t="n">
        <v>1</v>
      </c>
      <c r="I98" t="n">
        <v>1</v>
      </c>
      <c r="J98" t="n">
        <v>2</v>
      </c>
      <c r="K98" t="n">
        <v>0</v>
      </c>
      <c r="L98" t="n">
        <v>0</v>
      </c>
      <c r="M98" t="n">
        <v>0</v>
      </c>
      <c r="N98" t="n">
        <v>0</v>
      </c>
      <c r="O98" t="n">
        <v>2</v>
      </c>
      <c r="P98" t="n">
        <v>0</v>
      </c>
      <c r="Q98" t="n">
        <v>3</v>
      </c>
      <c r="R98" s="2" t="inlineStr">
        <is>
          <t>Dvärgbägarlav
Nordtagging
Plattlummer</t>
        </is>
      </c>
      <c r="S98">
        <f>HYPERLINK("https://klasma.github.io/Logging_2326/artfynd/A 49611-2025 artfynd.xlsx", "A 49611-2025")</f>
        <v/>
      </c>
      <c r="T98">
        <f>HYPERLINK("https://klasma.github.io/Logging_2326/kartor/A 49611-2025 karta.png", "A 49611-2025")</f>
        <v/>
      </c>
      <c r="V98">
        <f>HYPERLINK("https://klasma.github.io/Logging_2326/klagomål/A 49611-2025 FSC-klagomål.docx", "A 49611-2025")</f>
        <v/>
      </c>
      <c r="W98">
        <f>HYPERLINK("https://klasma.github.io/Logging_2326/klagomålsmail/A 49611-2025 FSC-klagomål mail.docx", "A 49611-2025")</f>
        <v/>
      </c>
      <c r="X98">
        <f>HYPERLINK("https://klasma.github.io/Logging_2326/tillsyn/A 49611-2025 tillsynsbegäran.docx", "A 49611-2025")</f>
        <v/>
      </c>
      <c r="Y98">
        <f>HYPERLINK("https://klasma.github.io/Logging_2326/tillsynsmail/A 49611-2025 tillsynsbegäran mail.docx", "A 49611-2025")</f>
        <v/>
      </c>
    </row>
    <row r="99" ht="15" customHeight="1">
      <c r="A99" t="inlineStr">
        <is>
          <t>A 52007-2025</t>
        </is>
      </c>
      <c r="B99" s="1" t="n">
        <v>45952.59424768519</v>
      </c>
      <c r="C99" s="1" t="n">
        <v>46037</v>
      </c>
      <c r="D99" t="inlineStr">
        <is>
          <t>JÄMTLANDS LÄN</t>
        </is>
      </c>
      <c r="E99" t="inlineStr">
        <is>
          <t>BERG</t>
        </is>
      </c>
      <c r="F99" t="inlineStr">
        <is>
          <t>SCA</t>
        </is>
      </c>
      <c r="G99" t="n">
        <v>28.1</v>
      </c>
      <c r="H99" t="n">
        <v>0</v>
      </c>
      <c r="I99" t="n">
        <v>0</v>
      </c>
      <c r="J99" t="n">
        <v>2</v>
      </c>
      <c r="K99" t="n">
        <v>1</v>
      </c>
      <c r="L99" t="n">
        <v>0</v>
      </c>
      <c r="M99" t="n">
        <v>0</v>
      </c>
      <c r="N99" t="n">
        <v>0</v>
      </c>
      <c r="O99" t="n">
        <v>3</v>
      </c>
      <c r="P99" t="n">
        <v>1</v>
      </c>
      <c r="Q99" t="n">
        <v>3</v>
      </c>
      <c r="R99" s="2" t="inlineStr">
        <is>
          <t>Gräddporing
Dvärgbägarlav
Vedtrappmossa</t>
        </is>
      </c>
      <c r="S99">
        <f>HYPERLINK("https://klasma.github.io/Logging_2326/artfynd/A 52007-2025 artfynd.xlsx", "A 52007-2025")</f>
        <v/>
      </c>
      <c r="T99">
        <f>HYPERLINK("https://klasma.github.io/Logging_2326/kartor/A 52007-2025 karta.png", "A 52007-2025")</f>
        <v/>
      </c>
      <c r="V99">
        <f>HYPERLINK("https://klasma.github.io/Logging_2326/klagomål/A 52007-2025 FSC-klagomål.docx", "A 52007-2025")</f>
        <v/>
      </c>
      <c r="W99">
        <f>HYPERLINK("https://klasma.github.io/Logging_2326/klagomålsmail/A 52007-2025 FSC-klagomål mail.docx", "A 52007-2025")</f>
        <v/>
      </c>
      <c r="X99">
        <f>HYPERLINK("https://klasma.github.io/Logging_2326/tillsyn/A 52007-2025 tillsynsbegäran.docx", "A 52007-2025")</f>
        <v/>
      </c>
      <c r="Y99">
        <f>HYPERLINK("https://klasma.github.io/Logging_2326/tillsynsmail/A 52007-2025 tillsynsbegäran mail.docx", "A 52007-2025")</f>
        <v/>
      </c>
    </row>
    <row r="100" ht="15" customHeight="1">
      <c r="A100" t="inlineStr">
        <is>
          <t>A 37063-2025</t>
        </is>
      </c>
      <c r="B100" s="1" t="n">
        <v>45875.38596064815</v>
      </c>
      <c r="C100" s="1" t="n">
        <v>46037</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14599-2021</t>
        </is>
      </c>
      <c r="B101" s="1" t="n">
        <v>44279</v>
      </c>
      <c r="C101" s="1" t="n">
        <v>46037</v>
      </c>
      <c r="D101" t="inlineStr">
        <is>
          <t>JÄMTLANDS LÄN</t>
        </is>
      </c>
      <c r="E101" t="inlineStr">
        <is>
          <t>BERG</t>
        </is>
      </c>
      <c r="G101" t="n">
        <v>25.7</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HYPERLINK("https://klasma.github.io/Logging_2326/artfynd/A 14599-2021 artfynd.xlsx", "A 14599-2021")</f>
        <v/>
      </c>
      <c r="T101">
        <f>HYPERLINK("https://klasma.github.io/Logging_2326/kartor/A 14599-2021 karta.png", "A 14599-2021")</f>
        <v/>
      </c>
      <c r="V101">
        <f>HYPERLINK("https://klasma.github.io/Logging_2326/klagomål/A 14599-2021 FSC-klagomål.docx", "A 14599-2021")</f>
        <v/>
      </c>
      <c r="W101">
        <f>HYPERLINK("https://klasma.github.io/Logging_2326/klagomålsmail/A 14599-2021 FSC-klagomål mail.docx", "A 14599-2021")</f>
        <v/>
      </c>
      <c r="X101">
        <f>HYPERLINK("https://klasma.github.io/Logging_2326/tillsyn/A 14599-2021 tillsynsbegäran.docx", "A 14599-2021")</f>
        <v/>
      </c>
      <c r="Y101">
        <f>HYPERLINK("https://klasma.github.io/Logging_2326/tillsynsmail/A 14599-2021 tillsynsbegäran mail.docx", "A 14599-2021")</f>
        <v/>
      </c>
      <c r="Z101">
        <f>HYPERLINK("https://klasma.github.io/Logging_2326/fåglar/A 14599-2021 prioriterade fågelarter.docx", "A 14599-2021")</f>
        <v/>
      </c>
    </row>
    <row r="102" ht="15" customHeight="1">
      <c r="A102" t="inlineStr">
        <is>
          <t>A 20242-2025</t>
        </is>
      </c>
      <c r="B102" s="1" t="n">
        <v>45772.69864583333</v>
      </c>
      <c r="C102" s="1" t="n">
        <v>46037</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19848-2025</t>
        </is>
      </c>
      <c r="B103" s="1" t="n">
        <v>45771.49020833334</v>
      </c>
      <c r="C103" s="1" t="n">
        <v>46037</v>
      </c>
      <c r="D103" t="inlineStr">
        <is>
          <t>JÄMTLANDS LÄN</t>
        </is>
      </c>
      <c r="E103" t="inlineStr">
        <is>
          <t>BERG</t>
        </is>
      </c>
      <c r="F103" t="inlineStr">
        <is>
          <t>SCA</t>
        </is>
      </c>
      <c r="G103" t="n">
        <v>23.9</v>
      </c>
      <c r="H103" t="n">
        <v>0</v>
      </c>
      <c r="I103" t="n">
        <v>0</v>
      </c>
      <c r="J103" t="n">
        <v>2</v>
      </c>
      <c r="K103" t="n">
        <v>1</v>
      </c>
      <c r="L103" t="n">
        <v>0</v>
      </c>
      <c r="M103" t="n">
        <v>0</v>
      </c>
      <c r="N103" t="n">
        <v>0</v>
      </c>
      <c r="O103" t="n">
        <v>3</v>
      </c>
      <c r="P103" t="n">
        <v>1</v>
      </c>
      <c r="Q103" t="n">
        <v>3</v>
      </c>
      <c r="R103" s="2" t="inlineStr">
        <is>
          <t>Smalfotad taggsvamp
Dvärgbägarlav
Nordtagging</t>
        </is>
      </c>
      <c r="S103">
        <f>HYPERLINK("https://klasma.github.io/Logging_2326/artfynd/A 19848-2025 artfynd.xlsx", "A 19848-2025")</f>
        <v/>
      </c>
      <c r="T103">
        <f>HYPERLINK("https://klasma.github.io/Logging_2326/kartor/A 19848-2025 karta.png", "A 19848-2025")</f>
        <v/>
      </c>
      <c r="V103">
        <f>HYPERLINK("https://klasma.github.io/Logging_2326/klagomål/A 19848-2025 FSC-klagomål.docx", "A 19848-2025")</f>
        <v/>
      </c>
      <c r="W103">
        <f>HYPERLINK("https://klasma.github.io/Logging_2326/klagomålsmail/A 19848-2025 FSC-klagomål mail.docx", "A 19848-2025")</f>
        <v/>
      </c>
      <c r="X103">
        <f>HYPERLINK("https://klasma.github.io/Logging_2326/tillsyn/A 19848-2025 tillsynsbegäran.docx", "A 19848-2025")</f>
        <v/>
      </c>
      <c r="Y103">
        <f>HYPERLINK("https://klasma.github.io/Logging_2326/tillsynsmail/A 19848-2025 tillsynsbegäran mail.docx", "A 19848-2025")</f>
        <v/>
      </c>
    </row>
    <row r="104" ht="15" customHeight="1">
      <c r="A104" t="inlineStr">
        <is>
          <t>A 52189-2024</t>
        </is>
      </c>
      <c r="B104" s="1" t="n">
        <v>45608</v>
      </c>
      <c r="C104" s="1" t="n">
        <v>46037</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6784-2022</t>
        </is>
      </c>
      <c r="B105" s="1" t="n">
        <v>44602</v>
      </c>
      <c r="C105" s="1" t="n">
        <v>46037</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46037</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46037</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46037</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46037</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51950-2021</t>
        </is>
      </c>
      <c r="B110" s="1" t="n">
        <v>44462.9562037037</v>
      </c>
      <c r="C110" s="1" t="n">
        <v>46037</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46037</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46037</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47-2023</t>
        </is>
      </c>
      <c r="B113" s="1" t="n">
        <v>44928</v>
      </c>
      <c r="C113" s="1" t="n">
        <v>46037</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26748-2025</t>
        </is>
      </c>
      <c r="B114" s="1" t="n">
        <v>45810.53988425926</v>
      </c>
      <c r="C114" s="1" t="n">
        <v>46037</v>
      </c>
      <c r="D114" t="inlineStr">
        <is>
          <t>JÄMTLANDS LÄN</t>
        </is>
      </c>
      <c r="E114" t="inlineStr">
        <is>
          <t>BERG</t>
        </is>
      </c>
      <c r="G114" t="n">
        <v>17.4</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26748-2025 artfynd.xlsx", "A 26748-2025")</f>
        <v/>
      </c>
      <c r="T114">
        <f>HYPERLINK("https://klasma.github.io/Logging_2326/kartor/A 26748-2025 karta.png", "A 26748-2025")</f>
        <v/>
      </c>
      <c r="V114">
        <f>HYPERLINK("https://klasma.github.io/Logging_2326/klagomål/A 26748-2025 FSC-klagomål.docx", "A 26748-2025")</f>
        <v/>
      </c>
      <c r="W114">
        <f>HYPERLINK("https://klasma.github.io/Logging_2326/klagomålsmail/A 26748-2025 FSC-klagomål mail.docx", "A 26748-2025")</f>
        <v/>
      </c>
      <c r="X114">
        <f>HYPERLINK("https://klasma.github.io/Logging_2326/tillsyn/A 26748-2025 tillsynsbegäran.docx", "A 26748-2025")</f>
        <v/>
      </c>
      <c r="Y114">
        <f>HYPERLINK("https://klasma.github.io/Logging_2326/tillsynsmail/A 26748-2025 tillsynsbegäran mail.docx", "A 26748-2025")</f>
        <v/>
      </c>
      <c r="Z114">
        <f>HYPERLINK("https://klasma.github.io/Logging_2326/fåglar/A 26748-2025 prioriterade fågelarter.docx", "A 26748-2025")</f>
        <v/>
      </c>
    </row>
    <row r="115" ht="15" customHeight="1">
      <c r="A115" t="inlineStr">
        <is>
          <t>A 27647-2025</t>
        </is>
      </c>
      <c r="B115" s="1" t="n">
        <v>45813.59454861111</v>
      </c>
      <c r="C115" s="1" t="n">
        <v>46037</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42120-2025</t>
        </is>
      </c>
      <c r="B116" s="1" t="n">
        <v>45904.34236111111</v>
      </c>
      <c r="C116" s="1" t="n">
        <v>46037</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33009-2024</t>
        </is>
      </c>
      <c r="B117" s="1" t="n">
        <v>45517.50332175926</v>
      </c>
      <c r="C117" s="1" t="n">
        <v>46037</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31709-2025</t>
        </is>
      </c>
      <c r="B118" s="1" t="n">
        <v>45834.42543981481</v>
      </c>
      <c r="C118" s="1" t="n">
        <v>46037</v>
      </c>
      <c r="D118" t="inlineStr">
        <is>
          <t>JÄMTLANDS LÄN</t>
        </is>
      </c>
      <c r="E118" t="inlineStr">
        <is>
          <t>BERG</t>
        </is>
      </c>
      <c r="G118" t="n">
        <v>22.2</v>
      </c>
      <c r="H118" t="n">
        <v>1</v>
      </c>
      <c r="I118" t="n">
        <v>0</v>
      </c>
      <c r="J118" t="n">
        <v>1</v>
      </c>
      <c r="K118" t="n">
        <v>0</v>
      </c>
      <c r="L118" t="n">
        <v>1</v>
      </c>
      <c r="M118" t="n">
        <v>0</v>
      </c>
      <c r="N118" t="n">
        <v>0</v>
      </c>
      <c r="O118" t="n">
        <v>2</v>
      </c>
      <c r="P118" t="n">
        <v>1</v>
      </c>
      <c r="Q118" t="n">
        <v>2</v>
      </c>
      <c r="R118" s="2" t="inlineStr">
        <is>
          <t>Mikroskapania
Platt spretmossa</t>
        </is>
      </c>
      <c r="S118">
        <f>HYPERLINK("https://klasma.github.io/Logging_2326/artfynd/A 31709-2025 artfynd.xlsx", "A 31709-2025")</f>
        <v/>
      </c>
      <c r="T118">
        <f>HYPERLINK("https://klasma.github.io/Logging_2326/kartor/A 31709-2025 karta.png", "A 31709-2025")</f>
        <v/>
      </c>
      <c r="V118">
        <f>HYPERLINK("https://klasma.github.io/Logging_2326/klagomål/A 31709-2025 FSC-klagomål.docx", "A 31709-2025")</f>
        <v/>
      </c>
      <c r="W118">
        <f>HYPERLINK("https://klasma.github.io/Logging_2326/klagomålsmail/A 31709-2025 FSC-klagomål mail.docx", "A 31709-2025")</f>
        <v/>
      </c>
      <c r="X118">
        <f>HYPERLINK("https://klasma.github.io/Logging_2326/tillsyn/A 31709-2025 tillsynsbegäran.docx", "A 31709-2025")</f>
        <v/>
      </c>
      <c r="Y118">
        <f>HYPERLINK("https://klasma.github.io/Logging_2326/tillsynsmail/A 31709-2025 tillsynsbegäran mail.docx", "A 31709-2025")</f>
        <v/>
      </c>
    </row>
    <row r="119" ht="15" customHeight="1">
      <c r="A119" t="inlineStr">
        <is>
          <t>A 47858-2025</t>
        </is>
      </c>
      <c r="B119" s="1" t="n">
        <v>45932.40699074074</v>
      </c>
      <c r="C119" s="1" t="n">
        <v>46037</v>
      </c>
      <c r="D119" t="inlineStr">
        <is>
          <t>JÄMTLANDS LÄN</t>
        </is>
      </c>
      <c r="E119" t="inlineStr">
        <is>
          <t>BERG</t>
        </is>
      </c>
      <c r="F119" t="inlineStr">
        <is>
          <t>SCA</t>
        </is>
      </c>
      <c r="G119" t="n">
        <v>1.5</v>
      </c>
      <c r="H119" t="n">
        <v>0</v>
      </c>
      <c r="I119" t="n">
        <v>1</v>
      </c>
      <c r="J119" t="n">
        <v>1</v>
      </c>
      <c r="K119" t="n">
        <v>0</v>
      </c>
      <c r="L119" t="n">
        <v>0</v>
      </c>
      <c r="M119" t="n">
        <v>0</v>
      </c>
      <c r="N119" t="n">
        <v>0</v>
      </c>
      <c r="O119" t="n">
        <v>1</v>
      </c>
      <c r="P119" t="n">
        <v>0</v>
      </c>
      <c r="Q119" t="n">
        <v>2</v>
      </c>
      <c r="R119" s="2" t="inlineStr">
        <is>
          <t>Blanksvart spiklav
Stuplav</t>
        </is>
      </c>
      <c r="S119">
        <f>HYPERLINK("https://klasma.github.io/Logging_2326/artfynd/A 47858-2025 artfynd.xlsx", "A 47858-2025")</f>
        <v/>
      </c>
      <c r="T119">
        <f>HYPERLINK("https://klasma.github.io/Logging_2326/kartor/A 47858-2025 karta.png", "A 47858-2025")</f>
        <v/>
      </c>
      <c r="V119">
        <f>HYPERLINK("https://klasma.github.io/Logging_2326/klagomål/A 47858-2025 FSC-klagomål.docx", "A 47858-2025")</f>
        <v/>
      </c>
      <c r="W119">
        <f>HYPERLINK("https://klasma.github.io/Logging_2326/klagomålsmail/A 47858-2025 FSC-klagomål mail.docx", "A 47858-2025")</f>
        <v/>
      </c>
      <c r="X119">
        <f>HYPERLINK("https://klasma.github.io/Logging_2326/tillsyn/A 47858-2025 tillsynsbegäran.docx", "A 47858-2025")</f>
        <v/>
      </c>
      <c r="Y119">
        <f>HYPERLINK("https://klasma.github.io/Logging_2326/tillsynsmail/A 47858-2025 tillsynsbegäran mail.docx", "A 47858-2025")</f>
        <v/>
      </c>
    </row>
    <row r="120" ht="15" customHeight="1">
      <c r="A120" t="inlineStr">
        <is>
          <t>A 55331-2023</t>
        </is>
      </c>
      <c r="B120" s="1" t="n">
        <v>45237</v>
      </c>
      <c r="C120" s="1" t="n">
        <v>46037</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50389-2025</t>
        </is>
      </c>
      <c r="B121" s="1" t="n">
        <v>45944.61539351852</v>
      </c>
      <c r="C121" s="1" t="n">
        <v>46037</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8734-2025</t>
        </is>
      </c>
      <c r="B122" s="1" t="n">
        <v>45712.53209490741</v>
      </c>
      <c r="C122" s="1" t="n">
        <v>46037</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52611-2025</t>
        </is>
      </c>
      <c r="B123" s="1" t="n">
        <v>45954.66971064815</v>
      </c>
      <c r="C123" s="1" t="n">
        <v>46037</v>
      </c>
      <c r="D123" t="inlineStr">
        <is>
          <t>JÄMTLANDS LÄN</t>
        </is>
      </c>
      <c r="E123" t="inlineStr">
        <is>
          <t>BERG</t>
        </is>
      </c>
      <c r="F123" t="inlineStr">
        <is>
          <t>Kyrkan</t>
        </is>
      </c>
      <c r="G123" t="n">
        <v>6.3</v>
      </c>
      <c r="H123" t="n">
        <v>1</v>
      </c>
      <c r="I123" t="n">
        <v>0</v>
      </c>
      <c r="J123" t="n">
        <v>1</v>
      </c>
      <c r="K123" t="n">
        <v>0</v>
      </c>
      <c r="L123" t="n">
        <v>0</v>
      </c>
      <c r="M123" t="n">
        <v>0</v>
      </c>
      <c r="N123" t="n">
        <v>0</v>
      </c>
      <c r="O123" t="n">
        <v>1</v>
      </c>
      <c r="P123" t="n">
        <v>0</v>
      </c>
      <c r="Q123" t="n">
        <v>2</v>
      </c>
      <c r="R123" s="2" t="inlineStr">
        <is>
          <t>Garnlav
Revlummer</t>
        </is>
      </c>
      <c r="S123">
        <f>HYPERLINK("https://klasma.github.io/Logging_2326/artfynd/A 52611-2025 artfynd.xlsx", "A 52611-2025")</f>
        <v/>
      </c>
      <c r="T123">
        <f>HYPERLINK("https://klasma.github.io/Logging_2326/kartor/A 52611-2025 karta.png", "A 52611-2025")</f>
        <v/>
      </c>
      <c r="V123">
        <f>HYPERLINK("https://klasma.github.io/Logging_2326/klagomål/A 52611-2025 FSC-klagomål.docx", "A 52611-2025")</f>
        <v/>
      </c>
      <c r="W123">
        <f>HYPERLINK("https://klasma.github.io/Logging_2326/klagomålsmail/A 52611-2025 FSC-klagomål mail.docx", "A 52611-2025")</f>
        <v/>
      </c>
      <c r="X123">
        <f>HYPERLINK("https://klasma.github.io/Logging_2326/tillsyn/A 52611-2025 tillsynsbegäran.docx", "A 52611-2025")</f>
        <v/>
      </c>
      <c r="Y123">
        <f>HYPERLINK("https://klasma.github.io/Logging_2326/tillsynsmail/A 52611-2025 tillsynsbegäran mail.docx", "A 52611-2025")</f>
        <v/>
      </c>
    </row>
    <row r="124" ht="15" customHeight="1">
      <c r="A124" t="inlineStr">
        <is>
          <t>A 52600-2025</t>
        </is>
      </c>
      <c r="B124" s="1" t="n">
        <v>45954.65657407408</v>
      </c>
      <c r="C124" s="1" t="n">
        <v>46037</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62161-2025</t>
        </is>
      </c>
      <c r="B125" s="1" t="n">
        <v>46006.49113425926</v>
      </c>
      <c r="C125" s="1" t="n">
        <v>46037</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46037</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19948-2025</t>
        </is>
      </c>
      <c r="B127" s="1" t="n">
        <v>45771</v>
      </c>
      <c r="C127" s="1" t="n">
        <v>46037</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48880-2023</t>
        </is>
      </c>
      <c r="B128" s="1" t="n">
        <v>45209</v>
      </c>
      <c r="C128" s="1" t="n">
        <v>46037</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30334-2024</t>
        </is>
      </c>
      <c r="B129" s="1" t="n">
        <v>45490.95396990741</v>
      </c>
      <c r="C129" s="1" t="n">
        <v>46037</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14344-2025</t>
        </is>
      </c>
      <c r="B130" s="1" t="n">
        <v>45741</v>
      </c>
      <c r="C130" s="1" t="n">
        <v>46037</v>
      </c>
      <c r="D130" t="inlineStr">
        <is>
          <t>JÄMTLANDS LÄN</t>
        </is>
      </c>
      <c r="E130" t="inlineStr">
        <is>
          <t>BERG</t>
        </is>
      </c>
      <c r="G130" t="n">
        <v>3.4</v>
      </c>
      <c r="H130" t="n">
        <v>1</v>
      </c>
      <c r="I130" t="n">
        <v>1</v>
      </c>
      <c r="J130" t="n">
        <v>0</v>
      </c>
      <c r="K130" t="n">
        <v>0</v>
      </c>
      <c r="L130" t="n">
        <v>0</v>
      </c>
      <c r="M130" t="n">
        <v>0</v>
      </c>
      <c r="N130" t="n">
        <v>0</v>
      </c>
      <c r="O130" t="n">
        <v>0</v>
      </c>
      <c r="P130" t="n">
        <v>0</v>
      </c>
      <c r="Q130" t="n">
        <v>2</v>
      </c>
      <c r="R130" s="2" t="inlineStr">
        <is>
          <t>Svart trolldruva
Revlummer</t>
        </is>
      </c>
      <c r="S130">
        <f>HYPERLINK("https://klasma.github.io/Logging_2326/artfynd/A 14344-2025 artfynd.xlsx", "A 14344-2025")</f>
        <v/>
      </c>
      <c r="T130">
        <f>HYPERLINK("https://klasma.github.io/Logging_2326/kartor/A 14344-2025 karta.png", "A 14344-2025")</f>
        <v/>
      </c>
      <c r="V130">
        <f>HYPERLINK("https://klasma.github.io/Logging_2326/klagomål/A 14344-2025 FSC-klagomål.docx", "A 14344-2025")</f>
        <v/>
      </c>
      <c r="W130">
        <f>HYPERLINK("https://klasma.github.io/Logging_2326/klagomålsmail/A 14344-2025 FSC-klagomål mail.docx", "A 14344-2025")</f>
        <v/>
      </c>
      <c r="X130">
        <f>HYPERLINK("https://klasma.github.io/Logging_2326/tillsyn/A 14344-2025 tillsynsbegäran.docx", "A 14344-2025")</f>
        <v/>
      </c>
      <c r="Y130">
        <f>HYPERLINK("https://klasma.github.io/Logging_2326/tillsynsmail/A 14344-2025 tillsynsbegäran mail.docx", "A 14344-2025")</f>
        <v/>
      </c>
    </row>
    <row r="131" ht="15" customHeight="1">
      <c r="A131" t="inlineStr">
        <is>
          <t>A 12734-2024</t>
        </is>
      </c>
      <c r="B131" s="1" t="n">
        <v>45384</v>
      </c>
      <c r="C131" s="1" t="n">
        <v>46037</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26944-2024</t>
        </is>
      </c>
      <c r="B132" s="1" t="n">
        <v>45470.96880787037</v>
      </c>
      <c r="C132" s="1" t="n">
        <v>46037</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28769-2024</t>
        </is>
      </c>
      <c r="B133" s="1" t="n">
        <v>45478</v>
      </c>
      <c r="C133" s="1" t="n">
        <v>46037</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10133-2023</t>
        </is>
      </c>
      <c r="B134" s="1" t="n">
        <v>44986</v>
      </c>
      <c r="C134" s="1" t="n">
        <v>46037</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37387-2022</t>
        </is>
      </c>
      <c r="B135" s="1" t="n">
        <v>44806</v>
      </c>
      <c r="C135" s="1" t="n">
        <v>46037</v>
      </c>
      <c r="D135" t="inlineStr">
        <is>
          <t>JÄMTLANDS LÄN</t>
        </is>
      </c>
      <c r="E135" t="inlineStr">
        <is>
          <t>BERG</t>
        </is>
      </c>
      <c r="G135" t="n">
        <v>20.2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HYPERLINK("https://klasma.github.io/Logging_2326/artfynd/A 37387-2022 artfynd.xlsx", "A 37387-2022")</f>
        <v/>
      </c>
      <c r="T135">
        <f>HYPERLINK("https://klasma.github.io/Logging_2326/kartor/A 37387-2022 karta.png", "A 37387-2022")</f>
        <v/>
      </c>
      <c r="V135">
        <f>HYPERLINK("https://klasma.github.io/Logging_2326/klagomål/A 37387-2022 FSC-klagomål.docx", "A 37387-2022")</f>
        <v/>
      </c>
      <c r="W135">
        <f>HYPERLINK("https://klasma.github.io/Logging_2326/klagomålsmail/A 37387-2022 FSC-klagomål mail.docx", "A 37387-2022")</f>
        <v/>
      </c>
      <c r="X135">
        <f>HYPERLINK("https://klasma.github.io/Logging_2326/tillsyn/A 37387-2022 tillsynsbegäran.docx", "A 37387-2022")</f>
        <v/>
      </c>
      <c r="Y135">
        <f>HYPERLINK("https://klasma.github.io/Logging_2326/tillsynsmail/A 37387-2022 tillsynsbegäran mail.docx", "A 37387-2022")</f>
        <v/>
      </c>
      <c r="Z135">
        <f>HYPERLINK("https://klasma.github.io/Logging_2326/fåglar/A 37387-2022 prioriterade fågelarter.docx", "A 37387-2022")</f>
        <v/>
      </c>
    </row>
    <row r="136" ht="15" customHeight="1">
      <c r="A136" t="inlineStr">
        <is>
          <t>A 27919-2024</t>
        </is>
      </c>
      <c r="B136" s="1" t="n">
        <v>45475.94865740741</v>
      </c>
      <c r="C136" s="1" t="n">
        <v>46037</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21518-2025</t>
        </is>
      </c>
      <c r="B137" s="1" t="n">
        <v>45782</v>
      </c>
      <c r="C137" s="1" t="n">
        <v>46037</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60333-2024</t>
        </is>
      </c>
      <c r="B138" s="1" t="n">
        <v>45643</v>
      </c>
      <c r="C138" s="1" t="n">
        <v>46037</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16834-2021</t>
        </is>
      </c>
      <c r="B139" s="1" t="n">
        <v>44293</v>
      </c>
      <c r="C139" s="1" t="n">
        <v>46037</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46037</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20444-2025</t>
        </is>
      </c>
      <c r="B141" s="1" t="n">
        <v>45775.48989583334</v>
      </c>
      <c r="C141" s="1" t="n">
        <v>46037</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32686-2022</t>
        </is>
      </c>
      <c r="B142" s="1" t="n">
        <v>44776</v>
      </c>
      <c r="C142" s="1" t="n">
        <v>46037</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56202-2021</t>
        </is>
      </c>
      <c r="B143" s="1" t="n">
        <v>44477</v>
      </c>
      <c r="C143" s="1" t="n">
        <v>46037</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33126-2024</t>
        </is>
      </c>
      <c r="B144" s="1" t="n">
        <v>45517.9575462963</v>
      </c>
      <c r="C144" s="1" t="n">
        <v>46037</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24331-2025</t>
        </is>
      </c>
      <c r="B145" s="1" t="n">
        <v>45797</v>
      </c>
      <c r="C145" s="1" t="n">
        <v>46037</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39001-2025</t>
        </is>
      </c>
      <c r="B146" s="1" t="n">
        <v>45888.344375</v>
      </c>
      <c r="C146" s="1" t="n">
        <v>46037</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25556-2025</t>
        </is>
      </c>
      <c r="B147" s="1" t="n">
        <v>45803.45106481481</v>
      </c>
      <c r="C147" s="1" t="n">
        <v>46037</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33083-2024</t>
        </is>
      </c>
      <c r="B148" s="1" t="n">
        <v>45517.675</v>
      </c>
      <c r="C148" s="1" t="n">
        <v>46037</v>
      </c>
      <c r="D148" t="inlineStr">
        <is>
          <t>JÄMTLANDS LÄN</t>
        </is>
      </c>
      <c r="E148" t="inlineStr">
        <is>
          <t>BERG</t>
        </is>
      </c>
      <c r="G148" t="n">
        <v>0.2</v>
      </c>
      <c r="H148" t="n">
        <v>0</v>
      </c>
      <c r="I148" t="n">
        <v>0</v>
      </c>
      <c r="J148" t="n">
        <v>1</v>
      </c>
      <c r="K148" t="n">
        <v>0</v>
      </c>
      <c r="L148" t="n">
        <v>0</v>
      </c>
      <c r="M148" t="n">
        <v>0</v>
      </c>
      <c r="N148" t="n">
        <v>0</v>
      </c>
      <c r="O148" t="n">
        <v>1</v>
      </c>
      <c r="P148" t="n">
        <v>0</v>
      </c>
      <c r="Q148" t="n">
        <v>1</v>
      </c>
      <c r="R148" s="2" t="inlineStr">
        <is>
          <t>Garnlav</t>
        </is>
      </c>
      <c r="S148">
        <f>HYPERLINK("https://klasma.github.io/Logging_2326/artfynd/A 33083-2024 artfynd.xlsx", "A 33083-2024")</f>
        <v/>
      </c>
      <c r="T148">
        <f>HYPERLINK("https://klasma.github.io/Logging_2326/kartor/A 33083-2024 karta.png", "A 33083-2024")</f>
        <v/>
      </c>
      <c r="V148">
        <f>HYPERLINK("https://klasma.github.io/Logging_2326/klagomål/A 33083-2024 FSC-klagomål.docx", "A 33083-2024")</f>
        <v/>
      </c>
      <c r="W148">
        <f>HYPERLINK("https://klasma.github.io/Logging_2326/klagomålsmail/A 33083-2024 FSC-klagomål mail.docx", "A 33083-2024")</f>
        <v/>
      </c>
      <c r="X148">
        <f>HYPERLINK("https://klasma.github.io/Logging_2326/tillsyn/A 33083-2024 tillsynsbegäran.docx", "A 33083-2024")</f>
        <v/>
      </c>
      <c r="Y148">
        <f>HYPERLINK("https://klasma.github.io/Logging_2326/tillsynsmail/A 33083-2024 tillsynsbegäran mail.docx", "A 33083-2024")</f>
        <v/>
      </c>
    </row>
    <row r="149" ht="15" customHeight="1">
      <c r="A149" t="inlineStr">
        <is>
          <t>A 34891-2024</t>
        </is>
      </c>
      <c r="B149" s="1" t="n">
        <v>45527.36498842593</v>
      </c>
      <c r="C149" s="1" t="n">
        <v>46037</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25853-2025</t>
        </is>
      </c>
      <c r="B150" s="1" t="n">
        <v>45804.46908564815</v>
      </c>
      <c r="C150" s="1" t="n">
        <v>46037</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31837-2025</t>
        </is>
      </c>
      <c r="B151" s="1" t="n">
        <v>45834.59467592592</v>
      </c>
      <c r="C151" s="1" t="n">
        <v>46037</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41635-2024</t>
        </is>
      </c>
      <c r="B152" s="1" t="n">
        <v>45560.61601851852</v>
      </c>
      <c r="C152" s="1" t="n">
        <v>46037</v>
      </c>
      <c r="D152" t="inlineStr">
        <is>
          <t>JÄMTLANDS LÄN</t>
        </is>
      </c>
      <c r="E152" t="inlineStr">
        <is>
          <t>BERG</t>
        </is>
      </c>
      <c r="F152" t="inlineStr">
        <is>
          <t>SCA</t>
        </is>
      </c>
      <c r="G152" t="n">
        <v>4.2</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41635-2024 artfynd.xlsx", "A 41635-2024")</f>
        <v/>
      </c>
      <c r="T152">
        <f>HYPERLINK("https://klasma.github.io/Logging_2326/kartor/A 41635-2024 karta.png", "A 41635-2024")</f>
        <v/>
      </c>
      <c r="V152">
        <f>HYPERLINK("https://klasma.github.io/Logging_2326/klagomål/A 41635-2024 FSC-klagomål.docx", "A 41635-2024")</f>
        <v/>
      </c>
      <c r="W152">
        <f>HYPERLINK("https://klasma.github.io/Logging_2326/klagomålsmail/A 41635-2024 FSC-klagomål mail.docx", "A 41635-2024")</f>
        <v/>
      </c>
      <c r="X152">
        <f>HYPERLINK("https://klasma.github.io/Logging_2326/tillsyn/A 41635-2024 tillsynsbegäran.docx", "A 41635-2024")</f>
        <v/>
      </c>
      <c r="Y152">
        <f>HYPERLINK("https://klasma.github.io/Logging_2326/tillsynsmail/A 41635-2024 tillsynsbegäran mail.docx", "A 41635-2024")</f>
        <v/>
      </c>
    </row>
    <row r="153" ht="15" customHeight="1">
      <c r="A153" t="inlineStr">
        <is>
          <t>A 33501-2025</t>
        </is>
      </c>
      <c r="B153" s="1" t="n">
        <v>45841</v>
      </c>
      <c r="C153" s="1" t="n">
        <v>46037</v>
      </c>
      <c r="D153" t="inlineStr">
        <is>
          <t>JÄMTLANDS LÄN</t>
        </is>
      </c>
      <c r="E153" t="inlineStr">
        <is>
          <t>BERG</t>
        </is>
      </c>
      <c r="G153" t="n">
        <v>6.9</v>
      </c>
      <c r="H153" t="n">
        <v>1</v>
      </c>
      <c r="I153" t="n">
        <v>1</v>
      </c>
      <c r="J153" t="n">
        <v>0</v>
      </c>
      <c r="K153" t="n">
        <v>0</v>
      </c>
      <c r="L153" t="n">
        <v>0</v>
      </c>
      <c r="M153" t="n">
        <v>0</v>
      </c>
      <c r="N153" t="n">
        <v>0</v>
      </c>
      <c r="O153" t="n">
        <v>0</v>
      </c>
      <c r="P153" t="n">
        <v>0</v>
      </c>
      <c r="Q153" t="n">
        <v>1</v>
      </c>
      <c r="R153" s="2" t="inlineStr">
        <is>
          <t>Korallrot</t>
        </is>
      </c>
      <c r="S153">
        <f>HYPERLINK("https://klasma.github.io/Logging_2326/artfynd/A 33501-2025 artfynd.xlsx", "A 33501-2025")</f>
        <v/>
      </c>
      <c r="T153">
        <f>HYPERLINK("https://klasma.github.io/Logging_2326/kartor/A 33501-2025 karta.png", "A 33501-2025")</f>
        <v/>
      </c>
      <c r="V153">
        <f>HYPERLINK("https://klasma.github.io/Logging_2326/klagomål/A 33501-2025 FSC-klagomål.docx", "A 33501-2025")</f>
        <v/>
      </c>
      <c r="W153">
        <f>HYPERLINK("https://klasma.github.io/Logging_2326/klagomålsmail/A 33501-2025 FSC-klagomål mail.docx", "A 33501-2025")</f>
        <v/>
      </c>
      <c r="X153">
        <f>HYPERLINK("https://klasma.github.io/Logging_2326/tillsyn/A 33501-2025 tillsynsbegäran.docx", "A 33501-2025")</f>
        <v/>
      </c>
      <c r="Y153">
        <f>HYPERLINK("https://klasma.github.io/Logging_2326/tillsynsmail/A 33501-2025 tillsynsbegäran mail.docx", "A 33501-2025")</f>
        <v/>
      </c>
    </row>
    <row r="154" ht="15" customHeight="1">
      <c r="A154" t="inlineStr">
        <is>
          <t>A 54595-2024</t>
        </is>
      </c>
      <c r="B154" s="1" t="n">
        <v>45617.67353009259</v>
      </c>
      <c r="C154" s="1" t="n">
        <v>46037</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47946-2025</t>
        </is>
      </c>
      <c r="B155" s="1" t="n">
        <v>45932.57346064815</v>
      </c>
      <c r="C155" s="1" t="n">
        <v>46037</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46037</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46037</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35211-2025</t>
        </is>
      </c>
      <c r="B158" s="1" t="n">
        <v>45853.45060185185</v>
      </c>
      <c r="C158" s="1" t="n">
        <v>46037</v>
      </c>
      <c r="D158" t="inlineStr">
        <is>
          <t>JÄMTLANDS LÄN</t>
        </is>
      </c>
      <c r="E158" t="inlineStr">
        <is>
          <t>BERG</t>
        </is>
      </c>
      <c r="G158" t="n">
        <v>0.8</v>
      </c>
      <c r="H158" t="n">
        <v>1</v>
      </c>
      <c r="I158" t="n">
        <v>0</v>
      </c>
      <c r="J158" t="n">
        <v>0</v>
      </c>
      <c r="K158" t="n">
        <v>1</v>
      </c>
      <c r="L158" t="n">
        <v>0</v>
      </c>
      <c r="M158" t="n">
        <v>0</v>
      </c>
      <c r="N158" t="n">
        <v>0</v>
      </c>
      <c r="O158" t="n">
        <v>1</v>
      </c>
      <c r="P158" t="n">
        <v>1</v>
      </c>
      <c r="Q158" t="n">
        <v>1</v>
      </c>
      <c r="R158" s="2" t="inlineStr">
        <is>
          <t>Knärot</t>
        </is>
      </c>
      <c r="S158">
        <f>HYPERLINK("https://klasma.github.io/Logging_2326/artfynd/A 35211-2025 artfynd.xlsx", "A 35211-2025")</f>
        <v/>
      </c>
      <c r="T158">
        <f>HYPERLINK("https://klasma.github.io/Logging_2326/kartor/A 35211-2025 karta.png", "A 35211-2025")</f>
        <v/>
      </c>
      <c r="U158">
        <f>HYPERLINK("https://klasma.github.io/Logging_2326/knärot/A 35211-2025 karta knärot.png", "A 35211-2025")</f>
        <v/>
      </c>
      <c r="V158">
        <f>HYPERLINK("https://klasma.github.io/Logging_2326/klagomål/A 35211-2025 FSC-klagomål.docx", "A 35211-2025")</f>
        <v/>
      </c>
      <c r="W158">
        <f>HYPERLINK("https://klasma.github.io/Logging_2326/klagomålsmail/A 35211-2025 FSC-klagomål mail.docx", "A 35211-2025")</f>
        <v/>
      </c>
      <c r="X158">
        <f>HYPERLINK("https://klasma.github.io/Logging_2326/tillsyn/A 35211-2025 tillsynsbegäran.docx", "A 35211-2025")</f>
        <v/>
      </c>
      <c r="Y158">
        <f>HYPERLINK("https://klasma.github.io/Logging_2326/tillsynsmail/A 35211-2025 tillsynsbegäran mail.docx", "A 35211-2025")</f>
        <v/>
      </c>
    </row>
    <row r="159" ht="15" customHeight="1">
      <c r="A159" t="inlineStr">
        <is>
          <t>A 35535-2025</t>
        </is>
      </c>
      <c r="B159" s="1" t="n">
        <v>45856.45047453704</v>
      </c>
      <c r="C159" s="1" t="n">
        <v>46037</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50182-2025</t>
        </is>
      </c>
      <c r="B160" s="1" t="n">
        <v>45943.61550925926</v>
      </c>
      <c r="C160" s="1" t="n">
        <v>46037</v>
      </c>
      <c r="D160" t="inlineStr">
        <is>
          <t>JÄMTLANDS LÄN</t>
        </is>
      </c>
      <c r="E160" t="inlineStr">
        <is>
          <t>BERG</t>
        </is>
      </c>
      <c r="F160" t="inlineStr">
        <is>
          <t>SCA</t>
        </is>
      </c>
      <c r="G160" t="n">
        <v>12.8</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50182-2025 artfynd.xlsx", "A 50182-2025")</f>
        <v/>
      </c>
      <c r="T160">
        <f>HYPERLINK("https://klasma.github.io/Logging_2326/kartor/A 50182-2025 karta.png", "A 50182-2025")</f>
        <v/>
      </c>
      <c r="V160">
        <f>HYPERLINK("https://klasma.github.io/Logging_2326/klagomål/A 50182-2025 FSC-klagomål.docx", "A 50182-2025")</f>
        <v/>
      </c>
      <c r="W160">
        <f>HYPERLINK("https://klasma.github.io/Logging_2326/klagomålsmail/A 50182-2025 FSC-klagomål mail.docx", "A 50182-2025")</f>
        <v/>
      </c>
      <c r="X160">
        <f>HYPERLINK("https://klasma.github.io/Logging_2326/tillsyn/A 50182-2025 tillsynsbegäran.docx", "A 50182-2025")</f>
        <v/>
      </c>
      <c r="Y160">
        <f>HYPERLINK("https://klasma.github.io/Logging_2326/tillsynsmail/A 50182-2025 tillsynsbegäran mail.docx", "A 50182-2025")</f>
        <v/>
      </c>
      <c r="Z160">
        <f>HYPERLINK("https://klasma.github.io/Logging_2326/fåglar/A 50182-2025 prioriterade fågelarter.docx", "A 50182-2025")</f>
        <v/>
      </c>
    </row>
    <row r="161" ht="15" customHeight="1">
      <c r="A161" t="inlineStr">
        <is>
          <t>A 52193-2024</t>
        </is>
      </c>
      <c r="B161" s="1" t="n">
        <v>45608</v>
      </c>
      <c r="C161" s="1" t="n">
        <v>46037</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53086-2024</t>
        </is>
      </c>
      <c r="B162" s="1" t="n">
        <v>45611.51084490741</v>
      </c>
      <c r="C162" s="1" t="n">
        <v>46037</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44259-2024</t>
        </is>
      </c>
      <c r="B163" s="1" t="n">
        <v>45573</v>
      </c>
      <c r="C163" s="1" t="n">
        <v>46037</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46037</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60633-2025</t>
        </is>
      </c>
      <c r="B165" s="1" t="n">
        <v>45996.42788194444</v>
      </c>
      <c r="C165" s="1" t="n">
        <v>46037</v>
      </c>
      <c r="D165" t="inlineStr">
        <is>
          <t>JÄMTLANDS LÄN</t>
        </is>
      </c>
      <c r="E165" t="inlineStr">
        <is>
          <t>BERG</t>
        </is>
      </c>
      <c r="F165" t="inlineStr">
        <is>
          <t>SCA</t>
        </is>
      </c>
      <c r="G165" t="n">
        <v>18.3</v>
      </c>
      <c r="H165" t="n">
        <v>1</v>
      </c>
      <c r="I165" t="n">
        <v>1</v>
      </c>
      <c r="J165" t="n">
        <v>0</v>
      </c>
      <c r="K165" t="n">
        <v>0</v>
      </c>
      <c r="L165" t="n">
        <v>0</v>
      </c>
      <c r="M165" t="n">
        <v>0</v>
      </c>
      <c r="N165" t="n">
        <v>0</v>
      </c>
      <c r="O165" t="n">
        <v>0</v>
      </c>
      <c r="P165" t="n">
        <v>0</v>
      </c>
      <c r="Q165" t="n">
        <v>1</v>
      </c>
      <c r="R165" s="2" t="inlineStr">
        <is>
          <t>Plattlummer</t>
        </is>
      </c>
      <c r="S165">
        <f>HYPERLINK("https://klasma.github.io/Logging_2326/artfynd/A 60633-2025 artfynd.xlsx", "A 60633-2025")</f>
        <v/>
      </c>
      <c r="T165">
        <f>HYPERLINK("https://klasma.github.io/Logging_2326/kartor/A 60633-2025 karta.png", "A 60633-2025")</f>
        <v/>
      </c>
      <c r="V165">
        <f>HYPERLINK("https://klasma.github.io/Logging_2326/klagomål/A 60633-2025 FSC-klagomål.docx", "A 60633-2025")</f>
        <v/>
      </c>
      <c r="W165">
        <f>HYPERLINK("https://klasma.github.io/Logging_2326/klagomålsmail/A 60633-2025 FSC-klagomål mail.docx", "A 60633-2025")</f>
        <v/>
      </c>
      <c r="X165">
        <f>HYPERLINK("https://klasma.github.io/Logging_2326/tillsyn/A 60633-2025 tillsynsbegäran.docx", "A 60633-2025")</f>
        <v/>
      </c>
      <c r="Y165">
        <f>HYPERLINK("https://klasma.github.io/Logging_2326/tillsynsmail/A 60633-2025 tillsynsbegäran mail.docx", "A 60633-2025")</f>
        <v/>
      </c>
    </row>
    <row r="166" ht="15" customHeight="1">
      <c r="A166" t="inlineStr">
        <is>
          <t>A 37513-2025</t>
        </is>
      </c>
      <c r="B166" s="1" t="n">
        <v>45877.69828703703</v>
      </c>
      <c r="C166" s="1" t="n">
        <v>46037</v>
      </c>
      <c r="D166" t="inlineStr">
        <is>
          <t>JÄMTLANDS LÄN</t>
        </is>
      </c>
      <c r="E166" t="inlineStr">
        <is>
          <t>BERG</t>
        </is>
      </c>
      <c r="F166" t="inlineStr">
        <is>
          <t>SCA</t>
        </is>
      </c>
      <c r="G166" t="n">
        <v>14.1</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37513-2025 artfynd.xlsx", "A 37513-2025")</f>
        <v/>
      </c>
      <c r="T166">
        <f>HYPERLINK("https://klasma.github.io/Logging_2326/kartor/A 37513-2025 karta.png", "A 37513-2025")</f>
        <v/>
      </c>
      <c r="V166">
        <f>HYPERLINK("https://klasma.github.io/Logging_2326/klagomål/A 37513-2025 FSC-klagomål.docx", "A 37513-2025")</f>
        <v/>
      </c>
      <c r="W166">
        <f>HYPERLINK("https://klasma.github.io/Logging_2326/klagomålsmail/A 37513-2025 FSC-klagomål mail.docx", "A 37513-2025")</f>
        <v/>
      </c>
      <c r="X166">
        <f>HYPERLINK("https://klasma.github.io/Logging_2326/tillsyn/A 37513-2025 tillsynsbegäran.docx", "A 37513-2025")</f>
        <v/>
      </c>
      <c r="Y166">
        <f>HYPERLINK("https://klasma.github.io/Logging_2326/tillsynsmail/A 37513-2025 tillsynsbegäran mail.docx", "A 37513-2025")</f>
        <v/>
      </c>
    </row>
    <row r="167" ht="15" customHeight="1">
      <c r="A167" t="inlineStr">
        <is>
          <t>A 37651-2025</t>
        </is>
      </c>
      <c r="B167" s="1" t="n">
        <v>45880.49006944444</v>
      </c>
      <c r="C167" s="1" t="n">
        <v>46037</v>
      </c>
      <c r="D167" t="inlineStr">
        <is>
          <t>JÄMTLANDS LÄN</t>
        </is>
      </c>
      <c r="E167" t="inlineStr">
        <is>
          <t>BERG</t>
        </is>
      </c>
      <c r="F167" t="inlineStr">
        <is>
          <t>SCA</t>
        </is>
      </c>
      <c r="G167" t="n">
        <v>8.5</v>
      </c>
      <c r="H167" t="n">
        <v>0</v>
      </c>
      <c r="I167" t="n">
        <v>0</v>
      </c>
      <c r="J167" t="n">
        <v>1</v>
      </c>
      <c r="K167" t="n">
        <v>0</v>
      </c>
      <c r="L167" t="n">
        <v>0</v>
      </c>
      <c r="M167" t="n">
        <v>0</v>
      </c>
      <c r="N167" t="n">
        <v>0</v>
      </c>
      <c r="O167" t="n">
        <v>1</v>
      </c>
      <c r="P167" t="n">
        <v>0</v>
      </c>
      <c r="Q167" t="n">
        <v>1</v>
      </c>
      <c r="R167" s="2" t="inlineStr">
        <is>
          <t>Vedflamlav</t>
        </is>
      </c>
      <c r="S167">
        <f>HYPERLINK("https://klasma.github.io/Logging_2326/artfynd/A 37651-2025 artfynd.xlsx", "A 37651-2025")</f>
        <v/>
      </c>
      <c r="T167">
        <f>HYPERLINK("https://klasma.github.io/Logging_2326/kartor/A 37651-2025 karta.png", "A 37651-2025")</f>
        <v/>
      </c>
      <c r="V167">
        <f>HYPERLINK("https://klasma.github.io/Logging_2326/klagomål/A 37651-2025 FSC-klagomål.docx", "A 37651-2025")</f>
        <v/>
      </c>
      <c r="W167">
        <f>HYPERLINK("https://klasma.github.io/Logging_2326/klagomålsmail/A 37651-2025 FSC-klagomål mail.docx", "A 37651-2025")</f>
        <v/>
      </c>
      <c r="X167">
        <f>HYPERLINK("https://klasma.github.io/Logging_2326/tillsyn/A 37651-2025 tillsynsbegäran.docx", "A 37651-2025")</f>
        <v/>
      </c>
      <c r="Y167">
        <f>HYPERLINK("https://klasma.github.io/Logging_2326/tillsynsmail/A 37651-2025 tillsynsbegäran mail.docx", "A 37651-2025")</f>
        <v/>
      </c>
    </row>
    <row r="168" ht="15" customHeight="1">
      <c r="A168" t="inlineStr">
        <is>
          <t>A 60833-2025</t>
        </is>
      </c>
      <c r="B168" s="1" t="n">
        <v>45999.46969907408</v>
      </c>
      <c r="C168" s="1" t="n">
        <v>46037</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56198-2025</t>
        </is>
      </c>
      <c r="B169" s="1" t="n">
        <v>45974.45760416667</v>
      </c>
      <c r="C169" s="1" t="n">
        <v>46037</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21632-2025</t>
        </is>
      </c>
      <c r="B170" s="1" t="n">
        <v>45783.42753472222</v>
      </c>
      <c r="C170" s="1" t="n">
        <v>46037</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21370-2025</t>
        </is>
      </c>
      <c r="B171" s="1" t="n">
        <v>45782</v>
      </c>
      <c r="C171" s="1" t="n">
        <v>46037</v>
      </c>
      <c r="D171" t="inlineStr">
        <is>
          <t>JÄMTLANDS LÄN</t>
        </is>
      </c>
      <c r="E171" t="inlineStr">
        <is>
          <t>BERG</t>
        </is>
      </c>
      <c r="F171" t="inlineStr">
        <is>
          <t>SCA</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21370-2025 artfynd.xlsx", "A 21370-2025")</f>
        <v/>
      </c>
      <c r="T171">
        <f>HYPERLINK("https://klasma.github.io/Logging_2326/kartor/A 21370-2025 karta.png", "A 21370-2025")</f>
        <v/>
      </c>
      <c r="V171">
        <f>HYPERLINK("https://klasma.github.io/Logging_2326/klagomål/A 21370-2025 FSC-klagomål.docx", "A 21370-2025")</f>
        <v/>
      </c>
      <c r="W171">
        <f>HYPERLINK("https://klasma.github.io/Logging_2326/klagomålsmail/A 21370-2025 FSC-klagomål mail.docx", "A 21370-2025")</f>
        <v/>
      </c>
      <c r="X171">
        <f>HYPERLINK("https://klasma.github.io/Logging_2326/tillsyn/A 21370-2025 tillsynsbegäran.docx", "A 21370-2025")</f>
        <v/>
      </c>
      <c r="Y171">
        <f>HYPERLINK("https://klasma.github.io/Logging_2326/tillsynsmail/A 21370-2025 tillsynsbegäran mail.docx", "A 21370-2025")</f>
        <v/>
      </c>
      <c r="Z171">
        <f>HYPERLINK("https://klasma.github.io/Logging_2326/fåglar/A 21370-2025 prioriterade fågelarter.docx", "A 21370-2025")</f>
        <v/>
      </c>
    </row>
    <row r="172" ht="15" customHeight="1">
      <c r="A172" t="inlineStr">
        <is>
          <t>A 68434-2021</t>
        </is>
      </c>
      <c r="B172" s="1" t="n">
        <v>44529</v>
      </c>
      <c r="C172" s="1" t="n">
        <v>46037</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53014-2022</t>
        </is>
      </c>
      <c r="B173" s="1" t="n">
        <v>44875</v>
      </c>
      <c r="C173" s="1" t="n">
        <v>46037</v>
      </c>
      <c r="D173" t="inlineStr">
        <is>
          <t>JÄMTLANDS LÄN</t>
        </is>
      </c>
      <c r="E173" t="inlineStr">
        <is>
          <t>BERG</t>
        </is>
      </c>
      <c r="F173" t="inlineStr">
        <is>
          <t>SCA</t>
        </is>
      </c>
      <c r="G173" t="n">
        <v>13</v>
      </c>
      <c r="H173" t="n">
        <v>0</v>
      </c>
      <c r="I173" t="n">
        <v>0</v>
      </c>
      <c r="J173" t="n">
        <v>0</v>
      </c>
      <c r="K173" t="n">
        <v>1</v>
      </c>
      <c r="L173" t="n">
        <v>0</v>
      </c>
      <c r="M173" t="n">
        <v>0</v>
      </c>
      <c r="N173" t="n">
        <v>0</v>
      </c>
      <c r="O173" t="n">
        <v>1</v>
      </c>
      <c r="P173" t="n">
        <v>1</v>
      </c>
      <c r="Q173" t="n">
        <v>1</v>
      </c>
      <c r="R173" s="2" t="inlineStr">
        <is>
          <t>Gräddporing</t>
        </is>
      </c>
      <c r="S173">
        <f>HYPERLINK("https://klasma.github.io/Logging_2326/artfynd/A 53014-2022 artfynd.xlsx", "A 53014-2022")</f>
        <v/>
      </c>
      <c r="T173">
        <f>HYPERLINK("https://klasma.github.io/Logging_2326/kartor/A 53014-2022 karta.png", "A 53014-2022")</f>
        <v/>
      </c>
      <c r="V173">
        <f>HYPERLINK("https://klasma.github.io/Logging_2326/klagomål/A 53014-2022 FSC-klagomål.docx", "A 53014-2022")</f>
        <v/>
      </c>
      <c r="W173">
        <f>HYPERLINK("https://klasma.github.io/Logging_2326/klagomålsmail/A 53014-2022 FSC-klagomål mail.docx", "A 53014-2022")</f>
        <v/>
      </c>
      <c r="X173">
        <f>HYPERLINK("https://klasma.github.io/Logging_2326/tillsyn/A 53014-2022 tillsynsbegäran.docx", "A 53014-2022")</f>
        <v/>
      </c>
      <c r="Y173">
        <f>HYPERLINK("https://klasma.github.io/Logging_2326/tillsynsmail/A 53014-2022 tillsynsbegäran mail.docx", "A 53014-2022")</f>
        <v/>
      </c>
    </row>
    <row r="174" ht="15" customHeight="1">
      <c r="A174" t="inlineStr">
        <is>
          <t>A 971-2026</t>
        </is>
      </c>
      <c r="B174" s="1" t="n">
        <v>46029</v>
      </c>
      <c r="C174" s="1" t="n">
        <v>46037</v>
      </c>
      <c r="D174" t="inlineStr">
        <is>
          <t>JÄMTLANDS LÄN</t>
        </is>
      </c>
      <c r="E174" t="inlineStr">
        <is>
          <t>BERG</t>
        </is>
      </c>
      <c r="F174" t="inlineStr">
        <is>
          <t>SCA</t>
        </is>
      </c>
      <c r="G174" t="n">
        <v>9.699999999999999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HYPERLINK("https://klasma.github.io/Logging_2326/artfynd/A 971-2026 artfynd.xlsx", "A 971-2026")</f>
        <v/>
      </c>
      <c r="T174">
        <f>HYPERLINK("https://klasma.github.io/Logging_2326/kartor/A 971-2026 karta.png", "A 971-2026")</f>
        <v/>
      </c>
      <c r="V174">
        <f>HYPERLINK("https://klasma.github.io/Logging_2326/klagomål/A 971-2026 FSC-klagomål.docx", "A 971-2026")</f>
        <v/>
      </c>
      <c r="W174">
        <f>HYPERLINK("https://klasma.github.io/Logging_2326/klagomålsmail/A 971-2026 FSC-klagomål mail.docx", "A 971-2026")</f>
        <v/>
      </c>
      <c r="X174">
        <f>HYPERLINK("https://klasma.github.io/Logging_2326/tillsyn/A 971-2026 tillsynsbegäran.docx", "A 971-2026")</f>
        <v/>
      </c>
      <c r="Y174">
        <f>HYPERLINK("https://klasma.github.io/Logging_2326/tillsynsmail/A 971-2026 tillsynsbegäran mail.docx", "A 971-2026")</f>
        <v/>
      </c>
      <c r="Z174">
        <f>HYPERLINK("https://klasma.github.io/Logging_2326/fåglar/A 971-2026 prioriterade fågelarter.docx", "A 971-2026")</f>
        <v/>
      </c>
    </row>
    <row r="175" ht="15" customHeight="1">
      <c r="A175" t="inlineStr">
        <is>
          <t>A 60150-2025</t>
        </is>
      </c>
      <c r="B175" s="1" t="n">
        <v>45994.38944444444</v>
      </c>
      <c r="C175" s="1" t="n">
        <v>46037</v>
      </c>
      <c r="D175" t="inlineStr">
        <is>
          <t>JÄMTLANDS LÄN</t>
        </is>
      </c>
      <c r="E175" t="inlineStr">
        <is>
          <t>BERG</t>
        </is>
      </c>
      <c r="G175" t="n">
        <v>17.6</v>
      </c>
      <c r="H175" t="n">
        <v>0</v>
      </c>
      <c r="I175" t="n">
        <v>0</v>
      </c>
      <c r="J175" t="n">
        <v>1</v>
      </c>
      <c r="K175" t="n">
        <v>0</v>
      </c>
      <c r="L175" t="n">
        <v>0</v>
      </c>
      <c r="M175" t="n">
        <v>0</v>
      </c>
      <c r="N175" t="n">
        <v>0</v>
      </c>
      <c r="O175" t="n">
        <v>1</v>
      </c>
      <c r="P175" t="n">
        <v>0</v>
      </c>
      <c r="Q175" t="n">
        <v>1</v>
      </c>
      <c r="R175" s="2" t="inlineStr">
        <is>
          <t>Kolflarnlav</t>
        </is>
      </c>
      <c r="S175">
        <f>HYPERLINK("https://klasma.github.io/Logging_2326/artfynd/A 60150-2025 artfynd.xlsx", "A 60150-2025")</f>
        <v/>
      </c>
      <c r="T175">
        <f>HYPERLINK("https://klasma.github.io/Logging_2326/kartor/A 60150-2025 karta.png", "A 60150-2025")</f>
        <v/>
      </c>
      <c r="V175">
        <f>HYPERLINK("https://klasma.github.io/Logging_2326/klagomål/A 60150-2025 FSC-klagomål.docx", "A 60150-2025")</f>
        <v/>
      </c>
      <c r="W175">
        <f>HYPERLINK("https://klasma.github.io/Logging_2326/klagomålsmail/A 60150-2025 FSC-klagomål mail.docx", "A 60150-2025")</f>
        <v/>
      </c>
      <c r="X175">
        <f>HYPERLINK("https://klasma.github.io/Logging_2326/tillsyn/A 60150-2025 tillsynsbegäran.docx", "A 60150-2025")</f>
        <v/>
      </c>
      <c r="Y175">
        <f>HYPERLINK("https://klasma.github.io/Logging_2326/tillsynsmail/A 60150-2025 tillsynsbegäran mail.docx", "A 60150-2025")</f>
        <v/>
      </c>
    </row>
    <row r="176" ht="15" customHeight="1">
      <c r="A176" t="inlineStr">
        <is>
          <t>A 20808-2024</t>
        </is>
      </c>
      <c r="B176" s="1" t="n">
        <v>45439</v>
      </c>
      <c r="C176" s="1" t="n">
        <v>46037</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49049-2024</t>
        </is>
      </c>
      <c r="B177" s="1" t="n">
        <v>45594.5742824074</v>
      </c>
      <c r="C177" s="1" t="n">
        <v>46037</v>
      </c>
      <c r="D177" t="inlineStr">
        <is>
          <t>JÄMTLANDS LÄN</t>
        </is>
      </c>
      <c r="E177" t="inlineStr">
        <is>
          <t>BERG</t>
        </is>
      </c>
      <c r="G177" t="n">
        <v>0.8</v>
      </c>
      <c r="H177" t="n">
        <v>1</v>
      </c>
      <c r="I177" t="n">
        <v>1</v>
      </c>
      <c r="J177" t="n">
        <v>0</v>
      </c>
      <c r="K177" t="n">
        <v>0</v>
      </c>
      <c r="L177" t="n">
        <v>0</v>
      </c>
      <c r="M177" t="n">
        <v>0</v>
      </c>
      <c r="N177" t="n">
        <v>0</v>
      </c>
      <c r="O177" t="n">
        <v>0</v>
      </c>
      <c r="P177" t="n">
        <v>0</v>
      </c>
      <c r="Q177" t="n">
        <v>1</v>
      </c>
      <c r="R177" s="2" t="inlineStr">
        <is>
          <t>Korallrot</t>
        </is>
      </c>
      <c r="S177">
        <f>HYPERLINK("https://klasma.github.io/Logging_2326/artfynd/A 49049-2024 artfynd.xlsx", "A 49049-2024")</f>
        <v/>
      </c>
      <c r="T177">
        <f>HYPERLINK("https://klasma.github.io/Logging_2326/kartor/A 49049-2024 karta.png", "A 49049-2024")</f>
        <v/>
      </c>
      <c r="V177">
        <f>HYPERLINK("https://klasma.github.io/Logging_2326/klagomål/A 49049-2024 FSC-klagomål.docx", "A 49049-2024")</f>
        <v/>
      </c>
      <c r="W177">
        <f>HYPERLINK("https://klasma.github.io/Logging_2326/klagomålsmail/A 49049-2024 FSC-klagomål mail.docx", "A 49049-2024")</f>
        <v/>
      </c>
      <c r="X177">
        <f>HYPERLINK("https://klasma.github.io/Logging_2326/tillsyn/A 49049-2024 tillsynsbegäran.docx", "A 49049-2024")</f>
        <v/>
      </c>
      <c r="Y177">
        <f>HYPERLINK("https://klasma.github.io/Logging_2326/tillsynsmail/A 49049-2024 tillsynsbegäran mail.docx", "A 49049-2024")</f>
        <v/>
      </c>
    </row>
    <row r="178" ht="15" customHeight="1">
      <c r="A178" t="inlineStr">
        <is>
          <t>A 23177-2024</t>
        </is>
      </c>
      <c r="B178" s="1" t="n">
        <v>45450</v>
      </c>
      <c r="C178" s="1" t="n">
        <v>46037</v>
      </c>
      <c r="D178" t="inlineStr">
        <is>
          <t>JÄMTLANDS LÄN</t>
        </is>
      </c>
      <c r="E178" t="inlineStr">
        <is>
          <t>BERG</t>
        </is>
      </c>
      <c r="F178" t="inlineStr">
        <is>
          <t>SCA</t>
        </is>
      </c>
      <c r="G178" t="n">
        <v>3.2</v>
      </c>
      <c r="H178" t="n">
        <v>0</v>
      </c>
      <c r="I178" t="n">
        <v>1</v>
      </c>
      <c r="J178" t="n">
        <v>0</v>
      </c>
      <c r="K178" t="n">
        <v>0</v>
      </c>
      <c r="L178" t="n">
        <v>0</v>
      </c>
      <c r="M178" t="n">
        <v>0</v>
      </c>
      <c r="N178" t="n">
        <v>0</v>
      </c>
      <c r="O178" t="n">
        <v>0</v>
      </c>
      <c r="P178" t="n">
        <v>0</v>
      </c>
      <c r="Q178" t="n">
        <v>1</v>
      </c>
      <c r="R178" s="2" t="inlineStr">
        <is>
          <t>Stuplav</t>
        </is>
      </c>
      <c r="S178">
        <f>HYPERLINK("https://klasma.github.io/Logging_2326/artfynd/A 23177-2024 artfynd.xlsx", "A 23177-2024")</f>
        <v/>
      </c>
      <c r="T178">
        <f>HYPERLINK("https://klasma.github.io/Logging_2326/kartor/A 23177-2024 karta.png", "A 23177-2024")</f>
        <v/>
      </c>
      <c r="V178">
        <f>HYPERLINK("https://klasma.github.io/Logging_2326/klagomål/A 23177-2024 FSC-klagomål.docx", "A 23177-2024")</f>
        <v/>
      </c>
      <c r="W178">
        <f>HYPERLINK("https://klasma.github.io/Logging_2326/klagomålsmail/A 23177-2024 FSC-klagomål mail.docx", "A 23177-2024")</f>
        <v/>
      </c>
      <c r="X178">
        <f>HYPERLINK("https://klasma.github.io/Logging_2326/tillsyn/A 23177-2024 tillsynsbegäran.docx", "A 23177-2024")</f>
        <v/>
      </c>
      <c r="Y178">
        <f>HYPERLINK("https://klasma.github.io/Logging_2326/tillsynsmail/A 23177-2024 tillsynsbegäran mail.docx", "A 23177-2024")</f>
        <v/>
      </c>
    </row>
    <row r="179" ht="15" customHeight="1">
      <c r="A179" t="inlineStr">
        <is>
          <t>A 50556-2024</t>
        </is>
      </c>
      <c r="B179" s="1" t="n">
        <v>45601.59604166666</v>
      </c>
      <c r="C179" s="1" t="n">
        <v>46037</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24309-2023</t>
        </is>
      </c>
      <c r="B180" s="1" t="n">
        <v>45079</v>
      </c>
      <c r="C180" s="1" t="n">
        <v>46037</v>
      </c>
      <c r="D180" t="inlineStr">
        <is>
          <t>JÄMTLANDS LÄN</t>
        </is>
      </c>
      <c r="E180" t="inlineStr">
        <is>
          <t>BERG</t>
        </is>
      </c>
      <c r="F180" t="inlineStr">
        <is>
          <t>SCA</t>
        </is>
      </c>
      <c r="G180" t="n">
        <v>3.3</v>
      </c>
      <c r="H180" t="n">
        <v>1</v>
      </c>
      <c r="I180" t="n">
        <v>0</v>
      </c>
      <c r="J180" t="n">
        <v>0</v>
      </c>
      <c r="K180" t="n">
        <v>0</v>
      </c>
      <c r="L180" t="n">
        <v>0</v>
      </c>
      <c r="M180" t="n">
        <v>0</v>
      </c>
      <c r="N180" t="n">
        <v>0</v>
      </c>
      <c r="O180" t="n">
        <v>0</v>
      </c>
      <c r="P180" t="n">
        <v>0</v>
      </c>
      <c r="Q180" t="n">
        <v>1</v>
      </c>
      <c r="R180" s="2" t="inlineStr">
        <is>
          <t>Vanlig groda</t>
        </is>
      </c>
      <c r="S180">
        <f>HYPERLINK("https://klasma.github.io/Logging_2326/artfynd/A 24309-2023 artfynd.xlsx", "A 24309-2023")</f>
        <v/>
      </c>
      <c r="T180">
        <f>HYPERLINK("https://klasma.github.io/Logging_2326/kartor/A 24309-2023 karta.png", "A 24309-2023")</f>
        <v/>
      </c>
      <c r="V180">
        <f>HYPERLINK("https://klasma.github.io/Logging_2326/klagomål/A 24309-2023 FSC-klagomål.docx", "A 24309-2023")</f>
        <v/>
      </c>
      <c r="W180">
        <f>HYPERLINK("https://klasma.github.io/Logging_2326/klagomålsmail/A 24309-2023 FSC-klagomål mail.docx", "A 24309-2023")</f>
        <v/>
      </c>
      <c r="X180">
        <f>HYPERLINK("https://klasma.github.io/Logging_2326/tillsyn/A 24309-2023 tillsynsbegäran.docx", "A 24309-2023")</f>
        <v/>
      </c>
      <c r="Y180">
        <f>HYPERLINK("https://klasma.github.io/Logging_2326/tillsynsmail/A 24309-2023 tillsynsbegäran mail.docx", "A 24309-2023")</f>
        <v/>
      </c>
    </row>
    <row r="181" ht="15" customHeight="1">
      <c r="A181" t="inlineStr">
        <is>
          <t>A 49276-2024</t>
        </is>
      </c>
      <c r="B181" s="1" t="n">
        <v>45595.50819444445</v>
      </c>
      <c r="C181" s="1" t="n">
        <v>46037</v>
      </c>
      <c r="D181" t="inlineStr">
        <is>
          <t>JÄMTLANDS LÄN</t>
        </is>
      </c>
      <c r="E181" t="inlineStr">
        <is>
          <t>BERG</t>
        </is>
      </c>
      <c r="G181" t="n">
        <v>0.8</v>
      </c>
      <c r="H181" t="n">
        <v>1</v>
      </c>
      <c r="I181" t="n">
        <v>1</v>
      </c>
      <c r="J181" t="n">
        <v>0</v>
      </c>
      <c r="K181" t="n">
        <v>0</v>
      </c>
      <c r="L181" t="n">
        <v>0</v>
      </c>
      <c r="M181" t="n">
        <v>0</v>
      </c>
      <c r="N181" t="n">
        <v>0</v>
      </c>
      <c r="O181" t="n">
        <v>0</v>
      </c>
      <c r="P181" t="n">
        <v>0</v>
      </c>
      <c r="Q181" t="n">
        <v>1</v>
      </c>
      <c r="R181" s="2" t="inlineStr">
        <is>
          <t>Korallrot</t>
        </is>
      </c>
      <c r="S181">
        <f>HYPERLINK("https://klasma.github.io/Logging_2326/artfynd/A 49276-2024 artfynd.xlsx", "A 49276-2024")</f>
        <v/>
      </c>
      <c r="T181">
        <f>HYPERLINK("https://klasma.github.io/Logging_2326/kartor/A 49276-2024 karta.png", "A 49276-2024")</f>
        <v/>
      </c>
      <c r="V181">
        <f>HYPERLINK("https://klasma.github.io/Logging_2326/klagomål/A 49276-2024 FSC-klagomål.docx", "A 49276-2024")</f>
        <v/>
      </c>
      <c r="W181">
        <f>HYPERLINK("https://klasma.github.io/Logging_2326/klagomålsmail/A 49276-2024 FSC-klagomål mail.docx", "A 49276-2024")</f>
        <v/>
      </c>
      <c r="X181">
        <f>HYPERLINK("https://klasma.github.io/Logging_2326/tillsyn/A 49276-2024 tillsynsbegäran.docx", "A 49276-2024")</f>
        <v/>
      </c>
      <c r="Y181">
        <f>HYPERLINK("https://klasma.github.io/Logging_2326/tillsynsmail/A 49276-2024 tillsynsbegäran mail.docx", "A 49276-2024")</f>
        <v/>
      </c>
    </row>
    <row r="182" ht="15" customHeight="1">
      <c r="A182" t="inlineStr">
        <is>
          <t>A 12733-2024</t>
        </is>
      </c>
      <c r="B182" s="1" t="n">
        <v>45384</v>
      </c>
      <c r="C182" s="1" t="n">
        <v>46037</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40382-2024</t>
        </is>
      </c>
      <c r="B183" s="1" t="n">
        <v>45555.42225694445</v>
      </c>
      <c r="C183" s="1" t="n">
        <v>46037</v>
      </c>
      <c r="D183" t="inlineStr">
        <is>
          <t>JÄMTLANDS LÄN</t>
        </is>
      </c>
      <c r="E183" t="inlineStr">
        <is>
          <t>BERG</t>
        </is>
      </c>
      <c r="G183" t="n">
        <v>1.5</v>
      </c>
      <c r="H183" t="n">
        <v>0</v>
      </c>
      <c r="I183" t="n">
        <v>0</v>
      </c>
      <c r="J183" t="n">
        <v>1</v>
      </c>
      <c r="K183" t="n">
        <v>0</v>
      </c>
      <c r="L183" t="n">
        <v>0</v>
      </c>
      <c r="M183" t="n">
        <v>0</v>
      </c>
      <c r="N183" t="n">
        <v>0</v>
      </c>
      <c r="O183" t="n">
        <v>1</v>
      </c>
      <c r="P183" t="n">
        <v>0</v>
      </c>
      <c r="Q183" t="n">
        <v>1</v>
      </c>
      <c r="R183" s="2" t="inlineStr">
        <is>
          <t>Backruta</t>
        </is>
      </c>
      <c r="S183">
        <f>HYPERLINK("https://klasma.github.io/Logging_2326/artfynd/A 40382-2024 artfynd.xlsx", "A 40382-2024")</f>
        <v/>
      </c>
      <c r="T183">
        <f>HYPERLINK("https://klasma.github.io/Logging_2326/kartor/A 40382-2024 karta.png", "A 40382-2024")</f>
        <v/>
      </c>
      <c r="V183">
        <f>HYPERLINK("https://klasma.github.io/Logging_2326/klagomål/A 40382-2024 FSC-klagomål.docx", "A 40382-2024")</f>
        <v/>
      </c>
      <c r="W183">
        <f>HYPERLINK("https://klasma.github.io/Logging_2326/klagomålsmail/A 40382-2024 FSC-klagomål mail.docx", "A 40382-2024")</f>
        <v/>
      </c>
      <c r="X183">
        <f>HYPERLINK("https://klasma.github.io/Logging_2326/tillsyn/A 40382-2024 tillsynsbegäran.docx", "A 40382-2024")</f>
        <v/>
      </c>
      <c r="Y183">
        <f>HYPERLINK("https://klasma.github.io/Logging_2326/tillsynsmail/A 40382-2024 tillsynsbegäran mail.docx", "A 40382-2024")</f>
        <v/>
      </c>
    </row>
    <row r="184" ht="15" customHeight="1">
      <c r="A184" t="inlineStr">
        <is>
          <t>A 40440-2024</t>
        </is>
      </c>
      <c r="B184" s="1" t="n">
        <v>45555.48267361111</v>
      </c>
      <c r="C184" s="1" t="n">
        <v>46037</v>
      </c>
      <c r="D184" t="inlineStr">
        <is>
          <t>JÄMTLANDS LÄN</t>
        </is>
      </c>
      <c r="E184" t="inlineStr">
        <is>
          <t>BERG</t>
        </is>
      </c>
      <c r="G184" t="n">
        <v>3.6</v>
      </c>
      <c r="H184" t="n">
        <v>1</v>
      </c>
      <c r="I184" t="n">
        <v>0</v>
      </c>
      <c r="J184" t="n">
        <v>0</v>
      </c>
      <c r="K184" t="n">
        <v>0</v>
      </c>
      <c r="L184" t="n">
        <v>0</v>
      </c>
      <c r="M184" t="n">
        <v>0</v>
      </c>
      <c r="N184" t="n">
        <v>0</v>
      </c>
      <c r="O184" t="n">
        <v>0</v>
      </c>
      <c r="P184" t="n">
        <v>0</v>
      </c>
      <c r="Q184" t="n">
        <v>1</v>
      </c>
      <c r="R184" s="2" t="inlineStr">
        <is>
          <t>Fläcknycklar</t>
        </is>
      </c>
      <c r="S184">
        <f>HYPERLINK("https://klasma.github.io/Logging_2326/artfynd/A 40440-2024 artfynd.xlsx", "A 40440-2024")</f>
        <v/>
      </c>
      <c r="T184">
        <f>HYPERLINK("https://klasma.github.io/Logging_2326/kartor/A 40440-2024 karta.png", "A 40440-2024")</f>
        <v/>
      </c>
      <c r="V184">
        <f>HYPERLINK("https://klasma.github.io/Logging_2326/klagomål/A 40440-2024 FSC-klagomål.docx", "A 40440-2024")</f>
        <v/>
      </c>
      <c r="W184">
        <f>HYPERLINK("https://klasma.github.io/Logging_2326/klagomålsmail/A 40440-2024 FSC-klagomål mail.docx", "A 40440-2024")</f>
        <v/>
      </c>
      <c r="X184">
        <f>HYPERLINK("https://klasma.github.io/Logging_2326/tillsyn/A 40440-2024 tillsynsbegäran.docx", "A 40440-2024")</f>
        <v/>
      </c>
      <c r="Y184">
        <f>HYPERLINK("https://klasma.github.io/Logging_2326/tillsynsmail/A 40440-2024 tillsynsbegäran mail.docx", "A 40440-2024")</f>
        <v/>
      </c>
    </row>
    <row r="185" ht="15" customHeight="1">
      <c r="A185" t="inlineStr">
        <is>
          <t>A 9657-2023</t>
        </is>
      </c>
      <c r="B185" s="1" t="n">
        <v>44978</v>
      </c>
      <c r="C185" s="1" t="n">
        <v>46037</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21681-2025</t>
        </is>
      </c>
      <c r="B186" s="1" t="n">
        <v>45783.49015046296</v>
      </c>
      <c r="C186" s="1" t="n">
        <v>46037</v>
      </c>
      <c r="D186" t="inlineStr">
        <is>
          <t>JÄMTLANDS LÄN</t>
        </is>
      </c>
      <c r="E186" t="inlineStr">
        <is>
          <t>BERG</t>
        </is>
      </c>
      <c r="F186" t="inlineStr">
        <is>
          <t>SCA</t>
        </is>
      </c>
      <c r="G186" t="n">
        <v>10.2</v>
      </c>
      <c r="H186" t="n">
        <v>0</v>
      </c>
      <c r="I186" t="n">
        <v>0</v>
      </c>
      <c r="J186" t="n">
        <v>0</v>
      </c>
      <c r="K186" t="n">
        <v>1</v>
      </c>
      <c r="L186" t="n">
        <v>0</v>
      </c>
      <c r="M186" t="n">
        <v>0</v>
      </c>
      <c r="N186" t="n">
        <v>0</v>
      </c>
      <c r="O186" t="n">
        <v>1</v>
      </c>
      <c r="P186" t="n">
        <v>1</v>
      </c>
      <c r="Q186" t="n">
        <v>1</v>
      </c>
      <c r="R186" s="2" t="inlineStr">
        <is>
          <t>Gräddporing</t>
        </is>
      </c>
      <c r="S186">
        <f>HYPERLINK("https://klasma.github.io/Logging_2326/artfynd/A 21681-2025 artfynd.xlsx", "A 21681-2025")</f>
        <v/>
      </c>
      <c r="T186">
        <f>HYPERLINK("https://klasma.github.io/Logging_2326/kartor/A 21681-2025 karta.png", "A 21681-2025")</f>
        <v/>
      </c>
      <c r="V186">
        <f>HYPERLINK("https://klasma.github.io/Logging_2326/klagomål/A 21681-2025 FSC-klagomål.docx", "A 21681-2025")</f>
        <v/>
      </c>
      <c r="W186">
        <f>HYPERLINK("https://klasma.github.io/Logging_2326/klagomålsmail/A 21681-2025 FSC-klagomål mail.docx", "A 21681-2025")</f>
        <v/>
      </c>
      <c r="X186">
        <f>HYPERLINK("https://klasma.github.io/Logging_2326/tillsyn/A 21681-2025 tillsynsbegäran.docx", "A 21681-2025")</f>
        <v/>
      </c>
      <c r="Y186">
        <f>HYPERLINK("https://klasma.github.io/Logging_2326/tillsynsmail/A 21681-2025 tillsynsbegäran mail.docx", "A 21681-2025")</f>
        <v/>
      </c>
    </row>
    <row r="187" ht="15" customHeight="1">
      <c r="A187" t="inlineStr">
        <is>
          <t>A 53708-2024</t>
        </is>
      </c>
      <c r="B187" s="1" t="n">
        <v>45615.40983796296</v>
      </c>
      <c r="C187" s="1" t="n">
        <v>46037</v>
      </c>
      <c r="D187" t="inlineStr">
        <is>
          <t>JÄMTLANDS LÄN</t>
        </is>
      </c>
      <c r="E187" t="inlineStr">
        <is>
          <t>BERG</t>
        </is>
      </c>
      <c r="G187" t="n">
        <v>8.199999999999999</v>
      </c>
      <c r="H187" t="n">
        <v>0</v>
      </c>
      <c r="I187" t="n">
        <v>0</v>
      </c>
      <c r="J187" t="n">
        <v>1</v>
      </c>
      <c r="K187" t="n">
        <v>0</v>
      </c>
      <c r="L187" t="n">
        <v>0</v>
      </c>
      <c r="M187" t="n">
        <v>0</v>
      </c>
      <c r="N187" t="n">
        <v>0</v>
      </c>
      <c r="O187" t="n">
        <v>1</v>
      </c>
      <c r="P187" t="n">
        <v>0</v>
      </c>
      <c r="Q187" t="n">
        <v>1</v>
      </c>
      <c r="R187" s="2" t="inlineStr">
        <is>
          <t>Lunglav</t>
        </is>
      </c>
      <c r="S187">
        <f>HYPERLINK("https://klasma.github.io/Logging_2326/artfynd/A 53708-2024 artfynd.xlsx", "A 53708-2024")</f>
        <v/>
      </c>
      <c r="T187">
        <f>HYPERLINK("https://klasma.github.io/Logging_2326/kartor/A 53708-2024 karta.png", "A 53708-2024")</f>
        <v/>
      </c>
      <c r="V187">
        <f>HYPERLINK("https://klasma.github.io/Logging_2326/klagomål/A 53708-2024 FSC-klagomål.docx", "A 53708-2024")</f>
        <v/>
      </c>
      <c r="W187">
        <f>HYPERLINK("https://klasma.github.io/Logging_2326/klagomålsmail/A 53708-2024 FSC-klagomål mail.docx", "A 53708-2024")</f>
        <v/>
      </c>
      <c r="X187">
        <f>HYPERLINK("https://klasma.github.io/Logging_2326/tillsyn/A 53708-2024 tillsynsbegäran.docx", "A 53708-2024")</f>
        <v/>
      </c>
      <c r="Y187">
        <f>HYPERLINK("https://klasma.github.io/Logging_2326/tillsynsmail/A 53708-2024 tillsynsbegäran mail.docx", "A 53708-2024")</f>
        <v/>
      </c>
    </row>
    <row r="188" ht="15" customHeight="1">
      <c r="A188" t="inlineStr">
        <is>
          <t>A 49196-2022</t>
        </is>
      </c>
      <c r="B188" s="1" t="n">
        <v>44860.95508101852</v>
      </c>
      <c r="C188" s="1" t="n">
        <v>46037</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46037</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46037</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46037</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46037</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46037</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46037</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46037</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46037</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46037</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46037</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46037</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46037</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46037</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46037</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46037</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46037</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46037</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46037</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46037</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46037</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46037</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46037</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46037</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46037</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46037</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46037</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46037</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46037</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46037</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46037</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46037</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46037</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46037</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46037</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46037</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46037</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46037</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46037</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46037</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46037</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46037</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46037</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46037</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46037</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46037</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46037</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46037</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46037</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46037</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46037</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46037</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46037</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46037</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46037</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46037</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46037</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46037</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46037</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46037</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46037</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46037</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46037</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46037</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46037</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46037</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46037</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46037</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46037</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46037</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46037</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46037</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50612-2023</t>
        </is>
      </c>
      <c r="B260" s="1" t="n">
        <v>45217.444375</v>
      </c>
      <c r="C260" s="1" t="n">
        <v>46037</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54071-2023</t>
        </is>
      </c>
      <c r="B261" s="1" t="n">
        <v>45231</v>
      </c>
      <c r="C261" s="1" t="n">
        <v>46037</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46037</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17929-2024</t>
        </is>
      </c>
      <c r="B263" s="1" t="n">
        <v>45419.60266203704</v>
      </c>
      <c r="C263" s="1" t="n">
        <v>46037</v>
      </c>
      <c r="D263" t="inlineStr">
        <is>
          <t>JÄMTLANDS LÄN</t>
        </is>
      </c>
      <c r="E263" t="inlineStr">
        <is>
          <t>BERG</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20268-2024</t>
        </is>
      </c>
      <c r="B264" s="1" t="n">
        <v>45434.94887731481</v>
      </c>
      <c r="C264" s="1" t="n">
        <v>46037</v>
      </c>
      <c r="D264" t="inlineStr">
        <is>
          <t>JÄMTLANDS LÄN</t>
        </is>
      </c>
      <c r="E264" t="inlineStr">
        <is>
          <t>BERG</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46037</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46037</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46037</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46037</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46037</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65207-2023</t>
        </is>
      </c>
      <c r="B270" s="1" t="n">
        <v>45289</v>
      </c>
      <c r="C270" s="1" t="n">
        <v>46037</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18153-2024</t>
        </is>
      </c>
      <c r="B271" s="1" t="n">
        <v>45420</v>
      </c>
      <c r="C271" s="1" t="n">
        <v>46037</v>
      </c>
      <c r="D271" t="inlineStr">
        <is>
          <t>JÄMTLANDS LÄN</t>
        </is>
      </c>
      <c r="E271" t="inlineStr">
        <is>
          <t>BERG</t>
        </is>
      </c>
      <c r="F271" t="inlineStr">
        <is>
          <t>Holmen skog AB</t>
        </is>
      </c>
      <c r="G271" t="n">
        <v>2.8</v>
      </c>
      <c r="H271" t="n">
        <v>0</v>
      </c>
      <c r="I271" t="n">
        <v>0</v>
      </c>
      <c r="J271" t="n">
        <v>0</v>
      </c>
      <c r="K271" t="n">
        <v>0</v>
      </c>
      <c r="L271" t="n">
        <v>0</v>
      </c>
      <c r="M271" t="n">
        <v>0</v>
      </c>
      <c r="N271" t="n">
        <v>0</v>
      </c>
      <c r="O271" t="n">
        <v>0</v>
      </c>
      <c r="P271" t="n">
        <v>0</v>
      </c>
      <c r="Q271" t="n">
        <v>0</v>
      </c>
      <c r="R271" s="2" t="inlineStr"/>
    </row>
    <row r="272" ht="15" customHeight="1">
      <c r="A272" t="inlineStr">
        <is>
          <t>A 23026-2025</t>
        </is>
      </c>
      <c r="B272" s="1" t="n">
        <v>45790.65690972222</v>
      </c>
      <c r="C272" s="1" t="n">
        <v>46037</v>
      </c>
      <c r="D272" t="inlineStr">
        <is>
          <t>JÄMTLANDS LÄN</t>
        </is>
      </c>
      <c r="E272" t="inlineStr">
        <is>
          <t>BERG</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22991-2025</t>
        </is>
      </c>
      <c r="B273" s="1" t="n">
        <v>45790.57836805555</v>
      </c>
      <c r="C273" s="1" t="n">
        <v>46037</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38428-2025</t>
        </is>
      </c>
      <c r="B274" s="1" t="n">
        <v>45883.63628472222</v>
      </c>
      <c r="C274" s="1" t="n">
        <v>46037</v>
      </c>
      <c r="D274" t="inlineStr">
        <is>
          <t>JÄMTLANDS LÄN</t>
        </is>
      </c>
      <c r="E274" t="inlineStr">
        <is>
          <t>BERG</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13373-2024</t>
        </is>
      </c>
      <c r="B275" s="1" t="n">
        <v>45387.37010416666</v>
      </c>
      <c r="C275" s="1" t="n">
        <v>46037</v>
      </c>
      <c r="D275" t="inlineStr">
        <is>
          <t>JÄMTLANDS LÄN</t>
        </is>
      </c>
      <c r="E275" t="inlineStr">
        <is>
          <t>BERG</t>
        </is>
      </c>
      <c r="G275" t="n">
        <v>3.8</v>
      </c>
      <c r="H275" t="n">
        <v>0</v>
      </c>
      <c r="I275" t="n">
        <v>0</v>
      </c>
      <c r="J275" t="n">
        <v>0</v>
      </c>
      <c r="K275" t="n">
        <v>0</v>
      </c>
      <c r="L275" t="n">
        <v>0</v>
      </c>
      <c r="M275" t="n">
        <v>0</v>
      </c>
      <c r="N275" t="n">
        <v>0</v>
      </c>
      <c r="O275" t="n">
        <v>0</v>
      </c>
      <c r="P275" t="n">
        <v>0</v>
      </c>
      <c r="Q275" t="n">
        <v>0</v>
      </c>
      <c r="R275" s="2" t="inlineStr"/>
    </row>
    <row r="276" ht="15" customHeight="1">
      <c r="A276" t="inlineStr">
        <is>
          <t>A 35911-2024</t>
        </is>
      </c>
      <c r="B276" s="1" t="n">
        <v>45533.41498842592</v>
      </c>
      <c r="C276" s="1" t="n">
        <v>46037</v>
      </c>
      <c r="D276" t="inlineStr">
        <is>
          <t>JÄMTLANDS LÄN</t>
        </is>
      </c>
      <c r="E276" t="inlineStr">
        <is>
          <t>BERG</t>
        </is>
      </c>
      <c r="G276" t="n">
        <v>4.1</v>
      </c>
      <c r="H276" t="n">
        <v>0</v>
      </c>
      <c r="I276" t="n">
        <v>0</v>
      </c>
      <c r="J276" t="n">
        <v>0</v>
      </c>
      <c r="K276" t="n">
        <v>0</v>
      </c>
      <c r="L276" t="n">
        <v>0</v>
      </c>
      <c r="M276" t="n">
        <v>0</v>
      </c>
      <c r="N276" t="n">
        <v>0</v>
      </c>
      <c r="O276" t="n">
        <v>0</v>
      </c>
      <c r="P276" t="n">
        <v>0</v>
      </c>
      <c r="Q276" t="n">
        <v>0</v>
      </c>
      <c r="R276" s="2" t="inlineStr"/>
    </row>
    <row r="277" ht="15" customHeight="1">
      <c r="A277" t="inlineStr">
        <is>
          <t>A 13936-2024</t>
        </is>
      </c>
      <c r="B277" s="1" t="n">
        <v>45391.9533912037</v>
      </c>
      <c r="C277" s="1" t="n">
        <v>46037</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61788-2023</t>
        </is>
      </c>
      <c r="B278" s="1" t="n">
        <v>45265.9577199074</v>
      </c>
      <c r="C278" s="1" t="n">
        <v>46037</v>
      </c>
      <c r="D278" t="inlineStr">
        <is>
          <t>JÄMTLANDS LÄN</t>
        </is>
      </c>
      <c r="E278" t="inlineStr">
        <is>
          <t>BERG</t>
        </is>
      </c>
      <c r="G278" t="n">
        <v>2.6</v>
      </c>
      <c r="H278" t="n">
        <v>0</v>
      </c>
      <c r="I278" t="n">
        <v>0</v>
      </c>
      <c r="J278" t="n">
        <v>0</v>
      </c>
      <c r="K278" t="n">
        <v>0</v>
      </c>
      <c r="L278" t="n">
        <v>0</v>
      </c>
      <c r="M278" t="n">
        <v>0</v>
      </c>
      <c r="N278" t="n">
        <v>0</v>
      </c>
      <c r="O278" t="n">
        <v>0</v>
      </c>
      <c r="P278" t="n">
        <v>0</v>
      </c>
      <c r="Q278" t="n">
        <v>0</v>
      </c>
      <c r="R278" s="2" t="inlineStr"/>
    </row>
    <row r="279" ht="15" customHeight="1">
      <c r="A279" t="inlineStr">
        <is>
          <t>A 47982-2022</t>
        </is>
      </c>
      <c r="B279" s="1" t="n">
        <v>44853</v>
      </c>
      <c r="C279" s="1" t="n">
        <v>46037</v>
      </c>
      <c r="D279" t="inlineStr">
        <is>
          <t>JÄMTLANDS LÄN</t>
        </is>
      </c>
      <c r="E279" t="inlineStr">
        <is>
          <t>BERG</t>
        </is>
      </c>
      <c r="G279" t="n">
        <v>5.1</v>
      </c>
      <c r="H279" t="n">
        <v>0</v>
      </c>
      <c r="I279" t="n">
        <v>0</v>
      </c>
      <c r="J279" t="n">
        <v>0</v>
      </c>
      <c r="K279" t="n">
        <v>0</v>
      </c>
      <c r="L279" t="n">
        <v>0</v>
      </c>
      <c r="M279" t="n">
        <v>0</v>
      </c>
      <c r="N279" t="n">
        <v>0</v>
      </c>
      <c r="O279" t="n">
        <v>0</v>
      </c>
      <c r="P279" t="n">
        <v>0</v>
      </c>
      <c r="Q279" t="n">
        <v>0</v>
      </c>
      <c r="R279" s="2" t="inlineStr"/>
    </row>
    <row r="280" ht="15" customHeight="1">
      <c r="A280" t="inlineStr">
        <is>
          <t>A 34650-2024</t>
        </is>
      </c>
      <c r="B280" s="1" t="n">
        <v>45526.48329861111</v>
      </c>
      <c r="C280" s="1" t="n">
        <v>46037</v>
      </c>
      <c r="D280" t="inlineStr">
        <is>
          <t>JÄMTLANDS LÄN</t>
        </is>
      </c>
      <c r="E280" t="inlineStr">
        <is>
          <t>BERG</t>
        </is>
      </c>
      <c r="G280" t="n">
        <v>4.9</v>
      </c>
      <c r="H280" t="n">
        <v>0</v>
      </c>
      <c r="I280" t="n">
        <v>0</v>
      </c>
      <c r="J280" t="n">
        <v>0</v>
      </c>
      <c r="K280" t="n">
        <v>0</v>
      </c>
      <c r="L280" t="n">
        <v>0</v>
      </c>
      <c r="M280" t="n">
        <v>0</v>
      </c>
      <c r="N280" t="n">
        <v>0</v>
      </c>
      <c r="O280" t="n">
        <v>0</v>
      </c>
      <c r="P280" t="n">
        <v>0</v>
      </c>
      <c r="Q280" t="n">
        <v>0</v>
      </c>
      <c r="R280" s="2" t="inlineStr"/>
    </row>
    <row r="281" ht="15" customHeight="1">
      <c r="A281" t="inlineStr">
        <is>
          <t>A 58157-2021</t>
        </is>
      </c>
      <c r="B281" s="1" t="n">
        <v>44487.60703703704</v>
      </c>
      <c r="C281" s="1" t="n">
        <v>46037</v>
      </c>
      <c r="D281" t="inlineStr">
        <is>
          <t>JÄMTLANDS LÄN</t>
        </is>
      </c>
      <c r="E281" t="inlineStr">
        <is>
          <t>BERG</t>
        </is>
      </c>
      <c r="G281" t="n">
        <v>4.5</v>
      </c>
      <c r="H281" t="n">
        <v>0</v>
      </c>
      <c r="I281" t="n">
        <v>0</v>
      </c>
      <c r="J281" t="n">
        <v>0</v>
      </c>
      <c r="K281" t="n">
        <v>0</v>
      </c>
      <c r="L281" t="n">
        <v>0</v>
      </c>
      <c r="M281" t="n">
        <v>0</v>
      </c>
      <c r="N281" t="n">
        <v>0</v>
      </c>
      <c r="O281" t="n">
        <v>0</v>
      </c>
      <c r="P281" t="n">
        <v>0</v>
      </c>
      <c r="Q281" t="n">
        <v>0</v>
      </c>
      <c r="R281" s="2" t="inlineStr"/>
    </row>
    <row r="282" ht="15" customHeight="1">
      <c r="A282" t="inlineStr">
        <is>
          <t>A 23902-2025</t>
        </is>
      </c>
      <c r="B282" s="1" t="n">
        <v>45794.34447916667</v>
      </c>
      <c r="C282" s="1" t="n">
        <v>46037</v>
      </c>
      <c r="D282" t="inlineStr">
        <is>
          <t>JÄMTLANDS LÄN</t>
        </is>
      </c>
      <c r="E282" t="inlineStr">
        <is>
          <t>BERG</t>
        </is>
      </c>
      <c r="F282" t="inlineStr">
        <is>
          <t>SCA</t>
        </is>
      </c>
      <c r="G282" t="n">
        <v>14.3</v>
      </c>
      <c r="H282" t="n">
        <v>0</v>
      </c>
      <c r="I282" t="n">
        <v>0</v>
      </c>
      <c r="J282" t="n">
        <v>0</v>
      </c>
      <c r="K282" t="n">
        <v>0</v>
      </c>
      <c r="L282" t="n">
        <v>0</v>
      </c>
      <c r="M282" t="n">
        <v>0</v>
      </c>
      <c r="N282" t="n">
        <v>0</v>
      </c>
      <c r="O282" t="n">
        <v>0</v>
      </c>
      <c r="P282" t="n">
        <v>0</v>
      </c>
      <c r="Q282" t="n">
        <v>0</v>
      </c>
      <c r="R282" s="2" t="inlineStr"/>
    </row>
    <row r="283" ht="15" customHeight="1">
      <c r="A283" t="inlineStr">
        <is>
          <t>A 23913-2025</t>
        </is>
      </c>
      <c r="B283" s="1" t="n">
        <v>45795.34442129629</v>
      </c>
      <c r="C283" s="1" t="n">
        <v>46037</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38388-2025</t>
        </is>
      </c>
      <c r="B284" s="1" t="n">
        <v>45883.57467592593</v>
      </c>
      <c r="C284" s="1" t="n">
        <v>46037</v>
      </c>
      <c r="D284" t="inlineStr">
        <is>
          <t>JÄMTLANDS LÄN</t>
        </is>
      </c>
      <c r="E284" t="inlineStr">
        <is>
          <t>BERG</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23900-2025</t>
        </is>
      </c>
      <c r="B285" s="1" t="n">
        <v>45794.34425925926</v>
      </c>
      <c r="C285" s="1" t="n">
        <v>46037</v>
      </c>
      <c r="D285" t="inlineStr">
        <is>
          <t>JÄMTLANDS LÄN</t>
        </is>
      </c>
      <c r="E285" t="inlineStr">
        <is>
          <t>BERG</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23915-2025</t>
        </is>
      </c>
      <c r="B286" s="1" t="n">
        <v>45795.3446412037</v>
      </c>
      <c r="C286" s="1" t="n">
        <v>46037</v>
      </c>
      <c r="D286" t="inlineStr">
        <is>
          <t>JÄMTLANDS LÄN</t>
        </is>
      </c>
      <c r="E286" t="inlineStr">
        <is>
          <t>BERG</t>
        </is>
      </c>
      <c r="F286" t="inlineStr">
        <is>
          <t>SCA</t>
        </is>
      </c>
      <c r="G286" t="n">
        <v>16.7</v>
      </c>
      <c r="H286" t="n">
        <v>0</v>
      </c>
      <c r="I286" t="n">
        <v>0</v>
      </c>
      <c r="J286" t="n">
        <v>0</v>
      </c>
      <c r="K286" t="n">
        <v>0</v>
      </c>
      <c r="L286" t="n">
        <v>0</v>
      </c>
      <c r="M286" t="n">
        <v>0</v>
      </c>
      <c r="N286" t="n">
        <v>0</v>
      </c>
      <c r="O286" t="n">
        <v>0</v>
      </c>
      <c r="P286" t="n">
        <v>0</v>
      </c>
      <c r="Q286" t="n">
        <v>0</v>
      </c>
      <c r="R286" s="2" t="inlineStr"/>
    </row>
    <row r="287" ht="15" customHeight="1">
      <c r="A287" t="inlineStr">
        <is>
          <t>A 23916-2025</t>
        </is>
      </c>
      <c r="B287" s="1" t="n">
        <v>45795.34472222222</v>
      </c>
      <c r="C287" s="1" t="n">
        <v>46037</v>
      </c>
      <c r="D287" t="inlineStr">
        <is>
          <t>JÄMTLANDS LÄN</t>
        </is>
      </c>
      <c r="E287" t="inlineStr">
        <is>
          <t>BERG</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23920-2025</t>
        </is>
      </c>
      <c r="B288" s="1" t="n">
        <v>45795.34505787037</v>
      </c>
      <c r="C288" s="1" t="n">
        <v>46037</v>
      </c>
      <c r="D288" t="inlineStr">
        <is>
          <t>JÄMTLANDS LÄN</t>
        </is>
      </c>
      <c r="E288" t="inlineStr">
        <is>
          <t>BERG</t>
        </is>
      </c>
      <c r="F288" t="inlineStr">
        <is>
          <t>SCA</t>
        </is>
      </c>
      <c r="G288" t="n">
        <v>8.5</v>
      </c>
      <c r="H288" t="n">
        <v>0</v>
      </c>
      <c r="I288" t="n">
        <v>0</v>
      </c>
      <c r="J288" t="n">
        <v>0</v>
      </c>
      <c r="K288" t="n">
        <v>0</v>
      </c>
      <c r="L288" t="n">
        <v>0</v>
      </c>
      <c r="M288" t="n">
        <v>0</v>
      </c>
      <c r="N288" t="n">
        <v>0</v>
      </c>
      <c r="O288" t="n">
        <v>0</v>
      </c>
      <c r="P288" t="n">
        <v>0</v>
      </c>
      <c r="Q288" t="n">
        <v>0</v>
      </c>
      <c r="R288" s="2" t="inlineStr"/>
    </row>
    <row r="289" ht="15" customHeight="1">
      <c r="A289" t="inlineStr">
        <is>
          <t>A 23901-2025</t>
        </is>
      </c>
      <c r="B289" s="1" t="n">
        <v>45794.34436342592</v>
      </c>
      <c r="C289" s="1" t="n">
        <v>46037</v>
      </c>
      <c r="D289" t="inlineStr">
        <is>
          <t>JÄMTLANDS LÄN</t>
        </is>
      </c>
      <c r="E289" t="inlineStr">
        <is>
          <t>BERG</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23919-2025</t>
        </is>
      </c>
      <c r="B290" s="1" t="n">
        <v>45795.34497685185</v>
      </c>
      <c r="C290" s="1" t="n">
        <v>46037</v>
      </c>
      <c r="D290" t="inlineStr">
        <is>
          <t>JÄMTLANDS LÄN</t>
        </is>
      </c>
      <c r="E290" t="inlineStr">
        <is>
          <t>BERG</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24060-2025</t>
        </is>
      </c>
      <c r="B291" s="1" t="n">
        <v>45796.5216087963</v>
      </c>
      <c r="C291" s="1" t="n">
        <v>46037</v>
      </c>
      <c r="D291" t="inlineStr">
        <is>
          <t>JÄMTLANDS LÄN</t>
        </is>
      </c>
      <c r="E291" t="inlineStr">
        <is>
          <t>BERG</t>
        </is>
      </c>
      <c r="G291" t="n">
        <v>4.7</v>
      </c>
      <c r="H291" t="n">
        <v>0</v>
      </c>
      <c r="I291" t="n">
        <v>0</v>
      </c>
      <c r="J291" t="n">
        <v>0</v>
      </c>
      <c r="K291" t="n">
        <v>0</v>
      </c>
      <c r="L291" t="n">
        <v>0</v>
      </c>
      <c r="M291" t="n">
        <v>0</v>
      </c>
      <c r="N291" t="n">
        <v>0</v>
      </c>
      <c r="O291" t="n">
        <v>0</v>
      </c>
      <c r="P291" t="n">
        <v>0</v>
      </c>
      <c r="Q291" t="n">
        <v>0</v>
      </c>
      <c r="R291" s="2" t="inlineStr"/>
    </row>
    <row r="292" ht="15" customHeight="1">
      <c r="A292" t="inlineStr">
        <is>
          <t>A 38408-2025</t>
        </is>
      </c>
      <c r="B292" s="1" t="n">
        <v>45883.59412037037</v>
      </c>
      <c r="C292" s="1" t="n">
        <v>46037</v>
      </c>
      <c r="D292" t="inlineStr">
        <is>
          <t>JÄMTLANDS LÄN</t>
        </is>
      </c>
      <c r="E292" t="inlineStr">
        <is>
          <t>BERG</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23766-2025</t>
        </is>
      </c>
      <c r="B293" s="1" t="n">
        <v>45793.46954861111</v>
      </c>
      <c r="C293" s="1" t="n">
        <v>46037</v>
      </c>
      <c r="D293" t="inlineStr">
        <is>
          <t>JÄMTLANDS LÄN</t>
        </is>
      </c>
      <c r="E293" t="inlineStr">
        <is>
          <t>BERG</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18872-2023</t>
        </is>
      </c>
      <c r="B294" s="1" t="n">
        <v>45042</v>
      </c>
      <c r="C294" s="1" t="n">
        <v>46037</v>
      </c>
      <c r="D294" t="inlineStr">
        <is>
          <t>JÄMTLANDS LÄN</t>
        </is>
      </c>
      <c r="E294" t="inlineStr">
        <is>
          <t>BERG</t>
        </is>
      </c>
      <c r="G294" t="n">
        <v>13.2</v>
      </c>
      <c r="H294" t="n">
        <v>0</v>
      </c>
      <c r="I294" t="n">
        <v>0</v>
      </c>
      <c r="J294" t="n">
        <v>0</v>
      </c>
      <c r="K294" t="n">
        <v>0</v>
      </c>
      <c r="L294" t="n">
        <v>0</v>
      </c>
      <c r="M294" t="n">
        <v>0</v>
      </c>
      <c r="N294" t="n">
        <v>0</v>
      </c>
      <c r="O294" t="n">
        <v>0</v>
      </c>
      <c r="P294" t="n">
        <v>0</v>
      </c>
      <c r="Q294" t="n">
        <v>0</v>
      </c>
      <c r="R294" s="2" t="inlineStr"/>
    </row>
    <row r="295" ht="15" customHeight="1">
      <c r="A295" t="inlineStr">
        <is>
          <t>A 24360-2025</t>
        </is>
      </c>
      <c r="B295" s="1" t="n">
        <v>45797.59502314815</v>
      </c>
      <c r="C295" s="1" t="n">
        <v>46037</v>
      </c>
      <c r="D295" t="inlineStr">
        <is>
          <t>JÄMTLANDS LÄN</t>
        </is>
      </c>
      <c r="E295" t="inlineStr">
        <is>
          <t>BERG</t>
        </is>
      </c>
      <c r="F295" t="inlineStr">
        <is>
          <t>SCA</t>
        </is>
      </c>
      <c r="G295" t="n">
        <v>10.5</v>
      </c>
      <c r="H295" t="n">
        <v>0</v>
      </c>
      <c r="I295" t="n">
        <v>0</v>
      </c>
      <c r="J295" t="n">
        <v>0</v>
      </c>
      <c r="K295" t="n">
        <v>0</v>
      </c>
      <c r="L295" t="n">
        <v>0</v>
      </c>
      <c r="M295" t="n">
        <v>0</v>
      </c>
      <c r="N295" t="n">
        <v>0</v>
      </c>
      <c r="O295" t="n">
        <v>0</v>
      </c>
      <c r="P295" t="n">
        <v>0</v>
      </c>
      <c r="Q295" t="n">
        <v>0</v>
      </c>
      <c r="R295" s="2" t="inlineStr"/>
    </row>
    <row r="296" ht="15" customHeight="1">
      <c r="A296" t="inlineStr">
        <is>
          <t>A 24324-2025</t>
        </is>
      </c>
      <c r="B296" s="1" t="n">
        <v>45797.56049768518</v>
      </c>
      <c r="C296" s="1" t="n">
        <v>46037</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24390-2025</t>
        </is>
      </c>
      <c r="B297" s="1" t="n">
        <v>45797.63576388889</v>
      </c>
      <c r="C297" s="1" t="n">
        <v>46037</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24442-2025</t>
        </is>
      </c>
      <c r="B298" s="1" t="n">
        <v>45797.96236111111</v>
      </c>
      <c r="C298" s="1" t="n">
        <v>46037</v>
      </c>
      <c r="D298" t="inlineStr">
        <is>
          <t>JÄMTLANDS LÄN</t>
        </is>
      </c>
      <c r="E298" t="inlineStr">
        <is>
          <t>BERG</t>
        </is>
      </c>
      <c r="G298" t="n">
        <v>9</v>
      </c>
      <c r="H298" t="n">
        <v>0</v>
      </c>
      <c r="I298" t="n">
        <v>0</v>
      </c>
      <c r="J298" t="n">
        <v>0</v>
      </c>
      <c r="K298" t="n">
        <v>0</v>
      </c>
      <c r="L298" t="n">
        <v>0</v>
      </c>
      <c r="M298" t="n">
        <v>0</v>
      </c>
      <c r="N298" t="n">
        <v>0</v>
      </c>
      <c r="O298" t="n">
        <v>0</v>
      </c>
      <c r="P298" t="n">
        <v>0</v>
      </c>
      <c r="Q298" t="n">
        <v>0</v>
      </c>
      <c r="R298" s="2" t="inlineStr"/>
    </row>
    <row r="299" ht="15" customHeight="1">
      <c r="A299" t="inlineStr">
        <is>
          <t>A 44911-2021</t>
        </is>
      </c>
      <c r="B299" s="1" t="n">
        <v>44435</v>
      </c>
      <c r="C299" s="1" t="n">
        <v>46037</v>
      </c>
      <c r="D299" t="inlineStr">
        <is>
          <t>JÄMTLANDS LÄN</t>
        </is>
      </c>
      <c r="E299" t="inlineStr">
        <is>
          <t>BERG</t>
        </is>
      </c>
      <c r="G299" t="n">
        <v>1.3</v>
      </c>
      <c r="H299" t="n">
        <v>0</v>
      </c>
      <c r="I299" t="n">
        <v>0</v>
      </c>
      <c r="J299" t="n">
        <v>0</v>
      </c>
      <c r="K299" t="n">
        <v>0</v>
      </c>
      <c r="L299" t="n">
        <v>0</v>
      </c>
      <c r="M299" t="n">
        <v>0</v>
      </c>
      <c r="N299" t="n">
        <v>0</v>
      </c>
      <c r="O299" t="n">
        <v>0</v>
      </c>
      <c r="P299" t="n">
        <v>0</v>
      </c>
      <c r="Q299" t="n">
        <v>0</v>
      </c>
      <c r="R299" s="2" t="inlineStr"/>
    </row>
    <row r="300" ht="15" customHeight="1">
      <c r="A300" t="inlineStr">
        <is>
          <t>A 53883-2023</t>
        </is>
      </c>
      <c r="B300" s="1" t="n">
        <v>45231.5221875</v>
      </c>
      <c r="C300" s="1" t="n">
        <v>46037</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19428-2025</t>
        </is>
      </c>
      <c r="B301" s="1" t="n">
        <v>45769.79763888889</v>
      </c>
      <c r="C301" s="1" t="n">
        <v>46037</v>
      </c>
      <c r="D301" t="inlineStr">
        <is>
          <t>JÄMTLANDS LÄN</t>
        </is>
      </c>
      <c r="E301" t="inlineStr">
        <is>
          <t>BERG</t>
        </is>
      </c>
      <c r="G301" t="n">
        <v>7.1</v>
      </c>
      <c r="H301" t="n">
        <v>0</v>
      </c>
      <c r="I301" t="n">
        <v>0</v>
      </c>
      <c r="J301" t="n">
        <v>0</v>
      </c>
      <c r="K301" t="n">
        <v>0</v>
      </c>
      <c r="L301" t="n">
        <v>0</v>
      </c>
      <c r="M301" t="n">
        <v>0</v>
      </c>
      <c r="N301" t="n">
        <v>0</v>
      </c>
      <c r="O301" t="n">
        <v>0</v>
      </c>
      <c r="P301" t="n">
        <v>0</v>
      </c>
      <c r="Q301" t="n">
        <v>0</v>
      </c>
      <c r="R301" s="2" t="inlineStr"/>
    </row>
    <row r="302" ht="15" customHeight="1">
      <c r="A302" t="inlineStr">
        <is>
          <t>A 21508-2024</t>
        </is>
      </c>
      <c r="B302" s="1" t="n">
        <v>45441.56905092593</v>
      </c>
      <c r="C302" s="1" t="n">
        <v>46037</v>
      </c>
      <c r="D302" t="inlineStr">
        <is>
          <t>JÄMTLANDS LÄN</t>
        </is>
      </c>
      <c r="E302" t="inlineStr">
        <is>
          <t>BERG</t>
        </is>
      </c>
      <c r="G302" t="n">
        <v>3.2</v>
      </c>
      <c r="H302" t="n">
        <v>0</v>
      </c>
      <c r="I302" t="n">
        <v>0</v>
      </c>
      <c r="J302" t="n">
        <v>0</v>
      </c>
      <c r="K302" t="n">
        <v>0</v>
      </c>
      <c r="L302" t="n">
        <v>0</v>
      </c>
      <c r="M302" t="n">
        <v>0</v>
      </c>
      <c r="N302" t="n">
        <v>0</v>
      </c>
      <c r="O302" t="n">
        <v>0</v>
      </c>
      <c r="P302" t="n">
        <v>0</v>
      </c>
      <c r="Q302" t="n">
        <v>0</v>
      </c>
      <c r="R302" s="2" t="inlineStr"/>
    </row>
    <row r="303" ht="15" customHeight="1">
      <c r="A303" t="inlineStr">
        <is>
          <t>A 29378-2024</t>
        </is>
      </c>
      <c r="B303" s="1" t="n">
        <v>45483.59328703704</v>
      </c>
      <c r="C303" s="1" t="n">
        <v>46037</v>
      </c>
      <c r="D303" t="inlineStr">
        <is>
          <t>JÄMTLANDS LÄN</t>
        </is>
      </c>
      <c r="E303" t="inlineStr">
        <is>
          <t>BERG</t>
        </is>
      </c>
      <c r="G303" t="n">
        <v>5.6</v>
      </c>
      <c r="H303" t="n">
        <v>0</v>
      </c>
      <c r="I303" t="n">
        <v>0</v>
      </c>
      <c r="J303" t="n">
        <v>0</v>
      </c>
      <c r="K303" t="n">
        <v>0</v>
      </c>
      <c r="L303" t="n">
        <v>0</v>
      </c>
      <c r="M303" t="n">
        <v>0</v>
      </c>
      <c r="N303" t="n">
        <v>0</v>
      </c>
      <c r="O303" t="n">
        <v>0</v>
      </c>
      <c r="P303" t="n">
        <v>0</v>
      </c>
      <c r="Q303" t="n">
        <v>0</v>
      </c>
      <c r="R303" s="2" t="inlineStr"/>
    </row>
    <row r="304" ht="15" customHeight="1">
      <c r="A304" t="inlineStr">
        <is>
          <t>A 24786-2025</t>
        </is>
      </c>
      <c r="B304" s="1" t="n">
        <v>45799.42777777778</v>
      </c>
      <c r="C304" s="1" t="n">
        <v>46037</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24849-2025</t>
        </is>
      </c>
      <c r="B305" s="1" t="n">
        <v>45799.46949074074</v>
      </c>
      <c r="C305" s="1" t="n">
        <v>46037</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47168-2025</t>
        </is>
      </c>
      <c r="B306" s="1" t="n">
        <v>45929.86864583333</v>
      </c>
      <c r="C306" s="1" t="n">
        <v>46037</v>
      </c>
      <c r="D306" t="inlineStr">
        <is>
          <t>JÄMTLANDS LÄN</t>
        </is>
      </c>
      <c r="E306" t="inlineStr">
        <is>
          <t>BERG</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24869-2025</t>
        </is>
      </c>
      <c r="B307" s="1" t="n">
        <v>45799.48994212963</v>
      </c>
      <c r="C307" s="1" t="n">
        <v>46037</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64251-2023</t>
        </is>
      </c>
      <c r="B308" s="1" t="n">
        <v>45279.92756944444</v>
      </c>
      <c r="C308" s="1" t="n">
        <v>46037</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60409-2023</t>
        </is>
      </c>
      <c r="B309" s="1" t="n">
        <v>45259.47972222222</v>
      </c>
      <c r="C309" s="1" t="n">
        <v>46037</v>
      </c>
      <c r="D309" t="inlineStr">
        <is>
          <t>JÄMTLANDS LÄN</t>
        </is>
      </c>
      <c r="E309" t="inlineStr">
        <is>
          <t>BERG</t>
        </is>
      </c>
      <c r="G309" t="n">
        <v>5.8</v>
      </c>
      <c r="H309" t="n">
        <v>0</v>
      </c>
      <c r="I309" t="n">
        <v>0</v>
      </c>
      <c r="J309" t="n">
        <v>0</v>
      </c>
      <c r="K309" t="n">
        <v>0</v>
      </c>
      <c r="L309" t="n">
        <v>0</v>
      </c>
      <c r="M309" t="n">
        <v>0</v>
      </c>
      <c r="N309" t="n">
        <v>0</v>
      </c>
      <c r="O309" t="n">
        <v>0</v>
      </c>
      <c r="P309" t="n">
        <v>0</v>
      </c>
      <c r="Q309" t="n">
        <v>0</v>
      </c>
      <c r="R309" s="2" t="inlineStr"/>
    </row>
    <row r="310" ht="15" customHeight="1">
      <c r="A310" t="inlineStr">
        <is>
          <t>A 32654-2025</t>
        </is>
      </c>
      <c r="B310" s="1" t="n">
        <v>45838.6778587963</v>
      </c>
      <c r="C310" s="1" t="n">
        <v>46037</v>
      </c>
      <c r="D310" t="inlineStr">
        <is>
          <t>JÄMTLANDS LÄN</t>
        </is>
      </c>
      <c r="E310" t="inlineStr">
        <is>
          <t>BERG</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24954-2025</t>
        </is>
      </c>
      <c r="B311" s="1" t="n">
        <v>45799.57385416667</v>
      </c>
      <c r="C311" s="1" t="n">
        <v>46037</v>
      </c>
      <c r="D311" t="inlineStr">
        <is>
          <t>JÄMTLANDS LÄN</t>
        </is>
      </c>
      <c r="E311" t="inlineStr">
        <is>
          <t>BERG</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57226-2022</t>
        </is>
      </c>
      <c r="B312" s="1" t="n">
        <v>44895.66629629629</v>
      </c>
      <c r="C312" s="1" t="n">
        <v>46037</v>
      </c>
      <c r="D312" t="inlineStr">
        <is>
          <t>JÄMTLANDS LÄN</t>
        </is>
      </c>
      <c r="E312" t="inlineStr">
        <is>
          <t>BERG</t>
        </is>
      </c>
      <c r="G312" t="n">
        <v>4.6</v>
      </c>
      <c r="H312" t="n">
        <v>0</v>
      </c>
      <c r="I312" t="n">
        <v>0</v>
      </c>
      <c r="J312" t="n">
        <v>0</v>
      </c>
      <c r="K312" t="n">
        <v>0</v>
      </c>
      <c r="L312" t="n">
        <v>0</v>
      </c>
      <c r="M312" t="n">
        <v>0</v>
      </c>
      <c r="N312" t="n">
        <v>0</v>
      </c>
      <c r="O312" t="n">
        <v>0</v>
      </c>
      <c r="P312" t="n">
        <v>0</v>
      </c>
      <c r="Q312" t="n">
        <v>0</v>
      </c>
      <c r="R312" s="2" t="inlineStr"/>
    </row>
    <row r="313" ht="15" customHeight="1">
      <c r="A313" t="inlineStr">
        <is>
          <t>A 23560-2024</t>
        </is>
      </c>
      <c r="B313" s="1" t="n">
        <v>45453.95467592592</v>
      </c>
      <c r="C313" s="1" t="n">
        <v>46037</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39004-2025</t>
        </is>
      </c>
      <c r="B314" s="1" t="n">
        <v>45888.34472222222</v>
      </c>
      <c r="C314" s="1" t="n">
        <v>46037</v>
      </c>
      <c r="D314" t="inlineStr">
        <is>
          <t>JÄMTLANDS LÄN</t>
        </is>
      </c>
      <c r="E314" t="inlineStr">
        <is>
          <t>BERG</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35866-2024</t>
        </is>
      </c>
      <c r="B315" s="1" t="n">
        <v>45533.3422337963</v>
      </c>
      <c r="C315" s="1" t="n">
        <v>46037</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64709-2021</t>
        </is>
      </c>
      <c r="B316" s="1" t="n">
        <v>44512</v>
      </c>
      <c r="C316" s="1" t="n">
        <v>46037</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17922-2024</t>
        </is>
      </c>
      <c r="B317" s="1" t="n">
        <v>45419.5853587963</v>
      </c>
      <c r="C317" s="1" t="n">
        <v>46037</v>
      </c>
      <c r="D317" t="inlineStr">
        <is>
          <t>JÄMTLANDS LÄN</t>
        </is>
      </c>
      <c r="E317" t="inlineStr">
        <is>
          <t>BERG</t>
        </is>
      </c>
      <c r="F317" t="inlineStr">
        <is>
          <t>Holmen skog AB</t>
        </is>
      </c>
      <c r="G317" t="n">
        <v>6.8</v>
      </c>
      <c r="H317" t="n">
        <v>0</v>
      </c>
      <c r="I317" t="n">
        <v>0</v>
      </c>
      <c r="J317" t="n">
        <v>0</v>
      </c>
      <c r="K317" t="n">
        <v>0</v>
      </c>
      <c r="L317" t="n">
        <v>0</v>
      </c>
      <c r="M317" t="n">
        <v>0</v>
      </c>
      <c r="N317" t="n">
        <v>0</v>
      </c>
      <c r="O317" t="n">
        <v>0</v>
      </c>
      <c r="P317" t="n">
        <v>0</v>
      </c>
      <c r="Q317" t="n">
        <v>0</v>
      </c>
      <c r="R317" s="2" t="inlineStr"/>
    </row>
    <row r="318" ht="15" customHeight="1">
      <c r="A318" t="inlineStr">
        <is>
          <t>A 25938-2025</t>
        </is>
      </c>
      <c r="B318" s="1" t="n">
        <v>45804.59414351852</v>
      </c>
      <c r="C318" s="1" t="n">
        <v>46037</v>
      </c>
      <c r="D318" t="inlineStr">
        <is>
          <t>JÄMTLANDS LÄN</t>
        </is>
      </c>
      <c r="E318" t="inlineStr">
        <is>
          <t>BERG</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46991-2024</t>
        </is>
      </c>
      <c r="B319" s="1" t="n">
        <v>45586.365625</v>
      </c>
      <c r="C319" s="1" t="n">
        <v>46037</v>
      </c>
      <c r="D319" t="inlineStr">
        <is>
          <t>JÄMTLANDS LÄN</t>
        </is>
      </c>
      <c r="E319" t="inlineStr">
        <is>
          <t>BERG</t>
        </is>
      </c>
      <c r="G319" t="n">
        <v>2.9</v>
      </c>
      <c r="H319" t="n">
        <v>0</v>
      </c>
      <c r="I319" t="n">
        <v>0</v>
      </c>
      <c r="J319" t="n">
        <v>0</v>
      </c>
      <c r="K319" t="n">
        <v>0</v>
      </c>
      <c r="L319" t="n">
        <v>0</v>
      </c>
      <c r="M319" t="n">
        <v>0</v>
      </c>
      <c r="N319" t="n">
        <v>0</v>
      </c>
      <c r="O319" t="n">
        <v>0</v>
      </c>
      <c r="P319" t="n">
        <v>0</v>
      </c>
      <c r="Q319" t="n">
        <v>0</v>
      </c>
      <c r="R319" s="2" t="inlineStr"/>
    </row>
    <row r="320" ht="15" customHeight="1">
      <c r="A320" t="inlineStr">
        <is>
          <t>A 39544-2025</t>
        </is>
      </c>
      <c r="B320" s="1" t="n">
        <v>45890.45547453704</v>
      </c>
      <c r="C320" s="1" t="n">
        <v>46037</v>
      </c>
      <c r="D320" t="inlineStr">
        <is>
          <t>JÄMTLANDS LÄN</t>
        </is>
      </c>
      <c r="E320" t="inlineStr">
        <is>
          <t>BERG</t>
        </is>
      </c>
      <c r="G320" t="n">
        <v>7.5</v>
      </c>
      <c r="H320" t="n">
        <v>0</v>
      </c>
      <c r="I320" t="n">
        <v>0</v>
      </c>
      <c r="J320" t="n">
        <v>0</v>
      </c>
      <c r="K320" t="n">
        <v>0</v>
      </c>
      <c r="L320" t="n">
        <v>0</v>
      </c>
      <c r="M320" t="n">
        <v>0</v>
      </c>
      <c r="N320" t="n">
        <v>0</v>
      </c>
      <c r="O320" t="n">
        <v>0</v>
      </c>
      <c r="P320" t="n">
        <v>0</v>
      </c>
      <c r="Q320" t="n">
        <v>0</v>
      </c>
      <c r="R320" s="2" t="inlineStr"/>
    </row>
    <row r="321" ht="15" customHeight="1">
      <c r="A321" t="inlineStr">
        <is>
          <t>A 39601-2025</t>
        </is>
      </c>
      <c r="B321" s="1" t="n">
        <v>45890.55284722222</v>
      </c>
      <c r="C321" s="1" t="n">
        <v>46037</v>
      </c>
      <c r="D321" t="inlineStr">
        <is>
          <t>JÄMTLANDS LÄN</t>
        </is>
      </c>
      <c r="E321" t="inlineStr">
        <is>
          <t>BERG</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25960-2025</t>
        </is>
      </c>
      <c r="B322" s="1" t="n">
        <v>45804.60972222222</v>
      </c>
      <c r="C322" s="1" t="n">
        <v>46037</v>
      </c>
      <c r="D322" t="inlineStr">
        <is>
          <t>JÄMTLANDS LÄN</t>
        </is>
      </c>
      <c r="E322" t="inlineStr">
        <is>
          <t>BERG</t>
        </is>
      </c>
      <c r="G322" t="n">
        <v>7.3</v>
      </c>
      <c r="H322" t="n">
        <v>0</v>
      </c>
      <c r="I322" t="n">
        <v>0</v>
      </c>
      <c r="J322" t="n">
        <v>0</v>
      </c>
      <c r="K322" t="n">
        <v>0</v>
      </c>
      <c r="L322" t="n">
        <v>0</v>
      </c>
      <c r="M322" t="n">
        <v>0</v>
      </c>
      <c r="N322" t="n">
        <v>0</v>
      </c>
      <c r="O322" t="n">
        <v>0</v>
      </c>
      <c r="P322" t="n">
        <v>0</v>
      </c>
      <c r="Q322" t="n">
        <v>0</v>
      </c>
      <c r="R322" s="2" t="inlineStr"/>
    </row>
    <row r="323" ht="15" customHeight="1">
      <c r="A323" t="inlineStr">
        <is>
          <t>A 25976-2025</t>
        </is>
      </c>
      <c r="B323" s="1" t="n">
        <v>45804.63596064815</v>
      </c>
      <c r="C323" s="1" t="n">
        <v>46037</v>
      </c>
      <c r="D323" t="inlineStr">
        <is>
          <t>JÄMTLANDS LÄN</t>
        </is>
      </c>
      <c r="E323" t="inlineStr">
        <is>
          <t>BERG</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25979-2025</t>
        </is>
      </c>
      <c r="B324" s="1" t="n">
        <v>45804.63642361111</v>
      </c>
      <c r="C324" s="1" t="n">
        <v>46037</v>
      </c>
      <c r="D324" t="inlineStr">
        <is>
          <t>JÄMTLANDS LÄN</t>
        </is>
      </c>
      <c r="E324" t="inlineStr">
        <is>
          <t>BERG</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54799-2021</t>
        </is>
      </c>
      <c r="B325" s="1" t="n">
        <v>44473</v>
      </c>
      <c r="C325" s="1" t="n">
        <v>46037</v>
      </c>
      <c r="D325" t="inlineStr">
        <is>
          <t>JÄMTLANDS LÄN</t>
        </is>
      </c>
      <c r="E325" t="inlineStr">
        <is>
          <t>BERG</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25885-2025</t>
        </is>
      </c>
      <c r="B326" s="1" t="n">
        <v>45804.51075231482</v>
      </c>
      <c r="C326" s="1" t="n">
        <v>46037</v>
      </c>
      <c r="D326" t="inlineStr">
        <is>
          <t>JÄMTLANDS LÄN</t>
        </is>
      </c>
      <c r="E326" t="inlineStr">
        <is>
          <t>BERG</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25887-2025</t>
        </is>
      </c>
      <c r="B327" s="1" t="n">
        <v>45804.51104166666</v>
      </c>
      <c r="C327" s="1" t="n">
        <v>46037</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25886-2025</t>
        </is>
      </c>
      <c r="B328" s="1" t="n">
        <v>45804.51092592593</v>
      </c>
      <c r="C328" s="1" t="n">
        <v>46037</v>
      </c>
      <c r="D328" t="inlineStr">
        <is>
          <t>JÄMTLANDS LÄN</t>
        </is>
      </c>
      <c r="E328" t="inlineStr">
        <is>
          <t>BERG</t>
        </is>
      </c>
      <c r="F328" t="inlineStr">
        <is>
          <t>SCA</t>
        </is>
      </c>
      <c r="G328" t="n">
        <v>18.3</v>
      </c>
      <c r="H328" t="n">
        <v>0</v>
      </c>
      <c r="I328" t="n">
        <v>0</v>
      </c>
      <c r="J328" t="n">
        <v>0</v>
      </c>
      <c r="K328" t="n">
        <v>0</v>
      </c>
      <c r="L328" t="n">
        <v>0</v>
      </c>
      <c r="M328" t="n">
        <v>0</v>
      </c>
      <c r="N328" t="n">
        <v>0</v>
      </c>
      <c r="O328" t="n">
        <v>0</v>
      </c>
      <c r="P328" t="n">
        <v>0</v>
      </c>
      <c r="Q328" t="n">
        <v>0</v>
      </c>
      <c r="R328" s="2" t="inlineStr"/>
    </row>
    <row r="329" ht="15" customHeight="1">
      <c r="A329" t="inlineStr">
        <is>
          <t>A 25951-2025</t>
        </is>
      </c>
      <c r="B329" s="1" t="n">
        <v>45804.5984375</v>
      </c>
      <c r="C329" s="1" t="n">
        <v>46037</v>
      </c>
      <c r="D329" t="inlineStr">
        <is>
          <t>JÄMTLANDS LÄN</t>
        </is>
      </c>
      <c r="E329" t="inlineStr">
        <is>
          <t>BERG</t>
        </is>
      </c>
      <c r="G329" t="n">
        <v>0.9</v>
      </c>
      <c r="H329" t="n">
        <v>0</v>
      </c>
      <c r="I329" t="n">
        <v>0</v>
      </c>
      <c r="J329" t="n">
        <v>0</v>
      </c>
      <c r="K329" t="n">
        <v>0</v>
      </c>
      <c r="L329" t="n">
        <v>0</v>
      </c>
      <c r="M329" t="n">
        <v>0</v>
      </c>
      <c r="N329" t="n">
        <v>0</v>
      </c>
      <c r="O329" t="n">
        <v>0</v>
      </c>
      <c r="P329" t="n">
        <v>0</v>
      </c>
      <c r="Q329" t="n">
        <v>0</v>
      </c>
      <c r="R329" s="2" t="inlineStr"/>
    </row>
    <row r="330" ht="15" customHeight="1">
      <c r="A330" t="inlineStr">
        <is>
          <t>A 25980-2025</t>
        </is>
      </c>
      <c r="B330" s="1" t="n">
        <v>45804.63658564815</v>
      </c>
      <c r="C330" s="1" t="n">
        <v>46037</v>
      </c>
      <c r="D330" t="inlineStr">
        <is>
          <t>JÄMTLANDS LÄN</t>
        </is>
      </c>
      <c r="E330" t="inlineStr">
        <is>
          <t>BERG</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25441-2025</t>
        </is>
      </c>
      <c r="B331" s="1" t="n">
        <v>45801.34476851852</v>
      </c>
      <c r="C331" s="1" t="n">
        <v>46037</v>
      </c>
      <c r="D331" t="inlineStr">
        <is>
          <t>JÄMTLANDS LÄN</t>
        </is>
      </c>
      <c r="E331" t="inlineStr">
        <is>
          <t>BERG</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25454-2025</t>
        </is>
      </c>
      <c r="B332" s="1" t="n">
        <v>45802.34460648148</v>
      </c>
      <c r="C332" s="1" t="n">
        <v>46037</v>
      </c>
      <c r="D332" t="inlineStr">
        <is>
          <t>JÄMTLANDS LÄN</t>
        </is>
      </c>
      <c r="E332" t="inlineStr">
        <is>
          <t>BERG</t>
        </is>
      </c>
      <c r="F332" t="inlineStr">
        <is>
          <t>SCA</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39418-2025</t>
        </is>
      </c>
      <c r="B333" s="1" t="n">
        <v>45889</v>
      </c>
      <c r="C333" s="1" t="n">
        <v>46037</v>
      </c>
      <c r="D333" t="inlineStr">
        <is>
          <t>JÄMTLANDS LÄN</t>
        </is>
      </c>
      <c r="E333" t="inlineStr">
        <is>
          <t>BERG</t>
        </is>
      </c>
      <c r="G333" t="n">
        <v>19.8</v>
      </c>
      <c r="H333" t="n">
        <v>0</v>
      </c>
      <c r="I333" t="n">
        <v>0</v>
      </c>
      <c r="J333" t="n">
        <v>0</v>
      </c>
      <c r="K333" t="n">
        <v>0</v>
      </c>
      <c r="L333" t="n">
        <v>0</v>
      </c>
      <c r="M333" t="n">
        <v>0</v>
      </c>
      <c r="N333" t="n">
        <v>0</v>
      </c>
      <c r="O333" t="n">
        <v>0</v>
      </c>
      <c r="P333" t="n">
        <v>0</v>
      </c>
      <c r="Q333" t="n">
        <v>0</v>
      </c>
      <c r="R333" s="2" t="inlineStr"/>
    </row>
    <row r="334" ht="15" customHeight="1">
      <c r="A334" t="inlineStr">
        <is>
          <t>A 26013-2025</t>
        </is>
      </c>
      <c r="B334" s="1" t="n">
        <v>45804.67760416667</v>
      </c>
      <c r="C334" s="1" t="n">
        <v>46037</v>
      </c>
      <c r="D334" t="inlineStr">
        <is>
          <t>JÄMTLANDS LÄN</t>
        </is>
      </c>
      <c r="E334" t="inlineStr">
        <is>
          <t>BERG</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39698-2025</t>
        </is>
      </c>
      <c r="B335" s="1" t="n">
        <v>45890.69837962963</v>
      </c>
      <c r="C335" s="1" t="n">
        <v>46037</v>
      </c>
      <c r="D335" t="inlineStr">
        <is>
          <t>JÄMTLANDS LÄN</t>
        </is>
      </c>
      <c r="E335" t="inlineStr">
        <is>
          <t>BERG</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25452-2025</t>
        </is>
      </c>
      <c r="B336" s="1" t="n">
        <v>45802.34440972222</v>
      </c>
      <c r="C336" s="1" t="n">
        <v>46037</v>
      </c>
      <c r="D336" t="inlineStr">
        <is>
          <t>JÄMTLANDS LÄN</t>
        </is>
      </c>
      <c r="E336" t="inlineStr">
        <is>
          <t>BERG</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25453-2025</t>
        </is>
      </c>
      <c r="B337" s="1" t="n">
        <v>45802.34451388889</v>
      </c>
      <c r="C337" s="1" t="n">
        <v>46037</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39539-2025</t>
        </is>
      </c>
      <c r="B338" s="1" t="n">
        <v>45890.4525</v>
      </c>
      <c r="C338" s="1" t="n">
        <v>46037</v>
      </c>
      <c r="D338" t="inlineStr">
        <is>
          <t>JÄMTLANDS LÄN</t>
        </is>
      </c>
      <c r="E338" t="inlineStr">
        <is>
          <t>BERG</t>
        </is>
      </c>
      <c r="G338" t="n">
        <v>7.7</v>
      </c>
      <c r="H338" t="n">
        <v>0</v>
      </c>
      <c r="I338" t="n">
        <v>0</v>
      </c>
      <c r="J338" t="n">
        <v>0</v>
      </c>
      <c r="K338" t="n">
        <v>0</v>
      </c>
      <c r="L338" t="n">
        <v>0</v>
      </c>
      <c r="M338" t="n">
        <v>0</v>
      </c>
      <c r="N338" t="n">
        <v>0</v>
      </c>
      <c r="O338" t="n">
        <v>0</v>
      </c>
      <c r="P338" t="n">
        <v>0</v>
      </c>
      <c r="Q338" t="n">
        <v>0</v>
      </c>
      <c r="R338" s="2" t="inlineStr"/>
    </row>
    <row r="339" ht="15" customHeight="1">
      <c r="A339" t="inlineStr">
        <is>
          <t>A 17266-2025</t>
        </is>
      </c>
      <c r="B339" s="1" t="n">
        <v>45756</v>
      </c>
      <c r="C339" s="1" t="n">
        <v>46037</v>
      </c>
      <c r="D339" t="inlineStr">
        <is>
          <t>JÄMTLANDS LÄN</t>
        </is>
      </c>
      <c r="E339" t="inlineStr">
        <is>
          <t>BERG</t>
        </is>
      </c>
      <c r="G339" t="n">
        <v>20.1</v>
      </c>
      <c r="H339" t="n">
        <v>0</v>
      </c>
      <c r="I339" t="n">
        <v>0</v>
      </c>
      <c r="J339" t="n">
        <v>0</v>
      </c>
      <c r="K339" t="n">
        <v>0</v>
      </c>
      <c r="L339" t="n">
        <v>0</v>
      </c>
      <c r="M339" t="n">
        <v>0</v>
      </c>
      <c r="N339" t="n">
        <v>0</v>
      </c>
      <c r="O339" t="n">
        <v>0</v>
      </c>
      <c r="P339" t="n">
        <v>0</v>
      </c>
      <c r="Q339" t="n">
        <v>0</v>
      </c>
      <c r="R339" s="2" t="inlineStr"/>
    </row>
    <row r="340" ht="15" customHeight="1">
      <c r="A340" t="inlineStr">
        <is>
          <t>A 26378-2025</t>
        </is>
      </c>
      <c r="B340" s="1" t="n">
        <v>45806.48989583334</v>
      </c>
      <c r="C340" s="1" t="n">
        <v>46037</v>
      </c>
      <c r="D340" t="inlineStr">
        <is>
          <t>JÄMTLANDS LÄN</t>
        </is>
      </c>
      <c r="E340" t="inlineStr">
        <is>
          <t>BERG</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26275-2025</t>
        </is>
      </c>
      <c r="B341" s="1" t="n">
        <v>45805.60230324074</v>
      </c>
      <c r="C341" s="1" t="n">
        <v>46037</v>
      </c>
      <c r="D341" t="inlineStr">
        <is>
          <t>JÄMTLANDS LÄN</t>
        </is>
      </c>
      <c r="E341" t="inlineStr">
        <is>
          <t>BERG</t>
        </is>
      </c>
      <c r="G341" t="n">
        <v>10.2</v>
      </c>
      <c r="H341" t="n">
        <v>0</v>
      </c>
      <c r="I341" t="n">
        <v>0</v>
      </c>
      <c r="J341" t="n">
        <v>0</v>
      </c>
      <c r="K341" t="n">
        <v>0</v>
      </c>
      <c r="L341" t="n">
        <v>0</v>
      </c>
      <c r="M341" t="n">
        <v>0</v>
      </c>
      <c r="N341" t="n">
        <v>0</v>
      </c>
      <c r="O341" t="n">
        <v>0</v>
      </c>
      <c r="P341" t="n">
        <v>0</v>
      </c>
      <c r="Q341" t="n">
        <v>0</v>
      </c>
      <c r="R341" s="2" t="inlineStr"/>
    </row>
    <row r="342" ht="15" customHeight="1">
      <c r="A342" t="inlineStr">
        <is>
          <t>A 26053-2025</t>
        </is>
      </c>
      <c r="B342" s="1" t="n">
        <v>45804.75445601852</v>
      </c>
      <c r="C342" s="1" t="n">
        <v>46037</v>
      </c>
      <c r="D342" t="inlineStr">
        <is>
          <t>JÄMTLANDS LÄN</t>
        </is>
      </c>
      <c r="E342" t="inlineStr">
        <is>
          <t>BERG</t>
        </is>
      </c>
      <c r="G342" t="n">
        <v>6</v>
      </c>
      <c r="H342" t="n">
        <v>0</v>
      </c>
      <c r="I342" t="n">
        <v>0</v>
      </c>
      <c r="J342" t="n">
        <v>0</v>
      </c>
      <c r="K342" t="n">
        <v>0</v>
      </c>
      <c r="L342" t="n">
        <v>0</v>
      </c>
      <c r="M342" t="n">
        <v>0</v>
      </c>
      <c r="N342" t="n">
        <v>0</v>
      </c>
      <c r="O342" t="n">
        <v>0</v>
      </c>
      <c r="P342" t="n">
        <v>0</v>
      </c>
      <c r="Q342" t="n">
        <v>0</v>
      </c>
      <c r="R342" s="2" t="inlineStr"/>
    </row>
    <row r="343" ht="15" customHeight="1">
      <c r="A343" t="inlineStr">
        <is>
          <t>A 29540-2024</t>
        </is>
      </c>
      <c r="B343" s="1" t="n">
        <v>45484</v>
      </c>
      <c r="C343" s="1" t="n">
        <v>46037</v>
      </c>
      <c r="D343" t="inlineStr">
        <is>
          <t>JÄMTLANDS LÄN</t>
        </is>
      </c>
      <c r="E343" t="inlineStr">
        <is>
          <t>BERG</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28098-2024</t>
        </is>
      </c>
      <c r="B344" s="1" t="n">
        <v>45476.61347222222</v>
      </c>
      <c r="C344" s="1" t="n">
        <v>46037</v>
      </c>
      <c r="D344" t="inlineStr">
        <is>
          <t>JÄMTLANDS LÄN</t>
        </is>
      </c>
      <c r="E344" t="inlineStr">
        <is>
          <t>BERG</t>
        </is>
      </c>
      <c r="G344" t="n">
        <v>0.4</v>
      </c>
      <c r="H344" t="n">
        <v>0</v>
      </c>
      <c r="I344" t="n">
        <v>0</v>
      </c>
      <c r="J344" t="n">
        <v>0</v>
      </c>
      <c r="K344" t="n">
        <v>0</v>
      </c>
      <c r="L344" t="n">
        <v>0</v>
      </c>
      <c r="M344" t="n">
        <v>0</v>
      </c>
      <c r="N344" t="n">
        <v>0</v>
      </c>
      <c r="O344" t="n">
        <v>0</v>
      </c>
      <c r="P344" t="n">
        <v>0</v>
      </c>
      <c r="Q344" t="n">
        <v>0</v>
      </c>
      <c r="R344" s="2" t="inlineStr"/>
    </row>
    <row r="345" ht="15" customHeight="1">
      <c r="A345" t="inlineStr">
        <is>
          <t>A 26374-2025</t>
        </is>
      </c>
      <c r="B345" s="1" t="n">
        <v>45806.42745370371</v>
      </c>
      <c r="C345" s="1" t="n">
        <v>46037</v>
      </c>
      <c r="D345" t="inlineStr">
        <is>
          <t>JÄMTLANDS LÄN</t>
        </is>
      </c>
      <c r="E345" t="inlineStr">
        <is>
          <t>BERG</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33386-2025</t>
        </is>
      </c>
      <c r="B346" s="1" t="n">
        <v>45841.40587962963</v>
      </c>
      <c r="C346" s="1" t="n">
        <v>46037</v>
      </c>
      <c r="D346" t="inlineStr">
        <is>
          <t>JÄMTLANDS LÄN</t>
        </is>
      </c>
      <c r="E346" t="inlineStr">
        <is>
          <t>BERG</t>
        </is>
      </c>
      <c r="G346" t="n">
        <v>37.7</v>
      </c>
      <c r="H346" t="n">
        <v>0</v>
      </c>
      <c r="I346" t="n">
        <v>0</v>
      </c>
      <c r="J346" t="n">
        <v>0</v>
      </c>
      <c r="K346" t="n">
        <v>0</v>
      </c>
      <c r="L346" t="n">
        <v>0</v>
      </c>
      <c r="M346" t="n">
        <v>0</v>
      </c>
      <c r="N346" t="n">
        <v>0</v>
      </c>
      <c r="O346" t="n">
        <v>0</v>
      </c>
      <c r="P346" t="n">
        <v>0</v>
      </c>
      <c r="Q346" t="n">
        <v>0</v>
      </c>
      <c r="R346" s="2" t="inlineStr"/>
    </row>
    <row r="347" ht="15" customHeight="1">
      <c r="A347" t="inlineStr">
        <is>
          <t>A 40060-2025</t>
        </is>
      </c>
      <c r="B347" s="1" t="n">
        <v>45894.42746527777</v>
      </c>
      <c r="C347" s="1" t="n">
        <v>46037</v>
      </c>
      <c r="D347" t="inlineStr">
        <is>
          <t>JÄMTLANDS LÄN</t>
        </is>
      </c>
      <c r="E347" t="inlineStr">
        <is>
          <t>BERG</t>
        </is>
      </c>
      <c r="F347" t="inlineStr">
        <is>
          <t>SCA</t>
        </is>
      </c>
      <c r="G347" t="n">
        <v>8</v>
      </c>
      <c r="H347" t="n">
        <v>0</v>
      </c>
      <c r="I347" t="n">
        <v>0</v>
      </c>
      <c r="J347" t="n">
        <v>0</v>
      </c>
      <c r="K347" t="n">
        <v>0</v>
      </c>
      <c r="L347" t="n">
        <v>0</v>
      </c>
      <c r="M347" t="n">
        <v>0</v>
      </c>
      <c r="N347" t="n">
        <v>0</v>
      </c>
      <c r="O347" t="n">
        <v>0</v>
      </c>
      <c r="P347" t="n">
        <v>0</v>
      </c>
      <c r="Q347" t="n">
        <v>0</v>
      </c>
      <c r="R347" s="2" t="inlineStr"/>
    </row>
    <row r="348" ht="15" customHeight="1">
      <c r="A348" t="inlineStr">
        <is>
          <t>A 26186-2025</t>
        </is>
      </c>
      <c r="B348" s="1" t="n">
        <v>45805.47840277778</v>
      </c>
      <c r="C348" s="1" t="n">
        <v>46037</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38682-2023</t>
        </is>
      </c>
      <c r="B349" s="1" t="n">
        <v>45162</v>
      </c>
      <c r="C349" s="1" t="n">
        <v>46037</v>
      </c>
      <c r="D349" t="inlineStr">
        <is>
          <t>JÄMTLANDS LÄN</t>
        </is>
      </c>
      <c r="E349" t="inlineStr">
        <is>
          <t>BERG</t>
        </is>
      </c>
      <c r="F349" t="inlineStr">
        <is>
          <t>SCA</t>
        </is>
      </c>
      <c r="G349" t="n">
        <v>21.3</v>
      </c>
      <c r="H349" t="n">
        <v>0</v>
      </c>
      <c r="I349" t="n">
        <v>0</v>
      </c>
      <c r="J349" t="n">
        <v>0</v>
      </c>
      <c r="K349" t="n">
        <v>0</v>
      </c>
      <c r="L349" t="n">
        <v>0</v>
      </c>
      <c r="M349" t="n">
        <v>0</v>
      </c>
      <c r="N349" t="n">
        <v>0</v>
      </c>
      <c r="O349" t="n">
        <v>0</v>
      </c>
      <c r="P349" t="n">
        <v>0</v>
      </c>
      <c r="Q349" t="n">
        <v>0</v>
      </c>
      <c r="R349" s="2" t="inlineStr"/>
    </row>
    <row r="350" ht="15" customHeight="1">
      <c r="A350" t="inlineStr">
        <is>
          <t>A 33962-2024</t>
        </is>
      </c>
      <c r="B350" s="1" t="n">
        <v>45523.48854166667</v>
      </c>
      <c r="C350" s="1" t="n">
        <v>46037</v>
      </c>
      <c r="D350" t="inlineStr">
        <is>
          <t>JÄMTLANDS LÄN</t>
        </is>
      </c>
      <c r="E350" t="inlineStr">
        <is>
          <t>BERG</t>
        </is>
      </c>
      <c r="G350" t="n">
        <v>2.2</v>
      </c>
      <c r="H350" t="n">
        <v>0</v>
      </c>
      <c r="I350" t="n">
        <v>0</v>
      </c>
      <c r="J350" t="n">
        <v>0</v>
      </c>
      <c r="K350" t="n">
        <v>0</v>
      </c>
      <c r="L350" t="n">
        <v>0</v>
      </c>
      <c r="M350" t="n">
        <v>0</v>
      </c>
      <c r="N350" t="n">
        <v>0</v>
      </c>
      <c r="O350" t="n">
        <v>0</v>
      </c>
      <c r="P350" t="n">
        <v>0</v>
      </c>
      <c r="Q350" t="n">
        <v>0</v>
      </c>
      <c r="R350" s="2" t="inlineStr"/>
    </row>
    <row r="351" ht="15" customHeight="1">
      <c r="A351" t="inlineStr">
        <is>
          <t>A 40630-2025</t>
        </is>
      </c>
      <c r="B351" s="1" t="n">
        <v>45896</v>
      </c>
      <c r="C351" s="1" t="n">
        <v>46037</v>
      </c>
      <c r="D351" t="inlineStr">
        <is>
          <t>JÄMTLANDS LÄN</t>
        </is>
      </c>
      <c r="E351" t="inlineStr">
        <is>
          <t>BERG</t>
        </is>
      </c>
      <c r="G351" t="n">
        <v>2.1</v>
      </c>
      <c r="H351" t="n">
        <v>0</v>
      </c>
      <c r="I351" t="n">
        <v>0</v>
      </c>
      <c r="J351" t="n">
        <v>0</v>
      </c>
      <c r="K351" t="n">
        <v>0</v>
      </c>
      <c r="L351" t="n">
        <v>0</v>
      </c>
      <c r="M351" t="n">
        <v>0</v>
      </c>
      <c r="N351" t="n">
        <v>0</v>
      </c>
      <c r="O351" t="n">
        <v>0</v>
      </c>
      <c r="P351" t="n">
        <v>0</v>
      </c>
      <c r="Q351" t="n">
        <v>0</v>
      </c>
      <c r="R351" s="2" t="inlineStr"/>
    </row>
    <row r="352" ht="15" customHeight="1">
      <c r="A352" t="inlineStr">
        <is>
          <t>A 40410-2025</t>
        </is>
      </c>
      <c r="B352" s="1" t="n">
        <v>45895.57349537037</v>
      </c>
      <c r="C352" s="1" t="n">
        <v>46037</v>
      </c>
      <c r="D352" t="inlineStr">
        <is>
          <t>JÄMTLANDS LÄN</t>
        </is>
      </c>
      <c r="E352" t="inlineStr">
        <is>
          <t>BERG</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40266-2025</t>
        </is>
      </c>
      <c r="B353" s="1" t="n">
        <v>45895.34478009259</v>
      </c>
      <c r="C353" s="1" t="n">
        <v>46037</v>
      </c>
      <c r="D353" t="inlineStr">
        <is>
          <t>JÄMTLANDS LÄN</t>
        </is>
      </c>
      <c r="E353" t="inlineStr">
        <is>
          <t>BERG</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29424-2024</t>
        </is>
      </c>
      <c r="B354" s="1" t="n">
        <v>45483.71451388889</v>
      </c>
      <c r="C354" s="1" t="n">
        <v>46037</v>
      </c>
      <c r="D354" t="inlineStr">
        <is>
          <t>JÄMTLANDS LÄN</t>
        </is>
      </c>
      <c r="E354" t="inlineStr">
        <is>
          <t>BERG</t>
        </is>
      </c>
      <c r="G354" t="n">
        <v>4</v>
      </c>
      <c r="H354" t="n">
        <v>0</v>
      </c>
      <c r="I354" t="n">
        <v>0</v>
      </c>
      <c r="J354" t="n">
        <v>0</v>
      </c>
      <c r="K354" t="n">
        <v>0</v>
      </c>
      <c r="L354" t="n">
        <v>0</v>
      </c>
      <c r="M354" t="n">
        <v>0</v>
      </c>
      <c r="N354" t="n">
        <v>0</v>
      </c>
      <c r="O354" t="n">
        <v>0</v>
      </c>
      <c r="P354" t="n">
        <v>0</v>
      </c>
      <c r="Q354" t="n">
        <v>0</v>
      </c>
      <c r="R354" s="2" t="inlineStr"/>
    </row>
    <row r="355" ht="15" customHeight="1">
      <c r="A355" t="inlineStr">
        <is>
          <t>A 30917-2024</t>
        </is>
      </c>
      <c r="B355" s="1" t="n">
        <v>45498.66611111111</v>
      </c>
      <c r="C355" s="1" t="n">
        <v>46037</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30992-2024</t>
        </is>
      </c>
      <c r="B356" s="1" t="n">
        <v>45499</v>
      </c>
      <c r="C356" s="1" t="n">
        <v>46037</v>
      </c>
      <c r="D356" t="inlineStr">
        <is>
          <t>JÄMTLANDS LÄN</t>
        </is>
      </c>
      <c r="E356" t="inlineStr">
        <is>
          <t>BERG</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45081-2022</t>
        </is>
      </c>
      <c r="B357" s="1" t="n">
        <v>44841</v>
      </c>
      <c r="C357" s="1" t="n">
        <v>46037</v>
      </c>
      <c r="D357" t="inlineStr">
        <is>
          <t>JÄMTLANDS LÄN</t>
        </is>
      </c>
      <c r="E357" t="inlineStr">
        <is>
          <t>BERG</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40339-2025</t>
        </is>
      </c>
      <c r="B358" s="1" t="n">
        <v>45895</v>
      </c>
      <c r="C358" s="1" t="n">
        <v>46037</v>
      </c>
      <c r="D358" t="inlineStr">
        <is>
          <t>JÄMTLANDS LÄN</t>
        </is>
      </c>
      <c r="E358" t="inlineStr">
        <is>
          <t>BERG</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40340-2025</t>
        </is>
      </c>
      <c r="B359" s="1" t="n">
        <v>45895.46922453704</v>
      </c>
      <c r="C359" s="1" t="n">
        <v>46037</v>
      </c>
      <c r="D359" t="inlineStr">
        <is>
          <t>JÄMTLANDS LÄN</t>
        </is>
      </c>
      <c r="E359" t="inlineStr">
        <is>
          <t>BERG</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40341-2025</t>
        </is>
      </c>
      <c r="B360" s="1" t="n">
        <v>45895</v>
      </c>
      <c r="C360" s="1" t="n">
        <v>46037</v>
      </c>
      <c r="D360" t="inlineStr">
        <is>
          <t>JÄMTLANDS LÄN</t>
        </is>
      </c>
      <c r="E360" t="inlineStr">
        <is>
          <t>BERG</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40617-2025</t>
        </is>
      </c>
      <c r="B361" s="1" t="n">
        <v>45896.58326388889</v>
      </c>
      <c r="C361" s="1" t="n">
        <v>46037</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41247-2025</t>
        </is>
      </c>
      <c r="B362" s="1" t="n">
        <v>45898.60109953704</v>
      </c>
      <c r="C362" s="1" t="n">
        <v>46037</v>
      </c>
      <c r="D362" t="inlineStr">
        <is>
          <t>JÄMTLANDS LÄN</t>
        </is>
      </c>
      <c r="E362" t="inlineStr">
        <is>
          <t>BERG</t>
        </is>
      </c>
      <c r="G362" t="n">
        <v>17.5</v>
      </c>
      <c r="H362" t="n">
        <v>0</v>
      </c>
      <c r="I362" t="n">
        <v>0</v>
      </c>
      <c r="J362" t="n">
        <v>0</v>
      </c>
      <c r="K362" t="n">
        <v>0</v>
      </c>
      <c r="L362" t="n">
        <v>0</v>
      </c>
      <c r="M362" t="n">
        <v>0</v>
      </c>
      <c r="N362" t="n">
        <v>0</v>
      </c>
      <c r="O362" t="n">
        <v>0</v>
      </c>
      <c r="P362" t="n">
        <v>0</v>
      </c>
      <c r="Q362" t="n">
        <v>0</v>
      </c>
      <c r="R362" s="2" t="inlineStr"/>
    </row>
    <row r="363" ht="15" customHeight="1">
      <c r="A363" t="inlineStr">
        <is>
          <t>A 26743-2025</t>
        </is>
      </c>
      <c r="B363" s="1" t="n">
        <v>45810.53163194445</v>
      </c>
      <c r="C363" s="1" t="n">
        <v>46037</v>
      </c>
      <c r="D363" t="inlineStr">
        <is>
          <t>JÄMTLANDS LÄN</t>
        </is>
      </c>
      <c r="E363" t="inlineStr">
        <is>
          <t>BERG</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5911-2024</t>
        </is>
      </c>
      <c r="B364" s="1" t="n">
        <v>45335</v>
      </c>
      <c r="C364" s="1" t="n">
        <v>46037</v>
      </c>
      <c r="D364" t="inlineStr">
        <is>
          <t>JÄMTLANDS LÄN</t>
        </is>
      </c>
      <c r="E364" t="inlineStr">
        <is>
          <t>BERG</t>
        </is>
      </c>
      <c r="F364" t="inlineStr">
        <is>
          <t>SCA</t>
        </is>
      </c>
      <c r="G364" t="n">
        <v>28.6</v>
      </c>
      <c r="H364" t="n">
        <v>0</v>
      </c>
      <c r="I364" t="n">
        <v>0</v>
      </c>
      <c r="J364" t="n">
        <v>0</v>
      </c>
      <c r="K364" t="n">
        <v>0</v>
      </c>
      <c r="L364" t="n">
        <v>0</v>
      </c>
      <c r="M364" t="n">
        <v>0</v>
      </c>
      <c r="N364" t="n">
        <v>0</v>
      </c>
      <c r="O364" t="n">
        <v>0</v>
      </c>
      <c r="P364" t="n">
        <v>0</v>
      </c>
      <c r="Q364" t="n">
        <v>0</v>
      </c>
      <c r="R364" s="2" t="inlineStr"/>
    </row>
    <row r="365" ht="15" customHeight="1">
      <c r="A365" t="inlineStr">
        <is>
          <t>A 1983-2022</t>
        </is>
      </c>
      <c r="B365" s="1" t="n">
        <v>44575</v>
      </c>
      <c r="C365" s="1" t="n">
        <v>46037</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2002-2022</t>
        </is>
      </c>
      <c r="B366" s="1" t="n">
        <v>44575</v>
      </c>
      <c r="C366" s="1" t="n">
        <v>46037</v>
      </c>
      <c r="D366" t="inlineStr">
        <is>
          <t>JÄMTLANDS LÄN</t>
        </is>
      </c>
      <c r="E366" t="inlineStr">
        <is>
          <t>BERG</t>
        </is>
      </c>
      <c r="G366" t="n">
        <v>11.3</v>
      </c>
      <c r="H366" t="n">
        <v>0</v>
      </c>
      <c r="I366" t="n">
        <v>0</v>
      </c>
      <c r="J366" t="n">
        <v>0</v>
      </c>
      <c r="K366" t="n">
        <v>0</v>
      </c>
      <c r="L366" t="n">
        <v>0</v>
      </c>
      <c r="M366" t="n">
        <v>0</v>
      </c>
      <c r="N366" t="n">
        <v>0</v>
      </c>
      <c r="O366" t="n">
        <v>0</v>
      </c>
      <c r="P366" t="n">
        <v>0</v>
      </c>
      <c r="Q366" t="n">
        <v>0</v>
      </c>
      <c r="R366" s="2" t="inlineStr"/>
    </row>
    <row r="367" ht="15" customHeight="1">
      <c r="A367" t="inlineStr">
        <is>
          <t>A 39186-2024</t>
        </is>
      </c>
      <c r="B367" s="1" t="n">
        <v>45548.66489583333</v>
      </c>
      <c r="C367" s="1" t="n">
        <v>46037</v>
      </c>
      <c r="D367" t="inlineStr">
        <is>
          <t>JÄMTLANDS LÄN</t>
        </is>
      </c>
      <c r="E367" t="inlineStr">
        <is>
          <t>BERG</t>
        </is>
      </c>
      <c r="G367" t="n">
        <v>38.4</v>
      </c>
      <c r="H367" t="n">
        <v>0</v>
      </c>
      <c r="I367" t="n">
        <v>0</v>
      </c>
      <c r="J367" t="n">
        <v>0</v>
      </c>
      <c r="K367" t="n">
        <v>0</v>
      </c>
      <c r="L367" t="n">
        <v>0</v>
      </c>
      <c r="M367" t="n">
        <v>0</v>
      </c>
      <c r="N367" t="n">
        <v>0</v>
      </c>
      <c r="O367" t="n">
        <v>0</v>
      </c>
      <c r="P367" t="n">
        <v>0</v>
      </c>
      <c r="Q367" t="n">
        <v>0</v>
      </c>
      <c r="R367" s="2" t="inlineStr"/>
    </row>
    <row r="368" ht="15" customHeight="1">
      <c r="A368" t="inlineStr">
        <is>
          <t>A 41295-2025</t>
        </is>
      </c>
      <c r="B368" s="1" t="n">
        <v>45898.65660879629</v>
      </c>
      <c r="C368" s="1" t="n">
        <v>46037</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27312-2025</t>
        </is>
      </c>
      <c r="B369" s="1" t="n">
        <v>45812.58002314815</v>
      </c>
      <c r="C369" s="1" t="n">
        <v>46037</v>
      </c>
      <c r="D369" t="inlineStr">
        <is>
          <t>JÄMTLANDS LÄN</t>
        </is>
      </c>
      <c r="E369" t="inlineStr">
        <is>
          <t>BERG</t>
        </is>
      </c>
      <c r="G369" t="n">
        <v>6</v>
      </c>
      <c r="H369" t="n">
        <v>0</v>
      </c>
      <c r="I369" t="n">
        <v>0</v>
      </c>
      <c r="J369" t="n">
        <v>0</v>
      </c>
      <c r="K369" t="n">
        <v>0</v>
      </c>
      <c r="L369" t="n">
        <v>0</v>
      </c>
      <c r="M369" t="n">
        <v>0</v>
      </c>
      <c r="N369" t="n">
        <v>0</v>
      </c>
      <c r="O369" t="n">
        <v>0</v>
      </c>
      <c r="P369" t="n">
        <v>0</v>
      </c>
      <c r="Q369" t="n">
        <v>0</v>
      </c>
      <c r="R369" s="2" t="inlineStr"/>
    </row>
    <row r="370" ht="15" customHeight="1">
      <c r="A370" t="inlineStr">
        <is>
          <t>A 40918-2025</t>
        </is>
      </c>
      <c r="B370" s="1" t="n">
        <v>45897.6292824074</v>
      </c>
      <c r="C370" s="1" t="n">
        <v>46037</v>
      </c>
      <c r="D370" t="inlineStr">
        <is>
          <t>JÄMTLANDS LÄN</t>
        </is>
      </c>
      <c r="E370" t="inlineStr">
        <is>
          <t>BERG</t>
        </is>
      </c>
      <c r="G370" t="n">
        <v>1.7</v>
      </c>
      <c r="H370" t="n">
        <v>0</v>
      </c>
      <c r="I370" t="n">
        <v>0</v>
      </c>
      <c r="J370" t="n">
        <v>0</v>
      </c>
      <c r="K370" t="n">
        <v>0</v>
      </c>
      <c r="L370" t="n">
        <v>0</v>
      </c>
      <c r="M370" t="n">
        <v>0</v>
      </c>
      <c r="N370" t="n">
        <v>0</v>
      </c>
      <c r="O370" t="n">
        <v>0</v>
      </c>
      <c r="P370" t="n">
        <v>0</v>
      </c>
      <c r="Q370" t="n">
        <v>0</v>
      </c>
      <c r="R370" s="2" t="inlineStr"/>
    </row>
    <row r="371" ht="15" customHeight="1">
      <c r="A371" t="inlineStr">
        <is>
          <t>A 40708-2025</t>
        </is>
      </c>
      <c r="B371" s="1" t="n">
        <v>45897</v>
      </c>
      <c r="C371" s="1" t="n">
        <v>46037</v>
      </c>
      <c r="D371" t="inlineStr">
        <is>
          <t>JÄMTLANDS LÄN</t>
        </is>
      </c>
      <c r="E371" t="inlineStr">
        <is>
          <t>BERG</t>
        </is>
      </c>
      <c r="G371" t="n">
        <v>6.6</v>
      </c>
      <c r="H371" t="n">
        <v>0</v>
      </c>
      <c r="I371" t="n">
        <v>0</v>
      </c>
      <c r="J371" t="n">
        <v>0</v>
      </c>
      <c r="K371" t="n">
        <v>0</v>
      </c>
      <c r="L371" t="n">
        <v>0</v>
      </c>
      <c r="M371" t="n">
        <v>0</v>
      </c>
      <c r="N371" t="n">
        <v>0</v>
      </c>
      <c r="O371" t="n">
        <v>0</v>
      </c>
      <c r="P371" t="n">
        <v>0</v>
      </c>
      <c r="Q371" t="n">
        <v>0</v>
      </c>
      <c r="R371" s="2" t="inlineStr"/>
    </row>
    <row r="372" ht="15" customHeight="1">
      <c r="A372" t="inlineStr">
        <is>
          <t>A 27317-2025</t>
        </is>
      </c>
      <c r="B372" s="1" t="n">
        <v>45812.59011574074</v>
      </c>
      <c r="C372" s="1" t="n">
        <v>46037</v>
      </c>
      <c r="D372" t="inlineStr">
        <is>
          <t>JÄMTLANDS LÄN</t>
        </is>
      </c>
      <c r="E372" t="inlineStr">
        <is>
          <t>BERG</t>
        </is>
      </c>
      <c r="G372" t="n">
        <v>6.2</v>
      </c>
      <c r="H372" t="n">
        <v>0</v>
      </c>
      <c r="I372" t="n">
        <v>0</v>
      </c>
      <c r="J372" t="n">
        <v>0</v>
      </c>
      <c r="K372" t="n">
        <v>0</v>
      </c>
      <c r="L372" t="n">
        <v>0</v>
      </c>
      <c r="M372" t="n">
        <v>0</v>
      </c>
      <c r="N372" t="n">
        <v>0</v>
      </c>
      <c r="O372" t="n">
        <v>0</v>
      </c>
      <c r="P372" t="n">
        <v>0</v>
      </c>
      <c r="Q372" t="n">
        <v>0</v>
      </c>
      <c r="R372" s="2" t="inlineStr"/>
    </row>
    <row r="373" ht="15" customHeight="1">
      <c r="A373" t="inlineStr">
        <is>
          <t>A 40873-2025</t>
        </is>
      </c>
      <c r="B373" s="1" t="n">
        <v>45897.5744675926</v>
      </c>
      <c r="C373" s="1" t="n">
        <v>46037</v>
      </c>
      <c r="D373" t="inlineStr">
        <is>
          <t>JÄMTLANDS LÄN</t>
        </is>
      </c>
      <c r="E373" t="inlineStr">
        <is>
          <t>BERG</t>
        </is>
      </c>
      <c r="G373" t="n">
        <v>0.6</v>
      </c>
      <c r="H373" t="n">
        <v>0</v>
      </c>
      <c r="I373" t="n">
        <v>0</v>
      </c>
      <c r="J373" t="n">
        <v>0</v>
      </c>
      <c r="K373" t="n">
        <v>0</v>
      </c>
      <c r="L373" t="n">
        <v>0</v>
      </c>
      <c r="M373" t="n">
        <v>0</v>
      </c>
      <c r="N373" t="n">
        <v>0</v>
      </c>
      <c r="O373" t="n">
        <v>0</v>
      </c>
      <c r="P373" t="n">
        <v>0</v>
      </c>
      <c r="Q373" t="n">
        <v>0</v>
      </c>
      <c r="R373" s="2" t="inlineStr"/>
    </row>
    <row r="374" ht="15" customHeight="1">
      <c r="A374" t="inlineStr">
        <is>
          <t>A 32879-2024</t>
        </is>
      </c>
      <c r="B374" s="1" t="n">
        <v>45516.68450231481</v>
      </c>
      <c r="C374" s="1" t="n">
        <v>46037</v>
      </c>
      <c r="D374" t="inlineStr">
        <is>
          <t>JÄMTLANDS LÄN</t>
        </is>
      </c>
      <c r="E374" t="inlineStr">
        <is>
          <t>BERG</t>
        </is>
      </c>
      <c r="G374" t="n">
        <v>2</v>
      </c>
      <c r="H374" t="n">
        <v>0</v>
      </c>
      <c r="I374" t="n">
        <v>0</v>
      </c>
      <c r="J374" t="n">
        <v>0</v>
      </c>
      <c r="K374" t="n">
        <v>0</v>
      </c>
      <c r="L374" t="n">
        <v>0</v>
      </c>
      <c r="M374" t="n">
        <v>0</v>
      </c>
      <c r="N374" t="n">
        <v>0</v>
      </c>
      <c r="O374" t="n">
        <v>0</v>
      </c>
      <c r="P374" t="n">
        <v>0</v>
      </c>
      <c r="Q374" t="n">
        <v>0</v>
      </c>
      <c r="R374" s="2" t="inlineStr"/>
    </row>
    <row r="375" ht="15" customHeight="1">
      <c r="A375" t="inlineStr">
        <is>
          <t>A 19345-2024</t>
        </is>
      </c>
      <c r="B375" s="1" t="n">
        <v>45428.97185185185</v>
      </c>
      <c r="C375" s="1" t="n">
        <v>46037</v>
      </c>
      <c r="D375" t="inlineStr">
        <is>
          <t>JÄMTLANDS LÄN</t>
        </is>
      </c>
      <c r="E375" t="inlineStr">
        <is>
          <t>BERG</t>
        </is>
      </c>
      <c r="F375" t="inlineStr">
        <is>
          <t>SCA</t>
        </is>
      </c>
      <c r="G375" t="n">
        <v>14.7</v>
      </c>
      <c r="H375" t="n">
        <v>0</v>
      </c>
      <c r="I375" t="n">
        <v>0</v>
      </c>
      <c r="J375" t="n">
        <v>0</v>
      </c>
      <c r="K375" t="n">
        <v>0</v>
      </c>
      <c r="L375" t="n">
        <v>0</v>
      </c>
      <c r="M375" t="n">
        <v>0</v>
      </c>
      <c r="N375" t="n">
        <v>0</v>
      </c>
      <c r="O375" t="n">
        <v>0</v>
      </c>
      <c r="P375" t="n">
        <v>0</v>
      </c>
      <c r="Q375" t="n">
        <v>0</v>
      </c>
      <c r="R375" s="2" t="inlineStr"/>
    </row>
    <row r="376" ht="15" customHeight="1">
      <c r="A376" t="inlineStr">
        <is>
          <t>A 41265-2025</t>
        </is>
      </c>
      <c r="B376" s="1" t="n">
        <v>45898.6153587963</v>
      </c>
      <c r="C376" s="1" t="n">
        <v>46037</v>
      </c>
      <c r="D376" t="inlineStr">
        <is>
          <t>JÄMTLANDS LÄN</t>
        </is>
      </c>
      <c r="E376" t="inlineStr">
        <is>
          <t>BERG</t>
        </is>
      </c>
      <c r="G376" t="n">
        <v>1.6</v>
      </c>
      <c r="H376" t="n">
        <v>0</v>
      </c>
      <c r="I376" t="n">
        <v>0</v>
      </c>
      <c r="J376" t="n">
        <v>0</v>
      </c>
      <c r="K376" t="n">
        <v>0</v>
      </c>
      <c r="L376" t="n">
        <v>0</v>
      </c>
      <c r="M376" t="n">
        <v>0</v>
      </c>
      <c r="N376" t="n">
        <v>0</v>
      </c>
      <c r="O376" t="n">
        <v>0</v>
      </c>
      <c r="P376" t="n">
        <v>0</v>
      </c>
      <c r="Q376" t="n">
        <v>0</v>
      </c>
      <c r="R376" s="2" t="inlineStr"/>
    </row>
    <row r="377" ht="15" customHeight="1">
      <c r="A377" t="inlineStr">
        <is>
          <t>A 41263-2025</t>
        </is>
      </c>
      <c r="B377" s="1" t="n">
        <v>45898.61517361111</v>
      </c>
      <c r="C377" s="1" t="n">
        <v>46037</v>
      </c>
      <c r="D377" t="inlineStr">
        <is>
          <t>JÄMTLANDS LÄN</t>
        </is>
      </c>
      <c r="E377" t="inlineStr">
        <is>
          <t>BERG</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53456-2022</t>
        </is>
      </c>
      <c r="B378" s="1" t="n">
        <v>44874</v>
      </c>
      <c r="C378" s="1" t="n">
        <v>46037</v>
      </c>
      <c r="D378" t="inlineStr">
        <is>
          <t>JÄMTLANDS LÄN</t>
        </is>
      </c>
      <c r="E378" t="inlineStr">
        <is>
          <t>BERG</t>
        </is>
      </c>
      <c r="G378" t="n">
        <v>13.3</v>
      </c>
      <c r="H378" t="n">
        <v>0</v>
      </c>
      <c r="I378" t="n">
        <v>0</v>
      </c>
      <c r="J378" t="n">
        <v>0</v>
      </c>
      <c r="K378" t="n">
        <v>0</v>
      </c>
      <c r="L378" t="n">
        <v>0</v>
      </c>
      <c r="M378" t="n">
        <v>0</v>
      </c>
      <c r="N378" t="n">
        <v>0</v>
      </c>
      <c r="O378" t="n">
        <v>0</v>
      </c>
      <c r="P378" t="n">
        <v>0</v>
      </c>
      <c r="Q378" t="n">
        <v>0</v>
      </c>
      <c r="R378" s="2" t="inlineStr"/>
    </row>
    <row r="379" ht="15" customHeight="1">
      <c r="A379" t="inlineStr">
        <is>
          <t>A 40737-2025</t>
        </is>
      </c>
      <c r="B379" s="1" t="n">
        <v>45897.36572916667</v>
      </c>
      <c r="C379" s="1" t="n">
        <v>46037</v>
      </c>
      <c r="D379" t="inlineStr">
        <is>
          <t>JÄMTLANDS LÄN</t>
        </is>
      </c>
      <c r="E379" t="inlineStr">
        <is>
          <t>BERG</t>
        </is>
      </c>
      <c r="G379" t="n">
        <v>2.8</v>
      </c>
      <c r="H379" t="n">
        <v>0</v>
      </c>
      <c r="I379" t="n">
        <v>0</v>
      </c>
      <c r="J379" t="n">
        <v>0</v>
      </c>
      <c r="K379" t="n">
        <v>0</v>
      </c>
      <c r="L379" t="n">
        <v>0</v>
      </c>
      <c r="M379" t="n">
        <v>0</v>
      </c>
      <c r="N379" t="n">
        <v>0</v>
      </c>
      <c r="O379" t="n">
        <v>0</v>
      </c>
      <c r="P379" t="n">
        <v>0</v>
      </c>
      <c r="Q379" t="n">
        <v>0</v>
      </c>
      <c r="R379" s="2" t="inlineStr"/>
    </row>
    <row r="380" ht="15" customHeight="1">
      <c r="A380" t="inlineStr">
        <is>
          <t>A 27063-2025</t>
        </is>
      </c>
      <c r="B380" s="1" t="n">
        <v>45811.63626157407</v>
      </c>
      <c r="C380" s="1" t="n">
        <v>46037</v>
      </c>
      <c r="D380" t="inlineStr">
        <is>
          <t>JÄMTLANDS LÄN</t>
        </is>
      </c>
      <c r="E380" t="inlineStr">
        <is>
          <t>BERG</t>
        </is>
      </c>
      <c r="F380" t="inlineStr">
        <is>
          <t>SCA</t>
        </is>
      </c>
      <c r="G380" t="n">
        <v>18.9</v>
      </c>
      <c r="H380" t="n">
        <v>0</v>
      </c>
      <c r="I380" t="n">
        <v>0</v>
      </c>
      <c r="J380" t="n">
        <v>0</v>
      </c>
      <c r="K380" t="n">
        <v>0</v>
      </c>
      <c r="L380" t="n">
        <v>0</v>
      </c>
      <c r="M380" t="n">
        <v>0</v>
      </c>
      <c r="N380" t="n">
        <v>0</v>
      </c>
      <c r="O380" t="n">
        <v>0</v>
      </c>
      <c r="P380" t="n">
        <v>0</v>
      </c>
      <c r="Q380" t="n">
        <v>0</v>
      </c>
      <c r="R380" s="2" t="inlineStr"/>
    </row>
    <row r="381" ht="15" customHeight="1">
      <c r="A381" t="inlineStr">
        <is>
          <t>A 171-2022</t>
        </is>
      </c>
      <c r="B381" s="1" t="n">
        <v>44564</v>
      </c>
      <c r="C381" s="1" t="n">
        <v>46037</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27044-2025</t>
        </is>
      </c>
      <c r="B382" s="1" t="n">
        <v>45811.61496527777</v>
      </c>
      <c r="C382" s="1" t="n">
        <v>46037</v>
      </c>
      <c r="D382" t="inlineStr">
        <is>
          <t>JÄMTLANDS LÄN</t>
        </is>
      </c>
      <c r="E382" t="inlineStr">
        <is>
          <t>BERG</t>
        </is>
      </c>
      <c r="F382" t="inlineStr">
        <is>
          <t>SCA</t>
        </is>
      </c>
      <c r="G382" t="n">
        <v>26.1</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46037</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27575-2025</t>
        </is>
      </c>
      <c r="B384" s="1" t="n">
        <v>45813.49083333334</v>
      </c>
      <c r="C384" s="1" t="n">
        <v>46037</v>
      </c>
      <c r="D384" t="inlineStr">
        <is>
          <t>JÄMTLANDS LÄN</t>
        </is>
      </c>
      <c r="E384" t="inlineStr">
        <is>
          <t>BERG</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27603-2025</t>
        </is>
      </c>
      <c r="B385" s="1" t="n">
        <v>45813.53174768519</v>
      </c>
      <c r="C385" s="1" t="n">
        <v>46037</v>
      </c>
      <c r="D385" t="inlineStr">
        <is>
          <t>JÄMTLANDS LÄN</t>
        </is>
      </c>
      <c r="E385" t="inlineStr">
        <is>
          <t>BERG</t>
        </is>
      </c>
      <c r="F385" t="inlineStr">
        <is>
          <t>SCA</t>
        </is>
      </c>
      <c r="G385" t="n">
        <v>11.3</v>
      </c>
      <c r="H385" t="n">
        <v>0</v>
      </c>
      <c r="I385" t="n">
        <v>0</v>
      </c>
      <c r="J385" t="n">
        <v>0</v>
      </c>
      <c r="K385" t="n">
        <v>0</v>
      </c>
      <c r="L385" t="n">
        <v>0</v>
      </c>
      <c r="M385" t="n">
        <v>0</v>
      </c>
      <c r="N385" t="n">
        <v>0</v>
      </c>
      <c r="O385" t="n">
        <v>0</v>
      </c>
      <c r="P385" t="n">
        <v>0</v>
      </c>
      <c r="Q385" t="n">
        <v>0</v>
      </c>
      <c r="R385" s="2" t="inlineStr"/>
    </row>
    <row r="386" ht="15" customHeight="1">
      <c r="A386" t="inlineStr">
        <is>
          <t>A 59968-2024</t>
        </is>
      </c>
      <c r="B386" s="1" t="n">
        <v>45642</v>
      </c>
      <c r="C386" s="1" t="n">
        <v>46037</v>
      </c>
      <c r="D386" t="inlineStr">
        <is>
          <t>JÄMTLANDS LÄN</t>
        </is>
      </c>
      <c r="E386" t="inlineStr">
        <is>
          <t>BERG</t>
        </is>
      </c>
      <c r="G386" t="n">
        <v>4.7</v>
      </c>
      <c r="H386" t="n">
        <v>0</v>
      </c>
      <c r="I386" t="n">
        <v>0</v>
      </c>
      <c r="J386" t="n">
        <v>0</v>
      </c>
      <c r="K386" t="n">
        <v>0</v>
      </c>
      <c r="L386" t="n">
        <v>0</v>
      </c>
      <c r="M386" t="n">
        <v>0</v>
      </c>
      <c r="N386" t="n">
        <v>0</v>
      </c>
      <c r="O386" t="n">
        <v>0</v>
      </c>
      <c r="P386" t="n">
        <v>0</v>
      </c>
      <c r="Q386" t="n">
        <v>0</v>
      </c>
      <c r="R386" s="2" t="inlineStr"/>
    </row>
    <row r="387" ht="15" customHeight="1">
      <c r="A387" t="inlineStr">
        <is>
          <t>A 27569-2025</t>
        </is>
      </c>
      <c r="B387" s="1" t="n">
        <v>45813.49018518518</v>
      </c>
      <c r="C387" s="1" t="n">
        <v>46037</v>
      </c>
      <c r="D387" t="inlineStr">
        <is>
          <t>JÄMTLANDS LÄN</t>
        </is>
      </c>
      <c r="E387" t="inlineStr">
        <is>
          <t>BERG</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27459-2025</t>
        </is>
      </c>
      <c r="B388" s="1" t="n">
        <v>45813.34561342592</v>
      </c>
      <c r="C388" s="1" t="n">
        <v>46037</v>
      </c>
      <c r="D388" t="inlineStr">
        <is>
          <t>JÄMTLANDS LÄN</t>
        </is>
      </c>
      <c r="E388" t="inlineStr">
        <is>
          <t>BERG</t>
        </is>
      </c>
      <c r="F388" t="inlineStr">
        <is>
          <t>SCA</t>
        </is>
      </c>
      <c r="G388" t="n">
        <v>19.2</v>
      </c>
      <c r="H388" t="n">
        <v>0</v>
      </c>
      <c r="I388" t="n">
        <v>0</v>
      </c>
      <c r="J388" t="n">
        <v>0</v>
      </c>
      <c r="K388" t="n">
        <v>0</v>
      </c>
      <c r="L388" t="n">
        <v>0</v>
      </c>
      <c r="M388" t="n">
        <v>0</v>
      </c>
      <c r="N388" t="n">
        <v>0</v>
      </c>
      <c r="O388" t="n">
        <v>0</v>
      </c>
      <c r="P388" t="n">
        <v>0</v>
      </c>
      <c r="Q388" t="n">
        <v>0</v>
      </c>
      <c r="R388" s="2" t="inlineStr"/>
    </row>
    <row r="389" ht="15" customHeight="1">
      <c r="A389" t="inlineStr">
        <is>
          <t>A 162-2024</t>
        </is>
      </c>
      <c r="B389" s="1" t="n">
        <v>45294</v>
      </c>
      <c r="C389" s="1" t="n">
        <v>46037</v>
      </c>
      <c r="D389" t="inlineStr">
        <is>
          <t>JÄMTLANDS LÄN</t>
        </is>
      </c>
      <c r="E389" t="inlineStr">
        <is>
          <t>BERG</t>
        </is>
      </c>
      <c r="F389" t="inlineStr">
        <is>
          <t>Kyrkan</t>
        </is>
      </c>
      <c r="G389" t="n">
        <v>2.2</v>
      </c>
      <c r="H389" t="n">
        <v>0</v>
      </c>
      <c r="I389" t="n">
        <v>0</v>
      </c>
      <c r="J389" t="n">
        <v>0</v>
      </c>
      <c r="K389" t="n">
        <v>0</v>
      </c>
      <c r="L389" t="n">
        <v>0</v>
      </c>
      <c r="M389" t="n">
        <v>0</v>
      </c>
      <c r="N389" t="n">
        <v>0</v>
      </c>
      <c r="O389" t="n">
        <v>0</v>
      </c>
      <c r="P389" t="n">
        <v>0</v>
      </c>
      <c r="Q389" t="n">
        <v>0</v>
      </c>
      <c r="R389" s="2" t="inlineStr"/>
    </row>
    <row r="390" ht="15" customHeight="1">
      <c r="A390" t="inlineStr">
        <is>
          <t>A 27716-2025</t>
        </is>
      </c>
      <c r="B390" s="1" t="n">
        <v>45813.961875</v>
      </c>
      <c r="C390" s="1" t="n">
        <v>46037</v>
      </c>
      <c r="D390" t="inlineStr">
        <is>
          <t>JÄMTLANDS LÄN</t>
        </is>
      </c>
      <c r="E390" t="inlineStr">
        <is>
          <t>BERG</t>
        </is>
      </c>
      <c r="G390" t="n">
        <v>6.7</v>
      </c>
      <c r="H390" t="n">
        <v>0</v>
      </c>
      <c r="I390" t="n">
        <v>0</v>
      </c>
      <c r="J390" t="n">
        <v>0</v>
      </c>
      <c r="K390" t="n">
        <v>0</v>
      </c>
      <c r="L390" t="n">
        <v>0</v>
      </c>
      <c r="M390" t="n">
        <v>0</v>
      </c>
      <c r="N390" t="n">
        <v>0</v>
      </c>
      <c r="O390" t="n">
        <v>0</v>
      </c>
      <c r="P390" t="n">
        <v>0</v>
      </c>
      <c r="Q390" t="n">
        <v>0</v>
      </c>
      <c r="R390" s="2" t="inlineStr"/>
    </row>
    <row r="391" ht="15" customHeight="1">
      <c r="A391" t="inlineStr">
        <is>
          <t>A 525-2023</t>
        </is>
      </c>
      <c r="B391" s="1" t="n">
        <v>44924</v>
      </c>
      <c r="C391" s="1" t="n">
        <v>46037</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41930-2025</t>
        </is>
      </c>
      <c r="B392" s="1" t="n">
        <v>45903.43454861111</v>
      </c>
      <c r="C392" s="1" t="n">
        <v>46037</v>
      </c>
      <c r="D392" t="inlineStr">
        <is>
          <t>JÄMTLANDS LÄN</t>
        </is>
      </c>
      <c r="E392" t="inlineStr">
        <is>
          <t>BERG</t>
        </is>
      </c>
      <c r="F392" t="inlineStr">
        <is>
          <t>Övriga statliga verk och myndigheter</t>
        </is>
      </c>
      <c r="G392" t="n">
        <v>2.4</v>
      </c>
      <c r="H392" t="n">
        <v>0</v>
      </c>
      <c r="I392" t="n">
        <v>0</v>
      </c>
      <c r="J392" t="n">
        <v>0</v>
      </c>
      <c r="K392" t="n">
        <v>0</v>
      </c>
      <c r="L392" t="n">
        <v>0</v>
      </c>
      <c r="M392" t="n">
        <v>0</v>
      </c>
      <c r="N392" t="n">
        <v>0</v>
      </c>
      <c r="O392" t="n">
        <v>0</v>
      </c>
      <c r="P392" t="n">
        <v>0</v>
      </c>
      <c r="Q392" t="n">
        <v>0</v>
      </c>
      <c r="R392" s="2" t="inlineStr"/>
    </row>
    <row r="393" ht="15" customHeight="1">
      <c r="A393" t="inlineStr">
        <is>
          <t>A 42003-2025</t>
        </is>
      </c>
      <c r="B393" s="1" t="n">
        <v>45903.55403935185</v>
      </c>
      <c r="C393" s="1" t="n">
        <v>46037</v>
      </c>
      <c r="D393" t="inlineStr">
        <is>
          <t>JÄMTLANDS LÄN</t>
        </is>
      </c>
      <c r="E393" t="inlineStr">
        <is>
          <t>BERG</t>
        </is>
      </c>
      <c r="F393" t="inlineStr">
        <is>
          <t>Övriga statliga verk och myndigheter</t>
        </is>
      </c>
      <c r="G393" t="n">
        <v>10.5</v>
      </c>
      <c r="H393" t="n">
        <v>0</v>
      </c>
      <c r="I393" t="n">
        <v>0</v>
      </c>
      <c r="J393" t="n">
        <v>0</v>
      </c>
      <c r="K393" t="n">
        <v>0</v>
      </c>
      <c r="L393" t="n">
        <v>0</v>
      </c>
      <c r="M393" t="n">
        <v>0</v>
      </c>
      <c r="N393" t="n">
        <v>0</v>
      </c>
      <c r="O393" t="n">
        <v>0</v>
      </c>
      <c r="P393" t="n">
        <v>0</v>
      </c>
      <c r="Q393" t="n">
        <v>0</v>
      </c>
      <c r="R393" s="2" t="inlineStr"/>
    </row>
    <row r="394" ht="15" customHeight="1">
      <c r="A394" t="inlineStr">
        <is>
          <t>A 28232-2025</t>
        </is>
      </c>
      <c r="B394" s="1" t="n">
        <v>45818.48989583334</v>
      </c>
      <c r="C394" s="1" t="n">
        <v>46037</v>
      </c>
      <c r="D394" t="inlineStr">
        <is>
          <t>JÄMTLANDS LÄN</t>
        </is>
      </c>
      <c r="E394" t="inlineStr">
        <is>
          <t>BERG</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28157-2025</t>
        </is>
      </c>
      <c r="B395" s="1" t="n">
        <v>45818.36512731481</v>
      </c>
      <c r="C395" s="1" t="n">
        <v>46037</v>
      </c>
      <c r="D395" t="inlineStr">
        <is>
          <t>JÄMTLANDS LÄN</t>
        </is>
      </c>
      <c r="E395" t="inlineStr">
        <is>
          <t>BERG</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61239-2022</t>
        </is>
      </c>
      <c r="B396" s="1" t="n">
        <v>44909</v>
      </c>
      <c r="C396" s="1" t="n">
        <v>46037</v>
      </c>
      <c r="D396" t="inlineStr">
        <is>
          <t>JÄMTLANDS LÄN</t>
        </is>
      </c>
      <c r="E396" t="inlineStr">
        <is>
          <t>BERG</t>
        </is>
      </c>
      <c r="G396" t="n">
        <v>13.5</v>
      </c>
      <c r="H396" t="n">
        <v>0</v>
      </c>
      <c r="I396" t="n">
        <v>0</v>
      </c>
      <c r="J396" t="n">
        <v>0</v>
      </c>
      <c r="K396" t="n">
        <v>0</v>
      </c>
      <c r="L396" t="n">
        <v>0</v>
      </c>
      <c r="M396" t="n">
        <v>0</v>
      </c>
      <c r="N396" t="n">
        <v>0</v>
      </c>
      <c r="O396" t="n">
        <v>0</v>
      </c>
      <c r="P396" t="n">
        <v>0</v>
      </c>
      <c r="Q396" t="n">
        <v>0</v>
      </c>
      <c r="R396" s="2" t="inlineStr"/>
    </row>
    <row r="397" ht="15" customHeight="1">
      <c r="A397" t="inlineStr">
        <is>
          <t>A 61251-2022</t>
        </is>
      </c>
      <c r="B397" s="1" t="n">
        <v>44909</v>
      </c>
      <c r="C397" s="1" t="n">
        <v>46037</v>
      </c>
      <c r="D397" t="inlineStr">
        <is>
          <t>JÄMTLANDS LÄN</t>
        </is>
      </c>
      <c r="E397" t="inlineStr">
        <is>
          <t>BERG</t>
        </is>
      </c>
      <c r="G397" t="n">
        <v>3</v>
      </c>
      <c r="H397" t="n">
        <v>0</v>
      </c>
      <c r="I397" t="n">
        <v>0</v>
      </c>
      <c r="J397" t="n">
        <v>0</v>
      </c>
      <c r="K397" t="n">
        <v>0</v>
      </c>
      <c r="L397" t="n">
        <v>0</v>
      </c>
      <c r="M397" t="n">
        <v>0</v>
      </c>
      <c r="N397" t="n">
        <v>0</v>
      </c>
      <c r="O397" t="n">
        <v>0</v>
      </c>
      <c r="P397" t="n">
        <v>0</v>
      </c>
      <c r="Q397" t="n">
        <v>0</v>
      </c>
      <c r="R397" s="2" t="inlineStr"/>
    </row>
    <row r="398" ht="15" customHeight="1">
      <c r="A398" t="inlineStr">
        <is>
          <t>A 61255-2022</t>
        </is>
      </c>
      <c r="B398" s="1" t="n">
        <v>44909</v>
      </c>
      <c r="C398" s="1" t="n">
        <v>46037</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28196-2025</t>
        </is>
      </c>
      <c r="B399" s="1" t="n">
        <v>45818.42753472222</v>
      </c>
      <c r="C399" s="1" t="n">
        <v>46037</v>
      </c>
      <c r="D399" t="inlineStr">
        <is>
          <t>JÄMTLANDS LÄN</t>
        </is>
      </c>
      <c r="E399" t="inlineStr">
        <is>
          <t>BERG</t>
        </is>
      </c>
      <c r="F399" t="inlineStr">
        <is>
          <t>SCA</t>
        </is>
      </c>
      <c r="G399" t="n">
        <v>6.6</v>
      </c>
      <c r="H399" t="n">
        <v>0</v>
      </c>
      <c r="I399" t="n">
        <v>0</v>
      </c>
      <c r="J399" t="n">
        <v>0</v>
      </c>
      <c r="K399" t="n">
        <v>0</v>
      </c>
      <c r="L399" t="n">
        <v>0</v>
      </c>
      <c r="M399" t="n">
        <v>0</v>
      </c>
      <c r="N399" t="n">
        <v>0</v>
      </c>
      <c r="O399" t="n">
        <v>0</v>
      </c>
      <c r="P399" t="n">
        <v>0</v>
      </c>
      <c r="Q399" t="n">
        <v>0</v>
      </c>
      <c r="R399" s="2" t="inlineStr"/>
    </row>
    <row r="400" ht="15" customHeight="1">
      <c r="A400" t="inlineStr">
        <is>
          <t>A 41997-2025</t>
        </is>
      </c>
      <c r="B400" s="1" t="n">
        <v>45903.55162037037</v>
      </c>
      <c r="C400" s="1" t="n">
        <v>46037</v>
      </c>
      <c r="D400" t="inlineStr">
        <is>
          <t>JÄMTLANDS LÄN</t>
        </is>
      </c>
      <c r="E400" t="inlineStr">
        <is>
          <t>BERG</t>
        </is>
      </c>
      <c r="F400" t="inlineStr">
        <is>
          <t>Övriga statliga verk och myndigheter</t>
        </is>
      </c>
      <c r="G400" t="n">
        <v>2.2</v>
      </c>
      <c r="H400" t="n">
        <v>0</v>
      </c>
      <c r="I400" t="n">
        <v>0</v>
      </c>
      <c r="J400" t="n">
        <v>0</v>
      </c>
      <c r="K400" t="n">
        <v>0</v>
      </c>
      <c r="L400" t="n">
        <v>0</v>
      </c>
      <c r="M400" t="n">
        <v>0</v>
      </c>
      <c r="N400" t="n">
        <v>0</v>
      </c>
      <c r="O400" t="n">
        <v>0</v>
      </c>
      <c r="P400" t="n">
        <v>0</v>
      </c>
      <c r="Q400" t="n">
        <v>0</v>
      </c>
      <c r="R400" s="2" t="inlineStr"/>
    </row>
    <row r="401" ht="15" customHeight="1">
      <c r="A401" t="inlineStr">
        <is>
          <t>A 8388-2022</t>
        </is>
      </c>
      <c r="B401" s="1" t="n">
        <v>44610</v>
      </c>
      <c r="C401" s="1" t="n">
        <v>46037</v>
      </c>
      <c r="D401" t="inlineStr">
        <is>
          <t>JÄMTLANDS LÄN</t>
        </is>
      </c>
      <c r="E401" t="inlineStr">
        <is>
          <t>BERG</t>
        </is>
      </c>
      <c r="G401" t="n">
        <v>2.6</v>
      </c>
      <c r="H401" t="n">
        <v>0</v>
      </c>
      <c r="I401" t="n">
        <v>0</v>
      </c>
      <c r="J401" t="n">
        <v>0</v>
      </c>
      <c r="K401" t="n">
        <v>0</v>
      </c>
      <c r="L401" t="n">
        <v>0</v>
      </c>
      <c r="M401" t="n">
        <v>0</v>
      </c>
      <c r="N401" t="n">
        <v>0</v>
      </c>
      <c r="O401" t="n">
        <v>0</v>
      </c>
      <c r="P401" t="n">
        <v>0</v>
      </c>
      <c r="Q401" t="n">
        <v>0</v>
      </c>
      <c r="R401" s="2" t="inlineStr"/>
    </row>
    <row r="402" ht="15" customHeight="1">
      <c r="A402" t="inlineStr">
        <is>
          <t>A 42415-2025</t>
        </is>
      </c>
      <c r="B402" s="1" t="n">
        <v>45905.39195601852</v>
      </c>
      <c r="C402" s="1" t="n">
        <v>46037</v>
      </c>
      <c r="D402" t="inlineStr">
        <is>
          <t>JÄMTLANDS LÄN</t>
        </is>
      </c>
      <c r="E402" t="inlineStr">
        <is>
          <t>BERG</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39269-2024</t>
        </is>
      </c>
      <c r="B403" s="1" t="n">
        <v>45551.34488425926</v>
      </c>
      <c r="C403" s="1" t="n">
        <v>46037</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31024-2025</t>
        </is>
      </c>
      <c r="B404" s="1" t="n">
        <v>45832.52571759259</v>
      </c>
      <c r="C404" s="1" t="n">
        <v>46037</v>
      </c>
      <c r="D404" t="inlineStr">
        <is>
          <t>JÄMTLANDS LÄN</t>
        </is>
      </c>
      <c r="E404" t="inlineStr">
        <is>
          <t>BERG</t>
        </is>
      </c>
      <c r="G404" t="n">
        <v>3.6</v>
      </c>
      <c r="H404" t="n">
        <v>0</v>
      </c>
      <c r="I404" t="n">
        <v>0</v>
      </c>
      <c r="J404" t="n">
        <v>0</v>
      </c>
      <c r="K404" t="n">
        <v>0</v>
      </c>
      <c r="L404" t="n">
        <v>0</v>
      </c>
      <c r="M404" t="n">
        <v>0</v>
      </c>
      <c r="N404" t="n">
        <v>0</v>
      </c>
      <c r="O404" t="n">
        <v>0</v>
      </c>
      <c r="P404" t="n">
        <v>0</v>
      </c>
      <c r="Q404" t="n">
        <v>0</v>
      </c>
      <c r="R404" s="2" t="inlineStr"/>
    </row>
    <row r="405" ht="15" customHeight="1">
      <c r="A405" t="inlineStr">
        <is>
          <t>A 28079-2025</t>
        </is>
      </c>
      <c r="B405" s="1" t="n">
        <v>45817.69681712963</v>
      </c>
      <c r="C405" s="1" t="n">
        <v>46037</v>
      </c>
      <c r="D405" t="inlineStr">
        <is>
          <t>JÄMTLANDS LÄN</t>
        </is>
      </c>
      <c r="E405" t="inlineStr">
        <is>
          <t>BERG</t>
        </is>
      </c>
      <c r="G405" t="n">
        <v>3.7</v>
      </c>
      <c r="H405" t="n">
        <v>0</v>
      </c>
      <c r="I405" t="n">
        <v>0</v>
      </c>
      <c r="J405" t="n">
        <v>0</v>
      </c>
      <c r="K405" t="n">
        <v>0</v>
      </c>
      <c r="L405" t="n">
        <v>0</v>
      </c>
      <c r="M405" t="n">
        <v>0</v>
      </c>
      <c r="N405" t="n">
        <v>0</v>
      </c>
      <c r="O405" t="n">
        <v>0</v>
      </c>
      <c r="P405" t="n">
        <v>0</v>
      </c>
      <c r="Q405" t="n">
        <v>0</v>
      </c>
      <c r="R405" s="2" t="inlineStr"/>
    </row>
    <row r="406" ht="15" customHeight="1">
      <c r="A406" t="inlineStr">
        <is>
          <t>A 27750-2025</t>
        </is>
      </c>
      <c r="B406" s="1" t="n">
        <v>45815.68543981481</v>
      </c>
      <c r="C406" s="1" t="n">
        <v>46037</v>
      </c>
      <c r="D406" t="inlineStr">
        <is>
          <t>JÄMTLANDS LÄN</t>
        </is>
      </c>
      <c r="E406" t="inlineStr">
        <is>
          <t>BERG</t>
        </is>
      </c>
      <c r="G406" t="n">
        <v>2.4</v>
      </c>
      <c r="H406" t="n">
        <v>0</v>
      </c>
      <c r="I406" t="n">
        <v>0</v>
      </c>
      <c r="J406" t="n">
        <v>0</v>
      </c>
      <c r="K406" t="n">
        <v>0</v>
      </c>
      <c r="L406" t="n">
        <v>0</v>
      </c>
      <c r="M406" t="n">
        <v>0</v>
      </c>
      <c r="N406" t="n">
        <v>0</v>
      </c>
      <c r="O406" t="n">
        <v>0</v>
      </c>
      <c r="P406" t="n">
        <v>0</v>
      </c>
      <c r="Q406" t="n">
        <v>0</v>
      </c>
      <c r="R406" s="2" t="inlineStr"/>
    </row>
    <row r="407" ht="15" customHeight="1">
      <c r="A407" t="inlineStr">
        <is>
          <t>A 28257-2025</t>
        </is>
      </c>
      <c r="B407" s="1" t="n">
        <v>45818.55263888889</v>
      </c>
      <c r="C407" s="1" t="n">
        <v>46037</v>
      </c>
      <c r="D407" t="inlineStr">
        <is>
          <t>JÄMTLANDS LÄN</t>
        </is>
      </c>
      <c r="E407" t="inlineStr">
        <is>
          <t>BERG</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27737-2025</t>
        </is>
      </c>
      <c r="B408" s="1" t="n">
        <v>45815.34414351852</v>
      </c>
      <c r="C408" s="1" t="n">
        <v>46037</v>
      </c>
      <c r="D408" t="inlineStr">
        <is>
          <t>JÄMTLANDS LÄN</t>
        </is>
      </c>
      <c r="E408" t="inlineStr">
        <is>
          <t>BERG</t>
        </is>
      </c>
      <c r="F408" t="inlineStr">
        <is>
          <t>SCA</t>
        </is>
      </c>
      <c r="G408" t="n">
        <v>10.9</v>
      </c>
      <c r="H408" t="n">
        <v>0</v>
      </c>
      <c r="I408" t="n">
        <v>0</v>
      </c>
      <c r="J408" t="n">
        <v>0</v>
      </c>
      <c r="K408" t="n">
        <v>0</v>
      </c>
      <c r="L408" t="n">
        <v>0</v>
      </c>
      <c r="M408" t="n">
        <v>0</v>
      </c>
      <c r="N408" t="n">
        <v>0</v>
      </c>
      <c r="O408" t="n">
        <v>0</v>
      </c>
      <c r="P408" t="n">
        <v>0</v>
      </c>
      <c r="Q408" t="n">
        <v>0</v>
      </c>
      <c r="R408" s="2" t="inlineStr"/>
    </row>
    <row r="409" ht="15" customHeight="1">
      <c r="A409" t="inlineStr">
        <is>
          <t>A 28077-2025</t>
        </is>
      </c>
      <c r="B409" s="1" t="n">
        <v>45817.68596064814</v>
      </c>
      <c r="C409" s="1" t="n">
        <v>46037</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42378-2025</t>
        </is>
      </c>
      <c r="B410" s="1" t="n">
        <v>45905.34423611111</v>
      </c>
      <c r="C410" s="1" t="n">
        <v>46037</v>
      </c>
      <c r="D410" t="inlineStr">
        <is>
          <t>JÄMTLANDS LÄN</t>
        </is>
      </c>
      <c r="E410" t="inlineStr">
        <is>
          <t>BERG</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42439-2025</t>
        </is>
      </c>
      <c r="B411" s="1" t="n">
        <v>45905.42969907408</v>
      </c>
      <c r="C411" s="1" t="n">
        <v>46037</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42862-2025</t>
        </is>
      </c>
      <c r="B412" s="1" t="n">
        <v>45908.61515046296</v>
      </c>
      <c r="C412" s="1" t="n">
        <v>46037</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37098-2024</t>
        </is>
      </c>
      <c r="B413" s="1" t="n">
        <v>45539.50243055556</v>
      </c>
      <c r="C413" s="1" t="n">
        <v>46037</v>
      </c>
      <c r="D413" t="inlineStr">
        <is>
          <t>JÄMTLANDS LÄN</t>
        </is>
      </c>
      <c r="E413" t="inlineStr">
        <is>
          <t>BERG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37101-2024</t>
        </is>
      </c>
      <c r="B414" s="1" t="n">
        <v>45539.5029050926</v>
      </c>
      <c r="C414" s="1" t="n">
        <v>46037</v>
      </c>
      <c r="D414" t="inlineStr">
        <is>
          <t>JÄMTLANDS LÄN</t>
        </is>
      </c>
      <c r="E414" t="inlineStr">
        <is>
          <t>BERG</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4561-2024</t>
        </is>
      </c>
      <c r="B415" s="1" t="n">
        <v>45327</v>
      </c>
      <c r="C415" s="1" t="n">
        <v>46037</v>
      </c>
      <c r="D415" t="inlineStr">
        <is>
          <t>JÄMTLANDS LÄN</t>
        </is>
      </c>
      <c r="E415" t="inlineStr">
        <is>
          <t>BERG</t>
        </is>
      </c>
      <c r="G415" t="n">
        <v>7.4</v>
      </c>
      <c r="H415" t="n">
        <v>0</v>
      </c>
      <c r="I415" t="n">
        <v>0</v>
      </c>
      <c r="J415" t="n">
        <v>0</v>
      </c>
      <c r="K415" t="n">
        <v>0</v>
      </c>
      <c r="L415" t="n">
        <v>0</v>
      </c>
      <c r="M415" t="n">
        <v>0</v>
      </c>
      <c r="N415" t="n">
        <v>0</v>
      </c>
      <c r="O415" t="n">
        <v>0</v>
      </c>
      <c r="P415" t="n">
        <v>0</v>
      </c>
      <c r="Q415" t="n">
        <v>0</v>
      </c>
      <c r="R415" s="2" t="inlineStr"/>
    </row>
    <row r="416" ht="15" customHeight="1">
      <c r="A416" t="inlineStr">
        <is>
          <t>A 511-2025</t>
        </is>
      </c>
      <c r="B416" s="1" t="n">
        <v>45664.47284722222</v>
      </c>
      <c r="C416" s="1" t="n">
        <v>46037</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28454-2025</t>
        </is>
      </c>
      <c r="B417" s="1" t="n">
        <v>45819.40679398148</v>
      </c>
      <c r="C417" s="1" t="n">
        <v>46037</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28401-2025</t>
        </is>
      </c>
      <c r="B418" s="1" t="n">
        <v>45819.34469907408</v>
      </c>
      <c r="C418" s="1" t="n">
        <v>46037</v>
      </c>
      <c r="D418" t="inlineStr">
        <is>
          <t>JÄMTLANDS LÄN</t>
        </is>
      </c>
      <c r="E418" t="inlineStr">
        <is>
          <t>BERG</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28453-2025</t>
        </is>
      </c>
      <c r="B419" s="1" t="n">
        <v>45819.40668981482</v>
      </c>
      <c r="C419" s="1" t="n">
        <v>46037</v>
      </c>
      <c r="D419" t="inlineStr">
        <is>
          <t>JÄMTLANDS LÄN</t>
        </is>
      </c>
      <c r="E419" t="inlineStr">
        <is>
          <t>BERG</t>
        </is>
      </c>
      <c r="G419" t="n">
        <v>4.1</v>
      </c>
      <c r="H419" t="n">
        <v>0</v>
      </c>
      <c r="I419" t="n">
        <v>0</v>
      </c>
      <c r="J419" t="n">
        <v>0</v>
      </c>
      <c r="K419" t="n">
        <v>0</v>
      </c>
      <c r="L419" t="n">
        <v>0</v>
      </c>
      <c r="M419" t="n">
        <v>0</v>
      </c>
      <c r="N419" t="n">
        <v>0</v>
      </c>
      <c r="O419" t="n">
        <v>0</v>
      </c>
      <c r="P419" t="n">
        <v>0</v>
      </c>
      <c r="Q419" t="n">
        <v>0</v>
      </c>
      <c r="R419" s="2" t="inlineStr"/>
    </row>
    <row r="420" ht="15" customHeight="1">
      <c r="A420" t="inlineStr">
        <is>
          <t>A 28657-2025</t>
        </is>
      </c>
      <c r="B420" s="1" t="n">
        <v>45819.65709490741</v>
      </c>
      <c r="C420" s="1" t="n">
        <v>46037</v>
      </c>
      <c r="D420" t="inlineStr">
        <is>
          <t>JÄMTLANDS LÄN</t>
        </is>
      </c>
      <c r="E420" t="inlineStr">
        <is>
          <t>BERG</t>
        </is>
      </c>
      <c r="G420" t="n">
        <v>2.4</v>
      </c>
      <c r="H420" t="n">
        <v>0</v>
      </c>
      <c r="I420" t="n">
        <v>0</v>
      </c>
      <c r="J420" t="n">
        <v>0</v>
      </c>
      <c r="K420" t="n">
        <v>0</v>
      </c>
      <c r="L420" t="n">
        <v>0</v>
      </c>
      <c r="M420" t="n">
        <v>0</v>
      </c>
      <c r="N420" t="n">
        <v>0</v>
      </c>
      <c r="O420" t="n">
        <v>0</v>
      </c>
      <c r="P420" t="n">
        <v>0</v>
      </c>
      <c r="Q420" t="n">
        <v>0</v>
      </c>
      <c r="R420" s="2" t="inlineStr"/>
    </row>
    <row r="421" ht="15" customHeight="1">
      <c r="A421" t="inlineStr">
        <is>
          <t>A 29197-2025</t>
        </is>
      </c>
      <c r="B421" s="1" t="n">
        <v>45823.34438657408</v>
      </c>
      <c r="C421" s="1" t="n">
        <v>46037</v>
      </c>
      <c r="D421" t="inlineStr">
        <is>
          <t>JÄMTLANDS LÄN</t>
        </is>
      </c>
      <c r="E421" t="inlineStr">
        <is>
          <t>BERG</t>
        </is>
      </c>
      <c r="F421" t="inlineStr">
        <is>
          <t>SCA</t>
        </is>
      </c>
      <c r="G421" t="n">
        <v>10</v>
      </c>
      <c r="H421" t="n">
        <v>0</v>
      </c>
      <c r="I421" t="n">
        <v>0</v>
      </c>
      <c r="J421" t="n">
        <v>0</v>
      </c>
      <c r="K421" t="n">
        <v>0</v>
      </c>
      <c r="L421" t="n">
        <v>0</v>
      </c>
      <c r="M421" t="n">
        <v>0</v>
      </c>
      <c r="N421" t="n">
        <v>0</v>
      </c>
      <c r="O421" t="n">
        <v>0</v>
      </c>
      <c r="P421" t="n">
        <v>0</v>
      </c>
      <c r="Q421" t="n">
        <v>0</v>
      </c>
      <c r="R421" s="2" t="inlineStr"/>
    </row>
    <row r="422" ht="15" customHeight="1">
      <c r="A422" t="inlineStr">
        <is>
          <t>A 29279-2025</t>
        </is>
      </c>
      <c r="B422" s="1" t="n">
        <v>45824.42381944445</v>
      </c>
      <c r="C422" s="1" t="n">
        <v>46037</v>
      </c>
      <c r="D422" t="inlineStr">
        <is>
          <t>JÄMTLANDS LÄN</t>
        </is>
      </c>
      <c r="E422" t="inlineStr">
        <is>
          <t>BERG</t>
        </is>
      </c>
      <c r="G422" t="n">
        <v>3.6</v>
      </c>
      <c r="H422" t="n">
        <v>0</v>
      </c>
      <c r="I422" t="n">
        <v>0</v>
      </c>
      <c r="J422" t="n">
        <v>0</v>
      </c>
      <c r="K422" t="n">
        <v>0</v>
      </c>
      <c r="L422" t="n">
        <v>0</v>
      </c>
      <c r="M422" t="n">
        <v>0</v>
      </c>
      <c r="N422" t="n">
        <v>0</v>
      </c>
      <c r="O422" t="n">
        <v>0</v>
      </c>
      <c r="P422" t="n">
        <v>0</v>
      </c>
      <c r="Q422" t="n">
        <v>0</v>
      </c>
      <c r="R422" s="2" t="inlineStr"/>
    </row>
    <row r="423" ht="15" customHeight="1">
      <c r="A423" t="inlineStr">
        <is>
          <t>A 43015-2025</t>
        </is>
      </c>
      <c r="B423" s="1" t="n">
        <v>45909.49278935185</v>
      </c>
      <c r="C423" s="1" t="n">
        <v>46037</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29310-2025</t>
        </is>
      </c>
      <c r="B424" s="1" t="n">
        <v>45824.46353009259</v>
      </c>
      <c r="C424" s="1" t="n">
        <v>46037</v>
      </c>
      <c r="D424" t="inlineStr">
        <is>
          <t>JÄMTLANDS LÄN</t>
        </is>
      </c>
      <c r="E424" t="inlineStr">
        <is>
          <t>BERG</t>
        </is>
      </c>
      <c r="G424" t="n">
        <v>5.6</v>
      </c>
      <c r="H424" t="n">
        <v>0</v>
      </c>
      <c r="I424" t="n">
        <v>0</v>
      </c>
      <c r="J424" t="n">
        <v>0</v>
      </c>
      <c r="K424" t="n">
        <v>0</v>
      </c>
      <c r="L424" t="n">
        <v>0</v>
      </c>
      <c r="M424" t="n">
        <v>0</v>
      </c>
      <c r="N424" t="n">
        <v>0</v>
      </c>
      <c r="O424" t="n">
        <v>0</v>
      </c>
      <c r="P424" t="n">
        <v>0</v>
      </c>
      <c r="Q424" t="n">
        <v>0</v>
      </c>
      <c r="R424" s="2" t="inlineStr"/>
    </row>
    <row r="425" ht="15" customHeight="1">
      <c r="A425" t="inlineStr">
        <is>
          <t>A 29198-2025</t>
        </is>
      </c>
      <c r="B425" s="1" t="n">
        <v>45823.34451388889</v>
      </c>
      <c r="C425" s="1" t="n">
        <v>46037</v>
      </c>
      <c r="D425" t="inlineStr">
        <is>
          <t>JÄMTLANDS LÄN</t>
        </is>
      </c>
      <c r="E425" t="inlineStr">
        <is>
          <t>BERG</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43442-2025</t>
        </is>
      </c>
      <c r="B426" s="1" t="n">
        <v>45911.44244212963</v>
      </c>
      <c r="C426" s="1" t="n">
        <v>46037</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41264-2025</t>
        </is>
      </c>
      <c r="B427" s="1" t="n">
        <v>45898</v>
      </c>
      <c r="C427" s="1" t="n">
        <v>46037</v>
      </c>
      <c r="D427" t="inlineStr">
        <is>
          <t>JÄMTLANDS LÄN</t>
        </is>
      </c>
      <c r="E427" t="inlineStr">
        <is>
          <t>BERG</t>
        </is>
      </c>
      <c r="G427" t="n">
        <v>17.4</v>
      </c>
      <c r="H427" t="n">
        <v>0</v>
      </c>
      <c r="I427" t="n">
        <v>0</v>
      </c>
      <c r="J427" t="n">
        <v>0</v>
      </c>
      <c r="K427" t="n">
        <v>0</v>
      </c>
      <c r="L427" t="n">
        <v>0</v>
      </c>
      <c r="M427" t="n">
        <v>0</v>
      </c>
      <c r="N427" t="n">
        <v>0</v>
      </c>
      <c r="O427" t="n">
        <v>0</v>
      </c>
      <c r="P427" t="n">
        <v>0</v>
      </c>
      <c r="Q427" t="n">
        <v>0</v>
      </c>
      <c r="R427" s="2" t="inlineStr"/>
    </row>
    <row r="428" ht="15" customHeight="1">
      <c r="A428" t="inlineStr">
        <is>
          <t>A 29199-2025</t>
        </is>
      </c>
      <c r="B428" s="1" t="n">
        <v>45823.34459490741</v>
      </c>
      <c r="C428" s="1" t="n">
        <v>46037</v>
      </c>
      <c r="D428" t="inlineStr">
        <is>
          <t>JÄMTLANDS LÄN</t>
        </is>
      </c>
      <c r="E428" t="inlineStr">
        <is>
          <t>BERG</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43456-2025</t>
        </is>
      </c>
      <c r="B429" s="1" t="n">
        <v>45911.46148148148</v>
      </c>
      <c r="C429" s="1" t="n">
        <v>46037</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43443-2025</t>
        </is>
      </c>
      <c r="B430" s="1" t="n">
        <v>45911.44350694444</v>
      </c>
      <c r="C430" s="1" t="n">
        <v>46037</v>
      </c>
      <c r="D430" t="inlineStr">
        <is>
          <t>JÄMTLANDS LÄN</t>
        </is>
      </c>
      <c r="E430" t="inlineStr">
        <is>
          <t>BERG</t>
        </is>
      </c>
      <c r="G430" t="n">
        <v>2.7</v>
      </c>
      <c r="H430" t="n">
        <v>0</v>
      </c>
      <c r="I430" t="n">
        <v>0</v>
      </c>
      <c r="J430" t="n">
        <v>0</v>
      </c>
      <c r="K430" t="n">
        <v>0</v>
      </c>
      <c r="L430" t="n">
        <v>0</v>
      </c>
      <c r="M430" t="n">
        <v>0</v>
      </c>
      <c r="N430" t="n">
        <v>0</v>
      </c>
      <c r="O430" t="n">
        <v>0</v>
      </c>
      <c r="P430" t="n">
        <v>0</v>
      </c>
      <c r="Q430" t="n">
        <v>0</v>
      </c>
      <c r="R430" s="2" t="inlineStr"/>
    </row>
    <row r="431" ht="15" customHeight="1">
      <c r="A431" t="inlineStr">
        <is>
          <t>A 43364-2025</t>
        </is>
      </c>
      <c r="B431" s="1" t="n">
        <v>45911.34483796296</v>
      </c>
      <c r="C431" s="1" t="n">
        <v>46037</v>
      </c>
      <c r="D431" t="inlineStr">
        <is>
          <t>JÄMTLANDS LÄN</t>
        </is>
      </c>
      <c r="E431" t="inlineStr">
        <is>
          <t>BERG</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43567-2025</t>
        </is>
      </c>
      <c r="B432" s="1" t="n">
        <v>45911.6327662037</v>
      </c>
      <c r="C432" s="1" t="n">
        <v>46037</v>
      </c>
      <c r="D432" t="inlineStr">
        <is>
          <t>JÄMTLANDS LÄN</t>
        </is>
      </c>
      <c r="E432" t="inlineStr">
        <is>
          <t>BERG</t>
        </is>
      </c>
      <c r="G432" t="n">
        <v>7.7</v>
      </c>
      <c r="H432" t="n">
        <v>0</v>
      </c>
      <c r="I432" t="n">
        <v>0</v>
      </c>
      <c r="J432" t="n">
        <v>0</v>
      </c>
      <c r="K432" t="n">
        <v>0</v>
      </c>
      <c r="L432" t="n">
        <v>0</v>
      </c>
      <c r="M432" t="n">
        <v>0</v>
      </c>
      <c r="N432" t="n">
        <v>0</v>
      </c>
      <c r="O432" t="n">
        <v>0</v>
      </c>
      <c r="P432" t="n">
        <v>0</v>
      </c>
      <c r="Q432" t="n">
        <v>0</v>
      </c>
      <c r="R432" s="2" t="inlineStr"/>
    </row>
    <row r="433" ht="15" customHeight="1">
      <c r="A433" t="inlineStr">
        <is>
          <t>A 29836-2025</t>
        </is>
      </c>
      <c r="B433" s="1" t="n">
        <v>45825.9468287037</v>
      </c>
      <c r="C433" s="1" t="n">
        <v>46037</v>
      </c>
      <c r="D433" t="inlineStr">
        <is>
          <t>JÄMTLANDS LÄN</t>
        </is>
      </c>
      <c r="E433" t="inlineStr">
        <is>
          <t>BERG</t>
        </is>
      </c>
      <c r="G433" t="n">
        <v>12.7</v>
      </c>
      <c r="H433" t="n">
        <v>0</v>
      </c>
      <c r="I433" t="n">
        <v>0</v>
      </c>
      <c r="J433" t="n">
        <v>0</v>
      </c>
      <c r="K433" t="n">
        <v>0</v>
      </c>
      <c r="L433" t="n">
        <v>0</v>
      </c>
      <c r="M433" t="n">
        <v>0</v>
      </c>
      <c r="N433" t="n">
        <v>0</v>
      </c>
      <c r="O433" t="n">
        <v>0</v>
      </c>
      <c r="P433" t="n">
        <v>0</v>
      </c>
      <c r="Q433" t="n">
        <v>0</v>
      </c>
      <c r="R433" s="2" t="inlineStr"/>
    </row>
    <row r="434" ht="15" customHeight="1">
      <c r="A434" t="inlineStr">
        <is>
          <t>A 43560-2025</t>
        </is>
      </c>
      <c r="B434" s="1" t="n">
        <v>45911.62758101852</v>
      </c>
      <c r="C434" s="1" t="n">
        <v>46037</v>
      </c>
      <c r="D434" t="inlineStr">
        <is>
          <t>JÄMTLANDS LÄN</t>
        </is>
      </c>
      <c r="E434" t="inlineStr">
        <is>
          <t>BERG</t>
        </is>
      </c>
      <c r="G434" t="n">
        <v>10</v>
      </c>
      <c r="H434" t="n">
        <v>0</v>
      </c>
      <c r="I434" t="n">
        <v>0</v>
      </c>
      <c r="J434" t="n">
        <v>0</v>
      </c>
      <c r="K434" t="n">
        <v>0</v>
      </c>
      <c r="L434" t="n">
        <v>0</v>
      </c>
      <c r="M434" t="n">
        <v>0</v>
      </c>
      <c r="N434" t="n">
        <v>0</v>
      </c>
      <c r="O434" t="n">
        <v>0</v>
      </c>
      <c r="P434" t="n">
        <v>0</v>
      </c>
      <c r="Q434" t="n">
        <v>0</v>
      </c>
      <c r="R434" s="2" t="inlineStr"/>
    </row>
    <row r="435" ht="15" customHeight="1">
      <c r="A435" t="inlineStr">
        <is>
          <t>A 30017-2025</t>
        </is>
      </c>
      <c r="B435" s="1" t="n">
        <v>45826.55306712963</v>
      </c>
      <c r="C435" s="1" t="n">
        <v>46037</v>
      </c>
      <c r="D435" t="inlineStr">
        <is>
          <t>JÄMTLANDS LÄN</t>
        </is>
      </c>
      <c r="E435" t="inlineStr">
        <is>
          <t>BERG</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43441-2025</t>
        </is>
      </c>
      <c r="B436" s="1" t="n">
        <v>45911.44184027778</v>
      </c>
      <c r="C436" s="1" t="n">
        <v>46037</v>
      </c>
      <c r="D436" t="inlineStr">
        <is>
          <t>JÄMTLANDS LÄN</t>
        </is>
      </c>
      <c r="E436" t="inlineStr">
        <is>
          <t>BERG</t>
        </is>
      </c>
      <c r="G436" t="n">
        <v>2</v>
      </c>
      <c r="H436" t="n">
        <v>0</v>
      </c>
      <c r="I436" t="n">
        <v>0</v>
      </c>
      <c r="J436" t="n">
        <v>0</v>
      </c>
      <c r="K436" t="n">
        <v>0</v>
      </c>
      <c r="L436" t="n">
        <v>0</v>
      </c>
      <c r="M436" t="n">
        <v>0</v>
      </c>
      <c r="N436" t="n">
        <v>0</v>
      </c>
      <c r="O436" t="n">
        <v>0</v>
      </c>
      <c r="P436" t="n">
        <v>0</v>
      </c>
      <c r="Q436" t="n">
        <v>0</v>
      </c>
      <c r="R436" s="2" t="inlineStr"/>
    </row>
    <row r="437" ht="15" customHeight="1">
      <c r="A437" t="inlineStr">
        <is>
          <t>A 29908-2025</t>
        </is>
      </c>
      <c r="B437" s="1" t="n">
        <v>45826</v>
      </c>
      <c r="C437" s="1" t="n">
        <v>46037</v>
      </c>
      <c r="D437" t="inlineStr">
        <is>
          <t>JÄMTLANDS LÄN</t>
        </is>
      </c>
      <c r="E437" t="inlineStr">
        <is>
          <t>BERG</t>
        </is>
      </c>
      <c r="G437" t="n">
        <v>2.2</v>
      </c>
      <c r="H437" t="n">
        <v>0</v>
      </c>
      <c r="I437" t="n">
        <v>0</v>
      </c>
      <c r="J437" t="n">
        <v>0</v>
      </c>
      <c r="K437" t="n">
        <v>0</v>
      </c>
      <c r="L437" t="n">
        <v>0</v>
      </c>
      <c r="M437" t="n">
        <v>0</v>
      </c>
      <c r="N437" t="n">
        <v>0</v>
      </c>
      <c r="O437" t="n">
        <v>0</v>
      </c>
      <c r="P437" t="n">
        <v>0</v>
      </c>
      <c r="Q437" t="n">
        <v>0</v>
      </c>
      <c r="R437" s="2" t="inlineStr"/>
    </row>
    <row r="438" ht="15" customHeight="1">
      <c r="A438" t="inlineStr">
        <is>
          <t>A 14697-2025</t>
        </is>
      </c>
      <c r="B438" s="1" t="n">
        <v>45742.59415509259</v>
      </c>
      <c r="C438" s="1" t="n">
        <v>46037</v>
      </c>
      <c r="D438" t="inlineStr">
        <is>
          <t>JÄMTLANDS LÄN</t>
        </is>
      </c>
      <c r="E438" t="inlineStr">
        <is>
          <t>BERG</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44051-2025</t>
        </is>
      </c>
      <c r="B439" s="1" t="n">
        <v>45915.51079861111</v>
      </c>
      <c r="C439" s="1" t="n">
        <v>46037</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43968-2025</t>
        </is>
      </c>
      <c r="B440" s="1" t="n">
        <v>45915</v>
      </c>
      <c r="C440" s="1" t="n">
        <v>46037</v>
      </c>
      <c r="D440" t="inlineStr">
        <is>
          <t>JÄMTLANDS LÄN</t>
        </is>
      </c>
      <c r="E440" t="inlineStr">
        <is>
          <t>BERG</t>
        </is>
      </c>
      <c r="G440" t="n">
        <v>2</v>
      </c>
      <c r="H440" t="n">
        <v>0</v>
      </c>
      <c r="I440" t="n">
        <v>0</v>
      </c>
      <c r="J440" t="n">
        <v>0</v>
      </c>
      <c r="K440" t="n">
        <v>0</v>
      </c>
      <c r="L440" t="n">
        <v>0</v>
      </c>
      <c r="M440" t="n">
        <v>0</v>
      </c>
      <c r="N440" t="n">
        <v>0</v>
      </c>
      <c r="O440" t="n">
        <v>0</v>
      </c>
      <c r="P440" t="n">
        <v>0</v>
      </c>
      <c r="Q440" t="n">
        <v>0</v>
      </c>
      <c r="R440" s="2" t="inlineStr"/>
    </row>
    <row r="441" ht="15" customHeight="1">
      <c r="A441" t="inlineStr">
        <is>
          <t>A 44302-2025</t>
        </is>
      </c>
      <c r="B441" s="1" t="n">
        <v>45915</v>
      </c>
      <c r="C441" s="1" t="n">
        <v>46037</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29533-2025</t>
        </is>
      </c>
      <c r="B442" s="1" t="n">
        <v>45825.34466435185</v>
      </c>
      <c r="C442" s="1" t="n">
        <v>46037</v>
      </c>
      <c r="D442" t="inlineStr">
        <is>
          <t>JÄMTLANDS LÄN</t>
        </is>
      </c>
      <c r="E442" t="inlineStr">
        <is>
          <t>BERG</t>
        </is>
      </c>
      <c r="F442" t="inlineStr">
        <is>
          <t>SCA</t>
        </is>
      </c>
      <c r="G442" t="n">
        <v>10</v>
      </c>
      <c r="H442" t="n">
        <v>0</v>
      </c>
      <c r="I442" t="n">
        <v>0</v>
      </c>
      <c r="J442" t="n">
        <v>0</v>
      </c>
      <c r="K442" t="n">
        <v>0</v>
      </c>
      <c r="L442" t="n">
        <v>0</v>
      </c>
      <c r="M442" t="n">
        <v>0</v>
      </c>
      <c r="N442" t="n">
        <v>0</v>
      </c>
      <c r="O442" t="n">
        <v>0</v>
      </c>
      <c r="P442" t="n">
        <v>0</v>
      </c>
      <c r="Q442" t="n">
        <v>0</v>
      </c>
      <c r="R442" s="2" t="inlineStr"/>
    </row>
    <row r="443" ht="15" customHeight="1">
      <c r="A443" t="inlineStr">
        <is>
          <t>A 32064-2023</t>
        </is>
      </c>
      <c r="B443" s="1" t="n">
        <v>45119.57108796296</v>
      </c>
      <c r="C443" s="1" t="n">
        <v>46037</v>
      </c>
      <c r="D443" t="inlineStr">
        <is>
          <t>JÄMTLANDS LÄN</t>
        </is>
      </c>
      <c r="E443" t="inlineStr">
        <is>
          <t>BERG</t>
        </is>
      </c>
      <c r="G443" t="n">
        <v>1.8</v>
      </c>
      <c r="H443" t="n">
        <v>0</v>
      </c>
      <c r="I443" t="n">
        <v>0</v>
      </c>
      <c r="J443" t="n">
        <v>0</v>
      </c>
      <c r="K443" t="n">
        <v>0</v>
      </c>
      <c r="L443" t="n">
        <v>0</v>
      </c>
      <c r="M443" t="n">
        <v>0</v>
      </c>
      <c r="N443" t="n">
        <v>0</v>
      </c>
      <c r="O443" t="n">
        <v>0</v>
      </c>
      <c r="P443" t="n">
        <v>0</v>
      </c>
      <c r="Q443" t="n">
        <v>0</v>
      </c>
      <c r="R443" s="2" t="inlineStr"/>
    </row>
    <row r="444" ht="15" customHeight="1">
      <c r="A444" t="inlineStr">
        <is>
          <t>A 44303-2025</t>
        </is>
      </c>
      <c r="B444" s="1" t="n">
        <v>45915</v>
      </c>
      <c r="C444" s="1" t="n">
        <v>46037</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29538-2025</t>
        </is>
      </c>
      <c r="B445" s="1" t="n">
        <v>45825.34517361111</v>
      </c>
      <c r="C445" s="1" t="n">
        <v>46037</v>
      </c>
      <c r="D445" t="inlineStr">
        <is>
          <t>JÄMTLANDS LÄN</t>
        </is>
      </c>
      <c r="E445" t="inlineStr">
        <is>
          <t>BERG</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41886-2024</t>
        </is>
      </c>
      <c r="B446" s="1" t="n">
        <v>45561.48825231481</v>
      </c>
      <c r="C446" s="1" t="n">
        <v>46037</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13672-2024</t>
        </is>
      </c>
      <c r="B447" s="1" t="n">
        <v>45390</v>
      </c>
      <c r="C447" s="1" t="n">
        <v>46037</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44043-2025</t>
        </is>
      </c>
      <c r="B448" s="1" t="n">
        <v>45915.49266203704</v>
      </c>
      <c r="C448" s="1" t="n">
        <v>46037</v>
      </c>
      <c r="D448" t="inlineStr">
        <is>
          <t>JÄMTLANDS LÄN</t>
        </is>
      </c>
      <c r="E448" t="inlineStr">
        <is>
          <t>BERG</t>
        </is>
      </c>
      <c r="G448" t="n">
        <v>3.4</v>
      </c>
      <c r="H448" t="n">
        <v>0</v>
      </c>
      <c r="I448" t="n">
        <v>0</v>
      </c>
      <c r="J448" t="n">
        <v>0</v>
      </c>
      <c r="K448" t="n">
        <v>0</v>
      </c>
      <c r="L448" t="n">
        <v>0</v>
      </c>
      <c r="M448" t="n">
        <v>0</v>
      </c>
      <c r="N448" t="n">
        <v>0</v>
      </c>
      <c r="O448" t="n">
        <v>0</v>
      </c>
      <c r="P448" t="n">
        <v>0</v>
      </c>
      <c r="Q448" t="n">
        <v>0</v>
      </c>
      <c r="R448" s="2" t="inlineStr"/>
    </row>
    <row r="449" ht="15" customHeight="1">
      <c r="A449" t="inlineStr">
        <is>
          <t>A 43982-2025</t>
        </is>
      </c>
      <c r="B449" s="1" t="n">
        <v>45915.42771990741</v>
      </c>
      <c r="C449" s="1" t="n">
        <v>46037</v>
      </c>
      <c r="D449" t="inlineStr">
        <is>
          <t>JÄMTLANDS LÄN</t>
        </is>
      </c>
      <c r="E449" t="inlineStr">
        <is>
          <t>BERG</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29902-2025</t>
        </is>
      </c>
      <c r="B450" s="1" t="n">
        <v>45826</v>
      </c>
      <c r="C450" s="1" t="n">
        <v>46037</v>
      </c>
      <c r="D450" t="inlineStr">
        <is>
          <t>JÄMTLANDS LÄN</t>
        </is>
      </c>
      <c r="E450" t="inlineStr">
        <is>
          <t>BERG</t>
        </is>
      </c>
      <c r="G450" t="n">
        <v>9.1</v>
      </c>
      <c r="H450" t="n">
        <v>0</v>
      </c>
      <c r="I450" t="n">
        <v>0</v>
      </c>
      <c r="J450" t="n">
        <v>0</v>
      </c>
      <c r="K450" t="n">
        <v>0</v>
      </c>
      <c r="L450" t="n">
        <v>0</v>
      </c>
      <c r="M450" t="n">
        <v>0</v>
      </c>
      <c r="N450" t="n">
        <v>0</v>
      </c>
      <c r="O450" t="n">
        <v>0</v>
      </c>
      <c r="P450" t="n">
        <v>0</v>
      </c>
      <c r="Q450" t="n">
        <v>0</v>
      </c>
      <c r="R450" s="2" t="inlineStr"/>
    </row>
    <row r="451" ht="15" customHeight="1">
      <c r="A451" t="inlineStr">
        <is>
          <t>A 44031-2025</t>
        </is>
      </c>
      <c r="B451" s="1" t="n">
        <v>45915.49019675926</v>
      </c>
      <c r="C451" s="1" t="n">
        <v>46037</v>
      </c>
      <c r="D451" t="inlineStr">
        <is>
          <t>JÄMTLANDS LÄN</t>
        </is>
      </c>
      <c r="E451" t="inlineStr">
        <is>
          <t>BERG</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41875-2024</t>
        </is>
      </c>
      <c r="B452" s="1" t="n">
        <v>45561.47431712963</v>
      </c>
      <c r="C452" s="1" t="n">
        <v>46037</v>
      </c>
      <c r="D452" t="inlineStr">
        <is>
          <t>JÄMTLANDS LÄN</t>
        </is>
      </c>
      <c r="E452" t="inlineStr">
        <is>
          <t>BERG</t>
        </is>
      </c>
      <c r="G452" t="n">
        <v>1.3</v>
      </c>
      <c r="H452" t="n">
        <v>0</v>
      </c>
      <c r="I452" t="n">
        <v>0</v>
      </c>
      <c r="J452" t="n">
        <v>0</v>
      </c>
      <c r="K452" t="n">
        <v>0</v>
      </c>
      <c r="L452" t="n">
        <v>0</v>
      </c>
      <c r="M452" t="n">
        <v>0</v>
      </c>
      <c r="N452" t="n">
        <v>0</v>
      </c>
      <c r="O452" t="n">
        <v>0</v>
      </c>
      <c r="P452" t="n">
        <v>0</v>
      </c>
      <c r="Q452" t="n">
        <v>0</v>
      </c>
      <c r="R452" s="2" t="inlineStr"/>
    </row>
    <row r="453" ht="15" customHeight="1">
      <c r="A453" t="inlineStr">
        <is>
          <t>A 44572-2025</t>
        </is>
      </c>
      <c r="B453" s="1" t="n">
        <v>45917</v>
      </c>
      <c r="C453" s="1" t="n">
        <v>46037</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30314-2025</t>
        </is>
      </c>
      <c r="B454" s="1" t="n">
        <v>45827.49047453704</v>
      </c>
      <c r="C454" s="1" t="n">
        <v>46037</v>
      </c>
      <c r="D454" t="inlineStr">
        <is>
          <t>JÄMTLANDS LÄN</t>
        </is>
      </c>
      <c r="E454" t="inlineStr">
        <is>
          <t>BERG</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44811-2025</t>
        </is>
      </c>
      <c r="B455" s="1" t="n">
        <v>45918.37195601852</v>
      </c>
      <c r="C455" s="1" t="n">
        <v>46037</v>
      </c>
      <c r="D455" t="inlineStr">
        <is>
          <t>JÄMTLANDS LÄN</t>
        </is>
      </c>
      <c r="E455" t="inlineStr">
        <is>
          <t>BERG</t>
        </is>
      </c>
      <c r="G455" t="n">
        <v>1.4</v>
      </c>
      <c r="H455" t="n">
        <v>0</v>
      </c>
      <c r="I455" t="n">
        <v>0</v>
      </c>
      <c r="J455" t="n">
        <v>0</v>
      </c>
      <c r="K455" t="n">
        <v>0</v>
      </c>
      <c r="L455" t="n">
        <v>0</v>
      </c>
      <c r="M455" t="n">
        <v>0</v>
      </c>
      <c r="N455" t="n">
        <v>0</v>
      </c>
      <c r="O455" t="n">
        <v>0</v>
      </c>
      <c r="P455" t="n">
        <v>0</v>
      </c>
      <c r="Q455" t="n">
        <v>0</v>
      </c>
      <c r="R455" s="2" t="inlineStr"/>
    </row>
    <row r="456" ht="15" customHeight="1">
      <c r="A456" t="inlineStr">
        <is>
          <t>A 44697-2025</t>
        </is>
      </c>
      <c r="B456" s="1" t="n">
        <v>45917.59888888889</v>
      </c>
      <c r="C456" s="1" t="n">
        <v>46037</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18408-2025</t>
        </is>
      </c>
      <c r="B457" s="1" t="n">
        <v>45762.61128472222</v>
      </c>
      <c r="C457" s="1" t="n">
        <v>46037</v>
      </c>
      <c r="D457" t="inlineStr">
        <is>
          <t>JÄMTLANDS LÄN</t>
        </is>
      </c>
      <c r="E457" t="inlineStr">
        <is>
          <t>BERG</t>
        </is>
      </c>
      <c r="G457" t="n">
        <v>5.1</v>
      </c>
      <c r="H457" t="n">
        <v>0</v>
      </c>
      <c r="I457" t="n">
        <v>0</v>
      </c>
      <c r="J457" t="n">
        <v>0</v>
      </c>
      <c r="K457" t="n">
        <v>0</v>
      </c>
      <c r="L457" t="n">
        <v>0</v>
      </c>
      <c r="M457" t="n">
        <v>0</v>
      </c>
      <c r="N457" t="n">
        <v>0</v>
      </c>
      <c r="O457" t="n">
        <v>0</v>
      </c>
      <c r="P457" t="n">
        <v>0</v>
      </c>
      <c r="Q457" t="n">
        <v>0</v>
      </c>
      <c r="R457" s="2" t="inlineStr"/>
    </row>
    <row r="458" ht="15" customHeight="1">
      <c r="A458" t="inlineStr">
        <is>
          <t>A 45570-2025</t>
        </is>
      </c>
      <c r="B458" s="1" t="n">
        <v>45922.65715277778</v>
      </c>
      <c r="C458" s="1" t="n">
        <v>46037</v>
      </c>
      <c r="D458" t="inlineStr">
        <is>
          <t>JÄMTLANDS LÄN</t>
        </is>
      </c>
      <c r="E458" t="inlineStr">
        <is>
          <t>BERG</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46037</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46037</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45254-2025</t>
        </is>
      </c>
      <c r="B461" s="1" t="n">
        <v>45919.61523148148</v>
      </c>
      <c r="C461" s="1" t="n">
        <v>46037</v>
      </c>
      <c r="D461" t="inlineStr">
        <is>
          <t>JÄMTLANDS LÄN</t>
        </is>
      </c>
      <c r="E461" t="inlineStr">
        <is>
          <t>BERG</t>
        </is>
      </c>
      <c r="G461" t="n">
        <v>0.9</v>
      </c>
      <c r="H461" t="n">
        <v>0</v>
      </c>
      <c r="I461" t="n">
        <v>0</v>
      </c>
      <c r="J461" t="n">
        <v>0</v>
      </c>
      <c r="K461" t="n">
        <v>0</v>
      </c>
      <c r="L461" t="n">
        <v>0</v>
      </c>
      <c r="M461" t="n">
        <v>0</v>
      </c>
      <c r="N461" t="n">
        <v>0</v>
      </c>
      <c r="O461" t="n">
        <v>0</v>
      </c>
      <c r="P461" t="n">
        <v>0</v>
      </c>
      <c r="Q461" t="n">
        <v>0</v>
      </c>
      <c r="R461" s="2" t="inlineStr"/>
    </row>
    <row r="462" ht="15" customHeight="1">
      <c r="A462" t="inlineStr">
        <is>
          <t>A 45249-2025</t>
        </is>
      </c>
      <c r="B462" s="1" t="n">
        <v>45919.61225694444</v>
      </c>
      <c r="C462" s="1" t="n">
        <v>46037</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31015-2025</t>
        </is>
      </c>
      <c r="B463" s="1" t="n">
        <v>45832.51086805556</v>
      </c>
      <c r="C463" s="1" t="n">
        <v>46037</v>
      </c>
      <c r="D463" t="inlineStr">
        <is>
          <t>JÄMTLANDS LÄN</t>
        </is>
      </c>
      <c r="E463" t="inlineStr">
        <is>
          <t>BERG</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31017-2025</t>
        </is>
      </c>
      <c r="B464" s="1" t="n">
        <v>45832.51111111111</v>
      </c>
      <c r="C464" s="1" t="n">
        <v>46037</v>
      </c>
      <c r="D464" t="inlineStr">
        <is>
          <t>JÄMTLANDS LÄN</t>
        </is>
      </c>
      <c r="E464" t="inlineStr">
        <is>
          <t>BERG</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31136-2025</t>
        </is>
      </c>
      <c r="B465" s="1" t="n">
        <v>45832.63599537037</v>
      </c>
      <c r="C465" s="1" t="n">
        <v>46037</v>
      </c>
      <c r="D465" t="inlineStr">
        <is>
          <t>JÄMTLANDS LÄN</t>
        </is>
      </c>
      <c r="E465" t="inlineStr">
        <is>
          <t>BERG</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45109-2025</t>
        </is>
      </c>
      <c r="B466" s="1" t="n">
        <v>45919.41850694444</v>
      </c>
      <c r="C466" s="1" t="n">
        <v>46037</v>
      </c>
      <c r="D466" t="inlineStr">
        <is>
          <t>JÄMTLANDS LÄN</t>
        </is>
      </c>
      <c r="E466" t="inlineStr">
        <is>
          <t>BERG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45568-2025</t>
        </is>
      </c>
      <c r="B467" s="1" t="n">
        <v>45922.65672453704</v>
      </c>
      <c r="C467" s="1" t="n">
        <v>46037</v>
      </c>
      <c r="D467" t="inlineStr">
        <is>
          <t>JÄMTLANDS LÄN</t>
        </is>
      </c>
      <c r="E467" t="inlineStr">
        <is>
          <t>BERG</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31070-2025</t>
        </is>
      </c>
      <c r="B468" s="1" t="n">
        <v>45832.57887731482</v>
      </c>
      <c r="C468" s="1" t="n">
        <v>46037</v>
      </c>
      <c r="D468" t="inlineStr">
        <is>
          <t>JÄMTLANDS LÄN</t>
        </is>
      </c>
      <c r="E468" t="inlineStr">
        <is>
          <t>BERG</t>
        </is>
      </c>
      <c r="G468" t="n">
        <v>3.7</v>
      </c>
      <c r="H468" t="n">
        <v>0</v>
      </c>
      <c r="I468" t="n">
        <v>0</v>
      </c>
      <c r="J468" t="n">
        <v>0</v>
      </c>
      <c r="K468" t="n">
        <v>0</v>
      </c>
      <c r="L468" t="n">
        <v>0</v>
      </c>
      <c r="M468" t="n">
        <v>0</v>
      </c>
      <c r="N468" t="n">
        <v>0</v>
      </c>
      <c r="O468" t="n">
        <v>0</v>
      </c>
      <c r="P468" t="n">
        <v>0</v>
      </c>
      <c r="Q468" t="n">
        <v>0</v>
      </c>
      <c r="R468" s="2" t="inlineStr"/>
    </row>
    <row r="469" ht="15" customHeight="1">
      <c r="A469" t="inlineStr">
        <is>
          <t>A 45390-2025</t>
        </is>
      </c>
      <c r="B469" s="1" t="n">
        <v>45922.40762731482</v>
      </c>
      <c r="C469" s="1" t="n">
        <v>46037</v>
      </c>
      <c r="D469" t="inlineStr">
        <is>
          <t>JÄMTLANDS LÄN</t>
        </is>
      </c>
      <c r="E469" t="inlineStr">
        <is>
          <t>BERG</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31090-2025</t>
        </is>
      </c>
      <c r="B470" s="1" t="n">
        <v>45832.59436342592</v>
      </c>
      <c r="C470" s="1" t="n">
        <v>46037</v>
      </c>
      <c r="D470" t="inlineStr">
        <is>
          <t>JÄMTLANDS LÄN</t>
        </is>
      </c>
      <c r="E470" t="inlineStr">
        <is>
          <t>BERG</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5219-2022</t>
        </is>
      </c>
      <c r="B471" s="1" t="n">
        <v>44594.48569444445</v>
      </c>
      <c r="C471" s="1" t="n">
        <v>46037</v>
      </c>
      <c r="D471" t="inlineStr">
        <is>
          <t>JÄMTLANDS LÄN</t>
        </is>
      </c>
      <c r="E471" t="inlineStr">
        <is>
          <t>BERG</t>
        </is>
      </c>
      <c r="G471" t="n">
        <v>1.9</v>
      </c>
      <c r="H471" t="n">
        <v>0</v>
      </c>
      <c r="I471" t="n">
        <v>0</v>
      </c>
      <c r="J471" t="n">
        <v>0</v>
      </c>
      <c r="K471" t="n">
        <v>0</v>
      </c>
      <c r="L471" t="n">
        <v>0</v>
      </c>
      <c r="M471" t="n">
        <v>0</v>
      </c>
      <c r="N471" t="n">
        <v>0</v>
      </c>
      <c r="O471" t="n">
        <v>0</v>
      </c>
      <c r="P471" t="n">
        <v>0</v>
      </c>
      <c r="Q471" t="n">
        <v>0</v>
      </c>
      <c r="R471" s="2" t="inlineStr"/>
    </row>
    <row r="472" ht="15" customHeight="1">
      <c r="A472" t="inlineStr">
        <is>
          <t>A 45459-2025</t>
        </is>
      </c>
      <c r="B472" s="1" t="n">
        <v>45922.49230324074</v>
      </c>
      <c r="C472" s="1" t="n">
        <v>46037</v>
      </c>
      <c r="D472" t="inlineStr">
        <is>
          <t>JÄMTLANDS LÄN</t>
        </is>
      </c>
      <c r="E472" t="inlineStr">
        <is>
          <t>BERG</t>
        </is>
      </c>
      <c r="F472" t="inlineStr">
        <is>
          <t>Kyrkan</t>
        </is>
      </c>
      <c r="G472" t="n">
        <v>8</v>
      </c>
      <c r="H472" t="n">
        <v>0</v>
      </c>
      <c r="I472" t="n">
        <v>0</v>
      </c>
      <c r="J472" t="n">
        <v>0</v>
      </c>
      <c r="K472" t="n">
        <v>0</v>
      </c>
      <c r="L472" t="n">
        <v>0</v>
      </c>
      <c r="M472" t="n">
        <v>0</v>
      </c>
      <c r="N472" t="n">
        <v>0</v>
      </c>
      <c r="O472" t="n">
        <v>0</v>
      </c>
      <c r="P472" t="n">
        <v>0</v>
      </c>
      <c r="Q472" t="n">
        <v>0</v>
      </c>
      <c r="R472" s="2" t="inlineStr"/>
    </row>
    <row r="473" ht="15" customHeight="1">
      <c r="A473" t="inlineStr">
        <is>
          <t>A 45171-2025</t>
        </is>
      </c>
      <c r="B473" s="1" t="n">
        <v>45919.50256944444</v>
      </c>
      <c r="C473" s="1" t="n">
        <v>46037</v>
      </c>
      <c r="D473" t="inlineStr">
        <is>
          <t>JÄMTLANDS LÄN</t>
        </is>
      </c>
      <c r="E473" t="inlineStr">
        <is>
          <t>BERG</t>
        </is>
      </c>
      <c r="F473" t="inlineStr">
        <is>
          <t>Övriga Aktiebolag</t>
        </is>
      </c>
      <c r="G473" t="n">
        <v>10.7</v>
      </c>
      <c r="H473" t="n">
        <v>0</v>
      </c>
      <c r="I473" t="n">
        <v>0</v>
      </c>
      <c r="J473" t="n">
        <v>0</v>
      </c>
      <c r="K473" t="n">
        <v>0</v>
      </c>
      <c r="L473" t="n">
        <v>0</v>
      </c>
      <c r="M473" t="n">
        <v>0</v>
      </c>
      <c r="N473" t="n">
        <v>0</v>
      </c>
      <c r="O473" t="n">
        <v>0</v>
      </c>
      <c r="P473" t="n">
        <v>0</v>
      </c>
      <c r="Q473" t="n">
        <v>0</v>
      </c>
      <c r="R473" s="2" t="inlineStr"/>
    </row>
    <row r="474" ht="15" customHeight="1">
      <c r="A474" t="inlineStr">
        <is>
          <t>A 18217-2023</t>
        </is>
      </c>
      <c r="B474" s="1" t="n">
        <v>45040</v>
      </c>
      <c r="C474" s="1" t="n">
        <v>46037</v>
      </c>
      <c r="D474" t="inlineStr">
        <is>
          <t>JÄMTLANDS LÄN</t>
        </is>
      </c>
      <c r="E474" t="inlineStr">
        <is>
          <t>BERG</t>
        </is>
      </c>
      <c r="G474" t="n">
        <v>4.5</v>
      </c>
      <c r="H474" t="n">
        <v>0</v>
      </c>
      <c r="I474" t="n">
        <v>0</v>
      </c>
      <c r="J474" t="n">
        <v>0</v>
      </c>
      <c r="K474" t="n">
        <v>0</v>
      </c>
      <c r="L474" t="n">
        <v>0</v>
      </c>
      <c r="M474" t="n">
        <v>0</v>
      </c>
      <c r="N474" t="n">
        <v>0</v>
      </c>
      <c r="O474" t="n">
        <v>0</v>
      </c>
      <c r="P474" t="n">
        <v>0</v>
      </c>
      <c r="Q474" t="n">
        <v>0</v>
      </c>
      <c r="R474" s="2" t="inlineStr"/>
    </row>
    <row r="475" ht="15" customHeight="1">
      <c r="A475" t="inlineStr">
        <is>
          <t>A 18112-2024</t>
        </is>
      </c>
      <c r="B475" s="1" t="n">
        <v>45420.49851851852</v>
      </c>
      <c r="C475" s="1" t="n">
        <v>46037</v>
      </c>
      <c r="D475" t="inlineStr">
        <is>
          <t>JÄMTLANDS LÄN</t>
        </is>
      </c>
      <c r="E475" t="inlineStr">
        <is>
          <t>BERG</t>
        </is>
      </c>
      <c r="F475" t="inlineStr">
        <is>
          <t>Holmen skog AB</t>
        </is>
      </c>
      <c r="G475" t="n">
        <v>16.6</v>
      </c>
      <c r="H475" t="n">
        <v>0</v>
      </c>
      <c r="I475" t="n">
        <v>0</v>
      </c>
      <c r="J475" t="n">
        <v>0</v>
      </c>
      <c r="K475" t="n">
        <v>0</v>
      </c>
      <c r="L475" t="n">
        <v>0</v>
      </c>
      <c r="M475" t="n">
        <v>0</v>
      </c>
      <c r="N475" t="n">
        <v>0</v>
      </c>
      <c r="O475" t="n">
        <v>0</v>
      </c>
      <c r="P475" t="n">
        <v>0</v>
      </c>
      <c r="Q475" t="n">
        <v>0</v>
      </c>
      <c r="R475" s="2" t="inlineStr"/>
    </row>
    <row r="476" ht="15" customHeight="1">
      <c r="A476" t="inlineStr">
        <is>
          <t>A 3842-2023</t>
        </is>
      </c>
      <c r="B476" s="1" t="n">
        <v>44951</v>
      </c>
      <c r="C476" s="1" t="n">
        <v>46037</v>
      </c>
      <c r="D476" t="inlineStr">
        <is>
          <t>JÄMTLANDS LÄN</t>
        </is>
      </c>
      <c r="E476" t="inlineStr">
        <is>
          <t>BERG</t>
        </is>
      </c>
      <c r="G476" t="n">
        <v>0.3</v>
      </c>
      <c r="H476" t="n">
        <v>0</v>
      </c>
      <c r="I476" t="n">
        <v>0</v>
      </c>
      <c r="J476" t="n">
        <v>0</v>
      </c>
      <c r="K476" t="n">
        <v>0</v>
      </c>
      <c r="L476" t="n">
        <v>0</v>
      </c>
      <c r="M476" t="n">
        <v>0</v>
      </c>
      <c r="N476" t="n">
        <v>0</v>
      </c>
      <c r="O476" t="n">
        <v>0</v>
      </c>
      <c r="P476" t="n">
        <v>0</v>
      </c>
      <c r="Q476" t="n">
        <v>0</v>
      </c>
      <c r="R476" s="2" t="inlineStr"/>
    </row>
    <row r="477" ht="15" customHeight="1">
      <c r="A477" t="inlineStr">
        <is>
          <t>A 14190-2023</t>
        </is>
      </c>
      <c r="B477" s="1" t="n">
        <v>45009.56106481481</v>
      </c>
      <c r="C477" s="1" t="n">
        <v>46037</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45640-2025</t>
        </is>
      </c>
      <c r="B478" s="1" t="n">
        <v>45922.961875</v>
      </c>
      <c r="C478" s="1" t="n">
        <v>46037</v>
      </c>
      <c r="D478" t="inlineStr">
        <is>
          <t>JÄMTLANDS LÄN</t>
        </is>
      </c>
      <c r="E478" t="inlineStr">
        <is>
          <t>BERG</t>
        </is>
      </c>
      <c r="G478" t="n">
        <v>2.3</v>
      </c>
      <c r="H478" t="n">
        <v>0</v>
      </c>
      <c r="I478" t="n">
        <v>0</v>
      </c>
      <c r="J478" t="n">
        <v>0</v>
      </c>
      <c r="K478" t="n">
        <v>0</v>
      </c>
      <c r="L478" t="n">
        <v>0</v>
      </c>
      <c r="M478" t="n">
        <v>0</v>
      </c>
      <c r="N478" t="n">
        <v>0</v>
      </c>
      <c r="O478" t="n">
        <v>0</v>
      </c>
      <c r="P478" t="n">
        <v>0</v>
      </c>
      <c r="Q478" t="n">
        <v>0</v>
      </c>
      <c r="R478" s="2" t="inlineStr"/>
    </row>
    <row r="479" ht="15" customHeight="1">
      <c r="A479" t="inlineStr">
        <is>
          <t>A 45912-2025</t>
        </is>
      </c>
      <c r="B479" s="1" t="n">
        <v>45923</v>
      </c>
      <c r="C479" s="1" t="n">
        <v>46037</v>
      </c>
      <c r="D479" t="inlineStr">
        <is>
          <t>JÄMTLANDS LÄN</t>
        </is>
      </c>
      <c r="E479" t="inlineStr">
        <is>
          <t>BERG</t>
        </is>
      </c>
      <c r="G479" t="n">
        <v>1.1</v>
      </c>
      <c r="H479" t="n">
        <v>0</v>
      </c>
      <c r="I479" t="n">
        <v>0</v>
      </c>
      <c r="J479" t="n">
        <v>0</v>
      </c>
      <c r="K479" t="n">
        <v>0</v>
      </c>
      <c r="L479" t="n">
        <v>0</v>
      </c>
      <c r="M479" t="n">
        <v>0</v>
      </c>
      <c r="N479" t="n">
        <v>0</v>
      </c>
      <c r="O479" t="n">
        <v>0</v>
      </c>
      <c r="P479" t="n">
        <v>0</v>
      </c>
      <c r="Q479" t="n">
        <v>0</v>
      </c>
      <c r="R479" s="2" t="inlineStr"/>
    </row>
    <row r="480" ht="15" customHeight="1">
      <c r="A480" t="inlineStr">
        <is>
          <t>A 31820-2025</t>
        </is>
      </c>
      <c r="B480" s="1" t="n">
        <v>45834.57930555556</v>
      </c>
      <c r="C480" s="1" t="n">
        <v>46037</v>
      </c>
      <c r="D480" t="inlineStr">
        <is>
          <t>JÄMTLANDS LÄN</t>
        </is>
      </c>
      <c r="E480" t="inlineStr">
        <is>
          <t>BERG</t>
        </is>
      </c>
      <c r="G480" t="n">
        <v>13.9</v>
      </c>
      <c r="H480" t="n">
        <v>0</v>
      </c>
      <c r="I480" t="n">
        <v>0</v>
      </c>
      <c r="J480" t="n">
        <v>0</v>
      </c>
      <c r="K480" t="n">
        <v>0</v>
      </c>
      <c r="L480" t="n">
        <v>0</v>
      </c>
      <c r="M480" t="n">
        <v>0</v>
      </c>
      <c r="N480" t="n">
        <v>0</v>
      </c>
      <c r="O480" t="n">
        <v>0</v>
      </c>
      <c r="P480" t="n">
        <v>0</v>
      </c>
      <c r="Q480" t="n">
        <v>0</v>
      </c>
      <c r="R480" s="2" t="inlineStr"/>
    </row>
    <row r="481" ht="15" customHeight="1">
      <c r="A481" t="inlineStr">
        <is>
          <t>A 45657-2025</t>
        </is>
      </c>
      <c r="B481" s="1" t="n">
        <v>45923.34453703704</v>
      </c>
      <c r="C481" s="1" t="n">
        <v>46037</v>
      </c>
      <c r="D481" t="inlineStr">
        <is>
          <t>JÄMTLANDS LÄN</t>
        </is>
      </c>
      <c r="E481" t="inlineStr">
        <is>
          <t>BERG</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45208-2024</t>
        </is>
      </c>
      <c r="B482" s="1" t="n">
        <v>45575.7077662037</v>
      </c>
      <c r="C482" s="1" t="n">
        <v>46037</v>
      </c>
      <c r="D482" t="inlineStr">
        <is>
          <t>JÄMTLANDS LÄN</t>
        </is>
      </c>
      <c r="E482" t="inlineStr">
        <is>
          <t>BERG</t>
        </is>
      </c>
      <c r="G482" t="n">
        <v>1.9</v>
      </c>
      <c r="H482" t="n">
        <v>0</v>
      </c>
      <c r="I482" t="n">
        <v>0</v>
      </c>
      <c r="J482" t="n">
        <v>0</v>
      </c>
      <c r="K482" t="n">
        <v>0</v>
      </c>
      <c r="L482" t="n">
        <v>0</v>
      </c>
      <c r="M482" t="n">
        <v>0</v>
      </c>
      <c r="N482" t="n">
        <v>0</v>
      </c>
      <c r="O482" t="n">
        <v>0</v>
      </c>
      <c r="P482" t="n">
        <v>0</v>
      </c>
      <c r="Q482" t="n">
        <v>0</v>
      </c>
      <c r="R482" s="2" t="inlineStr"/>
    </row>
    <row r="483" ht="15" customHeight="1">
      <c r="A483" t="inlineStr">
        <is>
          <t>A 41634-2024</t>
        </is>
      </c>
      <c r="B483" s="1" t="n">
        <v>45560.61496527777</v>
      </c>
      <c r="C483" s="1" t="n">
        <v>46037</v>
      </c>
      <c r="D483" t="inlineStr">
        <is>
          <t>JÄMTLANDS LÄN</t>
        </is>
      </c>
      <c r="E483" t="inlineStr">
        <is>
          <t>BERG</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46811-2025</t>
        </is>
      </c>
      <c r="B484" s="1" t="n">
        <v>45926.69831018519</v>
      </c>
      <c r="C484" s="1" t="n">
        <v>46037</v>
      </c>
      <c r="D484" t="inlineStr">
        <is>
          <t>JÄMTLANDS LÄN</t>
        </is>
      </c>
      <c r="E484" t="inlineStr">
        <is>
          <t>BERG</t>
        </is>
      </c>
      <c r="F484" t="inlineStr">
        <is>
          <t>SCA</t>
        </is>
      </c>
      <c r="G484" t="n">
        <v>6.1</v>
      </c>
      <c r="H484" t="n">
        <v>0</v>
      </c>
      <c r="I484" t="n">
        <v>0</v>
      </c>
      <c r="J484" t="n">
        <v>0</v>
      </c>
      <c r="K484" t="n">
        <v>0</v>
      </c>
      <c r="L484" t="n">
        <v>0</v>
      </c>
      <c r="M484" t="n">
        <v>0</v>
      </c>
      <c r="N484" t="n">
        <v>0</v>
      </c>
      <c r="O484" t="n">
        <v>0</v>
      </c>
      <c r="P484" t="n">
        <v>0</v>
      </c>
      <c r="Q484" t="n">
        <v>0</v>
      </c>
      <c r="R484" s="2" t="inlineStr"/>
    </row>
    <row r="485" ht="15" customHeight="1">
      <c r="A485" t="inlineStr">
        <is>
          <t>A 47407-2024</t>
        </is>
      </c>
      <c r="B485" s="1" t="n">
        <v>45587.47828703704</v>
      </c>
      <c r="C485" s="1" t="n">
        <v>46037</v>
      </c>
      <c r="D485" t="inlineStr">
        <is>
          <t>JÄMTLANDS LÄN</t>
        </is>
      </c>
      <c r="E485" t="inlineStr">
        <is>
          <t>BERG</t>
        </is>
      </c>
      <c r="G485" t="n">
        <v>2.7</v>
      </c>
      <c r="H485" t="n">
        <v>0</v>
      </c>
      <c r="I485" t="n">
        <v>0</v>
      </c>
      <c r="J485" t="n">
        <v>0</v>
      </c>
      <c r="K485" t="n">
        <v>0</v>
      </c>
      <c r="L485" t="n">
        <v>0</v>
      </c>
      <c r="M485" t="n">
        <v>0</v>
      </c>
      <c r="N485" t="n">
        <v>0</v>
      </c>
      <c r="O485" t="n">
        <v>0</v>
      </c>
      <c r="P485" t="n">
        <v>0</v>
      </c>
      <c r="Q485" t="n">
        <v>0</v>
      </c>
      <c r="R485" s="2" t="inlineStr"/>
    </row>
    <row r="486" ht="15" customHeight="1">
      <c r="A486" t="inlineStr">
        <is>
          <t>A 47083-2024</t>
        </is>
      </c>
      <c r="B486" s="1" t="n">
        <v>45586.50625</v>
      </c>
      <c r="C486" s="1" t="n">
        <v>46037</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47099-2024</t>
        </is>
      </c>
      <c r="B487" s="1" t="n">
        <v>45586.53743055555</v>
      </c>
      <c r="C487" s="1" t="n">
        <v>46037</v>
      </c>
      <c r="D487" t="inlineStr">
        <is>
          <t>JÄMTLANDS LÄN</t>
        </is>
      </c>
      <c r="E487" t="inlineStr">
        <is>
          <t>BERG</t>
        </is>
      </c>
      <c r="G487" t="n">
        <v>5.9</v>
      </c>
      <c r="H487" t="n">
        <v>0</v>
      </c>
      <c r="I487" t="n">
        <v>0</v>
      </c>
      <c r="J487" t="n">
        <v>0</v>
      </c>
      <c r="K487" t="n">
        <v>0</v>
      </c>
      <c r="L487" t="n">
        <v>0</v>
      </c>
      <c r="M487" t="n">
        <v>0</v>
      </c>
      <c r="N487" t="n">
        <v>0</v>
      </c>
      <c r="O487" t="n">
        <v>0</v>
      </c>
      <c r="P487" t="n">
        <v>0</v>
      </c>
      <c r="Q487" t="n">
        <v>0</v>
      </c>
      <c r="R487" s="2" t="inlineStr"/>
    </row>
    <row r="488" ht="15" customHeight="1">
      <c r="A488" t="inlineStr">
        <is>
          <t>A 47145-2025</t>
        </is>
      </c>
      <c r="B488" s="1" t="n">
        <v>45929.71310185185</v>
      </c>
      <c r="C488" s="1" t="n">
        <v>46037</v>
      </c>
      <c r="D488" t="inlineStr">
        <is>
          <t>JÄMTLANDS LÄN</t>
        </is>
      </c>
      <c r="E488" t="inlineStr">
        <is>
          <t>BERG</t>
        </is>
      </c>
      <c r="G488" t="n">
        <v>3.5</v>
      </c>
      <c r="H488" t="n">
        <v>0</v>
      </c>
      <c r="I488" t="n">
        <v>0</v>
      </c>
      <c r="J488" t="n">
        <v>0</v>
      </c>
      <c r="K488" t="n">
        <v>0</v>
      </c>
      <c r="L488" t="n">
        <v>0</v>
      </c>
      <c r="M488" t="n">
        <v>0</v>
      </c>
      <c r="N488" t="n">
        <v>0</v>
      </c>
      <c r="O488" t="n">
        <v>0</v>
      </c>
      <c r="P488" t="n">
        <v>0</v>
      </c>
      <c r="Q488" t="n">
        <v>0</v>
      </c>
      <c r="R488" s="2" t="inlineStr"/>
    </row>
    <row r="489" ht="15" customHeight="1">
      <c r="A489" t="inlineStr">
        <is>
          <t>A 32160-2025</t>
        </is>
      </c>
      <c r="B489" s="1" t="n">
        <v>45835.54142361111</v>
      </c>
      <c r="C489" s="1" t="n">
        <v>46037</v>
      </c>
      <c r="D489" t="inlineStr">
        <is>
          <t>JÄMTLANDS LÄN</t>
        </is>
      </c>
      <c r="E489" t="inlineStr">
        <is>
          <t>BERG</t>
        </is>
      </c>
      <c r="G489" t="n">
        <v>10.3</v>
      </c>
      <c r="H489" t="n">
        <v>0</v>
      </c>
      <c r="I489" t="n">
        <v>0</v>
      </c>
      <c r="J489" t="n">
        <v>0</v>
      </c>
      <c r="K489" t="n">
        <v>0</v>
      </c>
      <c r="L489" t="n">
        <v>0</v>
      </c>
      <c r="M489" t="n">
        <v>0</v>
      </c>
      <c r="N489" t="n">
        <v>0</v>
      </c>
      <c r="O489" t="n">
        <v>0</v>
      </c>
      <c r="P489" t="n">
        <v>0</v>
      </c>
      <c r="Q489" t="n">
        <v>0</v>
      </c>
      <c r="R489" s="2" t="inlineStr"/>
    </row>
    <row r="490" ht="15" customHeight="1">
      <c r="A490" t="inlineStr">
        <is>
          <t>A 46853-2025</t>
        </is>
      </c>
      <c r="B490" s="1" t="n">
        <v>45928.86563657408</v>
      </c>
      <c r="C490" s="1" t="n">
        <v>46037</v>
      </c>
      <c r="D490" t="inlineStr">
        <is>
          <t>JÄMTLANDS LÄN</t>
        </is>
      </c>
      <c r="E490" t="inlineStr">
        <is>
          <t>BERG</t>
        </is>
      </c>
      <c r="F490" t="inlineStr">
        <is>
          <t>Kyrkan</t>
        </is>
      </c>
      <c r="G490" t="n">
        <v>7.9</v>
      </c>
      <c r="H490" t="n">
        <v>0</v>
      </c>
      <c r="I490" t="n">
        <v>0</v>
      </c>
      <c r="J490" t="n">
        <v>0</v>
      </c>
      <c r="K490" t="n">
        <v>0</v>
      </c>
      <c r="L490" t="n">
        <v>0</v>
      </c>
      <c r="M490" t="n">
        <v>0</v>
      </c>
      <c r="N490" t="n">
        <v>0</v>
      </c>
      <c r="O490" t="n">
        <v>0</v>
      </c>
      <c r="P490" t="n">
        <v>0</v>
      </c>
      <c r="Q490" t="n">
        <v>0</v>
      </c>
      <c r="R490" s="2" t="inlineStr"/>
    </row>
    <row r="491" ht="15" customHeight="1">
      <c r="A491" t="inlineStr">
        <is>
          <t>A 47428-2025</t>
        </is>
      </c>
      <c r="B491" s="1" t="n">
        <v>45930</v>
      </c>
      <c r="C491" s="1" t="n">
        <v>46037</v>
      </c>
      <c r="D491" t="inlineStr">
        <is>
          <t>JÄMTLANDS LÄN</t>
        </is>
      </c>
      <c r="E491" t="inlineStr">
        <is>
          <t>BERG</t>
        </is>
      </c>
      <c r="G491" t="n">
        <v>3.4</v>
      </c>
      <c r="H491" t="n">
        <v>0</v>
      </c>
      <c r="I491" t="n">
        <v>0</v>
      </c>
      <c r="J491" t="n">
        <v>0</v>
      </c>
      <c r="K491" t="n">
        <v>0</v>
      </c>
      <c r="L491" t="n">
        <v>0</v>
      </c>
      <c r="M491" t="n">
        <v>0</v>
      </c>
      <c r="N491" t="n">
        <v>0</v>
      </c>
      <c r="O491" t="n">
        <v>0</v>
      </c>
      <c r="P491" t="n">
        <v>0</v>
      </c>
      <c r="Q491" t="n">
        <v>0</v>
      </c>
      <c r="R491" s="2" t="inlineStr"/>
    </row>
    <row r="492" ht="15" customHeight="1">
      <c r="A492" t="inlineStr">
        <is>
          <t>A 32919-2025</t>
        </is>
      </c>
      <c r="B492" s="1" t="n">
        <v>45839.64721064815</v>
      </c>
      <c r="C492" s="1" t="n">
        <v>46037</v>
      </c>
      <c r="D492" t="inlineStr">
        <is>
          <t>JÄMTLANDS LÄN</t>
        </is>
      </c>
      <c r="E492" t="inlineStr">
        <is>
          <t>BERG</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33054-2025</t>
        </is>
      </c>
      <c r="B493" s="1" t="n">
        <v>45840.42746527777</v>
      </c>
      <c r="C493" s="1" t="n">
        <v>46037</v>
      </c>
      <c r="D493" t="inlineStr">
        <is>
          <t>JÄMTLANDS LÄN</t>
        </is>
      </c>
      <c r="E493" t="inlineStr">
        <is>
          <t>BERG</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47141-2025</t>
        </is>
      </c>
      <c r="B494" s="1" t="n">
        <v>45929.70355324074</v>
      </c>
      <c r="C494" s="1" t="n">
        <v>46037</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47197-2025</t>
        </is>
      </c>
      <c r="B495" s="1" t="n">
        <v>45930.34533564815</v>
      </c>
      <c r="C495" s="1" t="n">
        <v>46037</v>
      </c>
      <c r="D495" t="inlineStr">
        <is>
          <t>JÄMTLANDS LÄN</t>
        </is>
      </c>
      <c r="E495" t="inlineStr">
        <is>
          <t>BERG</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47430-2025</t>
        </is>
      </c>
      <c r="B496" s="1" t="n">
        <v>45930.63619212963</v>
      </c>
      <c r="C496" s="1" t="n">
        <v>46037</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47431-2025</t>
        </is>
      </c>
      <c r="B497" s="1" t="n">
        <v>45930.63626157407</v>
      </c>
      <c r="C497" s="1" t="n">
        <v>46037</v>
      </c>
      <c r="D497" t="inlineStr">
        <is>
          <t>JÄMTLANDS LÄN</t>
        </is>
      </c>
      <c r="E497" t="inlineStr">
        <is>
          <t>BERG</t>
        </is>
      </c>
      <c r="F497" t="inlineStr">
        <is>
          <t>SCA</t>
        </is>
      </c>
      <c r="G497" t="n">
        <v>9.5</v>
      </c>
      <c r="H497" t="n">
        <v>0</v>
      </c>
      <c r="I497" t="n">
        <v>0</v>
      </c>
      <c r="J497" t="n">
        <v>0</v>
      </c>
      <c r="K497" t="n">
        <v>0</v>
      </c>
      <c r="L497" t="n">
        <v>0</v>
      </c>
      <c r="M497" t="n">
        <v>0</v>
      </c>
      <c r="N497" t="n">
        <v>0</v>
      </c>
      <c r="O497" t="n">
        <v>0</v>
      </c>
      <c r="P497" t="n">
        <v>0</v>
      </c>
      <c r="Q497" t="n">
        <v>0</v>
      </c>
      <c r="R497" s="2" t="inlineStr"/>
    </row>
    <row r="498" ht="15" customHeight="1">
      <c r="A498" t="inlineStr">
        <is>
          <t>A 46584-2025</t>
        </is>
      </c>
      <c r="B498" s="1" t="n">
        <v>45926</v>
      </c>
      <c r="C498" s="1" t="n">
        <v>46037</v>
      </c>
      <c r="D498" t="inlineStr">
        <is>
          <t>JÄMTLANDS LÄN</t>
        </is>
      </c>
      <c r="E498" t="inlineStr">
        <is>
          <t>BERG</t>
        </is>
      </c>
      <c r="G498" t="n">
        <v>17.1</v>
      </c>
      <c r="H498" t="n">
        <v>0</v>
      </c>
      <c r="I498" t="n">
        <v>0</v>
      </c>
      <c r="J498" t="n">
        <v>0</v>
      </c>
      <c r="K498" t="n">
        <v>0</v>
      </c>
      <c r="L498" t="n">
        <v>0</v>
      </c>
      <c r="M498" t="n">
        <v>0</v>
      </c>
      <c r="N498" t="n">
        <v>0</v>
      </c>
      <c r="O498" t="n">
        <v>0</v>
      </c>
      <c r="P498" t="n">
        <v>0</v>
      </c>
      <c r="Q498" t="n">
        <v>0</v>
      </c>
      <c r="R498" s="2" t="inlineStr"/>
    </row>
    <row r="499" ht="15" customHeight="1">
      <c r="A499" t="inlineStr">
        <is>
          <t>A 46854-2025</t>
        </is>
      </c>
      <c r="B499" s="1" t="n">
        <v>45928.87376157408</v>
      </c>
      <c r="C499" s="1" t="n">
        <v>46037</v>
      </c>
      <c r="D499" t="inlineStr">
        <is>
          <t>JÄMTLANDS LÄN</t>
        </is>
      </c>
      <c r="E499" t="inlineStr">
        <is>
          <t>BERG</t>
        </is>
      </c>
      <c r="F499" t="inlineStr">
        <is>
          <t>Kyrkan</t>
        </is>
      </c>
      <c r="G499" t="n">
        <v>4.8</v>
      </c>
      <c r="H499" t="n">
        <v>0</v>
      </c>
      <c r="I499" t="n">
        <v>0</v>
      </c>
      <c r="J499" t="n">
        <v>0</v>
      </c>
      <c r="K499" t="n">
        <v>0</v>
      </c>
      <c r="L499" t="n">
        <v>0</v>
      </c>
      <c r="M499" t="n">
        <v>0</v>
      </c>
      <c r="N499" t="n">
        <v>0</v>
      </c>
      <c r="O499" t="n">
        <v>0</v>
      </c>
      <c r="P499" t="n">
        <v>0</v>
      </c>
      <c r="Q499" t="n">
        <v>0</v>
      </c>
      <c r="R499" s="2" t="inlineStr"/>
    </row>
    <row r="500" ht="15" customHeight="1">
      <c r="A500" t="inlineStr">
        <is>
          <t>A 46908-2025</t>
        </is>
      </c>
      <c r="B500" s="1" t="n">
        <v>45929.40664351852</v>
      </c>
      <c r="C500" s="1" t="n">
        <v>46037</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59634-2022</t>
        </is>
      </c>
      <c r="B501" s="1" t="n">
        <v>44907.9645949074</v>
      </c>
      <c r="C501" s="1" t="n">
        <v>46037</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47434-2025</t>
        </is>
      </c>
      <c r="B502" s="1" t="n">
        <v>45930.63659722222</v>
      </c>
      <c r="C502" s="1" t="n">
        <v>46037</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47135-2025</t>
        </is>
      </c>
      <c r="B503" s="1" t="n">
        <v>45929.69799768519</v>
      </c>
      <c r="C503" s="1" t="n">
        <v>46037</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9482-2024</t>
        </is>
      </c>
      <c r="B504" s="1" t="n">
        <v>45359.57847222222</v>
      </c>
      <c r="C504" s="1" t="n">
        <v>46037</v>
      </c>
      <c r="D504" t="inlineStr">
        <is>
          <t>JÄMTLANDS LÄN</t>
        </is>
      </c>
      <c r="E504" t="inlineStr">
        <is>
          <t>BERG</t>
        </is>
      </c>
      <c r="G504" t="n">
        <v>3</v>
      </c>
      <c r="H504" t="n">
        <v>0</v>
      </c>
      <c r="I504" t="n">
        <v>0</v>
      </c>
      <c r="J504" t="n">
        <v>0</v>
      </c>
      <c r="K504" t="n">
        <v>0</v>
      </c>
      <c r="L504" t="n">
        <v>0</v>
      </c>
      <c r="M504" t="n">
        <v>0</v>
      </c>
      <c r="N504" t="n">
        <v>0</v>
      </c>
      <c r="O504" t="n">
        <v>0</v>
      </c>
      <c r="P504" t="n">
        <v>0</v>
      </c>
      <c r="Q504" t="n">
        <v>0</v>
      </c>
      <c r="R504" s="2" t="inlineStr"/>
    </row>
    <row r="505" ht="15" customHeight="1">
      <c r="A505" t="inlineStr">
        <is>
          <t>A 28403-2025</t>
        </is>
      </c>
      <c r="B505" s="1" t="n">
        <v>45819</v>
      </c>
      <c r="C505" s="1" t="n">
        <v>46037</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32713-2025</t>
        </is>
      </c>
      <c r="B506" s="1" t="n">
        <v>45839.36935185185</v>
      </c>
      <c r="C506" s="1" t="n">
        <v>46037</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26959-2022</t>
        </is>
      </c>
      <c r="B507" s="1" t="n">
        <v>44740.66048611111</v>
      </c>
      <c r="C507" s="1" t="n">
        <v>46037</v>
      </c>
      <c r="D507" t="inlineStr">
        <is>
          <t>JÄMTLANDS LÄN</t>
        </is>
      </c>
      <c r="E507" t="inlineStr">
        <is>
          <t>BERG</t>
        </is>
      </c>
      <c r="G507" t="n">
        <v>2.8</v>
      </c>
      <c r="H507" t="n">
        <v>0</v>
      </c>
      <c r="I507" t="n">
        <v>0</v>
      </c>
      <c r="J507" t="n">
        <v>0</v>
      </c>
      <c r="K507" t="n">
        <v>0</v>
      </c>
      <c r="L507" t="n">
        <v>0</v>
      </c>
      <c r="M507" t="n">
        <v>0</v>
      </c>
      <c r="N507" t="n">
        <v>0</v>
      </c>
      <c r="O507" t="n">
        <v>0</v>
      </c>
      <c r="P507" t="n">
        <v>0</v>
      </c>
      <c r="Q507" t="n">
        <v>0</v>
      </c>
      <c r="R507" s="2" t="inlineStr"/>
    </row>
    <row r="508" ht="15" customHeight="1">
      <c r="A508" t="inlineStr">
        <is>
          <t>A 47137-2025</t>
        </is>
      </c>
      <c r="B508" s="1" t="n">
        <v>45929.69876157407</v>
      </c>
      <c r="C508" s="1" t="n">
        <v>46037</v>
      </c>
      <c r="D508" t="inlineStr">
        <is>
          <t>JÄMTLANDS LÄN</t>
        </is>
      </c>
      <c r="E508" t="inlineStr">
        <is>
          <t>BERG</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47193-2025</t>
        </is>
      </c>
      <c r="B509" s="1" t="n">
        <v>45930.34469907408</v>
      </c>
      <c r="C509" s="1" t="n">
        <v>46037</v>
      </c>
      <c r="D509" t="inlineStr">
        <is>
          <t>JÄMTLANDS LÄN</t>
        </is>
      </c>
      <c r="E509" t="inlineStr">
        <is>
          <t>BERG</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3173-2025</t>
        </is>
      </c>
      <c r="B510" s="1" t="n">
        <v>45679.38309027778</v>
      </c>
      <c r="C510" s="1" t="n">
        <v>46037</v>
      </c>
      <c r="D510" t="inlineStr">
        <is>
          <t>JÄMTLANDS LÄN</t>
        </is>
      </c>
      <c r="E510" t="inlineStr">
        <is>
          <t>BERG</t>
        </is>
      </c>
      <c r="G510" t="n">
        <v>8.9</v>
      </c>
      <c r="H510" t="n">
        <v>0</v>
      </c>
      <c r="I510" t="n">
        <v>0</v>
      </c>
      <c r="J510" t="n">
        <v>0</v>
      </c>
      <c r="K510" t="n">
        <v>0</v>
      </c>
      <c r="L510" t="n">
        <v>0</v>
      </c>
      <c r="M510" t="n">
        <v>0</v>
      </c>
      <c r="N510" t="n">
        <v>0</v>
      </c>
      <c r="O510" t="n">
        <v>0</v>
      </c>
      <c r="P510" t="n">
        <v>0</v>
      </c>
      <c r="Q510" t="n">
        <v>0</v>
      </c>
      <c r="R510" s="2" t="inlineStr"/>
    </row>
    <row r="511" ht="15" customHeight="1">
      <c r="A511" t="inlineStr">
        <is>
          <t>A 33753-2025</t>
        </is>
      </c>
      <c r="B511" s="1" t="n">
        <v>45842.37199074074</v>
      </c>
      <c r="C511" s="1" t="n">
        <v>46037</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44997-2021</t>
        </is>
      </c>
      <c r="B512" s="1" t="n">
        <v>44438</v>
      </c>
      <c r="C512" s="1" t="n">
        <v>46037</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47534-2025</t>
        </is>
      </c>
      <c r="B513" s="1" t="n">
        <v>45931.3466550926</v>
      </c>
      <c r="C513" s="1" t="n">
        <v>46037</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33748-2025</t>
        </is>
      </c>
      <c r="B514" s="1" t="n">
        <v>45842.35685185185</v>
      </c>
      <c r="C514" s="1" t="n">
        <v>46037</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48056-2025</t>
        </is>
      </c>
      <c r="B515" s="1" t="n">
        <v>45932.67946759259</v>
      </c>
      <c r="C515" s="1" t="n">
        <v>46037</v>
      </c>
      <c r="D515" t="inlineStr">
        <is>
          <t>JÄMTLANDS LÄN</t>
        </is>
      </c>
      <c r="E515" t="inlineStr">
        <is>
          <t>BERG</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19429-2025</t>
        </is>
      </c>
      <c r="B516" s="1" t="n">
        <v>45769.8025462963</v>
      </c>
      <c r="C516" s="1" t="n">
        <v>46037</v>
      </c>
      <c r="D516" t="inlineStr">
        <is>
          <t>JÄMTLANDS LÄN</t>
        </is>
      </c>
      <c r="E516" t="inlineStr">
        <is>
          <t>BERG</t>
        </is>
      </c>
      <c r="G516" t="n">
        <v>2</v>
      </c>
      <c r="H516" t="n">
        <v>0</v>
      </c>
      <c r="I516" t="n">
        <v>0</v>
      </c>
      <c r="J516" t="n">
        <v>0</v>
      </c>
      <c r="K516" t="n">
        <v>0</v>
      </c>
      <c r="L516" t="n">
        <v>0</v>
      </c>
      <c r="M516" t="n">
        <v>0</v>
      </c>
      <c r="N516" t="n">
        <v>0</v>
      </c>
      <c r="O516" t="n">
        <v>0</v>
      </c>
      <c r="P516" t="n">
        <v>0</v>
      </c>
      <c r="Q516" t="n">
        <v>0</v>
      </c>
      <c r="R516" s="2" t="inlineStr"/>
    </row>
    <row r="517" ht="15" customHeight="1">
      <c r="A517" t="inlineStr">
        <is>
          <t>A 33750-2025</t>
        </is>
      </c>
      <c r="B517" s="1" t="n">
        <v>45842.36243055556</v>
      </c>
      <c r="C517" s="1" t="n">
        <v>46037</v>
      </c>
      <c r="D517" t="inlineStr">
        <is>
          <t>JÄMTLANDS LÄN</t>
        </is>
      </c>
      <c r="E517" t="inlineStr">
        <is>
          <t>BERG</t>
        </is>
      </c>
      <c r="G517" t="n">
        <v>0.9</v>
      </c>
      <c r="H517" t="n">
        <v>0</v>
      </c>
      <c r="I517" t="n">
        <v>0</v>
      </c>
      <c r="J517" t="n">
        <v>0</v>
      </c>
      <c r="K517" t="n">
        <v>0</v>
      </c>
      <c r="L517" t="n">
        <v>0</v>
      </c>
      <c r="M517" t="n">
        <v>0</v>
      </c>
      <c r="N517" t="n">
        <v>0</v>
      </c>
      <c r="O517" t="n">
        <v>0</v>
      </c>
      <c r="P517" t="n">
        <v>0</v>
      </c>
      <c r="Q517" t="n">
        <v>0</v>
      </c>
      <c r="R517" s="2" t="inlineStr"/>
    </row>
    <row r="518" ht="15" customHeight="1">
      <c r="A518" t="inlineStr">
        <is>
          <t>A 47821-2025</t>
        </is>
      </c>
      <c r="B518" s="1" t="n">
        <v>45932.34421296296</v>
      </c>
      <c r="C518" s="1" t="n">
        <v>46037</v>
      </c>
      <c r="D518" t="inlineStr">
        <is>
          <t>JÄMTLANDS LÄN</t>
        </is>
      </c>
      <c r="E518" t="inlineStr">
        <is>
          <t>BERG</t>
        </is>
      </c>
      <c r="F518" t="inlineStr">
        <is>
          <t>SCA</t>
        </is>
      </c>
      <c r="G518" t="n">
        <v>7.6</v>
      </c>
      <c r="H518" t="n">
        <v>0</v>
      </c>
      <c r="I518" t="n">
        <v>0</v>
      </c>
      <c r="J518" t="n">
        <v>0</v>
      </c>
      <c r="K518" t="n">
        <v>0</v>
      </c>
      <c r="L518" t="n">
        <v>0</v>
      </c>
      <c r="M518" t="n">
        <v>0</v>
      </c>
      <c r="N518" t="n">
        <v>0</v>
      </c>
      <c r="O518" t="n">
        <v>0</v>
      </c>
      <c r="P518" t="n">
        <v>0</v>
      </c>
      <c r="Q518" t="n">
        <v>0</v>
      </c>
      <c r="R518" s="2" t="inlineStr"/>
    </row>
    <row r="519" ht="15" customHeight="1">
      <c r="A519" t="inlineStr">
        <is>
          <t>A 47533-2025</t>
        </is>
      </c>
      <c r="B519" s="1" t="n">
        <v>45931.34659722223</v>
      </c>
      <c r="C519" s="1" t="n">
        <v>46037</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37589-2021</t>
        </is>
      </c>
      <c r="B520" s="1" t="n">
        <v>44399</v>
      </c>
      <c r="C520" s="1" t="n">
        <v>46037</v>
      </c>
      <c r="D520" t="inlineStr">
        <is>
          <t>JÄMTLANDS LÄN</t>
        </is>
      </c>
      <c r="E520" t="inlineStr">
        <is>
          <t>BERG</t>
        </is>
      </c>
      <c r="G520" t="n">
        <v>8.6</v>
      </c>
      <c r="H520" t="n">
        <v>0</v>
      </c>
      <c r="I520" t="n">
        <v>0</v>
      </c>
      <c r="J520" t="n">
        <v>0</v>
      </c>
      <c r="K520" t="n">
        <v>0</v>
      </c>
      <c r="L520" t="n">
        <v>0</v>
      </c>
      <c r="M520" t="n">
        <v>0</v>
      </c>
      <c r="N520" t="n">
        <v>0</v>
      </c>
      <c r="O520" t="n">
        <v>0</v>
      </c>
      <c r="P520" t="n">
        <v>0</v>
      </c>
      <c r="Q520" t="n">
        <v>0</v>
      </c>
      <c r="R520" s="2" t="inlineStr"/>
    </row>
    <row r="521" ht="15" customHeight="1">
      <c r="A521" t="inlineStr">
        <is>
          <t>A 34036-2025</t>
        </is>
      </c>
      <c r="B521" s="1" t="n">
        <v>45845.36954861111</v>
      </c>
      <c r="C521" s="1" t="n">
        <v>46037</v>
      </c>
      <c r="D521" t="inlineStr">
        <is>
          <t>JÄMTLANDS LÄN</t>
        </is>
      </c>
      <c r="E521" t="inlineStr">
        <is>
          <t>BERG</t>
        </is>
      </c>
      <c r="G521" t="n">
        <v>4.8</v>
      </c>
      <c r="H521" t="n">
        <v>0</v>
      </c>
      <c r="I521" t="n">
        <v>0</v>
      </c>
      <c r="J521" t="n">
        <v>0</v>
      </c>
      <c r="K521" t="n">
        <v>0</v>
      </c>
      <c r="L521" t="n">
        <v>0</v>
      </c>
      <c r="M521" t="n">
        <v>0</v>
      </c>
      <c r="N521" t="n">
        <v>0</v>
      </c>
      <c r="O521" t="n">
        <v>0</v>
      </c>
      <c r="P521" t="n">
        <v>0</v>
      </c>
      <c r="Q521" t="n">
        <v>0</v>
      </c>
      <c r="R521" s="2" t="inlineStr"/>
    </row>
    <row r="522" ht="15" customHeight="1">
      <c r="A522" t="inlineStr">
        <is>
          <t>A 34030-2025</t>
        </is>
      </c>
      <c r="B522" s="1" t="n">
        <v>45845.3633912037</v>
      </c>
      <c r="C522" s="1" t="n">
        <v>46037</v>
      </c>
      <c r="D522" t="inlineStr">
        <is>
          <t>JÄMTLANDS LÄN</t>
        </is>
      </c>
      <c r="E522" t="inlineStr">
        <is>
          <t>BERG</t>
        </is>
      </c>
      <c r="G522" t="n">
        <v>13.5</v>
      </c>
      <c r="H522" t="n">
        <v>0</v>
      </c>
      <c r="I522" t="n">
        <v>0</v>
      </c>
      <c r="J522" t="n">
        <v>0</v>
      </c>
      <c r="K522" t="n">
        <v>0</v>
      </c>
      <c r="L522" t="n">
        <v>0</v>
      </c>
      <c r="M522" t="n">
        <v>0</v>
      </c>
      <c r="N522" t="n">
        <v>0</v>
      </c>
      <c r="O522" t="n">
        <v>0</v>
      </c>
      <c r="P522" t="n">
        <v>0</v>
      </c>
      <c r="Q522" t="n">
        <v>0</v>
      </c>
      <c r="R522" s="2" t="inlineStr"/>
    </row>
    <row r="523" ht="15" customHeight="1">
      <c r="A523" t="inlineStr">
        <is>
          <t>A 62360-2023</t>
        </is>
      </c>
      <c r="B523" s="1" t="n">
        <v>45267</v>
      </c>
      <c r="C523" s="1" t="n">
        <v>46037</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48704-2025</t>
        </is>
      </c>
      <c r="B524" s="1" t="n">
        <v>45936.6222337963</v>
      </c>
      <c r="C524" s="1" t="n">
        <v>46037</v>
      </c>
      <c r="D524" t="inlineStr">
        <is>
          <t>JÄMTLANDS LÄN</t>
        </is>
      </c>
      <c r="E524" t="inlineStr">
        <is>
          <t>BERG</t>
        </is>
      </c>
      <c r="G524" t="n">
        <v>2.7</v>
      </c>
      <c r="H524" t="n">
        <v>0</v>
      </c>
      <c r="I524" t="n">
        <v>0</v>
      </c>
      <c r="J524" t="n">
        <v>0</v>
      </c>
      <c r="K524" t="n">
        <v>0</v>
      </c>
      <c r="L524" t="n">
        <v>0</v>
      </c>
      <c r="M524" t="n">
        <v>0</v>
      </c>
      <c r="N524" t="n">
        <v>0</v>
      </c>
      <c r="O524" t="n">
        <v>0</v>
      </c>
      <c r="P524" t="n">
        <v>0</v>
      </c>
      <c r="Q524" t="n">
        <v>0</v>
      </c>
      <c r="R524" s="2" t="inlineStr"/>
    </row>
    <row r="525" ht="15" customHeight="1">
      <c r="A525" t="inlineStr">
        <is>
          <t>A 18685-2024</t>
        </is>
      </c>
      <c r="B525" s="1" t="n">
        <v>45426.38322916667</v>
      </c>
      <c r="C525" s="1" t="n">
        <v>46037</v>
      </c>
      <c r="D525" t="inlineStr">
        <is>
          <t>JÄMTLANDS LÄN</t>
        </is>
      </c>
      <c r="E525" t="inlineStr">
        <is>
          <t>BERG</t>
        </is>
      </c>
      <c r="G525" t="n">
        <v>5.1</v>
      </c>
      <c r="H525" t="n">
        <v>0</v>
      </c>
      <c r="I525" t="n">
        <v>0</v>
      </c>
      <c r="J525" t="n">
        <v>0</v>
      </c>
      <c r="K525" t="n">
        <v>0</v>
      </c>
      <c r="L525" t="n">
        <v>0</v>
      </c>
      <c r="M525" t="n">
        <v>0</v>
      </c>
      <c r="N525" t="n">
        <v>0</v>
      </c>
      <c r="O525" t="n">
        <v>0</v>
      </c>
      <c r="P525" t="n">
        <v>0</v>
      </c>
      <c r="Q525" t="n">
        <v>0</v>
      </c>
      <c r="R525" s="2" t="inlineStr"/>
    </row>
    <row r="526" ht="15" customHeight="1">
      <c r="A526" t="inlineStr">
        <is>
          <t>A 48190-2025</t>
        </is>
      </c>
      <c r="B526" s="1" t="n">
        <v>45933.46930555555</v>
      </c>
      <c r="C526" s="1" t="n">
        <v>46037</v>
      </c>
      <c r="D526" t="inlineStr">
        <is>
          <t>JÄMTLANDS LÄN</t>
        </is>
      </c>
      <c r="E526" t="inlineStr">
        <is>
          <t>BERG</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48508-2025</t>
        </is>
      </c>
      <c r="B527" s="1" t="n">
        <v>45936.3859837963</v>
      </c>
      <c r="C527" s="1" t="n">
        <v>46037</v>
      </c>
      <c r="D527" t="inlineStr">
        <is>
          <t>JÄMTLANDS LÄN</t>
        </is>
      </c>
      <c r="E527" t="inlineStr">
        <is>
          <t>BERG</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11704-2023</t>
        </is>
      </c>
      <c r="B528" s="1" t="n">
        <v>44994.54274305556</v>
      </c>
      <c r="C528" s="1" t="n">
        <v>46037</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48168-2025</t>
        </is>
      </c>
      <c r="B529" s="1" t="n">
        <v>45933.43004629629</v>
      </c>
      <c r="C529" s="1" t="n">
        <v>46037</v>
      </c>
      <c r="D529" t="inlineStr">
        <is>
          <t>JÄMTLANDS LÄN</t>
        </is>
      </c>
      <c r="E529" t="inlineStr">
        <is>
          <t>BERG</t>
        </is>
      </c>
      <c r="G529" t="n">
        <v>1.2</v>
      </c>
      <c r="H529" t="n">
        <v>0</v>
      </c>
      <c r="I529" t="n">
        <v>0</v>
      </c>
      <c r="J529" t="n">
        <v>0</v>
      </c>
      <c r="K529" t="n">
        <v>0</v>
      </c>
      <c r="L529" t="n">
        <v>0</v>
      </c>
      <c r="M529" t="n">
        <v>0</v>
      </c>
      <c r="N529" t="n">
        <v>0</v>
      </c>
      <c r="O529" t="n">
        <v>0</v>
      </c>
      <c r="P529" t="n">
        <v>0</v>
      </c>
      <c r="Q529" t="n">
        <v>0</v>
      </c>
      <c r="R529" s="2" t="inlineStr"/>
    </row>
    <row r="530" ht="15" customHeight="1">
      <c r="A530" t="inlineStr">
        <is>
          <t>A 48250-2025</t>
        </is>
      </c>
      <c r="B530" s="1" t="n">
        <v>45933.55259259259</v>
      </c>
      <c r="C530" s="1" t="n">
        <v>46037</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48209-2025</t>
        </is>
      </c>
      <c r="B531" s="1" t="n">
        <v>45933.4900462963</v>
      </c>
      <c r="C531" s="1" t="n">
        <v>46037</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48511-2025</t>
        </is>
      </c>
      <c r="B532" s="1" t="n">
        <v>45936.3865162037</v>
      </c>
      <c r="C532" s="1" t="n">
        <v>46037</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34892-2025</t>
        </is>
      </c>
      <c r="B533" s="1" t="n">
        <v>45849.49047453704</v>
      </c>
      <c r="C533" s="1" t="n">
        <v>46037</v>
      </c>
      <c r="D533" t="inlineStr">
        <is>
          <t>JÄMTLANDS LÄN</t>
        </is>
      </c>
      <c r="E533" t="inlineStr">
        <is>
          <t>BERG</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12611-2025</t>
        </is>
      </c>
      <c r="B534" s="1" t="n">
        <v>45733.33921296296</v>
      </c>
      <c r="C534" s="1" t="n">
        <v>46037</v>
      </c>
      <c r="D534" t="inlineStr">
        <is>
          <t>JÄMTLANDS LÄN</t>
        </is>
      </c>
      <c r="E534" t="inlineStr">
        <is>
          <t>BERG</t>
        </is>
      </c>
      <c r="G534" t="n">
        <v>7.7</v>
      </c>
      <c r="H534" t="n">
        <v>0</v>
      </c>
      <c r="I534" t="n">
        <v>0</v>
      </c>
      <c r="J534" t="n">
        <v>0</v>
      </c>
      <c r="K534" t="n">
        <v>0</v>
      </c>
      <c r="L534" t="n">
        <v>0</v>
      </c>
      <c r="M534" t="n">
        <v>0</v>
      </c>
      <c r="N534" t="n">
        <v>0</v>
      </c>
      <c r="O534" t="n">
        <v>0</v>
      </c>
      <c r="P534" t="n">
        <v>0</v>
      </c>
      <c r="Q534" t="n">
        <v>0</v>
      </c>
      <c r="R534" s="2" t="inlineStr"/>
    </row>
    <row r="535" ht="15" customHeight="1">
      <c r="A535" t="inlineStr">
        <is>
          <t>A 49391-2025</t>
        </is>
      </c>
      <c r="B535" s="1" t="n">
        <v>45938.65011574074</v>
      </c>
      <c r="C535" s="1" t="n">
        <v>46037</v>
      </c>
      <c r="D535" t="inlineStr">
        <is>
          <t>JÄMTLANDS LÄN</t>
        </is>
      </c>
      <c r="E535" t="inlineStr">
        <is>
          <t>BERG</t>
        </is>
      </c>
      <c r="G535" t="n">
        <v>3.7</v>
      </c>
      <c r="H535" t="n">
        <v>0</v>
      </c>
      <c r="I535" t="n">
        <v>0</v>
      </c>
      <c r="J535" t="n">
        <v>0</v>
      </c>
      <c r="K535" t="n">
        <v>0</v>
      </c>
      <c r="L535" t="n">
        <v>0</v>
      </c>
      <c r="M535" t="n">
        <v>0</v>
      </c>
      <c r="N535" t="n">
        <v>0</v>
      </c>
      <c r="O535" t="n">
        <v>0</v>
      </c>
      <c r="P535" t="n">
        <v>0</v>
      </c>
      <c r="Q535" t="n">
        <v>0</v>
      </c>
      <c r="R535" s="2" t="inlineStr"/>
    </row>
    <row r="536" ht="15" customHeight="1">
      <c r="A536" t="inlineStr">
        <is>
          <t>A 48770-2025</t>
        </is>
      </c>
      <c r="B536" s="1" t="n">
        <v>45936.91108796297</v>
      </c>
      <c r="C536" s="1" t="n">
        <v>46037</v>
      </c>
      <c r="D536" t="inlineStr">
        <is>
          <t>JÄMTLANDS LÄN</t>
        </is>
      </c>
      <c r="E536" t="inlineStr">
        <is>
          <t>BERG</t>
        </is>
      </c>
      <c r="G536" t="n">
        <v>1.7</v>
      </c>
      <c r="H536" t="n">
        <v>0</v>
      </c>
      <c r="I536" t="n">
        <v>0</v>
      </c>
      <c r="J536" t="n">
        <v>0</v>
      </c>
      <c r="K536" t="n">
        <v>0</v>
      </c>
      <c r="L536" t="n">
        <v>0</v>
      </c>
      <c r="M536" t="n">
        <v>0</v>
      </c>
      <c r="N536" t="n">
        <v>0</v>
      </c>
      <c r="O536" t="n">
        <v>0</v>
      </c>
      <c r="P536" t="n">
        <v>0</v>
      </c>
      <c r="Q536" t="n">
        <v>0</v>
      </c>
      <c r="R536" s="2" t="inlineStr"/>
    </row>
    <row r="537" ht="15" customHeight="1">
      <c r="A537" t="inlineStr">
        <is>
          <t>A 49041-2025</t>
        </is>
      </c>
      <c r="B537" s="1" t="n">
        <v>45937.63592592593</v>
      </c>
      <c r="C537" s="1" t="n">
        <v>46037</v>
      </c>
      <c r="D537" t="inlineStr">
        <is>
          <t>JÄMTLANDS LÄN</t>
        </is>
      </c>
      <c r="E537" t="inlineStr">
        <is>
          <t>BERG</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35183-2025</t>
        </is>
      </c>
      <c r="B538" s="1" t="n">
        <v>45853.29931712963</v>
      </c>
      <c r="C538" s="1" t="n">
        <v>46037</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35363-2025</t>
        </is>
      </c>
      <c r="B539" s="1" t="n">
        <v>45854.67538194444</v>
      </c>
      <c r="C539" s="1" t="n">
        <v>46037</v>
      </c>
      <c r="D539" t="inlineStr">
        <is>
          <t>JÄMTLANDS LÄN</t>
        </is>
      </c>
      <c r="E539" t="inlineStr">
        <is>
          <t>BERG</t>
        </is>
      </c>
      <c r="G539" t="n">
        <v>9.5</v>
      </c>
      <c r="H539" t="n">
        <v>0</v>
      </c>
      <c r="I539" t="n">
        <v>0</v>
      </c>
      <c r="J539" t="n">
        <v>0</v>
      </c>
      <c r="K539" t="n">
        <v>0</v>
      </c>
      <c r="L539" t="n">
        <v>0</v>
      </c>
      <c r="M539" t="n">
        <v>0</v>
      </c>
      <c r="N539" t="n">
        <v>0</v>
      </c>
      <c r="O539" t="n">
        <v>0</v>
      </c>
      <c r="P539" t="n">
        <v>0</v>
      </c>
      <c r="Q539" t="n">
        <v>0</v>
      </c>
      <c r="R539" s="2" t="inlineStr"/>
    </row>
    <row r="540" ht="15" customHeight="1">
      <c r="A540" t="inlineStr">
        <is>
          <t>A 45206-2024</t>
        </is>
      </c>
      <c r="B540" s="1" t="n">
        <v>45575.69966435185</v>
      </c>
      <c r="C540" s="1" t="n">
        <v>46037</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35213-2025</t>
        </is>
      </c>
      <c r="B541" s="1" t="n">
        <v>45853.46494212963</v>
      </c>
      <c r="C541" s="1" t="n">
        <v>46037</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48968-2025</t>
        </is>
      </c>
      <c r="B542" s="1" t="n">
        <v>45937.56285879629</v>
      </c>
      <c r="C542" s="1" t="n">
        <v>46037</v>
      </c>
      <c r="D542" t="inlineStr">
        <is>
          <t>JÄMTLANDS LÄN</t>
        </is>
      </c>
      <c r="E542" t="inlineStr">
        <is>
          <t>BERG</t>
        </is>
      </c>
      <c r="G542" t="n">
        <v>20</v>
      </c>
      <c r="H542" t="n">
        <v>0</v>
      </c>
      <c r="I542" t="n">
        <v>0</v>
      </c>
      <c r="J542" t="n">
        <v>0</v>
      </c>
      <c r="K542" t="n">
        <v>0</v>
      </c>
      <c r="L542" t="n">
        <v>0</v>
      </c>
      <c r="M542" t="n">
        <v>0</v>
      </c>
      <c r="N542" t="n">
        <v>0</v>
      </c>
      <c r="O542" t="n">
        <v>0</v>
      </c>
      <c r="P542" t="n">
        <v>0</v>
      </c>
      <c r="Q542" t="n">
        <v>0</v>
      </c>
      <c r="R542" s="2" t="inlineStr"/>
    </row>
    <row r="543" ht="15" customHeight="1">
      <c r="A543" t="inlineStr">
        <is>
          <t>A 35184-2025</t>
        </is>
      </c>
      <c r="B543" s="1" t="n">
        <v>45853.30270833334</v>
      </c>
      <c r="C543" s="1" t="n">
        <v>46037</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35360-2025</t>
        </is>
      </c>
      <c r="B544" s="1" t="n">
        <v>45854.66877314815</v>
      </c>
      <c r="C544" s="1" t="n">
        <v>46037</v>
      </c>
      <c r="D544" t="inlineStr">
        <is>
          <t>JÄMTLANDS LÄN</t>
        </is>
      </c>
      <c r="E544" t="inlineStr">
        <is>
          <t>BERG</t>
        </is>
      </c>
      <c r="G544" t="n">
        <v>3.7</v>
      </c>
      <c r="H544" t="n">
        <v>0</v>
      </c>
      <c r="I544" t="n">
        <v>0</v>
      </c>
      <c r="J544" t="n">
        <v>0</v>
      </c>
      <c r="K544" t="n">
        <v>0</v>
      </c>
      <c r="L544" t="n">
        <v>0</v>
      </c>
      <c r="M544" t="n">
        <v>0</v>
      </c>
      <c r="N544" t="n">
        <v>0</v>
      </c>
      <c r="O544" t="n">
        <v>0</v>
      </c>
      <c r="P544" t="n">
        <v>0</v>
      </c>
      <c r="Q544" t="n">
        <v>0</v>
      </c>
      <c r="R544" s="2" t="inlineStr"/>
    </row>
    <row r="545" ht="15" customHeight="1">
      <c r="A545" t="inlineStr">
        <is>
          <t>A 48865-2025</t>
        </is>
      </c>
      <c r="B545" s="1" t="n">
        <v>45937.44760416666</v>
      </c>
      <c r="C545" s="1" t="n">
        <v>46037</v>
      </c>
      <c r="D545" t="inlineStr">
        <is>
          <t>JÄMTLANDS LÄN</t>
        </is>
      </c>
      <c r="E545" t="inlineStr">
        <is>
          <t>BERG</t>
        </is>
      </c>
      <c r="G545" t="n">
        <v>5.8</v>
      </c>
      <c r="H545" t="n">
        <v>0</v>
      </c>
      <c r="I545" t="n">
        <v>0</v>
      </c>
      <c r="J545" t="n">
        <v>0</v>
      </c>
      <c r="K545" t="n">
        <v>0</v>
      </c>
      <c r="L545" t="n">
        <v>0</v>
      </c>
      <c r="M545" t="n">
        <v>0</v>
      </c>
      <c r="N545" t="n">
        <v>0</v>
      </c>
      <c r="O545" t="n">
        <v>0</v>
      </c>
      <c r="P545" t="n">
        <v>0</v>
      </c>
      <c r="Q545" t="n">
        <v>0</v>
      </c>
      <c r="R545" s="2" t="inlineStr"/>
    </row>
    <row r="546" ht="15" customHeight="1">
      <c r="A546" t="inlineStr">
        <is>
          <t>A 35576-2025</t>
        </is>
      </c>
      <c r="B546" s="1" t="n">
        <v>45856.63608796296</v>
      </c>
      <c r="C546" s="1" t="n">
        <v>46037</v>
      </c>
      <c r="D546" t="inlineStr">
        <is>
          <t>JÄMTLANDS LÄN</t>
        </is>
      </c>
      <c r="E546" t="inlineStr">
        <is>
          <t>BERG</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49349-2025</t>
        </is>
      </c>
      <c r="B547" s="1" t="n">
        <v>45938.61060185185</v>
      </c>
      <c r="C547" s="1" t="n">
        <v>46037</v>
      </c>
      <c r="D547" t="inlineStr">
        <is>
          <t>JÄMTLANDS LÄN</t>
        </is>
      </c>
      <c r="E547" t="inlineStr">
        <is>
          <t>BERG</t>
        </is>
      </c>
      <c r="G547" t="n">
        <v>2.5</v>
      </c>
      <c r="H547" t="n">
        <v>0</v>
      </c>
      <c r="I547" t="n">
        <v>0</v>
      </c>
      <c r="J547" t="n">
        <v>0</v>
      </c>
      <c r="K547" t="n">
        <v>0</v>
      </c>
      <c r="L547" t="n">
        <v>0</v>
      </c>
      <c r="M547" t="n">
        <v>0</v>
      </c>
      <c r="N547" t="n">
        <v>0</v>
      </c>
      <c r="O547" t="n">
        <v>0</v>
      </c>
      <c r="P547" t="n">
        <v>0</v>
      </c>
      <c r="Q547" t="n">
        <v>0</v>
      </c>
      <c r="R547" s="2" t="inlineStr"/>
    </row>
    <row r="548" ht="15" customHeight="1">
      <c r="A548" t="inlineStr">
        <is>
          <t>A 14153-2023</t>
        </is>
      </c>
      <c r="B548" s="1" t="n">
        <v>45008</v>
      </c>
      <c r="C548" s="1" t="n">
        <v>46037</v>
      </c>
      <c r="D548" t="inlineStr">
        <is>
          <t>JÄMTLANDS LÄN</t>
        </is>
      </c>
      <c r="E548" t="inlineStr">
        <is>
          <t>BERG</t>
        </is>
      </c>
      <c r="G548" t="n">
        <v>1.1</v>
      </c>
      <c r="H548" t="n">
        <v>0</v>
      </c>
      <c r="I548" t="n">
        <v>0</v>
      </c>
      <c r="J548" t="n">
        <v>0</v>
      </c>
      <c r="K548" t="n">
        <v>0</v>
      </c>
      <c r="L548" t="n">
        <v>0</v>
      </c>
      <c r="M548" t="n">
        <v>0</v>
      </c>
      <c r="N548" t="n">
        <v>0</v>
      </c>
      <c r="O548" t="n">
        <v>0</v>
      </c>
      <c r="P548" t="n">
        <v>0</v>
      </c>
      <c r="Q548" t="n">
        <v>0</v>
      </c>
      <c r="R548" s="2" t="inlineStr"/>
    </row>
    <row r="549" ht="15" customHeight="1">
      <c r="A549" t="inlineStr">
        <is>
          <t>A 49573-2025</t>
        </is>
      </c>
      <c r="B549" s="1" t="n">
        <v>45939.49037037037</v>
      </c>
      <c r="C549" s="1" t="n">
        <v>46037</v>
      </c>
      <c r="D549" t="inlineStr">
        <is>
          <t>JÄMTLANDS LÄN</t>
        </is>
      </c>
      <c r="E549" t="inlineStr">
        <is>
          <t>BERG</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49749-2025</t>
        </is>
      </c>
      <c r="B550" s="1" t="n">
        <v>45940.34486111111</v>
      </c>
      <c r="C550" s="1" t="n">
        <v>46037</v>
      </c>
      <c r="D550" t="inlineStr">
        <is>
          <t>JÄMTLANDS LÄN</t>
        </is>
      </c>
      <c r="E550" t="inlineStr">
        <is>
          <t>BERG</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35691-2025</t>
        </is>
      </c>
      <c r="B551" s="1" t="n">
        <v>45860.344375</v>
      </c>
      <c r="C551" s="1" t="n">
        <v>46037</v>
      </c>
      <c r="D551" t="inlineStr">
        <is>
          <t>JÄMTLANDS LÄN</t>
        </is>
      </c>
      <c r="E551" t="inlineStr">
        <is>
          <t>BERG</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49918-2025</t>
        </is>
      </c>
      <c r="B552" s="1" t="n">
        <v>45940.6290625</v>
      </c>
      <c r="C552" s="1" t="n">
        <v>46037</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35681-2025</t>
        </is>
      </c>
      <c r="B553" s="1" t="n">
        <v>45859.77703703703</v>
      </c>
      <c r="C553" s="1" t="n">
        <v>46037</v>
      </c>
      <c r="D553" t="inlineStr">
        <is>
          <t>JÄMTLANDS LÄN</t>
        </is>
      </c>
      <c r="E553" t="inlineStr">
        <is>
          <t>BERG</t>
        </is>
      </c>
      <c r="G553" t="n">
        <v>27</v>
      </c>
      <c r="H553" t="n">
        <v>0</v>
      </c>
      <c r="I553" t="n">
        <v>0</v>
      </c>
      <c r="J553" t="n">
        <v>0</v>
      </c>
      <c r="K553" t="n">
        <v>0</v>
      </c>
      <c r="L553" t="n">
        <v>0</v>
      </c>
      <c r="M553" t="n">
        <v>0</v>
      </c>
      <c r="N553" t="n">
        <v>0</v>
      </c>
      <c r="O553" t="n">
        <v>0</v>
      </c>
      <c r="P553" t="n">
        <v>0</v>
      </c>
      <c r="Q553" t="n">
        <v>0</v>
      </c>
      <c r="R553" s="2" t="inlineStr"/>
    </row>
    <row r="554" ht="15" customHeight="1">
      <c r="A554" t="inlineStr">
        <is>
          <t>A 35684-2025</t>
        </is>
      </c>
      <c r="B554" s="1" t="n">
        <v>45859.88079861111</v>
      </c>
      <c r="C554" s="1" t="n">
        <v>46037</v>
      </c>
      <c r="D554" t="inlineStr">
        <is>
          <t>JÄMTLANDS LÄN</t>
        </is>
      </c>
      <c r="E554" t="inlineStr">
        <is>
          <t>BERG</t>
        </is>
      </c>
      <c r="G554" t="n">
        <v>6.1</v>
      </c>
      <c r="H554" t="n">
        <v>0</v>
      </c>
      <c r="I554" t="n">
        <v>0</v>
      </c>
      <c r="J554" t="n">
        <v>0</v>
      </c>
      <c r="K554" t="n">
        <v>0</v>
      </c>
      <c r="L554" t="n">
        <v>0</v>
      </c>
      <c r="M554" t="n">
        <v>0</v>
      </c>
      <c r="N554" t="n">
        <v>0</v>
      </c>
      <c r="O554" t="n">
        <v>0</v>
      </c>
      <c r="P554" t="n">
        <v>0</v>
      </c>
      <c r="Q554" t="n">
        <v>0</v>
      </c>
      <c r="R554" s="2" t="inlineStr"/>
    </row>
    <row r="555" ht="15" customHeight="1">
      <c r="A555" t="inlineStr">
        <is>
          <t>A 49604-2025</t>
        </is>
      </c>
      <c r="B555" s="1" t="n">
        <v>45939.55241898148</v>
      </c>
      <c r="C555" s="1" t="n">
        <v>46037</v>
      </c>
      <c r="D555" t="inlineStr">
        <is>
          <t>JÄMTLANDS LÄN</t>
        </is>
      </c>
      <c r="E555" t="inlineStr">
        <is>
          <t>BERG</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50094-2025</t>
        </is>
      </c>
      <c r="B556" s="1" t="n">
        <v>45943.49340277778</v>
      </c>
      <c r="C556" s="1" t="n">
        <v>46037</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50231-2025</t>
        </is>
      </c>
      <c r="B557" s="1" t="n">
        <v>45943.70643518519</v>
      </c>
      <c r="C557" s="1" t="n">
        <v>46037</v>
      </c>
      <c r="D557" t="inlineStr">
        <is>
          <t>JÄMTLANDS LÄN</t>
        </is>
      </c>
      <c r="E557" t="inlineStr">
        <is>
          <t>BERG</t>
        </is>
      </c>
      <c r="G557" t="n">
        <v>4.6</v>
      </c>
      <c r="H557" t="n">
        <v>0</v>
      </c>
      <c r="I557" t="n">
        <v>0</v>
      </c>
      <c r="J557" t="n">
        <v>0</v>
      </c>
      <c r="K557" t="n">
        <v>0</v>
      </c>
      <c r="L557" t="n">
        <v>0</v>
      </c>
      <c r="M557" t="n">
        <v>0</v>
      </c>
      <c r="N557" t="n">
        <v>0</v>
      </c>
      <c r="O557" t="n">
        <v>0</v>
      </c>
      <c r="P557" t="n">
        <v>0</v>
      </c>
      <c r="Q557" t="n">
        <v>0</v>
      </c>
      <c r="R557" s="2" t="inlineStr"/>
    </row>
    <row r="558" ht="15" customHeight="1">
      <c r="A558" t="inlineStr">
        <is>
          <t>A 50233-2025</t>
        </is>
      </c>
      <c r="B558" s="1" t="n">
        <v>45943.71228009259</v>
      </c>
      <c r="C558" s="1" t="n">
        <v>46037</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149-2024</t>
        </is>
      </c>
      <c r="B559" s="1" t="n">
        <v>45294</v>
      </c>
      <c r="C559" s="1" t="n">
        <v>46037</v>
      </c>
      <c r="D559" t="inlineStr">
        <is>
          <t>JÄMTLANDS LÄN</t>
        </is>
      </c>
      <c r="E559" t="inlineStr">
        <is>
          <t>BERG</t>
        </is>
      </c>
      <c r="F559" t="inlineStr">
        <is>
          <t>Kyrkan</t>
        </is>
      </c>
      <c r="G559" t="n">
        <v>3.7</v>
      </c>
      <c r="H559" t="n">
        <v>0</v>
      </c>
      <c r="I559" t="n">
        <v>0</v>
      </c>
      <c r="J559" t="n">
        <v>0</v>
      </c>
      <c r="K559" t="n">
        <v>0</v>
      </c>
      <c r="L559" t="n">
        <v>0</v>
      </c>
      <c r="M559" t="n">
        <v>0</v>
      </c>
      <c r="N559" t="n">
        <v>0</v>
      </c>
      <c r="O559" t="n">
        <v>0</v>
      </c>
      <c r="P559" t="n">
        <v>0</v>
      </c>
      <c r="Q559" t="n">
        <v>0</v>
      </c>
      <c r="R559" s="2" t="inlineStr"/>
    </row>
    <row r="560" ht="15" customHeight="1">
      <c r="A560" t="inlineStr">
        <is>
          <t>A 52774-2023</t>
        </is>
      </c>
      <c r="B560" s="1" t="n">
        <v>45219</v>
      </c>
      <c r="C560" s="1" t="n">
        <v>46037</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50227-2025</t>
        </is>
      </c>
      <c r="B561" s="1" t="n">
        <v>45943.69686342592</v>
      </c>
      <c r="C561" s="1" t="n">
        <v>46037</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43458-2025</t>
        </is>
      </c>
      <c r="B562" s="1" t="n">
        <v>45911.46315972223</v>
      </c>
      <c r="C562" s="1" t="n">
        <v>46037</v>
      </c>
      <c r="D562" t="inlineStr">
        <is>
          <t>JÄMTLANDS LÄN</t>
        </is>
      </c>
      <c r="E562" t="inlineStr">
        <is>
          <t>BERG</t>
        </is>
      </c>
      <c r="G562" t="n">
        <v>11.2</v>
      </c>
      <c r="H562" t="n">
        <v>0</v>
      </c>
      <c r="I562" t="n">
        <v>0</v>
      </c>
      <c r="J562" t="n">
        <v>0</v>
      </c>
      <c r="K562" t="n">
        <v>0</v>
      </c>
      <c r="L562" t="n">
        <v>0</v>
      </c>
      <c r="M562" t="n">
        <v>0</v>
      </c>
      <c r="N562" t="n">
        <v>0</v>
      </c>
      <c r="O562" t="n">
        <v>0</v>
      </c>
      <c r="P562" t="n">
        <v>0</v>
      </c>
      <c r="Q562" t="n">
        <v>0</v>
      </c>
      <c r="R562" s="2" t="inlineStr"/>
    </row>
    <row r="563" ht="15" customHeight="1">
      <c r="A563" t="inlineStr">
        <is>
          <t>A 50024-2025</t>
        </is>
      </c>
      <c r="B563" s="1" t="n">
        <v>45943.37563657408</v>
      </c>
      <c r="C563" s="1" t="n">
        <v>46037</v>
      </c>
      <c r="D563" t="inlineStr">
        <is>
          <t>JÄMTLANDS LÄN</t>
        </is>
      </c>
      <c r="E563" t="inlineStr">
        <is>
          <t>BERG</t>
        </is>
      </c>
      <c r="G563" t="n">
        <v>2.7</v>
      </c>
      <c r="H563" t="n">
        <v>0</v>
      </c>
      <c r="I563" t="n">
        <v>0</v>
      </c>
      <c r="J563" t="n">
        <v>0</v>
      </c>
      <c r="K563" t="n">
        <v>0</v>
      </c>
      <c r="L563" t="n">
        <v>0</v>
      </c>
      <c r="M563" t="n">
        <v>0</v>
      </c>
      <c r="N563" t="n">
        <v>0</v>
      </c>
      <c r="O563" t="n">
        <v>0</v>
      </c>
      <c r="P563" t="n">
        <v>0</v>
      </c>
      <c r="Q563" t="n">
        <v>0</v>
      </c>
      <c r="R563" s="2" t="inlineStr"/>
    </row>
    <row r="564" ht="15" customHeight="1">
      <c r="A564" t="inlineStr">
        <is>
          <t>A 35683-2025</t>
        </is>
      </c>
      <c r="B564" s="1" t="n">
        <v>45859</v>
      </c>
      <c r="C564" s="1" t="n">
        <v>46037</v>
      </c>
      <c r="D564" t="inlineStr">
        <is>
          <t>JÄMTLANDS LÄN</t>
        </is>
      </c>
      <c r="E564" t="inlineStr">
        <is>
          <t>BERG</t>
        </is>
      </c>
      <c r="G564" t="n">
        <v>3.4</v>
      </c>
      <c r="H564" t="n">
        <v>0</v>
      </c>
      <c r="I564" t="n">
        <v>0</v>
      </c>
      <c r="J564" t="n">
        <v>0</v>
      </c>
      <c r="K564" t="n">
        <v>0</v>
      </c>
      <c r="L564" t="n">
        <v>0</v>
      </c>
      <c r="M564" t="n">
        <v>0</v>
      </c>
      <c r="N564" t="n">
        <v>0</v>
      </c>
      <c r="O564" t="n">
        <v>0</v>
      </c>
      <c r="P564" t="n">
        <v>0</v>
      </c>
      <c r="Q564" t="n">
        <v>0</v>
      </c>
      <c r="R564" s="2" t="inlineStr"/>
    </row>
    <row r="565" ht="15" customHeight="1">
      <c r="A565" t="inlineStr">
        <is>
          <t>A 50020-2025</t>
        </is>
      </c>
      <c r="B565" s="1" t="n">
        <v>45943.36899305556</v>
      </c>
      <c r="C565" s="1" t="n">
        <v>46037</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50230-2025</t>
        </is>
      </c>
      <c r="B566" s="1" t="n">
        <v>45943.70216435185</v>
      </c>
      <c r="C566" s="1" t="n">
        <v>46037</v>
      </c>
      <c r="D566" t="inlineStr">
        <is>
          <t>JÄMTLANDS LÄN</t>
        </is>
      </c>
      <c r="E566" t="inlineStr">
        <is>
          <t>BERG</t>
        </is>
      </c>
      <c r="G566" t="n">
        <v>6.3</v>
      </c>
      <c r="H566" t="n">
        <v>0</v>
      </c>
      <c r="I566" t="n">
        <v>0</v>
      </c>
      <c r="J566" t="n">
        <v>0</v>
      </c>
      <c r="K566" t="n">
        <v>0</v>
      </c>
      <c r="L566" t="n">
        <v>0</v>
      </c>
      <c r="M566" t="n">
        <v>0</v>
      </c>
      <c r="N566" t="n">
        <v>0</v>
      </c>
      <c r="O566" t="n">
        <v>0</v>
      </c>
      <c r="P566" t="n">
        <v>0</v>
      </c>
      <c r="Q566" t="n">
        <v>0</v>
      </c>
      <c r="R566" s="2" t="inlineStr"/>
    </row>
    <row r="567" ht="15" customHeight="1">
      <c r="A567" t="inlineStr">
        <is>
          <t>A 50273-2025</t>
        </is>
      </c>
      <c r="B567" s="1" t="n">
        <v>45944.36600694444</v>
      </c>
      <c r="C567" s="1" t="n">
        <v>46037</v>
      </c>
      <c r="D567" t="inlineStr">
        <is>
          <t>JÄMTLANDS LÄN</t>
        </is>
      </c>
      <c r="E567" t="inlineStr">
        <is>
          <t>BERG</t>
        </is>
      </c>
      <c r="G567" t="n">
        <v>5.7</v>
      </c>
      <c r="H567" t="n">
        <v>0</v>
      </c>
      <c r="I567" t="n">
        <v>0</v>
      </c>
      <c r="J567" t="n">
        <v>0</v>
      </c>
      <c r="K567" t="n">
        <v>0</v>
      </c>
      <c r="L567" t="n">
        <v>0</v>
      </c>
      <c r="M567" t="n">
        <v>0</v>
      </c>
      <c r="N567" t="n">
        <v>0</v>
      </c>
      <c r="O567" t="n">
        <v>0</v>
      </c>
      <c r="P567" t="n">
        <v>0</v>
      </c>
      <c r="Q567" t="n">
        <v>0</v>
      </c>
      <c r="R567" s="2" t="inlineStr"/>
    </row>
    <row r="568" ht="15" customHeight="1">
      <c r="A568" t="inlineStr">
        <is>
          <t>A 50408-2025</t>
        </is>
      </c>
      <c r="B568" s="1" t="n">
        <v>45944.64006944445</v>
      </c>
      <c r="C568" s="1" t="n">
        <v>46037</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50435-2025</t>
        </is>
      </c>
      <c r="B569" s="1" t="n">
        <v>45944.6984837963</v>
      </c>
      <c r="C569" s="1" t="n">
        <v>46037</v>
      </c>
      <c r="D569" t="inlineStr">
        <is>
          <t>JÄMTLANDS LÄN</t>
        </is>
      </c>
      <c r="E569" t="inlineStr">
        <is>
          <t>BERG</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36142-2025</t>
        </is>
      </c>
      <c r="B570" s="1" t="n">
        <v>45866</v>
      </c>
      <c r="C570" s="1" t="n">
        <v>46037</v>
      </c>
      <c r="D570" t="inlineStr">
        <is>
          <t>JÄMTLANDS LÄN</t>
        </is>
      </c>
      <c r="E570" t="inlineStr">
        <is>
          <t>BERG</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43137-2025</t>
        </is>
      </c>
      <c r="B571" s="1" t="n">
        <v>45909.85438657407</v>
      </c>
      <c r="C571" s="1" t="n">
        <v>46037</v>
      </c>
      <c r="D571" t="inlineStr">
        <is>
          <t>JÄMTLANDS LÄN</t>
        </is>
      </c>
      <c r="E571" t="inlineStr">
        <is>
          <t>BERG</t>
        </is>
      </c>
      <c r="F571" t="inlineStr">
        <is>
          <t>Övriga statliga verk och myndigheter</t>
        </is>
      </c>
      <c r="G571" t="n">
        <v>11.6</v>
      </c>
      <c r="H571" t="n">
        <v>0</v>
      </c>
      <c r="I571" t="n">
        <v>0</v>
      </c>
      <c r="J571" t="n">
        <v>0</v>
      </c>
      <c r="K571" t="n">
        <v>0</v>
      </c>
      <c r="L571" t="n">
        <v>0</v>
      </c>
      <c r="M571" t="n">
        <v>0</v>
      </c>
      <c r="N571" t="n">
        <v>0</v>
      </c>
      <c r="O571" t="n">
        <v>0</v>
      </c>
      <c r="P571" t="n">
        <v>0</v>
      </c>
      <c r="Q571" t="n">
        <v>0</v>
      </c>
      <c r="R571" s="2" t="inlineStr"/>
    </row>
    <row r="572" ht="15" customHeight="1">
      <c r="A572" t="inlineStr">
        <is>
          <t>A 51172-2024</t>
        </is>
      </c>
      <c r="B572" s="1" t="n">
        <v>45603.59056712963</v>
      </c>
      <c r="C572" s="1" t="n">
        <v>46037</v>
      </c>
      <c r="D572" t="inlineStr">
        <is>
          <t>JÄMTLANDS LÄN</t>
        </is>
      </c>
      <c r="E572" t="inlineStr">
        <is>
          <t>BERG</t>
        </is>
      </c>
      <c r="G572" t="n">
        <v>12.2</v>
      </c>
      <c r="H572" t="n">
        <v>0</v>
      </c>
      <c r="I572" t="n">
        <v>0</v>
      </c>
      <c r="J572" t="n">
        <v>0</v>
      </c>
      <c r="K572" t="n">
        <v>0</v>
      </c>
      <c r="L572" t="n">
        <v>0</v>
      </c>
      <c r="M572" t="n">
        <v>0</v>
      </c>
      <c r="N572" t="n">
        <v>0</v>
      </c>
      <c r="O572" t="n">
        <v>0</v>
      </c>
      <c r="P572" t="n">
        <v>0</v>
      </c>
      <c r="Q572" t="n">
        <v>0</v>
      </c>
      <c r="R572" s="2" t="inlineStr"/>
    </row>
    <row r="573" ht="15" customHeight="1">
      <c r="A573" t="inlineStr">
        <is>
          <t>A 9077-2023</t>
        </is>
      </c>
      <c r="B573" s="1" t="n">
        <v>44979</v>
      </c>
      <c r="C573" s="1" t="n">
        <v>46037</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36377-2025</t>
        </is>
      </c>
      <c r="B574" s="1" t="n">
        <v>45868.57342592593</v>
      </c>
      <c r="C574" s="1" t="n">
        <v>46037</v>
      </c>
      <c r="D574" t="inlineStr">
        <is>
          <t>JÄMTLANDS LÄN</t>
        </is>
      </c>
      <c r="E574" t="inlineStr">
        <is>
          <t>BERG</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60028-2022</t>
        </is>
      </c>
      <c r="B575" s="1" t="n">
        <v>44902</v>
      </c>
      <c r="C575" s="1" t="n">
        <v>46037</v>
      </c>
      <c r="D575" t="inlineStr">
        <is>
          <t>JÄMTLANDS LÄN</t>
        </is>
      </c>
      <c r="E575" t="inlineStr">
        <is>
          <t>BERG</t>
        </is>
      </c>
      <c r="G575" t="n">
        <v>20</v>
      </c>
      <c r="H575" t="n">
        <v>0</v>
      </c>
      <c r="I575" t="n">
        <v>0</v>
      </c>
      <c r="J575" t="n">
        <v>0</v>
      </c>
      <c r="K575" t="n">
        <v>0</v>
      </c>
      <c r="L575" t="n">
        <v>0</v>
      </c>
      <c r="M575" t="n">
        <v>0</v>
      </c>
      <c r="N575" t="n">
        <v>0</v>
      </c>
      <c r="O575" t="n">
        <v>0</v>
      </c>
      <c r="P575" t="n">
        <v>0</v>
      </c>
      <c r="Q575" t="n">
        <v>0</v>
      </c>
      <c r="R575" s="2" t="inlineStr"/>
    </row>
    <row r="576" ht="15" customHeight="1">
      <c r="A576" t="inlineStr">
        <is>
          <t>A 50531-2025</t>
        </is>
      </c>
      <c r="B576" s="1" t="n">
        <v>45945.47693287037</v>
      </c>
      <c r="C576" s="1" t="n">
        <v>46037</v>
      </c>
      <c r="D576" t="inlineStr">
        <is>
          <t>JÄMTLANDS LÄN</t>
        </is>
      </c>
      <c r="E576" t="inlineStr">
        <is>
          <t>BERG</t>
        </is>
      </c>
      <c r="G576" t="n">
        <v>13.9</v>
      </c>
      <c r="H576" t="n">
        <v>0</v>
      </c>
      <c r="I576" t="n">
        <v>0</v>
      </c>
      <c r="J576" t="n">
        <v>0</v>
      </c>
      <c r="K576" t="n">
        <v>0</v>
      </c>
      <c r="L576" t="n">
        <v>0</v>
      </c>
      <c r="M576" t="n">
        <v>0</v>
      </c>
      <c r="N576" t="n">
        <v>0</v>
      </c>
      <c r="O576" t="n">
        <v>0</v>
      </c>
      <c r="P576" t="n">
        <v>0</v>
      </c>
      <c r="Q576" t="n">
        <v>0</v>
      </c>
      <c r="R576" s="2" t="inlineStr"/>
    </row>
    <row r="577" ht="15" customHeight="1">
      <c r="A577" t="inlineStr">
        <is>
          <t>A 50547-2025</t>
        </is>
      </c>
      <c r="B577" s="1" t="n">
        <v>45945.51104166666</v>
      </c>
      <c r="C577" s="1" t="n">
        <v>46037</v>
      </c>
      <c r="D577" t="inlineStr">
        <is>
          <t>JÄMTLANDS LÄN</t>
        </is>
      </c>
      <c r="E577" t="inlineStr">
        <is>
          <t>BERG</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50458-2025</t>
        </is>
      </c>
      <c r="B578" s="1" t="n">
        <v>45945</v>
      </c>
      <c r="C578" s="1" t="n">
        <v>46037</v>
      </c>
      <c r="D578" t="inlineStr">
        <is>
          <t>JÄMTLANDS LÄN</t>
        </is>
      </c>
      <c r="E578" t="inlineStr">
        <is>
          <t>BERG</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50698-2025</t>
        </is>
      </c>
      <c r="B579" s="1" t="n">
        <v>45945.91894675926</v>
      </c>
      <c r="C579" s="1" t="n">
        <v>46037</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50562-2025</t>
        </is>
      </c>
      <c r="B580" s="1" t="n">
        <v>45945.55256944444</v>
      </c>
      <c r="C580" s="1" t="n">
        <v>46037</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22030-2025</t>
        </is>
      </c>
      <c r="B581" s="1" t="n">
        <v>45785.25814814815</v>
      </c>
      <c r="C581" s="1" t="n">
        <v>46037</v>
      </c>
      <c r="D581" t="inlineStr">
        <is>
          <t>JÄMTLANDS LÄN</t>
        </is>
      </c>
      <c r="E581" t="inlineStr">
        <is>
          <t>BERG</t>
        </is>
      </c>
      <c r="G581" t="n">
        <v>5</v>
      </c>
      <c r="H581" t="n">
        <v>0</v>
      </c>
      <c r="I581" t="n">
        <v>0</v>
      </c>
      <c r="J581" t="n">
        <v>0</v>
      </c>
      <c r="K581" t="n">
        <v>0</v>
      </c>
      <c r="L581" t="n">
        <v>0</v>
      </c>
      <c r="M581" t="n">
        <v>0</v>
      </c>
      <c r="N581" t="n">
        <v>0</v>
      </c>
      <c r="O581" t="n">
        <v>0</v>
      </c>
      <c r="P581" t="n">
        <v>0</v>
      </c>
      <c r="Q581" t="n">
        <v>0</v>
      </c>
      <c r="R581" s="2" t="inlineStr"/>
    </row>
    <row r="582" ht="15" customHeight="1">
      <c r="A582" t="inlineStr">
        <is>
          <t>A 12342-2023</t>
        </is>
      </c>
      <c r="B582" s="1" t="n">
        <v>44998</v>
      </c>
      <c r="C582" s="1" t="n">
        <v>46037</v>
      </c>
      <c r="D582" t="inlineStr">
        <is>
          <t>JÄMTLANDS LÄN</t>
        </is>
      </c>
      <c r="E582" t="inlineStr">
        <is>
          <t>BERG</t>
        </is>
      </c>
      <c r="G582" t="n">
        <v>11</v>
      </c>
      <c r="H582" t="n">
        <v>0</v>
      </c>
      <c r="I582" t="n">
        <v>0</v>
      </c>
      <c r="J582" t="n">
        <v>0</v>
      </c>
      <c r="K582" t="n">
        <v>0</v>
      </c>
      <c r="L582" t="n">
        <v>0</v>
      </c>
      <c r="M582" t="n">
        <v>0</v>
      </c>
      <c r="N582" t="n">
        <v>0</v>
      </c>
      <c r="O582" t="n">
        <v>0</v>
      </c>
      <c r="P582" t="n">
        <v>0</v>
      </c>
      <c r="Q582" t="n">
        <v>0</v>
      </c>
      <c r="R582" s="2" t="inlineStr"/>
    </row>
    <row r="583" ht="15" customHeight="1">
      <c r="A583" t="inlineStr">
        <is>
          <t>A 51079-2025</t>
        </is>
      </c>
      <c r="B583" s="1" t="n">
        <v>45947.465</v>
      </c>
      <c r="C583" s="1" t="n">
        <v>46037</v>
      </c>
      <c r="D583" t="inlineStr">
        <is>
          <t>JÄMTLANDS LÄN</t>
        </is>
      </c>
      <c r="E583" t="inlineStr">
        <is>
          <t>BERG</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51495-2025</t>
        </is>
      </c>
      <c r="B584" s="1" t="n">
        <v>45950.6366550926</v>
      </c>
      <c r="C584" s="1" t="n">
        <v>46037</v>
      </c>
      <c r="D584" t="inlineStr">
        <is>
          <t>JÄMTLANDS LÄN</t>
        </is>
      </c>
      <c r="E584" t="inlineStr">
        <is>
          <t>BERG</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46298-2024</t>
        </is>
      </c>
      <c r="B585" s="1" t="n">
        <v>45581.67739583334</v>
      </c>
      <c r="C585" s="1" t="n">
        <v>46037</v>
      </c>
      <c r="D585" t="inlineStr">
        <is>
          <t>JÄMTLANDS LÄN</t>
        </is>
      </c>
      <c r="E585" t="inlineStr">
        <is>
          <t>BERG</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51203-2025</t>
        </is>
      </c>
      <c r="B586" s="1" t="n">
        <v>45947.63592592593</v>
      </c>
      <c r="C586" s="1" t="n">
        <v>46037</v>
      </c>
      <c r="D586" t="inlineStr">
        <is>
          <t>JÄMTLANDS LÄN</t>
        </is>
      </c>
      <c r="E586" t="inlineStr">
        <is>
          <t>BERG</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36896-2025</t>
        </is>
      </c>
      <c r="B587" s="1" t="n">
        <v>45874.4740625</v>
      </c>
      <c r="C587" s="1" t="n">
        <v>46037</v>
      </c>
      <c r="D587" t="inlineStr">
        <is>
          <t>JÄMTLANDS LÄN</t>
        </is>
      </c>
      <c r="E587" t="inlineStr">
        <is>
          <t>BERG</t>
        </is>
      </c>
      <c r="G587" t="n">
        <v>3.2</v>
      </c>
      <c r="H587" t="n">
        <v>0</v>
      </c>
      <c r="I587" t="n">
        <v>0</v>
      </c>
      <c r="J587" t="n">
        <v>0</v>
      </c>
      <c r="K587" t="n">
        <v>0</v>
      </c>
      <c r="L587" t="n">
        <v>0</v>
      </c>
      <c r="M587" t="n">
        <v>0</v>
      </c>
      <c r="N587" t="n">
        <v>0</v>
      </c>
      <c r="O587" t="n">
        <v>0</v>
      </c>
      <c r="P587" t="n">
        <v>0</v>
      </c>
      <c r="Q587" t="n">
        <v>0</v>
      </c>
      <c r="R587" s="2" t="inlineStr"/>
    </row>
    <row r="588" ht="15" customHeight="1">
      <c r="A588" t="inlineStr">
        <is>
          <t>A 12774-2023</t>
        </is>
      </c>
      <c r="B588" s="1" t="n">
        <v>45001</v>
      </c>
      <c r="C588" s="1" t="n">
        <v>46037</v>
      </c>
      <c r="D588" t="inlineStr">
        <is>
          <t>JÄMTLANDS LÄN</t>
        </is>
      </c>
      <c r="E588" t="inlineStr">
        <is>
          <t>BERG</t>
        </is>
      </c>
      <c r="G588" t="n">
        <v>0.7</v>
      </c>
      <c r="H588" t="n">
        <v>0</v>
      </c>
      <c r="I588" t="n">
        <v>0</v>
      </c>
      <c r="J588" t="n">
        <v>0</v>
      </c>
      <c r="K588" t="n">
        <v>0</v>
      </c>
      <c r="L588" t="n">
        <v>0</v>
      </c>
      <c r="M588" t="n">
        <v>0</v>
      </c>
      <c r="N588" t="n">
        <v>0</v>
      </c>
      <c r="O588" t="n">
        <v>0</v>
      </c>
      <c r="P588" t="n">
        <v>0</v>
      </c>
      <c r="Q588" t="n">
        <v>0</v>
      </c>
      <c r="R588" s="2" t="inlineStr"/>
    </row>
    <row r="589" ht="15" customHeight="1">
      <c r="A589" t="inlineStr">
        <is>
          <t>A 51301-2025</t>
        </is>
      </c>
      <c r="B589" s="1" t="n">
        <v>45950.36480324074</v>
      </c>
      <c r="C589" s="1" t="n">
        <v>46037</v>
      </c>
      <c r="D589" t="inlineStr">
        <is>
          <t>JÄMTLANDS LÄN</t>
        </is>
      </c>
      <c r="E589" t="inlineStr">
        <is>
          <t>BERG</t>
        </is>
      </c>
      <c r="G589" t="n">
        <v>3.1</v>
      </c>
      <c r="H589" t="n">
        <v>0</v>
      </c>
      <c r="I589" t="n">
        <v>0</v>
      </c>
      <c r="J589" t="n">
        <v>0</v>
      </c>
      <c r="K589" t="n">
        <v>0</v>
      </c>
      <c r="L589" t="n">
        <v>0</v>
      </c>
      <c r="M589" t="n">
        <v>0</v>
      </c>
      <c r="N589" t="n">
        <v>0</v>
      </c>
      <c r="O589" t="n">
        <v>0</v>
      </c>
      <c r="P589" t="n">
        <v>0</v>
      </c>
      <c r="Q589" t="n">
        <v>0</v>
      </c>
      <c r="R589" s="2" t="inlineStr"/>
    </row>
    <row r="590" ht="15" customHeight="1">
      <c r="A590" t="inlineStr">
        <is>
          <t>A 51083-2025</t>
        </is>
      </c>
      <c r="B590" s="1" t="n">
        <v>45947.4678587963</v>
      </c>
      <c r="C590" s="1" t="n">
        <v>46037</v>
      </c>
      <c r="D590" t="inlineStr">
        <is>
          <t>JÄMTLANDS LÄN</t>
        </is>
      </c>
      <c r="E590" t="inlineStr">
        <is>
          <t>BERG</t>
        </is>
      </c>
      <c r="F590" t="inlineStr">
        <is>
          <t>Övriga Aktiebolag</t>
        </is>
      </c>
      <c r="G590" t="n">
        <v>10.4</v>
      </c>
      <c r="H590" t="n">
        <v>0</v>
      </c>
      <c r="I590" t="n">
        <v>0</v>
      </c>
      <c r="J590" t="n">
        <v>0</v>
      </c>
      <c r="K590" t="n">
        <v>0</v>
      </c>
      <c r="L590" t="n">
        <v>0</v>
      </c>
      <c r="M590" t="n">
        <v>0</v>
      </c>
      <c r="N590" t="n">
        <v>0</v>
      </c>
      <c r="O590" t="n">
        <v>0</v>
      </c>
      <c r="P590" t="n">
        <v>0</v>
      </c>
      <c r="Q590" t="n">
        <v>0</v>
      </c>
      <c r="R590" s="2" t="inlineStr"/>
    </row>
    <row r="591" ht="15" customHeight="1">
      <c r="A591" t="inlineStr">
        <is>
          <t>A 51080-2025</t>
        </is>
      </c>
      <c r="B591" s="1" t="n">
        <v>45947.46655092593</v>
      </c>
      <c r="C591" s="1" t="n">
        <v>46037</v>
      </c>
      <c r="D591" t="inlineStr">
        <is>
          <t>JÄMTLANDS LÄN</t>
        </is>
      </c>
      <c r="E591" t="inlineStr">
        <is>
          <t>BERG</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18775-2024</t>
        </is>
      </c>
      <c r="B592" s="1" t="n">
        <v>45426</v>
      </c>
      <c r="C592" s="1" t="n">
        <v>46037</v>
      </c>
      <c r="D592" t="inlineStr">
        <is>
          <t>JÄMTLANDS LÄN</t>
        </is>
      </c>
      <c r="E592" t="inlineStr">
        <is>
          <t>BERG</t>
        </is>
      </c>
      <c r="G592" t="n">
        <v>13.9</v>
      </c>
      <c r="H592" t="n">
        <v>0</v>
      </c>
      <c r="I592" t="n">
        <v>0</v>
      </c>
      <c r="J592" t="n">
        <v>0</v>
      </c>
      <c r="K592" t="n">
        <v>0</v>
      </c>
      <c r="L592" t="n">
        <v>0</v>
      </c>
      <c r="M592" t="n">
        <v>0</v>
      </c>
      <c r="N592" t="n">
        <v>0</v>
      </c>
      <c r="O592" t="n">
        <v>0</v>
      </c>
      <c r="P592" t="n">
        <v>0</v>
      </c>
      <c r="Q592" t="n">
        <v>0</v>
      </c>
      <c r="R592" s="2" t="inlineStr"/>
    </row>
    <row r="593" ht="15" customHeight="1">
      <c r="A593" t="inlineStr">
        <is>
          <t>A 47289-2023</t>
        </is>
      </c>
      <c r="B593" s="1" t="n">
        <v>45202.46581018518</v>
      </c>
      <c r="C593" s="1" t="n">
        <v>46037</v>
      </c>
      <c r="D593" t="inlineStr">
        <is>
          <t>JÄMTLANDS LÄN</t>
        </is>
      </c>
      <c r="E593" t="inlineStr">
        <is>
          <t>BERG</t>
        </is>
      </c>
      <c r="G593" t="n">
        <v>1.8</v>
      </c>
      <c r="H593" t="n">
        <v>0</v>
      </c>
      <c r="I593" t="n">
        <v>0</v>
      </c>
      <c r="J593" t="n">
        <v>0</v>
      </c>
      <c r="K593" t="n">
        <v>0</v>
      </c>
      <c r="L593" t="n">
        <v>0</v>
      </c>
      <c r="M593" t="n">
        <v>0</v>
      </c>
      <c r="N593" t="n">
        <v>0</v>
      </c>
      <c r="O593" t="n">
        <v>0</v>
      </c>
      <c r="P593" t="n">
        <v>0</v>
      </c>
      <c r="Q593" t="n">
        <v>0</v>
      </c>
      <c r="R593" s="2" t="inlineStr"/>
    </row>
    <row r="594" ht="15" customHeight="1">
      <c r="A594" t="inlineStr">
        <is>
          <t>A 36714-2025</t>
        </is>
      </c>
      <c r="B594" s="1" t="n">
        <v>45873.46881944445</v>
      </c>
      <c r="C594" s="1" t="n">
        <v>46037</v>
      </c>
      <c r="D594" t="inlineStr">
        <is>
          <t>JÄMTLANDS LÄN</t>
        </is>
      </c>
      <c r="E594" t="inlineStr">
        <is>
          <t>BERG</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52128-2025</t>
        </is>
      </c>
      <c r="B595" s="1" t="n">
        <v>45952.72754629629</v>
      </c>
      <c r="C595" s="1" t="n">
        <v>46037</v>
      </c>
      <c r="D595" t="inlineStr">
        <is>
          <t>JÄMTLANDS LÄN</t>
        </is>
      </c>
      <c r="E595" t="inlineStr">
        <is>
          <t>BERG</t>
        </is>
      </c>
      <c r="G595" t="n">
        <v>2.1</v>
      </c>
      <c r="H595" t="n">
        <v>0</v>
      </c>
      <c r="I595" t="n">
        <v>0</v>
      </c>
      <c r="J595" t="n">
        <v>0</v>
      </c>
      <c r="K595" t="n">
        <v>0</v>
      </c>
      <c r="L595" t="n">
        <v>0</v>
      </c>
      <c r="M595" t="n">
        <v>0</v>
      </c>
      <c r="N595" t="n">
        <v>0</v>
      </c>
      <c r="O595" t="n">
        <v>0</v>
      </c>
      <c r="P595" t="n">
        <v>0</v>
      </c>
      <c r="Q595" t="n">
        <v>0</v>
      </c>
      <c r="R595" s="2" t="inlineStr"/>
    </row>
    <row r="596" ht="15" customHeight="1">
      <c r="A596" t="inlineStr">
        <is>
          <t>A 8711-2024</t>
        </is>
      </c>
      <c r="B596" s="1" t="n">
        <v>45356</v>
      </c>
      <c r="C596" s="1" t="n">
        <v>46037</v>
      </c>
      <c r="D596" t="inlineStr">
        <is>
          <t>JÄMTLANDS LÄN</t>
        </is>
      </c>
      <c r="E596" t="inlineStr">
        <is>
          <t>BERG</t>
        </is>
      </c>
      <c r="G596" t="n">
        <v>5.2</v>
      </c>
      <c r="H596" t="n">
        <v>0</v>
      </c>
      <c r="I596" t="n">
        <v>0</v>
      </c>
      <c r="J596" t="n">
        <v>0</v>
      </c>
      <c r="K596" t="n">
        <v>0</v>
      </c>
      <c r="L596" t="n">
        <v>0</v>
      </c>
      <c r="M596" t="n">
        <v>0</v>
      </c>
      <c r="N596" t="n">
        <v>0</v>
      </c>
      <c r="O596" t="n">
        <v>0</v>
      </c>
      <c r="P596" t="n">
        <v>0</v>
      </c>
      <c r="Q596" t="n">
        <v>0</v>
      </c>
      <c r="R596" s="2" t="inlineStr"/>
    </row>
    <row r="597" ht="15" customHeight="1">
      <c r="A597" t="inlineStr">
        <is>
          <t>A 15624-2023</t>
        </is>
      </c>
      <c r="B597" s="1" t="n">
        <v>45020.94496527778</v>
      </c>
      <c r="C597" s="1" t="n">
        <v>46037</v>
      </c>
      <c r="D597" t="inlineStr">
        <is>
          <t>JÄMTLANDS LÄN</t>
        </is>
      </c>
      <c r="E597" t="inlineStr">
        <is>
          <t>BERG</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35636-2023</t>
        </is>
      </c>
      <c r="B598" s="1" t="n">
        <v>45147</v>
      </c>
      <c r="C598" s="1" t="n">
        <v>46037</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4527-2025</t>
        </is>
      </c>
      <c r="B599" s="1" t="n">
        <v>45686</v>
      </c>
      <c r="C599" s="1" t="n">
        <v>46037</v>
      </c>
      <c r="D599" t="inlineStr">
        <is>
          <t>JÄMTLANDS LÄN</t>
        </is>
      </c>
      <c r="E599" t="inlineStr">
        <is>
          <t>BERG</t>
        </is>
      </c>
      <c r="G599" t="n">
        <v>17.8</v>
      </c>
      <c r="H599" t="n">
        <v>0</v>
      </c>
      <c r="I599" t="n">
        <v>0</v>
      </c>
      <c r="J599" t="n">
        <v>0</v>
      </c>
      <c r="K599" t="n">
        <v>0</v>
      </c>
      <c r="L599" t="n">
        <v>0</v>
      </c>
      <c r="M599" t="n">
        <v>0</v>
      </c>
      <c r="N599" t="n">
        <v>0</v>
      </c>
      <c r="O599" t="n">
        <v>0</v>
      </c>
      <c r="P599" t="n">
        <v>0</v>
      </c>
      <c r="Q599" t="n">
        <v>0</v>
      </c>
      <c r="R599" s="2" t="inlineStr"/>
    </row>
    <row r="600" ht="15" customHeight="1">
      <c r="A600" t="inlineStr">
        <is>
          <t>A 51883-2025</t>
        </is>
      </c>
      <c r="B600" s="1" t="n">
        <v>45952.40701388889</v>
      </c>
      <c r="C600" s="1" t="n">
        <v>46037</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52062-2025</t>
        </is>
      </c>
      <c r="B601" s="1" t="n">
        <v>45952.63679398148</v>
      </c>
      <c r="C601" s="1" t="n">
        <v>46037</v>
      </c>
      <c r="D601" t="inlineStr">
        <is>
          <t>JÄMTLANDS LÄN</t>
        </is>
      </c>
      <c r="E601" t="inlineStr">
        <is>
          <t>BERG</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36668-2025</t>
        </is>
      </c>
      <c r="B602" s="1" t="n">
        <v>45873.38351851852</v>
      </c>
      <c r="C602" s="1" t="n">
        <v>46037</v>
      </c>
      <c r="D602" t="inlineStr">
        <is>
          <t>JÄMTLANDS LÄN</t>
        </is>
      </c>
      <c r="E602" t="inlineStr">
        <is>
          <t>BERG</t>
        </is>
      </c>
      <c r="G602" t="n">
        <v>6.7</v>
      </c>
      <c r="H602" t="n">
        <v>0</v>
      </c>
      <c r="I602" t="n">
        <v>0</v>
      </c>
      <c r="J602" t="n">
        <v>0</v>
      </c>
      <c r="K602" t="n">
        <v>0</v>
      </c>
      <c r="L602" t="n">
        <v>0</v>
      </c>
      <c r="M602" t="n">
        <v>0</v>
      </c>
      <c r="N602" t="n">
        <v>0</v>
      </c>
      <c r="O602" t="n">
        <v>0</v>
      </c>
      <c r="P602" t="n">
        <v>0</v>
      </c>
      <c r="Q602" t="n">
        <v>0</v>
      </c>
      <c r="R602" s="2" t="inlineStr"/>
    </row>
    <row r="603" ht="15" customHeight="1">
      <c r="A603" t="inlineStr">
        <is>
          <t>A 36718-2025</t>
        </is>
      </c>
      <c r="B603" s="1" t="n">
        <v>45873.47069444445</v>
      </c>
      <c r="C603" s="1" t="n">
        <v>46037</v>
      </c>
      <c r="D603" t="inlineStr">
        <is>
          <t>JÄMTLANDS LÄN</t>
        </is>
      </c>
      <c r="E603" t="inlineStr">
        <is>
          <t>BERG</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51675-2025</t>
        </is>
      </c>
      <c r="B604" s="1" t="n">
        <v>45951.50565972222</v>
      </c>
      <c r="C604" s="1" t="n">
        <v>46037</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52341-2025</t>
        </is>
      </c>
      <c r="B605" s="1" t="n">
        <v>45953.71564814815</v>
      </c>
      <c r="C605" s="1" t="n">
        <v>46037</v>
      </c>
      <c r="D605" t="inlineStr">
        <is>
          <t>JÄMTLANDS LÄN</t>
        </is>
      </c>
      <c r="E605" t="inlineStr">
        <is>
          <t>BERG</t>
        </is>
      </c>
      <c r="G605" t="n">
        <v>12.2</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46037</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37066-2025</t>
        </is>
      </c>
      <c r="B607" s="1" t="n">
        <v>45875.3862962963</v>
      </c>
      <c r="C607" s="1" t="n">
        <v>46037</v>
      </c>
      <c r="D607" t="inlineStr">
        <is>
          <t>JÄMTLANDS LÄN</t>
        </is>
      </c>
      <c r="E607" t="inlineStr">
        <is>
          <t>BERG</t>
        </is>
      </c>
      <c r="F607" t="inlineStr">
        <is>
          <t>SCA</t>
        </is>
      </c>
      <c r="G607" t="n">
        <v>9.6</v>
      </c>
      <c r="H607" t="n">
        <v>0</v>
      </c>
      <c r="I607" t="n">
        <v>0</v>
      </c>
      <c r="J607" t="n">
        <v>0</v>
      </c>
      <c r="K607" t="n">
        <v>0</v>
      </c>
      <c r="L607" t="n">
        <v>0</v>
      </c>
      <c r="M607" t="n">
        <v>0</v>
      </c>
      <c r="N607" t="n">
        <v>0</v>
      </c>
      <c r="O607" t="n">
        <v>0</v>
      </c>
      <c r="P607" t="n">
        <v>0</v>
      </c>
      <c r="Q607" t="n">
        <v>0</v>
      </c>
      <c r="R607" s="2" t="inlineStr"/>
    </row>
    <row r="608" ht="15" customHeight="1">
      <c r="A608" t="inlineStr">
        <is>
          <t>A 60634-2025</t>
        </is>
      </c>
      <c r="B608" s="1" t="n">
        <v>45996.42805555555</v>
      </c>
      <c r="C608" s="1" t="n">
        <v>46037</v>
      </c>
      <c r="D608" t="inlineStr">
        <is>
          <t>JÄMTLANDS LÄN</t>
        </is>
      </c>
      <c r="E608" t="inlineStr">
        <is>
          <t>BERG</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52260-2025</t>
        </is>
      </c>
      <c r="B609" s="1" t="n">
        <v>45953.51113425926</v>
      </c>
      <c r="C609" s="1" t="n">
        <v>46037</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60635-2025</t>
        </is>
      </c>
      <c r="B610" s="1" t="n">
        <v>45996.42826388889</v>
      </c>
      <c r="C610" s="1" t="n">
        <v>46037</v>
      </c>
      <c r="D610" t="inlineStr">
        <is>
          <t>JÄMTLANDS LÄN</t>
        </is>
      </c>
      <c r="E610" t="inlineStr">
        <is>
          <t>BERG</t>
        </is>
      </c>
      <c r="F610" t="inlineStr">
        <is>
          <t>SCA</t>
        </is>
      </c>
      <c r="G610" t="n">
        <v>7.4</v>
      </c>
      <c r="H610" t="n">
        <v>0</v>
      </c>
      <c r="I610" t="n">
        <v>0</v>
      </c>
      <c r="J610" t="n">
        <v>0</v>
      </c>
      <c r="K610" t="n">
        <v>0</v>
      </c>
      <c r="L610" t="n">
        <v>0</v>
      </c>
      <c r="M610" t="n">
        <v>0</v>
      </c>
      <c r="N610" t="n">
        <v>0</v>
      </c>
      <c r="O610" t="n">
        <v>0</v>
      </c>
      <c r="P610" t="n">
        <v>0</v>
      </c>
      <c r="Q610" t="n">
        <v>0</v>
      </c>
      <c r="R610" s="2" t="inlineStr"/>
    </row>
    <row r="611" ht="15" customHeight="1">
      <c r="A611" t="inlineStr">
        <is>
          <t>A 60463-2025</t>
        </is>
      </c>
      <c r="B611" s="1" t="n">
        <v>45995.55276620371</v>
      </c>
      <c r="C611" s="1" t="n">
        <v>46037</v>
      </c>
      <c r="D611" t="inlineStr">
        <is>
          <t>JÄMTLANDS LÄN</t>
        </is>
      </c>
      <c r="E611" t="inlineStr">
        <is>
          <t>BERG</t>
        </is>
      </c>
      <c r="G611" t="n">
        <v>4.3</v>
      </c>
      <c r="H611" t="n">
        <v>0</v>
      </c>
      <c r="I611" t="n">
        <v>0</v>
      </c>
      <c r="J611" t="n">
        <v>0</v>
      </c>
      <c r="K611" t="n">
        <v>0</v>
      </c>
      <c r="L611" t="n">
        <v>0</v>
      </c>
      <c r="M611" t="n">
        <v>0</v>
      </c>
      <c r="N611" t="n">
        <v>0</v>
      </c>
      <c r="O611" t="n">
        <v>0</v>
      </c>
      <c r="P611" t="n">
        <v>0</v>
      </c>
      <c r="Q611" t="n">
        <v>0</v>
      </c>
      <c r="R611" s="2" t="inlineStr"/>
    </row>
    <row r="612" ht="15" customHeight="1">
      <c r="A612" t="inlineStr">
        <is>
          <t>A 37201-2025</t>
        </is>
      </c>
      <c r="B612" s="1" t="n">
        <v>45875.67797453704</v>
      </c>
      <c r="C612" s="1" t="n">
        <v>46037</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37062-2025</t>
        </is>
      </c>
      <c r="B613" s="1" t="n">
        <v>45875.38579861111</v>
      </c>
      <c r="C613" s="1" t="n">
        <v>46037</v>
      </c>
      <c r="D613" t="inlineStr">
        <is>
          <t>JÄMTLANDS LÄN</t>
        </is>
      </c>
      <c r="E613" t="inlineStr">
        <is>
          <t>BERG</t>
        </is>
      </c>
      <c r="F613" t="inlineStr">
        <is>
          <t>SCA</t>
        </is>
      </c>
      <c r="G613" t="n">
        <v>8.5</v>
      </c>
      <c r="H613" t="n">
        <v>0</v>
      </c>
      <c r="I613" t="n">
        <v>0</v>
      </c>
      <c r="J613" t="n">
        <v>0</v>
      </c>
      <c r="K613" t="n">
        <v>0</v>
      </c>
      <c r="L613" t="n">
        <v>0</v>
      </c>
      <c r="M613" t="n">
        <v>0</v>
      </c>
      <c r="N613" t="n">
        <v>0</v>
      </c>
      <c r="O613" t="n">
        <v>0</v>
      </c>
      <c r="P613" t="n">
        <v>0</v>
      </c>
      <c r="Q613" t="n">
        <v>0</v>
      </c>
      <c r="R613" s="2" t="inlineStr"/>
    </row>
    <row r="614" ht="15" customHeight="1">
      <c r="A614" t="inlineStr">
        <is>
          <t>A 36341-2025</t>
        </is>
      </c>
      <c r="B614" s="1" t="n">
        <v>45868</v>
      </c>
      <c r="C614" s="1" t="n">
        <v>46037</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27395-2021</t>
        </is>
      </c>
      <c r="B615" s="1" t="n">
        <v>44350</v>
      </c>
      <c r="C615" s="1" t="n">
        <v>46037</v>
      </c>
      <c r="D615" t="inlineStr">
        <is>
          <t>JÄMTLANDS LÄN</t>
        </is>
      </c>
      <c r="E615" t="inlineStr">
        <is>
          <t>BERG</t>
        </is>
      </c>
      <c r="G615" t="n">
        <v>4.4</v>
      </c>
      <c r="H615" t="n">
        <v>0</v>
      </c>
      <c r="I615" t="n">
        <v>0</v>
      </c>
      <c r="J615" t="n">
        <v>0</v>
      </c>
      <c r="K615" t="n">
        <v>0</v>
      </c>
      <c r="L615" t="n">
        <v>0</v>
      </c>
      <c r="M615" t="n">
        <v>0</v>
      </c>
      <c r="N615" t="n">
        <v>0</v>
      </c>
      <c r="O615" t="n">
        <v>0</v>
      </c>
      <c r="P615" t="n">
        <v>0</v>
      </c>
      <c r="Q615" t="n">
        <v>0</v>
      </c>
      <c r="R615" s="2" t="inlineStr"/>
    </row>
    <row r="616" ht="15" customHeight="1">
      <c r="A616" t="inlineStr">
        <is>
          <t>A 32248-2024</t>
        </is>
      </c>
      <c r="B616" s="1" t="n">
        <v>45511.95144675926</v>
      </c>
      <c r="C616" s="1" t="n">
        <v>46037</v>
      </c>
      <c r="D616" t="inlineStr">
        <is>
          <t>JÄMTLANDS LÄN</t>
        </is>
      </c>
      <c r="E616" t="inlineStr">
        <is>
          <t>BERG</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37455-2025</t>
        </is>
      </c>
      <c r="B617" s="1" t="n">
        <v>45877.56710648148</v>
      </c>
      <c r="C617" s="1" t="n">
        <v>46037</v>
      </c>
      <c r="D617" t="inlineStr">
        <is>
          <t>JÄMTLANDS LÄN</t>
        </is>
      </c>
      <c r="E617" t="inlineStr">
        <is>
          <t>BERG</t>
        </is>
      </c>
      <c r="G617" t="n">
        <v>5.6</v>
      </c>
      <c r="H617" t="n">
        <v>0</v>
      </c>
      <c r="I617" t="n">
        <v>0</v>
      </c>
      <c r="J617" t="n">
        <v>0</v>
      </c>
      <c r="K617" t="n">
        <v>0</v>
      </c>
      <c r="L617" t="n">
        <v>0</v>
      </c>
      <c r="M617" t="n">
        <v>0</v>
      </c>
      <c r="N617" t="n">
        <v>0</v>
      </c>
      <c r="O617" t="n">
        <v>0</v>
      </c>
      <c r="P617" t="n">
        <v>0</v>
      </c>
      <c r="Q617" t="n">
        <v>0</v>
      </c>
      <c r="R617" s="2" t="inlineStr"/>
    </row>
    <row r="618" ht="15" customHeight="1">
      <c r="A618" t="inlineStr">
        <is>
          <t>A 52256-2025</t>
        </is>
      </c>
      <c r="B618" s="1" t="n">
        <v>45953.50086805555</v>
      </c>
      <c r="C618" s="1" t="n">
        <v>46037</v>
      </c>
      <c r="D618" t="inlineStr">
        <is>
          <t>JÄMTLANDS LÄN</t>
        </is>
      </c>
      <c r="E618" t="inlineStr">
        <is>
          <t>BERG</t>
        </is>
      </c>
      <c r="G618" t="n">
        <v>3.9</v>
      </c>
      <c r="H618" t="n">
        <v>0</v>
      </c>
      <c r="I618" t="n">
        <v>0</v>
      </c>
      <c r="J618" t="n">
        <v>0</v>
      </c>
      <c r="K618" t="n">
        <v>0</v>
      </c>
      <c r="L618" t="n">
        <v>0</v>
      </c>
      <c r="M618" t="n">
        <v>0</v>
      </c>
      <c r="N618" t="n">
        <v>0</v>
      </c>
      <c r="O618" t="n">
        <v>0</v>
      </c>
      <c r="P618" t="n">
        <v>0</v>
      </c>
      <c r="Q618" t="n">
        <v>0</v>
      </c>
      <c r="R618" s="2" t="inlineStr"/>
    </row>
    <row r="619" ht="15" customHeight="1">
      <c r="A619" t="inlineStr">
        <is>
          <t>A 52348-2025</t>
        </is>
      </c>
      <c r="B619" s="1" t="n">
        <v>45953.72064814815</v>
      </c>
      <c r="C619" s="1" t="n">
        <v>46037</v>
      </c>
      <c r="D619" t="inlineStr">
        <is>
          <t>JÄMTLANDS LÄN</t>
        </is>
      </c>
      <c r="E619" t="inlineStr">
        <is>
          <t>BERG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52562-2025</t>
        </is>
      </c>
      <c r="B620" s="1" t="n">
        <v>45954.57357638889</v>
      </c>
      <c r="C620" s="1" t="n">
        <v>46037</v>
      </c>
      <c r="D620" t="inlineStr">
        <is>
          <t>JÄMTLANDS LÄN</t>
        </is>
      </c>
      <c r="E620" t="inlineStr">
        <is>
          <t>BERG</t>
        </is>
      </c>
      <c r="F620" t="inlineStr">
        <is>
          <t>SCA</t>
        </is>
      </c>
      <c r="G620" t="n">
        <v>5.4</v>
      </c>
      <c r="H620" t="n">
        <v>0</v>
      </c>
      <c r="I620" t="n">
        <v>0</v>
      </c>
      <c r="J620" t="n">
        <v>0</v>
      </c>
      <c r="K620" t="n">
        <v>0</v>
      </c>
      <c r="L620" t="n">
        <v>0</v>
      </c>
      <c r="M620" t="n">
        <v>0</v>
      </c>
      <c r="N620" t="n">
        <v>0</v>
      </c>
      <c r="O620" t="n">
        <v>0</v>
      </c>
      <c r="P620" t="n">
        <v>0</v>
      </c>
      <c r="Q620" t="n">
        <v>0</v>
      </c>
      <c r="R620" s="2" t="inlineStr"/>
    </row>
    <row r="621" ht="15" customHeight="1">
      <c r="A621" t="inlineStr">
        <is>
          <t>A 52225-2025</t>
        </is>
      </c>
      <c r="B621" s="1" t="n">
        <v>45953.44831018519</v>
      </c>
      <c r="C621" s="1" t="n">
        <v>46037</v>
      </c>
      <c r="D621" t="inlineStr">
        <is>
          <t>JÄMTLANDS LÄN</t>
        </is>
      </c>
      <c r="E621" t="inlineStr">
        <is>
          <t>BERG</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60632-2025</t>
        </is>
      </c>
      <c r="B622" s="1" t="n">
        <v>45996.42769675926</v>
      </c>
      <c r="C622" s="1" t="n">
        <v>46037</v>
      </c>
      <c r="D622" t="inlineStr">
        <is>
          <t>JÄMTLANDS LÄN</t>
        </is>
      </c>
      <c r="E622" t="inlineStr">
        <is>
          <t>BERG</t>
        </is>
      </c>
      <c r="F622" t="inlineStr">
        <is>
          <t>SCA</t>
        </is>
      </c>
      <c r="G622" t="n">
        <v>18.2</v>
      </c>
      <c r="H622" t="n">
        <v>0</v>
      </c>
      <c r="I622" t="n">
        <v>0</v>
      </c>
      <c r="J622" t="n">
        <v>0</v>
      </c>
      <c r="K622" t="n">
        <v>0</v>
      </c>
      <c r="L622" t="n">
        <v>0</v>
      </c>
      <c r="M622" t="n">
        <v>0</v>
      </c>
      <c r="N622" t="n">
        <v>0</v>
      </c>
      <c r="O622" t="n">
        <v>0</v>
      </c>
      <c r="P622" t="n">
        <v>0</v>
      </c>
      <c r="Q622" t="n">
        <v>0</v>
      </c>
      <c r="R622" s="2" t="inlineStr"/>
    </row>
    <row r="623" ht="15" customHeight="1">
      <c r="A623" t="inlineStr">
        <is>
          <t>A 37431-2025</t>
        </is>
      </c>
      <c r="B623" s="1" t="n">
        <v>45877.51092592593</v>
      </c>
      <c r="C623" s="1" t="n">
        <v>46037</v>
      </c>
      <c r="D623" t="inlineStr">
        <is>
          <t>JÄMTLANDS LÄN</t>
        </is>
      </c>
      <c r="E623" t="inlineStr">
        <is>
          <t>BERG</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52340-2025</t>
        </is>
      </c>
      <c r="B624" s="1" t="n">
        <v>45953.70571759259</v>
      </c>
      <c r="C624" s="1" t="n">
        <v>46037</v>
      </c>
      <c r="D624" t="inlineStr">
        <is>
          <t>JÄMTLANDS LÄN</t>
        </is>
      </c>
      <c r="E624" t="inlineStr">
        <is>
          <t>BERG</t>
        </is>
      </c>
      <c r="G624" t="n">
        <v>6.7</v>
      </c>
      <c r="H624" t="n">
        <v>0</v>
      </c>
      <c r="I624" t="n">
        <v>0</v>
      </c>
      <c r="J624" t="n">
        <v>0</v>
      </c>
      <c r="K624" t="n">
        <v>0</v>
      </c>
      <c r="L624" t="n">
        <v>0</v>
      </c>
      <c r="M624" t="n">
        <v>0</v>
      </c>
      <c r="N624" t="n">
        <v>0</v>
      </c>
      <c r="O624" t="n">
        <v>0</v>
      </c>
      <c r="P624" t="n">
        <v>0</v>
      </c>
      <c r="Q624" t="n">
        <v>0</v>
      </c>
      <c r="R624" s="2" t="inlineStr"/>
    </row>
    <row r="625" ht="15" customHeight="1">
      <c r="A625" t="inlineStr">
        <is>
          <t>A 8733-2025</t>
        </is>
      </c>
      <c r="B625" s="1" t="n">
        <v>45712.53197916667</v>
      </c>
      <c r="C625" s="1" t="n">
        <v>46037</v>
      </c>
      <c r="D625" t="inlineStr">
        <is>
          <t>JÄMTLANDS LÄN</t>
        </is>
      </c>
      <c r="E625" t="inlineStr">
        <is>
          <t>BERG</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37463-2025</t>
        </is>
      </c>
      <c r="B626" s="1" t="n">
        <v>45877.5738425926</v>
      </c>
      <c r="C626" s="1" t="n">
        <v>46037</v>
      </c>
      <c r="D626" t="inlineStr">
        <is>
          <t>JÄMTLANDS LÄN</t>
        </is>
      </c>
      <c r="E626" t="inlineStr">
        <is>
          <t>BERG</t>
        </is>
      </c>
      <c r="F626" t="inlineStr">
        <is>
          <t>SCA</t>
        </is>
      </c>
      <c r="G626" t="n">
        <v>13.3</v>
      </c>
      <c r="H626" t="n">
        <v>0</v>
      </c>
      <c r="I626" t="n">
        <v>0</v>
      </c>
      <c r="J626" t="n">
        <v>0</v>
      </c>
      <c r="K626" t="n">
        <v>0</v>
      </c>
      <c r="L626" t="n">
        <v>0</v>
      </c>
      <c r="M626" t="n">
        <v>0</v>
      </c>
      <c r="N626" t="n">
        <v>0</v>
      </c>
      <c r="O626" t="n">
        <v>0</v>
      </c>
      <c r="P626" t="n">
        <v>0</v>
      </c>
      <c r="Q626" t="n">
        <v>0</v>
      </c>
      <c r="R626" s="2" t="inlineStr"/>
    </row>
    <row r="627" ht="15" customHeight="1">
      <c r="A627" t="inlineStr">
        <is>
          <t>A 29087-2024</t>
        </is>
      </c>
      <c r="B627" s="1" t="n">
        <v>45481.92946759259</v>
      </c>
      <c r="C627" s="1" t="n">
        <v>46037</v>
      </c>
      <c r="D627" t="inlineStr">
        <is>
          <t>JÄMTLANDS LÄN</t>
        </is>
      </c>
      <c r="E627" t="inlineStr">
        <is>
          <t>BERG</t>
        </is>
      </c>
      <c r="G627" t="n">
        <v>10.7</v>
      </c>
      <c r="H627" t="n">
        <v>0</v>
      </c>
      <c r="I627" t="n">
        <v>0</v>
      </c>
      <c r="J627" t="n">
        <v>0</v>
      </c>
      <c r="K627" t="n">
        <v>0</v>
      </c>
      <c r="L627" t="n">
        <v>0</v>
      </c>
      <c r="M627" t="n">
        <v>0</v>
      </c>
      <c r="N627" t="n">
        <v>0</v>
      </c>
      <c r="O627" t="n">
        <v>0</v>
      </c>
      <c r="P627" t="n">
        <v>0</v>
      </c>
      <c r="Q627" t="n">
        <v>0</v>
      </c>
      <c r="R627" s="2" t="inlineStr"/>
    </row>
    <row r="628" ht="15" customHeight="1">
      <c r="A628" t="inlineStr">
        <is>
          <t>A 37488-2025</t>
        </is>
      </c>
      <c r="B628" s="1" t="n">
        <v>45877.63582175926</v>
      </c>
      <c r="C628" s="1" t="n">
        <v>46037</v>
      </c>
      <c r="D628" t="inlineStr">
        <is>
          <t>JÄMTLANDS LÄN</t>
        </is>
      </c>
      <c r="E628" t="inlineStr">
        <is>
          <t>BERG</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53085-2025</t>
        </is>
      </c>
      <c r="B629" s="1" t="n">
        <v>45958.40675925926</v>
      </c>
      <c r="C629" s="1" t="n">
        <v>46037</v>
      </c>
      <c r="D629" t="inlineStr">
        <is>
          <t>JÄMTLANDS LÄN</t>
        </is>
      </c>
      <c r="E629" t="inlineStr">
        <is>
          <t>BERG</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38080-2025</t>
        </is>
      </c>
      <c r="B630" s="1" t="n">
        <v>45882</v>
      </c>
      <c r="C630" s="1" t="n">
        <v>46037</v>
      </c>
      <c r="D630" t="inlineStr">
        <is>
          <t>JÄMTLANDS LÄN</t>
        </is>
      </c>
      <c r="E630" t="inlineStr">
        <is>
          <t>BERG</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23877-2024</t>
        </is>
      </c>
      <c r="B631" s="1" t="n">
        <v>45455.63024305556</v>
      </c>
      <c r="C631" s="1" t="n">
        <v>46037</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23880-2024</t>
        </is>
      </c>
      <c r="B632" s="1" t="n">
        <v>45455.63731481481</v>
      </c>
      <c r="C632" s="1" t="n">
        <v>46037</v>
      </c>
      <c r="D632" t="inlineStr">
        <is>
          <t>JÄMTLANDS LÄN</t>
        </is>
      </c>
      <c r="E632" t="inlineStr">
        <is>
          <t>BERG</t>
        </is>
      </c>
      <c r="G632" t="n">
        <v>1.2</v>
      </c>
      <c r="H632" t="n">
        <v>0</v>
      </c>
      <c r="I632" t="n">
        <v>0</v>
      </c>
      <c r="J632" t="n">
        <v>0</v>
      </c>
      <c r="K632" t="n">
        <v>0</v>
      </c>
      <c r="L632" t="n">
        <v>0</v>
      </c>
      <c r="M632" t="n">
        <v>0</v>
      </c>
      <c r="N632" t="n">
        <v>0</v>
      </c>
      <c r="O632" t="n">
        <v>0</v>
      </c>
      <c r="P632" t="n">
        <v>0</v>
      </c>
      <c r="Q632" t="n">
        <v>0</v>
      </c>
      <c r="R632" s="2" t="inlineStr"/>
    </row>
    <row r="633" ht="15" customHeight="1">
      <c r="A633" t="inlineStr">
        <is>
          <t>A 38082-2025</t>
        </is>
      </c>
      <c r="B633" s="1" t="n">
        <v>45882</v>
      </c>
      <c r="C633" s="1" t="n">
        <v>46037</v>
      </c>
      <c r="D633" t="inlineStr">
        <is>
          <t>JÄMTLANDS LÄN</t>
        </is>
      </c>
      <c r="E633" t="inlineStr">
        <is>
          <t>BERG</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53155-2025</t>
        </is>
      </c>
      <c r="B634" s="1" t="n">
        <v>45958.49011574074</v>
      </c>
      <c r="C634" s="1" t="n">
        <v>46037</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52938-2025</t>
        </is>
      </c>
      <c r="B635" s="1" t="n">
        <v>45957.63680555556</v>
      </c>
      <c r="C635" s="1" t="n">
        <v>46037</v>
      </c>
      <c r="D635" t="inlineStr">
        <is>
          <t>JÄMTLANDS LÄN</t>
        </is>
      </c>
      <c r="E635" t="inlineStr">
        <is>
          <t>BERG</t>
        </is>
      </c>
      <c r="G635" t="n">
        <v>3.6</v>
      </c>
      <c r="H635" t="n">
        <v>0</v>
      </c>
      <c r="I635" t="n">
        <v>0</v>
      </c>
      <c r="J635" t="n">
        <v>0</v>
      </c>
      <c r="K635" t="n">
        <v>0</v>
      </c>
      <c r="L635" t="n">
        <v>0</v>
      </c>
      <c r="M635" t="n">
        <v>0</v>
      </c>
      <c r="N635" t="n">
        <v>0</v>
      </c>
      <c r="O635" t="n">
        <v>0</v>
      </c>
      <c r="P635" t="n">
        <v>0</v>
      </c>
      <c r="Q635" t="n">
        <v>0</v>
      </c>
      <c r="R635" s="2" t="inlineStr"/>
    </row>
    <row r="636" ht="15" customHeight="1">
      <c r="A636" t="inlineStr">
        <is>
          <t>A 52933-2025</t>
        </is>
      </c>
      <c r="B636" s="1" t="n">
        <v>45957.62528935185</v>
      </c>
      <c r="C636" s="1" t="n">
        <v>46037</v>
      </c>
      <c r="D636" t="inlineStr">
        <is>
          <t>JÄMTLANDS LÄN</t>
        </is>
      </c>
      <c r="E636" t="inlineStr">
        <is>
          <t>BERG</t>
        </is>
      </c>
      <c r="G636" t="n">
        <v>10.1</v>
      </c>
      <c r="H636" t="n">
        <v>0</v>
      </c>
      <c r="I636" t="n">
        <v>0</v>
      </c>
      <c r="J636" t="n">
        <v>0</v>
      </c>
      <c r="K636" t="n">
        <v>0</v>
      </c>
      <c r="L636" t="n">
        <v>0</v>
      </c>
      <c r="M636" t="n">
        <v>0</v>
      </c>
      <c r="N636" t="n">
        <v>0</v>
      </c>
      <c r="O636" t="n">
        <v>0</v>
      </c>
      <c r="P636" t="n">
        <v>0</v>
      </c>
      <c r="Q636" t="n">
        <v>0</v>
      </c>
      <c r="R636" s="2" t="inlineStr"/>
    </row>
    <row r="637" ht="15" customHeight="1">
      <c r="A637" t="inlineStr">
        <is>
          <t>A 53157-2025</t>
        </is>
      </c>
      <c r="B637" s="1" t="n">
        <v>45958.49056712963</v>
      </c>
      <c r="C637" s="1" t="n">
        <v>46037</v>
      </c>
      <c r="D637" t="inlineStr">
        <is>
          <t>JÄMTLANDS LÄN</t>
        </is>
      </c>
      <c r="E637" t="inlineStr">
        <is>
          <t>BERG</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60831-2025</t>
        </is>
      </c>
      <c r="B638" s="1" t="n">
        <v>45999.46935185185</v>
      </c>
      <c r="C638" s="1" t="n">
        <v>46037</v>
      </c>
      <c r="D638" t="inlineStr">
        <is>
          <t>JÄMTLANDS LÄN</t>
        </is>
      </c>
      <c r="E638" t="inlineStr">
        <is>
          <t>BERG</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53712-2025</t>
        </is>
      </c>
      <c r="B639" s="1" t="n">
        <v>45960.61547453704</v>
      </c>
      <c r="C639" s="1" t="n">
        <v>46037</v>
      </c>
      <c r="D639" t="inlineStr">
        <is>
          <t>JÄMTLANDS LÄN</t>
        </is>
      </c>
      <c r="E639" t="inlineStr">
        <is>
          <t>BERG</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15785-2021</t>
        </is>
      </c>
      <c r="B640" s="1" t="n">
        <v>44286.58679398148</v>
      </c>
      <c r="C640" s="1" t="n">
        <v>46037</v>
      </c>
      <c r="D640" t="inlineStr">
        <is>
          <t>JÄMTLANDS LÄN</t>
        </is>
      </c>
      <c r="E640" t="inlineStr">
        <is>
          <t>BERG</t>
        </is>
      </c>
      <c r="G640" t="n">
        <v>3.2</v>
      </c>
      <c r="H640" t="n">
        <v>0</v>
      </c>
      <c r="I640" t="n">
        <v>0</v>
      </c>
      <c r="J640" t="n">
        <v>0</v>
      </c>
      <c r="K640" t="n">
        <v>0</v>
      </c>
      <c r="L640" t="n">
        <v>0</v>
      </c>
      <c r="M640" t="n">
        <v>0</v>
      </c>
      <c r="N640" t="n">
        <v>0</v>
      </c>
      <c r="O640" t="n">
        <v>0</v>
      </c>
      <c r="P640" t="n">
        <v>0</v>
      </c>
      <c r="Q640" t="n">
        <v>0</v>
      </c>
      <c r="R640" s="2" t="inlineStr"/>
    </row>
    <row r="641" ht="15" customHeight="1">
      <c r="A641" t="inlineStr">
        <is>
          <t>A 61647-2025</t>
        </is>
      </c>
      <c r="B641" s="1" t="n">
        <v>46002.4403587963</v>
      </c>
      <c r="C641" s="1" t="n">
        <v>46037</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12254-2025</t>
        </is>
      </c>
      <c r="B642" s="1" t="n">
        <v>45729</v>
      </c>
      <c r="C642" s="1" t="n">
        <v>46037</v>
      </c>
      <c r="D642" t="inlineStr">
        <is>
          <t>JÄMTLANDS LÄN</t>
        </is>
      </c>
      <c r="E642" t="inlineStr">
        <is>
          <t>BERG</t>
        </is>
      </c>
      <c r="G642" t="n">
        <v>26.3</v>
      </c>
      <c r="H642" t="n">
        <v>0</v>
      </c>
      <c r="I642" t="n">
        <v>0</v>
      </c>
      <c r="J642" t="n">
        <v>0</v>
      </c>
      <c r="K642" t="n">
        <v>0</v>
      </c>
      <c r="L642" t="n">
        <v>0</v>
      </c>
      <c r="M642" t="n">
        <v>0</v>
      </c>
      <c r="N642" t="n">
        <v>0</v>
      </c>
      <c r="O642" t="n">
        <v>0</v>
      </c>
      <c r="P642" t="n">
        <v>0</v>
      </c>
      <c r="Q642" t="n">
        <v>0</v>
      </c>
      <c r="R642" s="2" t="inlineStr"/>
    </row>
    <row r="643" ht="15" customHeight="1">
      <c r="A643" t="inlineStr">
        <is>
          <t>A 53625-2025</t>
        </is>
      </c>
      <c r="B643" s="1" t="n">
        <v>45960.49020833334</v>
      </c>
      <c r="C643" s="1" t="n">
        <v>46037</v>
      </c>
      <c r="D643" t="inlineStr">
        <is>
          <t>JÄMTLANDS LÄN</t>
        </is>
      </c>
      <c r="E643" t="inlineStr">
        <is>
          <t>BERG</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53610-2025</t>
        </is>
      </c>
      <c r="B644" s="1" t="n">
        <v>45960.46951388889</v>
      </c>
      <c r="C644" s="1" t="n">
        <v>46037</v>
      </c>
      <c r="D644" t="inlineStr">
        <is>
          <t>JÄMTLANDS LÄN</t>
        </is>
      </c>
      <c r="E644" t="inlineStr">
        <is>
          <t>BERG</t>
        </is>
      </c>
      <c r="F644" t="inlineStr">
        <is>
          <t>SCA</t>
        </is>
      </c>
      <c r="G644" t="n">
        <v>30.7</v>
      </c>
      <c r="H644" t="n">
        <v>0</v>
      </c>
      <c r="I644" t="n">
        <v>0</v>
      </c>
      <c r="J644" t="n">
        <v>0</v>
      </c>
      <c r="K644" t="n">
        <v>0</v>
      </c>
      <c r="L644" t="n">
        <v>0</v>
      </c>
      <c r="M644" t="n">
        <v>0</v>
      </c>
      <c r="N644" t="n">
        <v>0</v>
      </c>
      <c r="O644" t="n">
        <v>0</v>
      </c>
      <c r="P644" t="n">
        <v>0</v>
      </c>
      <c r="Q644" t="n">
        <v>0</v>
      </c>
      <c r="R644" s="2" t="inlineStr"/>
    </row>
    <row r="645" ht="15" customHeight="1">
      <c r="A645" t="inlineStr">
        <is>
          <t>A 53349-2025</t>
        </is>
      </c>
      <c r="B645" s="1" t="n">
        <v>45959.43579861111</v>
      </c>
      <c r="C645" s="1" t="n">
        <v>46037</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61652-2024</t>
        </is>
      </c>
      <c r="B646" s="1" t="n">
        <v>45646.72293981481</v>
      </c>
      <c r="C646" s="1" t="n">
        <v>46037</v>
      </c>
      <c r="D646" t="inlineStr">
        <is>
          <t>JÄMTLANDS LÄN</t>
        </is>
      </c>
      <c r="E646" t="inlineStr">
        <is>
          <t>BERG</t>
        </is>
      </c>
      <c r="G646" t="n">
        <v>6.4</v>
      </c>
      <c r="H646" t="n">
        <v>0</v>
      </c>
      <c r="I646" t="n">
        <v>0</v>
      </c>
      <c r="J646" t="n">
        <v>0</v>
      </c>
      <c r="K646" t="n">
        <v>0</v>
      </c>
      <c r="L646" t="n">
        <v>0</v>
      </c>
      <c r="M646" t="n">
        <v>0</v>
      </c>
      <c r="N646" t="n">
        <v>0</v>
      </c>
      <c r="O646" t="n">
        <v>0</v>
      </c>
      <c r="P646" t="n">
        <v>0</v>
      </c>
      <c r="Q646" t="n">
        <v>0</v>
      </c>
      <c r="R646" s="2" t="inlineStr"/>
    </row>
    <row r="647" ht="15" customHeight="1">
      <c r="A647" t="inlineStr">
        <is>
          <t>A 61501-2025</t>
        </is>
      </c>
      <c r="B647" s="1" t="n">
        <v>46001.65951388889</v>
      </c>
      <c r="C647" s="1" t="n">
        <v>46037</v>
      </c>
      <c r="D647" t="inlineStr">
        <is>
          <t>JÄMTLANDS LÄN</t>
        </is>
      </c>
      <c r="E647" t="inlineStr">
        <is>
          <t>BERG</t>
        </is>
      </c>
      <c r="G647" t="n">
        <v>1.8</v>
      </c>
      <c r="H647" t="n">
        <v>0</v>
      </c>
      <c r="I647" t="n">
        <v>0</v>
      </c>
      <c r="J647" t="n">
        <v>0</v>
      </c>
      <c r="K647" t="n">
        <v>0</v>
      </c>
      <c r="L647" t="n">
        <v>0</v>
      </c>
      <c r="M647" t="n">
        <v>0</v>
      </c>
      <c r="N647" t="n">
        <v>0</v>
      </c>
      <c r="O647" t="n">
        <v>0</v>
      </c>
      <c r="P647" t="n">
        <v>0</v>
      </c>
      <c r="Q647" t="n">
        <v>0</v>
      </c>
      <c r="R647" s="2" t="inlineStr"/>
    </row>
    <row r="648" ht="15" customHeight="1">
      <c r="A648" t="inlineStr">
        <is>
          <t>A 53680-2025</t>
        </is>
      </c>
      <c r="B648" s="1" t="n">
        <v>45960.57361111111</v>
      </c>
      <c r="C648" s="1" t="n">
        <v>46037</v>
      </c>
      <c r="D648" t="inlineStr">
        <is>
          <t>JÄMTLANDS LÄN</t>
        </is>
      </c>
      <c r="E648" t="inlineStr">
        <is>
          <t>BERG</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61459-2025</t>
        </is>
      </c>
      <c r="B649" s="1" t="n">
        <v>46001.59416666667</v>
      </c>
      <c r="C649" s="1" t="n">
        <v>46037</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61460-2025</t>
        </is>
      </c>
      <c r="B650" s="1" t="n">
        <v>46001.59425925926</v>
      </c>
      <c r="C650" s="1" t="n">
        <v>46037</v>
      </c>
      <c r="D650" t="inlineStr">
        <is>
          <t>JÄMTLANDS LÄN</t>
        </is>
      </c>
      <c r="E650" t="inlineStr">
        <is>
          <t>BERG</t>
        </is>
      </c>
      <c r="G650" t="n">
        <v>1.9</v>
      </c>
      <c r="H650" t="n">
        <v>0</v>
      </c>
      <c r="I650" t="n">
        <v>0</v>
      </c>
      <c r="J650" t="n">
        <v>0</v>
      </c>
      <c r="K650" t="n">
        <v>0</v>
      </c>
      <c r="L650" t="n">
        <v>0</v>
      </c>
      <c r="M650" t="n">
        <v>0</v>
      </c>
      <c r="N650" t="n">
        <v>0</v>
      </c>
      <c r="O650" t="n">
        <v>0</v>
      </c>
      <c r="P650" t="n">
        <v>0</v>
      </c>
      <c r="Q650" t="n">
        <v>0</v>
      </c>
      <c r="R650" s="2" t="inlineStr"/>
    </row>
    <row r="651" ht="15" customHeight="1">
      <c r="A651" t="inlineStr">
        <is>
          <t>A 53778-2025</t>
        </is>
      </c>
      <c r="B651" s="1" t="n">
        <v>45960.69841435185</v>
      </c>
      <c r="C651" s="1" t="n">
        <v>46037</v>
      </c>
      <c r="D651" t="inlineStr">
        <is>
          <t>JÄMTLANDS LÄN</t>
        </is>
      </c>
      <c r="E651" t="inlineStr">
        <is>
          <t>BERG</t>
        </is>
      </c>
      <c r="F651" t="inlineStr">
        <is>
          <t>SCA</t>
        </is>
      </c>
      <c r="G651" t="n">
        <v>18.7</v>
      </c>
      <c r="H651" t="n">
        <v>0</v>
      </c>
      <c r="I651" t="n">
        <v>0</v>
      </c>
      <c r="J651" t="n">
        <v>0</v>
      </c>
      <c r="K651" t="n">
        <v>0</v>
      </c>
      <c r="L651" t="n">
        <v>0</v>
      </c>
      <c r="M651" t="n">
        <v>0</v>
      </c>
      <c r="N651" t="n">
        <v>0</v>
      </c>
      <c r="O651" t="n">
        <v>0</v>
      </c>
      <c r="P651" t="n">
        <v>0</v>
      </c>
      <c r="Q651" t="n">
        <v>0</v>
      </c>
      <c r="R651" s="2" t="inlineStr"/>
      <c r="U651">
        <f>HYPERLINK("https://klasma.github.io/Logging_2326/knärot/A 53778-2025 karta knärot.png", "A 53778-2025")</f>
        <v/>
      </c>
      <c r="V651">
        <f>HYPERLINK("https://klasma.github.io/Logging_2326/klagomål/A 53778-2025 FSC-klagomål.docx", "A 53778-2025")</f>
        <v/>
      </c>
      <c r="W651">
        <f>HYPERLINK("https://klasma.github.io/Logging_2326/klagomålsmail/A 53778-2025 FSC-klagomål mail.docx", "A 53778-2025")</f>
        <v/>
      </c>
      <c r="X651">
        <f>HYPERLINK("https://klasma.github.io/Logging_2326/tillsyn/A 53778-2025 tillsynsbegäran.docx", "A 53778-2025")</f>
        <v/>
      </c>
      <c r="Y651">
        <f>HYPERLINK("https://klasma.github.io/Logging_2326/tillsynsmail/A 53778-2025 tillsynsbegäran mail.docx", "A 53778-2025")</f>
        <v/>
      </c>
    </row>
    <row r="652" ht="15" customHeight="1">
      <c r="A652" t="inlineStr">
        <is>
          <t>A 21679-2023</t>
        </is>
      </c>
      <c r="B652" s="1" t="n">
        <v>45063.94199074074</v>
      </c>
      <c r="C652" s="1" t="n">
        <v>46037</v>
      </c>
      <c r="D652" t="inlineStr">
        <is>
          <t>JÄMTLANDS LÄN</t>
        </is>
      </c>
      <c r="E652" t="inlineStr">
        <is>
          <t>BERG</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41105-2023</t>
        </is>
      </c>
      <c r="B653" s="1" t="n">
        <v>45170</v>
      </c>
      <c r="C653" s="1" t="n">
        <v>46037</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43403-2023</t>
        </is>
      </c>
      <c r="B654" s="1" t="n">
        <v>45183</v>
      </c>
      <c r="C654" s="1" t="n">
        <v>46037</v>
      </c>
      <c r="D654" t="inlineStr">
        <is>
          <t>JÄMTLANDS LÄN</t>
        </is>
      </c>
      <c r="E654" t="inlineStr">
        <is>
          <t>BERG</t>
        </is>
      </c>
      <c r="F654" t="inlineStr">
        <is>
          <t>SCA</t>
        </is>
      </c>
      <c r="G654" t="n">
        <v>0.1</v>
      </c>
      <c r="H654" t="n">
        <v>0</v>
      </c>
      <c r="I654" t="n">
        <v>0</v>
      </c>
      <c r="J654" t="n">
        <v>0</v>
      </c>
      <c r="K654" t="n">
        <v>0</v>
      </c>
      <c r="L654" t="n">
        <v>0</v>
      </c>
      <c r="M654" t="n">
        <v>0</v>
      </c>
      <c r="N654" t="n">
        <v>0</v>
      </c>
      <c r="O654" t="n">
        <v>0</v>
      </c>
      <c r="P654" t="n">
        <v>0</v>
      </c>
      <c r="Q654" t="n">
        <v>0</v>
      </c>
      <c r="R654" s="2" t="inlineStr"/>
    </row>
    <row r="655" ht="15" customHeight="1">
      <c r="A655" t="inlineStr">
        <is>
          <t>A 62052-2025</t>
        </is>
      </c>
      <c r="B655" s="1" t="n">
        <v>46006.32145833333</v>
      </c>
      <c r="C655" s="1" t="n">
        <v>46037</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62158-2025</t>
        </is>
      </c>
      <c r="B656" s="1" t="n">
        <v>46006.490625</v>
      </c>
      <c r="C656" s="1" t="n">
        <v>46037</v>
      </c>
      <c r="D656" t="inlineStr">
        <is>
          <t>JÄMTLANDS LÄN</t>
        </is>
      </c>
      <c r="E656" t="inlineStr">
        <is>
          <t>BERG</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6982-2025</t>
        </is>
      </c>
      <c r="B657" s="1" t="n">
        <v>45701.55769675926</v>
      </c>
      <c r="C657" s="1" t="n">
        <v>46037</v>
      </c>
      <c r="D657" t="inlineStr">
        <is>
          <t>JÄMTLANDS LÄN</t>
        </is>
      </c>
      <c r="E657" t="inlineStr">
        <is>
          <t>BERG</t>
        </is>
      </c>
      <c r="G657" t="n">
        <v>6.8</v>
      </c>
      <c r="H657" t="n">
        <v>0</v>
      </c>
      <c r="I657" t="n">
        <v>0</v>
      </c>
      <c r="J657" t="n">
        <v>0</v>
      </c>
      <c r="K657" t="n">
        <v>0</v>
      </c>
      <c r="L657" t="n">
        <v>0</v>
      </c>
      <c r="M657" t="n">
        <v>0</v>
      </c>
      <c r="N657" t="n">
        <v>0</v>
      </c>
      <c r="O657" t="n">
        <v>0</v>
      </c>
      <c r="P657" t="n">
        <v>0</v>
      </c>
      <c r="Q657" t="n">
        <v>0</v>
      </c>
      <c r="R657" s="2" t="inlineStr"/>
    </row>
    <row r="658" ht="15" customHeight="1">
      <c r="A658" t="inlineStr">
        <is>
          <t>A 433-2023</t>
        </is>
      </c>
      <c r="B658" s="1" t="n">
        <v>44923</v>
      </c>
      <c r="C658" s="1" t="n">
        <v>46037</v>
      </c>
      <c r="D658" t="inlineStr">
        <is>
          <t>JÄMTLANDS LÄN</t>
        </is>
      </c>
      <c r="E658" t="inlineStr">
        <is>
          <t>BERG</t>
        </is>
      </c>
      <c r="G658" t="n">
        <v>1.5</v>
      </c>
      <c r="H658" t="n">
        <v>0</v>
      </c>
      <c r="I658" t="n">
        <v>0</v>
      </c>
      <c r="J658" t="n">
        <v>0</v>
      </c>
      <c r="K658" t="n">
        <v>0</v>
      </c>
      <c r="L658" t="n">
        <v>0</v>
      </c>
      <c r="M658" t="n">
        <v>0</v>
      </c>
      <c r="N658" t="n">
        <v>0</v>
      </c>
      <c r="O658" t="n">
        <v>0</v>
      </c>
      <c r="P658" t="n">
        <v>0</v>
      </c>
      <c r="Q658" t="n">
        <v>0</v>
      </c>
      <c r="R658" s="2" t="inlineStr"/>
    </row>
    <row r="659" ht="15" customHeight="1">
      <c r="A659" t="inlineStr">
        <is>
          <t>A 61980-2024</t>
        </is>
      </c>
      <c r="B659" s="1" t="n">
        <v>45653.66269675926</v>
      </c>
      <c r="C659" s="1" t="n">
        <v>46037</v>
      </c>
      <c r="D659" t="inlineStr">
        <is>
          <t>JÄMTLANDS LÄN</t>
        </is>
      </c>
      <c r="E659" t="inlineStr">
        <is>
          <t>BERG</t>
        </is>
      </c>
      <c r="G659" t="n">
        <v>1.3</v>
      </c>
      <c r="H659" t="n">
        <v>0</v>
      </c>
      <c r="I659" t="n">
        <v>0</v>
      </c>
      <c r="J659" t="n">
        <v>0</v>
      </c>
      <c r="K659" t="n">
        <v>0</v>
      </c>
      <c r="L659" t="n">
        <v>0</v>
      </c>
      <c r="M659" t="n">
        <v>0</v>
      </c>
      <c r="N659" t="n">
        <v>0</v>
      </c>
      <c r="O659" t="n">
        <v>0</v>
      </c>
      <c r="P659" t="n">
        <v>0</v>
      </c>
      <c r="Q659" t="n">
        <v>0</v>
      </c>
      <c r="R659" s="2" t="inlineStr"/>
    </row>
    <row r="660" ht="15" customHeight="1">
      <c r="A660" t="inlineStr">
        <is>
          <t>A 8191-2025</t>
        </is>
      </c>
      <c r="B660" s="1" t="n">
        <v>45708.40821759259</v>
      </c>
      <c r="C660" s="1" t="n">
        <v>46037</v>
      </c>
      <c r="D660" t="inlineStr">
        <is>
          <t>JÄMTLANDS LÄN</t>
        </is>
      </c>
      <c r="E660" t="inlineStr">
        <is>
          <t>BERG</t>
        </is>
      </c>
      <c r="G660" t="n">
        <v>1.1</v>
      </c>
      <c r="H660" t="n">
        <v>0</v>
      </c>
      <c r="I660" t="n">
        <v>0</v>
      </c>
      <c r="J660" t="n">
        <v>0</v>
      </c>
      <c r="K660" t="n">
        <v>0</v>
      </c>
      <c r="L660" t="n">
        <v>0</v>
      </c>
      <c r="M660" t="n">
        <v>0</v>
      </c>
      <c r="N660" t="n">
        <v>0</v>
      </c>
      <c r="O660" t="n">
        <v>0</v>
      </c>
      <c r="P660" t="n">
        <v>0</v>
      </c>
      <c r="Q660" t="n">
        <v>0</v>
      </c>
      <c r="R660" s="2" t="inlineStr"/>
    </row>
    <row r="661" ht="15" customHeight="1">
      <c r="A661" t="inlineStr">
        <is>
          <t>A 61987-2025</t>
        </is>
      </c>
      <c r="B661" s="1" t="n">
        <v>46003.62914351852</v>
      </c>
      <c r="C661" s="1" t="n">
        <v>46037</v>
      </c>
      <c r="D661" t="inlineStr">
        <is>
          <t>JÄMTLANDS LÄN</t>
        </is>
      </c>
      <c r="E661" t="inlineStr">
        <is>
          <t>BERG</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61977-2025</t>
        </is>
      </c>
      <c r="B662" s="1" t="n">
        <v>46003.61158564815</v>
      </c>
      <c r="C662" s="1" t="n">
        <v>46037</v>
      </c>
      <c r="D662" t="inlineStr">
        <is>
          <t>JÄMTLANDS LÄN</t>
        </is>
      </c>
      <c r="E662" t="inlineStr">
        <is>
          <t>BERG</t>
        </is>
      </c>
      <c r="G662" t="n">
        <v>2.7</v>
      </c>
      <c r="H662" t="n">
        <v>0</v>
      </c>
      <c r="I662" t="n">
        <v>0</v>
      </c>
      <c r="J662" t="n">
        <v>0</v>
      </c>
      <c r="K662" t="n">
        <v>0</v>
      </c>
      <c r="L662" t="n">
        <v>0</v>
      </c>
      <c r="M662" t="n">
        <v>0</v>
      </c>
      <c r="N662" t="n">
        <v>0</v>
      </c>
      <c r="O662" t="n">
        <v>0</v>
      </c>
      <c r="P662" t="n">
        <v>0</v>
      </c>
      <c r="Q662" t="n">
        <v>0</v>
      </c>
      <c r="R662" s="2" t="inlineStr"/>
    </row>
    <row r="663" ht="15" customHeight="1">
      <c r="A663" t="inlineStr">
        <is>
          <t>A 61991-2025</t>
        </is>
      </c>
      <c r="B663" s="1" t="n">
        <v>46003.62962962963</v>
      </c>
      <c r="C663" s="1" t="n">
        <v>46037</v>
      </c>
      <c r="D663" t="inlineStr">
        <is>
          <t>JÄMTLANDS LÄN</t>
        </is>
      </c>
      <c r="E663" t="inlineStr">
        <is>
          <t>BERG</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53859-2025</t>
        </is>
      </c>
      <c r="B664" s="1" t="n">
        <v>45961</v>
      </c>
      <c r="C664" s="1" t="n">
        <v>46037</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56490-2024</t>
        </is>
      </c>
      <c r="B665" s="1" t="n">
        <v>45625.48765046296</v>
      </c>
      <c r="C665" s="1" t="n">
        <v>46037</v>
      </c>
      <c r="D665" t="inlineStr">
        <is>
          <t>JÄMTLANDS LÄN</t>
        </is>
      </c>
      <c r="E665" t="inlineStr">
        <is>
          <t>BERG</t>
        </is>
      </c>
      <c r="G665" t="n">
        <v>5.9</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46037</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54825-2025</t>
        </is>
      </c>
      <c r="B667" s="1" t="n">
        <v>45966.66768518519</v>
      </c>
      <c r="C667" s="1" t="n">
        <v>46037</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15013-2025</t>
        </is>
      </c>
      <c r="B668" s="1" t="n">
        <v>45743.62734953704</v>
      </c>
      <c r="C668" s="1" t="n">
        <v>46037</v>
      </c>
      <c r="D668" t="inlineStr">
        <is>
          <t>JÄMTLANDS LÄN</t>
        </is>
      </c>
      <c r="E668" t="inlineStr">
        <is>
          <t>BERG</t>
        </is>
      </c>
      <c r="G668" t="n">
        <v>4.6</v>
      </c>
      <c r="H668" t="n">
        <v>0</v>
      </c>
      <c r="I668" t="n">
        <v>0</v>
      </c>
      <c r="J668" t="n">
        <v>0</v>
      </c>
      <c r="K668" t="n">
        <v>0</v>
      </c>
      <c r="L668" t="n">
        <v>0</v>
      </c>
      <c r="M668" t="n">
        <v>0</v>
      </c>
      <c r="N668" t="n">
        <v>0</v>
      </c>
      <c r="O668" t="n">
        <v>0</v>
      </c>
      <c r="P668" t="n">
        <v>0</v>
      </c>
      <c r="Q668" t="n">
        <v>0</v>
      </c>
      <c r="R668" s="2" t="inlineStr"/>
    </row>
    <row r="669" ht="15" customHeight="1">
      <c r="A669" t="inlineStr">
        <is>
          <t>A 43616-2024</t>
        </is>
      </c>
      <c r="B669" s="1" t="n">
        <v>45569</v>
      </c>
      <c r="C669" s="1" t="n">
        <v>46037</v>
      </c>
      <c r="D669" t="inlineStr">
        <is>
          <t>JÄMTLANDS LÄN</t>
        </is>
      </c>
      <c r="E669" t="inlineStr">
        <is>
          <t>BERG</t>
        </is>
      </c>
      <c r="G669" t="n">
        <v>12.3</v>
      </c>
      <c r="H669" t="n">
        <v>0</v>
      </c>
      <c r="I669" t="n">
        <v>0</v>
      </c>
      <c r="J669" t="n">
        <v>0</v>
      </c>
      <c r="K669" t="n">
        <v>0</v>
      </c>
      <c r="L669" t="n">
        <v>0</v>
      </c>
      <c r="M669" t="n">
        <v>0</v>
      </c>
      <c r="N669" t="n">
        <v>0</v>
      </c>
      <c r="O669" t="n">
        <v>0</v>
      </c>
      <c r="P669" t="n">
        <v>0</v>
      </c>
      <c r="Q669" t="n">
        <v>0</v>
      </c>
      <c r="R669" s="2" t="inlineStr"/>
    </row>
    <row r="670" ht="15" customHeight="1">
      <c r="A670" t="inlineStr">
        <is>
          <t>A 3419-2025</t>
        </is>
      </c>
      <c r="B670" s="1" t="n">
        <v>45680.4165625</v>
      </c>
      <c r="C670" s="1" t="n">
        <v>46037</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41927-2023</t>
        </is>
      </c>
      <c r="B671" s="1" t="n">
        <v>45176</v>
      </c>
      <c r="C671" s="1" t="n">
        <v>46037</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54852-2025</t>
        </is>
      </c>
      <c r="B672" s="1" t="n">
        <v>45966.71946759259</v>
      </c>
      <c r="C672" s="1" t="n">
        <v>46037</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54720-2025</t>
        </is>
      </c>
      <c r="B673" s="1" t="n">
        <v>45966.53177083333</v>
      </c>
      <c r="C673" s="1" t="n">
        <v>46037</v>
      </c>
      <c r="D673" t="inlineStr">
        <is>
          <t>JÄMTLANDS LÄN</t>
        </is>
      </c>
      <c r="E673" t="inlineStr">
        <is>
          <t>BERG</t>
        </is>
      </c>
      <c r="G673" t="n">
        <v>0.6</v>
      </c>
      <c r="H673" t="n">
        <v>0</v>
      </c>
      <c r="I673" t="n">
        <v>0</v>
      </c>
      <c r="J673" t="n">
        <v>0</v>
      </c>
      <c r="K673" t="n">
        <v>0</v>
      </c>
      <c r="L673" t="n">
        <v>0</v>
      </c>
      <c r="M673" t="n">
        <v>0</v>
      </c>
      <c r="N673" t="n">
        <v>0</v>
      </c>
      <c r="O673" t="n">
        <v>0</v>
      </c>
      <c r="P673" t="n">
        <v>0</v>
      </c>
      <c r="Q673" t="n">
        <v>0</v>
      </c>
      <c r="R673" s="2" t="inlineStr"/>
    </row>
    <row r="674" ht="15" customHeight="1">
      <c r="A674" t="inlineStr">
        <is>
          <t>A 5187-2025</t>
        </is>
      </c>
      <c r="B674" s="1" t="n">
        <v>45691.64266203704</v>
      </c>
      <c r="C674" s="1" t="n">
        <v>46037</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62814-2025</t>
        </is>
      </c>
      <c r="B675" s="1" t="n">
        <v>46008.6502662037</v>
      </c>
      <c r="C675" s="1" t="n">
        <v>46037</v>
      </c>
      <c r="D675" t="inlineStr">
        <is>
          <t>JÄMTLANDS LÄN</t>
        </is>
      </c>
      <c r="E675" t="inlineStr">
        <is>
          <t>BERG</t>
        </is>
      </c>
      <c r="G675" t="n">
        <v>7.8</v>
      </c>
      <c r="H675" t="n">
        <v>0</v>
      </c>
      <c r="I675" t="n">
        <v>0</v>
      </c>
      <c r="J675" t="n">
        <v>0</v>
      </c>
      <c r="K675" t="n">
        <v>0</v>
      </c>
      <c r="L675" t="n">
        <v>0</v>
      </c>
      <c r="M675" t="n">
        <v>0</v>
      </c>
      <c r="N675" t="n">
        <v>0</v>
      </c>
      <c r="O675" t="n">
        <v>0</v>
      </c>
      <c r="P675" t="n">
        <v>0</v>
      </c>
      <c r="Q675" t="n">
        <v>0</v>
      </c>
      <c r="R675" s="2" t="inlineStr"/>
    </row>
    <row r="676" ht="15" customHeight="1">
      <c r="A676" t="inlineStr">
        <is>
          <t>A 32178-2024</t>
        </is>
      </c>
      <c r="B676" s="1" t="n">
        <v>45511</v>
      </c>
      <c r="C676" s="1" t="n">
        <v>46037</v>
      </c>
      <c r="D676" t="inlineStr">
        <is>
          <t>JÄMTLANDS LÄN</t>
        </is>
      </c>
      <c r="E676" t="inlineStr">
        <is>
          <t>BERG</t>
        </is>
      </c>
      <c r="G676" t="n">
        <v>11.4</v>
      </c>
      <c r="H676" t="n">
        <v>0</v>
      </c>
      <c r="I676" t="n">
        <v>0</v>
      </c>
      <c r="J676" t="n">
        <v>0</v>
      </c>
      <c r="K676" t="n">
        <v>0</v>
      </c>
      <c r="L676" t="n">
        <v>0</v>
      </c>
      <c r="M676" t="n">
        <v>0</v>
      </c>
      <c r="N676" t="n">
        <v>0</v>
      </c>
      <c r="O676" t="n">
        <v>0</v>
      </c>
      <c r="P676" t="n">
        <v>0</v>
      </c>
      <c r="Q676" t="n">
        <v>0</v>
      </c>
      <c r="R676" s="2" t="inlineStr"/>
    </row>
    <row r="677" ht="15" customHeight="1">
      <c r="A677" t="inlineStr">
        <is>
          <t>A 19891-2025</t>
        </is>
      </c>
      <c r="B677" s="1" t="n">
        <v>45771.5743287037</v>
      </c>
      <c r="C677" s="1" t="n">
        <v>46037</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62826-2025</t>
        </is>
      </c>
      <c r="B678" s="1" t="n">
        <v>46008.65883101852</v>
      </c>
      <c r="C678" s="1" t="n">
        <v>46037</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55043-2025</t>
        </is>
      </c>
      <c r="B679" s="1" t="n">
        <v>45967.65983796296</v>
      </c>
      <c r="C679" s="1" t="n">
        <v>46037</v>
      </c>
      <c r="D679" t="inlineStr">
        <is>
          <t>JÄMTLANDS LÄN</t>
        </is>
      </c>
      <c r="E679" t="inlineStr">
        <is>
          <t>BERG</t>
        </is>
      </c>
      <c r="G679" t="n">
        <v>3</v>
      </c>
      <c r="H679" t="n">
        <v>0</v>
      </c>
      <c r="I679" t="n">
        <v>0</v>
      </c>
      <c r="J679" t="n">
        <v>0</v>
      </c>
      <c r="K679" t="n">
        <v>0</v>
      </c>
      <c r="L679" t="n">
        <v>0</v>
      </c>
      <c r="M679" t="n">
        <v>0</v>
      </c>
      <c r="N679" t="n">
        <v>0</v>
      </c>
      <c r="O679" t="n">
        <v>0</v>
      </c>
      <c r="P679" t="n">
        <v>0</v>
      </c>
      <c r="Q679" t="n">
        <v>0</v>
      </c>
      <c r="R679" s="2" t="inlineStr"/>
    </row>
    <row r="680" ht="15" customHeight="1">
      <c r="A680" t="inlineStr">
        <is>
          <t>A 55267-2025</t>
        </is>
      </c>
      <c r="B680" s="1" t="n">
        <v>45968.66726851852</v>
      </c>
      <c r="C680" s="1" t="n">
        <v>46037</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55223-2025</t>
        </is>
      </c>
      <c r="B681" s="1" t="n">
        <v>45968.59439814815</v>
      </c>
      <c r="C681" s="1" t="n">
        <v>46037</v>
      </c>
      <c r="D681" t="inlineStr">
        <is>
          <t>JÄMTLANDS LÄN</t>
        </is>
      </c>
      <c r="E681" t="inlineStr">
        <is>
          <t>BERG</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55239-2025</t>
        </is>
      </c>
      <c r="B682" s="1" t="n">
        <v>45968</v>
      </c>
      <c r="C682" s="1" t="n">
        <v>46037</v>
      </c>
      <c r="D682" t="inlineStr">
        <is>
          <t>JÄMTLANDS LÄN</t>
        </is>
      </c>
      <c r="E682" t="inlineStr">
        <is>
          <t>BERG</t>
        </is>
      </c>
      <c r="G682" t="n">
        <v>6.3</v>
      </c>
      <c r="H682" t="n">
        <v>0</v>
      </c>
      <c r="I682" t="n">
        <v>0</v>
      </c>
      <c r="J682" t="n">
        <v>0</v>
      </c>
      <c r="K682" t="n">
        <v>0</v>
      </c>
      <c r="L682" t="n">
        <v>0</v>
      </c>
      <c r="M682" t="n">
        <v>0</v>
      </c>
      <c r="N682" t="n">
        <v>0</v>
      </c>
      <c r="O682" t="n">
        <v>0</v>
      </c>
      <c r="P682" t="n">
        <v>0</v>
      </c>
      <c r="Q682" t="n">
        <v>0</v>
      </c>
      <c r="R682" s="2" t="inlineStr"/>
    </row>
    <row r="683" ht="15" customHeight="1">
      <c r="A683" t="inlineStr">
        <is>
          <t>A 55240-2025</t>
        </is>
      </c>
      <c r="B683" s="1" t="n">
        <v>45968</v>
      </c>
      <c r="C683" s="1" t="n">
        <v>46037</v>
      </c>
      <c r="D683" t="inlineStr">
        <is>
          <t>JÄMTLANDS LÄN</t>
        </is>
      </c>
      <c r="E683" t="inlineStr">
        <is>
          <t>BERG</t>
        </is>
      </c>
      <c r="G683" t="n">
        <v>11.2</v>
      </c>
      <c r="H683" t="n">
        <v>0</v>
      </c>
      <c r="I683" t="n">
        <v>0</v>
      </c>
      <c r="J683" t="n">
        <v>0</v>
      </c>
      <c r="K683" t="n">
        <v>0</v>
      </c>
      <c r="L683" t="n">
        <v>0</v>
      </c>
      <c r="M683" t="n">
        <v>0</v>
      </c>
      <c r="N683" t="n">
        <v>0</v>
      </c>
      <c r="O683" t="n">
        <v>0</v>
      </c>
      <c r="P683" t="n">
        <v>0</v>
      </c>
      <c r="Q683" t="n">
        <v>0</v>
      </c>
      <c r="R683" s="2" t="inlineStr"/>
    </row>
    <row r="684" ht="15" customHeight="1">
      <c r="A684" t="inlineStr">
        <is>
          <t>A 46268-2023</t>
        </is>
      </c>
      <c r="B684" s="1" t="n">
        <v>45196</v>
      </c>
      <c r="C684" s="1" t="n">
        <v>46037</v>
      </c>
      <c r="D684" t="inlineStr">
        <is>
          <t>JÄMTLANDS LÄN</t>
        </is>
      </c>
      <c r="E684" t="inlineStr">
        <is>
          <t>BERG</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55224-2025</t>
        </is>
      </c>
      <c r="B685" s="1" t="n">
        <v>45968.59447916667</v>
      </c>
      <c r="C685" s="1" t="n">
        <v>46037</v>
      </c>
      <c r="D685" t="inlineStr">
        <is>
          <t>JÄMTLANDS LÄN</t>
        </is>
      </c>
      <c r="E685" t="inlineStr">
        <is>
          <t>BERG</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55022-2025</t>
        </is>
      </c>
      <c r="B686" s="1" t="n">
        <v>45967.62862268519</v>
      </c>
      <c r="C686" s="1" t="n">
        <v>46037</v>
      </c>
      <c r="D686" t="inlineStr">
        <is>
          <t>JÄMTLANDS LÄN</t>
        </is>
      </c>
      <c r="E686" t="inlineStr">
        <is>
          <t>BERG</t>
        </is>
      </c>
      <c r="G686" t="n">
        <v>0.5</v>
      </c>
      <c r="H686" t="n">
        <v>0</v>
      </c>
      <c r="I686" t="n">
        <v>0</v>
      </c>
      <c r="J686" t="n">
        <v>0</v>
      </c>
      <c r="K686" t="n">
        <v>0</v>
      </c>
      <c r="L686" t="n">
        <v>0</v>
      </c>
      <c r="M686" t="n">
        <v>0</v>
      </c>
      <c r="N686" t="n">
        <v>0</v>
      </c>
      <c r="O686" t="n">
        <v>0</v>
      </c>
      <c r="P686" t="n">
        <v>0</v>
      </c>
      <c r="Q686" t="n">
        <v>0</v>
      </c>
      <c r="R686" s="2" t="inlineStr"/>
    </row>
    <row r="687" ht="15" customHeight="1">
      <c r="A687" t="inlineStr">
        <is>
          <t>A 63345-2025</t>
        </is>
      </c>
      <c r="B687" s="1" t="n">
        <v>46010.65959490741</v>
      </c>
      <c r="C687" s="1" t="n">
        <v>46037</v>
      </c>
      <c r="D687" t="inlineStr">
        <is>
          <t>JÄMTLANDS LÄN</t>
        </is>
      </c>
      <c r="E687" t="inlineStr">
        <is>
          <t>BERG</t>
        </is>
      </c>
      <c r="G687" t="n">
        <v>15</v>
      </c>
      <c r="H687" t="n">
        <v>0</v>
      </c>
      <c r="I687" t="n">
        <v>0</v>
      </c>
      <c r="J687" t="n">
        <v>0</v>
      </c>
      <c r="K687" t="n">
        <v>0</v>
      </c>
      <c r="L687" t="n">
        <v>0</v>
      </c>
      <c r="M687" t="n">
        <v>0</v>
      </c>
      <c r="N687" t="n">
        <v>0</v>
      </c>
      <c r="O687" t="n">
        <v>0</v>
      </c>
      <c r="P687" t="n">
        <v>0</v>
      </c>
      <c r="Q687" t="n">
        <v>0</v>
      </c>
      <c r="R687" s="2" t="inlineStr"/>
    </row>
    <row r="688" ht="15" customHeight="1">
      <c r="A688" t="inlineStr">
        <is>
          <t>A 55237-2025</t>
        </is>
      </c>
      <c r="B688" s="1" t="n">
        <v>45968</v>
      </c>
      <c r="C688" s="1" t="n">
        <v>46037</v>
      </c>
      <c r="D688" t="inlineStr">
        <is>
          <t>JÄMTLANDS LÄN</t>
        </is>
      </c>
      <c r="E688" t="inlineStr">
        <is>
          <t>BERG</t>
        </is>
      </c>
      <c r="G688" t="n">
        <v>11.9</v>
      </c>
      <c r="H688" t="n">
        <v>0</v>
      </c>
      <c r="I688" t="n">
        <v>0</v>
      </c>
      <c r="J688" t="n">
        <v>0</v>
      </c>
      <c r="K688" t="n">
        <v>0</v>
      </c>
      <c r="L688" t="n">
        <v>0</v>
      </c>
      <c r="M688" t="n">
        <v>0</v>
      </c>
      <c r="N688" t="n">
        <v>0</v>
      </c>
      <c r="O688" t="n">
        <v>0</v>
      </c>
      <c r="P688" t="n">
        <v>0</v>
      </c>
      <c r="Q688" t="n">
        <v>0</v>
      </c>
      <c r="R688" s="2" t="inlineStr"/>
    </row>
    <row r="689" ht="15" customHeight="1">
      <c r="A689" t="inlineStr">
        <is>
          <t>A 32465-2024</t>
        </is>
      </c>
      <c r="B689" s="1" t="n">
        <v>45512.96096064815</v>
      </c>
      <c r="C689" s="1" t="n">
        <v>46037</v>
      </c>
      <c r="D689" t="inlineStr">
        <is>
          <t>JÄMTLANDS LÄN</t>
        </is>
      </c>
      <c r="E689" t="inlineStr">
        <is>
          <t>BERG</t>
        </is>
      </c>
      <c r="G689" t="n">
        <v>6.7</v>
      </c>
      <c r="H689" t="n">
        <v>0</v>
      </c>
      <c r="I689" t="n">
        <v>0</v>
      </c>
      <c r="J689" t="n">
        <v>0</v>
      </c>
      <c r="K689" t="n">
        <v>0</v>
      </c>
      <c r="L689" t="n">
        <v>0</v>
      </c>
      <c r="M689" t="n">
        <v>0</v>
      </c>
      <c r="N689" t="n">
        <v>0</v>
      </c>
      <c r="O689" t="n">
        <v>0</v>
      </c>
      <c r="P689" t="n">
        <v>0</v>
      </c>
      <c r="Q689" t="n">
        <v>0</v>
      </c>
      <c r="R689" s="2" t="inlineStr"/>
    </row>
    <row r="690" ht="15" customHeight="1">
      <c r="A690" t="inlineStr">
        <is>
          <t>A 63332-2025</t>
        </is>
      </c>
      <c r="B690" s="1" t="n">
        <v>46010.64340277778</v>
      </c>
      <c r="C690" s="1" t="n">
        <v>46037</v>
      </c>
      <c r="D690" t="inlineStr">
        <is>
          <t>JÄMTLANDS LÄN</t>
        </is>
      </c>
      <c r="E690" t="inlineStr">
        <is>
          <t>BERG</t>
        </is>
      </c>
      <c r="G690" t="n">
        <v>5.4</v>
      </c>
      <c r="H690" t="n">
        <v>0</v>
      </c>
      <c r="I690" t="n">
        <v>0</v>
      </c>
      <c r="J690" t="n">
        <v>0</v>
      </c>
      <c r="K690" t="n">
        <v>0</v>
      </c>
      <c r="L690" t="n">
        <v>0</v>
      </c>
      <c r="M690" t="n">
        <v>0</v>
      </c>
      <c r="N690" t="n">
        <v>0</v>
      </c>
      <c r="O690" t="n">
        <v>0</v>
      </c>
      <c r="P690" t="n">
        <v>0</v>
      </c>
      <c r="Q690" t="n">
        <v>0</v>
      </c>
      <c r="R690" s="2" t="inlineStr"/>
    </row>
    <row r="691" ht="15" customHeight="1">
      <c r="A691" t="inlineStr">
        <is>
          <t>A 49555-2023</t>
        </is>
      </c>
      <c r="B691" s="1" t="n">
        <v>45205</v>
      </c>
      <c r="C691" s="1" t="n">
        <v>46037</v>
      </c>
      <c r="D691" t="inlineStr">
        <is>
          <t>JÄMTLANDS LÄN</t>
        </is>
      </c>
      <c r="E691" t="inlineStr">
        <is>
          <t>BERG</t>
        </is>
      </c>
      <c r="G691" t="n">
        <v>0.6</v>
      </c>
      <c r="H691" t="n">
        <v>0</v>
      </c>
      <c r="I691" t="n">
        <v>0</v>
      </c>
      <c r="J691" t="n">
        <v>0</v>
      </c>
      <c r="K691" t="n">
        <v>0</v>
      </c>
      <c r="L691" t="n">
        <v>0</v>
      </c>
      <c r="M691" t="n">
        <v>0</v>
      </c>
      <c r="N691" t="n">
        <v>0</v>
      </c>
      <c r="O691" t="n">
        <v>0</v>
      </c>
      <c r="P691" t="n">
        <v>0</v>
      </c>
      <c r="Q691" t="n">
        <v>0</v>
      </c>
      <c r="R691" s="2" t="inlineStr"/>
    </row>
    <row r="692" ht="15" customHeight="1">
      <c r="A692" t="inlineStr">
        <is>
          <t>A 63381-2025</t>
        </is>
      </c>
      <c r="B692" s="1" t="n">
        <v>46010.89377314815</v>
      </c>
      <c r="C692" s="1" t="n">
        <v>46037</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1499-2025</t>
        </is>
      </c>
      <c r="B693" s="1" t="n">
        <v>45670.41112268518</v>
      </c>
      <c r="C693" s="1" t="n">
        <v>46037</v>
      </c>
      <c r="D693" t="inlineStr">
        <is>
          <t>JÄMTLANDS LÄN</t>
        </is>
      </c>
      <c r="E693" t="inlineStr">
        <is>
          <t>BERG</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55472-2025</t>
        </is>
      </c>
      <c r="B694" s="1" t="n">
        <v>45971.54526620371</v>
      </c>
      <c r="C694" s="1" t="n">
        <v>46037</v>
      </c>
      <c r="D694" t="inlineStr">
        <is>
          <t>JÄMTLANDS LÄN</t>
        </is>
      </c>
      <c r="E694" t="inlineStr">
        <is>
          <t>BERG</t>
        </is>
      </c>
      <c r="G694" t="n">
        <v>3.2</v>
      </c>
      <c r="H694" t="n">
        <v>0</v>
      </c>
      <c r="I694" t="n">
        <v>0</v>
      </c>
      <c r="J694" t="n">
        <v>0</v>
      </c>
      <c r="K694" t="n">
        <v>0</v>
      </c>
      <c r="L694" t="n">
        <v>0</v>
      </c>
      <c r="M694" t="n">
        <v>0</v>
      </c>
      <c r="N694" t="n">
        <v>0</v>
      </c>
      <c r="O694" t="n">
        <v>0</v>
      </c>
      <c r="P694" t="n">
        <v>0</v>
      </c>
      <c r="Q694" t="n">
        <v>0</v>
      </c>
      <c r="R694" s="2" t="inlineStr"/>
    </row>
    <row r="695" ht="15" customHeight="1">
      <c r="A695" t="inlineStr">
        <is>
          <t>A 63559-2025</t>
        </is>
      </c>
      <c r="B695" s="1" t="n">
        <v>46013.61951388889</v>
      </c>
      <c r="C695" s="1" t="n">
        <v>46037</v>
      </c>
      <c r="D695" t="inlineStr">
        <is>
          <t>JÄMTLANDS LÄN</t>
        </is>
      </c>
      <c r="E695" t="inlineStr">
        <is>
          <t>BERG</t>
        </is>
      </c>
      <c r="G695" t="n">
        <v>0.6</v>
      </c>
      <c r="H695" t="n">
        <v>0</v>
      </c>
      <c r="I695" t="n">
        <v>0</v>
      </c>
      <c r="J695" t="n">
        <v>0</v>
      </c>
      <c r="K695" t="n">
        <v>0</v>
      </c>
      <c r="L695" t="n">
        <v>0</v>
      </c>
      <c r="M695" t="n">
        <v>0</v>
      </c>
      <c r="N695" t="n">
        <v>0</v>
      </c>
      <c r="O695" t="n">
        <v>0</v>
      </c>
      <c r="P695" t="n">
        <v>0</v>
      </c>
      <c r="Q695" t="n">
        <v>0</v>
      </c>
      <c r="R695" s="2" t="inlineStr"/>
    </row>
    <row r="696" ht="15" customHeight="1">
      <c r="A696" t="inlineStr">
        <is>
          <t>A 63597-2025</t>
        </is>
      </c>
      <c r="B696" s="1" t="n">
        <v>46014.28792824074</v>
      </c>
      <c r="C696" s="1" t="n">
        <v>46037</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50169-2023</t>
        </is>
      </c>
      <c r="B697" s="1" t="n">
        <v>45208</v>
      </c>
      <c r="C697" s="1" t="n">
        <v>46037</v>
      </c>
      <c r="D697" t="inlineStr">
        <is>
          <t>JÄMTLANDS LÄN</t>
        </is>
      </c>
      <c r="E697" t="inlineStr">
        <is>
          <t>BERG</t>
        </is>
      </c>
      <c r="G697" t="n">
        <v>3.9</v>
      </c>
      <c r="H697" t="n">
        <v>0</v>
      </c>
      <c r="I697" t="n">
        <v>0</v>
      </c>
      <c r="J697" t="n">
        <v>0</v>
      </c>
      <c r="K697" t="n">
        <v>0</v>
      </c>
      <c r="L697" t="n">
        <v>0</v>
      </c>
      <c r="M697" t="n">
        <v>0</v>
      </c>
      <c r="N697" t="n">
        <v>0</v>
      </c>
      <c r="O697" t="n">
        <v>0</v>
      </c>
      <c r="P697" t="n">
        <v>0</v>
      </c>
      <c r="Q697" t="n">
        <v>0</v>
      </c>
      <c r="R697" s="2" t="inlineStr"/>
    </row>
    <row r="698" ht="15" customHeight="1">
      <c r="A698" t="inlineStr">
        <is>
          <t>A 63562-2025</t>
        </is>
      </c>
      <c r="B698" s="1" t="n">
        <v>46013.62353009259</v>
      </c>
      <c r="C698" s="1" t="n">
        <v>46037</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24307-2023</t>
        </is>
      </c>
      <c r="B699" s="1" t="n">
        <v>45079.94229166667</v>
      </c>
      <c r="C699" s="1" t="n">
        <v>46037</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12392-2025</t>
        </is>
      </c>
      <c r="B700" s="1" t="n">
        <v>45730.40104166666</v>
      </c>
      <c r="C700" s="1" t="n">
        <v>46037</v>
      </c>
      <c r="D700" t="inlineStr">
        <is>
          <t>JÄMTLANDS LÄN</t>
        </is>
      </c>
      <c r="E700" t="inlineStr">
        <is>
          <t>BERG</t>
        </is>
      </c>
      <c r="G700" t="n">
        <v>5.1</v>
      </c>
      <c r="H700" t="n">
        <v>0</v>
      </c>
      <c r="I700" t="n">
        <v>0</v>
      </c>
      <c r="J700" t="n">
        <v>0</v>
      </c>
      <c r="K700" t="n">
        <v>0</v>
      </c>
      <c r="L700" t="n">
        <v>0</v>
      </c>
      <c r="M700" t="n">
        <v>0</v>
      </c>
      <c r="N700" t="n">
        <v>0</v>
      </c>
      <c r="O700" t="n">
        <v>0</v>
      </c>
      <c r="P700" t="n">
        <v>0</v>
      </c>
      <c r="Q700" t="n">
        <v>0</v>
      </c>
      <c r="R700" s="2" t="inlineStr"/>
    </row>
    <row r="701" ht="15" customHeight="1">
      <c r="A701" t="inlineStr">
        <is>
          <t>A 55497-2025</t>
        </is>
      </c>
      <c r="B701" s="1" t="n">
        <v>45971.58337962963</v>
      </c>
      <c r="C701" s="1" t="n">
        <v>46037</v>
      </c>
      <c r="D701" t="inlineStr">
        <is>
          <t>JÄMTLANDS LÄN</t>
        </is>
      </c>
      <c r="E701" t="inlineStr">
        <is>
          <t>BERG</t>
        </is>
      </c>
      <c r="G701" t="n">
        <v>15</v>
      </c>
      <c r="H701" t="n">
        <v>0</v>
      </c>
      <c r="I701" t="n">
        <v>0</v>
      </c>
      <c r="J701" t="n">
        <v>0</v>
      </c>
      <c r="K701" t="n">
        <v>0</v>
      </c>
      <c r="L701" t="n">
        <v>0</v>
      </c>
      <c r="M701" t="n">
        <v>0</v>
      </c>
      <c r="N701" t="n">
        <v>0</v>
      </c>
      <c r="O701" t="n">
        <v>0</v>
      </c>
      <c r="P701" t="n">
        <v>0</v>
      </c>
      <c r="Q701" t="n">
        <v>0</v>
      </c>
      <c r="R701" s="2" t="inlineStr"/>
    </row>
    <row r="702" ht="15" customHeight="1">
      <c r="A702" t="inlineStr">
        <is>
          <t>A 55575-2025</t>
        </is>
      </c>
      <c r="B702" s="1" t="n">
        <v>45971.66145833334</v>
      </c>
      <c r="C702" s="1" t="n">
        <v>46037</v>
      </c>
      <c r="D702" t="inlineStr">
        <is>
          <t>JÄMTLANDS LÄN</t>
        </is>
      </c>
      <c r="E702" t="inlineStr">
        <is>
          <t>BERG</t>
        </is>
      </c>
      <c r="G702" t="n">
        <v>3.5</v>
      </c>
      <c r="H702" t="n">
        <v>0</v>
      </c>
      <c r="I702" t="n">
        <v>0</v>
      </c>
      <c r="J702" t="n">
        <v>0</v>
      </c>
      <c r="K702" t="n">
        <v>0</v>
      </c>
      <c r="L702" t="n">
        <v>0</v>
      </c>
      <c r="M702" t="n">
        <v>0</v>
      </c>
      <c r="N702" t="n">
        <v>0</v>
      </c>
      <c r="O702" t="n">
        <v>0</v>
      </c>
      <c r="P702" t="n">
        <v>0</v>
      </c>
      <c r="Q702" t="n">
        <v>0</v>
      </c>
      <c r="R702" s="2" t="inlineStr"/>
    </row>
    <row r="703" ht="15" customHeight="1">
      <c r="A703" t="inlineStr">
        <is>
          <t>A 55553-2025</t>
        </is>
      </c>
      <c r="B703" s="1" t="n">
        <v>45971.64445601852</v>
      </c>
      <c r="C703" s="1" t="n">
        <v>46037</v>
      </c>
      <c r="D703" t="inlineStr">
        <is>
          <t>JÄMTLANDS LÄN</t>
        </is>
      </c>
      <c r="E703" t="inlineStr">
        <is>
          <t>BERG</t>
        </is>
      </c>
      <c r="G703" t="n">
        <v>2.9</v>
      </c>
      <c r="H703" t="n">
        <v>0</v>
      </c>
      <c r="I703" t="n">
        <v>0</v>
      </c>
      <c r="J703" t="n">
        <v>0</v>
      </c>
      <c r="K703" t="n">
        <v>0</v>
      </c>
      <c r="L703" t="n">
        <v>0</v>
      </c>
      <c r="M703" t="n">
        <v>0</v>
      </c>
      <c r="N703" t="n">
        <v>0</v>
      </c>
      <c r="O703" t="n">
        <v>0</v>
      </c>
      <c r="P703" t="n">
        <v>0</v>
      </c>
      <c r="Q703" t="n">
        <v>0</v>
      </c>
      <c r="R703" s="2" t="inlineStr"/>
    </row>
    <row r="704" ht="15" customHeight="1">
      <c r="A704" t="inlineStr">
        <is>
          <t>A 37093-2024</t>
        </is>
      </c>
      <c r="B704" s="1" t="n">
        <v>45539.50018518518</v>
      </c>
      <c r="C704" s="1" t="n">
        <v>46037</v>
      </c>
      <c r="D704" t="inlineStr">
        <is>
          <t>JÄMTLANDS LÄN</t>
        </is>
      </c>
      <c r="E704" t="inlineStr">
        <is>
          <t>BERG</t>
        </is>
      </c>
      <c r="F704" t="inlineStr">
        <is>
          <t>Övriga Aktiebolag</t>
        </is>
      </c>
      <c r="G704" t="n">
        <v>15.4</v>
      </c>
      <c r="H704" t="n">
        <v>0</v>
      </c>
      <c r="I704" t="n">
        <v>0</v>
      </c>
      <c r="J704" t="n">
        <v>0</v>
      </c>
      <c r="K704" t="n">
        <v>0</v>
      </c>
      <c r="L704" t="n">
        <v>0</v>
      </c>
      <c r="M704" t="n">
        <v>0</v>
      </c>
      <c r="N704" t="n">
        <v>0</v>
      </c>
      <c r="O704" t="n">
        <v>0</v>
      </c>
      <c r="P704" t="n">
        <v>0</v>
      </c>
      <c r="Q704" t="n">
        <v>0</v>
      </c>
      <c r="R704" s="2" t="inlineStr"/>
    </row>
    <row r="705" ht="15" customHeight="1">
      <c r="A705" t="inlineStr">
        <is>
          <t>A 55770-2025</t>
        </is>
      </c>
      <c r="B705" s="1" t="n">
        <v>45972</v>
      </c>
      <c r="C705" s="1" t="n">
        <v>46037</v>
      </c>
      <c r="D705" t="inlineStr">
        <is>
          <t>JÄMTLANDS LÄN</t>
        </is>
      </c>
      <c r="E705" t="inlineStr">
        <is>
          <t>BERG</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56199-2025</t>
        </is>
      </c>
      <c r="B706" s="1" t="n">
        <v>45974.45790509259</v>
      </c>
      <c r="C706" s="1" t="n">
        <v>46037</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56234-2025</t>
        </is>
      </c>
      <c r="B707" s="1" t="n">
        <v>45974.53696759259</v>
      </c>
      <c r="C707" s="1" t="n">
        <v>46037</v>
      </c>
      <c r="D707" t="inlineStr">
        <is>
          <t>JÄMTLANDS LÄN</t>
        </is>
      </c>
      <c r="E707" t="inlineStr">
        <is>
          <t>BERG</t>
        </is>
      </c>
      <c r="G707" t="n">
        <v>11.7</v>
      </c>
      <c r="H707" t="n">
        <v>0</v>
      </c>
      <c r="I707" t="n">
        <v>0</v>
      </c>
      <c r="J707" t="n">
        <v>0</v>
      </c>
      <c r="K707" t="n">
        <v>0</v>
      </c>
      <c r="L707" t="n">
        <v>0</v>
      </c>
      <c r="M707" t="n">
        <v>0</v>
      </c>
      <c r="N707" t="n">
        <v>0</v>
      </c>
      <c r="O707" t="n">
        <v>0</v>
      </c>
      <c r="P707" t="n">
        <v>0</v>
      </c>
      <c r="Q707" t="n">
        <v>0</v>
      </c>
      <c r="R707" s="2" t="inlineStr"/>
    </row>
    <row r="708" ht="15" customHeight="1">
      <c r="A708" t="inlineStr">
        <is>
          <t>A 27579-2024</t>
        </is>
      </c>
      <c r="B708" s="1" t="n">
        <v>45474.65244212963</v>
      </c>
      <c r="C708" s="1" t="n">
        <v>46037</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17748-2024</t>
        </is>
      </c>
      <c r="B709" s="1" t="n">
        <v>45418</v>
      </c>
      <c r="C709" s="1" t="n">
        <v>46037</v>
      </c>
      <c r="D709" t="inlineStr">
        <is>
          <t>JÄMTLANDS LÄN</t>
        </is>
      </c>
      <c r="E709" t="inlineStr">
        <is>
          <t>BERG</t>
        </is>
      </c>
      <c r="G709" t="n">
        <v>0.9</v>
      </c>
      <c r="H709" t="n">
        <v>0</v>
      </c>
      <c r="I709" t="n">
        <v>0</v>
      </c>
      <c r="J709" t="n">
        <v>0</v>
      </c>
      <c r="K709" t="n">
        <v>0</v>
      </c>
      <c r="L709" t="n">
        <v>0</v>
      </c>
      <c r="M709" t="n">
        <v>0</v>
      </c>
      <c r="N709" t="n">
        <v>0</v>
      </c>
      <c r="O709" t="n">
        <v>0</v>
      </c>
      <c r="P709" t="n">
        <v>0</v>
      </c>
      <c r="Q709" t="n">
        <v>0</v>
      </c>
      <c r="R709" s="2" t="inlineStr"/>
    </row>
    <row r="710" ht="15" customHeight="1">
      <c r="A710" t="inlineStr">
        <is>
          <t>A 47626-2023</t>
        </is>
      </c>
      <c r="B710" s="1" t="n">
        <v>45203</v>
      </c>
      <c r="C710" s="1" t="n">
        <v>46037</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19258-2025</t>
        </is>
      </c>
      <c r="B711" s="1" t="n">
        <v>45769.49987268518</v>
      </c>
      <c r="C711" s="1" t="n">
        <v>46037</v>
      </c>
      <c r="D711" t="inlineStr">
        <is>
          <t>JÄMTLANDS LÄN</t>
        </is>
      </c>
      <c r="E711" t="inlineStr">
        <is>
          <t>BERG</t>
        </is>
      </c>
      <c r="G711" t="n">
        <v>10.9</v>
      </c>
      <c r="H711" t="n">
        <v>0</v>
      </c>
      <c r="I711" t="n">
        <v>0</v>
      </c>
      <c r="J711" t="n">
        <v>0</v>
      </c>
      <c r="K711" t="n">
        <v>0</v>
      </c>
      <c r="L711" t="n">
        <v>0</v>
      </c>
      <c r="M711" t="n">
        <v>0</v>
      </c>
      <c r="N711" t="n">
        <v>0</v>
      </c>
      <c r="O711" t="n">
        <v>0</v>
      </c>
      <c r="P711" t="n">
        <v>0</v>
      </c>
      <c r="Q711" t="n">
        <v>0</v>
      </c>
      <c r="R711" s="2" t="inlineStr"/>
    </row>
    <row r="712" ht="15" customHeight="1">
      <c r="A712" t="inlineStr">
        <is>
          <t>A 56457-2025</t>
        </is>
      </c>
      <c r="B712" s="1" t="n">
        <v>45975.36277777778</v>
      </c>
      <c r="C712" s="1" t="n">
        <v>46037</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9252-2025</t>
        </is>
      </c>
      <c r="B713" s="1" t="n">
        <v>45714.59415509259</v>
      </c>
      <c r="C713" s="1" t="n">
        <v>46037</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10974-2025</t>
        </is>
      </c>
      <c r="B714" s="1" t="n">
        <v>45723.38790509259</v>
      </c>
      <c r="C714" s="1" t="n">
        <v>46037</v>
      </c>
      <c r="D714" t="inlineStr">
        <is>
          <t>JÄMTLANDS LÄN</t>
        </is>
      </c>
      <c r="E714" t="inlineStr">
        <is>
          <t>BERG</t>
        </is>
      </c>
      <c r="G714" t="n">
        <v>6.9</v>
      </c>
      <c r="H714" t="n">
        <v>0</v>
      </c>
      <c r="I714" t="n">
        <v>0</v>
      </c>
      <c r="J714" t="n">
        <v>0</v>
      </c>
      <c r="K714" t="n">
        <v>0</v>
      </c>
      <c r="L714" t="n">
        <v>0</v>
      </c>
      <c r="M714" t="n">
        <v>0</v>
      </c>
      <c r="N714" t="n">
        <v>0</v>
      </c>
      <c r="O714" t="n">
        <v>0</v>
      </c>
      <c r="P714" t="n">
        <v>0</v>
      </c>
      <c r="Q714" t="n">
        <v>0</v>
      </c>
      <c r="R714" s="2" t="inlineStr"/>
    </row>
    <row r="715" ht="15" customHeight="1">
      <c r="A715" t="inlineStr">
        <is>
          <t>A 57271-2025</t>
        </is>
      </c>
      <c r="B715" s="1" t="n">
        <v>45979.67789351852</v>
      </c>
      <c r="C715" s="1" t="n">
        <v>46037</v>
      </c>
      <c r="D715" t="inlineStr">
        <is>
          <t>JÄMTLANDS LÄN</t>
        </is>
      </c>
      <c r="E715" t="inlineStr">
        <is>
          <t>BERG</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57192-2025</t>
        </is>
      </c>
      <c r="B716" s="1" t="n">
        <v>45979.57696759259</v>
      </c>
      <c r="C716" s="1" t="n">
        <v>46037</v>
      </c>
      <c r="D716" t="inlineStr">
        <is>
          <t>JÄMTLANDS LÄN</t>
        </is>
      </c>
      <c r="E716" t="inlineStr">
        <is>
          <t>BERG</t>
        </is>
      </c>
      <c r="G716" t="n">
        <v>0.8</v>
      </c>
      <c r="H716" t="n">
        <v>0</v>
      </c>
      <c r="I716" t="n">
        <v>0</v>
      </c>
      <c r="J716" t="n">
        <v>0</v>
      </c>
      <c r="K716" t="n">
        <v>0</v>
      </c>
      <c r="L716" t="n">
        <v>0</v>
      </c>
      <c r="M716" t="n">
        <v>0</v>
      </c>
      <c r="N716" t="n">
        <v>0</v>
      </c>
      <c r="O716" t="n">
        <v>0</v>
      </c>
      <c r="P716" t="n">
        <v>0</v>
      </c>
      <c r="Q716" t="n">
        <v>0</v>
      </c>
      <c r="R716" s="2" t="inlineStr"/>
    </row>
    <row r="717" ht="15" customHeight="1">
      <c r="A717" t="inlineStr">
        <is>
          <t>A 57503-2025</t>
        </is>
      </c>
      <c r="B717" s="1" t="n">
        <v>45980.59431712963</v>
      </c>
      <c r="C717" s="1" t="n">
        <v>46037</v>
      </c>
      <c r="D717" t="inlineStr">
        <is>
          <t>JÄMTLANDS LÄN</t>
        </is>
      </c>
      <c r="E717" t="inlineStr">
        <is>
          <t>BERG</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57046-2025</t>
        </is>
      </c>
      <c r="B718" s="1" t="n">
        <v>45979.34672453703</v>
      </c>
      <c r="C718" s="1" t="n">
        <v>46037</v>
      </c>
      <c r="D718" t="inlineStr">
        <is>
          <t>JÄMTLANDS LÄN</t>
        </is>
      </c>
      <c r="E718" t="inlineStr">
        <is>
          <t>BERG</t>
        </is>
      </c>
      <c r="F718" t="inlineStr">
        <is>
          <t>SCA</t>
        </is>
      </c>
      <c r="G718" t="n">
        <v>10.8</v>
      </c>
      <c r="H718" t="n">
        <v>0</v>
      </c>
      <c r="I718" t="n">
        <v>0</v>
      </c>
      <c r="J718" t="n">
        <v>0</v>
      </c>
      <c r="K718" t="n">
        <v>0</v>
      </c>
      <c r="L718" t="n">
        <v>0</v>
      </c>
      <c r="M718" t="n">
        <v>0</v>
      </c>
      <c r="N718" t="n">
        <v>0</v>
      </c>
      <c r="O718" t="n">
        <v>0</v>
      </c>
      <c r="P718" t="n">
        <v>0</v>
      </c>
      <c r="Q718" t="n">
        <v>0</v>
      </c>
      <c r="R718" s="2" t="inlineStr"/>
    </row>
    <row r="719" ht="15" customHeight="1">
      <c r="A719" t="inlineStr">
        <is>
          <t>A 41069-2022</t>
        </is>
      </c>
      <c r="B719" s="1" t="n">
        <v>44825.60015046296</v>
      </c>
      <c r="C719" s="1" t="n">
        <v>46037</v>
      </c>
      <c r="D719" t="inlineStr">
        <is>
          <t>JÄMTLANDS LÄN</t>
        </is>
      </c>
      <c r="E719" t="inlineStr">
        <is>
          <t>BERG</t>
        </is>
      </c>
      <c r="G719" t="n">
        <v>1.5</v>
      </c>
      <c r="H719" t="n">
        <v>0</v>
      </c>
      <c r="I719" t="n">
        <v>0</v>
      </c>
      <c r="J719" t="n">
        <v>0</v>
      </c>
      <c r="K719" t="n">
        <v>0</v>
      </c>
      <c r="L719" t="n">
        <v>0</v>
      </c>
      <c r="M719" t="n">
        <v>0</v>
      </c>
      <c r="N719" t="n">
        <v>0</v>
      </c>
      <c r="O719" t="n">
        <v>0</v>
      </c>
      <c r="P719" t="n">
        <v>0</v>
      </c>
      <c r="Q719" t="n">
        <v>0</v>
      </c>
      <c r="R719" s="2" t="inlineStr"/>
    </row>
    <row r="720" ht="15" customHeight="1">
      <c r="A720" t="inlineStr">
        <is>
          <t>A 57039-2025</t>
        </is>
      </c>
      <c r="B720" s="1" t="n">
        <v>45979.34543981482</v>
      </c>
      <c r="C720" s="1" t="n">
        <v>46037</v>
      </c>
      <c r="D720" t="inlineStr">
        <is>
          <t>JÄMTLANDS LÄN</t>
        </is>
      </c>
      <c r="E720" t="inlineStr">
        <is>
          <t>BERG</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57602-2025</t>
        </is>
      </c>
      <c r="B721" s="1" t="n">
        <v>45981.31667824074</v>
      </c>
      <c r="C721" s="1" t="n">
        <v>46037</v>
      </c>
      <c r="D721" t="inlineStr">
        <is>
          <t>JÄMTLANDS LÄN</t>
        </is>
      </c>
      <c r="E721" t="inlineStr">
        <is>
          <t>BERG</t>
        </is>
      </c>
      <c r="G721" t="n">
        <v>2.7</v>
      </c>
      <c r="H721" t="n">
        <v>0</v>
      </c>
      <c r="I721" t="n">
        <v>0</v>
      </c>
      <c r="J721" t="n">
        <v>0</v>
      </c>
      <c r="K721" t="n">
        <v>0</v>
      </c>
      <c r="L721" t="n">
        <v>0</v>
      </c>
      <c r="M721" t="n">
        <v>0</v>
      </c>
      <c r="N721" t="n">
        <v>0</v>
      </c>
      <c r="O721" t="n">
        <v>0</v>
      </c>
      <c r="P721" t="n">
        <v>0</v>
      </c>
      <c r="Q721" t="n">
        <v>0</v>
      </c>
      <c r="R721" s="2" t="inlineStr"/>
    </row>
    <row r="722" ht="15" customHeight="1">
      <c r="A722" t="inlineStr">
        <is>
          <t>A 57849-2025</t>
        </is>
      </c>
      <c r="B722" s="1" t="n">
        <v>45981.63472222222</v>
      </c>
      <c r="C722" s="1" t="n">
        <v>46037</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57763-2025</t>
        </is>
      </c>
      <c r="B723" s="1" t="n">
        <v>45981.55693287037</v>
      </c>
      <c r="C723" s="1" t="n">
        <v>46037</v>
      </c>
      <c r="D723" t="inlineStr">
        <is>
          <t>JÄMTLANDS LÄN</t>
        </is>
      </c>
      <c r="E723" t="inlineStr">
        <is>
          <t>BERG</t>
        </is>
      </c>
      <c r="F723" t="inlineStr">
        <is>
          <t>Övriga Aktiebolag</t>
        </is>
      </c>
      <c r="G723" t="n">
        <v>13.1</v>
      </c>
      <c r="H723" t="n">
        <v>0</v>
      </c>
      <c r="I723" t="n">
        <v>0</v>
      </c>
      <c r="J723" t="n">
        <v>0</v>
      </c>
      <c r="K723" t="n">
        <v>0</v>
      </c>
      <c r="L723" t="n">
        <v>0</v>
      </c>
      <c r="M723" t="n">
        <v>0</v>
      </c>
      <c r="N723" t="n">
        <v>0</v>
      </c>
      <c r="O723" t="n">
        <v>0</v>
      </c>
      <c r="P723" t="n">
        <v>0</v>
      </c>
      <c r="Q723" t="n">
        <v>0</v>
      </c>
      <c r="R723" s="2" t="inlineStr"/>
    </row>
    <row r="724" ht="15" customHeight="1">
      <c r="A724" t="inlineStr">
        <is>
          <t>A 57861-2025</t>
        </is>
      </c>
      <c r="B724" s="1" t="n">
        <v>45981.64236111111</v>
      </c>
      <c r="C724" s="1" t="n">
        <v>46037</v>
      </c>
      <c r="D724" t="inlineStr">
        <is>
          <t>JÄMTLANDS LÄN</t>
        </is>
      </c>
      <c r="E724" t="inlineStr">
        <is>
          <t>BERG</t>
        </is>
      </c>
      <c r="G724" t="n">
        <v>1.3</v>
      </c>
      <c r="H724" t="n">
        <v>0</v>
      </c>
      <c r="I724" t="n">
        <v>0</v>
      </c>
      <c r="J724" t="n">
        <v>0</v>
      </c>
      <c r="K724" t="n">
        <v>0</v>
      </c>
      <c r="L724" t="n">
        <v>0</v>
      </c>
      <c r="M724" t="n">
        <v>0</v>
      </c>
      <c r="N724" t="n">
        <v>0</v>
      </c>
      <c r="O724" t="n">
        <v>0</v>
      </c>
      <c r="P724" t="n">
        <v>0</v>
      </c>
      <c r="Q724" t="n">
        <v>0</v>
      </c>
      <c r="R724" s="2" t="inlineStr"/>
    </row>
    <row r="725" ht="15" customHeight="1">
      <c r="A725" t="inlineStr">
        <is>
          <t>A 58438-2025</t>
        </is>
      </c>
      <c r="B725" s="1" t="n">
        <v>45985.61513888889</v>
      </c>
      <c r="C725" s="1" t="n">
        <v>46037</v>
      </c>
      <c r="D725" t="inlineStr">
        <is>
          <t>JÄMTLANDS LÄN</t>
        </is>
      </c>
      <c r="E725" t="inlineStr">
        <is>
          <t>BERG</t>
        </is>
      </c>
      <c r="G725" t="n">
        <v>5.1</v>
      </c>
      <c r="H725" t="n">
        <v>0</v>
      </c>
      <c r="I725" t="n">
        <v>0</v>
      </c>
      <c r="J725" t="n">
        <v>0</v>
      </c>
      <c r="K725" t="n">
        <v>0</v>
      </c>
      <c r="L725" t="n">
        <v>0</v>
      </c>
      <c r="M725" t="n">
        <v>0</v>
      </c>
      <c r="N725" t="n">
        <v>0</v>
      </c>
      <c r="O725" t="n">
        <v>0</v>
      </c>
      <c r="P725" t="n">
        <v>0</v>
      </c>
      <c r="Q725" t="n">
        <v>0</v>
      </c>
      <c r="R725" s="2" t="inlineStr"/>
    </row>
    <row r="726" ht="15" customHeight="1">
      <c r="A726" t="inlineStr">
        <is>
          <t>A 51951-2021</t>
        </is>
      </c>
      <c r="B726" s="1" t="n">
        <v>44462</v>
      </c>
      <c r="C726" s="1" t="n">
        <v>46037</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58413-2025</t>
        </is>
      </c>
      <c r="B727" s="1" t="n">
        <v>45985.57662037037</v>
      </c>
      <c r="C727" s="1" t="n">
        <v>46037</v>
      </c>
      <c r="D727" t="inlineStr">
        <is>
          <t>JÄMTLANDS LÄN</t>
        </is>
      </c>
      <c r="E727" t="inlineStr">
        <is>
          <t>BERG</t>
        </is>
      </c>
      <c r="G727" t="n">
        <v>4.2</v>
      </c>
      <c r="H727" t="n">
        <v>0</v>
      </c>
      <c r="I727" t="n">
        <v>0</v>
      </c>
      <c r="J727" t="n">
        <v>0</v>
      </c>
      <c r="K727" t="n">
        <v>0</v>
      </c>
      <c r="L727" t="n">
        <v>0</v>
      </c>
      <c r="M727" t="n">
        <v>0</v>
      </c>
      <c r="N727" t="n">
        <v>0</v>
      </c>
      <c r="O727" t="n">
        <v>0</v>
      </c>
      <c r="P727" t="n">
        <v>0</v>
      </c>
      <c r="Q727" t="n">
        <v>0</v>
      </c>
      <c r="R727" s="2" t="inlineStr"/>
    </row>
    <row r="728" ht="15" customHeight="1">
      <c r="A728" t="inlineStr">
        <is>
          <t>A 58581-2025</t>
        </is>
      </c>
      <c r="B728" s="1" t="n">
        <v>45986.38626157407</v>
      </c>
      <c r="C728" s="1" t="n">
        <v>46037</v>
      </c>
      <c r="D728" t="inlineStr">
        <is>
          <t>JÄMTLANDS LÄN</t>
        </is>
      </c>
      <c r="E728" t="inlineStr">
        <is>
          <t>BERG</t>
        </is>
      </c>
      <c r="G728" t="n">
        <v>6.9</v>
      </c>
      <c r="H728" t="n">
        <v>0</v>
      </c>
      <c r="I728" t="n">
        <v>0</v>
      </c>
      <c r="J728" t="n">
        <v>0</v>
      </c>
      <c r="K728" t="n">
        <v>0</v>
      </c>
      <c r="L728" t="n">
        <v>0</v>
      </c>
      <c r="M728" t="n">
        <v>0</v>
      </c>
      <c r="N728" t="n">
        <v>0</v>
      </c>
      <c r="O728" t="n">
        <v>0</v>
      </c>
      <c r="P728" t="n">
        <v>0</v>
      </c>
      <c r="Q728" t="n">
        <v>0</v>
      </c>
      <c r="R728" s="2" t="inlineStr"/>
    </row>
    <row r="729" ht="15" customHeight="1">
      <c r="A729" t="inlineStr">
        <is>
          <t>A 18261-2022</t>
        </is>
      </c>
      <c r="B729" s="1" t="n">
        <v>44685.45633101852</v>
      </c>
      <c r="C729" s="1" t="n">
        <v>46037</v>
      </c>
      <c r="D729" t="inlineStr">
        <is>
          <t>JÄMTLANDS LÄN</t>
        </is>
      </c>
      <c r="E729" t="inlineStr">
        <is>
          <t>BERG</t>
        </is>
      </c>
      <c r="G729" t="n">
        <v>3</v>
      </c>
      <c r="H729" t="n">
        <v>0</v>
      </c>
      <c r="I729" t="n">
        <v>0</v>
      </c>
      <c r="J729" t="n">
        <v>0</v>
      </c>
      <c r="K729" t="n">
        <v>0</v>
      </c>
      <c r="L729" t="n">
        <v>0</v>
      </c>
      <c r="M729" t="n">
        <v>0</v>
      </c>
      <c r="N729" t="n">
        <v>0</v>
      </c>
      <c r="O729" t="n">
        <v>0</v>
      </c>
      <c r="P729" t="n">
        <v>0</v>
      </c>
      <c r="Q729" t="n">
        <v>0</v>
      </c>
      <c r="R729" s="2" t="inlineStr"/>
    </row>
    <row r="730" ht="15" customHeight="1">
      <c r="A730" t="inlineStr">
        <is>
          <t>A 16022-2025</t>
        </is>
      </c>
      <c r="B730" s="1" t="n">
        <v>45749.60973379629</v>
      </c>
      <c r="C730" s="1" t="n">
        <v>46037</v>
      </c>
      <c r="D730" t="inlineStr">
        <is>
          <t>JÄMTLANDS LÄN</t>
        </is>
      </c>
      <c r="E730" t="inlineStr">
        <is>
          <t>BERG</t>
        </is>
      </c>
      <c r="G730" t="n">
        <v>2</v>
      </c>
      <c r="H730" t="n">
        <v>0</v>
      </c>
      <c r="I730" t="n">
        <v>0</v>
      </c>
      <c r="J730" t="n">
        <v>0</v>
      </c>
      <c r="K730" t="n">
        <v>0</v>
      </c>
      <c r="L730" t="n">
        <v>0</v>
      </c>
      <c r="M730" t="n">
        <v>0</v>
      </c>
      <c r="N730" t="n">
        <v>0</v>
      </c>
      <c r="O730" t="n">
        <v>0</v>
      </c>
      <c r="P730" t="n">
        <v>0</v>
      </c>
      <c r="Q730" t="n">
        <v>0</v>
      </c>
      <c r="R730" s="2" t="inlineStr"/>
    </row>
    <row r="731" ht="15" customHeight="1">
      <c r="A731" t="inlineStr">
        <is>
          <t>A 58436-2025</t>
        </is>
      </c>
      <c r="B731" s="1" t="n">
        <v>45985.61510416667</v>
      </c>
      <c r="C731" s="1" t="n">
        <v>46037</v>
      </c>
      <c r="D731" t="inlineStr">
        <is>
          <t>JÄMTLANDS LÄN</t>
        </is>
      </c>
      <c r="E731" t="inlineStr">
        <is>
          <t>BERG</t>
        </is>
      </c>
      <c r="G731" t="n">
        <v>1.7</v>
      </c>
      <c r="H731" t="n">
        <v>0</v>
      </c>
      <c r="I731" t="n">
        <v>0</v>
      </c>
      <c r="J731" t="n">
        <v>0</v>
      </c>
      <c r="K731" t="n">
        <v>0</v>
      </c>
      <c r="L731" t="n">
        <v>0</v>
      </c>
      <c r="M731" t="n">
        <v>0</v>
      </c>
      <c r="N731" t="n">
        <v>0</v>
      </c>
      <c r="O731" t="n">
        <v>0</v>
      </c>
      <c r="P731" t="n">
        <v>0</v>
      </c>
      <c r="Q731" t="n">
        <v>0</v>
      </c>
      <c r="R731" s="2" t="inlineStr"/>
    </row>
    <row r="732" ht="15" customHeight="1">
      <c r="A732" t="inlineStr">
        <is>
          <t>A 58437-2025</t>
        </is>
      </c>
      <c r="B732" s="1" t="n">
        <v>45985.61512731481</v>
      </c>
      <c r="C732" s="1" t="n">
        <v>46037</v>
      </c>
      <c r="D732" t="inlineStr">
        <is>
          <t>JÄMTLANDS LÄN</t>
        </is>
      </c>
      <c r="E732" t="inlineStr">
        <is>
          <t>BERG</t>
        </is>
      </c>
      <c r="G732" t="n">
        <v>1.6</v>
      </c>
      <c r="H732" t="n">
        <v>0</v>
      </c>
      <c r="I732" t="n">
        <v>0</v>
      </c>
      <c r="J732" t="n">
        <v>0</v>
      </c>
      <c r="K732" t="n">
        <v>0</v>
      </c>
      <c r="L732" t="n">
        <v>0</v>
      </c>
      <c r="M732" t="n">
        <v>0</v>
      </c>
      <c r="N732" t="n">
        <v>0</v>
      </c>
      <c r="O732" t="n">
        <v>0</v>
      </c>
      <c r="P732" t="n">
        <v>0</v>
      </c>
      <c r="Q732" t="n">
        <v>0</v>
      </c>
      <c r="R732" s="2" t="inlineStr"/>
    </row>
    <row r="733" ht="15" customHeight="1">
      <c r="A733" t="inlineStr">
        <is>
          <t>A 61837-2023</t>
        </is>
      </c>
      <c r="B733" s="1" t="n">
        <v>45264</v>
      </c>
      <c r="C733" s="1" t="n">
        <v>46037</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58708-2025</t>
        </is>
      </c>
      <c r="B734" s="1" t="n">
        <v>45986.60412037037</v>
      </c>
      <c r="C734" s="1" t="n">
        <v>46037</v>
      </c>
      <c r="D734" t="inlineStr">
        <is>
          <t>JÄMTLANDS LÄN</t>
        </is>
      </c>
      <c r="E734" t="inlineStr">
        <is>
          <t>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58470-2025</t>
        </is>
      </c>
      <c r="B735" s="1" t="n">
        <v>45985.63704861111</v>
      </c>
      <c r="C735" s="1" t="n">
        <v>46037</v>
      </c>
      <c r="D735" t="inlineStr">
        <is>
          <t>JÄMTLANDS LÄN</t>
        </is>
      </c>
      <c r="E735" t="inlineStr">
        <is>
          <t>BERG</t>
        </is>
      </c>
      <c r="G735" t="n">
        <v>3.6</v>
      </c>
      <c r="H735" t="n">
        <v>0</v>
      </c>
      <c r="I735" t="n">
        <v>0</v>
      </c>
      <c r="J735" t="n">
        <v>0</v>
      </c>
      <c r="K735" t="n">
        <v>0</v>
      </c>
      <c r="L735" t="n">
        <v>0</v>
      </c>
      <c r="M735" t="n">
        <v>0</v>
      </c>
      <c r="N735" t="n">
        <v>0</v>
      </c>
      <c r="O735" t="n">
        <v>0</v>
      </c>
      <c r="P735" t="n">
        <v>0</v>
      </c>
      <c r="Q735" t="n">
        <v>0</v>
      </c>
      <c r="R735" s="2" t="inlineStr"/>
    </row>
    <row r="736" ht="15" customHeight="1">
      <c r="A736" t="inlineStr">
        <is>
          <t>A 58237-2025</t>
        </is>
      </c>
      <c r="B736" s="1" t="n">
        <v>45985.38751157407</v>
      </c>
      <c r="C736" s="1" t="n">
        <v>46037</v>
      </c>
      <c r="D736" t="inlineStr">
        <is>
          <t>JÄMTLANDS LÄN</t>
        </is>
      </c>
      <c r="E736" t="inlineStr">
        <is>
          <t>BERG</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14431-2025</t>
        </is>
      </c>
      <c r="B737" s="1" t="n">
        <v>45741</v>
      </c>
      <c r="C737" s="1" t="n">
        <v>46037</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679-2026</t>
        </is>
      </c>
      <c r="B738" s="1" t="n">
        <v>46029.60032407408</v>
      </c>
      <c r="C738" s="1" t="n">
        <v>46037</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20899-2023</t>
        </is>
      </c>
      <c r="B739" s="1" t="n">
        <v>45060</v>
      </c>
      <c r="C739" s="1" t="n">
        <v>46037</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59010-2025</t>
        </is>
      </c>
      <c r="B740" s="1" t="n">
        <v>45987</v>
      </c>
      <c r="C740" s="1" t="n">
        <v>46037</v>
      </c>
      <c r="D740" t="inlineStr">
        <is>
          <t>JÄMTLANDS LÄN</t>
        </is>
      </c>
      <c r="E740" t="inlineStr">
        <is>
          <t>BERG</t>
        </is>
      </c>
      <c r="G740" t="n">
        <v>0.7</v>
      </c>
      <c r="H740" t="n">
        <v>0</v>
      </c>
      <c r="I740" t="n">
        <v>0</v>
      </c>
      <c r="J740" t="n">
        <v>0</v>
      </c>
      <c r="K740" t="n">
        <v>0</v>
      </c>
      <c r="L740" t="n">
        <v>0</v>
      </c>
      <c r="M740" t="n">
        <v>0</v>
      </c>
      <c r="N740" t="n">
        <v>0</v>
      </c>
      <c r="O740" t="n">
        <v>0</v>
      </c>
      <c r="P740" t="n">
        <v>0</v>
      </c>
      <c r="Q740" t="n">
        <v>0</v>
      </c>
      <c r="R740" s="2" t="inlineStr"/>
    </row>
    <row r="741" ht="15" customHeight="1">
      <c r="A741" t="inlineStr">
        <is>
          <t>A 58861-2025</t>
        </is>
      </c>
      <c r="B741" s="1" t="n">
        <v>45987.42820601852</v>
      </c>
      <c r="C741" s="1" t="n">
        <v>46037</v>
      </c>
      <c r="D741" t="inlineStr">
        <is>
          <t>JÄMTLANDS LÄN</t>
        </is>
      </c>
      <c r="E741" t="inlineStr">
        <is>
          <t>BERG</t>
        </is>
      </c>
      <c r="G741" t="n">
        <v>29.3</v>
      </c>
      <c r="H741" t="n">
        <v>0</v>
      </c>
      <c r="I741" t="n">
        <v>0</v>
      </c>
      <c r="J741" t="n">
        <v>0</v>
      </c>
      <c r="K741" t="n">
        <v>0</v>
      </c>
      <c r="L741" t="n">
        <v>0</v>
      </c>
      <c r="M741" t="n">
        <v>0</v>
      </c>
      <c r="N741" t="n">
        <v>0</v>
      </c>
      <c r="O741" t="n">
        <v>0</v>
      </c>
      <c r="P741" t="n">
        <v>0</v>
      </c>
      <c r="Q741" t="n">
        <v>0</v>
      </c>
      <c r="R741" s="2" t="inlineStr"/>
    </row>
    <row r="742" ht="15" customHeight="1">
      <c r="A742" t="inlineStr">
        <is>
          <t>A 59267-2025</t>
        </is>
      </c>
      <c r="B742" s="1" t="n">
        <v>45988.66127314815</v>
      </c>
      <c r="C742" s="1" t="n">
        <v>46037</v>
      </c>
      <c r="D742" t="inlineStr">
        <is>
          <t>JÄMTLANDS LÄN</t>
        </is>
      </c>
      <c r="E742" t="inlineStr">
        <is>
          <t>BERG</t>
        </is>
      </c>
      <c r="G742" t="n">
        <v>0.8</v>
      </c>
      <c r="H742" t="n">
        <v>0</v>
      </c>
      <c r="I742" t="n">
        <v>0</v>
      </c>
      <c r="J742" t="n">
        <v>0</v>
      </c>
      <c r="K742" t="n">
        <v>0</v>
      </c>
      <c r="L742" t="n">
        <v>0</v>
      </c>
      <c r="M742" t="n">
        <v>0</v>
      </c>
      <c r="N742" t="n">
        <v>0</v>
      </c>
      <c r="O742" t="n">
        <v>0</v>
      </c>
      <c r="P742" t="n">
        <v>0</v>
      </c>
      <c r="Q742" t="n">
        <v>0</v>
      </c>
      <c r="R742" s="2" t="inlineStr"/>
    </row>
    <row r="743" ht="15" customHeight="1">
      <c r="A743" t="inlineStr">
        <is>
          <t>A 58822-2025</t>
        </is>
      </c>
      <c r="B743" s="1" t="n">
        <v>45987.34506944445</v>
      </c>
      <c r="C743" s="1" t="n">
        <v>46037</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7744-2024</t>
        </is>
      </c>
      <c r="B744" s="1" t="n">
        <v>45349</v>
      </c>
      <c r="C744" s="1" t="n">
        <v>46037</v>
      </c>
      <c r="D744" t="inlineStr">
        <is>
          <t>JÄMTLANDS LÄN</t>
        </is>
      </c>
      <c r="E744" t="inlineStr">
        <is>
          <t>BERG</t>
        </is>
      </c>
      <c r="G744" t="n">
        <v>1.7</v>
      </c>
      <c r="H744" t="n">
        <v>0</v>
      </c>
      <c r="I744" t="n">
        <v>0</v>
      </c>
      <c r="J744" t="n">
        <v>0</v>
      </c>
      <c r="K744" t="n">
        <v>0</v>
      </c>
      <c r="L744" t="n">
        <v>0</v>
      </c>
      <c r="M744" t="n">
        <v>0</v>
      </c>
      <c r="N744" t="n">
        <v>0</v>
      </c>
      <c r="O744" t="n">
        <v>0</v>
      </c>
      <c r="P744" t="n">
        <v>0</v>
      </c>
      <c r="Q744" t="n">
        <v>0</v>
      </c>
      <c r="R744" s="2" t="inlineStr"/>
    </row>
    <row r="745" ht="15" customHeight="1">
      <c r="A745" t="inlineStr">
        <is>
          <t>A 59253-2025</t>
        </is>
      </c>
      <c r="B745" s="1" t="n">
        <v>45988.65121527778</v>
      </c>
      <c r="C745" s="1" t="n">
        <v>46037</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21521-2024</t>
        </is>
      </c>
      <c r="B746" s="1" t="n">
        <v>45441.58313657407</v>
      </c>
      <c r="C746" s="1" t="n">
        <v>46037</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59281-2025</t>
        </is>
      </c>
      <c r="B747" s="1" t="n">
        <v>45988.7234375</v>
      </c>
      <c r="C747" s="1" t="n">
        <v>46037</v>
      </c>
      <c r="D747" t="inlineStr">
        <is>
          <t>JÄMTLANDS LÄN</t>
        </is>
      </c>
      <c r="E747" t="inlineStr">
        <is>
          <t>BERG</t>
        </is>
      </c>
      <c r="G747" t="n">
        <v>16.7</v>
      </c>
      <c r="H747" t="n">
        <v>0</v>
      </c>
      <c r="I747" t="n">
        <v>0</v>
      </c>
      <c r="J747" t="n">
        <v>0</v>
      </c>
      <c r="K747" t="n">
        <v>0</v>
      </c>
      <c r="L747" t="n">
        <v>0</v>
      </c>
      <c r="M747" t="n">
        <v>0</v>
      </c>
      <c r="N747" t="n">
        <v>0</v>
      </c>
      <c r="O747" t="n">
        <v>0</v>
      </c>
      <c r="P747" t="n">
        <v>0</v>
      </c>
      <c r="Q747" t="n">
        <v>0</v>
      </c>
      <c r="R747" s="2" t="inlineStr"/>
    </row>
    <row r="748" ht="15" customHeight="1">
      <c r="A748" t="inlineStr">
        <is>
          <t>A 568-2026</t>
        </is>
      </c>
      <c r="B748" s="1" t="n">
        <v>46029.46987268519</v>
      </c>
      <c r="C748" s="1" t="n">
        <v>46037</v>
      </c>
      <c r="D748" t="inlineStr">
        <is>
          <t>JÄMTLANDS LÄN</t>
        </is>
      </c>
      <c r="E748" t="inlineStr">
        <is>
          <t>BERG</t>
        </is>
      </c>
      <c r="G748" t="n">
        <v>2.7</v>
      </c>
      <c r="H748" t="n">
        <v>0</v>
      </c>
      <c r="I748" t="n">
        <v>0</v>
      </c>
      <c r="J748" t="n">
        <v>0</v>
      </c>
      <c r="K748" t="n">
        <v>0</v>
      </c>
      <c r="L748" t="n">
        <v>0</v>
      </c>
      <c r="M748" t="n">
        <v>0</v>
      </c>
      <c r="N748" t="n">
        <v>0</v>
      </c>
      <c r="O748" t="n">
        <v>0</v>
      </c>
      <c r="P748" t="n">
        <v>0</v>
      </c>
      <c r="Q748" t="n">
        <v>0</v>
      </c>
      <c r="R748" s="2" t="inlineStr"/>
    </row>
    <row r="749" ht="15" customHeight="1">
      <c r="A749" t="inlineStr">
        <is>
          <t>A 44110-2022</t>
        </is>
      </c>
      <c r="B749" s="1" t="n">
        <v>44837</v>
      </c>
      <c r="C749" s="1" t="n">
        <v>46037</v>
      </c>
      <c r="D749" t="inlineStr">
        <is>
          <t>JÄMTLANDS LÄN</t>
        </is>
      </c>
      <c r="E749" t="inlineStr">
        <is>
          <t>BERG</t>
        </is>
      </c>
      <c r="G749" t="n">
        <v>1.9</v>
      </c>
      <c r="H749" t="n">
        <v>0</v>
      </c>
      <c r="I749" t="n">
        <v>0</v>
      </c>
      <c r="J749" t="n">
        <v>0</v>
      </c>
      <c r="K749" t="n">
        <v>0</v>
      </c>
      <c r="L749" t="n">
        <v>0</v>
      </c>
      <c r="M749" t="n">
        <v>0</v>
      </c>
      <c r="N749" t="n">
        <v>0</v>
      </c>
      <c r="O749" t="n">
        <v>0</v>
      </c>
      <c r="P749" t="n">
        <v>0</v>
      </c>
      <c r="Q749" t="n">
        <v>0</v>
      </c>
      <c r="R749" s="2" t="inlineStr"/>
    </row>
    <row r="750" ht="15" customHeight="1">
      <c r="A750" t="inlineStr">
        <is>
          <t>A 59210-2025</t>
        </is>
      </c>
      <c r="B750" s="1" t="n">
        <v>45988.61516203704</v>
      </c>
      <c r="C750" s="1" t="n">
        <v>46037</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59424-2025</t>
        </is>
      </c>
      <c r="B751" s="1" t="n">
        <v>45989.53782407408</v>
      </c>
      <c r="C751" s="1" t="n">
        <v>46037</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1282-2026</t>
        </is>
      </c>
      <c r="B752" s="1" t="n">
        <v>46031.49096064815</v>
      </c>
      <c r="C752" s="1" t="n">
        <v>46037</v>
      </c>
      <c r="D752" t="inlineStr">
        <is>
          <t>JÄMTLANDS LÄN</t>
        </is>
      </c>
      <c r="E752" t="inlineStr">
        <is>
          <t>BERG</t>
        </is>
      </c>
      <c r="G752" t="n">
        <v>3.5</v>
      </c>
      <c r="H752" t="n">
        <v>0</v>
      </c>
      <c r="I752" t="n">
        <v>0</v>
      </c>
      <c r="J752" t="n">
        <v>0</v>
      </c>
      <c r="K752" t="n">
        <v>0</v>
      </c>
      <c r="L752" t="n">
        <v>0</v>
      </c>
      <c r="M752" t="n">
        <v>0</v>
      </c>
      <c r="N752" t="n">
        <v>0</v>
      </c>
      <c r="O752" t="n">
        <v>0</v>
      </c>
      <c r="P752" t="n">
        <v>0</v>
      </c>
      <c r="Q752" t="n">
        <v>0</v>
      </c>
      <c r="R752" s="2" t="inlineStr"/>
    </row>
    <row r="753" ht="15" customHeight="1">
      <c r="A753" t="inlineStr">
        <is>
          <t>A 10230-2024</t>
        </is>
      </c>
      <c r="B753" s="1" t="n">
        <v>45365.31883101852</v>
      </c>
      <c r="C753" s="1" t="n">
        <v>46037</v>
      </c>
      <c r="D753" t="inlineStr">
        <is>
          <t>JÄMTLANDS LÄN</t>
        </is>
      </c>
      <c r="E753" t="inlineStr">
        <is>
          <t>BERG</t>
        </is>
      </c>
      <c r="G753" t="n">
        <v>6.3</v>
      </c>
      <c r="H753" t="n">
        <v>0</v>
      </c>
      <c r="I753" t="n">
        <v>0</v>
      </c>
      <c r="J753" t="n">
        <v>0</v>
      </c>
      <c r="K753" t="n">
        <v>0</v>
      </c>
      <c r="L753" t="n">
        <v>0</v>
      </c>
      <c r="M753" t="n">
        <v>0</v>
      </c>
      <c r="N753" t="n">
        <v>0</v>
      </c>
      <c r="O753" t="n">
        <v>0</v>
      </c>
      <c r="P753" t="n">
        <v>0</v>
      </c>
      <c r="Q753" t="n">
        <v>0</v>
      </c>
      <c r="R753" s="2" t="inlineStr"/>
    </row>
    <row r="754" ht="15" customHeight="1">
      <c r="A754" t="inlineStr">
        <is>
          <t>A 49277-2024</t>
        </is>
      </c>
      <c r="B754" s="1" t="n">
        <v>45595.50820601852</v>
      </c>
      <c r="C754" s="1" t="n">
        <v>46037</v>
      </c>
      <c r="D754" t="inlineStr">
        <is>
          <t>JÄMTLANDS LÄN</t>
        </is>
      </c>
      <c r="E754" t="inlineStr">
        <is>
          <t>BERG</t>
        </is>
      </c>
      <c r="G754" t="n">
        <v>1.3</v>
      </c>
      <c r="H754" t="n">
        <v>0</v>
      </c>
      <c r="I754" t="n">
        <v>0</v>
      </c>
      <c r="J754" t="n">
        <v>0</v>
      </c>
      <c r="K754" t="n">
        <v>0</v>
      </c>
      <c r="L754" t="n">
        <v>0</v>
      </c>
      <c r="M754" t="n">
        <v>0</v>
      </c>
      <c r="N754" t="n">
        <v>0</v>
      </c>
      <c r="O754" t="n">
        <v>0</v>
      </c>
      <c r="P754" t="n">
        <v>0</v>
      </c>
      <c r="Q754" t="n">
        <v>0</v>
      </c>
      <c r="R754" s="2" t="inlineStr"/>
    </row>
    <row r="755" ht="15" customHeight="1">
      <c r="A755" t="inlineStr">
        <is>
          <t>A 1287-2026</t>
        </is>
      </c>
      <c r="B755" s="1" t="n">
        <v>46031.49944444445</v>
      </c>
      <c r="C755" s="1" t="n">
        <v>46037</v>
      </c>
      <c r="D755" t="inlineStr">
        <is>
          <t>JÄMTLANDS LÄN</t>
        </is>
      </c>
      <c r="E755" t="inlineStr">
        <is>
          <t>BERG</t>
        </is>
      </c>
      <c r="G755" t="n">
        <v>2.2</v>
      </c>
      <c r="H755" t="n">
        <v>0</v>
      </c>
      <c r="I755" t="n">
        <v>0</v>
      </c>
      <c r="J755" t="n">
        <v>0</v>
      </c>
      <c r="K755" t="n">
        <v>0</v>
      </c>
      <c r="L755" t="n">
        <v>0</v>
      </c>
      <c r="M755" t="n">
        <v>0</v>
      </c>
      <c r="N755" t="n">
        <v>0</v>
      </c>
      <c r="O755" t="n">
        <v>0</v>
      </c>
      <c r="P755" t="n">
        <v>0</v>
      </c>
      <c r="Q755" t="n">
        <v>0</v>
      </c>
      <c r="R755" s="2" t="inlineStr"/>
    </row>
    <row r="756" ht="15" customHeight="1">
      <c r="A756" t="inlineStr">
        <is>
          <t>A 59841-2025</t>
        </is>
      </c>
      <c r="B756" s="1" t="n">
        <v>45992</v>
      </c>
      <c r="C756" s="1" t="n">
        <v>46037</v>
      </c>
      <c r="D756" t="inlineStr">
        <is>
          <t>JÄMTLANDS LÄN</t>
        </is>
      </c>
      <c r="E756" t="inlineStr">
        <is>
          <t>BERG</t>
        </is>
      </c>
      <c r="G756" t="n">
        <v>14.9</v>
      </c>
      <c r="H756" t="n">
        <v>0</v>
      </c>
      <c r="I756" t="n">
        <v>0</v>
      </c>
      <c r="J756" t="n">
        <v>0</v>
      </c>
      <c r="K756" t="n">
        <v>0</v>
      </c>
      <c r="L756" t="n">
        <v>0</v>
      </c>
      <c r="M756" t="n">
        <v>0</v>
      </c>
      <c r="N756" t="n">
        <v>0</v>
      </c>
      <c r="O756" t="n">
        <v>0</v>
      </c>
      <c r="P756" t="n">
        <v>0</v>
      </c>
      <c r="Q756" t="n">
        <v>0</v>
      </c>
      <c r="R756" s="2" t="inlineStr"/>
    </row>
    <row r="757" ht="15" customHeight="1">
      <c r="A757" t="inlineStr">
        <is>
          <t>A 1684-2026</t>
        </is>
      </c>
      <c r="B757" s="1" t="n">
        <v>46034.58386574074</v>
      </c>
      <c r="C757" s="1" t="n">
        <v>46037</v>
      </c>
      <c r="D757" t="inlineStr">
        <is>
          <t>JÄMTLANDS LÄN</t>
        </is>
      </c>
      <c r="E757" t="inlineStr">
        <is>
          <t>BERG</t>
        </is>
      </c>
      <c r="G757" t="n">
        <v>1.9</v>
      </c>
      <c r="H757" t="n">
        <v>0</v>
      </c>
      <c r="I757" t="n">
        <v>0</v>
      </c>
      <c r="J757" t="n">
        <v>0</v>
      </c>
      <c r="K757" t="n">
        <v>0</v>
      </c>
      <c r="L757" t="n">
        <v>0</v>
      </c>
      <c r="M757" t="n">
        <v>0</v>
      </c>
      <c r="N757" t="n">
        <v>0</v>
      </c>
      <c r="O757" t="n">
        <v>0</v>
      </c>
      <c r="P757" t="n">
        <v>0</v>
      </c>
      <c r="Q757" t="n">
        <v>0</v>
      </c>
      <c r="R757" s="2" t="inlineStr"/>
    </row>
    <row r="758" ht="15" customHeight="1">
      <c r="A758" t="inlineStr">
        <is>
          <t>A 59652-2025</t>
        </is>
      </c>
      <c r="B758" s="1" t="n">
        <v>45992</v>
      </c>
      <c r="C758" s="1" t="n">
        <v>46037</v>
      </c>
      <c r="D758" t="inlineStr">
        <is>
          <t>JÄMTLANDS LÄN</t>
        </is>
      </c>
      <c r="E758" t="inlineStr">
        <is>
          <t>BERG</t>
        </is>
      </c>
      <c r="G758" t="n">
        <v>4</v>
      </c>
      <c r="H758" t="n">
        <v>0</v>
      </c>
      <c r="I758" t="n">
        <v>0</v>
      </c>
      <c r="J758" t="n">
        <v>0</v>
      </c>
      <c r="K758" t="n">
        <v>0</v>
      </c>
      <c r="L758" t="n">
        <v>0</v>
      </c>
      <c r="M758" t="n">
        <v>0</v>
      </c>
      <c r="N758" t="n">
        <v>0</v>
      </c>
      <c r="O758" t="n">
        <v>0</v>
      </c>
      <c r="P758" t="n">
        <v>0</v>
      </c>
      <c r="Q758" t="n">
        <v>0</v>
      </c>
      <c r="R758" s="2" t="inlineStr"/>
    </row>
    <row r="759" ht="15" customHeight="1">
      <c r="A759" t="inlineStr">
        <is>
          <t>A 60331-2023</t>
        </is>
      </c>
      <c r="B759" s="1" t="n">
        <v>45258</v>
      </c>
      <c r="C759" s="1" t="n">
        <v>46037</v>
      </c>
      <c r="D759" t="inlineStr">
        <is>
          <t>JÄMTLANDS LÄN</t>
        </is>
      </c>
      <c r="E759" t="inlineStr">
        <is>
          <t>BERG</t>
        </is>
      </c>
      <c r="G759" t="n">
        <v>2.6</v>
      </c>
      <c r="H759" t="n">
        <v>0</v>
      </c>
      <c r="I759" t="n">
        <v>0</v>
      </c>
      <c r="J759" t="n">
        <v>0</v>
      </c>
      <c r="K759" t="n">
        <v>0</v>
      </c>
      <c r="L759" t="n">
        <v>0</v>
      </c>
      <c r="M759" t="n">
        <v>0</v>
      </c>
      <c r="N759" t="n">
        <v>0</v>
      </c>
      <c r="O759" t="n">
        <v>0</v>
      </c>
      <c r="P759" t="n">
        <v>0</v>
      </c>
      <c r="Q759" t="n">
        <v>0</v>
      </c>
      <c r="R759" s="2" t="inlineStr"/>
    </row>
    <row r="760" ht="15" customHeight="1">
      <c r="A760" t="inlineStr">
        <is>
          <t>A 1495-2026</t>
        </is>
      </c>
      <c r="B760" s="1" t="n">
        <v>46034.32285879629</v>
      </c>
      <c r="C760" s="1" t="n">
        <v>46037</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34601-2024</t>
        </is>
      </c>
      <c r="B761" s="1" t="n">
        <v>45526.4034375</v>
      </c>
      <c r="C761" s="1" t="n">
        <v>46037</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59404-2025</t>
        </is>
      </c>
      <c r="B762" s="1" t="n">
        <v>45989.48997685185</v>
      </c>
      <c r="C762" s="1" t="n">
        <v>46037</v>
      </c>
      <c r="D762" t="inlineStr">
        <is>
          <t>JÄMTLANDS LÄN</t>
        </is>
      </c>
      <c r="E762" t="inlineStr">
        <is>
          <t>BERG</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59763-2025</t>
        </is>
      </c>
      <c r="B763" s="1" t="n">
        <v>45992.59430555555</v>
      </c>
      <c r="C763" s="1" t="n">
        <v>46037</v>
      </c>
      <c r="D763" t="inlineStr">
        <is>
          <t>JÄMTLANDS LÄN</t>
        </is>
      </c>
      <c r="E763" t="inlineStr">
        <is>
          <t>BERG</t>
        </is>
      </c>
      <c r="F763" t="inlineStr">
        <is>
          <t>SCA</t>
        </is>
      </c>
      <c r="G763" t="n">
        <v>16.5</v>
      </c>
      <c r="H763" t="n">
        <v>0</v>
      </c>
      <c r="I763" t="n">
        <v>0</v>
      </c>
      <c r="J763" t="n">
        <v>0</v>
      </c>
      <c r="K763" t="n">
        <v>0</v>
      </c>
      <c r="L763" t="n">
        <v>0</v>
      </c>
      <c r="M763" t="n">
        <v>0</v>
      </c>
      <c r="N763" t="n">
        <v>0</v>
      </c>
      <c r="O763" t="n">
        <v>0</v>
      </c>
      <c r="P763" t="n">
        <v>0</v>
      </c>
      <c r="Q763" t="n">
        <v>0</v>
      </c>
      <c r="R763" s="2" t="inlineStr"/>
    </row>
    <row r="764" ht="15" customHeight="1">
      <c r="A764" t="inlineStr">
        <is>
          <t>A 33481-2023</t>
        </is>
      </c>
      <c r="B764" s="1" t="n">
        <v>45131</v>
      </c>
      <c r="C764" s="1" t="n">
        <v>46037</v>
      </c>
      <c r="D764" t="inlineStr">
        <is>
          <t>JÄMTLANDS LÄN</t>
        </is>
      </c>
      <c r="E764" t="inlineStr">
        <is>
          <t>BERG</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1401-2026</t>
        </is>
      </c>
      <c r="B765" s="1" t="n">
        <v>46031.64333333333</v>
      </c>
      <c r="C765" s="1" t="n">
        <v>46037</v>
      </c>
      <c r="D765" t="inlineStr">
        <is>
          <t>JÄMTLANDS LÄN</t>
        </is>
      </c>
      <c r="E765" t="inlineStr">
        <is>
          <t>BERG</t>
        </is>
      </c>
      <c r="G765" t="n">
        <v>2.1</v>
      </c>
      <c r="H765" t="n">
        <v>0</v>
      </c>
      <c r="I765" t="n">
        <v>0</v>
      </c>
      <c r="J765" t="n">
        <v>0</v>
      </c>
      <c r="K765" t="n">
        <v>0</v>
      </c>
      <c r="L765" t="n">
        <v>0</v>
      </c>
      <c r="M765" t="n">
        <v>0</v>
      </c>
      <c r="N765" t="n">
        <v>0</v>
      </c>
      <c r="O765" t="n">
        <v>0</v>
      </c>
      <c r="P765" t="n">
        <v>0</v>
      </c>
      <c r="Q765" t="n">
        <v>0</v>
      </c>
      <c r="R765" s="2" t="inlineStr"/>
    </row>
    <row r="766" ht="15" customHeight="1">
      <c r="A766" t="inlineStr">
        <is>
          <t>A 1407-2026</t>
        </is>
      </c>
      <c r="B766" s="1" t="n">
        <v>46031.64733796296</v>
      </c>
      <c r="C766" s="1" t="n">
        <v>46037</v>
      </c>
      <c r="D766" t="inlineStr">
        <is>
          <t>JÄMTLANDS LÄN</t>
        </is>
      </c>
      <c r="E766" t="inlineStr">
        <is>
          <t>BERG</t>
        </is>
      </c>
      <c r="G766" t="n">
        <v>0.9</v>
      </c>
      <c r="H766" t="n">
        <v>0</v>
      </c>
      <c r="I766" t="n">
        <v>0</v>
      </c>
      <c r="J766" t="n">
        <v>0</v>
      </c>
      <c r="K766" t="n">
        <v>0</v>
      </c>
      <c r="L766" t="n">
        <v>0</v>
      </c>
      <c r="M766" t="n">
        <v>0</v>
      </c>
      <c r="N766" t="n">
        <v>0</v>
      </c>
      <c r="O766" t="n">
        <v>0</v>
      </c>
      <c r="P766" t="n">
        <v>0</v>
      </c>
      <c r="Q766" t="n">
        <v>0</v>
      </c>
      <c r="R766" s="2" t="inlineStr"/>
    </row>
    <row r="767" ht="15" customHeight="1">
      <c r="A767" t="inlineStr">
        <is>
          <t>A 59447-2025</t>
        </is>
      </c>
      <c r="B767" s="1" t="n">
        <v>45989</v>
      </c>
      <c r="C767" s="1" t="n">
        <v>46037</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59824-2025</t>
        </is>
      </c>
      <c r="B768" s="1" t="n">
        <v>45992.65116898148</v>
      </c>
      <c r="C768" s="1" t="n">
        <v>46037</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64486-2023</t>
        </is>
      </c>
      <c r="B769" s="1" t="n">
        <v>45280</v>
      </c>
      <c r="C769" s="1" t="n">
        <v>46037</v>
      </c>
      <c r="D769" t="inlineStr">
        <is>
          <t>JÄMTLANDS LÄN</t>
        </is>
      </c>
      <c r="E769" t="inlineStr">
        <is>
          <t>BERG</t>
        </is>
      </c>
      <c r="G769" t="n">
        <v>2</v>
      </c>
      <c r="H769" t="n">
        <v>0</v>
      </c>
      <c r="I769" t="n">
        <v>0</v>
      </c>
      <c r="J769" t="n">
        <v>0</v>
      </c>
      <c r="K769" t="n">
        <v>0</v>
      </c>
      <c r="L769" t="n">
        <v>0</v>
      </c>
      <c r="M769" t="n">
        <v>0</v>
      </c>
      <c r="N769" t="n">
        <v>0</v>
      </c>
      <c r="O769" t="n">
        <v>0</v>
      </c>
      <c r="P769" t="n">
        <v>0</v>
      </c>
      <c r="Q769" t="n">
        <v>0</v>
      </c>
      <c r="R769" s="2" t="inlineStr"/>
    </row>
    <row r="770" ht="15" customHeight="1">
      <c r="A770" t="inlineStr">
        <is>
          <t>A 64488-2023</t>
        </is>
      </c>
      <c r="B770" s="1" t="n">
        <v>45280.92618055556</v>
      </c>
      <c r="C770" s="1" t="n">
        <v>46037</v>
      </c>
      <c r="D770" t="inlineStr">
        <is>
          <t>JÄMTLANDS LÄN</t>
        </is>
      </c>
      <c r="E770" t="inlineStr">
        <is>
          <t>BERG</t>
        </is>
      </c>
      <c r="F770" t="inlineStr">
        <is>
          <t>Övriga Aktiebolag</t>
        </is>
      </c>
      <c r="G770" t="n">
        <v>7.1</v>
      </c>
      <c r="H770" t="n">
        <v>0</v>
      </c>
      <c r="I770" t="n">
        <v>0</v>
      </c>
      <c r="J770" t="n">
        <v>0</v>
      </c>
      <c r="K770" t="n">
        <v>0</v>
      </c>
      <c r="L770" t="n">
        <v>0</v>
      </c>
      <c r="M770" t="n">
        <v>0</v>
      </c>
      <c r="N770" t="n">
        <v>0</v>
      </c>
      <c r="O770" t="n">
        <v>0</v>
      </c>
      <c r="P770" t="n">
        <v>0</v>
      </c>
      <c r="Q770" t="n">
        <v>0</v>
      </c>
      <c r="R770" s="2" t="inlineStr"/>
    </row>
    <row r="771" ht="15" customHeight="1">
      <c r="A771" t="inlineStr">
        <is>
          <t>A 1386-2026</t>
        </is>
      </c>
      <c r="B771" s="1" t="n">
        <v>46031.62633101852</v>
      </c>
      <c r="C771" s="1" t="n">
        <v>46037</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1391-2026</t>
        </is>
      </c>
      <c r="B772" s="1" t="n">
        <v>46031.63359953704</v>
      </c>
      <c r="C772" s="1" t="n">
        <v>46037</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1498-2026</t>
        </is>
      </c>
      <c r="B773" s="1" t="n">
        <v>46034.331875</v>
      </c>
      <c r="C773" s="1" t="n">
        <v>46037</v>
      </c>
      <c r="D773" t="inlineStr">
        <is>
          <t>JÄMTLANDS LÄN</t>
        </is>
      </c>
      <c r="E773" t="inlineStr">
        <is>
          <t>BERG</t>
        </is>
      </c>
      <c r="G773" t="n">
        <v>1.8</v>
      </c>
      <c r="H773" t="n">
        <v>0</v>
      </c>
      <c r="I773" t="n">
        <v>0</v>
      </c>
      <c r="J773" t="n">
        <v>0</v>
      </c>
      <c r="K773" t="n">
        <v>0</v>
      </c>
      <c r="L773" t="n">
        <v>0</v>
      </c>
      <c r="M773" t="n">
        <v>0</v>
      </c>
      <c r="N773" t="n">
        <v>0</v>
      </c>
      <c r="O773" t="n">
        <v>0</v>
      </c>
      <c r="P773" t="n">
        <v>0</v>
      </c>
      <c r="Q773" t="n">
        <v>0</v>
      </c>
      <c r="R773" s="2" t="inlineStr"/>
    </row>
    <row r="774" ht="15" customHeight="1">
      <c r="A774" t="inlineStr">
        <is>
          <t>A 59401-2025</t>
        </is>
      </c>
      <c r="B774" s="1" t="n">
        <v>45989.48791666667</v>
      </c>
      <c r="C774" s="1" t="n">
        <v>46037</v>
      </c>
      <c r="D774" t="inlineStr">
        <is>
          <t>JÄMTLANDS LÄN</t>
        </is>
      </c>
      <c r="E774" t="inlineStr">
        <is>
          <t>BERG</t>
        </is>
      </c>
      <c r="G774" t="n">
        <v>4.6</v>
      </c>
      <c r="H774" t="n">
        <v>0</v>
      </c>
      <c r="I774" t="n">
        <v>0</v>
      </c>
      <c r="J774" t="n">
        <v>0</v>
      </c>
      <c r="K774" t="n">
        <v>0</v>
      </c>
      <c r="L774" t="n">
        <v>0</v>
      </c>
      <c r="M774" t="n">
        <v>0</v>
      </c>
      <c r="N774" t="n">
        <v>0</v>
      </c>
      <c r="O774" t="n">
        <v>0</v>
      </c>
      <c r="P774" t="n">
        <v>0</v>
      </c>
      <c r="Q774" t="n">
        <v>0</v>
      </c>
      <c r="R774" s="2" t="inlineStr"/>
    </row>
    <row r="775" ht="15" customHeight="1">
      <c r="A775" t="inlineStr">
        <is>
          <t>A 59411-2025</t>
        </is>
      </c>
      <c r="B775" s="1" t="n">
        <v>45989.49638888889</v>
      </c>
      <c r="C775" s="1" t="n">
        <v>46037</v>
      </c>
      <c r="D775" t="inlineStr">
        <is>
          <t>JÄMTLANDS LÄN</t>
        </is>
      </c>
      <c r="E775" t="inlineStr">
        <is>
          <t>BERG</t>
        </is>
      </c>
      <c r="G775" t="n">
        <v>2.4</v>
      </c>
      <c r="H775" t="n">
        <v>0</v>
      </c>
      <c r="I775" t="n">
        <v>0</v>
      </c>
      <c r="J775" t="n">
        <v>0</v>
      </c>
      <c r="K775" t="n">
        <v>0</v>
      </c>
      <c r="L775" t="n">
        <v>0</v>
      </c>
      <c r="M775" t="n">
        <v>0</v>
      </c>
      <c r="N775" t="n">
        <v>0</v>
      </c>
      <c r="O775" t="n">
        <v>0</v>
      </c>
      <c r="P775" t="n">
        <v>0</v>
      </c>
      <c r="Q775" t="n">
        <v>0</v>
      </c>
      <c r="R775" s="2" t="inlineStr"/>
    </row>
    <row r="776" ht="15" customHeight="1">
      <c r="A776" t="inlineStr">
        <is>
          <t>A 59415-2025</t>
        </is>
      </c>
      <c r="B776" s="1" t="n">
        <v>45989.50196759259</v>
      </c>
      <c r="C776" s="1" t="n">
        <v>46037</v>
      </c>
      <c r="D776" t="inlineStr">
        <is>
          <t>JÄMTLANDS LÄN</t>
        </is>
      </c>
      <c r="E776" t="inlineStr">
        <is>
          <t>BERG</t>
        </is>
      </c>
      <c r="G776" t="n">
        <v>6.8</v>
      </c>
      <c r="H776" t="n">
        <v>0</v>
      </c>
      <c r="I776" t="n">
        <v>0</v>
      </c>
      <c r="J776" t="n">
        <v>0</v>
      </c>
      <c r="K776" t="n">
        <v>0</v>
      </c>
      <c r="L776" t="n">
        <v>0</v>
      </c>
      <c r="M776" t="n">
        <v>0</v>
      </c>
      <c r="N776" t="n">
        <v>0</v>
      </c>
      <c r="O776" t="n">
        <v>0</v>
      </c>
      <c r="P776" t="n">
        <v>0</v>
      </c>
      <c r="Q776" t="n">
        <v>0</v>
      </c>
      <c r="R776" s="2" t="inlineStr"/>
    </row>
    <row r="777" ht="15" customHeight="1">
      <c r="A777" t="inlineStr">
        <is>
          <t>A 16247-2024</t>
        </is>
      </c>
      <c r="B777" s="1" t="n">
        <v>45407.05797453703</v>
      </c>
      <c r="C777" s="1" t="n">
        <v>46037</v>
      </c>
      <c r="D777" t="inlineStr">
        <is>
          <t>JÄMTLANDS LÄN</t>
        </is>
      </c>
      <c r="E777" t="inlineStr">
        <is>
          <t>BERG</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25306-2023</t>
        </is>
      </c>
      <c r="B778" s="1" t="n">
        <v>45086</v>
      </c>
      <c r="C778" s="1" t="n">
        <v>46037</v>
      </c>
      <c r="D778" t="inlineStr">
        <is>
          <t>JÄMTLANDS LÄN</t>
        </is>
      </c>
      <c r="E778" t="inlineStr">
        <is>
          <t>BERG</t>
        </is>
      </c>
      <c r="G778" t="n">
        <v>23.3</v>
      </c>
      <c r="H778" t="n">
        <v>0</v>
      </c>
      <c r="I778" t="n">
        <v>0</v>
      </c>
      <c r="J778" t="n">
        <v>0</v>
      </c>
      <c r="K778" t="n">
        <v>0</v>
      </c>
      <c r="L778" t="n">
        <v>0</v>
      </c>
      <c r="M778" t="n">
        <v>0</v>
      </c>
      <c r="N778" t="n">
        <v>0</v>
      </c>
      <c r="O778" t="n">
        <v>0</v>
      </c>
      <c r="P778" t="n">
        <v>0</v>
      </c>
      <c r="Q778" t="n">
        <v>0</v>
      </c>
      <c r="R778" s="2" t="inlineStr"/>
    </row>
    <row r="779" ht="15" customHeight="1">
      <c r="A779" t="inlineStr">
        <is>
          <t>A 60051-2025</t>
        </is>
      </c>
      <c r="B779" s="1" t="n">
        <v>45993.6353125</v>
      </c>
      <c r="C779" s="1" t="n">
        <v>46037</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60163-2025</t>
        </is>
      </c>
      <c r="B780" s="1" t="n">
        <v>45994.43094907407</v>
      </c>
      <c r="C780" s="1" t="n">
        <v>46037</v>
      </c>
      <c r="D780" t="inlineStr">
        <is>
          <t>JÄMTLANDS LÄN</t>
        </is>
      </c>
      <c r="E780" t="inlineStr">
        <is>
          <t>BERG</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10465-2023</t>
        </is>
      </c>
      <c r="B781" s="1" t="n">
        <v>44987.60319444445</v>
      </c>
      <c r="C781" s="1" t="n">
        <v>46037</v>
      </c>
      <c r="D781" t="inlineStr">
        <is>
          <t>JÄMTLANDS LÄN</t>
        </is>
      </c>
      <c r="E781" t="inlineStr">
        <is>
          <t>BERG</t>
        </is>
      </c>
      <c r="G781" t="n">
        <v>3.4</v>
      </c>
      <c r="H781" t="n">
        <v>0</v>
      </c>
      <c r="I781" t="n">
        <v>0</v>
      </c>
      <c r="J781" t="n">
        <v>0</v>
      </c>
      <c r="K781" t="n">
        <v>0</v>
      </c>
      <c r="L781" t="n">
        <v>0</v>
      </c>
      <c r="M781" t="n">
        <v>0</v>
      </c>
      <c r="N781" t="n">
        <v>0</v>
      </c>
      <c r="O781" t="n">
        <v>0</v>
      </c>
      <c r="P781" t="n">
        <v>0</v>
      </c>
      <c r="Q781" t="n">
        <v>0</v>
      </c>
      <c r="R781" s="2" t="inlineStr"/>
    </row>
    <row r="782" ht="15" customHeight="1">
      <c r="A782" t="inlineStr">
        <is>
          <t>A 3625-2024</t>
        </is>
      </c>
      <c r="B782" s="1" t="n">
        <v>45320</v>
      </c>
      <c r="C782" s="1" t="n">
        <v>46037</v>
      </c>
      <c r="D782" t="inlineStr">
        <is>
          <t>JÄMTLANDS LÄN</t>
        </is>
      </c>
      <c r="E782" t="inlineStr">
        <is>
          <t>BERG</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2270-2026</t>
        </is>
      </c>
      <c r="B783" s="1" t="n">
        <v>46029</v>
      </c>
      <c r="C783" s="1" t="n">
        <v>46037</v>
      </c>
      <c r="D783" t="inlineStr">
        <is>
          <t>JÄMTLANDS LÄN</t>
        </is>
      </c>
      <c r="E783" t="inlineStr">
        <is>
          <t>BERG</t>
        </is>
      </c>
      <c r="F783" t="inlineStr">
        <is>
          <t>SCA</t>
        </is>
      </c>
      <c r="G783" t="n">
        <v>7.1</v>
      </c>
      <c r="H783" t="n">
        <v>0</v>
      </c>
      <c r="I783" t="n">
        <v>0</v>
      </c>
      <c r="J783" t="n">
        <v>0</v>
      </c>
      <c r="K783" t="n">
        <v>0</v>
      </c>
      <c r="L783" t="n">
        <v>0</v>
      </c>
      <c r="M783" t="n">
        <v>0</v>
      </c>
      <c r="N783" t="n">
        <v>0</v>
      </c>
      <c r="O783" t="n">
        <v>0</v>
      </c>
      <c r="P783" t="n">
        <v>0</v>
      </c>
      <c r="Q783" t="n">
        <v>0</v>
      </c>
      <c r="R783" s="2" t="inlineStr"/>
    </row>
    <row r="784" ht="15" customHeight="1">
      <c r="A784" t="inlineStr">
        <is>
          <t>A 53427-2025</t>
        </is>
      </c>
      <c r="B784" s="1" t="n">
        <v>45959</v>
      </c>
      <c r="C784" s="1" t="n">
        <v>46037</v>
      </c>
      <c r="D784" t="inlineStr">
        <is>
          <t>JÄMTLANDS LÄN</t>
        </is>
      </c>
      <c r="E784" t="inlineStr">
        <is>
          <t>BERG</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13436-2024</t>
        </is>
      </c>
      <c r="B785" s="1" t="n">
        <v>45387.4865625</v>
      </c>
      <c r="C785" s="1" t="n">
        <v>46037</v>
      </c>
      <c r="D785" t="inlineStr">
        <is>
          <t>JÄMTLANDS LÄN</t>
        </is>
      </c>
      <c r="E785" t="inlineStr">
        <is>
          <t>BERG</t>
        </is>
      </c>
      <c r="G785" t="n">
        <v>28.9</v>
      </c>
      <c r="H785" t="n">
        <v>0</v>
      </c>
      <c r="I785" t="n">
        <v>0</v>
      </c>
      <c r="J785" t="n">
        <v>0</v>
      </c>
      <c r="K785" t="n">
        <v>0</v>
      </c>
      <c r="L785" t="n">
        <v>0</v>
      </c>
      <c r="M785" t="n">
        <v>0</v>
      </c>
      <c r="N785" t="n">
        <v>0</v>
      </c>
      <c r="O785" t="n">
        <v>0</v>
      </c>
      <c r="P785" t="n">
        <v>0</v>
      </c>
      <c r="Q785" t="n">
        <v>0</v>
      </c>
      <c r="R785" s="2" t="inlineStr"/>
    </row>
    <row r="786" ht="15" customHeight="1">
      <c r="A786" t="inlineStr">
        <is>
          <t>A 60077-2025</t>
        </is>
      </c>
      <c r="B786" s="1" t="n">
        <v>45993.67987268518</v>
      </c>
      <c r="C786" s="1" t="n">
        <v>46037</v>
      </c>
      <c r="D786" t="inlineStr">
        <is>
          <t>JÄMTLANDS LÄN</t>
        </is>
      </c>
      <c r="E786" t="inlineStr">
        <is>
          <t>BERG</t>
        </is>
      </c>
      <c r="G786" t="n">
        <v>0.7</v>
      </c>
      <c r="H786" t="n">
        <v>0</v>
      </c>
      <c r="I786" t="n">
        <v>0</v>
      </c>
      <c r="J786" t="n">
        <v>0</v>
      </c>
      <c r="K786" t="n">
        <v>0</v>
      </c>
      <c r="L786" t="n">
        <v>0</v>
      </c>
      <c r="M786" t="n">
        <v>0</v>
      </c>
      <c r="N786" t="n">
        <v>0</v>
      </c>
      <c r="O786" t="n">
        <v>0</v>
      </c>
      <c r="P786" t="n">
        <v>0</v>
      </c>
      <c r="Q786" t="n">
        <v>0</v>
      </c>
      <c r="R786" s="2" t="inlineStr"/>
    </row>
    <row r="787" ht="15" customHeight="1">
      <c r="A787" t="inlineStr">
        <is>
          <t>A 59890-2025</t>
        </is>
      </c>
      <c r="B787" s="1" t="n">
        <v>45993.33128472222</v>
      </c>
      <c r="C787" s="1" t="n">
        <v>46037</v>
      </c>
      <c r="D787" t="inlineStr">
        <is>
          <t>JÄMTLANDS LÄN</t>
        </is>
      </c>
      <c r="E787" t="inlineStr">
        <is>
          <t>BERG</t>
        </is>
      </c>
      <c r="G787" t="n">
        <v>4</v>
      </c>
      <c r="H787" t="n">
        <v>0</v>
      </c>
      <c r="I787" t="n">
        <v>0</v>
      </c>
      <c r="J787" t="n">
        <v>0</v>
      </c>
      <c r="K787" t="n">
        <v>0</v>
      </c>
      <c r="L787" t="n">
        <v>0</v>
      </c>
      <c r="M787" t="n">
        <v>0</v>
      </c>
      <c r="N787" t="n">
        <v>0</v>
      </c>
      <c r="O787" t="n">
        <v>0</v>
      </c>
      <c r="P787" t="n">
        <v>0</v>
      </c>
      <c r="Q787" t="n">
        <v>0</v>
      </c>
      <c r="R787" s="2" t="inlineStr"/>
    </row>
    <row r="788" ht="15" customHeight="1">
      <c r="A788" t="inlineStr">
        <is>
          <t>A 39809-2025</t>
        </is>
      </c>
      <c r="B788" s="1" t="n">
        <v>45891</v>
      </c>
      <c r="C788" s="1" t="n">
        <v>46037</v>
      </c>
      <c r="D788" t="inlineStr">
        <is>
          <t>JÄMTLANDS LÄN</t>
        </is>
      </c>
      <c r="E788" t="inlineStr">
        <is>
          <t>BERG</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2346-2026</t>
        </is>
      </c>
      <c r="B789" s="1" t="n">
        <v>46036.62737268519</v>
      </c>
      <c r="C789" s="1" t="n">
        <v>46037</v>
      </c>
      <c r="D789" t="inlineStr">
        <is>
          <t>JÄMTLANDS LÄN</t>
        </is>
      </c>
      <c r="E789" t="inlineStr">
        <is>
          <t>BERG</t>
        </is>
      </c>
      <c r="G789" t="n">
        <v>4.2</v>
      </c>
      <c r="H789" t="n">
        <v>0</v>
      </c>
      <c r="I789" t="n">
        <v>0</v>
      </c>
      <c r="J789" t="n">
        <v>0</v>
      </c>
      <c r="K789" t="n">
        <v>0</v>
      </c>
      <c r="L789" t="n">
        <v>0</v>
      </c>
      <c r="M789" t="n">
        <v>0</v>
      </c>
      <c r="N789" t="n">
        <v>0</v>
      </c>
      <c r="O789" t="n">
        <v>0</v>
      </c>
      <c r="P789" t="n">
        <v>0</v>
      </c>
      <c r="Q789" t="n">
        <v>0</v>
      </c>
      <c r="R789" s="2" t="inlineStr"/>
    </row>
    <row r="790" ht="15" customHeight="1">
      <c r="A790" t="inlineStr">
        <is>
          <t>A 60249-2022</t>
        </is>
      </c>
      <c r="B790" s="1" t="n">
        <v>44903</v>
      </c>
      <c r="C790" s="1" t="n">
        <v>46037</v>
      </c>
      <c r="D790" t="inlineStr">
        <is>
          <t>JÄMTLANDS LÄN</t>
        </is>
      </c>
      <c r="E790" t="inlineStr">
        <is>
          <t>BERG</t>
        </is>
      </c>
      <c r="G790" t="n">
        <v>6</v>
      </c>
      <c r="H790" t="n">
        <v>0</v>
      </c>
      <c r="I790" t="n">
        <v>0</v>
      </c>
      <c r="J790" t="n">
        <v>0</v>
      </c>
      <c r="K790" t="n">
        <v>0</v>
      </c>
      <c r="L790" t="n">
        <v>0</v>
      </c>
      <c r="M790" t="n">
        <v>0</v>
      </c>
      <c r="N790" t="n">
        <v>0</v>
      </c>
      <c r="O790" t="n">
        <v>0</v>
      </c>
      <c r="P790" t="n">
        <v>0</v>
      </c>
      <c r="Q790" t="n">
        <v>0</v>
      </c>
      <c r="R790" s="2" t="inlineStr"/>
    </row>
    <row r="791" ht="15" customHeight="1">
      <c r="A791" t="inlineStr">
        <is>
          <t>A 2312-2026</t>
        </is>
      </c>
      <c r="B791" s="1" t="n">
        <v>46036.59519675926</v>
      </c>
      <c r="C791" s="1" t="n">
        <v>46037</v>
      </c>
      <c r="D791" t="inlineStr">
        <is>
          <t>JÄMTLANDS LÄN</t>
        </is>
      </c>
      <c r="E791" t="inlineStr">
        <is>
          <t>BERG</t>
        </is>
      </c>
      <c r="G791" t="n">
        <v>5.4</v>
      </c>
      <c r="H791" t="n">
        <v>0</v>
      </c>
      <c r="I791" t="n">
        <v>0</v>
      </c>
      <c r="J791" t="n">
        <v>0</v>
      </c>
      <c r="K791" t="n">
        <v>0</v>
      </c>
      <c r="L791" t="n">
        <v>0</v>
      </c>
      <c r="M791" t="n">
        <v>0</v>
      </c>
      <c r="N791" t="n">
        <v>0</v>
      </c>
      <c r="O791" t="n">
        <v>0</v>
      </c>
      <c r="P791" t="n">
        <v>0</v>
      </c>
      <c r="Q791" t="n">
        <v>0</v>
      </c>
      <c r="R791" s="2" t="inlineStr"/>
    </row>
    <row r="792" ht="15" customHeight="1">
      <c r="A792" t="inlineStr">
        <is>
          <t>A 1939-2026</t>
        </is>
      </c>
      <c r="B792" s="1" t="n">
        <v>46035.58862268519</v>
      </c>
      <c r="C792" s="1" t="n">
        <v>46037</v>
      </c>
      <c r="D792" t="inlineStr">
        <is>
          <t>JÄMTLANDS LÄN</t>
        </is>
      </c>
      <c r="E792" t="inlineStr">
        <is>
          <t>BERG</t>
        </is>
      </c>
      <c r="G792" t="n">
        <v>3.9</v>
      </c>
      <c r="H792" t="n">
        <v>0</v>
      </c>
      <c r="I792" t="n">
        <v>0</v>
      </c>
      <c r="J792" t="n">
        <v>0</v>
      </c>
      <c r="K792" t="n">
        <v>0</v>
      </c>
      <c r="L792" t="n">
        <v>0</v>
      </c>
      <c r="M792" t="n">
        <v>0</v>
      </c>
      <c r="N792" t="n">
        <v>0</v>
      </c>
      <c r="O792" t="n">
        <v>0</v>
      </c>
      <c r="P792" t="n">
        <v>0</v>
      </c>
      <c r="Q792" t="n">
        <v>0</v>
      </c>
      <c r="R792" s="2" t="inlineStr"/>
    </row>
    <row r="793" ht="15" customHeight="1">
      <c r="A793" t="inlineStr">
        <is>
          <t>A 65209-2023</t>
        </is>
      </c>
      <c r="B793" s="1" t="n">
        <v>45289</v>
      </c>
      <c r="C793" s="1" t="n">
        <v>46037</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17899-2024</t>
        </is>
      </c>
      <c r="B794" s="1" t="n">
        <v>45419.49334490741</v>
      </c>
      <c r="C794" s="1" t="n">
        <v>46037</v>
      </c>
      <c r="D794" t="inlineStr">
        <is>
          <t>JÄMTLANDS LÄN</t>
        </is>
      </c>
      <c r="E794" t="inlineStr">
        <is>
          <t>BERG</t>
        </is>
      </c>
      <c r="F794" t="inlineStr">
        <is>
          <t>Holmen skog AB</t>
        </is>
      </c>
      <c r="G794" t="n">
        <v>5.2</v>
      </c>
      <c r="H794" t="n">
        <v>0</v>
      </c>
      <c r="I794" t="n">
        <v>0</v>
      </c>
      <c r="J794" t="n">
        <v>0</v>
      </c>
      <c r="K794" t="n">
        <v>0</v>
      </c>
      <c r="L794" t="n">
        <v>0</v>
      </c>
      <c r="M794" t="n">
        <v>0</v>
      </c>
      <c r="N794" t="n">
        <v>0</v>
      </c>
      <c r="O794" t="n">
        <v>0</v>
      </c>
      <c r="P794" t="n">
        <v>0</v>
      </c>
      <c r="Q794" t="n">
        <v>0</v>
      </c>
      <c r="R794" s="2" t="inlineStr"/>
    </row>
    <row r="795" ht="15" customHeight="1">
      <c r="A795" t="inlineStr">
        <is>
          <t>A 19181-2025</t>
        </is>
      </c>
      <c r="B795" s="1" t="n">
        <v>45769.40174768519</v>
      </c>
      <c r="C795" s="1" t="n">
        <v>46037</v>
      </c>
      <c r="D795" t="inlineStr">
        <is>
          <t>JÄMTLANDS LÄN</t>
        </is>
      </c>
      <c r="E795" t="inlineStr">
        <is>
          <t>BERG</t>
        </is>
      </c>
      <c r="G795" t="n">
        <v>4.4</v>
      </c>
      <c r="H795" t="n">
        <v>0</v>
      </c>
      <c r="I795" t="n">
        <v>0</v>
      </c>
      <c r="J795" t="n">
        <v>0</v>
      </c>
      <c r="K795" t="n">
        <v>0</v>
      </c>
      <c r="L795" t="n">
        <v>0</v>
      </c>
      <c r="M795" t="n">
        <v>0</v>
      </c>
      <c r="N795" t="n">
        <v>0</v>
      </c>
      <c r="O795" t="n">
        <v>0</v>
      </c>
      <c r="P795" t="n">
        <v>0</v>
      </c>
      <c r="Q795" t="n">
        <v>0</v>
      </c>
      <c r="R795" s="2" t="inlineStr"/>
    </row>
    <row r="796" ht="15" customHeight="1">
      <c r="A796" t="inlineStr">
        <is>
          <t>A 41868-2024</t>
        </is>
      </c>
      <c r="B796" s="1" t="n">
        <v>45561.46900462963</v>
      </c>
      <c r="C796" s="1" t="n">
        <v>46037</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34845-2023</t>
        </is>
      </c>
      <c r="B797" s="1" t="n">
        <v>45141.95964120371</v>
      </c>
      <c r="C797" s="1" t="n">
        <v>46037</v>
      </c>
      <c r="D797" t="inlineStr">
        <is>
          <t>JÄMTLANDS LÄN</t>
        </is>
      </c>
      <c r="E797" t="inlineStr">
        <is>
          <t>BERG</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31330-2024</t>
        </is>
      </c>
      <c r="B798" s="1" t="n">
        <v>45504</v>
      </c>
      <c r="C798" s="1" t="n">
        <v>46037</v>
      </c>
      <c r="D798" t="inlineStr">
        <is>
          <t>JÄMTLANDS LÄN</t>
        </is>
      </c>
      <c r="E798" t="inlineStr">
        <is>
          <t>BERG</t>
        </is>
      </c>
      <c r="G798" t="n">
        <v>30.5</v>
      </c>
      <c r="H798" t="n">
        <v>0</v>
      </c>
      <c r="I798" t="n">
        <v>0</v>
      </c>
      <c r="J798" t="n">
        <v>0</v>
      </c>
      <c r="K798" t="n">
        <v>0</v>
      </c>
      <c r="L798" t="n">
        <v>0</v>
      </c>
      <c r="M798" t="n">
        <v>0</v>
      </c>
      <c r="N798" t="n">
        <v>0</v>
      </c>
      <c r="O798" t="n">
        <v>0</v>
      </c>
      <c r="P798" t="n">
        <v>0</v>
      </c>
      <c r="Q798" t="n">
        <v>0</v>
      </c>
      <c r="R798" s="2" t="inlineStr"/>
    </row>
    <row r="799" ht="15" customHeight="1">
      <c r="A799" t="inlineStr">
        <is>
          <t>A 34367-2024</t>
        </is>
      </c>
      <c r="B799" s="1" t="n">
        <v>45525.38040509259</v>
      </c>
      <c r="C799" s="1" t="n">
        <v>46037</v>
      </c>
      <c r="D799" t="inlineStr">
        <is>
          <t>JÄMTLANDS LÄN</t>
        </is>
      </c>
      <c r="E799" t="inlineStr">
        <is>
          <t>BERG</t>
        </is>
      </c>
      <c r="G799" t="n">
        <v>0.4</v>
      </c>
      <c r="H799" t="n">
        <v>0</v>
      </c>
      <c r="I799" t="n">
        <v>0</v>
      </c>
      <c r="J799" t="n">
        <v>0</v>
      </c>
      <c r="K799" t="n">
        <v>0</v>
      </c>
      <c r="L799" t="n">
        <v>0</v>
      </c>
      <c r="M799" t="n">
        <v>0</v>
      </c>
      <c r="N799" t="n">
        <v>0</v>
      </c>
      <c r="O799" t="n">
        <v>0</v>
      </c>
      <c r="P799" t="n">
        <v>0</v>
      </c>
      <c r="Q799" t="n">
        <v>0</v>
      </c>
      <c r="R799" s="2" t="inlineStr"/>
    </row>
    <row r="800" ht="15" customHeight="1">
      <c r="A800" t="inlineStr">
        <is>
          <t>A 34369-2024</t>
        </is>
      </c>
      <c r="B800" s="1" t="n">
        <v>45525.38228009259</v>
      </c>
      <c r="C800" s="1" t="n">
        <v>46037</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13108-2025</t>
        </is>
      </c>
      <c r="B801" s="1" t="n">
        <v>45734</v>
      </c>
      <c r="C801" s="1" t="n">
        <v>46037</v>
      </c>
      <c r="D801" t="inlineStr">
        <is>
          <t>JÄMTLANDS LÄN</t>
        </is>
      </c>
      <c r="E801" t="inlineStr">
        <is>
          <t>BERG</t>
        </is>
      </c>
      <c r="F801" t="inlineStr">
        <is>
          <t>SCA</t>
        </is>
      </c>
      <c r="G801" t="n">
        <v>7.2</v>
      </c>
      <c r="H801" t="n">
        <v>0</v>
      </c>
      <c r="I801" t="n">
        <v>0</v>
      </c>
      <c r="J801" t="n">
        <v>0</v>
      </c>
      <c r="K801" t="n">
        <v>0</v>
      </c>
      <c r="L801" t="n">
        <v>0</v>
      </c>
      <c r="M801" t="n">
        <v>0</v>
      </c>
      <c r="N801" t="n">
        <v>0</v>
      </c>
      <c r="O801" t="n">
        <v>0</v>
      </c>
      <c r="P801" t="n">
        <v>0</v>
      </c>
      <c r="Q801" t="n">
        <v>0</v>
      </c>
      <c r="R801" s="2" t="inlineStr"/>
    </row>
    <row r="802" ht="15" customHeight="1">
      <c r="A802" t="inlineStr">
        <is>
          <t>A 65210-2023</t>
        </is>
      </c>
      <c r="B802" s="1" t="n">
        <v>45289</v>
      </c>
      <c r="C802" s="1" t="n">
        <v>46037</v>
      </c>
      <c r="D802" t="inlineStr">
        <is>
          <t>JÄMTLANDS LÄN</t>
        </is>
      </c>
      <c r="E802" t="inlineStr">
        <is>
          <t>BERG</t>
        </is>
      </c>
      <c r="G802" t="n">
        <v>0.4</v>
      </c>
      <c r="H802" t="n">
        <v>0</v>
      </c>
      <c r="I802" t="n">
        <v>0</v>
      </c>
      <c r="J802" t="n">
        <v>0</v>
      </c>
      <c r="K802" t="n">
        <v>0</v>
      </c>
      <c r="L802" t="n">
        <v>0</v>
      </c>
      <c r="M802" t="n">
        <v>0</v>
      </c>
      <c r="N802" t="n">
        <v>0</v>
      </c>
      <c r="O802" t="n">
        <v>0</v>
      </c>
      <c r="P802" t="n">
        <v>0</v>
      </c>
      <c r="Q802" t="n">
        <v>0</v>
      </c>
      <c r="R802" s="2" t="inlineStr"/>
    </row>
    <row r="803" ht="15" customHeight="1">
      <c r="A803" t="inlineStr">
        <is>
          <t>A 27239-2023</t>
        </is>
      </c>
      <c r="B803" s="1" t="n">
        <v>45092</v>
      </c>
      <c r="C803" s="1" t="n">
        <v>46037</v>
      </c>
      <c r="D803" t="inlineStr">
        <is>
          <t>JÄMTLANDS LÄN</t>
        </is>
      </c>
      <c r="E803" t="inlineStr">
        <is>
          <t>BERG</t>
        </is>
      </c>
      <c r="G803" t="n">
        <v>5.3</v>
      </c>
      <c r="H803" t="n">
        <v>0</v>
      </c>
      <c r="I803" t="n">
        <v>0</v>
      </c>
      <c r="J803" t="n">
        <v>0</v>
      </c>
      <c r="K803" t="n">
        <v>0</v>
      </c>
      <c r="L803" t="n">
        <v>0</v>
      </c>
      <c r="M803" t="n">
        <v>0</v>
      </c>
      <c r="N803" t="n">
        <v>0</v>
      </c>
      <c r="O803" t="n">
        <v>0</v>
      </c>
      <c r="P803" t="n">
        <v>0</v>
      </c>
      <c r="Q803" t="n">
        <v>0</v>
      </c>
      <c r="R803" s="2" t="inlineStr"/>
    </row>
    <row r="804" ht="15" customHeight="1">
      <c r="A804" t="inlineStr">
        <is>
          <t>A 59459-2024</t>
        </is>
      </c>
      <c r="B804" s="1" t="n">
        <v>45638</v>
      </c>
      <c r="C804" s="1" t="n">
        <v>46037</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33750-2023</t>
        </is>
      </c>
      <c r="B805" s="1" t="n">
        <v>45120</v>
      </c>
      <c r="C805" s="1" t="n">
        <v>46037</v>
      </c>
      <c r="D805" t="inlineStr">
        <is>
          <t>JÄMTLANDS LÄN</t>
        </is>
      </c>
      <c r="E805" t="inlineStr">
        <is>
          <t>BERG</t>
        </is>
      </c>
      <c r="G805" t="n">
        <v>2.6</v>
      </c>
      <c r="H805" t="n">
        <v>0</v>
      </c>
      <c r="I805" t="n">
        <v>0</v>
      </c>
      <c r="J805" t="n">
        <v>0</v>
      </c>
      <c r="K805" t="n">
        <v>0</v>
      </c>
      <c r="L805" t="n">
        <v>0</v>
      </c>
      <c r="M805" t="n">
        <v>0</v>
      </c>
      <c r="N805" t="n">
        <v>0</v>
      </c>
      <c r="O805" t="n">
        <v>0</v>
      </c>
      <c r="P805" t="n">
        <v>0</v>
      </c>
      <c r="Q805" t="n">
        <v>0</v>
      </c>
      <c r="R805" s="2" t="inlineStr"/>
    </row>
    <row r="806" ht="15" customHeight="1">
      <c r="A806" t="inlineStr">
        <is>
          <t>A 11599-2025</t>
        </is>
      </c>
      <c r="B806" s="1" t="n">
        <v>45727.4261574074</v>
      </c>
      <c r="C806" s="1" t="n">
        <v>46037</v>
      </c>
      <c r="D806" t="inlineStr">
        <is>
          <t>JÄMTLANDS LÄN</t>
        </is>
      </c>
      <c r="E806" t="inlineStr">
        <is>
          <t>BERG</t>
        </is>
      </c>
      <c r="G806" t="n">
        <v>1.4</v>
      </c>
      <c r="H806" t="n">
        <v>0</v>
      </c>
      <c r="I806" t="n">
        <v>0</v>
      </c>
      <c r="J806" t="n">
        <v>0</v>
      </c>
      <c r="K806" t="n">
        <v>0</v>
      </c>
      <c r="L806" t="n">
        <v>0</v>
      </c>
      <c r="M806" t="n">
        <v>0</v>
      </c>
      <c r="N806" t="n">
        <v>0</v>
      </c>
      <c r="O806" t="n">
        <v>0</v>
      </c>
      <c r="P806" t="n">
        <v>0</v>
      </c>
      <c r="Q806" t="n">
        <v>0</v>
      </c>
      <c r="R806" s="2" t="inlineStr"/>
    </row>
    <row r="807" ht="15" customHeight="1">
      <c r="A807" t="inlineStr">
        <is>
          <t>A 37086-2024</t>
        </is>
      </c>
      <c r="B807" s="1" t="n">
        <v>45539.49776620371</v>
      </c>
      <c r="C807" s="1" t="n">
        <v>46037</v>
      </c>
      <c r="D807" t="inlineStr">
        <is>
          <t>JÄMTLANDS LÄN</t>
        </is>
      </c>
      <c r="E807" t="inlineStr">
        <is>
          <t>BERG</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43762-2023</t>
        </is>
      </c>
      <c r="B808" s="1" t="n">
        <v>45182</v>
      </c>
      <c r="C808" s="1" t="n">
        <v>46037</v>
      </c>
      <c r="D808" t="inlineStr">
        <is>
          <t>JÄMTLANDS LÄN</t>
        </is>
      </c>
      <c r="E808" t="inlineStr">
        <is>
          <t>BERG</t>
        </is>
      </c>
      <c r="G808" t="n">
        <v>6.4</v>
      </c>
      <c r="H808" t="n">
        <v>0</v>
      </c>
      <c r="I808" t="n">
        <v>0</v>
      </c>
      <c r="J808" t="n">
        <v>0</v>
      </c>
      <c r="K808" t="n">
        <v>0</v>
      </c>
      <c r="L808" t="n">
        <v>0</v>
      </c>
      <c r="M808" t="n">
        <v>0</v>
      </c>
      <c r="N808" t="n">
        <v>0</v>
      </c>
      <c r="O808" t="n">
        <v>0</v>
      </c>
      <c r="P808" t="n">
        <v>0</v>
      </c>
      <c r="Q808" t="n">
        <v>0</v>
      </c>
      <c r="R808" s="2" t="inlineStr"/>
    </row>
    <row r="809" ht="15" customHeight="1">
      <c r="A809" t="inlineStr">
        <is>
          <t>A 31155-2024</t>
        </is>
      </c>
      <c r="B809" s="1" t="n">
        <v>45503</v>
      </c>
      <c r="C809" s="1" t="n">
        <v>46037</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35921-2024</t>
        </is>
      </c>
      <c r="B810" s="1" t="n">
        <v>45533.42659722222</v>
      </c>
      <c r="C810" s="1" t="n">
        <v>46037</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5014-2024</t>
        </is>
      </c>
      <c r="B811" s="1" t="n">
        <v>45329</v>
      </c>
      <c r="C811" s="1" t="n">
        <v>46037</v>
      </c>
      <c r="D811" t="inlineStr">
        <is>
          <t>JÄMTLANDS LÄN</t>
        </is>
      </c>
      <c r="E811" t="inlineStr">
        <is>
          <t>BERG</t>
        </is>
      </c>
      <c r="G811" t="n">
        <v>1.1</v>
      </c>
      <c r="H811" t="n">
        <v>0</v>
      </c>
      <c r="I811" t="n">
        <v>0</v>
      </c>
      <c r="J811" t="n">
        <v>0</v>
      </c>
      <c r="K811" t="n">
        <v>0</v>
      </c>
      <c r="L811" t="n">
        <v>0</v>
      </c>
      <c r="M811" t="n">
        <v>0</v>
      </c>
      <c r="N811" t="n">
        <v>0</v>
      </c>
      <c r="O811" t="n">
        <v>0</v>
      </c>
      <c r="P811" t="n">
        <v>0</v>
      </c>
      <c r="Q811" t="n">
        <v>0</v>
      </c>
      <c r="R811" s="2" t="inlineStr"/>
    </row>
    <row r="812" ht="15" customHeight="1">
      <c r="A812" t="inlineStr">
        <is>
          <t>A 45346-2023</t>
        </is>
      </c>
      <c r="B812" s="1" t="n">
        <v>45191</v>
      </c>
      <c r="C812" s="1" t="n">
        <v>46037</v>
      </c>
      <c r="D812" t="inlineStr">
        <is>
          <t>JÄMTLANDS LÄN</t>
        </is>
      </c>
      <c r="E812" t="inlineStr">
        <is>
          <t>BERG</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51039-2024</t>
        </is>
      </c>
      <c r="B813" s="1" t="n">
        <v>45603.43164351852</v>
      </c>
      <c r="C813" s="1" t="n">
        <v>46037</v>
      </c>
      <c r="D813" t="inlineStr">
        <is>
          <t>JÄMTLANDS LÄN</t>
        </is>
      </c>
      <c r="E813" t="inlineStr">
        <is>
          <t>BERG</t>
        </is>
      </c>
      <c r="G813" t="n">
        <v>14</v>
      </c>
      <c r="H813" t="n">
        <v>0</v>
      </c>
      <c r="I813" t="n">
        <v>0</v>
      </c>
      <c r="J813" t="n">
        <v>0</v>
      </c>
      <c r="K813" t="n">
        <v>0</v>
      </c>
      <c r="L813" t="n">
        <v>0</v>
      </c>
      <c r="M813" t="n">
        <v>0</v>
      </c>
      <c r="N813" t="n">
        <v>0</v>
      </c>
      <c r="O813" t="n">
        <v>0</v>
      </c>
      <c r="P813" t="n">
        <v>0</v>
      </c>
      <c r="Q813" t="n">
        <v>0</v>
      </c>
      <c r="R813" s="2" t="inlineStr"/>
    </row>
    <row r="814" ht="15" customHeight="1">
      <c r="A814" t="inlineStr">
        <is>
          <t>A 20882-2023</t>
        </is>
      </c>
      <c r="B814" s="1" t="n">
        <v>45058</v>
      </c>
      <c r="C814" s="1" t="n">
        <v>46037</v>
      </c>
      <c r="D814" t="inlineStr">
        <is>
          <t>JÄMTLANDS LÄN</t>
        </is>
      </c>
      <c r="E814" t="inlineStr">
        <is>
          <t>BERG</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59521-2024</t>
        </is>
      </c>
      <c r="B815" s="1" t="n">
        <v>45638.57283564815</v>
      </c>
      <c r="C815" s="1" t="n">
        <v>46037</v>
      </c>
      <c r="D815" t="inlineStr">
        <is>
          <t>JÄMTLANDS LÄN</t>
        </is>
      </c>
      <c r="E815" t="inlineStr">
        <is>
          <t>BERG</t>
        </is>
      </c>
      <c r="G815" t="n">
        <v>2.1</v>
      </c>
      <c r="H815" t="n">
        <v>0</v>
      </c>
      <c r="I815" t="n">
        <v>0</v>
      </c>
      <c r="J815" t="n">
        <v>0</v>
      </c>
      <c r="K815" t="n">
        <v>0</v>
      </c>
      <c r="L815" t="n">
        <v>0</v>
      </c>
      <c r="M815" t="n">
        <v>0</v>
      </c>
      <c r="N815" t="n">
        <v>0</v>
      </c>
      <c r="O815" t="n">
        <v>0</v>
      </c>
      <c r="P815" t="n">
        <v>0</v>
      </c>
      <c r="Q815" t="n">
        <v>0</v>
      </c>
      <c r="R815" s="2" t="inlineStr"/>
    </row>
    <row r="816" ht="15" customHeight="1">
      <c r="A816" t="inlineStr">
        <is>
          <t>A 48307-2024</t>
        </is>
      </c>
      <c r="B816" s="1" t="n">
        <v>45590.47684027778</v>
      </c>
      <c r="C816" s="1" t="n">
        <v>46037</v>
      </c>
      <c r="D816" t="inlineStr">
        <is>
          <t>JÄMTLANDS LÄN</t>
        </is>
      </c>
      <c r="E816" t="inlineStr">
        <is>
          <t>BERG</t>
        </is>
      </c>
      <c r="G816" t="n">
        <v>3.8</v>
      </c>
      <c r="H816" t="n">
        <v>0</v>
      </c>
      <c r="I816" t="n">
        <v>0</v>
      </c>
      <c r="J816" t="n">
        <v>0</v>
      </c>
      <c r="K816" t="n">
        <v>0</v>
      </c>
      <c r="L816" t="n">
        <v>0</v>
      </c>
      <c r="M816" t="n">
        <v>0</v>
      </c>
      <c r="N816" t="n">
        <v>0</v>
      </c>
      <c r="O816" t="n">
        <v>0</v>
      </c>
      <c r="P816" t="n">
        <v>0</v>
      </c>
      <c r="Q816" t="n">
        <v>0</v>
      </c>
      <c r="R816" s="2" t="inlineStr"/>
    </row>
    <row r="817" ht="15" customHeight="1">
      <c r="A817" t="inlineStr">
        <is>
          <t>A 46874-2023</t>
        </is>
      </c>
      <c r="B817" s="1" t="n">
        <v>45200</v>
      </c>
      <c r="C817" s="1" t="n">
        <v>46037</v>
      </c>
      <c r="D817" t="inlineStr">
        <is>
          <t>JÄMTLANDS LÄN</t>
        </is>
      </c>
      <c r="E817" t="inlineStr">
        <is>
          <t>BERG</t>
        </is>
      </c>
      <c r="F817" t="inlineStr">
        <is>
          <t>Naturvårdsverket</t>
        </is>
      </c>
      <c r="G817" t="n">
        <v>1.1</v>
      </c>
      <c r="H817" t="n">
        <v>0</v>
      </c>
      <c r="I817" t="n">
        <v>0</v>
      </c>
      <c r="J817" t="n">
        <v>0</v>
      </c>
      <c r="K817" t="n">
        <v>0</v>
      </c>
      <c r="L817" t="n">
        <v>0</v>
      </c>
      <c r="M817" t="n">
        <v>0</v>
      </c>
      <c r="N817" t="n">
        <v>0</v>
      </c>
      <c r="O817" t="n">
        <v>0</v>
      </c>
      <c r="P817" t="n">
        <v>0</v>
      </c>
      <c r="Q817" t="n">
        <v>0</v>
      </c>
      <c r="R817" s="2" t="inlineStr"/>
    </row>
    <row r="818" ht="15" customHeight="1">
      <c r="A818" t="inlineStr">
        <is>
          <t>A 1495-2025</t>
        </is>
      </c>
      <c r="B818" s="1" t="n">
        <v>45670.40652777778</v>
      </c>
      <c r="C818" s="1" t="n">
        <v>46037</v>
      </c>
      <c r="D818" t="inlineStr">
        <is>
          <t>JÄMTLANDS LÄN</t>
        </is>
      </c>
      <c r="E818" t="inlineStr">
        <is>
          <t>BERG</t>
        </is>
      </c>
      <c r="G818" t="n">
        <v>0.3</v>
      </c>
      <c r="H818" t="n">
        <v>0</v>
      </c>
      <c r="I818" t="n">
        <v>0</v>
      </c>
      <c r="J818" t="n">
        <v>0</v>
      </c>
      <c r="K818" t="n">
        <v>0</v>
      </c>
      <c r="L818" t="n">
        <v>0</v>
      </c>
      <c r="M818" t="n">
        <v>0</v>
      </c>
      <c r="N818" t="n">
        <v>0</v>
      </c>
      <c r="O818" t="n">
        <v>0</v>
      </c>
      <c r="P818" t="n">
        <v>0</v>
      </c>
      <c r="Q818" t="n">
        <v>0</v>
      </c>
      <c r="R818" s="2" t="inlineStr"/>
    </row>
    <row r="819" ht="15" customHeight="1">
      <c r="A819" t="inlineStr">
        <is>
          <t>A 35986-2023</t>
        </is>
      </c>
      <c r="B819" s="1" t="n">
        <v>45148</v>
      </c>
      <c r="C819" s="1" t="n">
        <v>46037</v>
      </c>
      <c r="D819" t="inlineStr">
        <is>
          <t>JÄMTLANDS LÄN</t>
        </is>
      </c>
      <c r="E819" t="inlineStr">
        <is>
          <t>BERG</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57661-2024</t>
        </is>
      </c>
      <c r="B820" s="1" t="n">
        <v>45630.6140162037</v>
      </c>
      <c r="C820" s="1" t="n">
        <v>46037</v>
      </c>
      <c r="D820" t="inlineStr">
        <is>
          <t>JÄMTLANDS LÄN</t>
        </is>
      </c>
      <c r="E820" t="inlineStr">
        <is>
          <t>BERG</t>
        </is>
      </c>
      <c r="G820" t="n">
        <v>0.8</v>
      </c>
      <c r="H820" t="n">
        <v>0</v>
      </c>
      <c r="I820" t="n">
        <v>0</v>
      </c>
      <c r="J820" t="n">
        <v>0</v>
      </c>
      <c r="K820" t="n">
        <v>0</v>
      </c>
      <c r="L820" t="n">
        <v>0</v>
      </c>
      <c r="M820" t="n">
        <v>0</v>
      </c>
      <c r="N820" t="n">
        <v>0</v>
      </c>
      <c r="O820" t="n">
        <v>0</v>
      </c>
      <c r="P820" t="n">
        <v>0</v>
      </c>
      <c r="Q820" t="n">
        <v>0</v>
      </c>
      <c r="R820" s="2" t="inlineStr"/>
    </row>
    <row r="821" ht="15" customHeight="1">
      <c r="A821" t="inlineStr">
        <is>
          <t>A 58176-2024</t>
        </is>
      </c>
      <c r="B821" s="1" t="n">
        <v>45632.46771990741</v>
      </c>
      <c r="C821" s="1" t="n">
        <v>46037</v>
      </c>
      <c r="D821" t="inlineStr">
        <is>
          <t>JÄMTLANDS LÄN</t>
        </is>
      </c>
      <c r="E821" t="inlineStr">
        <is>
          <t>BERG</t>
        </is>
      </c>
      <c r="G821" t="n">
        <v>14.4</v>
      </c>
      <c r="H821" t="n">
        <v>0</v>
      </c>
      <c r="I821" t="n">
        <v>0</v>
      </c>
      <c r="J821" t="n">
        <v>0</v>
      </c>
      <c r="K821" t="n">
        <v>0</v>
      </c>
      <c r="L821" t="n">
        <v>0</v>
      </c>
      <c r="M821" t="n">
        <v>0</v>
      </c>
      <c r="N821" t="n">
        <v>0</v>
      </c>
      <c r="O821" t="n">
        <v>0</v>
      </c>
      <c r="P821" t="n">
        <v>0</v>
      </c>
      <c r="Q821" t="n">
        <v>0</v>
      </c>
      <c r="R821" s="2" t="inlineStr"/>
    </row>
    <row r="822" ht="15" customHeight="1">
      <c r="A822" t="inlineStr">
        <is>
          <t>A 7021-2025</t>
        </is>
      </c>
      <c r="B822" s="1" t="n">
        <v>45701.61520833334</v>
      </c>
      <c r="C822" s="1" t="n">
        <v>46037</v>
      </c>
      <c r="D822" t="inlineStr">
        <is>
          <t>JÄMTLANDS LÄN</t>
        </is>
      </c>
      <c r="E822" t="inlineStr">
        <is>
          <t>BERG</t>
        </is>
      </c>
      <c r="G822" t="n">
        <v>4.2</v>
      </c>
      <c r="H822" t="n">
        <v>0</v>
      </c>
      <c r="I822" t="n">
        <v>0</v>
      </c>
      <c r="J822" t="n">
        <v>0</v>
      </c>
      <c r="K822" t="n">
        <v>0</v>
      </c>
      <c r="L822" t="n">
        <v>0</v>
      </c>
      <c r="M822" t="n">
        <v>0</v>
      </c>
      <c r="N822" t="n">
        <v>0</v>
      </c>
      <c r="O822" t="n">
        <v>0</v>
      </c>
      <c r="P822" t="n">
        <v>0</v>
      </c>
      <c r="Q822" t="n">
        <v>0</v>
      </c>
      <c r="R822" s="2" t="inlineStr"/>
    </row>
    <row r="823" ht="15" customHeight="1">
      <c r="A823" t="inlineStr">
        <is>
          <t>A 49048-2024</t>
        </is>
      </c>
      <c r="B823" s="1" t="n">
        <v>45594.57427083333</v>
      </c>
      <c r="C823" s="1" t="n">
        <v>46037</v>
      </c>
      <c r="D823" t="inlineStr">
        <is>
          <t>JÄMTLANDS LÄN</t>
        </is>
      </c>
      <c r="E823" t="inlineStr">
        <is>
          <t>BERG</t>
        </is>
      </c>
      <c r="G823" t="n">
        <v>1.3</v>
      </c>
      <c r="H823" t="n">
        <v>0</v>
      </c>
      <c r="I823" t="n">
        <v>0</v>
      </c>
      <c r="J823" t="n">
        <v>0</v>
      </c>
      <c r="K823" t="n">
        <v>0</v>
      </c>
      <c r="L823" t="n">
        <v>0</v>
      </c>
      <c r="M823" t="n">
        <v>0</v>
      </c>
      <c r="N823" t="n">
        <v>0</v>
      </c>
      <c r="O823" t="n">
        <v>0</v>
      </c>
      <c r="P823" t="n">
        <v>0</v>
      </c>
      <c r="Q823" t="n">
        <v>0</v>
      </c>
      <c r="R823" s="2" t="inlineStr"/>
    </row>
    <row r="824" ht="15" customHeight="1">
      <c r="A824" t="inlineStr">
        <is>
          <t>A 37248-2023</t>
        </is>
      </c>
      <c r="B824" s="1" t="n">
        <v>45155.954375</v>
      </c>
      <c r="C824" s="1" t="n">
        <v>46037</v>
      </c>
      <c r="D824" t="inlineStr">
        <is>
          <t>JÄMTLANDS LÄN</t>
        </is>
      </c>
      <c r="E824" t="inlineStr">
        <is>
          <t>BERG</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2855-2025</t>
        </is>
      </c>
      <c r="B825" s="1" t="n">
        <v>45678</v>
      </c>
      <c r="C825" s="1" t="n">
        <v>46037</v>
      </c>
      <c r="D825" t="inlineStr">
        <is>
          <t>JÄMTLANDS LÄN</t>
        </is>
      </c>
      <c r="E825" t="inlineStr">
        <is>
          <t>BERG</t>
        </is>
      </c>
      <c r="G825" t="n">
        <v>1</v>
      </c>
      <c r="H825" t="n">
        <v>0</v>
      </c>
      <c r="I825" t="n">
        <v>0</v>
      </c>
      <c r="J825" t="n">
        <v>0</v>
      </c>
      <c r="K825" t="n">
        <v>0</v>
      </c>
      <c r="L825" t="n">
        <v>0</v>
      </c>
      <c r="M825" t="n">
        <v>0</v>
      </c>
      <c r="N825" t="n">
        <v>0</v>
      </c>
      <c r="O825" t="n">
        <v>0</v>
      </c>
      <c r="P825" t="n">
        <v>0</v>
      </c>
      <c r="Q825" t="n">
        <v>0</v>
      </c>
      <c r="R825" s="2" t="inlineStr"/>
    </row>
    <row r="826" ht="15" customHeight="1">
      <c r="A826" t="inlineStr">
        <is>
          <t>A 7482-2022</t>
        </is>
      </c>
      <c r="B826" s="1" t="n">
        <v>44606</v>
      </c>
      <c r="C826" s="1" t="n">
        <v>46037</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61085-2024</t>
        </is>
      </c>
      <c r="B827" s="1" t="n">
        <v>45645.53202546296</v>
      </c>
      <c r="C827" s="1" t="n">
        <v>46037</v>
      </c>
      <c r="D827" t="inlineStr">
        <is>
          <t>JÄMTLANDS LÄN</t>
        </is>
      </c>
      <c r="E827" t="inlineStr">
        <is>
          <t>BERG</t>
        </is>
      </c>
      <c r="F827" t="inlineStr">
        <is>
          <t>SCA</t>
        </is>
      </c>
      <c r="G827" t="n">
        <v>12.2</v>
      </c>
      <c r="H827" t="n">
        <v>0</v>
      </c>
      <c r="I827" t="n">
        <v>0</v>
      </c>
      <c r="J827" t="n">
        <v>0</v>
      </c>
      <c r="K827" t="n">
        <v>0</v>
      </c>
      <c r="L827" t="n">
        <v>0</v>
      </c>
      <c r="M827" t="n">
        <v>0</v>
      </c>
      <c r="N827" t="n">
        <v>0</v>
      </c>
      <c r="O827" t="n">
        <v>0</v>
      </c>
      <c r="P827" t="n">
        <v>0</v>
      </c>
      <c r="Q827" t="n">
        <v>0</v>
      </c>
      <c r="R827" s="2" t="inlineStr"/>
    </row>
    <row r="828" ht="15" customHeight="1">
      <c r="A828" t="inlineStr">
        <is>
          <t>A 3961-2025</t>
        </is>
      </c>
      <c r="B828" s="1" t="n">
        <v>45684.50217592593</v>
      </c>
      <c r="C828" s="1" t="n">
        <v>46037</v>
      </c>
      <c r="D828" t="inlineStr">
        <is>
          <t>JÄMTLANDS LÄN</t>
        </is>
      </c>
      <c r="E828" t="inlineStr">
        <is>
          <t>BERG</t>
        </is>
      </c>
      <c r="G828" t="n">
        <v>14.9</v>
      </c>
      <c r="H828" t="n">
        <v>0</v>
      </c>
      <c r="I828" t="n">
        <v>0</v>
      </c>
      <c r="J828" t="n">
        <v>0</v>
      </c>
      <c r="K828" t="n">
        <v>0</v>
      </c>
      <c r="L828" t="n">
        <v>0</v>
      </c>
      <c r="M828" t="n">
        <v>0</v>
      </c>
      <c r="N828" t="n">
        <v>0</v>
      </c>
      <c r="O828" t="n">
        <v>0</v>
      </c>
      <c r="P828" t="n">
        <v>0</v>
      </c>
      <c r="Q828" t="n">
        <v>0</v>
      </c>
      <c r="R828" s="2" t="inlineStr"/>
    </row>
    <row r="829" ht="15" customHeight="1">
      <c r="A829" t="inlineStr">
        <is>
          <t>A 3964-2025</t>
        </is>
      </c>
      <c r="B829" s="1" t="n">
        <v>45684.50761574074</v>
      </c>
      <c r="C829" s="1" t="n">
        <v>46037</v>
      </c>
      <c r="D829" t="inlineStr">
        <is>
          <t>JÄMTLANDS LÄN</t>
        </is>
      </c>
      <c r="E829" t="inlineStr">
        <is>
          <t>BERG</t>
        </is>
      </c>
      <c r="G829" t="n">
        <v>0.7</v>
      </c>
      <c r="H829" t="n">
        <v>0</v>
      </c>
      <c r="I829" t="n">
        <v>0</v>
      </c>
      <c r="J829" t="n">
        <v>0</v>
      </c>
      <c r="K829" t="n">
        <v>0</v>
      </c>
      <c r="L829" t="n">
        <v>0</v>
      </c>
      <c r="M829" t="n">
        <v>0</v>
      </c>
      <c r="N829" t="n">
        <v>0</v>
      </c>
      <c r="O829" t="n">
        <v>0</v>
      </c>
      <c r="P829" t="n">
        <v>0</v>
      </c>
      <c r="Q829" t="n">
        <v>0</v>
      </c>
      <c r="R829" s="2" t="inlineStr"/>
    </row>
    <row r="830" ht="15" customHeight="1">
      <c r="A830" t="inlineStr">
        <is>
          <t>A 13149-2025</t>
        </is>
      </c>
      <c r="B830" s="1" t="n">
        <v>45735.34424768519</v>
      </c>
      <c r="C830" s="1" t="n">
        <v>46037</v>
      </c>
      <c r="D830" t="inlineStr">
        <is>
          <t>JÄMTLANDS LÄN</t>
        </is>
      </c>
      <c r="E830" t="inlineStr">
        <is>
          <t>BERG</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53085-2024</t>
        </is>
      </c>
      <c r="B831" s="1" t="n">
        <v>45611.51072916666</v>
      </c>
      <c r="C831" s="1" t="n">
        <v>46037</v>
      </c>
      <c r="D831" t="inlineStr">
        <is>
          <t>JÄMTLANDS LÄN</t>
        </is>
      </c>
      <c r="E831" t="inlineStr">
        <is>
          <t>BERG</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2247-2025</t>
        </is>
      </c>
      <c r="B832" s="1" t="n">
        <v>45673.49039351852</v>
      </c>
      <c r="C832" s="1" t="n">
        <v>46037</v>
      </c>
      <c r="D832" t="inlineStr">
        <is>
          <t>JÄMTLANDS LÄN</t>
        </is>
      </c>
      <c r="E832" t="inlineStr">
        <is>
          <t>BERG</t>
        </is>
      </c>
      <c r="F832" t="inlineStr">
        <is>
          <t>SCA</t>
        </is>
      </c>
      <c r="G832" t="n">
        <v>13.3</v>
      </c>
      <c r="H832" t="n">
        <v>0</v>
      </c>
      <c r="I832" t="n">
        <v>0</v>
      </c>
      <c r="J832" t="n">
        <v>0</v>
      </c>
      <c r="K832" t="n">
        <v>0</v>
      </c>
      <c r="L832" t="n">
        <v>0</v>
      </c>
      <c r="M832" t="n">
        <v>0</v>
      </c>
      <c r="N832" t="n">
        <v>0</v>
      </c>
      <c r="O832" t="n">
        <v>0</v>
      </c>
      <c r="P832" t="n">
        <v>0</v>
      </c>
      <c r="Q832" t="n">
        <v>0</v>
      </c>
      <c r="R832" s="2" t="inlineStr"/>
    </row>
    <row r="833" ht="15" customHeight="1">
      <c r="A833" t="inlineStr">
        <is>
          <t>A 48069-2023</t>
        </is>
      </c>
      <c r="B833" s="1" t="n">
        <v>45204</v>
      </c>
      <c r="C833" s="1" t="n">
        <v>46037</v>
      </c>
      <c r="D833" t="inlineStr">
        <is>
          <t>JÄMTLANDS LÄN</t>
        </is>
      </c>
      <c r="E833" t="inlineStr">
        <is>
          <t>BERG</t>
        </is>
      </c>
      <c r="F833" t="inlineStr">
        <is>
          <t>SCA</t>
        </is>
      </c>
      <c r="G833" t="n">
        <v>11.2</v>
      </c>
      <c r="H833" t="n">
        <v>0</v>
      </c>
      <c r="I833" t="n">
        <v>0</v>
      </c>
      <c r="J833" t="n">
        <v>0</v>
      </c>
      <c r="K833" t="n">
        <v>0</v>
      </c>
      <c r="L833" t="n">
        <v>0</v>
      </c>
      <c r="M833" t="n">
        <v>0</v>
      </c>
      <c r="N833" t="n">
        <v>0</v>
      </c>
      <c r="O833" t="n">
        <v>0</v>
      </c>
      <c r="P833" t="n">
        <v>0</v>
      </c>
      <c r="Q833" t="n">
        <v>0</v>
      </c>
      <c r="R833" s="2" t="inlineStr"/>
    </row>
    <row r="834" ht="15" customHeight="1">
      <c r="A834" t="inlineStr">
        <is>
          <t>A 34819-2023</t>
        </is>
      </c>
      <c r="B834" s="1" t="n">
        <v>45140</v>
      </c>
      <c r="C834" s="1" t="n">
        <v>46037</v>
      </c>
      <c r="D834" t="inlineStr">
        <is>
          <t>JÄMTLANDS LÄN</t>
        </is>
      </c>
      <c r="E834" t="inlineStr">
        <is>
          <t>BERG</t>
        </is>
      </c>
      <c r="G834" t="n">
        <v>0.8</v>
      </c>
      <c r="H834" t="n">
        <v>0</v>
      </c>
      <c r="I834" t="n">
        <v>0</v>
      </c>
      <c r="J834" t="n">
        <v>0</v>
      </c>
      <c r="K834" t="n">
        <v>0</v>
      </c>
      <c r="L834" t="n">
        <v>0</v>
      </c>
      <c r="M834" t="n">
        <v>0</v>
      </c>
      <c r="N834" t="n">
        <v>0</v>
      </c>
      <c r="O834" t="n">
        <v>0</v>
      </c>
      <c r="P834" t="n">
        <v>0</v>
      </c>
      <c r="Q834" t="n">
        <v>0</v>
      </c>
      <c r="R834" s="2" t="inlineStr"/>
    </row>
    <row r="835" ht="15" customHeight="1">
      <c r="A835" t="inlineStr">
        <is>
          <t>A 36708-2023</t>
        </is>
      </c>
      <c r="B835" s="1" t="n">
        <v>45153.65226851852</v>
      </c>
      <c r="C835" s="1" t="n">
        <v>46037</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1520-2022</t>
        </is>
      </c>
      <c r="B836" s="1" t="n">
        <v>44572</v>
      </c>
      <c r="C836" s="1" t="n">
        <v>46037</v>
      </c>
      <c r="D836" t="inlineStr">
        <is>
          <t>JÄMTLANDS LÄN</t>
        </is>
      </c>
      <c r="E836" t="inlineStr">
        <is>
          <t>BERG</t>
        </is>
      </c>
      <c r="G836" t="n">
        <v>7.7</v>
      </c>
      <c r="H836" t="n">
        <v>0</v>
      </c>
      <c r="I836" t="n">
        <v>0</v>
      </c>
      <c r="J836" t="n">
        <v>0</v>
      </c>
      <c r="K836" t="n">
        <v>0</v>
      </c>
      <c r="L836" t="n">
        <v>0</v>
      </c>
      <c r="M836" t="n">
        <v>0</v>
      </c>
      <c r="N836" t="n">
        <v>0</v>
      </c>
      <c r="O836" t="n">
        <v>0</v>
      </c>
      <c r="P836" t="n">
        <v>0</v>
      </c>
      <c r="Q836" t="n">
        <v>0</v>
      </c>
      <c r="R836" s="2" t="inlineStr"/>
    </row>
    <row r="837" ht="15" customHeight="1">
      <c r="A837" t="inlineStr">
        <is>
          <t>A 46816-2023</t>
        </is>
      </c>
      <c r="B837" s="1" t="n">
        <v>45198</v>
      </c>
      <c r="C837" s="1" t="n">
        <v>46037</v>
      </c>
      <c r="D837" t="inlineStr">
        <is>
          <t>JÄMTLANDS LÄN</t>
        </is>
      </c>
      <c r="E837" t="inlineStr">
        <is>
          <t>BERG</t>
        </is>
      </c>
      <c r="F837" t="inlineStr">
        <is>
          <t>SCA</t>
        </is>
      </c>
      <c r="G837" t="n">
        <v>66.2</v>
      </c>
      <c r="H837" t="n">
        <v>0</v>
      </c>
      <c r="I837" t="n">
        <v>0</v>
      </c>
      <c r="J837" t="n">
        <v>0</v>
      </c>
      <c r="K837" t="n">
        <v>0</v>
      </c>
      <c r="L837" t="n">
        <v>0</v>
      </c>
      <c r="M837" t="n">
        <v>0</v>
      </c>
      <c r="N837" t="n">
        <v>0</v>
      </c>
      <c r="O837" t="n">
        <v>0</v>
      </c>
      <c r="P837" t="n">
        <v>0</v>
      </c>
      <c r="Q837" t="n">
        <v>0</v>
      </c>
      <c r="R837" s="2" t="inlineStr"/>
    </row>
    <row r="838" ht="15" customHeight="1">
      <c r="A838" t="inlineStr">
        <is>
          <t>A 31641-2022</t>
        </is>
      </c>
      <c r="B838" s="1" t="n">
        <v>44775.94119212963</v>
      </c>
      <c r="C838" s="1" t="n">
        <v>46037</v>
      </c>
      <c r="D838" t="inlineStr">
        <is>
          <t>JÄMTLANDS LÄN</t>
        </is>
      </c>
      <c r="E838" t="inlineStr">
        <is>
          <t>BERG</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46872-2023</t>
        </is>
      </c>
      <c r="B839" s="1" t="n">
        <v>45200</v>
      </c>
      <c r="C839" s="1" t="n">
        <v>46037</v>
      </c>
      <c r="D839" t="inlineStr">
        <is>
          <t>JÄMTLANDS LÄN</t>
        </is>
      </c>
      <c r="E839" t="inlineStr">
        <is>
          <t>BERG</t>
        </is>
      </c>
      <c r="F839" t="inlineStr">
        <is>
          <t>Naturvårdsverket</t>
        </is>
      </c>
      <c r="G839" t="n">
        <v>1.2</v>
      </c>
      <c r="H839" t="n">
        <v>0</v>
      </c>
      <c r="I839" t="n">
        <v>0</v>
      </c>
      <c r="J839" t="n">
        <v>0</v>
      </c>
      <c r="K839" t="n">
        <v>0</v>
      </c>
      <c r="L839" t="n">
        <v>0</v>
      </c>
      <c r="M839" t="n">
        <v>0</v>
      </c>
      <c r="N839" t="n">
        <v>0</v>
      </c>
      <c r="O839" t="n">
        <v>0</v>
      </c>
      <c r="P839" t="n">
        <v>0</v>
      </c>
      <c r="Q839" t="n">
        <v>0</v>
      </c>
      <c r="R839" s="2" t="inlineStr"/>
      <c r="U839">
        <f>HYPERLINK("https://klasma.github.io/Logging_2326/knärot/A 46872-2023 karta knärot.png", "A 46872-2023")</f>
        <v/>
      </c>
      <c r="V839">
        <f>HYPERLINK("https://klasma.github.io/Logging_2326/klagomål/A 46872-2023 FSC-klagomål.docx", "A 46872-2023")</f>
        <v/>
      </c>
      <c r="W839">
        <f>HYPERLINK("https://klasma.github.io/Logging_2326/klagomålsmail/A 46872-2023 FSC-klagomål mail.docx", "A 46872-2023")</f>
        <v/>
      </c>
      <c r="X839">
        <f>HYPERLINK("https://klasma.github.io/Logging_2326/tillsyn/A 46872-2023 tillsynsbegäran.docx", "A 46872-2023")</f>
        <v/>
      </c>
      <c r="Y839">
        <f>HYPERLINK("https://klasma.github.io/Logging_2326/tillsynsmail/A 46872-2023 tillsynsbegäran mail.docx", "A 46872-2023")</f>
        <v/>
      </c>
    </row>
    <row r="840" ht="15" customHeight="1">
      <c r="A840" t="inlineStr">
        <is>
          <t>A 22275-2022</t>
        </is>
      </c>
      <c r="B840" s="1" t="n">
        <v>44712</v>
      </c>
      <c r="C840" s="1" t="n">
        <v>46037</v>
      </c>
      <c r="D840" t="inlineStr">
        <is>
          <t>JÄMTLANDS LÄN</t>
        </is>
      </c>
      <c r="E840" t="inlineStr">
        <is>
          <t>BERG</t>
        </is>
      </c>
      <c r="G840" t="n">
        <v>2.1</v>
      </c>
      <c r="H840" t="n">
        <v>0</v>
      </c>
      <c r="I840" t="n">
        <v>0</v>
      </c>
      <c r="J840" t="n">
        <v>0</v>
      </c>
      <c r="K840" t="n">
        <v>0</v>
      </c>
      <c r="L840" t="n">
        <v>0</v>
      </c>
      <c r="M840" t="n">
        <v>0</v>
      </c>
      <c r="N840" t="n">
        <v>0</v>
      </c>
      <c r="O840" t="n">
        <v>0</v>
      </c>
      <c r="P840" t="n">
        <v>0</v>
      </c>
      <c r="Q840" t="n">
        <v>0</v>
      </c>
      <c r="R840" s="2" t="inlineStr"/>
    </row>
    <row r="841" ht="15" customHeight="1">
      <c r="A841" t="inlineStr">
        <is>
          <t>A 31682-2022</t>
        </is>
      </c>
      <c r="B841" s="1" t="n">
        <v>44776</v>
      </c>
      <c r="C841" s="1" t="n">
        <v>46037</v>
      </c>
      <c r="D841" t="inlineStr">
        <is>
          <t>JÄMTLANDS LÄN</t>
        </is>
      </c>
      <c r="E841" t="inlineStr">
        <is>
          <t>BERG</t>
        </is>
      </c>
      <c r="G841" t="n">
        <v>8</v>
      </c>
      <c r="H841" t="n">
        <v>0</v>
      </c>
      <c r="I841" t="n">
        <v>0</v>
      </c>
      <c r="J841" t="n">
        <v>0</v>
      </c>
      <c r="K841" t="n">
        <v>0</v>
      </c>
      <c r="L841" t="n">
        <v>0</v>
      </c>
      <c r="M841" t="n">
        <v>0</v>
      </c>
      <c r="N841" t="n">
        <v>0</v>
      </c>
      <c r="O841" t="n">
        <v>0</v>
      </c>
      <c r="P841" t="n">
        <v>0</v>
      </c>
      <c r="Q841" t="n">
        <v>0</v>
      </c>
      <c r="R841" s="2" t="inlineStr"/>
    </row>
    <row r="842" ht="15" customHeight="1">
      <c r="A842" t="inlineStr">
        <is>
          <t>A 50706-2023</t>
        </is>
      </c>
      <c r="B842" s="1" t="n">
        <v>45217.55832175926</v>
      </c>
      <c r="C842" s="1" t="n">
        <v>46037</v>
      </c>
      <c r="D842" t="inlineStr">
        <is>
          <t>JÄMTLANDS LÄN</t>
        </is>
      </c>
      <c r="E842" t="inlineStr">
        <is>
          <t>BERG</t>
        </is>
      </c>
      <c r="G842" t="n">
        <v>4.1</v>
      </c>
      <c r="H842" t="n">
        <v>0</v>
      </c>
      <c r="I842" t="n">
        <v>0</v>
      </c>
      <c r="J842" t="n">
        <v>0</v>
      </c>
      <c r="K842" t="n">
        <v>0</v>
      </c>
      <c r="L842" t="n">
        <v>0</v>
      </c>
      <c r="M842" t="n">
        <v>0</v>
      </c>
      <c r="N842" t="n">
        <v>0</v>
      </c>
      <c r="O842" t="n">
        <v>0</v>
      </c>
      <c r="P842" t="n">
        <v>0</v>
      </c>
      <c r="Q842" t="n">
        <v>0</v>
      </c>
      <c r="R842" s="2" t="inlineStr"/>
    </row>
    <row r="843" ht="15" customHeight="1">
      <c r="A843" t="inlineStr">
        <is>
          <t>A 54415-2023</t>
        </is>
      </c>
      <c r="B843" s="1" t="n">
        <v>45233.40039351852</v>
      </c>
      <c r="C843" s="1" t="n">
        <v>46037</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47176-2023</t>
        </is>
      </c>
      <c r="B844" s="1" t="n">
        <v>45201.94844907407</v>
      </c>
      <c r="C844" s="1" t="n">
        <v>46037</v>
      </c>
      <c r="D844" t="inlineStr">
        <is>
          <t>JÄMTLANDS LÄN</t>
        </is>
      </c>
      <c r="E844" t="inlineStr">
        <is>
          <t>BERG</t>
        </is>
      </c>
      <c r="F844" t="inlineStr">
        <is>
          <t>SCA</t>
        </is>
      </c>
      <c r="G844" t="n">
        <v>32.3</v>
      </c>
      <c r="H844" t="n">
        <v>0</v>
      </c>
      <c r="I844" t="n">
        <v>0</v>
      </c>
      <c r="J844" t="n">
        <v>0</v>
      </c>
      <c r="K844" t="n">
        <v>0</v>
      </c>
      <c r="L844" t="n">
        <v>0</v>
      </c>
      <c r="M844" t="n">
        <v>0</v>
      </c>
      <c r="N844" t="n">
        <v>0</v>
      </c>
      <c r="O844" t="n">
        <v>0</v>
      </c>
      <c r="P844" t="n">
        <v>0</v>
      </c>
      <c r="Q844" t="n">
        <v>0</v>
      </c>
      <c r="R844" s="2" t="inlineStr"/>
    </row>
    <row r="845" ht="15" customHeight="1">
      <c r="A845" t="inlineStr">
        <is>
          <t>A 41098-2023</t>
        </is>
      </c>
      <c r="B845" s="1" t="n">
        <v>45170</v>
      </c>
      <c r="C845" s="1" t="n">
        <v>46037</v>
      </c>
      <c r="D845" t="inlineStr">
        <is>
          <t>JÄMTLANDS LÄN</t>
        </is>
      </c>
      <c r="E845" t="inlineStr">
        <is>
          <t>BERG</t>
        </is>
      </c>
      <c r="G845" t="n">
        <v>3.1</v>
      </c>
      <c r="H845" t="n">
        <v>0</v>
      </c>
      <c r="I845" t="n">
        <v>0</v>
      </c>
      <c r="J845" t="n">
        <v>0</v>
      </c>
      <c r="K845" t="n">
        <v>0</v>
      </c>
      <c r="L845" t="n">
        <v>0</v>
      </c>
      <c r="M845" t="n">
        <v>0</v>
      </c>
      <c r="N845" t="n">
        <v>0</v>
      </c>
      <c r="O845" t="n">
        <v>0</v>
      </c>
      <c r="P845" t="n">
        <v>0</v>
      </c>
      <c r="Q845" t="n">
        <v>0</v>
      </c>
      <c r="R845" s="2" t="inlineStr"/>
    </row>
    <row r="846" ht="15" customHeight="1">
      <c r="A846" t="inlineStr">
        <is>
          <t>A 41106-2023</t>
        </is>
      </c>
      <c r="B846" s="1" t="n">
        <v>45170</v>
      </c>
      <c r="C846" s="1" t="n">
        <v>46037</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40415-2023</t>
        </is>
      </c>
      <c r="B847" s="1" t="n">
        <v>45169.93925925926</v>
      </c>
      <c r="C847" s="1" t="n">
        <v>46037</v>
      </c>
      <c r="D847" t="inlineStr">
        <is>
          <t>JÄMTLANDS LÄN</t>
        </is>
      </c>
      <c r="E847" t="inlineStr">
        <is>
          <t>BERG</t>
        </is>
      </c>
      <c r="F847" t="inlineStr">
        <is>
          <t>SCA</t>
        </is>
      </c>
      <c r="G847" t="n">
        <v>10.2</v>
      </c>
      <c r="H847" t="n">
        <v>0</v>
      </c>
      <c r="I847" t="n">
        <v>0</v>
      </c>
      <c r="J847" t="n">
        <v>0</v>
      </c>
      <c r="K847" t="n">
        <v>0</v>
      </c>
      <c r="L847" t="n">
        <v>0</v>
      </c>
      <c r="M847" t="n">
        <v>0</v>
      </c>
      <c r="N847" t="n">
        <v>0</v>
      </c>
      <c r="O847" t="n">
        <v>0</v>
      </c>
      <c r="P847" t="n">
        <v>0</v>
      </c>
      <c r="Q847" t="n">
        <v>0</v>
      </c>
      <c r="R847" s="2" t="inlineStr"/>
    </row>
    <row r="848" ht="15" customHeight="1">
      <c r="A848" t="inlineStr">
        <is>
          <t>A 54998-2023</t>
        </is>
      </c>
      <c r="B848" s="1" t="n">
        <v>45236</v>
      </c>
      <c r="C848" s="1" t="n">
        <v>46037</v>
      </c>
      <c r="D848" t="inlineStr">
        <is>
          <t>JÄMTLANDS LÄN</t>
        </is>
      </c>
      <c r="E848" t="inlineStr">
        <is>
          <t>BERG</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26944-2022</t>
        </is>
      </c>
      <c r="B849" s="1" t="n">
        <v>44740</v>
      </c>
      <c r="C849" s="1" t="n">
        <v>46037</v>
      </c>
      <c r="D849" t="inlineStr">
        <is>
          <t>JÄMTLANDS LÄN</t>
        </is>
      </c>
      <c r="E849" t="inlineStr">
        <is>
          <t>BERG</t>
        </is>
      </c>
      <c r="G849" t="n">
        <v>3.3</v>
      </c>
      <c r="H849" t="n">
        <v>0</v>
      </c>
      <c r="I849" t="n">
        <v>0</v>
      </c>
      <c r="J849" t="n">
        <v>0</v>
      </c>
      <c r="K849" t="n">
        <v>0</v>
      </c>
      <c r="L849" t="n">
        <v>0</v>
      </c>
      <c r="M849" t="n">
        <v>0</v>
      </c>
      <c r="N849" t="n">
        <v>0</v>
      </c>
      <c r="O849" t="n">
        <v>0</v>
      </c>
      <c r="P849" t="n">
        <v>0</v>
      </c>
      <c r="Q849" t="n">
        <v>0</v>
      </c>
      <c r="R849" s="2" t="inlineStr"/>
    </row>
    <row r="850" ht="15" customHeight="1">
      <c r="A850" t="inlineStr">
        <is>
          <t>A 63819-2023</t>
        </is>
      </c>
      <c r="B850" s="1" t="n">
        <v>45278.44128472222</v>
      </c>
      <c r="C850" s="1" t="n">
        <v>46037</v>
      </c>
      <c r="D850" t="inlineStr">
        <is>
          <t>JÄMTLANDS LÄN</t>
        </is>
      </c>
      <c r="E850" t="inlineStr">
        <is>
          <t>BERG</t>
        </is>
      </c>
      <c r="G850" t="n">
        <v>1.8</v>
      </c>
      <c r="H850" t="n">
        <v>0</v>
      </c>
      <c r="I850" t="n">
        <v>0</v>
      </c>
      <c r="J850" t="n">
        <v>0</v>
      </c>
      <c r="K850" t="n">
        <v>0</v>
      </c>
      <c r="L850" t="n">
        <v>0</v>
      </c>
      <c r="M850" t="n">
        <v>0</v>
      </c>
      <c r="N850" t="n">
        <v>0</v>
      </c>
      <c r="O850" t="n">
        <v>0</v>
      </c>
      <c r="P850" t="n">
        <v>0</v>
      </c>
      <c r="Q850" t="n">
        <v>0</v>
      </c>
      <c r="R850" s="2" t="inlineStr"/>
    </row>
    <row r="851" ht="15" customHeight="1">
      <c r="A851" t="inlineStr">
        <is>
          <t>A 44088-2021</t>
        </is>
      </c>
      <c r="B851" s="1" t="n">
        <v>44434</v>
      </c>
      <c r="C851" s="1" t="n">
        <v>46037</v>
      </c>
      <c r="D851" t="inlineStr">
        <is>
          <t>JÄMTLANDS LÄN</t>
        </is>
      </c>
      <c r="E851" t="inlineStr">
        <is>
          <t>BERG</t>
        </is>
      </c>
      <c r="G851" t="n">
        <v>1.1</v>
      </c>
      <c r="H851" t="n">
        <v>0</v>
      </c>
      <c r="I851" t="n">
        <v>0</v>
      </c>
      <c r="J851" t="n">
        <v>0</v>
      </c>
      <c r="K851" t="n">
        <v>0</v>
      </c>
      <c r="L851" t="n">
        <v>0</v>
      </c>
      <c r="M851" t="n">
        <v>0</v>
      </c>
      <c r="N851" t="n">
        <v>0</v>
      </c>
      <c r="O851" t="n">
        <v>0</v>
      </c>
      <c r="P851" t="n">
        <v>0</v>
      </c>
      <c r="Q851" t="n">
        <v>0</v>
      </c>
      <c r="R851" s="2" t="inlineStr"/>
    </row>
    <row r="852" ht="15" customHeight="1">
      <c r="A852" t="inlineStr">
        <is>
          <t>A 39510-2023</t>
        </is>
      </c>
      <c r="B852" s="1" t="n">
        <v>45166</v>
      </c>
      <c r="C852" s="1" t="n">
        <v>46037</v>
      </c>
      <c r="D852" t="inlineStr">
        <is>
          <t>JÄMTLANDS LÄN</t>
        </is>
      </c>
      <c r="E852" t="inlineStr">
        <is>
          <t>BERG</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19513-2025</t>
        </is>
      </c>
      <c r="B853" s="1" t="n">
        <v>45770.42762731481</v>
      </c>
      <c r="C853" s="1" t="n">
        <v>46037</v>
      </c>
      <c r="D853" t="inlineStr">
        <is>
          <t>JÄMTLANDS LÄN</t>
        </is>
      </c>
      <c r="E853" t="inlineStr">
        <is>
          <t>BERG</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1596-2024</t>
        </is>
      </c>
      <c r="B854" s="1" t="n">
        <v>45306</v>
      </c>
      <c r="C854" s="1" t="n">
        <v>46037</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36192-2024</t>
        </is>
      </c>
      <c r="B855" s="1" t="n">
        <v>45534.42809027778</v>
      </c>
      <c r="C855" s="1" t="n">
        <v>46037</v>
      </c>
      <c r="D855" t="inlineStr">
        <is>
          <t>JÄMTLANDS LÄN</t>
        </is>
      </c>
      <c r="E855" t="inlineStr">
        <is>
          <t>BERG</t>
        </is>
      </c>
      <c r="G855" t="n">
        <v>1.4</v>
      </c>
      <c r="H855" t="n">
        <v>0</v>
      </c>
      <c r="I855" t="n">
        <v>0</v>
      </c>
      <c r="J855" t="n">
        <v>0</v>
      </c>
      <c r="K855" t="n">
        <v>0</v>
      </c>
      <c r="L855" t="n">
        <v>0</v>
      </c>
      <c r="M855" t="n">
        <v>0</v>
      </c>
      <c r="N855" t="n">
        <v>0</v>
      </c>
      <c r="O855" t="n">
        <v>0</v>
      </c>
      <c r="P855" t="n">
        <v>0</v>
      </c>
      <c r="Q855" t="n">
        <v>0</v>
      </c>
      <c r="R855" s="2" t="inlineStr"/>
    </row>
    <row r="856" ht="15" customHeight="1">
      <c r="A856" t="inlineStr">
        <is>
          <t>A 166-2024</t>
        </is>
      </c>
      <c r="B856" s="1" t="n">
        <v>45294</v>
      </c>
      <c r="C856" s="1" t="n">
        <v>46037</v>
      </c>
      <c r="D856" t="inlineStr">
        <is>
          <t>JÄMTLANDS LÄN</t>
        </is>
      </c>
      <c r="E856" t="inlineStr">
        <is>
          <t>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8722-2024</t>
        </is>
      </c>
      <c r="B857" s="1" t="n">
        <v>45355</v>
      </c>
      <c r="C857" s="1" t="n">
        <v>46037</v>
      </c>
      <c r="D857" t="inlineStr">
        <is>
          <t>JÄMTLANDS LÄN</t>
        </is>
      </c>
      <c r="E857" t="inlineStr">
        <is>
          <t>BERG</t>
        </is>
      </c>
      <c r="G857" t="n">
        <v>2.4</v>
      </c>
      <c r="H857" t="n">
        <v>0</v>
      </c>
      <c r="I857" t="n">
        <v>0</v>
      </c>
      <c r="J857" t="n">
        <v>0</v>
      </c>
      <c r="K857" t="n">
        <v>0</v>
      </c>
      <c r="L857" t="n">
        <v>0</v>
      </c>
      <c r="M857" t="n">
        <v>0</v>
      </c>
      <c r="N857" t="n">
        <v>0</v>
      </c>
      <c r="O857" t="n">
        <v>0</v>
      </c>
      <c r="P857" t="n">
        <v>0</v>
      </c>
      <c r="Q857" t="n">
        <v>0</v>
      </c>
      <c r="R857" s="2" t="inlineStr"/>
    </row>
    <row r="858" ht="15" customHeight="1">
      <c r="A858" t="inlineStr">
        <is>
          <t>A 8726-2024</t>
        </is>
      </c>
      <c r="B858" s="1" t="n">
        <v>45355</v>
      </c>
      <c r="C858" s="1" t="n">
        <v>46037</v>
      </c>
      <c r="D858" t="inlineStr">
        <is>
          <t>JÄMTLANDS LÄN</t>
        </is>
      </c>
      <c r="E858" t="inlineStr">
        <is>
          <t>BERG</t>
        </is>
      </c>
      <c r="G858" t="n">
        <v>1.3</v>
      </c>
      <c r="H858" t="n">
        <v>0</v>
      </c>
      <c r="I858" t="n">
        <v>0</v>
      </c>
      <c r="J858" t="n">
        <v>0</v>
      </c>
      <c r="K858" t="n">
        <v>0</v>
      </c>
      <c r="L858" t="n">
        <v>0</v>
      </c>
      <c r="M858" t="n">
        <v>0</v>
      </c>
      <c r="N858" t="n">
        <v>0</v>
      </c>
      <c r="O858" t="n">
        <v>0</v>
      </c>
      <c r="P858" t="n">
        <v>0</v>
      </c>
      <c r="Q858" t="n">
        <v>0</v>
      </c>
      <c r="R858" s="2" t="inlineStr"/>
    </row>
    <row r="859" ht="15" customHeight="1">
      <c r="A859" t="inlineStr">
        <is>
          <t>A 7040-2024</t>
        </is>
      </c>
      <c r="B859" s="1" t="n">
        <v>45343</v>
      </c>
      <c r="C859" s="1" t="n">
        <v>46037</v>
      </c>
      <c r="D859" t="inlineStr">
        <is>
          <t>JÄMTLANDS LÄN</t>
        </is>
      </c>
      <c r="E859" t="inlineStr">
        <is>
          <t>BERG</t>
        </is>
      </c>
      <c r="G859" t="n">
        <v>15.9</v>
      </c>
      <c r="H859" t="n">
        <v>0</v>
      </c>
      <c r="I859" t="n">
        <v>0</v>
      </c>
      <c r="J859" t="n">
        <v>0</v>
      </c>
      <c r="K859" t="n">
        <v>0</v>
      </c>
      <c r="L859" t="n">
        <v>0</v>
      </c>
      <c r="M859" t="n">
        <v>0</v>
      </c>
      <c r="N859" t="n">
        <v>0</v>
      </c>
      <c r="O859" t="n">
        <v>0</v>
      </c>
      <c r="P859" t="n">
        <v>0</v>
      </c>
      <c r="Q859" t="n">
        <v>0</v>
      </c>
      <c r="R859" s="2" t="inlineStr"/>
    </row>
    <row r="860" ht="15" customHeight="1">
      <c r="A860" t="inlineStr">
        <is>
          <t>A 5215-2024</t>
        </is>
      </c>
      <c r="B860" s="1" t="n">
        <v>45330</v>
      </c>
      <c r="C860" s="1" t="n">
        <v>46037</v>
      </c>
      <c r="D860" t="inlineStr">
        <is>
          <t>JÄMTLANDS LÄN</t>
        </is>
      </c>
      <c r="E860" t="inlineStr">
        <is>
          <t>BERG</t>
        </is>
      </c>
      <c r="G860" t="n">
        <v>0.8</v>
      </c>
      <c r="H860" t="n">
        <v>0</v>
      </c>
      <c r="I860" t="n">
        <v>0</v>
      </c>
      <c r="J860" t="n">
        <v>0</v>
      </c>
      <c r="K860" t="n">
        <v>0</v>
      </c>
      <c r="L860" t="n">
        <v>0</v>
      </c>
      <c r="M860" t="n">
        <v>0</v>
      </c>
      <c r="N860" t="n">
        <v>0</v>
      </c>
      <c r="O860" t="n">
        <v>0</v>
      </c>
      <c r="P860" t="n">
        <v>0</v>
      </c>
      <c r="Q860" t="n">
        <v>0</v>
      </c>
      <c r="R860" s="2" t="inlineStr"/>
    </row>
    <row r="861" ht="15" customHeight="1">
      <c r="A861" t="inlineStr">
        <is>
          <t>A 14341-2025</t>
        </is>
      </c>
      <c r="B861" s="1" t="n">
        <v>45741.26008101852</v>
      </c>
      <c r="C861" s="1" t="n">
        <v>46037</v>
      </c>
      <c r="D861" t="inlineStr">
        <is>
          <t>JÄMTLANDS LÄN</t>
        </is>
      </c>
      <c r="E861" t="inlineStr">
        <is>
          <t>BERG</t>
        </is>
      </c>
      <c r="G861" t="n">
        <v>3.8</v>
      </c>
      <c r="H861" t="n">
        <v>0</v>
      </c>
      <c r="I861" t="n">
        <v>0</v>
      </c>
      <c r="J861" t="n">
        <v>0</v>
      </c>
      <c r="K861" t="n">
        <v>0</v>
      </c>
      <c r="L861" t="n">
        <v>0</v>
      </c>
      <c r="M861" t="n">
        <v>0</v>
      </c>
      <c r="N861" t="n">
        <v>0</v>
      </c>
      <c r="O861" t="n">
        <v>0</v>
      </c>
      <c r="P861" t="n">
        <v>0</v>
      </c>
      <c r="Q861" t="n">
        <v>0</v>
      </c>
      <c r="R861" s="2" t="inlineStr"/>
    </row>
    <row r="862" ht="15" customHeight="1">
      <c r="A862" t="inlineStr">
        <is>
          <t>A 57669-2024</t>
        </is>
      </c>
      <c r="B862" s="1" t="n">
        <v>45630.62520833333</v>
      </c>
      <c r="C862" s="1" t="n">
        <v>46037</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31131-2024</t>
        </is>
      </c>
      <c r="B863" s="1" t="n">
        <v>45502</v>
      </c>
      <c r="C863" s="1" t="n">
        <v>46037</v>
      </c>
      <c r="D863" t="inlineStr">
        <is>
          <t>JÄMTLANDS LÄN</t>
        </is>
      </c>
      <c r="E863" t="inlineStr">
        <is>
          <t>BERG</t>
        </is>
      </c>
      <c r="G863" t="n">
        <v>2.1</v>
      </c>
      <c r="H863" t="n">
        <v>0</v>
      </c>
      <c r="I863" t="n">
        <v>0</v>
      </c>
      <c r="J863" t="n">
        <v>0</v>
      </c>
      <c r="K863" t="n">
        <v>0</v>
      </c>
      <c r="L863" t="n">
        <v>0</v>
      </c>
      <c r="M863" t="n">
        <v>0</v>
      </c>
      <c r="N863" t="n">
        <v>0</v>
      </c>
      <c r="O863" t="n">
        <v>0</v>
      </c>
      <c r="P863" t="n">
        <v>0</v>
      </c>
      <c r="Q863" t="n">
        <v>0</v>
      </c>
      <c r="R863" s="2" t="inlineStr"/>
    </row>
    <row r="864" ht="15" customHeight="1">
      <c r="A864" t="inlineStr">
        <is>
          <t>A 31154-2024</t>
        </is>
      </c>
      <c r="B864" s="1" t="n">
        <v>45503.32976851852</v>
      </c>
      <c r="C864" s="1" t="n">
        <v>46037</v>
      </c>
      <c r="D864" t="inlineStr">
        <is>
          <t>JÄMTLANDS LÄN</t>
        </is>
      </c>
      <c r="E864" t="inlineStr">
        <is>
          <t>BERG</t>
        </is>
      </c>
      <c r="G864" t="n">
        <v>2.3</v>
      </c>
      <c r="H864" t="n">
        <v>0</v>
      </c>
      <c r="I864" t="n">
        <v>0</v>
      </c>
      <c r="J864" t="n">
        <v>0</v>
      </c>
      <c r="K864" t="n">
        <v>0</v>
      </c>
      <c r="L864" t="n">
        <v>0</v>
      </c>
      <c r="M864" t="n">
        <v>0</v>
      </c>
      <c r="N864" t="n">
        <v>0</v>
      </c>
      <c r="O864" t="n">
        <v>0</v>
      </c>
      <c r="P864" t="n">
        <v>0</v>
      </c>
      <c r="Q864" t="n">
        <v>0</v>
      </c>
      <c r="R864" s="2" t="inlineStr"/>
    </row>
    <row r="865" ht="15" customHeight="1">
      <c r="A865" t="inlineStr">
        <is>
          <t>A 19538-2023</t>
        </is>
      </c>
      <c r="B865" s="1" t="n">
        <v>45050</v>
      </c>
      <c r="C865" s="1" t="n">
        <v>46037</v>
      </c>
      <c r="D865" t="inlineStr">
        <is>
          <t>JÄMTLANDS LÄN</t>
        </is>
      </c>
      <c r="E865" t="inlineStr">
        <is>
          <t>BERG</t>
        </is>
      </c>
      <c r="G865" t="n">
        <v>1.4</v>
      </c>
      <c r="H865" t="n">
        <v>0</v>
      </c>
      <c r="I865" t="n">
        <v>0</v>
      </c>
      <c r="J865" t="n">
        <v>0</v>
      </c>
      <c r="K865" t="n">
        <v>0</v>
      </c>
      <c r="L865" t="n">
        <v>0</v>
      </c>
      <c r="M865" t="n">
        <v>0</v>
      </c>
      <c r="N865" t="n">
        <v>0</v>
      </c>
      <c r="O865" t="n">
        <v>0</v>
      </c>
      <c r="P865" t="n">
        <v>0</v>
      </c>
      <c r="Q865" t="n">
        <v>0</v>
      </c>
      <c r="R865" s="2" t="inlineStr"/>
    </row>
    <row r="866" ht="15" customHeight="1">
      <c r="A866" t="inlineStr">
        <is>
          <t>A 13473-2025</t>
        </is>
      </c>
      <c r="B866" s="1" t="n">
        <v>45736.40671296296</v>
      </c>
      <c r="C866" s="1" t="n">
        <v>46037</v>
      </c>
      <c r="D866" t="inlineStr">
        <is>
          <t>JÄMTLANDS LÄN</t>
        </is>
      </c>
      <c r="E866" t="inlineStr">
        <is>
          <t>BERG</t>
        </is>
      </c>
      <c r="F866" t="inlineStr">
        <is>
          <t>SCA</t>
        </is>
      </c>
      <c r="G866" t="n">
        <v>13.7</v>
      </c>
      <c r="H866" t="n">
        <v>0</v>
      </c>
      <c r="I866" t="n">
        <v>0</v>
      </c>
      <c r="J866" t="n">
        <v>0</v>
      </c>
      <c r="K866" t="n">
        <v>0</v>
      </c>
      <c r="L866" t="n">
        <v>0</v>
      </c>
      <c r="M866" t="n">
        <v>0</v>
      </c>
      <c r="N866" t="n">
        <v>0</v>
      </c>
      <c r="O866" t="n">
        <v>0</v>
      </c>
      <c r="P866" t="n">
        <v>0</v>
      </c>
      <c r="Q866" t="n">
        <v>0</v>
      </c>
      <c r="R866" s="2" t="inlineStr"/>
    </row>
    <row r="867" ht="15" customHeight="1">
      <c r="A867" t="inlineStr">
        <is>
          <t>A 18551-2025</t>
        </is>
      </c>
      <c r="B867" s="1" t="n">
        <v>45763.43650462963</v>
      </c>
      <c r="C867" s="1" t="n">
        <v>46037</v>
      </c>
      <c r="D867" t="inlineStr">
        <is>
          <t>JÄMTLANDS LÄN</t>
        </is>
      </c>
      <c r="E867" t="inlineStr">
        <is>
          <t>BERG</t>
        </is>
      </c>
      <c r="G867" t="n">
        <v>3.5</v>
      </c>
      <c r="H867" t="n">
        <v>0</v>
      </c>
      <c r="I867" t="n">
        <v>0</v>
      </c>
      <c r="J867" t="n">
        <v>0</v>
      </c>
      <c r="K867" t="n">
        <v>0</v>
      </c>
      <c r="L867" t="n">
        <v>0</v>
      </c>
      <c r="M867" t="n">
        <v>0</v>
      </c>
      <c r="N867" t="n">
        <v>0</v>
      </c>
      <c r="O867" t="n">
        <v>0</v>
      </c>
      <c r="P867" t="n">
        <v>0</v>
      </c>
      <c r="Q867" t="n">
        <v>0</v>
      </c>
      <c r="R867" s="2" t="inlineStr"/>
    </row>
    <row r="868" ht="15" customHeight="1">
      <c r="A868" t="inlineStr">
        <is>
          <t>A 16491-2023</t>
        </is>
      </c>
      <c r="B868" s="1" t="n">
        <v>45027</v>
      </c>
      <c r="C868" s="1" t="n">
        <v>46037</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8239-2024</t>
        </is>
      </c>
      <c r="B869" s="1" t="n">
        <v>45351</v>
      </c>
      <c r="C869" s="1" t="n">
        <v>46037</v>
      </c>
      <c r="D869" t="inlineStr">
        <is>
          <t>JÄMTLANDS LÄN</t>
        </is>
      </c>
      <c r="E869" t="inlineStr">
        <is>
          <t>BERG</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64247-2023</t>
        </is>
      </c>
      <c r="B870" s="1" t="n">
        <v>45279.92739583334</v>
      </c>
      <c r="C870" s="1" t="n">
        <v>46037</v>
      </c>
      <c r="D870" t="inlineStr">
        <is>
          <t>JÄMTLANDS LÄN</t>
        </is>
      </c>
      <c r="E870" t="inlineStr">
        <is>
          <t>BERG</t>
        </is>
      </c>
      <c r="G870" t="n">
        <v>0.9</v>
      </c>
      <c r="H870" t="n">
        <v>0</v>
      </c>
      <c r="I870" t="n">
        <v>0</v>
      </c>
      <c r="J870" t="n">
        <v>0</v>
      </c>
      <c r="K870" t="n">
        <v>0</v>
      </c>
      <c r="L870" t="n">
        <v>0</v>
      </c>
      <c r="M870" t="n">
        <v>0</v>
      </c>
      <c r="N870" t="n">
        <v>0</v>
      </c>
      <c r="O870" t="n">
        <v>0</v>
      </c>
      <c r="P870" t="n">
        <v>0</v>
      </c>
      <c r="Q870" t="n">
        <v>0</v>
      </c>
      <c r="R870" s="2" t="inlineStr"/>
    </row>
    <row r="871" ht="15" customHeight="1">
      <c r="A871" t="inlineStr">
        <is>
          <t>A 62555-2023</t>
        </is>
      </c>
      <c r="B871" s="1" t="n">
        <v>45268.9262962963</v>
      </c>
      <c r="C871" s="1" t="n">
        <v>46037</v>
      </c>
      <c r="D871" t="inlineStr">
        <is>
          <t>JÄMTLANDS LÄN</t>
        </is>
      </c>
      <c r="E871" t="inlineStr">
        <is>
          <t>BERG</t>
        </is>
      </c>
      <c r="G871" t="n">
        <v>5</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46037</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31079-2024</t>
        </is>
      </c>
      <c r="B873" s="1" t="n">
        <v>45502.46423611111</v>
      </c>
      <c r="C873" s="1" t="n">
        <v>46037</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16002-2025</t>
        </is>
      </c>
      <c r="B874" s="1" t="n">
        <v>45749.59398148148</v>
      </c>
      <c r="C874" s="1" t="n">
        <v>46037</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14226-2021</t>
        </is>
      </c>
      <c r="B875" s="1" t="n">
        <v>44277</v>
      </c>
      <c r="C875" s="1" t="n">
        <v>46037</v>
      </c>
      <c r="D875" t="inlineStr">
        <is>
          <t>JÄMTLANDS LÄN</t>
        </is>
      </c>
      <c r="E875" t="inlineStr">
        <is>
          <t>BERG</t>
        </is>
      </c>
      <c r="G875" t="n">
        <v>23.7</v>
      </c>
      <c r="H875" t="n">
        <v>0</v>
      </c>
      <c r="I875" t="n">
        <v>0</v>
      </c>
      <c r="J875" t="n">
        <v>0</v>
      </c>
      <c r="K875" t="n">
        <v>0</v>
      </c>
      <c r="L875" t="n">
        <v>0</v>
      </c>
      <c r="M875" t="n">
        <v>0</v>
      </c>
      <c r="N875" t="n">
        <v>0</v>
      </c>
      <c r="O875" t="n">
        <v>0</v>
      </c>
      <c r="P875" t="n">
        <v>0</v>
      </c>
      <c r="Q875" t="n">
        <v>0</v>
      </c>
      <c r="R875" s="2" t="inlineStr"/>
    </row>
    <row r="876" ht="15" customHeight="1">
      <c r="A876" t="inlineStr">
        <is>
          <t>A 8251-2023</t>
        </is>
      </c>
      <c r="B876" s="1" t="n">
        <v>44974</v>
      </c>
      <c r="C876" s="1" t="n">
        <v>46037</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46037</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39785-2024</t>
        </is>
      </c>
      <c r="B878" s="1" t="n">
        <v>45553.29927083333</v>
      </c>
      <c r="C878" s="1" t="n">
        <v>46037</v>
      </c>
      <c r="D878" t="inlineStr">
        <is>
          <t>JÄMTLANDS LÄN</t>
        </is>
      </c>
      <c r="E878" t="inlineStr">
        <is>
          <t>BERG</t>
        </is>
      </c>
      <c r="G878" t="n">
        <v>16.1</v>
      </c>
      <c r="H878" t="n">
        <v>0</v>
      </c>
      <c r="I878" t="n">
        <v>0</v>
      </c>
      <c r="J878" t="n">
        <v>0</v>
      </c>
      <c r="K878" t="n">
        <v>0</v>
      </c>
      <c r="L878" t="n">
        <v>0</v>
      </c>
      <c r="M878" t="n">
        <v>0</v>
      </c>
      <c r="N878" t="n">
        <v>0</v>
      </c>
      <c r="O878" t="n">
        <v>0</v>
      </c>
      <c r="P878" t="n">
        <v>0</v>
      </c>
      <c r="Q878" t="n">
        <v>0</v>
      </c>
      <c r="R878" s="2" t="inlineStr"/>
    </row>
    <row r="879" ht="15" customHeight="1">
      <c r="A879" t="inlineStr">
        <is>
          <t>A 26918-2024</t>
        </is>
      </c>
      <c r="B879" s="1" t="n">
        <v>45470</v>
      </c>
      <c r="C879" s="1" t="n">
        <v>46037</v>
      </c>
      <c r="D879" t="inlineStr">
        <is>
          <t>JÄMTLANDS LÄN</t>
        </is>
      </c>
      <c r="E879" t="inlineStr">
        <is>
          <t>BERG</t>
        </is>
      </c>
      <c r="G879" t="n">
        <v>0.4</v>
      </c>
      <c r="H879" t="n">
        <v>0</v>
      </c>
      <c r="I879" t="n">
        <v>0</v>
      </c>
      <c r="J879" t="n">
        <v>0</v>
      </c>
      <c r="K879" t="n">
        <v>0</v>
      </c>
      <c r="L879" t="n">
        <v>0</v>
      </c>
      <c r="M879" t="n">
        <v>0</v>
      </c>
      <c r="N879" t="n">
        <v>0</v>
      </c>
      <c r="O879" t="n">
        <v>0</v>
      </c>
      <c r="P879" t="n">
        <v>0</v>
      </c>
      <c r="Q879" t="n">
        <v>0</v>
      </c>
      <c r="R879" s="2" t="inlineStr"/>
    </row>
    <row r="880" ht="15" customHeight="1">
      <c r="A880" t="inlineStr">
        <is>
          <t>A 62153-2022</t>
        </is>
      </c>
      <c r="B880" s="1" t="n">
        <v>44914</v>
      </c>
      <c r="C880" s="1" t="n">
        <v>46037</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13805-2024</t>
        </is>
      </c>
      <c r="B881" s="1" t="n">
        <v>45390</v>
      </c>
      <c r="C881" s="1" t="n">
        <v>46037</v>
      </c>
      <c r="D881" t="inlineStr">
        <is>
          <t>JÄMTLANDS LÄN</t>
        </is>
      </c>
      <c r="E881" t="inlineStr">
        <is>
          <t>BERG</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62104-2023</t>
        </is>
      </c>
      <c r="B882" s="1" t="n">
        <v>45266.95052083334</v>
      </c>
      <c r="C882" s="1" t="n">
        <v>46037</v>
      </c>
      <c r="D882" t="inlineStr">
        <is>
          <t>JÄMTLANDS LÄN</t>
        </is>
      </c>
      <c r="E882" t="inlineStr">
        <is>
          <t>BERG</t>
        </is>
      </c>
      <c r="G882" t="n">
        <v>1.5</v>
      </c>
      <c r="H882" t="n">
        <v>0</v>
      </c>
      <c r="I882" t="n">
        <v>0</v>
      </c>
      <c r="J882" t="n">
        <v>0</v>
      </c>
      <c r="K882" t="n">
        <v>0</v>
      </c>
      <c r="L882" t="n">
        <v>0</v>
      </c>
      <c r="M882" t="n">
        <v>0</v>
      </c>
      <c r="N882" t="n">
        <v>0</v>
      </c>
      <c r="O882" t="n">
        <v>0</v>
      </c>
      <c r="P882" t="n">
        <v>0</v>
      </c>
      <c r="Q882" t="n">
        <v>0</v>
      </c>
      <c r="R882" s="2" t="inlineStr"/>
    </row>
    <row r="883" ht="15" customHeight="1">
      <c r="A883" t="inlineStr">
        <is>
          <t>A 62105-2023</t>
        </is>
      </c>
      <c r="B883" s="1" t="n">
        <v>45266.95074074074</v>
      </c>
      <c r="C883" s="1" t="n">
        <v>46037</v>
      </c>
      <c r="D883" t="inlineStr">
        <is>
          <t>JÄMTLANDS LÄN</t>
        </is>
      </c>
      <c r="E883" t="inlineStr">
        <is>
          <t>BERG</t>
        </is>
      </c>
      <c r="F883" t="inlineStr">
        <is>
          <t>SCA</t>
        </is>
      </c>
      <c r="G883" t="n">
        <v>13.1</v>
      </c>
      <c r="H883" t="n">
        <v>0</v>
      </c>
      <c r="I883" t="n">
        <v>0</v>
      </c>
      <c r="J883" t="n">
        <v>0</v>
      </c>
      <c r="K883" t="n">
        <v>0</v>
      </c>
      <c r="L883" t="n">
        <v>0</v>
      </c>
      <c r="M883" t="n">
        <v>0</v>
      </c>
      <c r="N883" t="n">
        <v>0</v>
      </c>
      <c r="O883" t="n">
        <v>0</v>
      </c>
      <c r="P883" t="n">
        <v>0</v>
      </c>
      <c r="Q883" t="n">
        <v>0</v>
      </c>
      <c r="R883" s="2" t="inlineStr"/>
    </row>
    <row r="884" ht="15" customHeight="1">
      <c r="A884" t="inlineStr">
        <is>
          <t>A 32147-2024</t>
        </is>
      </c>
      <c r="B884" s="1" t="n">
        <v>45511.55600694445</v>
      </c>
      <c r="C884" s="1" t="n">
        <v>46037</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32156-2024</t>
        </is>
      </c>
      <c r="B885" s="1" t="n">
        <v>45511</v>
      </c>
      <c r="C885" s="1" t="n">
        <v>46037</v>
      </c>
      <c r="D885" t="inlineStr">
        <is>
          <t>JÄMTLANDS LÄN</t>
        </is>
      </c>
      <c r="E885" t="inlineStr">
        <is>
          <t>BERG</t>
        </is>
      </c>
      <c r="G885" t="n">
        <v>3.4</v>
      </c>
      <c r="H885" t="n">
        <v>0</v>
      </c>
      <c r="I885" t="n">
        <v>0</v>
      </c>
      <c r="J885" t="n">
        <v>0</v>
      </c>
      <c r="K885" t="n">
        <v>0</v>
      </c>
      <c r="L885" t="n">
        <v>0</v>
      </c>
      <c r="M885" t="n">
        <v>0</v>
      </c>
      <c r="N885" t="n">
        <v>0</v>
      </c>
      <c r="O885" t="n">
        <v>0</v>
      </c>
      <c r="P885" t="n">
        <v>0</v>
      </c>
      <c r="Q885" t="n">
        <v>0</v>
      </c>
      <c r="R885" s="2" t="inlineStr"/>
    </row>
    <row r="886" ht="15" customHeight="1">
      <c r="A886" t="inlineStr">
        <is>
          <t>A 39103-2024</t>
        </is>
      </c>
      <c r="B886" s="1" t="n">
        <v>45548.57025462963</v>
      </c>
      <c r="C886" s="1" t="n">
        <v>46037</v>
      </c>
      <c r="D886" t="inlineStr">
        <is>
          <t>JÄMTLANDS LÄN</t>
        </is>
      </c>
      <c r="E886" t="inlineStr">
        <is>
          <t>BERG</t>
        </is>
      </c>
      <c r="G886" t="n">
        <v>38.4</v>
      </c>
      <c r="H886" t="n">
        <v>0</v>
      </c>
      <c r="I886" t="n">
        <v>0</v>
      </c>
      <c r="J886" t="n">
        <v>0</v>
      </c>
      <c r="K886" t="n">
        <v>0</v>
      </c>
      <c r="L886" t="n">
        <v>0</v>
      </c>
      <c r="M886" t="n">
        <v>0</v>
      </c>
      <c r="N886" t="n">
        <v>0</v>
      </c>
      <c r="O886" t="n">
        <v>0</v>
      </c>
      <c r="P886" t="n">
        <v>0</v>
      </c>
      <c r="Q886" t="n">
        <v>0</v>
      </c>
      <c r="R886" s="2" t="inlineStr"/>
    </row>
    <row r="887" ht="15" customHeight="1">
      <c r="A887" t="inlineStr">
        <is>
          <t>A 41782-2024</t>
        </is>
      </c>
      <c r="B887" s="1" t="n">
        <v>45561</v>
      </c>
      <c r="C887" s="1" t="n">
        <v>46037</v>
      </c>
      <c r="D887" t="inlineStr">
        <is>
          <t>JÄMTLANDS LÄN</t>
        </is>
      </c>
      <c r="E887" t="inlineStr">
        <is>
          <t>BERG</t>
        </is>
      </c>
      <c r="F887" t="inlineStr">
        <is>
          <t>SCA</t>
        </is>
      </c>
      <c r="G887" t="n">
        <v>0.1</v>
      </c>
      <c r="H887" t="n">
        <v>0</v>
      </c>
      <c r="I887" t="n">
        <v>0</v>
      </c>
      <c r="J887" t="n">
        <v>0</v>
      </c>
      <c r="K887" t="n">
        <v>0</v>
      </c>
      <c r="L887" t="n">
        <v>0</v>
      </c>
      <c r="M887" t="n">
        <v>0</v>
      </c>
      <c r="N887" t="n">
        <v>0</v>
      </c>
      <c r="O887" t="n">
        <v>0</v>
      </c>
      <c r="P887" t="n">
        <v>0</v>
      </c>
      <c r="Q887" t="n">
        <v>0</v>
      </c>
      <c r="R887" s="2" t="inlineStr"/>
    </row>
    <row r="888" ht="15" customHeight="1">
      <c r="A888" t="inlineStr">
        <is>
          <t>A 14728-2025</t>
        </is>
      </c>
      <c r="B888" s="1" t="n">
        <v>45742.63574074074</v>
      </c>
      <c r="C888" s="1" t="n">
        <v>46037</v>
      </c>
      <c r="D888" t="inlineStr">
        <is>
          <t>JÄMTLANDS LÄN</t>
        </is>
      </c>
      <c r="E888" t="inlineStr">
        <is>
          <t>BERG</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12499-2021</t>
        </is>
      </c>
      <c r="B889" s="1" t="n">
        <v>44267</v>
      </c>
      <c r="C889" s="1" t="n">
        <v>46037</v>
      </c>
      <c r="D889" t="inlineStr">
        <is>
          <t>JÄMTLANDS LÄN</t>
        </is>
      </c>
      <c r="E889" t="inlineStr">
        <is>
          <t>BERG</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34225-2024</t>
        </is>
      </c>
      <c r="B890" s="1" t="n">
        <v>45524.55398148148</v>
      </c>
      <c r="C890" s="1" t="n">
        <v>46037</v>
      </c>
      <c r="D890" t="inlineStr">
        <is>
          <t>JÄMTLANDS LÄN</t>
        </is>
      </c>
      <c r="E890" t="inlineStr">
        <is>
          <t>BERG</t>
        </is>
      </c>
      <c r="G890" t="n">
        <v>1.3</v>
      </c>
      <c r="H890" t="n">
        <v>0</v>
      </c>
      <c r="I890" t="n">
        <v>0</v>
      </c>
      <c r="J890" t="n">
        <v>0</v>
      </c>
      <c r="K890" t="n">
        <v>0</v>
      </c>
      <c r="L890" t="n">
        <v>0</v>
      </c>
      <c r="M890" t="n">
        <v>0</v>
      </c>
      <c r="N890" t="n">
        <v>0</v>
      </c>
      <c r="O890" t="n">
        <v>0</v>
      </c>
      <c r="P890" t="n">
        <v>0</v>
      </c>
      <c r="Q890" t="n">
        <v>0</v>
      </c>
      <c r="R890" s="2" t="inlineStr"/>
    </row>
    <row r="891" ht="15" customHeight="1">
      <c r="A891" t="inlineStr">
        <is>
          <t>A 41636-2024</t>
        </is>
      </c>
      <c r="B891" s="1" t="n">
        <v>45560.61606481481</v>
      </c>
      <c r="C891" s="1" t="n">
        <v>46037</v>
      </c>
      <c r="D891" t="inlineStr">
        <is>
          <t>JÄMTLANDS LÄN</t>
        </is>
      </c>
      <c r="E891" t="inlineStr">
        <is>
          <t>BERG</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18032-2024</t>
        </is>
      </c>
      <c r="B892" s="1" t="n">
        <v>45420.34979166667</v>
      </c>
      <c r="C892" s="1" t="n">
        <v>46037</v>
      </c>
      <c r="D892" t="inlineStr">
        <is>
          <t>JÄMTLANDS LÄN</t>
        </is>
      </c>
      <c r="E892" t="inlineStr">
        <is>
          <t>BERG</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14772-2021</t>
        </is>
      </c>
      <c r="B893" s="1" t="n">
        <v>44280.62068287037</v>
      </c>
      <c r="C893" s="1" t="n">
        <v>46037</v>
      </c>
      <c r="D893" t="inlineStr">
        <is>
          <t>JÄMTLANDS LÄN</t>
        </is>
      </c>
      <c r="E893" t="inlineStr">
        <is>
          <t>BERG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22947-2022</t>
        </is>
      </c>
      <c r="B894" s="1" t="n">
        <v>44715.92443287037</v>
      </c>
      <c r="C894" s="1" t="n">
        <v>46037</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46902-2024</t>
        </is>
      </c>
      <c r="B895" s="1" t="n">
        <v>45583.69847222222</v>
      </c>
      <c r="C895" s="1" t="n">
        <v>46037</v>
      </c>
      <c r="D895" t="inlineStr">
        <is>
          <t>JÄMTLANDS LÄN</t>
        </is>
      </c>
      <c r="E895" t="inlineStr">
        <is>
          <t>BERG</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45347-2023</t>
        </is>
      </c>
      <c r="B896" s="1" t="n">
        <v>45191</v>
      </c>
      <c r="C896" s="1" t="n">
        <v>46037</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36079-2024</t>
        </is>
      </c>
      <c r="B897" s="1" t="n">
        <v>45533.66685185185</v>
      </c>
      <c r="C897" s="1" t="n">
        <v>46037</v>
      </c>
      <c r="D897" t="inlineStr">
        <is>
          <t>JÄMTLANDS LÄN</t>
        </is>
      </c>
      <c r="E897" t="inlineStr">
        <is>
          <t>BERG</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64487-2023</t>
        </is>
      </c>
      <c r="B898" s="1" t="n">
        <v>45280.92613425926</v>
      </c>
      <c r="C898" s="1" t="n">
        <v>46037</v>
      </c>
      <c r="D898" t="inlineStr">
        <is>
          <t>JÄMTLANDS LÄN</t>
        </is>
      </c>
      <c r="E898" t="inlineStr">
        <is>
          <t>BERG</t>
        </is>
      </c>
      <c r="F898" t="inlineStr">
        <is>
          <t>Övriga Aktiebolag</t>
        </is>
      </c>
      <c r="G898" t="n">
        <v>7.6</v>
      </c>
      <c r="H898" t="n">
        <v>0</v>
      </c>
      <c r="I898" t="n">
        <v>0</v>
      </c>
      <c r="J898" t="n">
        <v>0</v>
      </c>
      <c r="K898" t="n">
        <v>0</v>
      </c>
      <c r="L898" t="n">
        <v>0</v>
      </c>
      <c r="M898" t="n">
        <v>0</v>
      </c>
      <c r="N898" t="n">
        <v>0</v>
      </c>
      <c r="O898" t="n">
        <v>0</v>
      </c>
      <c r="P898" t="n">
        <v>0</v>
      </c>
      <c r="Q898" t="n">
        <v>0</v>
      </c>
      <c r="R898" s="2" t="inlineStr"/>
    </row>
    <row r="899" ht="15" customHeight="1">
      <c r="A899" t="inlineStr">
        <is>
          <t>A 64489-2023</t>
        </is>
      </c>
      <c r="B899" s="1" t="n">
        <v>45280</v>
      </c>
      <c r="C899" s="1" t="n">
        <v>46037</v>
      </c>
      <c r="D899" t="inlineStr">
        <is>
          <t>JÄMTLANDS LÄN</t>
        </is>
      </c>
      <c r="E899" t="inlineStr">
        <is>
          <t>BERG</t>
        </is>
      </c>
      <c r="F899" t="inlineStr">
        <is>
          <t>Övriga Aktiebolag</t>
        </is>
      </c>
      <c r="G899" t="n">
        <v>14.1</v>
      </c>
      <c r="H899" t="n">
        <v>0</v>
      </c>
      <c r="I899" t="n">
        <v>0</v>
      </c>
      <c r="J899" t="n">
        <v>0</v>
      </c>
      <c r="K899" t="n">
        <v>0</v>
      </c>
      <c r="L899" t="n">
        <v>0</v>
      </c>
      <c r="M899" t="n">
        <v>0</v>
      </c>
      <c r="N899" t="n">
        <v>0</v>
      </c>
      <c r="O899" t="n">
        <v>0</v>
      </c>
      <c r="P899" t="n">
        <v>0</v>
      </c>
      <c r="Q899" t="n">
        <v>0</v>
      </c>
      <c r="R899" s="2" t="inlineStr"/>
    </row>
    <row r="900" ht="15" customHeight="1">
      <c r="A900" t="inlineStr">
        <is>
          <t>A 60068-2022</t>
        </is>
      </c>
      <c r="B900" s="1" t="n">
        <v>44902</v>
      </c>
      <c r="C900" s="1" t="n">
        <v>46037</v>
      </c>
      <c r="D900" t="inlineStr">
        <is>
          <t>JÄMTLANDS LÄN</t>
        </is>
      </c>
      <c r="E900" t="inlineStr">
        <is>
          <t>BERG</t>
        </is>
      </c>
      <c r="G900" t="n">
        <v>5.2</v>
      </c>
      <c r="H900" t="n">
        <v>0</v>
      </c>
      <c r="I900" t="n">
        <v>0</v>
      </c>
      <c r="J900" t="n">
        <v>0</v>
      </c>
      <c r="K900" t="n">
        <v>0</v>
      </c>
      <c r="L900" t="n">
        <v>0</v>
      </c>
      <c r="M900" t="n">
        <v>0</v>
      </c>
      <c r="N900" t="n">
        <v>0</v>
      </c>
      <c r="O900" t="n">
        <v>0</v>
      </c>
      <c r="P900" t="n">
        <v>0</v>
      </c>
      <c r="Q900" t="n">
        <v>0</v>
      </c>
      <c r="R900" s="2" t="inlineStr"/>
    </row>
    <row r="901" ht="15" customHeight="1">
      <c r="A901" t="inlineStr">
        <is>
          <t>A 3798-2022</t>
        </is>
      </c>
      <c r="B901" s="1" t="n">
        <v>44586</v>
      </c>
      <c r="C901" s="1" t="n">
        <v>46037</v>
      </c>
      <c r="D901" t="inlineStr">
        <is>
          <t>JÄMTLANDS LÄN</t>
        </is>
      </c>
      <c r="E901" t="inlineStr">
        <is>
          <t>BERG</t>
        </is>
      </c>
      <c r="G901" t="n">
        <v>0.1</v>
      </c>
      <c r="H901" t="n">
        <v>0</v>
      </c>
      <c r="I901" t="n">
        <v>0</v>
      </c>
      <c r="J901" t="n">
        <v>0</v>
      </c>
      <c r="K901" t="n">
        <v>0</v>
      </c>
      <c r="L901" t="n">
        <v>0</v>
      </c>
      <c r="M901" t="n">
        <v>0</v>
      </c>
      <c r="N901" t="n">
        <v>0</v>
      </c>
      <c r="O901" t="n">
        <v>0</v>
      </c>
      <c r="P901" t="n">
        <v>0</v>
      </c>
      <c r="Q901" t="n">
        <v>0</v>
      </c>
      <c r="R901" s="2" t="inlineStr"/>
    </row>
    <row r="902" ht="15" customHeight="1">
      <c r="A902" t="inlineStr">
        <is>
          <t>A 22297-2022</t>
        </is>
      </c>
      <c r="B902" s="1" t="n">
        <v>44712</v>
      </c>
      <c r="C902" s="1" t="n">
        <v>46037</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54992-2023</t>
        </is>
      </c>
      <c r="B903" s="1" t="n">
        <v>45236.96789351852</v>
      </c>
      <c r="C903" s="1" t="n">
        <v>46037</v>
      </c>
      <c r="D903" t="inlineStr">
        <is>
          <t>JÄMTLANDS LÄN</t>
        </is>
      </c>
      <c r="E903" t="inlineStr">
        <is>
          <t>BERG</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54994-2023</t>
        </is>
      </c>
      <c r="B904" s="1" t="n">
        <v>45236</v>
      </c>
      <c r="C904" s="1" t="n">
        <v>46037</v>
      </c>
      <c r="D904" t="inlineStr">
        <is>
          <t>JÄMTLANDS LÄN</t>
        </is>
      </c>
      <c r="E904" t="inlineStr">
        <is>
          <t>BERG</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51548-2023</t>
        </is>
      </c>
      <c r="B905" s="1" t="n">
        <v>45215</v>
      </c>
      <c r="C905" s="1" t="n">
        <v>46037</v>
      </c>
      <c r="D905" t="inlineStr">
        <is>
          <t>JÄMTLANDS LÄN</t>
        </is>
      </c>
      <c r="E905" t="inlineStr">
        <is>
          <t>BERG</t>
        </is>
      </c>
      <c r="G905" t="n">
        <v>4.8</v>
      </c>
      <c r="H905" t="n">
        <v>0</v>
      </c>
      <c r="I905" t="n">
        <v>0</v>
      </c>
      <c r="J905" t="n">
        <v>0</v>
      </c>
      <c r="K905" t="n">
        <v>0</v>
      </c>
      <c r="L905" t="n">
        <v>0</v>
      </c>
      <c r="M905" t="n">
        <v>0</v>
      </c>
      <c r="N905" t="n">
        <v>0</v>
      </c>
      <c r="O905" t="n">
        <v>0</v>
      </c>
      <c r="P905" t="n">
        <v>0</v>
      </c>
      <c r="Q905" t="n">
        <v>0</v>
      </c>
      <c r="R905" s="2" t="inlineStr"/>
    </row>
    <row r="906" ht="15" customHeight="1">
      <c r="A906" t="inlineStr">
        <is>
          <t>A 2472-2025</t>
        </is>
      </c>
      <c r="B906" s="1" t="n">
        <v>45674.47341435185</v>
      </c>
      <c r="C906" s="1" t="n">
        <v>46037</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2474-2025</t>
        </is>
      </c>
      <c r="B907" s="1" t="n">
        <v>45674.47496527778</v>
      </c>
      <c r="C907" s="1" t="n">
        <v>46037</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50780-2021</t>
        </is>
      </c>
      <c r="B908" s="1" t="n">
        <v>44459</v>
      </c>
      <c r="C908" s="1" t="n">
        <v>46037</v>
      </c>
      <c r="D908" t="inlineStr">
        <is>
          <t>JÄMTLANDS LÄN</t>
        </is>
      </c>
      <c r="E908" t="inlineStr">
        <is>
          <t>BERG</t>
        </is>
      </c>
      <c r="G908" t="n">
        <v>3.5</v>
      </c>
      <c r="H908" t="n">
        <v>0</v>
      </c>
      <c r="I908" t="n">
        <v>0</v>
      </c>
      <c r="J908" t="n">
        <v>0</v>
      </c>
      <c r="K908" t="n">
        <v>0</v>
      </c>
      <c r="L908" t="n">
        <v>0</v>
      </c>
      <c r="M908" t="n">
        <v>0</v>
      </c>
      <c r="N908" t="n">
        <v>0</v>
      </c>
      <c r="O908" t="n">
        <v>0</v>
      </c>
      <c r="P908" t="n">
        <v>0</v>
      </c>
      <c r="Q908" t="n">
        <v>0</v>
      </c>
      <c r="R908" s="2" t="inlineStr"/>
    </row>
    <row r="909" ht="15" customHeight="1">
      <c r="A909" t="inlineStr">
        <is>
          <t>A 40824-2023</t>
        </is>
      </c>
      <c r="B909" s="1" t="n">
        <v>45171</v>
      </c>
      <c r="C909" s="1" t="n">
        <v>46037</v>
      </c>
      <c r="D909" t="inlineStr">
        <is>
          <t>JÄMTLANDS LÄN</t>
        </is>
      </c>
      <c r="E909" t="inlineStr">
        <is>
          <t>BERG</t>
        </is>
      </c>
      <c r="G909" t="n">
        <v>0.5</v>
      </c>
      <c r="H909" t="n">
        <v>0</v>
      </c>
      <c r="I909" t="n">
        <v>0</v>
      </c>
      <c r="J909" t="n">
        <v>0</v>
      </c>
      <c r="K909" t="n">
        <v>0</v>
      </c>
      <c r="L909" t="n">
        <v>0</v>
      </c>
      <c r="M909" t="n">
        <v>0</v>
      </c>
      <c r="N909" t="n">
        <v>0</v>
      </c>
      <c r="O909" t="n">
        <v>0</v>
      </c>
      <c r="P909" t="n">
        <v>0</v>
      </c>
      <c r="Q909" t="n">
        <v>0</v>
      </c>
      <c r="R909" s="2" t="inlineStr"/>
    </row>
    <row r="910" ht="15" customHeight="1">
      <c r="A910" t="inlineStr">
        <is>
          <t>A 47119-2024</t>
        </is>
      </c>
      <c r="B910" s="1" t="n">
        <v>45586.56431712963</v>
      </c>
      <c r="C910" s="1" t="n">
        <v>46037</v>
      </c>
      <c r="D910" t="inlineStr">
        <is>
          <t>JÄMTLANDS LÄN</t>
        </is>
      </c>
      <c r="E910" t="inlineStr">
        <is>
          <t>BERG</t>
        </is>
      </c>
      <c r="G910" t="n">
        <v>5</v>
      </c>
      <c r="H910" t="n">
        <v>0</v>
      </c>
      <c r="I910" t="n">
        <v>0</v>
      </c>
      <c r="J910" t="n">
        <v>0</v>
      </c>
      <c r="K910" t="n">
        <v>0</v>
      </c>
      <c r="L910" t="n">
        <v>0</v>
      </c>
      <c r="M910" t="n">
        <v>0</v>
      </c>
      <c r="N910" t="n">
        <v>0</v>
      </c>
      <c r="O910" t="n">
        <v>0</v>
      </c>
      <c r="P910" t="n">
        <v>0</v>
      </c>
      <c r="Q910" t="n">
        <v>0</v>
      </c>
      <c r="R910" s="2" t="inlineStr"/>
    </row>
    <row r="911" ht="15" customHeight="1">
      <c r="A911" t="inlineStr">
        <is>
          <t>A 1982-2022</t>
        </is>
      </c>
      <c r="B911" s="1" t="n">
        <v>44575</v>
      </c>
      <c r="C911" s="1" t="n">
        <v>46037</v>
      </c>
      <c r="D911" t="inlineStr">
        <is>
          <t>JÄMTLANDS LÄN</t>
        </is>
      </c>
      <c r="E911" t="inlineStr">
        <is>
          <t>BERG</t>
        </is>
      </c>
      <c r="G911" t="n">
        <v>1.6</v>
      </c>
      <c r="H911" t="n">
        <v>0</v>
      </c>
      <c r="I911" t="n">
        <v>0</v>
      </c>
      <c r="J911" t="n">
        <v>0</v>
      </c>
      <c r="K911" t="n">
        <v>0</v>
      </c>
      <c r="L911" t="n">
        <v>0</v>
      </c>
      <c r="M911" t="n">
        <v>0</v>
      </c>
      <c r="N911" t="n">
        <v>0</v>
      </c>
      <c r="O911" t="n">
        <v>0</v>
      </c>
      <c r="P911" t="n">
        <v>0</v>
      </c>
      <c r="Q911" t="n">
        <v>0</v>
      </c>
      <c r="R911" s="2" t="inlineStr"/>
    </row>
    <row r="912" ht="15" customHeight="1">
      <c r="A912" t="inlineStr">
        <is>
          <t>A 1989-2022</t>
        </is>
      </c>
      <c r="B912" s="1" t="n">
        <v>44575.55935185185</v>
      </c>
      <c r="C912" s="1" t="n">
        <v>46037</v>
      </c>
      <c r="D912" t="inlineStr">
        <is>
          <t>JÄMTLANDS LÄN</t>
        </is>
      </c>
      <c r="E912" t="inlineStr">
        <is>
          <t>BERG</t>
        </is>
      </c>
      <c r="G912" t="n">
        <v>0.7</v>
      </c>
      <c r="H912" t="n">
        <v>0</v>
      </c>
      <c r="I912" t="n">
        <v>0</v>
      </c>
      <c r="J912" t="n">
        <v>0</v>
      </c>
      <c r="K912" t="n">
        <v>0</v>
      </c>
      <c r="L912" t="n">
        <v>0</v>
      </c>
      <c r="M912" t="n">
        <v>0</v>
      </c>
      <c r="N912" t="n">
        <v>0</v>
      </c>
      <c r="O912" t="n">
        <v>0</v>
      </c>
      <c r="P912" t="n">
        <v>0</v>
      </c>
      <c r="Q912" t="n">
        <v>0</v>
      </c>
      <c r="R912" s="2" t="inlineStr"/>
    </row>
    <row r="913" ht="15" customHeight="1">
      <c r="A913" t="inlineStr">
        <is>
          <t>A 14198-2023</t>
        </is>
      </c>
      <c r="B913" s="1" t="n">
        <v>45009.57518518518</v>
      </c>
      <c r="C913" s="1" t="n">
        <v>46037</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58817-2024</t>
        </is>
      </c>
      <c r="B914" s="1" t="n">
        <v>45636.35909722222</v>
      </c>
      <c r="C914" s="1" t="n">
        <v>46037</v>
      </c>
      <c r="D914" t="inlineStr">
        <is>
          <t>JÄMTLANDS LÄN</t>
        </is>
      </c>
      <c r="E914" t="inlineStr">
        <is>
          <t>BERG</t>
        </is>
      </c>
      <c r="G914" t="n">
        <v>1.5</v>
      </c>
      <c r="H914" t="n">
        <v>0</v>
      </c>
      <c r="I914" t="n">
        <v>0</v>
      </c>
      <c r="J914" t="n">
        <v>0</v>
      </c>
      <c r="K914" t="n">
        <v>0</v>
      </c>
      <c r="L914" t="n">
        <v>0</v>
      </c>
      <c r="M914" t="n">
        <v>0</v>
      </c>
      <c r="N914" t="n">
        <v>0</v>
      </c>
      <c r="O914" t="n">
        <v>0</v>
      </c>
      <c r="P914" t="n">
        <v>0</v>
      </c>
      <c r="Q914" t="n">
        <v>0</v>
      </c>
      <c r="R914" s="2" t="inlineStr"/>
    </row>
    <row r="915" ht="15" customHeight="1">
      <c r="A915" t="inlineStr">
        <is>
          <t>A 59526-2024</t>
        </is>
      </c>
      <c r="B915" s="1" t="n">
        <v>45638.58019675926</v>
      </c>
      <c r="C915" s="1" t="n">
        <v>46037</v>
      </c>
      <c r="D915" t="inlineStr">
        <is>
          <t>JÄMTLANDS LÄN</t>
        </is>
      </c>
      <c r="E915" t="inlineStr">
        <is>
          <t>BERG</t>
        </is>
      </c>
      <c r="G915" t="n">
        <v>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45281.92891203704</v>
      </c>
      <c r="C916" s="1" t="n">
        <v>46037</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8069-2024</t>
        </is>
      </c>
      <c r="B917" s="1" t="n">
        <v>45351.41600694445</v>
      </c>
      <c r="C917" s="1" t="n">
        <v>46037</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7447-2022</t>
        </is>
      </c>
      <c r="B918" s="1" t="n">
        <v>44606</v>
      </c>
      <c r="C918" s="1" t="n">
        <v>46037</v>
      </c>
      <c r="D918" t="inlineStr">
        <is>
          <t>JÄMTLANDS LÄN</t>
        </is>
      </c>
      <c r="E918" t="inlineStr">
        <is>
          <t>BERG</t>
        </is>
      </c>
      <c r="G918" t="n">
        <v>0.9</v>
      </c>
      <c r="H918" t="n">
        <v>0</v>
      </c>
      <c r="I918" t="n">
        <v>0</v>
      </c>
      <c r="J918" t="n">
        <v>0</v>
      </c>
      <c r="K918" t="n">
        <v>0</v>
      </c>
      <c r="L918" t="n">
        <v>0</v>
      </c>
      <c r="M918" t="n">
        <v>0</v>
      </c>
      <c r="N918" t="n">
        <v>0</v>
      </c>
      <c r="O918" t="n">
        <v>0</v>
      </c>
      <c r="P918" t="n">
        <v>0</v>
      </c>
      <c r="Q918" t="n">
        <v>0</v>
      </c>
      <c r="R918" s="2" t="inlineStr"/>
    </row>
    <row r="919" ht="15" customHeight="1">
      <c r="A919" t="inlineStr">
        <is>
          <t>A 44313-2023</t>
        </is>
      </c>
      <c r="B919" s="1" t="n">
        <v>45188.6505787037</v>
      </c>
      <c r="C919" s="1" t="n">
        <v>46037</v>
      </c>
      <c r="D919" t="inlineStr">
        <is>
          <t>JÄMTLANDS LÄN</t>
        </is>
      </c>
      <c r="E919" t="inlineStr">
        <is>
          <t>BERG</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38-2024</t>
        </is>
      </c>
      <c r="B920" s="1" t="n">
        <v>45293</v>
      </c>
      <c r="C920" s="1" t="n">
        <v>46037</v>
      </c>
      <c r="D920" t="inlineStr">
        <is>
          <t>JÄMTLANDS LÄN</t>
        </is>
      </c>
      <c r="E920" t="inlineStr">
        <is>
          <t>BERG</t>
        </is>
      </c>
      <c r="G920" t="n">
        <v>1.9</v>
      </c>
      <c r="H920" t="n">
        <v>0</v>
      </c>
      <c r="I920" t="n">
        <v>0</v>
      </c>
      <c r="J920" t="n">
        <v>0</v>
      </c>
      <c r="K920" t="n">
        <v>0</v>
      </c>
      <c r="L920" t="n">
        <v>0</v>
      </c>
      <c r="M920" t="n">
        <v>0</v>
      </c>
      <c r="N920" t="n">
        <v>0</v>
      </c>
      <c r="O920" t="n">
        <v>0</v>
      </c>
      <c r="P920" t="n">
        <v>0</v>
      </c>
      <c r="Q920" t="n">
        <v>0</v>
      </c>
      <c r="R920" s="2" t="inlineStr"/>
    </row>
    <row r="921" ht="15" customHeight="1">
      <c r="A921" t="inlineStr">
        <is>
          <t>A 31129-2024</t>
        </is>
      </c>
      <c r="B921" s="1" t="n">
        <v>45502</v>
      </c>
      <c r="C921" s="1" t="n">
        <v>46037</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18007-2024</t>
        </is>
      </c>
      <c r="B922" s="1" t="n">
        <v>45419.94912037037</v>
      </c>
      <c r="C922" s="1" t="n">
        <v>46037</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53894-2023</t>
        </is>
      </c>
      <c r="B923" s="1" t="n">
        <v>45231.53321759259</v>
      </c>
      <c r="C923" s="1" t="n">
        <v>46037</v>
      </c>
      <c r="D923" t="inlineStr">
        <is>
          <t>JÄMTLANDS LÄN</t>
        </is>
      </c>
      <c r="E923" t="inlineStr">
        <is>
          <t>BERG</t>
        </is>
      </c>
      <c r="G923" t="n">
        <v>0.5</v>
      </c>
      <c r="H923" t="n">
        <v>0</v>
      </c>
      <c r="I923" t="n">
        <v>0</v>
      </c>
      <c r="J923" t="n">
        <v>0</v>
      </c>
      <c r="K923" t="n">
        <v>0</v>
      </c>
      <c r="L923" t="n">
        <v>0</v>
      </c>
      <c r="M923" t="n">
        <v>0</v>
      </c>
      <c r="N923" t="n">
        <v>0</v>
      </c>
      <c r="O923" t="n">
        <v>0</v>
      </c>
      <c r="P923" t="n">
        <v>0</v>
      </c>
      <c r="Q923" t="n">
        <v>0</v>
      </c>
      <c r="R923" s="2" t="inlineStr"/>
    </row>
    <row r="924" ht="15" customHeight="1">
      <c r="A924" t="inlineStr">
        <is>
          <t>A 6645-2025</t>
        </is>
      </c>
      <c r="B924" s="1" t="n">
        <v>45700.39645833334</v>
      </c>
      <c r="C924" s="1" t="n">
        <v>46037</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21717-2023</t>
        </is>
      </c>
      <c r="B925" s="1" t="n">
        <v>45063</v>
      </c>
      <c r="C925" s="1" t="n">
        <v>46037</v>
      </c>
      <c r="D925" t="inlineStr">
        <is>
          <t>JÄMTLANDS LÄN</t>
        </is>
      </c>
      <c r="E925" t="inlineStr">
        <is>
          <t>BERG</t>
        </is>
      </c>
      <c r="G925" t="n">
        <v>6</v>
      </c>
      <c r="H925" t="n">
        <v>0</v>
      </c>
      <c r="I925" t="n">
        <v>0</v>
      </c>
      <c r="J925" t="n">
        <v>0</v>
      </c>
      <c r="K925" t="n">
        <v>0</v>
      </c>
      <c r="L925" t="n">
        <v>0</v>
      </c>
      <c r="M925" t="n">
        <v>0</v>
      </c>
      <c r="N925" t="n">
        <v>0</v>
      </c>
      <c r="O925" t="n">
        <v>0</v>
      </c>
      <c r="P925" t="n">
        <v>0</v>
      </c>
      <c r="Q925" t="n">
        <v>0</v>
      </c>
      <c r="R925" s="2" t="inlineStr"/>
    </row>
    <row r="926" ht="15" customHeight="1">
      <c r="A926" t="inlineStr">
        <is>
          <t>A 46858-2023</t>
        </is>
      </c>
      <c r="B926" s="1" t="n">
        <v>45199.97042824074</v>
      </c>
      <c r="C926" s="1" t="n">
        <v>46037</v>
      </c>
      <c r="D926" t="inlineStr">
        <is>
          <t>JÄMTLANDS LÄN</t>
        </is>
      </c>
      <c r="E926" t="inlineStr">
        <is>
          <t>BERG</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49225-2024</t>
        </is>
      </c>
      <c r="B927" s="1" t="n">
        <v>45595.4177662037</v>
      </c>
      <c r="C927" s="1" t="n">
        <v>46037</v>
      </c>
      <c r="D927" t="inlineStr">
        <is>
          <t>JÄMTLANDS LÄN</t>
        </is>
      </c>
      <c r="E927" t="inlineStr">
        <is>
          <t>BERG</t>
        </is>
      </c>
      <c r="G927" t="n">
        <v>2</v>
      </c>
      <c r="H927" t="n">
        <v>0</v>
      </c>
      <c r="I927" t="n">
        <v>0</v>
      </c>
      <c r="J927" t="n">
        <v>0</v>
      </c>
      <c r="K927" t="n">
        <v>0</v>
      </c>
      <c r="L927" t="n">
        <v>0</v>
      </c>
      <c r="M927" t="n">
        <v>0</v>
      </c>
      <c r="N927" t="n">
        <v>0</v>
      </c>
      <c r="O927" t="n">
        <v>0</v>
      </c>
      <c r="P927" t="n">
        <v>0</v>
      </c>
      <c r="Q927" t="n">
        <v>0</v>
      </c>
      <c r="R927" s="2" t="inlineStr"/>
    </row>
    <row r="928" ht="15" customHeight="1">
      <c r="A928" t="inlineStr">
        <is>
          <t>A 25565-2023</t>
        </is>
      </c>
      <c r="B928" s="1" t="n">
        <v>45082</v>
      </c>
      <c r="C928" s="1" t="n">
        <v>46037</v>
      </c>
      <c r="D928" t="inlineStr">
        <is>
          <t>JÄMTLANDS LÄN</t>
        </is>
      </c>
      <c r="E928" t="inlineStr">
        <is>
          <t>BERG</t>
        </is>
      </c>
      <c r="G928" t="n">
        <v>3.1</v>
      </c>
      <c r="H928" t="n">
        <v>0</v>
      </c>
      <c r="I928" t="n">
        <v>0</v>
      </c>
      <c r="J928" t="n">
        <v>0</v>
      </c>
      <c r="K928" t="n">
        <v>0</v>
      </c>
      <c r="L928" t="n">
        <v>0</v>
      </c>
      <c r="M928" t="n">
        <v>0</v>
      </c>
      <c r="N928" t="n">
        <v>0</v>
      </c>
      <c r="O928" t="n">
        <v>0</v>
      </c>
      <c r="P928" t="n">
        <v>0</v>
      </c>
      <c r="Q928" t="n">
        <v>0</v>
      </c>
      <c r="R928" s="2" t="inlineStr"/>
    </row>
    <row r="929" ht="15" customHeight="1">
      <c r="A929" t="inlineStr">
        <is>
          <t>A 56226-2024</t>
        </is>
      </c>
      <c r="B929" s="1" t="n">
        <v>45624.61572916667</v>
      </c>
      <c r="C929" s="1" t="n">
        <v>46037</v>
      </c>
      <c r="D929" t="inlineStr">
        <is>
          <t>JÄMTLANDS LÄN</t>
        </is>
      </c>
      <c r="E929" t="inlineStr">
        <is>
          <t>BERG</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54863-2023</t>
        </is>
      </c>
      <c r="B930" s="1" t="n">
        <v>45236</v>
      </c>
      <c r="C930" s="1" t="n">
        <v>46037</v>
      </c>
      <c r="D930" t="inlineStr">
        <is>
          <t>JÄMTLANDS LÄN</t>
        </is>
      </c>
      <c r="E930" t="inlineStr">
        <is>
          <t>BERG</t>
        </is>
      </c>
      <c r="G930" t="n">
        <v>3.3</v>
      </c>
      <c r="H930" t="n">
        <v>0</v>
      </c>
      <c r="I930" t="n">
        <v>0</v>
      </c>
      <c r="J930" t="n">
        <v>0</v>
      </c>
      <c r="K930" t="n">
        <v>0</v>
      </c>
      <c r="L930" t="n">
        <v>0</v>
      </c>
      <c r="M930" t="n">
        <v>0</v>
      </c>
      <c r="N930" t="n">
        <v>0</v>
      </c>
      <c r="O930" t="n">
        <v>0</v>
      </c>
      <c r="P930" t="n">
        <v>0</v>
      </c>
      <c r="Q930" t="n">
        <v>0</v>
      </c>
      <c r="R930" s="2" t="inlineStr"/>
    </row>
    <row r="931" ht="15" customHeight="1">
      <c r="A931" t="inlineStr">
        <is>
          <t>A 48663-2023</t>
        </is>
      </c>
      <c r="B931" s="1" t="n">
        <v>45202</v>
      </c>
      <c r="C931" s="1" t="n">
        <v>46037</v>
      </c>
      <c r="D931" t="inlineStr">
        <is>
          <t>JÄMTLANDS LÄN</t>
        </is>
      </c>
      <c r="E931" t="inlineStr">
        <is>
          <t>BERG</t>
        </is>
      </c>
      <c r="G931" t="n">
        <v>1.6</v>
      </c>
      <c r="H931" t="n">
        <v>0</v>
      </c>
      <c r="I931" t="n">
        <v>0</v>
      </c>
      <c r="J931" t="n">
        <v>0</v>
      </c>
      <c r="K931" t="n">
        <v>0</v>
      </c>
      <c r="L931" t="n">
        <v>0</v>
      </c>
      <c r="M931" t="n">
        <v>0</v>
      </c>
      <c r="N931" t="n">
        <v>0</v>
      </c>
      <c r="O931" t="n">
        <v>0</v>
      </c>
      <c r="P931" t="n">
        <v>0</v>
      </c>
      <c r="Q931" t="n">
        <v>0</v>
      </c>
      <c r="R931" s="2" t="inlineStr"/>
    </row>
    <row r="932" ht="15" customHeight="1">
      <c r="A932" t="inlineStr">
        <is>
          <t>A 4476-2025</t>
        </is>
      </c>
      <c r="B932" s="1" t="n">
        <v>45686.62828703703</v>
      </c>
      <c r="C932" s="1" t="n">
        <v>46037</v>
      </c>
      <c r="D932" t="inlineStr">
        <is>
          <t>JÄMTLANDS LÄN</t>
        </is>
      </c>
      <c r="E932" t="inlineStr">
        <is>
          <t>BERG</t>
        </is>
      </c>
      <c r="G932" t="n">
        <v>1.3</v>
      </c>
      <c r="H932" t="n">
        <v>0</v>
      </c>
      <c r="I932" t="n">
        <v>0</v>
      </c>
      <c r="J932" t="n">
        <v>0</v>
      </c>
      <c r="K932" t="n">
        <v>0</v>
      </c>
      <c r="L932" t="n">
        <v>0</v>
      </c>
      <c r="M932" t="n">
        <v>0</v>
      </c>
      <c r="N932" t="n">
        <v>0</v>
      </c>
      <c r="O932" t="n">
        <v>0</v>
      </c>
      <c r="P932" t="n">
        <v>0</v>
      </c>
      <c r="Q932" t="n">
        <v>0</v>
      </c>
      <c r="R932" s="2" t="inlineStr"/>
    </row>
    <row r="933" ht="15" customHeight="1">
      <c r="A933" t="inlineStr">
        <is>
          <t>A 35792-2024</t>
        </is>
      </c>
      <c r="B933" s="1" t="n">
        <v>45532.62950231481</v>
      </c>
      <c r="C933" s="1" t="n">
        <v>46037</v>
      </c>
      <c r="D933" t="inlineStr">
        <is>
          <t>JÄMTLANDS LÄN</t>
        </is>
      </c>
      <c r="E933" t="inlineStr">
        <is>
          <t>BERG</t>
        </is>
      </c>
      <c r="F933" t="inlineStr">
        <is>
          <t>SCA</t>
        </is>
      </c>
      <c r="G933" t="n">
        <v>6.7</v>
      </c>
      <c r="H933" t="n">
        <v>0</v>
      </c>
      <c r="I933" t="n">
        <v>0</v>
      </c>
      <c r="J933" t="n">
        <v>0</v>
      </c>
      <c r="K933" t="n">
        <v>0</v>
      </c>
      <c r="L933" t="n">
        <v>0</v>
      </c>
      <c r="M933" t="n">
        <v>0</v>
      </c>
      <c r="N933" t="n">
        <v>0</v>
      </c>
      <c r="O933" t="n">
        <v>0</v>
      </c>
      <c r="P933" t="n">
        <v>0</v>
      </c>
      <c r="Q933" t="n">
        <v>0</v>
      </c>
      <c r="R933" s="2" t="inlineStr"/>
    </row>
    <row r="934" ht="15" customHeight="1">
      <c r="A934" t="inlineStr">
        <is>
          <t>A 40990-2022</t>
        </is>
      </c>
      <c r="B934" s="1" t="n">
        <v>44823</v>
      </c>
      <c r="C934" s="1" t="n">
        <v>46037</v>
      </c>
      <c r="D934" t="inlineStr">
        <is>
          <t>JÄMTLANDS LÄN</t>
        </is>
      </c>
      <c r="E934" t="inlineStr">
        <is>
          <t>BERG</t>
        </is>
      </c>
      <c r="G934" t="n">
        <v>11.7</v>
      </c>
      <c r="H934" t="n">
        <v>0</v>
      </c>
      <c r="I934" t="n">
        <v>0</v>
      </c>
      <c r="J934" t="n">
        <v>0</v>
      </c>
      <c r="K934" t="n">
        <v>0</v>
      </c>
      <c r="L934" t="n">
        <v>0</v>
      </c>
      <c r="M934" t="n">
        <v>0</v>
      </c>
      <c r="N934" t="n">
        <v>0</v>
      </c>
      <c r="O934" t="n">
        <v>0</v>
      </c>
      <c r="P934" t="n">
        <v>0</v>
      </c>
      <c r="Q934" t="n">
        <v>0</v>
      </c>
      <c r="R934" s="2" t="inlineStr"/>
    </row>
    <row r="935" ht="15" customHeight="1">
      <c r="A935" t="inlineStr">
        <is>
          <t>A 8733-2024</t>
        </is>
      </c>
      <c r="B935" s="1" t="n">
        <v>45355</v>
      </c>
      <c r="C935" s="1" t="n">
        <v>46037</v>
      </c>
      <c r="D935" t="inlineStr">
        <is>
          <t>JÄMTLANDS LÄN</t>
        </is>
      </c>
      <c r="E935" t="inlineStr">
        <is>
          <t>BERG</t>
        </is>
      </c>
      <c r="G935" t="n">
        <v>1.9</v>
      </c>
      <c r="H935" t="n">
        <v>0</v>
      </c>
      <c r="I935" t="n">
        <v>0</v>
      </c>
      <c r="J935" t="n">
        <v>0</v>
      </c>
      <c r="K935" t="n">
        <v>0</v>
      </c>
      <c r="L935" t="n">
        <v>0</v>
      </c>
      <c r="M935" t="n">
        <v>0</v>
      </c>
      <c r="N935" t="n">
        <v>0</v>
      </c>
      <c r="O935" t="n">
        <v>0</v>
      </c>
      <c r="P935" t="n">
        <v>0</v>
      </c>
      <c r="Q935" t="n">
        <v>0</v>
      </c>
      <c r="R935" s="2" t="inlineStr"/>
    </row>
    <row r="936" ht="15" customHeight="1">
      <c r="A936" t="inlineStr">
        <is>
          <t>A 18752-2024</t>
        </is>
      </c>
      <c r="B936" s="1" t="n">
        <v>45426.54224537037</v>
      </c>
      <c r="C936" s="1" t="n">
        <v>46037</v>
      </c>
      <c r="D936" t="inlineStr">
        <is>
          <t>JÄMTLANDS LÄN</t>
        </is>
      </c>
      <c r="E936" t="inlineStr">
        <is>
          <t>BERG</t>
        </is>
      </c>
      <c r="G936" t="n">
        <v>0.7</v>
      </c>
      <c r="H936" t="n">
        <v>0</v>
      </c>
      <c r="I936" t="n">
        <v>0</v>
      </c>
      <c r="J936" t="n">
        <v>0</v>
      </c>
      <c r="K936" t="n">
        <v>0</v>
      </c>
      <c r="L936" t="n">
        <v>0</v>
      </c>
      <c r="M936" t="n">
        <v>0</v>
      </c>
      <c r="N936" t="n">
        <v>0</v>
      </c>
      <c r="O936" t="n">
        <v>0</v>
      </c>
      <c r="P936" t="n">
        <v>0</v>
      </c>
      <c r="Q936" t="n">
        <v>0</v>
      </c>
      <c r="R936" s="2" t="inlineStr"/>
    </row>
    <row r="937" ht="15" customHeight="1">
      <c r="A937" t="inlineStr">
        <is>
          <t>A 36287-2024</t>
        </is>
      </c>
      <c r="B937" s="1" t="n">
        <v>45534</v>
      </c>
      <c r="C937" s="1" t="n">
        <v>46037</v>
      </c>
      <c r="D937" t="inlineStr">
        <is>
          <t>JÄMTLANDS LÄN</t>
        </is>
      </c>
      <c r="E937" t="inlineStr">
        <is>
          <t>BERG</t>
        </is>
      </c>
      <c r="F937" t="inlineStr">
        <is>
          <t>Kyrkan</t>
        </is>
      </c>
      <c r="G937" t="n">
        <v>0.8</v>
      </c>
      <c r="H937" t="n">
        <v>0</v>
      </c>
      <c r="I937" t="n">
        <v>0</v>
      </c>
      <c r="J937" t="n">
        <v>0</v>
      </c>
      <c r="K937" t="n">
        <v>0</v>
      </c>
      <c r="L937" t="n">
        <v>0</v>
      </c>
      <c r="M937" t="n">
        <v>0</v>
      </c>
      <c r="N937" t="n">
        <v>0</v>
      </c>
      <c r="O937" t="n">
        <v>0</v>
      </c>
      <c r="P937" t="n">
        <v>0</v>
      </c>
      <c r="Q937" t="n">
        <v>0</v>
      </c>
      <c r="R937" s="2" t="inlineStr"/>
    </row>
    <row r="938" ht="15" customHeight="1">
      <c r="A938" t="inlineStr">
        <is>
          <t>A 13524-2024</t>
        </is>
      </c>
      <c r="B938" s="1" t="n">
        <v>45387.78174768519</v>
      </c>
      <c r="C938" s="1" t="n">
        <v>46037</v>
      </c>
      <c r="D938" t="inlineStr">
        <is>
          <t>JÄMTLANDS LÄN</t>
        </is>
      </c>
      <c r="E938" t="inlineStr">
        <is>
          <t>BERG</t>
        </is>
      </c>
      <c r="G938" t="n">
        <v>0.6</v>
      </c>
      <c r="H938" t="n">
        <v>0</v>
      </c>
      <c r="I938" t="n">
        <v>0</v>
      </c>
      <c r="J938" t="n">
        <v>0</v>
      </c>
      <c r="K938" t="n">
        <v>0</v>
      </c>
      <c r="L938" t="n">
        <v>0</v>
      </c>
      <c r="M938" t="n">
        <v>0</v>
      </c>
      <c r="N938" t="n">
        <v>0</v>
      </c>
      <c r="O938" t="n">
        <v>0</v>
      </c>
      <c r="P938" t="n">
        <v>0</v>
      </c>
      <c r="Q938" t="n">
        <v>0</v>
      </c>
      <c r="R938" s="2" t="inlineStr"/>
    </row>
    <row r="939" ht="15" customHeight="1">
      <c r="A939" t="inlineStr">
        <is>
          <t>A 8065-2024</t>
        </is>
      </c>
      <c r="B939" s="1" t="n">
        <v>45351.40697916667</v>
      </c>
      <c r="C939" s="1" t="n">
        <v>46037</v>
      </c>
      <c r="D939" t="inlineStr">
        <is>
          <t>JÄMTLANDS LÄN</t>
        </is>
      </c>
      <c r="E939" t="inlineStr">
        <is>
          <t>BERG</t>
        </is>
      </c>
      <c r="G939" t="n">
        <v>6.9</v>
      </c>
      <c r="H939" t="n">
        <v>0</v>
      </c>
      <c r="I939" t="n">
        <v>0</v>
      </c>
      <c r="J939" t="n">
        <v>0</v>
      </c>
      <c r="K939" t="n">
        <v>0</v>
      </c>
      <c r="L939" t="n">
        <v>0</v>
      </c>
      <c r="M939" t="n">
        <v>0</v>
      </c>
      <c r="N939" t="n">
        <v>0</v>
      </c>
      <c r="O939" t="n">
        <v>0</v>
      </c>
      <c r="P939" t="n">
        <v>0</v>
      </c>
      <c r="Q939" t="n">
        <v>0</v>
      </c>
      <c r="R939" s="2" t="inlineStr"/>
    </row>
    <row r="940" ht="15" customHeight="1">
      <c r="A940" t="inlineStr">
        <is>
          <t>A 29581-2024</t>
        </is>
      </c>
      <c r="B940" s="1" t="n">
        <v>45484.5740162037</v>
      </c>
      <c r="C940" s="1" t="n">
        <v>46037</v>
      </c>
      <c r="D940" t="inlineStr">
        <is>
          <t>JÄMTLANDS LÄN</t>
        </is>
      </c>
      <c r="E940" t="inlineStr">
        <is>
          <t>BERG</t>
        </is>
      </c>
      <c r="G940" t="n">
        <v>16.7</v>
      </c>
      <c r="H940" t="n">
        <v>0</v>
      </c>
      <c r="I940" t="n">
        <v>0</v>
      </c>
      <c r="J940" t="n">
        <v>0</v>
      </c>
      <c r="K940" t="n">
        <v>0</v>
      </c>
      <c r="L940" t="n">
        <v>0</v>
      </c>
      <c r="M940" t="n">
        <v>0</v>
      </c>
      <c r="N940" t="n">
        <v>0</v>
      </c>
      <c r="O940" t="n">
        <v>0</v>
      </c>
      <c r="P940" t="n">
        <v>0</v>
      </c>
      <c r="Q940" t="n">
        <v>0</v>
      </c>
      <c r="R940" s="2" t="inlineStr"/>
    </row>
    <row r="941" ht="15" customHeight="1">
      <c r="A941" t="inlineStr">
        <is>
          <t>A 14594-2025</t>
        </is>
      </c>
      <c r="B941" s="1" t="n">
        <v>45742.34414351852</v>
      </c>
      <c r="C941" s="1" t="n">
        <v>46037</v>
      </c>
      <c r="D941" t="inlineStr">
        <is>
          <t>JÄMTLANDS LÄN</t>
        </is>
      </c>
      <c r="E941" t="inlineStr">
        <is>
          <t>BERG</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14596-2025</t>
        </is>
      </c>
      <c r="B942" s="1" t="n">
        <v>45742.34449074074</v>
      </c>
      <c r="C942" s="1" t="n">
        <v>46037</v>
      </c>
      <c r="D942" t="inlineStr">
        <is>
          <t>JÄMTLANDS LÄN</t>
        </is>
      </c>
      <c r="E942" t="inlineStr">
        <is>
          <t>BERG</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5644-2025</t>
        </is>
      </c>
      <c r="B943" s="1" t="n">
        <v>45693.6833449074</v>
      </c>
      <c r="C943" s="1" t="n">
        <v>46037</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60076-2024</t>
        </is>
      </c>
      <c r="B944" s="1" t="n">
        <v>45642.53166666667</v>
      </c>
      <c r="C944" s="1" t="n">
        <v>46037</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8238-2024</t>
        </is>
      </c>
      <c r="B945" s="1" t="n">
        <v>45351.98450231482</v>
      </c>
      <c r="C945" s="1" t="n">
        <v>46037</v>
      </c>
      <c r="D945" t="inlineStr">
        <is>
          <t>JÄMTLANDS LÄN</t>
        </is>
      </c>
      <c r="E945" t="inlineStr">
        <is>
          <t>BERG</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43279-2024</t>
        </is>
      </c>
      <c r="B946" s="1" t="n">
        <v>45568.3975462963</v>
      </c>
      <c r="C946" s="1" t="n">
        <v>46037</v>
      </c>
      <c r="D946" t="inlineStr">
        <is>
          <t>JÄMTLANDS LÄN</t>
        </is>
      </c>
      <c r="E946" t="inlineStr">
        <is>
          <t>BERG</t>
        </is>
      </c>
      <c r="G946" t="n">
        <v>7.6</v>
      </c>
      <c r="H946" t="n">
        <v>0</v>
      </c>
      <c r="I946" t="n">
        <v>0</v>
      </c>
      <c r="J946" t="n">
        <v>0</v>
      </c>
      <c r="K946" t="n">
        <v>0</v>
      </c>
      <c r="L946" t="n">
        <v>0</v>
      </c>
      <c r="M946" t="n">
        <v>0</v>
      </c>
      <c r="N946" t="n">
        <v>0</v>
      </c>
      <c r="O946" t="n">
        <v>0</v>
      </c>
      <c r="P946" t="n">
        <v>0</v>
      </c>
      <c r="Q946" t="n">
        <v>0</v>
      </c>
      <c r="R946" s="2" t="inlineStr"/>
    </row>
    <row r="947" ht="15" customHeight="1">
      <c r="A947" t="inlineStr">
        <is>
          <t>A 37067-2023</t>
        </is>
      </c>
      <c r="B947" s="1" t="n">
        <v>45154</v>
      </c>
      <c r="C947" s="1" t="n">
        <v>46037</v>
      </c>
      <c r="D947" t="inlineStr">
        <is>
          <t>JÄMTLANDS LÄN</t>
        </is>
      </c>
      <c r="E947" t="inlineStr">
        <is>
          <t>BERG</t>
        </is>
      </c>
      <c r="G947" t="n">
        <v>7.4</v>
      </c>
      <c r="H947" t="n">
        <v>0</v>
      </c>
      <c r="I947" t="n">
        <v>0</v>
      </c>
      <c r="J947" t="n">
        <v>0</v>
      </c>
      <c r="K947" t="n">
        <v>0</v>
      </c>
      <c r="L947" t="n">
        <v>0</v>
      </c>
      <c r="M947" t="n">
        <v>0</v>
      </c>
      <c r="N947" t="n">
        <v>0</v>
      </c>
      <c r="O947" t="n">
        <v>0</v>
      </c>
      <c r="P947" t="n">
        <v>0</v>
      </c>
      <c r="Q947" t="n">
        <v>0</v>
      </c>
      <c r="R947" s="2" t="inlineStr"/>
    </row>
    <row r="948" ht="15" customHeight="1">
      <c r="A948" t="inlineStr">
        <is>
          <t>A 15992-2025</t>
        </is>
      </c>
      <c r="B948" s="1" t="n">
        <v>45749.58319444444</v>
      </c>
      <c r="C948" s="1" t="n">
        <v>46037</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60404-2023</t>
        </is>
      </c>
      <c r="B949" s="1" t="n">
        <v>45259.46332175926</v>
      </c>
      <c r="C949" s="1" t="n">
        <v>46037</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60587-2022</t>
        </is>
      </c>
      <c r="B950" s="1" t="n">
        <v>44911.58445601852</v>
      </c>
      <c r="C950" s="1" t="n">
        <v>46037</v>
      </c>
      <c r="D950" t="inlineStr">
        <is>
          <t>JÄMTLANDS LÄN</t>
        </is>
      </c>
      <c r="E950" t="inlineStr">
        <is>
          <t>BERG</t>
        </is>
      </c>
      <c r="G950" t="n">
        <v>4.8</v>
      </c>
      <c r="H950" t="n">
        <v>0</v>
      </c>
      <c r="I950" t="n">
        <v>0</v>
      </c>
      <c r="J950" t="n">
        <v>0</v>
      </c>
      <c r="K950" t="n">
        <v>0</v>
      </c>
      <c r="L950" t="n">
        <v>0</v>
      </c>
      <c r="M950" t="n">
        <v>0</v>
      </c>
      <c r="N950" t="n">
        <v>0</v>
      </c>
      <c r="O950" t="n">
        <v>0</v>
      </c>
      <c r="P950" t="n">
        <v>0</v>
      </c>
      <c r="Q950" t="n">
        <v>0</v>
      </c>
      <c r="R950" s="2" t="inlineStr"/>
    </row>
    <row r="951" ht="15" customHeight="1">
      <c r="A951" t="inlineStr">
        <is>
          <t>A 11274-2025</t>
        </is>
      </c>
      <c r="B951" s="1" t="n">
        <v>45726.40868055556</v>
      </c>
      <c r="C951" s="1" t="n">
        <v>46037</v>
      </c>
      <c r="D951" t="inlineStr">
        <is>
          <t>JÄMTLANDS LÄN</t>
        </is>
      </c>
      <c r="E951" t="inlineStr">
        <is>
          <t>BERG</t>
        </is>
      </c>
      <c r="G951" t="n">
        <v>3</v>
      </c>
      <c r="H951" t="n">
        <v>0</v>
      </c>
      <c r="I951" t="n">
        <v>0</v>
      </c>
      <c r="J951" t="n">
        <v>0</v>
      </c>
      <c r="K951" t="n">
        <v>0</v>
      </c>
      <c r="L951" t="n">
        <v>0</v>
      </c>
      <c r="M951" t="n">
        <v>0</v>
      </c>
      <c r="N951" t="n">
        <v>0</v>
      </c>
      <c r="O951" t="n">
        <v>0</v>
      </c>
      <c r="P951" t="n">
        <v>0</v>
      </c>
      <c r="Q951" t="n">
        <v>0</v>
      </c>
      <c r="R951" s="2" t="inlineStr"/>
    </row>
    <row r="952" ht="15" customHeight="1">
      <c r="A952" t="inlineStr">
        <is>
          <t>A 16553-2025</t>
        </is>
      </c>
      <c r="B952" s="1" t="n">
        <v>45751.69967592593</v>
      </c>
      <c r="C952" s="1" t="n">
        <v>46037</v>
      </c>
      <c r="D952" t="inlineStr">
        <is>
          <t>JÄMTLANDS LÄN</t>
        </is>
      </c>
      <c r="E952" t="inlineStr">
        <is>
          <t>BERG</t>
        </is>
      </c>
      <c r="G952" t="n">
        <v>2</v>
      </c>
      <c r="H952" t="n">
        <v>0</v>
      </c>
      <c r="I952" t="n">
        <v>0</v>
      </c>
      <c r="J952" t="n">
        <v>0</v>
      </c>
      <c r="K952" t="n">
        <v>0</v>
      </c>
      <c r="L952" t="n">
        <v>0</v>
      </c>
      <c r="M952" t="n">
        <v>0</v>
      </c>
      <c r="N952" t="n">
        <v>0</v>
      </c>
      <c r="O952" t="n">
        <v>0</v>
      </c>
      <c r="P952" t="n">
        <v>0</v>
      </c>
      <c r="Q952" t="n">
        <v>0</v>
      </c>
      <c r="R952" s="2" t="inlineStr"/>
    </row>
    <row r="953" ht="15" customHeight="1">
      <c r="A953" t="inlineStr">
        <is>
          <t>A 50172-2023</t>
        </is>
      </c>
      <c r="B953" s="1" t="n">
        <v>45208</v>
      </c>
      <c r="C953" s="1" t="n">
        <v>46037</v>
      </c>
      <c r="D953" t="inlineStr">
        <is>
          <t>JÄMTLANDS LÄN</t>
        </is>
      </c>
      <c r="E953" t="inlineStr">
        <is>
          <t>BERG</t>
        </is>
      </c>
      <c r="G953" t="n">
        <v>0.9</v>
      </c>
      <c r="H953" t="n">
        <v>0</v>
      </c>
      <c r="I953" t="n">
        <v>0</v>
      </c>
      <c r="J953" t="n">
        <v>0</v>
      </c>
      <c r="K953" t="n">
        <v>0</v>
      </c>
      <c r="L953" t="n">
        <v>0</v>
      </c>
      <c r="M953" t="n">
        <v>0</v>
      </c>
      <c r="N953" t="n">
        <v>0</v>
      </c>
      <c r="O953" t="n">
        <v>0</v>
      </c>
      <c r="P953" t="n">
        <v>0</v>
      </c>
      <c r="Q953" t="n">
        <v>0</v>
      </c>
      <c r="R953" s="2" t="inlineStr"/>
    </row>
    <row r="954" ht="15" customHeight="1">
      <c r="A954" t="inlineStr">
        <is>
          <t>A 59498-2024</t>
        </is>
      </c>
      <c r="B954" s="1" t="n">
        <v>45638.54635416667</v>
      </c>
      <c r="C954" s="1" t="n">
        <v>46037</v>
      </c>
      <c r="D954" t="inlineStr">
        <is>
          <t>JÄMTLANDS LÄN</t>
        </is>
      </c>
      <c r="E954" t="inlineStr">
        <is>
          <t>BERG</t>
        </is>
      </c>
      <c r="G954" t="n">
        <v>2.4</v>
      </c>
      <c r="H954" t="n">
        <v>0</v>
      </c>
      <c r="I954" t="n">
        <v>0</v>
      </c>
      <c r="J954" t="n">
        <v>0</v>
      </c>
      <c r="K954" t="n">
        <v>0</v>
      </c>
      <c r="L954" t="n">
        <v>0</v>
      </c>
      <c r="M954" t="n">
        <v>0</v>
      </c>
      <c r="N954" t="n">
        <v>0</v>
      </c>
      <c r="O954" t="n">
        <v>0</v>
      </c>
      <c r="P954" t="n">
        <v>0</v>
      </c>
      <c r="Q954" t="n">
        <v>0</v>
      </c>
      <c r="R954" s="2" t="inlineStr"/>
    </row>
    <row r="955" ht="15" customHeight="1">
      <c r="A955" t="inlineStr">
        <is>
          <t>A 14834-2025</t>
        </is>
      </c>
      <c r="B955" s="1" t="n">
        <v>45743.38224537037</v>
      </c>
      <c r="C955" s="1" t="n">
        <v>46037</v>
      </c>
      <c r="D955" t="inlineStr">
        <is>
          <t>JÄMTLANDS LÄN</t>
        </is>
      </c>
      <c r="E955" t="inlineStr">
        <is>
          <t>BERG</t>
        </is>
      </c>
      <c r="G955" t="n">
        <v>3.8</v>
      </c>
      <c r="H955" t="n">
        <v>0</v>
      </c>
      <c r="I955" t="n">
        <v>0</v>
      </c>
      <c r="J955" t="n">
        <v>0</v>
      </c>
      <c r="K955" t="n">
        <v>0</v>
      </c>
      <c r="L955" t="n">
        <v>0</v>
      </c>
      <c r="M955" t="n">
        <v>0</v>
      </c>
      <c r="N955" t="n">
        <v>0</v>
      </c>
      <c r="O955" t="n">
        <v>0</v>
      </c>
      <c r="P955" t="n">
        <v>0</v>
      </c>
      <c r="Q955" t="n">
        <v>0</v>
      </c>
      <c r="R955" s="2" t="inlineStr"/>
    </row>
    <row r="956" ht="15" customHeight="1">
      <c r="A956" t="inlineStr">
        <is>
          <t>A 4246-2025</t>
        </is>
      </c>
      <c r="B956" s="1" t="n">
        <v>45685.59083333334</v>
      </c>
      <c r="C956" s="1" t="n">
        <v>46037</v>
      </c>
      <c r="D956" t="inlineStr">
        <is>
          <t>JÄMTLANDS LÄN</t>
        </is>
      </c>
      <c r="E956" t="inlineStr">
        <is>
          <t>BERG</t>
        </is>
      </c>
      <c r="G956" t="n">
        <v>2.4</v>
      </c>
      <c r="H956" t="n">
        <v>0</v>
      </c>
      <c r="I956" t="n">
        <v>0</v>
      </c>
      <c r="J956" t="n">
        <v>0</v>
      </c>
      <c r="K956" t="n">
        <v>0</v>
      </c>
      <c r="L956" t="n">
        <v>0</v>
      </c>
      <c r="M956" t="n">
        <v>0</v>
      </c>
      <c r="N956" t="n">
        <v>0</v>
      </c>
      <c r="O956" t="n">
        <v>0</v>
      </c>
      <c r="P956" t="n">
        <v>0</v>
      </c>
      <c r="Q956" t="n">
        <v>0</v>
      </c>
      <c r="R956" s="2" t="inlineStr"/>
    </row>
    <row r="957" ht="15" customHeight="1">
      <c r="A957" t="inlineStr">
        <is>
          <t>A 47674-2024</t>
        </is>
      </c>
      <c r="B957" s="1" t="n">
        <v>45588.40413194444</v>
      </c>
      <c r="C957" s="1" t="n">
        <v>46037</v>
      </c>
      <c r="D957" t="inlineStr">
        <is>
          <t>JÄMTLANDS LÄN</t>
        </is>
      </c>
      <c r="E957" t="inlineStr">
        <is>
          <t>BERG</t>
        </is>
      </c>
      <c r="G957" t="n">
        <v>0.5</v>
      </c>
      <c r="H957" t="n">
        <v>0</v>
      </c>
      <c r="I957" t="n">
        <v>0</v>
      </c>
      <c r="J957" t="n">
        <v>0</v>
      </c>
      <c r="K957" t="n">
        <v>0</v>
      </c>
      <c r="L957" t="n">
        <v>0</v>
      </c>
      <c r="M957" t="n">
        <v>0</v>
      </c>
      <c r="N957" t="n">
        <v>0</v>
      </c>
      <c r="O957" t="n">
        <v>0</v>
      </c>
      <c r="P957" t="n">
        <v>0</v>
      </c>
      <c r="Q957" t="n">
        <v>0</v>
      </c>
      <c r="R957" s="2" t="inlineStr"/>
    </row>
    <row r="958" ht="15" customHeight="1">
      <c r="A958" t="inlineStr">
        <is>
          <t>A 32711-2024</t>
        </is>
      </c>
      <c r="B958" s="1" t="n">
        <v>45516</v>
      </c>
      <c r="C958" s="1" t="n">
        <v>46037</v>
      </c>
      <c r="D958" t="inlineStr">
        <is>
          <t>JÄMTLANDS LÄN</t>
        </is>
      </c>
      <c r="E958" t="inlineStr">
        <is>
          <t>BERG</t>
        </is>
      </c>
      <c r="G958" t="n">
        <v>0</v>
      </c>
      <c r="H958" t="n">
        <v>0</v>
      </c>
      <c r="I958" t="n">
        <v>0</v>
      </c>
      <c r="J958" t="n">
        <v>0</v>
      </c>
      <c r="K958" t="n">
        <v>0</v>
      </c>
      <c r="L958" t="n">
        <v>0</v>
      </c>
      <c r="M958" t="n">
        <v>0</v>
      </c>
      <c r="N958" t="n">
        <v>0</v>
      </c>
      <c r="O958" t="n">
        <v>0</v>
      </c>
      <c r="P958" t="n">
        <v>0</v>
      </c>
      <c r="Q958" t="n">
        <v>0</v>
      </c>
      <c r="R958" s="2" t="inlineStr"/>
    </row>
    <row r="959" ht="15" customHeight="1">
      <c r="A959" t="inlineStr">
        <is>
          <t>A 14672-2025</t>
        </is>
      </c>
      <c r="B959" s="1" t="n">
        <v>45742.55269675926</v>
      </c>
      <c r="C959" s="1" t="n">
        <v>46037</v>
      </c>
      <c r="D959" t="inlineStr">
        <is>
          <t>JÄMTLANDS LÄN</t>
        </is>
      </c>
      <c r="E959" t="inlineStr">
        <is>
          <t>BERG</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51201-2023</t>
        </is>
      </c>
      <c r="B960" s="1" t="n">
        <v>45219.42320601852</v>
      </c>
      <c r="C960" s="1" t="n">
        <v>46037</v>
      </c>
      <c r="D960" t="inlineStr">
        <is>
          <t>JÄMTLANDS LÄN</t>
        </is>
      </c>
      <c r="E960" t="inlineStr">
        <is>
          <t>BERG</t>
        </is>
      </c>
      <c r="G960" t="n">
        <v>1.2</v>
      </c>
      <c r="H960" t="n">
        <v>0</v>
      </c>
      <c r="I960" t="n">
        <v>0</v>
      </c>
      <c r="J960" t="n">
        <v>0</v>
      </c>
      <c r="K960" t="n">
        <v>0</v>
      </c>
      <c r="L960" t="n">
        <v>0</v>
      </c>
      <c r="M960" t="n">
        <v>0</v>
      </c>
      <c r="N960" t="n">
        <v>0</v>
      </c>
      <c r="O960" t="n">
        <v>0</v>
      </c>
      <c r="P960" t="n">
        <v>0</v>
      </c>
      <c r="Q960" t="n">
        <v>0</v>
      </c>
      <c r="R960" s="2" t="inlineStr"/>
    </row>
    <row r="961" ht="15" customHeight="1">
      <c r="A961" t="inlineStr">
        <is>
          <t>A 21472-2025</t>
        </is>
      </c>
      <c r="B961" s="1" t="n">
        <v>45782.59024305556</v>
      </c>
      <c r="C961" s="1" t="n">
        <v>46037</v>
      </c>
      <c r="D961" t="inlineStr">
        <is>
          <t>JÄMTLANDS LÄN</t>
        </is>
      </c>
      <c r="E961" t="inlineStr">
        <is>
          <t>BERG</t>
        </is>
      </c>
      <c r="G961" t="n">
        <v>21.9</v>
      </c>
      <c r="H961" t="n">
        <v>0</v>
      </c>
      <c r="I961" t="n">
        <v>0</v>
      </c>
      <c r="J961" t="n">
        <v>0</v>
      </c>
      <c r="K961" t="n">
        <v>0</v>
      </c>
      <c r="L961" t="n">
        <v>0</v>
      </c>
      <c r="M961" t="n">
        <v>0</v>
      </c>
      <c r="N961" t="n">
        <v>0</v>
      </c>
      <c r="O961" t="n">
        <v>0</v>
      </c>
      <c r="P961" t="n">
        <v>0</v>
      </c>
      <c r="Q961" t="n">
        <v>0</v>
      </c>
      <c r="R961" s="2" t="inlineStr"/>
    </row>
    <row r="962" ht="15" customHeight="1">
      <c r="A962" t="inlineStr">
        <is>
          <t>A 9478-2024</t>
        </is>
      </c>
      <c r="B962" s="1" t="n">
        <v>45359.5732175926</v>
      </c>
      <c r="C962" s="1" t="n">
        <v>46037</v>
      </c>
      <c r="D962" t="inlineStr">
        <is>
          <t>JÄMTLANDS LÄN</t>
        </is>
      </c>
      <c r="E962" t="inlineStr">
        <is>
          <t>BERG</t>
        </is>
      </c>
      <c r="G962" t="n">
        <v>6.2</v>
      </c>
      <c r="H962" t="n">
        <v>0</v>
      </c>
      <c r="I962" t="n">
        <v>0</v>
      </c>
      <c r="J962" t="n">
        <v>0</v>
      </c>
      <c r="K962" t="n">
        <v>0</v>
      </c>
      <c r="L962" t="n">
        <v>0</v>
      </c>
      <c r="M962" t="n">
        <v>0</v>
      </c>
      <c r="N962" t="n">
        <v>0</v>
      </c>
      <c r="O962" t="n">
        <v>0</v>
      </c>
      <c r="P962" t="n">
        <v>0</v>
      </c>
      <c r="Q962" t="n">
        <v>0</v>
      </c>
      <c r="R962" s="2" t="inlineStr"/>
    </row>
    <row r="963" ht="15" customHeight="1">
      <c r="A963" t="inlineStr">
        <is>
          <t>A 21292-2025</t>
        </is>
      </c>
      <c r="B963" s="1" t="n">
        <v>45780.39354166666</v>
      </c>
      <c r="C963" s="1" t="n">
        <v>46037</v>
      </c>
      <c r="D963" t="inlineStr">
        <is>
          <t>JÄMTLANDS LÄN</t>
        </is>
      </c>
      <c r="E963" t="inlineStr">
        <is>
          <t>BERG</t>
        </is>
      </c>
      <c r="G963" t="n">
        <v>1.6</v>
      </c>
      <c r="H963" t="n">
        <v>0</v>
      </c>
      <c r="I963" t="n">
        <v>0</v>
      </c>
      <c r="J963" t="n">
        <v>0</v>
      </c>
      <c r="K963" t="n">
        <v>0</v>
      </c>
      <c r="L963" t="n">
        <v>0</v>
      </c>
      <c r="M963" t="n">
        <v>0</v>
      </c>
      <c r="N963" t="n">
        <v>0</v>
      </c>
      <c r="O963" t="n">
        <v>0</v>
      </c>
      <c r="P963" t="n">
        <v>0</v>
      </c>
      <c r="Q963" t="n">
        <v>0</v>
      </c>
      <c r="R963" s="2" t="inlineStr"/>
    </row>
    <row r="964" ht="15" customHeight="1">
      <c r="A964" t="inlineStr">
        <is>
          <t>A 21156-2025</t>
        </is>
      </c>
      <c r="B964" s="1" t="n">
        <v>45779.37599537037</v>
      </c>
      <c r="C964" s="1" t="n">
        <v>46037</v>
      </c>
      <c r="D964" t="inlineStr">
        <is>
          <t>JÄMTLANDS LÄN</t>
        </is>
      </c>
      <c r="E964" t="inlineStr">
        <is>
          <t>BERG</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60847-2023</t>
        </is>
      </c>
      <c r="B965" s="1" t="n">
        <v>45260</v>
      </c>
      <c r="C965" s="1" t="n">
        <v>46037</v>
      </c>
      <c r="D965" t="inlineStr">
        <is>
          <t>JÄMTLANDS LÄN</t>
        </is>
      </c>
      <c r="E965" t="inlineStr">
        <is>
          <t>BERG</t>
        </is>
      </c>
      <c r="G965" t="n">
        <v>2.5</v>
      </c>
      <c r="H965" t="n">
        <v>0</v>
      </c>
      <c r="I965" t="n">
        <v>0</v>
      </c>
      <c r="J965" t="n">
        <v>0</v>
      </c>
      <c r="K965" t="n">
        <v>0</v>
      </c>
      <c r="L965" t="n">
        <v>0</v>
      </c>
      <c r="M965" t="n">
        <v>0</v>
      </c>
      <c r="N965" t="n">
        <v>0</v>
      </c>
      <c r="O965" t="n">
        <v>0</v>
      </c>
      <c r="P965" t="n">
        <v>0</v>
      </c>
      <c r="Q965" t="n">
        <v>0</v>
      </c>
      <c r="R965" s="2" t="inlineStr"/>
    </row>
    <row r="966" ht="15" customHeight="1">
      <c r="A966" t="inlineStr">
        <is>
          <t>A 21851-2025</t>
        </is>
      </c>
      <c r="B966" s="1" t="n">
        <v>45784.34417824074</v>
      </c>
      <c r="C966" s="1" t="n">
        <v>46037</v>
      </c>
      <c r="D966" t="inlineStr">
        <is>
          <t>JÄMTLANDS LÄN</t>
        </is>
      </c>
      <c r="E966" t="inlineStr">
        <is>
          <t>BERG</t>
        </is>
      </c>
      <c r="F966" t="inlineStr">
        <is>
          <t>SCA</t>
        </is>
      </c>
      <c r="G966" t="n">
        <v>10</v>
      </c>
      <c r="H966" t="n">
        <v>0</v>
      </c>
      <c r="I966" t="n">
        <v>0</v>
      </c>
      <c r="J966" t="n">
        <v>0</v>
      </c>
      <c r="K966" t="n">
        <v>0</v>
      </c>
      <c r="L966" t="n">
        <v>0</v>
      </c>
      <c r="M966" t="n">
        <v>0</v>
      </c>
      <c r="N966" t="n">
        <v>0</v>
      </c>
      <c r="O966" t="n">
        <v>0</v>
      </c>
      <c r="P966" t="n">
        <v>0</v>
      </c>
      <c r="Q966" t="n">
        <v>0</v>
      </c>
      <c r="R966" s="2" t="inlineStr"/>
    </row>
    <row r="967" ht="15" customHeight="1">
      <c r="A967" t="inlineStr">
        <is>
          <t>A 32020-2023</t>
        </is>
      </c>
      <c r="B967" s="1" t="n">
        <v>45119.49261574074</v>
      </c>
      <c r="C967" s="1" t="n">
        <v>46037</v>
      </c>
      <c r="D967" t="inlineStr">
        <is>
          <t>JÄMTLANDS LÄN</t>
        </is>
      </c>
      <c r="E967" t="inlineStr">
        <is>
          <t>BERG</t>
        </is>
      </c>
      <c r="G967" t="n">
        <v>10.3</v>
      </c>
      <c r="H967" t="n">
        <v>0</v>
      </c>
      <c r="I967" t="n">
        <v>0</v>
      </c>
      <c r="J967" t="n">
        <v>0</v>
      </c>
      <c r="K967" t="n">
        <v>0</v>
      </c>
      <c r="L967" t="n">
        <v>0</v>
      </c>
      <c r="M967" t="n">
        <v>0</v>
      </c>
      <c r="N967" t="n">
        <v>0</v>
      </c>
      <c r="O967" t="n">
        <v>0</v>
      </c>
      <c r="P967" t="n">
        <v>0</v>
      </c>
      <c r="Q967" t="n">
        <v>0</v>
      </c>
      <c r="R967" s="2" t="inlineStr"/>
    </row>
    <row r="968" ht="15" customHeight="1">
      <c r="A968" t="inlineStr">
        <is>
          <t>A 22180-2025</t>
        </is>
      </c>
      <c r="B968" s="1" t="n">
        <v>45785</v>
      </c>
      <c r="C968" s="1" t="n">
        <v>46037</v>
      </c>
      <c r="D968" t="inlineStr">
        <is>
          <t>JÄMTLANDS LÄN</t>
        </is>
      </c>
      <c r="E968" t="inlineStr">
        <is>
          <t>BERG</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22478-2025</t>
        </is>
      </c>
      <c r="B969" s="1" t="n">
        <v>45786.6349537037</v>
      </c>
      <c r="C969" s="1" t="n">
        <v>46037</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46366-2024</t>
        </is>
      </c>
      <c r="B970" s="1" t="n">
        <v>45582.36490740741</v>
      </c>
      <c r="C970" s="1" t="n">
        <v>46037</v>
      </c>
      <c r="D970" t="inlineStr">
        <is>
          <t>JÄMTLANDS LÄN</t>
        </is>
      </c>
      <c r="E970" t="inlineStr">
        <is>
          <t>BERG</t>
        </is>
      </c>
      <c r="G970" t="n">
        <v>5</v>
      </c>
      <c r="H970" t="n">
        <v>0</v>
      </c>
      <c r="I970" t="n">
        <v>0</v>
      </c>
      <c r="J970" t="n">
        <v>0</v>
      </c>
      <c r="K970" t="n">
        <v>0</v>
      </c>
      <c r="L970" t="n">
        <v>0</v>
      </c>
      <c r="M970" t="n">
        <v>0</v>
      </c>
      <c r="N970" t="n">
        <v>0</v>
      </c>
      <c r="O970" t="n">
        <v>0</v>
      </c>
      <c r="P970" t="n">
        <v>0</v>
      </c>
      <c r="Q970" t="n">
        <v>0</v>
      </c>
      <c r="R970" s="2" t="inlineStr"/>
    </row>
    <row r="971" ht="15" customHeight="1">
      <c r="A971" t="inlineStr">
        <is>
          <t>A 22724-2025</t>
        </is>
      </c>
      <c r="B971" s="1" t="n">
        <v>45789.57361111111</v>
      </c>
      <c r="C971" s="1" t="n">
        <v>46037</v>
      </c>
      <c r="D971" t="inlineStr">
        <is>
          <t>JÄMTLANDS LÄN</t>
        </is>
      </c>
      <c r="E971" t="inlineStr">
        <is>
          <t>BERG</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22672-2025</t>
        </is>
      </c>
      <c r="B972" s="1" t="n">
        <v>45789.4903587963</v>
      </c>
      <c r="C972" s="1" t="n">
        <v>46037</v>
      </c>
      <c r="D972" t="inlineStr">
        <is>
          <t>JÄMTLANDS LÄN</t>
        </is>
      </c>
      <c r="E972" t="inlineStr">
        <is>
          <t>BERG</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22653-2025</t>
        </is>
      </c>
      <c r="B973" s="1" t="n">
        <v>45789.46931712963</v>
      </c>
      <c r="C973" s="1" t="n">
        <v>46037</v>
      </c>
      <c r="D973" t="inlineStr">
        <is>
          <t>JÄMTLANDS LÄN</t>
        </is>
      </c>
      <c r="E973" t="inlineStr">
        <is>
          <t>BERG</t>
        </is>
      </c>
      <c r="F973" t="inlineStr">
        <is>
          <t>SCA</t>
        </is>
      </c>
      <c r="G973" t="n">
        <v>1.6</v>
      </c>
      <c r="H973" t="n">
        <v>0</v>
      </c>
      <c r="I973" t="n">
        <v>0</v>
      </c>
      <c r="J973" t="n">
        <v>0</v>
      </c>
      <c r="K973" t="n">
        <v>0</v>
      </c>
      <c r="L973" t="n">
        <v>0</v>
      </c>
      <c r="M973" t="n">
        <v>0</v>
      </c>
      <c r="N973" t="n">
        <v>0</v>
      </c>
      <c r="O973" t="n">
        <v>0</v>
      </c>
      <c r="P973" t="n">
        <v>0</v>
      </c>
      <c r="Q973" t="n">
        <v>0</v>
      </c>
      <c r="R973" s="2" t="inlineStr"/>
    </row>
    <row r="974">
      <c r="A974" t="inlineStr">
        <is>
          <t>A 22995-2025</t>
        </is>
      </c>
      <c r="B974" s="1" t="n">
        <v>45790.58265046297</v>
      </c>
      <c r="C974" s="1" t="n">
        <v>46037</v>
      </c>
      <c r="D974" t="inlineStr">
        <is>
          <t>JÄMTLANDS LÄN</t>
        </is>
      </c>
      <c r="E974" t="inlineStr">
        <is>
          <t>BERG</t>
        </is>
      </c>
      <c r="G974" t="n">
        <v>0.6</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2026-01-15T11:04:24Z</dcterms:created>
  <dcterms:modified xmlns:dcterms="http://purl.org/dc/terms/" xmlns:xsi="http://www.w3.org/2001/XMLSchema-instance" xsi:type="dcterms:W3CDTF">2026-01-15T11:04:25Z</dcterms:modified>
</cp:coreProperties>
</file>