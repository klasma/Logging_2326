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46134</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46134</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46134</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46134</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46134</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46134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46134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46134</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46134</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46134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46134</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46134</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46134</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46134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46134</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46134</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46938-2025</t>
        </is>
      </c>
      <c r="B24" s="1" t="n">
        <v>45929.45290509259</v>
      </c>
      <c r="C24" s="1" t="n">
        <v>46134</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4716-2023</t>
        </is>
      </c>
      <c r="B25" s="1" t="n">
        <v>44953</v>
      </c>
      <c r="C25" s="1" t="n">
        <v>46134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46134</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46134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46134</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46134</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46134</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46134</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46134</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46134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20809-2025</t>
        </is>
      </c>
      <c r="B34" s="1" t="n">
        <v>45776</v>
      </c>
      <c r="C34" s="1" t="n">
        <v>46134</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46134</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46134</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46134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46134</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49797-2025</t>
        </is>
      </c>
      <c r="B39" s="1" t="n">
        <v>45940.40804398148</v>
      </c>
      <c r="C39" s="1" t="n">
        <v>46134</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46134</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46134</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46134</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37406-2022</t>
        </is>
      </c>
      <c r="B43" s="1" t="n">
        <v>44806</v>
      </c>
      <c r="C43" s="1" t="n">
        <v>46134</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56364-2024</t>
        </is>
      </c>
      <c r="B44" s="1" t="n">
        <v>45625.32383101852</v>
      </c>
      <c r="C44" s="1" t="n">
        <v>46134</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46134</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40860-2025</t>
        </is>
      </c>
      <c r="B46" s="1" t="n">
        <v>45897.56300925926</v>
      </c>
      <c r="C46" s="1" t="n">
        <v>46134</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46134</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21519-2025</t>
        </is>
      </c>
      <c r="B48" s="1" t="n">
        <v>45782</v>
      </c>
      <c r="C48" s="1" t="n">
        <v>46134</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24670-2025</t>
        </is>
      </c>
      <c r="B49" s="1" t="n">
        <v>45798.64947916667</v>
      </c>
      <c r="C49" s="1" t="n">
        <v>46134</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27957-2025</t>
        </is>
      </c>
      <c r="B50" s="1" t="n">
        <v>45817.53871527778</v>
      </c>
      <c r="C50" s="1" t="n">
        <v>46134</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31719-2022</t>
        </is>
      </c>
      <c r="B51" s="1" t="n">
        <v>44776</v>
      </c>
      <c r="C51" s="1" t="n">
        <v>46134</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37398-2022</t>
        </is>
      </c>
      <c r="B52" s="1" t="n">
        <v>44806</v>
      </c>
      <c r="C52" s="1" t="n">
        <v>46134</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49626-2024</t>
        </is>
      </c>
      <c r="B53" s="1" t="n">
        <v>45596.59109953704</v>
      </c>
      <c r="C53" s="1" t="n">
        <v>46134</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18810-2026</t>
        </is>
      </c>
      <c r="B54" s="1" t="n">
        <v>46128.6365625</v>
      </c>
      <c r="C54" s="1" t="n">
        <v>46134</v>
      </c>
      <c r="D54" t="inlineStr">
        <is>
          <t>JÄMTLANDS LÄN</t>
        </is>
      </c>
      <c r="E54" t="inlineStr">
        <is>
          <t>BERG</t>
        </is>
      </c>
      <c r="F54" t="inlineStr">
        <is>
          <t>SCA</t>
        </is>
      </c>
      <c r="G54" t="n">
        <v>11.4</v>
      </c>
      <c r="H54" t="n">
        <v>0</v>
      </c>
      <c r="I54" t="n">
        <v>0</v>
      </c>
      <c r="J54" t="n">
        <v>5</v>
      </c>
      <c r="K54" t="n">
        <v>1</v>
      </c>
      <c r="L54" t="n">
        <v>0</v>
      </c>
      <c r="M54" t="n">
        <v>0</v>
      </c>
      <c r="N54" t="n">
        <v>0</v>
      </c>
      <c r="O54" t="n">
        <v>6</v>
      </c>
      <c r="P54" t="n">
        <v>1</v>
      </c>
      <c r="Q54" t="n">
        <v>6</v>
      </c>
      <c r="R54" s="2" t="inlineStr">
        <is>
          <t>Gräddporing
Blanksvart spiklav
Dvärgbägarlav
Nordtagging
Vedflamlav
Vitplätt</t>
        </is>
      </c>
      <c r="S54">
        <f>HYPERLINK("https://klasma.github.io/Logging_2326/artfynd/A 18810-2026 artfynd.xlsx", "A 18810-2026")</f>
        <v/>
      </c>
      <c r="T54">
        <f>HYPERLINK("https://klasma.github.io/Logging_2326/kartor/A 18810-2026 karta.png", "A 18810-2026")</f>
        <v/>
      </c>
      <c r="V54">
        <f>HYPERLINK("https://klasma.github.io/Logging_2326/klagomål/A 18810-2026 FSC-klagomål.docx", "A 18810-2026")</f>
        <v/>
      </c>
      <c r="W54">
        <f>HYPERLINK("https://klasma.github.io/Logging_2326/klagomålsmail/A 18810-2026 FSC-klagomål mail.docx", "A 18810-2026")</f>
        <v/>
      </c>
      <c r="X54">
        <f>HYPERLINK("https://klasma.github.io/Logging_2326/tillsyn/A 18810-2026 tillsynsbegäran.docx", "A 18810-2026")</f>
        <v/>
      </c>
      <c r="Y54">
        <f>HYPERLINK("https://klasma.github.io/Logging_2326/tillsynsmail/A 18810-2026 tillsynsbegäran mail.docx", "A 18810-2026")</f>
        <v/>
      </c>
    </row>
    <row r="55" ht="15" customHeight="1">
      <c r="A55" t="inlineStr">
        <is>
          <t>A 27571-2025</t>
        </is>
      </c>
      <c r="B55" s="1" t="n">
        <v>45813</v>
      </c>
      <c r="C55" s="1" t="n">
        <v>46134</v>
      </c>
      <c r="D55" t="inlineStr">
        <is>
          <t>JÄMTLANDS LÄN</t>
        </is>
      </c>
      <c r="E55" t="inlineStr">
        <is>
          <t>BERG</t>
        </is>
      </c>
      <c r="F55" t="inlineStr">
        <is>
          <t>SCA</t>
        </is>
      </c>
      <c r="G55" t="n">
        <v>20.9</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54406-2023</t>
        </is>
      </c>
      <c r="B56" s="1" t="n">
        <v>45233.38612268519</v>
      </c>
      <c r="C56" s="1" t="n">
        <v>46134</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46134</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12973-2024</t>
        </is>
      </c>
      <c r="B58" s="1" t="n">
        <v>45385.51104166666</v>
      </c>
      <c r="C58" s="1" t="n">
        <v>46134</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46134</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46134</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28659-2025</t>
        </is>
      </c>
      <c r="B61" s="1" t="n">
        <v>45819.65783564815</v>
      </c>
      <c r="C61" s="1" t="n">
        <v>46134</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4333-2026</t>
        </is>
      </c>
      <c r="B62" s="1" t="n">
        <v>46045.485625</v>
      </c>
      <c r="C62" s="1" t="n">
        <v>46134</v>
      </c>
      <c r="D62" t="inlineStr">
        <is>
          <t>JÄMTLANDS LÄN</t>
        </is>
      </c>
      <c r="E62" t="inlineStr">
        <is>
          <t>BERG</t>
        </is>
      </c>
      <c r="G62" t="n">
        <v>31.5</v>
      </c>
      <c r="H62" t="n">
        <v>2</v>
      </c>
      <c r="I62" t="n">
        <v>0</v>
      </c>
      <c r="J62" t="n">
        <v>5</v>
      </c>
      <c r="K62" t="n">
        <v>0</v>
      </c>
      <c r="L62" t="n">
        <v>0</v>
      </c>
      <c r="M62" t="n">
        <v>0</v>
      </c>
      <c r="N62" t="n">
        <v>0</v>
      </c>
      <c r="O62" t="n">
        <v>5</v>
      </c>
      <c r="P62" t="n">
        <v>0</v>
      </c>
      <c r="Q62" t="n">
        <v>5</v>
      </c>
      <c r="R62" s="2" t="inlineStr">
        <is>
          <t>Granticka
Tallticka
Talltita
Tretåig hackspett
Ullticka</t>
        </is>
      </c>
      <c r="S62">
        <f>HYPERLINK("https://klasma.github.io/Logging_2326/artfynd/A 4333-2026 artfynd.xlsx", "A 4333-2026")</f>
        <v/>
      </c>
      <c r="T62">
        <f>HYPERLINK("https://klasma.github.io/Logging_2326/kartor/A 4333-2026 karta.png", "A 4333-2026")</f>
        <v/>
      </c>
      <c r="V62">
        <f>HYPERLINK("https://klasma.github.io/Logging_2326/klagomål/A 4333-2026 FSC-klagomål.docx", "A 4333-2026")</f>
        <v/>
      </c>
      <c r="W62">
        <f>HYPERLINK("https://klasma.github.io/Logging_2326/klagomålsmail/A 4333-2026 FSC-klagomål mail.docx", "A 4333-2026")</f>
        <v/>
      </c>
      <c r="X62">
        <f>HYPERLINK("https://klasma.github.io/Logging_2326/tillsyn/A 4333-2026 tillsynsbegäran.docx", "A 4333-2026")</f>
        <v/>
      </c>
      <c r="Y62">
        <f>HYPERLINK("https://klasma.github.io/Logging_2326/tillsynsmail/A 4333-2026 tillsynsbegäran mail.docx", "A 4333-2026")</f>
        <v/>
      </c>
      <c r="Z62">
        <f>HYPERLINK("https://klasma.github.io/Logging_2326/fåglar/A 4333-2026 prioriterade fågelarter.docx", "A 4333-2026")</f>
        <v/>
      </c>
    </row>
    <row r="63" ht="15" customHeight="1">
      <c r="A63" t="inlineStr">
        <is>
          <t>A 56203-2021</t>
        </is>
      </c>
      <c r="B63" s="1" t="n">
        <v>44477</v>
      </c>
      <c r="C63" s="1" t="n">
        <v>46134</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46134</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19530-2025</t>
        </is>
      </c>
      <c r="B65" s="1" t="n">
        <v>45770.46903935185</v>
      </c>
      <c r="C65" s="1" t="n">
        <v>46134</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54979-2021</t>
        </is>
      </c>
      <c r="B66" s="1" t="n">
        <v>44474.53888888889</v>
      </c>
      <c r="C66" s="1" t="n">
        <v>46134</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46134</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46134</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58238-2025</t>
        </is>
      </c>
      <c r="B69" s="1" t="n">
        <v>45985.38775462963</v>
      </c>
      <c r="C69" s="1" t="n">
        <v>46134</v>
      </c>
      <c r="D69" t="inlineStr">
        <is>
          <t>JÄMTLANDS LÄN</t>
        </is>
      </c>
      <c r="E69" t="inlineStr">
        <is>
          <t>BERG</t>
        </is>
      </c>
      <c r="F69" t="inlineStr">
        <is>
          <t>SCA</t>
        </is>
      </c>
      <c r="G69" t="n">
        <v>7.6</v>
      </c>
      <c r="H69" t="n">
        <v>2</v>
      </c>
      <c r="I69" t="n">
        <v>0</v>
      </c>
      <c r="J69" t="n">
        <v>4</v>
      </c>
      <c r="K69" t="n">
        <v>0</v>
      </c>
      <c r="L69" t="n">
        <v>0</v>
      </c>
      <c r="M69" t="n">
        <v>0</v>
      </c>
      <c r="N69" t="n">
        <v>0</v>
      </c>
      <c r="O69" t="n">
        <v>4</v>
      </c>
      <c r="P69" t="n">
        <v>0</v>
      </c>
      <c r="Q69" t="n">
        <v>4</v>
      </c>
      <c r="R69" s="2" t="inlineStr">
        <is>
          <t>Granticka
Spillkråka
Tretåig hackspett
Ullticka</t>
        </is>
      </c>
      <c r="S69">
        <f>HYPERLINK("https://klasma.github.io/Logging_2326/artfynd/A 58238-2025 artfynd.xlsx", "A 58238-2025")</f>
        <v/>
      </c>
      <c r="T69">
        <f>HYPERLINK("https://klasma.github.io/Logging_2326/kartor/A 58238-2025 karta.png", "A 58238-2025")</f>
        <v/>
      </c>
      <c r="V69">
        <f>HYPERLINK("https://klasma.github.io/Logging_2326/klagomål/A 58238-2025 FSC-klagomål.docx", "A 58238-2025")</f>
        <v/>
      </c>
      <c r="W69">
        <f>HYPERLINK("https://klasma.github.io/Logging_2326/klagomålsmail/A 58238-2025 FSC-klagomål mail.docx", "A 58238-2025")</f>
        <v/>
      </c>
      <c r="X69">
        <f>HYPERLINK("https://klasma.github.io/Logging_2326/tillsyn/A 58238-2025 tillsynsbegäran.docx", "A 58238-2025")</f>
        <v/>
      </c>
      <c r="Y69">
        <f>HYPERLINK("https://klasma.github.io/Logging_2326/tillsynsmail/A 58238-2025 tillsynsbegäran mail.docx", "A 58238-2025")</f>
        <v/>
      </c>
      <c r="Z69">
        <f>HYPERLINK("https://klasma.github.io/Logging_2326/fåglar/A 58238-2025 prioriterade fågelarter.docx", "A 58238-2025")</f>
        <v/>
      </c>
    </row>
    <row r="70" ht="15" customHeight="1">
      <c r="A70" t="inlineStr">
        <is>
          <t>A 25871-2025</t>
        </is>
      </c>
      <c r="B70" s="1" t="n">
        <v>45804.4903125</v>
      </c>
      <c r="C70" s="1" t="n">
        <v>46134</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46134</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40913-2025</t>
        </is>
      </c>
      <c r="B72" s="1" t="n">
        <v>45897.61719907408</v>
      </c>
      <c r="C72" s="1" t="n">
        <v>46134</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31715-2025</t>
        </is>
      </c>
      <c r="B73" s="1" t="n">
        <v>45834.45671296296</v>
      </c>
      <c r="C73" s="1" t="n">
        <v>46134</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31742-2025</t>
        </is>
      </c>
      <c r="B74" s="1" t="n">
        <v>45834.47548611111</v>
      </c>
      <c r="C74" s="1" t="n">
        <v>46134</v>
      </c>
      <c r="D74" t="inlineStr">
        <is>
          <t>JÄMTLANDS LÄN</t>
        </is>
      </c>
      <c r="E74" t="inlineStr">
        <is>
          <t>BERG</t>
        </is>
      </c>
      <c r="G74" t="n">
        <v>10.7</v>
      </c>
      <c r="H74" t="n">
        <v>0</v>
      </c>
      <c r="I74" t="n">
        <v>0</v>
      </c>
      <c r="J74" t="n">
        <v>4</v>
      </c>
      <c r="K74" t="n">
        <v>0</v>
      </c>
      <c r="L74" t="n">
        <v>0</v>
      </c>
      <c r="M74" t="n">
        <v>0</v>
      </c>
      <c r="N74" t="n">
        <v>0</v>
      </c>
      <c r="O74" t="n">
        <v>4</v>
      </c>
      <c r="P74" t="n">
        <v>0</v>
      </c>
      <c r="Q74" t="n">
        <v>4</v>
      </c>
      <c r="R74" s="2" t="inlineStr">
        <is>
          <t>Blågrå svartspik
Dvärgbägarlav
Kolflarnlav
Mörk kolflarnlav</t>
        </is>
      </c>
      <c r="S74">
        <f>HYPERLINK("https://klasma.github.io/Logging_2326/artfynd/A 31742-2025 artfynd.xlsx", "A 31742-2025")</f>
        <v/>
      </c>
      <c r="T74">
        <f>HYPERLINK("https://klasma.github.io/Logging_2326/kartor/A 31742-2025 karta.png", "A 31742-2025")</f>
        <v/>
      </c>
      <c r="V74">
        <f>HYPERLINK("https://klasma.github.io/Logging_2326/klagomål/A 31742-2025 FSC-klagomål.docx", "A 31742-2025")</f>
        <v/>
      </c>
      <c r="W74">
        <f>HYPERLINK("https://klasma.github.io/Logging_2326/klagomålsmail/A 31742-2025 FSC-klagomål mail.docx", "A 31742-2025")</f>
        <v/>
      </c>
      <c r="X74">
        <f>HYPERLINK("https://klasma.github.io/Logging_2326/tillsyn/A 31742-2025 tillsynsbegäran.docx", "A 31742-2025")</f>
        <v/>
      </c>
      <c r="Y74">
        <f>HYPERLINK("https://klasma.github.io/Logging_2326/tillsynsmail/A 31742-2025 tillsynsbegäran mail.docx", "A 31742-2025")</f>
        <v/>
      </c>
    </row>
    <row r="75" ht="15" customHeight="1">
      <c r="A75" t="inlineStr">
        <is>
          <t>A 45424-2024</t>
        </is>
      </c>
      <c r="B75" s="1" t="n">
        <v>45576.60398148148</v>
      </c>
      <c r="C75" s="1" t="n">
        <v>46134</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46795-2025</t>
        </is>
      </c>
      <c r="B76" s="1" t="n">
        <v>45926.65668981482</v>
      </c>
      <c r="C76" s="1" t="n">
        <v>46134</v>
      </c>
      <c r="D76" t="inlineStr">
        <is>
          <t>JÄMTLANDS LÄN</t>
        </is>
      </c>
      <c r="E76" t="inlineStr">
        <is>
          <t>BERG</t>
        </is>
      </c>
      <c r="F76" t="inlineStr">
        <is>
          <t>SCA</t>
        </is>
      </c>
      <c r="G76" t="n">
        <v>15.1</v>
      </c>
      <c r="H76" t="n">
        <v>0</v>
      </c>
      <c r="I76" t="n">
        <v>0</v>
      </c>
      <c r="J76" t="n">
        <v>4</v>
      </c>
      <c r="K76" t="n">
        <v>0</v>
      </c>
      <c r="L76" t="n">
        <v>0</v>
      </c>
      <c r="M76" t="n">
        <v>0</v>
      </c>
      <c r="N76" t="n">
        <v>0</v>
      </c>
      <c r="O76" t="n">
        <v>4</v>
      </c>
      <c r="P76" t="n">
        <v>0</v>
      </c>
      <c r="Q76" t="n">
        <v>4</v>
      </c>
      <c r="R76" s="2" t="inlineStr">
        <is>
          <t>Gammelgransskål
Lunglav
Skrovellav
Ullticka</t>
        </is>
      </c>
      <c r="S76">
        <f>HYPERLINK("https://klasma.github.io/Logging_2326/artfynd/A 46795-2025 artfynd.xlsx", "A 46795-2025")</f>
        <v/>
      </c>
      <c r="T76">
        <f>HYPERLINK("https://klasma.github.io/Logging_2326/kartor/A 46795-2025 karta.png", "A 46795-2025")</f>
        <v/>
      </c>
      <c r="V76">
        <f>HYPERLINK("https://klasma.github.io/Logging_2326/klagomål/A 46795-2025 FSC-klagomål.docx", "A 46795-2025")</f>
        <v/>
      </c>
      <c r="W76">
        <f>HYPERLINK("https://klasma.github.io/Logging_2326/klagomålsmail/A 46795-2025 FSC-klagomål mail.docx", "A 46795-2025")</f>
        <v/>
      </c>
      <c r="X76">
        <f>HYPERLINK("https://klasma.github.io/Logging_2326/tillsyn/A 46795-2025 tillsynsbegäran.docx", "A 46795-2025")</f>
        <v/>
      </c>
      <c r="Y76">
        <f>HYPERLINK("https://klasma.github.io/Logging_2326/tillsynsmail/A 46795-2025 tillsynsbegäran mail.docx", "A 46795-2025")</f>
        <v/>
      </c>
    </row>
    <row r="77" ht="15" customHeight="1">
      <c r="A77" t="inlineStr">
        <is>
          <t>A 56224-2024</t>
        </is>
      </c>
      <c r="B77" s="1" t="n">
        <v>45624.61491898148</v>
      </c>
      <c r="C77" s="1" t="n">
        <v>46134</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13487-2024</t>
        </is>
      </c>
      <c r="B78" s="1" t="n">
        <v>45387</v>
      </c>
      <c r="C78" s="1" t="n">
        <v>46134</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53305-2025</t>
        </is>
      </c>
      <c r="B79" s="1" t="n">
        <v>45959.334375</v>
      </c>
      <c r="C79" s="1" t="n">
        <v>46134</v>
      </c>
      <c r="D79" t="inlineStr">
        <is>
          <t>JÄMTLANDS LÄN</t>
        </is>
      </c>
      <c r="E79" t="inlineStr">
        <is>
          <t>BERG</t>
        </is>
      </c>
      <c r="G79" t="n">
        <v>3.3</v>
      </c>
      <c r="H79" t="n">
        <v>2</v>
      </c>
      <c r="I79" t="n">
        <v>0</v>
      </c>
      <c r="J79" t="n">
        <v>4</v>
      </c>
      <c r="K79" t="n">
        <v>0</v>
      </c>
      <c r="L79" t="n">
        <v>0</v>
      </c>
      <c r="M79" t="n">
        <v>0</v>
      </c>
      <c r="N79" t="n">
        <v>0</v>
      </c>
      <c r="O79" t="n">
        <v>4</v>
      </c>
      <c r="P79" t="n">
        <v>0</v>
      </c>
      <c r="Q79" t="n">
        <v>4</v>
      </c>
      <c r="R79" s="2" t="inlineStr">
        <is>
          <t>Granticka
Harticka
Spillkråka
Tretåig hackspett</t>
        </is>
      </c>
      <c r="S79">
        <f>HYPERLINK("https://klasma.github.io/Logging_2326/artfynd/A 53305-2025 artfynd.xlsx", "A 53305-2025")</f>
        <v/>
      </c>
      <c r="T79">
        <f>HYPERLINK("https://klasma.github.io/Logging_2326/kartor/A 53305-2025 karta.png", "A 53305-2025")</f>
        <v/>
      </c>
      <c r="V79">
        <f>HYPERLINK("https://klasma.github.io/Logging_2326/klagomål/A 53305-2025 FSC-klagomål.docx", "A 53305-2025")</f>
        <v/>
      </c>
      <c r="W79">
        <f>HYPERLINK("https://klasma.github.io/Logging_2326/klagomålsmail/A 53305-2025 FSC-klagomål mail.docx", "A 53305-2025")</f>
        <v/>
      </c>
      <c r="X79">
        <f>HYPERLINK("https://klasma.github.io/Logging_2326/tillsyn/A 53305-2025 tillsynsbegäran.docx", "A 53305-2025")</f>
        <v/>
      </c>
      <c r="Y79">
        <f>HYPERLINK("https://klasma.github.io/Logging_2326/tillsynsmail/A 53305-2025 tillsynsbegäran mail.docx", "A 53305-2025")</f>
        <v/>
      </c>
      <c r="Z79">
        <f>HYPERLINK("https://klasma.github.io/Logging_2326/fåglar/A 53305-2025 prioriterade fågelarter.docx", "A 53305-2025")</f>
        <v/>
      </c>
    </row>
    <row r="80" ht="15" customHeight="1">
      <c r="A80" t="inlineStr">
        <is>
          <t>A 59823-2022</t>
        </is>
      </c>
      <c r="B80" s="1" t="n">
        <v>44900</v>
      </c>
      <c r="C80" s="1" t="n">
        <v>46134</v>
      </c>
      <c r="D80" t="inlineStr">
        <is>
          <t>JÄMTLANDS LÄN</t>
        </is>
      </c>
      <c r="E80" t="inlineStr">
        <is>
          <t>BERG</t>
        </is>
      </c>
      <c r="G80" t="n">
        <v>14.8</v>
      </c>
      <c r="H80" t="n">
        <v>2</v>
      </c>
      <c r="I80" t="n">
        <v>0</v>
      </c>
      <c r="J80" t="n">
        <v>2</v>
      </c>
      <c r="K80" t="n">
        <v>0</v>
      </c>
      <c r="L80" t="n">
        <v>0</v>
      </c>
      <c r="M80" t="n">
        <v>0</v>
      </c>
      <c r="N80" t="n">
        <v>0</v>
      </c>
      <c r="O80" t="n">
        <v>2</v>
      </c>
      <c r="P80" t="n">
        <v>0</v>
      </c>
      <c r="Q80" t="n">
        <v>4</v>
      </c>
      <c r="R80" s="2" t="inlineStr">
        <is>
          <t>Garnlav
Granticka
Orre
Fläcknycklar</t>
        </is>
      </c>
      <c r="S80">
        <f>HYPERLINK("https://klasma.github.io/Logging_2326/artfynd/A 59823-2022 artfynd.xlsx", "A 59823-2022")</f>
        <v/>
      </c>
      <c r="T80">
        <f>HYPERLINK("https://klasma.github.io/Logging_2326/kartor/A 59823-2022 karta.png", "A 59823-2022")</f>
        <v/>
      </c>
      <c r="V80">
        <f>HYPERLINK("https://klasma.github.io/Logging_2326/klagomål/A 59823-2022 FSC-klagomål.docx", "A 59823-2022")</f>
        <v/>
      </c>
      <c r="W80">
        <f>HYPERLINK("https://klasma.github.io/Logging_2326/klagomålsmail/A 59823-2022 FSC-klagomål mail.docx", "A 59823-2022")</f>
        <v/>
      </c>
      <c r="X80">
        <f>HYPERLINK("https://klasma.github.io/Logging_2326/tillsyn/A 59823-2022 tillsynsbegäran.docx", "A 59823-2022")</f>
        <v/>
      </c>
      <c r="Y80">
        <f>HYPERLINK("https://klasma.github.io/Logging_2326/tillsynsmail/A 59823-2022 tillsynsbegäran mail.docx", "A 59823-2022")</f>
        <v/>
      </c>
      <c r="Z80">
        <f>HYPERLINK("https://klasma.github.io/Logging_2326/fåglar/A 59823-2022 prioriterade fågelarter.docx", "A 59823-2022")</f>
        <v/>
      </c>
    </row>
    <row r="81" ht="15" customHeight="1">
      <c r="A81" t="inlineStr">
        <is>
          <t>A 57276-2025</t>
        </is>
      </c>
      <c r="B81" s="1" t="n">
        <v>45979.68783564815</v>
      </c>
      <c r="C81" s="1" t="n">
        <v>46134</v>
      </c>
      <c r="D81" t="inlineStr">
        <is>
          <t>JÄMTLANDS LÄN</t>
        </is>
      </c>
      <c r="E81" t="inlineStr">
        <is>
          <t>BERG</t>
        </is>
      </c>
      <c r="G81" t="n">
        <v>4.8</v>
      </c>
      <c r="H81" t="n">
        <v>0</v>
      </c>
      <c r="I81" t="n">
        <v>1</v>
      </c>
      <c r="J81" t="n">
        <v>3</v>
      </c>
      <c r="K81" t="n">
        <v>0</v>
      </c>
      <c r="L81" t="n">
        <v>0</v>
      </c>
      <c r="M81" t="n">
        <v>0</v>
      </c>
      <c r="N81" t="n">
        <v>0</v>
      </c>
      <c r="O81" t="n">
        <v>3</v>
      </c>
      <c r="P81" t="n">
        <v>0</v>
      </c>
      <c r="Q81" t="n">
        <v>4</v>
      </c>
      <c r="R81" s="2" t="inlineStr">
        <is>
          <t>Garnlav
Lunglav
Vitgrynig nållav
Trådticka</t>
        </is>
      </c>
      <c r="S81">
        <f>HYPERLINK("https://klasma.github.io/Logging_2326/artfynd/A 57276-2025 artfynd.xlsx", "A 57276-2025")</f>
        <v/>
      </c>
      <c r="T81">
        <f>HYPERLINK("https://klasma.github.io/Logging_2326/kartor/A 57276-2025 karta.png", "A 57276-2025")</f>
        <v/>
      </c>
      <c r="V81">
        <f>HYPERLINK("https://klasma.github.io/Logging_2326/klagomål/A 57276-2025 FSC-klagomål.docx", "A 57276-2025")</f>
        <v/>
      </c>
      <c r="W81">
        <f>HYPERLINK("https://klasma.github.io/Logging_2326/klagomålsmail/A 57276-2025 FSC-klagomål mail.docx", "A 57276-2025")</f>
        <v/>
      </c>
      <c r="X81">
        <f>HYPERLINK("https://klasma.github.io/Logging_2326/tillsyn/A 57276-2025 tillsynsbegäran.docx", "A 57276-2025")</f>
        <v/>
      </c>
      <c r="Y81">
        <f>HYPERLINK("https://klasma.github.io/Logging_2326/tillsynsmail/A 57276-2025 tillsynsbegäran mail.docx", "A 57276-2025")</f>
        <v/>
      </c>
    </row>
    <row r="82" ht="15" customHeight="1">
      <c r="A82" t="inlineStr">
        <is>
          <t>A 38156-2024</t>
        </is>
      </c>
      <c r="B82" s="1" t="n">
        <v>45545</v>
      </c>
      <c r="C82" s="1" t="n">
        <v>46134</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27100-2025</t>
        </is>
      </c>
      <c r="B83" s="1" t="n">
        <v>45811</v>
      </c>
      <c r="C83" s="1" t="n">
        <v>46134</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7891-2022</t>
        </is>
      </c>
      <c r="B84" s="1" t="n">
        <v>44607</v>
      </c>
      <c r="C84" s="1" t="n">
        <v>46134</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46134</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62661-2021</t>
        </is>
      </c>
      <c r="B86" s="1" t="n">
        <v>44503</v>
      </c>
      <c r="C86" s="1" t="n">
        <v>46134</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46134</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54802-2021</t>
        </is>
      </c>
      <c r="B88" s="1" t="n">
        <v>44473</v>
      </c>
      <c r="C88" s="1" t="n">
        <v>46134</v>
      </c>
      <c r="D88" t="inlineStr">
        <is>
          <t>JÄMTLANDS LÄN</t>
        </is>
      </c>
      <c r="E88" t="inlineStr">
        <is>
          <t>BERG</t>
        </is>
      </c>
      <c r="F88" t="inlineStr">
        <is>
          <t>SCA</t>
        </is>
      </c>
      <c r="G88" t="n">
        <v>2.8</v>
      </c>
      <c r="H88" t="n">
        <v>1</v>
      </c>
      <c r="I88" t="n">
        <v>0</v>
      </c>
      <c r="J88" t="n">
        <v>3</v>
      </c>
      <c r="K88" t="n">
        <v>0</v>
      </c>
      <c r="L88" t="n">
        <v>0</v>
      </c>
      <c r="M88" t="n">
        <v>0</v>
      </c>
      <c r="N88" t="n">
        <v>0</v>
      </c>
      <c r="O88" t="n">
        <v>3</v>
      </c>
      <c r="P88" t="n">
        <v>0</v>
      </c>
      <c r="Q88" t="n">
        <v>3</v>
      </c>
      <c r="R88" s="2" t="inlineStr">
        <is>
          <t>Garnlav
Granticka
Tretåig hackspett</t>
        </is>
      </c>
      <c r="S88">
        <f>HYPERLINK("https://klasma.github.io/Logging_2326/artfynd/A 54802-2021 artfynd.xlsx", "A 54802-2021")</f>
        <v/>
      </c>
      <c r="T88">
        <f>HYPERLINK("https://klasma.github.io/Logging_2326/kartor/A 54802-2021 karta.png", "A 54802-2021")</f>
        <v/>
      </c>
      <c r="V88">
        <f>HYPERLINK("https://klasma.github.io/Logging_2326/klagomål/A 54802-2021 FSC-klagomål.docx", "A 54802-2021")</f>
        <v/>
      </c>
      <c r="W88">
        <f>HYPERLINK("https://klasma.github.io/Logging_2326/klagomålsmail/A 54802-2021 FSC-klagomål mail.docx", "A 54802-2021")</f>
        <v/>
      </c>
      <c r="X88">
        <f>HYPERLINK("https://klasma.github.io/Logging_2326/tillsyn/A 54802-2021 tillsynsbegäran.docx", "A 54802-2021")</f>
        <v/>
      </c>
      <c r="Y88">
        <f>HYPERLINK("https://klasma.github.io/Logging_2326/tillsynsmail/A 54802-2021 tillsynsbegäran mail.docx", "A 54802-2021")</f>
        <v/>
      </c>
      <c r="Z88">
        <f>HYPERLINK("https://klasma.github.io/Logging_2326/fåglar/A 54802-2021 prioriterade fågelarter.docx", "A 54802-2021")</f>
        <v/>
      </c>
    </row>
    <row r="89" ht="15" customHeight="1">
      <c r="A89" t="inlineStr">
        <is>
          <t>A 47122-2024</t>
        </is>
      </c>
      <c r="B89" s="1" t="n">
        <v>45586.5674074074</v>
      </c>
      <c r="C89" s="1" t="n">
        <v>46134</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49611-2025</t>
        </is>
      </c>
      <c r="B90" s="1" t="n">
        <v>45939.5735300926</v>
      </c>
      <c r="C90" s="1" t="n">
        <v>46134</v>
      </c>
      <c r="D90" t="inlineStr">
        <is>
          <t>JÄMTLANDS LÄN</t>
        </is>
      </c>
      <c r="E90" t="inlineStr">
        <is>
          <t>BERG</t>
        </is>
      </c>
      <c r="F90" t="inlineStr">
        <is>
          <t>SCA</t>
        </is>
      </c>
      <c r="G90" t="n">
        <v>7.1</v>
      </c>
      <c r="H90" t="n">
        <v>1</v>
      </c>
      <c r="I90" t="n">
        <v>1</v>
      </c>
      <c r="J90" t="n">
        <v>2</v>
      </c>
      <c r="K90" t="n">
        <v>0</v>
      </c>
      <c r="L90" t="n">
        <v>0</v>
      </c>
      <c r="M90" t="n">
        <v>0</v>
      </c>
      <c r="N90" t="n">
        <v>0</v>
      </c>
      <c r="O90" t="n">
        <v>2</v>
      </c>
      <c r="P90" t="n">
        <v>0</v>
      </c>
      <c r="Q90" t="n">
        <v>3</v>
      </c>
      <c r="R90" s="2" t="inlineStr">
        <is>
          <t>Dvärgbägarlav
Nordtagging
Plattlummer</t>
        </is>
      </c>
      <c r="S90">
        <f>HYPERLINK("https://klasma.github.io/Logging_2326/artfynd/A 49611-2025 artfynd.xlsx", "A 49611-2025")</f>
        <v/>
      </c>
      <c r="T90">
        <f>HYPERLINK("https://klasma.github.io/Logging_2326/kartor/A 49611-2025 karta.png", "A 49611-2025")</f>
        <v/>
      </c>
      <c r="V90">
        <f>HYPERLINK("https://klasma.github.io/Logging_2326/klagomål/A 49611-2025 FSC-klagomål.docx", "A 49611-2025")</f>
        <v/>
      </c>
      <c r="W90">
        <f>HYPERLINK("https://klasma.github.io/Logging_2326/klagomålsmail/A 49611-2025 FSC-klagomål mail.docx", "A 49611-2025")</f>
        <v/>
      </c>
      <c r="X90">
        <f>HYPERLINK("https://klasma.github.io/Logging_2326/tillsyn/A 49611-2025 tillsynsbegäran.docx", "A 49611-2025")</f>
        <v/>
      </c>
      <c r="Y90">
        <f>HYPERLINK("https://klasma.github.io/Logging_2326/tillsynsmail/A 49611-2025 tillsynsbegäran mail.docx", "A 49611-2025")</f>
        <v/>
      </c>
    </row>
    <row r="91" ht="15" customHeight="1">
      <c r="A91" t="inlineStr">
        <is>
          <t>A 52007-2025</t>
        </is>
      </c>
      <c r="B91" s="1" t="n">
        <v>45952.59424768519</v>
      </c>
      <c r="C91" s="1" t="n">
        <v>46134</v>
      </c>
      <c r="D91" t="inlineStr">
        <is>
          <t>JÄMTLANDS LÄN</t>
        </is>
      </c>
      <c r="E91" t="inlineStr">
        <is>
          <t>BERG</t>
        </is>
      </c>
      <c r="F91" t="inlineStr">
        <is>
          <t>SCA</t>
        </is>
      </c>
      <c r="G91" t="n">
        <v>28.1</v>
      </c>
      <c r="H91" t="n">
        <v>0</v>
      </c>
      <c r="I91" t="n">
        <v>0</v>
      </c>
      <c r="J91" t="n">
        <v>2</v>
      </c>
      <c r="K91" t="n">
        <v>1</v>
      </c>
      <c r="L91" t="n">
        <v>0</v>
      </c>
      <c r="M91" t="n">
        <v>0</v>
      </c>
      <c r="N91" t="n">
        <v>0</v>
      </c>
      <c r="O91" t="n">
        <v>3</v>
      </c>
      <c r="P91" t="n">
        <v>1</v>
      </c>
      <c r="Q91" t="n">
        <v>3</v>
      </c>
      <c r="R91" s="2" t="inlineStr">
        <is>
          <t>Gräddporing
Dvärgbägarlav
Vedtrappmossa</t>
        </is>
      </c>
      <c r="S91">
        <f>HYPERLINK("https://klasma.github.io/Logging_2326/artfynd/A 52007-2025 artfynd.xlsx", "A 52007-2025")</f>
        <v/>
      </c>
      <c r="T91">
        <f>HYPERLINK("https://klasma.github.io/Logging_2326/kartor/A 52007-2025 karta.png", "A 52007-2025")</f>
        <v/>
      </c>
      <c r="V91">
        <f>HYPERLINK("https://klasma.github.io/Logging_2326/klagomål/A 52007-2025 FSC-klagomål.docx", "A 52007-2025")</f>
        <v/>
      </c>
      <c r="W91">
        <f>HYPERLINK("https://klasma.github.io/Logging_2326/klagomålsmail/A 52007-2025 FSC-klagomål mail.docx", "A 52007-2025")</f>
        <v/>
      </c>
      <c r="X91">
        <f>HYPERLINK("https://klasma.github.io/Logging_2326/tillsyn/A 52007-2025 tillsynsbegäran.docx", "A 52007-2025")</f>
        <v/>
      </c>
      <c r="Y91">
        <f>HYPERLINK("https://klasma.github.io/Logging_2326/tillsynsmail/A 52007-2025 tillsynsbegäran mail.docx", "A 52007-2025")</f>
        <v/>
      </c>
    </row>
    <row r="92" ht="15" customHeight="1">
      <c r="A92" t="inlineStr">
        <is>
          <t>A 59401-2025</t>
        </is>
      </c>
      <c r="B92" s="1" t="n">
        <v>45989.48791666667</v>
      </c>
      <c r="C92" s="1" t="n">
        <v>46134</v>
      </c>
      <c r="D92" t="inlineStr">
        <is>
          <t>JÄMTLANDS LÄN</t>
        </is>
      </c>
      <c r="E92" t="inlineStr">
        <is>
          <t>BERG</t>
        </is>
      </c>
      <c r="G92" t="n">
        <v>4.6</v>
      </c>
      <c r="H92" t="n">
        <v>1</v>
      </c>
      <c r="I92" t="n">
        <v>0</v>
      </c>
      <c r="J92" t="n">
        <v>3</v>
      </c>
      <c r="K92" t="n">
        <v>0</v>
      </c>
      <c r="L92" t="n">
        <v>0</v>
      </c>
      <c r="M92" t="n">
        <v>0</v>
      </c>
      <c r="N92" t="n">
        <v>0</v>
      </c>
      <c r="O92" t="n">
        <v>3</v>
      </c>
      <c r="P92" t="n">
        <v>0</v>
      </c>
      <c r="Q92" t="n">
        <v>3</v>
      </c>
      <c r="R92" s="2" t="inlineStr">
        <is>
          <t>Garnlav
Kolflarnlav
Talltita</t>
        </is>
      </c>
      <c r="S92">
        <f>HYPERLINK("https://klasma.github.io/Logging_2326/artfynd/A 59401-2025 artfynd.xlsx", "A 59401-2025")</f>
        <v/>
      </c>
      <c r="T92">
        <f>HYPERLINK("https://klasma.github.io/Logging_2326/kartor/A 59401-2025 karta.png", "A 59401-2025")</f>
        <v/>
      </c>
      <c r="V92">
        <f>HYPERLINK("https://klasma.github.io/Logging_2326/klagomål/A 59401-2025 FSC-klagomål.docx", "A 59401-2025")</f>
        <v/>
      </c>
      <c r="W92">
        <f>HYPERLINK("https://klasma.github.io/Logging_2326/klagomålsmail/A 59401-2025 FSC-klagomål mail.docx", "A 59401-2025")</f>
        <v/>
      </c>
      <c r="X92">
        <f>HYPERLINK("https://klasma.github.io/Logging_2326/tillsyn/A 59401-2025 tillsynsbegäran.docx", "A 59401-2025")</f>
        <v/>
      </c>
      <c r="Y92">
        <f>HYPERLINK("https://klasma.github.io/Logging_2326/tillsynsmail/A 59401-2025 tillsynsbegäran mail.docx", "A 59401-2025")</f>
        <v/>
      </c>
      <c r="Z92">
        <f>HYPERLINK("https://klasma.github.io/Logging_2326/fåglar/A 59401-2025 prioriterade fågelarter.docx", "A 59401-2025")</f>
        <v/>
      </c>
    </row>
    <row r="93" ht="15" customHeight="1">
      <c r="A93" t="inlineStr">
        <is>
          <t>A 19848-2025</t>
        </is>
      </c>
      <c r="B93" s="1" t="n">
        <v>45771.49020833334</v>
      </c>
      <c r="C93" s="1" t="n">
        <v>46134</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52189-2024</t>
        </is>
      </c>
      <c r="B94" s="1" t="n">
        <v>45608</v>
      </c>
      <c r="C94" s="1" t="n">
        <v>46134</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6784-2022</t>
        </is>
      </c>
      <c r="B95" s="1" t="n">
        <v>44602</v>
      </c>
      <c r="C95" s="1" t="n">
        <v>46134</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20242-2025</t>
        </is>
      </c>
      <c r="B96" s="1" t="n">
        <v>45772</v>
      </c>
      <c r="C96" s="1" t="n">
        <v>46134</v>
      </c>
      <c r="D96" t="inlineStr">
        <is>
          <t>JÄMTLANDS LÄN</t>
        </is>
      </c>
      <c r="E96" t="inlineStr">
        <is>
          <t>BERG</t>
        </is>
      </c>
      <c r="F96" t="inlineStr">
        <is>
          <t>SCA</t>
        </is>
      </c>
      <c r="G96" t="n">
        <v>4.4</v>
      </c>
      <c r="H96" t="n">
        <v>2</v>
      </c>
      <c r="I96" t="n">
        <v>0</v>
      </c>
      <c r="J96" t="n">
        <v>2</v>
      </c>
      <c r="K96" t="n">
        <v>0</v>
      </c>
      <c r="L96" t="n">
        <v>0</v>
      </c>
      <c r="M96" t="n">
        <v>0</v>
      </c>
      <c r="N96" t="n">
        <v>0</v>
      </c>
      <c r="O96" t="n">
        <v>2</v>
      </c>
      <c r="P96" t="n">
        <v>0</v>
      </c>
      <c r="Q96" t="n">
        <v>3</v>
      </c>
      <c r="R96" s="2" t="inlineStr">
        <is>
          <t>Kolflarnlav
Tretåig hackspett
Fläcknycklar</t>
        </is>
      </c>
      <c r="S96">
        <f>HYPERLINK("https://klasma.github.io/Logging_2326/artfynd/A 20242-2025 artfynd.xlsx", "A 20242-2025")</f>
        <v/>
      </c>
      <c r="T96">
        <f>HYPERLINK("https://klasma.github.io/Logging_2326/kartor/A 20242-2025 karta.png", "A 20242-2025")</f>
        <v/>
      </c>
      <c r="V96">
        <f>HYPERLINK("https://klasma.github.io/Logging_2326/klagomål/A 20242-2025 FSC-klagomål.docx", "A 20242-2025")</f>
        <v/>
      </c>
      <c r="W96">
        <f>HYPERLINK("https://klasma.github.io/Logging_2326/klagomålsmail/A 20242-2025 FSC-klagomål mail.docx", "A 20242-2025")</f>
        <v/>
      </c>
      <c r="X96">
        <f>HYPERLINK("https://klasma.github.io/Logging_2326/tillsyn/A 20242-2025 tillsynsbegäran.docx", "A 20242-2025")</f>
        <v/>
      </c>
      <c r="Y96">
        <f>HYPERLINK("https://klasma.github.io/Logging_2326/tillsynsmail/A 20242-2025 tillsynsbegäran mail.docx", "A 20242-2025")</f>
        <v/>
      </c>
      <c r="Z96">
        <f>HYPERLINK("https://klasma.github.io/Logging_2326/fåglar/A 20242-2025 prioriterade fågelarter.docx", "A 20242-2025")</f>
        <v/>
      </c>
    </row>
    <row r="97" ht="15" customHeight="1">
      <c r="A97" t="inlineStr">
        <is>
          <t>A 37063-2025</t>
        </is>
      </c>
      <c r="B97" s="1" t="n">
        <v>45875.38596064815</v>
      </c>
      <c r="C97" s="1" t="n">
        <v>46134</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56368-2024</t>
        </is>
      </c>
      <c r="B98" s="1" t="n">
        <v>45625.32978009259</v>
      </c>
      <c r="C98" s="1" t="n">
        <v>46134</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54999-2023</t>
        </is>
      </c>
      <c r="B99" s="1" t="n">
        <v>45236</v>
      </c>
      <c r="C99" s="1" t="n">
        <v>46134</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68433-2021</t>
        </is>
      </c>
      <c r="B100" s="1" t="n">
        <v>44529</v>
      </c>
      <c r="C100" s="1" t="n">
        <v>46134</v>
      </c>
      <c r="D100" t="inlineStr">
        <is>
          <t>JÄMTLANDS LÄN</t>
        </is>
      </c>
      <c r="E100" t="inlineStr">
        <is>
          <t>BERG</t>
        </is>
      </c>
      <c r="G100" t="n">
        <v>17.9</v>
      </c>
      <c r="H100" t="n">
        <v>0</v>
      </c>
      <c r="I100" t="n">
        <v>0</v>
      </c>
      <c r="J100" t="n">
        <v>3</v>
      </c>
      <c r="K100" t="n">
        <v>0</v>
      </c>
      <c r="L100" t="n">
        <v>0</v>
      </c>
      <c r="M100" t="n">
        <v>0</v>
      </c>
      <c r="N100" t="n">
        <v>0</v>
      </c>
      <c r="O100" t="n">
        <v>3</v>
      </c>
      <c r="P100" t="n">
        <v>0</v>
      </c>
      <c r="Q100" t="n">
        <v>3</v>
      </c>
      <c r="R100" s="2" t="inlineStr">
        <is>
          <t>Doftskinn
Vaddporing
Vedskivlav</t>
        </is>
      </c>
      <c r="S100">
        <f>HYPERLINK("https://klasma.github.io/Logging_2326/artfynd/A 68433-2021 artfynd.xlsx", "A 68433-2021")</f>
        <v/>
      </c>
      <c r="T100">
        <f>HYPERLINK("https://klasma.github.io/Logging_2326/kartor/A 68433-2021 karta.png", "A 68433-2021")</f>
        <v/>
      </c>
      <c r="V100">
        <f>HYPERLINK("https://klasma.github.io/Logging_2326/klagomål/A 68433-2021 FSC-klagomål.docx", "A 68433-2021")</f>
        <v/>
      </c>
      <c r="W100">
        <f>HYPERLINK("https://klasma.github.io/Logging_2326/klagomålsmail/A 68433-2021 FSC-klagomål mail.docx", "A 68433-2021")</f>
        <v/>
      </c>
      <c r="X100">
        <f>HYPERLINK("https://klasma.github.io/Logging_2326/tillsyn/A 68433-2021 tillsynsbegäran.docx", "A 68433-2021")</f>
        <v/>
      </c>
      <c r="Y100">
        <f>HYPERLINK("https://klasma.github.io/Logging_2326/tillsynsmail/A 68433-2021 tillsynsbegäran mail.docx", "A 68433-2021")</f>
        <v/>
      </c>
    </row>
    <row r="101" ht="15" customHeight="1">
      <c r="A101" t="inlineStr">
        <is>
          <t>A 3062-2025</t>
        </is>
      </c>
      <c r="B101" s="1" t="n">
        <v>45678</v>
      </c>
      <c r="C101" s="1" t="n">
        <v>46134</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51950-2021</t>
        </is>
      </c>
      <c r="B102" s="1" t="n">
        <v>44462.9562037037</v>
      </c>
      <c r="C102" s="1" t="n">
        <v>46134</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46134</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47-2023</t>
        </is>
      </c>
      <c r="B104" s="1" t="n">
        <v>44928</v>
      </c>
      <c r="C104" s="1" t="n">
        <v>46134</v>
      </c>
      <c r="D104" t="inlineStr">
        <is>
          <t>JÄMTLANDS LÄN</t>
        </is>
      </c>
      <c r="E104" t="inlineStr">
        <is>
          <t>BERG</t>
        </is>
      </c>
      <c r="F104" t="inlineStr">
        <is>
          <t>Naturvårdsverket</t>
        </is>
      </c>
      <c r="G104" t="n">
        <v>1.5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HYPERLINK("https://klasma.github.io/Logging_2326/artfynd/A 47-2023 artfynd.xlsx", "A 47-2023")</f>
        <v/>
      </c>
      <c r="T104">
        <f>HYPERLINK("https://klasma.github.io/Logging_2326/kartor/A 47-2023 karta.png", "A 47-2023")</f>
        <v/>
      </c>
      <c r="U104">
        <f>HYPERLINK("https://klasma.github.io/Logging_2326/knärot/A 47-2023 karta knärot.png", "A 47-2023")</f>
        <v/>
      </c>
      <c r="V104">
        <f>HYPERLINK("https://klasma.github.io/Logging_2326/klagomål/A 47-2023 FSC-klagomål.docx", "A 47-2023")</f>
        <v/>
      </c>
      <c r="W104">
        <f>HYPERLINK("https://klasma.github.io/Logging_2326/klagomålsmail/A 47-2023 FSC-klagomål mail.docx", "A 47-2023")</f>
        <v/>
      </c>
      <c r="X104">
        <f>HYPERLINK("https://klasma.github.io/Logging_2326/tillsyn/A 47-2023 tillsynsbegäran.docx", "A 47-2023")</f>
        <v/>
      </c>
      <c r="Y104">
        <f>HYPERLINK("https://klasma.github.io/Logging_2326/tillsynsmail/A 47-2023 tillsynsbegäran mail.docx", "A 47-2023")</f>
        <v/>
      </c>
    </row>
    <row r="105" ht="15" customHeight="1">
      <c r="A105" t="inlineStr">
        <is>
          <t>A 62159-2025</t>
        </is>
      </c>
      <c r="B105" s="1" t="n">
        <v>46006.49081018518</v>
      </c>
      <c r="C105" s="1" t="n">
        <v>46134</v>
      </c>
      <c r="D105" t="inlineStr">
        <is>
          <t>JÄMTLANDS LÄN</t>
        </is>
      </c>
      <c r="E105" t="inlineStr">
        <is>
          <t>BERG</t>
        </is>
      </c>
      <c r="F105" t="inlineStr">
        <is>
          <t>SCA</t>
        </is>
      </c>
      <c r="G105" t="n">
        <v>3.8</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62159-2025 artfynd.xlsx", "A 62159-2025")</f>
        <v/>
      </c>
      <c r="T105">
        <f>HYPERLINK("https://klasma.github.io/Logging_2326/kartor/A 62159-2025 karta.png", "A 62159-2025")</f>
        <v/>
      </c>
      <c r="V105">
        <f>HYPERLINK("https://klasma.github.io/Logging_2326/klagomål/A 62159-2025 FSC-klagomål.docx", "A 62159-2025")</f>
        <v/>
      </c>
      <c r="W105">
        <f>HYPERLINK("https://klasma.github.io/Logging_2326/klagomålsmail/A 62159-2025 FSC-klagomål mail.docx", "A 62159-2025")</f>
        <v/>
      </c>
      <c r="X105">
        <f>HYPERLINK("https://klasma.github.io/Logging_2326/tillsyn/A 62159-2025 tillsynsbegäran.docx", "A 62159-2025")</f>
        <v/>
      </c>
      <c r="Y105">
        <f>HYPERLINK("https://klasma.github.io/Logging_2326/tillsynsmail/A 62159-2025 tillsynsbegäran mail.docx", "A 62159-2025")</f>
        <v/>
      </c>
      <c r="Z105">
        <f>HYPERLINK("https://klasma.github.io/Logging_2326/fåglar/A 62159-2025 prioriterade fågelarter.docx", "A 62159-2025")</f>
        <v/>
      </c>
    </row>
    <row r="106" ht="15" customHeight="1">
      <c r="A106" t="inlineStr">
        <is>
          <t>A 62161-2025</t>
        </is>
      </c>
      <c r="B106" s="1" t="n">
        <v>46006.49113425926</v>
      </c>
      <c r="C106" s="1" t="n">
        <v>46134</v>
      </c>
      <c r="D106" t="inlineStr">
        <is>
          <t>JÄMTLANDS LÄN</t>
        </is>
      </c>
      <c r="E106" t="inlineStr">
        <is>
          <t>BERG</t>
        </is>
      </c>
      <c r="F106" t="inlineStr">
        <is>
          <t>SCA</t>
        </is>
      </c>
      <c r="G106" t="n">
        <v>2.6</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62161-2025 artfynd.xlsx", "A 62161-2025")</f>
        <v/>
      </c>
      <c r="T106">
        <f>HYPERLINK("https://klasma.github.io/Logging_2326/kartor/A 62161-2025 karta.png", "A 62161-2025")</f>
        <v/>
      </c>
      <c r="V106">
        <f>HYPERLINK("https://klasma.github.io/Logging_2326/klagomål/A 62161-2025 FSC-klagomål.docx", "A 62161-2025")</f>
        <v/>
      </c>
      <c r="W106">
        <f>HYPERLINK("https://klasma.github.io/Logging_2326/klagomålsmail/A 62161-2025 FSC-klagomål mail.docx", "A 62161-2025")</f>
        <v/>
      </c>
      <c r="X106">
        <f>HYPERLINK("https://klasma.github.io/Logging_2326/tillsyn/A 62161-2025 tillsynsbegäran.docx", "A 62161-2025")</f>
        <v/>
      </c>
      <c r="Y106">
        <f>HYPERLINK("https://klasma.github.io/Logging_2326/tillsynsmail/A 62161-2025 tillsynsbegäran mail.docx", "A 62161-2025")</f>
        <v/>
      </c>
      <c r="Z106">
        <f>HYPERLINK("https://klasma.github.io/Logging_2326/fåglar/A 62161-2025 prioriterade fågelarter.docx", "A 62161-2025")</f>
        <v/>
      </c>
    </row>
    <row r="107" ht="15" customHeight="1">
      <c r="A107" t="inlineStr">
        <is>
          <t>A 26748-2025</t>
        </is>
      </c>
      <c r="B107" s="1" t="n">
        <v>45810.53988425926</v>
      </c>
      <c r="C107" s="1" t="n">
        <v>46134</v>
      </c>
      <c r="D107" t="inlineStr">
        <is>
          <t>JÄMTLANDS LÄN</t>
        </is>
      </c>
      <c r="E107" t="inlineStr">
        <is>
          <t>BERG</t>
        </is>
      </c>
      <c r="G107" t="n">
        <v>17.4</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HYPERLINK("https://klasma.github.io/Logging_2326/artfynd/A 26748-2025 artfynd.xlsx", "A 26748-2025")</f>
        <v/>
      </c>
      <c r="T107">
        <f>HYPERLINK("https://klasma.github.io/Logging_2326/kartor/A 26748-2025 karta.png", "A 26748-2025")</f>
        <v/>
      </c>
      <c r="V107">
        <f>HYPERLINK("https://klasma.github.io/Logging_2326/klagomål/A 26748-2025 FSC-klagomål.docx", "A 26748-2025")</f>
        <v/>
      </c>
      <c r="W107">
        <f>HYPERLINK("https://klasma.github.io/Logging_2326/klagomålsmail/A 26748-2025 FSC-klagomål mail.docx", "A 26748-2025")</f>
        <v/>
      </c>
      <c r="X107">
        <f>HYPERLINK("https://klasma.github.io/Logging_2326/tillsyn/A 26748-2025 tillsynsbegäran.docx", "A 26748-2025")</f>
        <v/>
      </c>
      <c r="Y107">
        <f>HYPERLINK("https://klasma.github.io/Logging_2326/tillsynsmail/A 26748-2025 tillsynsbegäran mail.docx", "A 26748-2025")</f>
        <v/>
      </c>
      <c r="Z107">
        <f>HYPERLINK("https://klasma.github.io/Logging_2326/fåglar/A 26748-2025 prioriterade fågelarter.docx", "A 26748-2025")</f>
        <v/>
      </c>
    </row>
    <row r="108" ht="15" customHeight="1">
      <c r="A108" t="inlineStr">
        <is>
          <t>A 27647-2025</t>
        </is>
      </c>
      <c r="B108" s="1" t="n">
        <v>45813.59454861111</v>
      </c>
      <c r="C108" s="1" t="n">
        <v>46134</v>
      </c>
      <c r="D108" t="inlineStr">
        <is>
          <t>JÄMTLANDS LÄN</t>
        </is>
      </c>
      <c r="E108" t="inlineStr">
        <is>
          <t>BERG</t>
        </is>
      </c>
      <c r="F108" t="inlineStr">
        <is>
          <t>SCA</t>
        </is>
      </c>
      <c r="G108" t="n">
        <v>3.1</v>
      </c>
      <c r="H108" t="n">
        <v>0</v>
      </c>
      <c r="I108" t="n">
        <v>0</v>
      </c>
      <c r="J108" t="n">
        <v>1</v>
      </c>
      <c r="K108" t="n">
        <v>1</v>
      </c>
      <c r="L108" t="n">
        <v>0</v>
      </c>
      <c r="M108" t="n">
        <v>0</v>
      </c>
      <c r="N108" t="n">
        <v>0</v>
      </c>
      <c r="O108" t="n">
        <v>2</v>
      </c>
      <c r="P108" t="n">
        <v>1</v>
      </c>
      <c r="Q108" t="n">
        <v>2</v>
      </c>
      <c r="R108" s="2" t="inlineStr">
        <is>
          <t>Gräddporing
Dvärgbägarlav</t>
        </is>
      </c>
      <c r="S108">
        <f>HYPERLINK("https://klasma.github.io/Logging_2326/artfynd/A 27647-2025 artfynd.xlsx", "A 27647-2025")</f>
        <v/>
      </c>
      <c r="T108">
        <f>HYPERLINK("https://klasma.github.io/Logging_2326/kartor/A 27647-2025 karta.png", "A 27647-2025")</f>
        <v/>
      </c>
      <c r="V108">
        <f>HYPERLINK("https://klasma.github.io/Logging_2326/klagomål/A 27647-2025 FSC-klagomål.docx", "A 27647-2025")</f>
        <v/>
      </c>
      <c r="W108">
        <f>HYPERLINK("https://klasma.github.io/Logging_2326/klagomålsmail/A 27647-2025 FSC-klagomål mail.docx", "A 27647-2025")</f>
        <v/>
      </c>
      <c r="X108">
        <f>HYPERLINK("https://klasma.github.io/Logging_2326/tillsyn/A 27647-2025 tillsynsbegäran.docx", "A 27647-2025")</f>
        <v/>
      </c>
      <c r="Y108">
        <f>HYPERLINK("https://klasma.github.io/Logging_2326/tillsynsmail/A 27647-2025 tillsynsbegäran mail.docx", "A 27647-2025")</f>
        <v/>
      </c>
    </row>
    <row r="109" ht="15" customHeight="1">
      <c r="A109" t="inlineStr">
        <is>
          <t>A 33009-2024</t>
        </is>
      </c>
      <c r="B109" s="1" t="n">
        <v>45517.50332175926</v>
      </c>
      <c r="C109" s="1" t="n">
        <v>46134</v>
      </c>
      <c r="D109" t="inlineStr">
        <is>
          <t>JÄMTLANDS LÄN</t>
        </is>
      </c>
      <c r="E109" t="inlineStr">
        <is>
          <t>BERG</t>
        </is>
      </c>
      <c r="G109" t="n">
        <v>2.7</v>
      </c>
      <c r="H109" t="n">
        <v>1</v>
      </c>
      <c r="I109" t="n">
        <v>0</v>
      </c>
      <c r="J109" t="n">
        <v>2</v>
      </c>
      <c r="K109" t="n">
        <v>0</v>
      </c>
      <c r="L109" t="n">
        <v>0</v>
      </c>
      <c r="M109" t="n">
        <v>0</v>
      </c>
      <c r="N109" t="n">
        <v>0</v>
      </c>
      <c r="O109" t="n">
        <v>2</v>
      </c>
      <c r="P109" t="n">
        <v>0</v>
      </c>
      <c r="Q109" t="n">
        <v>2</v>
      </c>
      <c r="R109" s="2" t="inlineStr">
        <is>
          <t>Garnlav
Talltita</t>
        </is>
      </c>
      <c r="S109">
        <f>HYPERLINK("https://klasma.github.io/Logging_2326/artfynd/A 33009-2024 artfynd.xlsx", "A 33009-2024")</f>
        <v/>
      </c>
      <c r="T109">
        <f>HYPERLINK("https://klasma.github.io/Logging_2326/kartor/A 33009-2024 karta.png", "A 33009-2024")</f>
        <v/>
      </c>
      <c r="V109">
        <f>HYPERLINK("https://klasma.github.io/Logging_2326/klagomål/A 33009-2024 FSC-klagomål.docx", "A 33009-2024")</f>
        <v/>
      </c>
      <c r="W109">
        <f>HYPERLINK("https://klasma.github.io/Logging_2326/klagomålsmail/A 33009-2024 FSC-klagomål mail.docx", "A 33009-2024")</f>
        <v/>
      </c>
      <c r="X109">
        <f>HYPERLINK("https://klasma.github.io/Logging_2326/tillsyn/A 33009-2024 tillsynsbegäran.docx", "A 33009-2024")</f>
        <v/>
      </c>
      <c r="Y109">
        <f>HYPERLINK("https://klasma.github.io/Logging_2326/tillsynsmail/A 33009-2024 tillsynsbegäran mail.docx", "A 33009-2024")</f>
        <v/>
      </c>
      <c r="Z109">
        <f>HYPERLINK("https://klasma.github.io/Logging_2326/fåglar/A 33009-2024 prioriterade fågelarter.docx", "A 33009-2024")</f>
        <v/>
      </c>
    </row>
    <row r="110" ht="15" customHeight="1">
      <c r="A110" t="inlineStr">
        <is>
          <t>A 42120-2025</t>
        </is>
      </c>
      <c r="B110" s="1" t="n">
        <v>45904.34236111111</v>
      </c>
      <c r="C110" s="1" t="n">
        <v>46134</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31709-2025</t>
        </is>
      </c>
      <c r="B111" s="1" t="n">
        <v>45834.42543981481</v>
      </c>
      <c r="C111" s="1" t="n">
        <v>46134</v>
      </c>
      <c r="D111" t="inlineStr">
        <is>
          <t>JÄMTLANDS LÄN</t>
        </is>
      </c>
      <c r="E111" t="inlineStr">
        <is>
          <t>BERG</t>
        </is>
      </c>
      <c r="G111" t="n">
        <v>22.2</v>
      </c>
      <c r="H111" t="n">
        <v>1</v>
      </c>
      <c r="I111" t="n">
        <v>0</v>
      </c>
      <c r="J111" t="n">
        <v>1</v>
      </c>
      <c r="K111" t="n">
        <v>0</v>
      </c>
      <c r="L111" t="n">
        <v>1</v>
      </c>
      <c r="M111" t="n">
        <v>0</v>
      </c>
      <c r="N111" t="n">
        <v>0</v>
      </c>
      <c r="O111" t="n">
        <v>2</v>
      </c>
      <c r="P111" t="n">
        <v>1</v>
      </c>
      <c r="Q111" t="n">
        <v>2</v>
      </c>
      <c r="R111" s="2" t="inlineStr">
        <is>
          <t>Mikroskapania
Platt spretmossa</t>
        </is>
      </c>
      <c r="S111">
        <f>HYPERLINK("https://klasma.github.io/Logging_2326/artfynd/A 31709-2025 artfynd.xlsx", "A 31709-2025")</f>
        <v/>
      </c>
      <c r="T111">
        <f>HYPERLINK("https://klasma.github.io/Logging_2326/kartor/A 31709-2025 karta.png", "A 31709-2025")</f>
        <v/>
      </c>
      <c r="V111">
        <f>HYPERLINK("https://klasma.github.io/Logging_2326/klagomål/A 31709-2025 FSC-klagomål.docx", "A 31709-2025")</f>
        <v/>
      </c>
      <c r="W111">
        <f>HYPERLINK("https://klasma.github.io/Logging_2326/klagomålsmail/A 31709-2025 FSC-klagomål mail.docx", "A 31709-2025")</f>
        <v/>
      </c>
      <c r="X111">
        <f>HYPERLINK("https://klasma.github.io/Logging_2326/tillsyn/A 31709-2025 tillsynsbegäran.docx", "A 31709-2025")</f>
        <v/>
      </c>
      <c r="Y111">
        <f>HYPERLINK("https://klasma.github.io/Logging_2326/tillsynsmail/A 31709-2025 tillsynsbegäran mail.docx", "A 31709-2025")</f>
        <v/>
      </c>
    </row>
    <row r="112" ht="15" customHeight="1">
      <c r="A112" t="inlineStr">
        <is>
          <t>A 55331-2023</t>
        </is>
      </c>
      <c r="B112" s="1" t="n">
        <v>45237</v>
      </c>
      <c r="C112" s="1" t="n">
        <v>46134</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47858-2025</t>
        </is>
      </c>
      <c r="B113" s="1" t="n">
        <v>45932.40699074074</v>
      </c>
      <c r="C113" s="1" t="n">
        <v>46134</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5122-2026</t>
        </is>
      </c>
      <c r="B114" s="1" t="n">
        <v>46049.58273148148</v>
      </c>
      <c r="C114" s="1" t="n">
        <v>46134</v>
      </c>
      <c r="D114" t="inlineStr">
        <is>
          <t>JÄMTLANDS LÄN</t>
        </is>
      </c>
      <c r="E114" t="inlineStr">
        <is>
          <t>BERG</t>
        </is>
      </c>
      <c r="F114" t="inlineStr">
        <is>
          <t>Sveaskog</t>
        </is>
      </c>
      <c r="G114" t="n">
        <v>9</v>
      </c>
      <c r="H114" t="n">
        <v>1</v>
      </c>
      <c r="I114" t="n">
        <v>1</v>
      </c>
      <c r="J114" t="n">
        <v>1</v>
      </c>
      <c r="K114" t="n">
        <v>0</v>
      </c>
      <c r="L114" t="n">
        <v>0</v>
      </c>
      <c r="M114" t="n">
        <v>0</v>
      </c>
      <c r="N114" t="n">
        <v>0</v>
      </c>
      <c r="O114" t="n">
        <v>1</v>
      </c>
      <c r="P114" t="n">
        <v>0</v>
      </c>
      <c r="Q114" t="n">
        <v>2</v>
      </c>
      <c r="R114" s="2" t="inlineStr">
        <is>
          <t>Garnlav
Plattlummer</t>
        </is>
      </c>
      <c r="S114">
        <f>HYPERLINK("https://klasma.github.io/Logging_2326/artfynd/A 5122-2026 artfynd.xlsx", "A 5122-2026")</f>
        <v/>
      </c>
      <c r="T114">
        <f>HYPERLINK("https://klasma.github.io/Logging_2326/kartor/A 5122-2026 karta.png", "A 5122-2026")</f>
        <v/>
      </c>
      <c r="V114">
        <f>HYPERLINK("https://klasma.github.io/Logging_2326/klagomål/A 5122-2026 FSC-klagomål.docx", "A 5122-2026")</f>
        <v/>
      </c>
      <c r="W114">
        <f>HYPERLINK("https://klasma.github.io/Logging_2326/klagomålsmail/A 5122-2026 FSC-klagomål mail.docx", "A 5122-2026")</f>
        <v/>
      </c>
      <c r="X114">
        <f>HYPERLINK("https://klasma.github.io/Logging_2326/tillsyn/A 5122-2026 tillsynsbegäran.docx", "A 5122-2026")</f>
        <v/>
      </c>
      <c r="Y114">
        <f>HYPERLINK("https://klasma.github.io/Logging_2326/tillsynsmail/A 5122-2026 tillsynsbegäran mail.docx", "A 5122-2026")</f>
        <v/>
      </c>
    </row>
    <row r="115" ht="15" customHeight="1">
      <c r="A115" t="inlineStr">
        <is>
          <t>A 50389-2025</t>
        </is>
      </c>
      <c r="B115" s="1" t="n">
        <v>45944.61539351852</v>
      </c>
      <c r="C115" s="1" t="n">
        <v>46134</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8734-2025</t>
        </is>
      </c>
      <c r="B116" s="1" t="n">
        <v>45712.53209490741</v>
      </c>
      <c r="C116" s="1" t="n">
        <v>46134</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52611-2025</t>
        </is>
      </c>
      <c r="B117" s="1" t="n">
        <v>45954.66971064815</v>
      </c>
      <c r="C117" s="1" t="n">
        <v>46134</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46134</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48880-2023</t>
        </is>
      </c>
      <c r="B119" s="1" t="n">
        <v>45209</v>
      </c>
      <c r="C119" s="1" t="n">
        <v>46134</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30334-2024</t>
        </is>
      </c>
      <c r="B120" s="1" t="n">
        <v>45490.95396990741</v>
      </c>
      <c r="C120" s="1" t="n">
        <v>46134</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14344-2025</t>
        </is>
      </c>
      <c r="B121" s="1" t="n">
        <v>45741</v>
      </c>
      <c r="C121" s="1" t="n">
        <v>46134</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12734-2024</t>
        </is>
      </c>
      <c r="B122" s="1" t="n">
        <v>45384</v>
      </c>
      <c r="C122" s="1" t="n">
        <v>46134</v>
      </c>
      <c r="D122" t="inlineStr">
        <is>
          <t>JÄMTLANDS LÄN</t>
        </is>
      </c>
      <c r="E122" t="inlineStr">
        <is>
          <t>BERG</t>
        </is>
      </c>
      <c r="G122" t="n">
        <v>7.2</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12734-2024 artfynd.xlsx", "A 12734-2024")</f>
        <v/>
      </c>
      <c r="T122">
        <f>HYPERLINK("https://klasma.github.io/Logging_2326/kartor/A 12734-2024 karta.png", "A 12734-2024")</f>
        <v/>
      </c>
      <c r="V122">
        <f>HYPERLINK("https://klasma.github.io/Logging_2326/klagomål/A 12734-2024 FSC-klagomål.docx", "A 12734-2024")</f>
        <v/>
      </c>
      <c r="W122">
        <f>HYPERLINK("https://klasma.github.io/Logging_2326/klagomålsmail/A 12734-2024 FSC-klagomål mail.docx", "A 12734-2024")</f>
        <v/>
      </c>
      <c r="X122">
        <f>HYPERLINK("https://klasma.github.io/Logging_2326/tillsyn/A 12734-2024 tillsynsbegäran.docx", "A 12734-2024")</f>
        <v/>
      </c>
      <c r="Y122">
        <f>HYPERLINK("https://klasma.github.io/Logging_2326/tillsynsmail/A 12734-2024 tillsynsbegäran mail.docx", "A 12734-2024")</f>
        <v/>
      </c>
      <c r="Z122">
        <f>HYPERLINK("https://klasma.github.io/Logging_2326/fåglar/A 12734-2024 prioriterade fågelarter.docx", "A 12734-2024")</f>
        <v/>
      </c>
    </row>
    <row r="123" ht="15" customHeight="1">
      <c r="A123" t="inlineStr">
        <is>
          <t>A 26944-2024</t>
        </is>
      </c>
      <c r="B123" s="1" t="n">
        <v>45470.96880787037</v>
      </c>
      <c r="C123" s="1" t="n">
        <v>46134</v>
      </c>
      <c r="D123" t="inlineStr">
        <is>
          <t>JÄMTLANDS LÄN</t>
        </is>
      </c>
      <c r="E123" t="inlineStr">
        <is>
          <t>BERG</t>
        </is>
      </c>
      <c r="F123" t="inlineStr">
        <is>
          <t>SCA</t>
        </is>
      </c>
      <c r="G123" t="n">
        <v>5.7</v>
      </c>
      <c r="H123" t="n">
        <v>0</v>
      </c>
      <c r="I123" t="n">
        <v>0</v>
      </c>
      <c r="J123" t="n">
        <v>2</v>
      </c>
      <c r="K123" t="n">
        <v>0</v>
      </c>
      <c r="L123" t="n">
        <v>0</v>
      </c>
      <c r="M123" t="n">
        <v>0</v>
      </c>
      <c r="N123" t="n">
        <v>0</v>
      </c>
      <c r="O123" t="n">
        <v>2</v>
      </c>
      <c r="P123" t="n">
        <v>0</v>
      </c>
      <c r="Q123" t="n">
        <v>2</v>
      </c>
      <c r="R123" s="2" t="inlineStr">
        <is>
          <t>Blå taggsvamp
Gammelgransskål</t>
        </is>
      </c>
      <c r="S123">
        <f>HYPERLINK("https://klasma.github.io/Logging_2326/artfynd/A 26944-2024 artfynd.xlsx", "A 26944-2024")</f>
        <v/>
      </c>
      <c r="T123">
        <f>HYPERLINK("https://klasma.github.io/Logging_2326/kartor/A 26944-2024 karta.png", "A 26944-2024")</f>
        <v/>
      </c>
      <c r="V123">
        <f>HYPERLINK("https://klasma.github.io/Logging_2326/klagomål/A 26944-2024 FSC-klagomål.docx", "A 26944-2024")</f>
        <v/>
      </c>
      <c r="W123">
        <f>HYPERLINK("https://klasma.github.io/Logging_2326/klagomålsmail/A 26944-2024 FSC-klagomål mail.docx", "A 26944-2024")</f>
        <v/>
      </c>
      <c r="X123">
        <f>HYPERLINK("https://klasma.github.io/Logging_2326/tillsyn/A 26944-2024 tillsynsbegäran.docx", "A 26944-2024")</f>
        <v/>
      </c>
      <c r="Y123">
        <f>HYPERLINK("https://klasma.github.io/Logging_2326/tillsynsmail/A 26944-2024 tillsynsbegäran mail.docx", "A 26944-2024")</f>
        <v/>
      </c>
    </row>
    <row r="124" ht="15" customHeight="1">
      <c r="A124" t="inlineStr">
        <is>
          <t>A 28769-2024</t>
        </is>
      </c>
      <c r="B124" s="1" t="n">
        <v>45478</v>
      </c>
      <c r="C124" s="1" t="n">
        <v>46134</v>
      </c>
      <c r="D124" t="inlineStr">
        <is>
          <t>JÄMTLANDS LÄN</t>
        </is>
      </c>
      <c r="E124" t="inlineStr">
        <is>
          <t>BERG</t>
        </is>
      </c>
      <c r="F124" t="inlineStr">
        <is>
          <t>Sveaskog</t>
        </is>
      </c>
      <c r="G124" t="n">
        <v>2.2</v>
      </c>
      <c r="H124" t="n">
        <v>1</v>
      </c>
      <c r="I124" t="n">
        <v>0</v>
      </c>
      <c r="J124" t="n">
        <v>1</v>
      </c>
      <c r="K124" t="n">
        <v>0</v>
      </c>
      <c r="L124" t="n">
        <v>0</v>
      </c>
      <c r="M124" t="n">
        <v>0</v>
      </c>
      <c r="N124" t="n">
        <v>0</v>
      </c>
      <c r="O124" t="n">
        <v>1</v>
      </c>
      <c r="P124" t="n">
        <v>0</v>
      </c>
      <c r="Q124" t="n">
        <v>2</v>
      </c>
      <c r="R124" s="2" t="inlineStr">
        <is>
          <t>Lunglav
Fläcknycklar</t>
        </is>
      </c>
      <c r="S124">
        <f>HYPERLINK("https://klasma.github.io/Logging_2326/artfynd/A 28769-2024 artfynd.xlsx", "A 28769-2024")</f>
        <v/>
      </c>
      <c r="T124">
        <f>HYPERLINK("https://klasma.github.io/Logging_2326/kartor/A 28769-2024 karta.png", "A 28769-2024")</f>
        <v/>
      </c>
      <c r="V124">
        <f>HYPERLINK("https://klasma.github.io/Logging_2326/klagomål/A 28769-2024 FSC-klagomål.docx", "A 28769-2024")</f>
        <v/>
      </c>
      <c r="W124">
        <f>HYPERLINK("https://klasma.github.io/Logging_2326/klagomålsmail/A 28769-2024 FSC-klagomål mail.docx", "A 28769-2024")</f>
        <v/>
      </c>
      <c r="X124">
        <f>HYPERLINK("https://klasma.github.io/Logging_2326/tillsyn/A 28769-2024 tillsynsbegäran.docx", "A 28769-2024")</f>
        <v/>
      </c>
      <c r="Y124">
        <f>HYPERLINK("https://klasma.github.io/Logging_2326/tillsynsmail/A 28769-2024 tillsynsbegäran mail.docx", "A 28769-2024")</f>
        <v/>
      </c>
    </row>
    <row r="125" ht="15" customHeight="1">
      <c r="A125" t="inlineStr">
        <is>
          <t>A 18606-2026</t>
        </is>
      </c>
      <c r="B125" s="1" t="n">
        <v>46127.65828703704</v>
      </c>
      <c r="C125" s="1" t="n">
        <v>46134</v>
      </c>
      <c r="D125" t="inlineStr">
        <is>
          <t>JÄMTLANDS LÄN</t>
        </is>
      </c>
      <c r="E125" t="inlineStr">
        <is>
          <t>BERG</t>
        </is>
      </c>
      <c r="F125" t="inlineStr">
        <is>
          <t>SCA</t>
        </is>
      </c>
      <c r="G125" t="n">
        <v>7.5</v>
      </c>
      <c r="H125" t="n">
        <v>1</v>
      </c>
      <c r="I125" t="n">
        <v>0</v>
      </c>
      <c r="J125" t="n">
        <v>1</v>
      </c>
      <c r="K125" t="n">
        <v>0</v>
      </c>
      <c r="L125" t="n">
        <v>0</v>
      </c>
      <c r="M125" t="n">
        <v>0</v>
      </c>
      <c r="N125" t="n">
        <v>0</v>
      </c>
      <c r="O125" t="n">
        <v>1</v>
      </c>
      <c r="P125" t="n">
        <v>0</v>
      </c>
      <c r="Q125" t="n">
        <v>2</v>
      </c>
      <c r="R125" s="2" t="inlineStr">
        <is>
          <t>Skrovellav
Fläcknycklar</t>
        </is>
      </c>
      <c r="S125">
        <f>HYPERLINK("https://klasma.github.io/Logging_2326/artfynd/A 18606-2026 artfynd.xlsx", "A 18606-2026")</f>
        <v/>
      </c>
      <c r="T125">
        <f>HYPERLINK("https://klasma.github.io/Logging_2326/kartor/A 18606-2026 karta.png", "A 18606-2026")</f>
        <v/>
      </c>
      <c r="V125">
        <f>HYPERLINK("https://klasma.github.io/Logging_2326/klagomål/A 18606-2026 FSC-klagomål.docx", "A 18606-2026")</f>
        <v/>
      </c>
      <c r="W125">
        <f>HYPERLINK("https://klasma.github.io/Logging_2326/klagomålsmail/A 18606-2026 FSC-klagomål mail.docx", "A 18606-2026")</f>
        <v/>
      </c>
      <c r="X125">
        <f>HYPERLINK("https://klasma.github.io/Logging_2326/tillsyn/A 18606-2026 tillsynsbegäran.docx", "A 18606-2026")</f>
        <v/>
      </c>
      <c r="Y125">
        <f>HYPERLINK("https://klasma.github.io/Logging_2326/tillsynsmail/A 18606-2026 tillsynsbegäran mail.docx", "A 18606-2026")</f>
        <v/>
      </c>
    </row>
    <row r="126" ht="15" customHeight="1">
      <c r="A126" t="inlineStr">
        <is>
          <t>A 19948-2025</t>
        </is>
      </c>
      <c r="B126" s="1" t="n">
        <v>45771</v>
      </c>
      <c r="C126" s="1" t="n">
        <v>46134</v>
      </c>
      <c r="D126" t="inlineStr">
        <is>
          <t>JÄMTLANDS LÄN</t>
        </is>
      </c>
      <c r="E126" t="inlineStr">
        <is>
          <t>BERG</t>
        </is>
      </c>
      <c r="F126" t="inlineStr">
        <is>
          <t>SCA</t>
        </is>
      </c>
      <c r="G126" t="n">
        <v>23.3</v>
      </c>
      <c r="H126" t="n">
        <v>2</v>
      </c>
      <c r="I126" t="n">
        <v>1</v>
      </c>
      <c r="J126" t="n">
        <v>1</v>
      </c>
      <c r="K126" t="n">
        <v>0</v>
      </c>
      <c r="L126" t="n">
        <v>0</v>
      </c>
      <c r="M126" t="n">
        <v>0</v>
      </c>
      <c r="N126" t="n">
        <v>0</v>
      </c>
      <c r="O126" t="n">
        <v>1</v>
      </c>
      <c r="P126" t="n">
        <v>0</v>
      </c>
      <c r="Q126" t="n">
        <v>2</v>
      </c>
      <c r="R126" s="2" t="inlineStr">
        <is>
          <t>Tretåig hackspett
Plattlummer</t>
        </is>
      </c>
      <c r="S126">
        <f>HYPERLINK("https://klasma.github.io/Logging_2326/artfynd/A 19948-2025 artfynd.xlsx", "A 19948-2025")</f>
        <v/>
      </c>
      <c r="T126">
        <f>HYPERLINK("https://klasma.github.io/Logging_2326/kartor/A 19948-2025 karta.png", "A 19948-2025")</f>
        <v/>
      </c>
      <c r="V126">
        <f>HYPERLINK("https://klasma.github.io/Logging_2326/klagomål/A 19948-2025 FSC-klagomål.docx", "A 19948-2025")</f>
        <v/>
      </c>
      <c r="W126">
        <f>HYPERLINK("https://klasma.github.io/Logging_2326/klagomålsmail/A 19948-2025 FSC-klagomål mail.docx", "A 19948-2025")</f>
        <v/>
      </c>
      <c r="X126">
        <f>HYPERLINK("https://klasma.github.io/Logging_2326/tillsyn/A 19948-2025 tillsynsbegäran.docx", "A 19948-2025")</f>
        <v/>
      </c>
      <c r="Y126">
        <f>HYPERLINK("https://klasma.github.io/Logging_2326/tillsynsmail/A 19948-2025 tillsynsbegäran mail.docx", "A 19948-2025")</f>
        <v/>
      </c>
      <c r="Z126">
        <f>HYPERLINK("https://klasma.github.io/Logging_2326/fåglar/A 19948-2025 prioriterade fågelarter.docx", "A 19948-2025")</f>
        <v/>
      </c>
    </row>
    <row r="127" ht="15" customHeight="1">
      <c r="A127" t="inlineStr">
        <is>
          <t>A 10133-2023</t>
        </is>
      </c>
      <c r="B127" s="1" t="n">
        <v>44986</v>
      </c>
      <c r="C127" s="1" t="n">
        <v>46134</v>
      </c>
      <c r="D127" t="inlineStr">
        <is>
          <t>JÄMTLANDS LÄN</t>
        </is>
      </c>
      <c r="E127" t="inlineStr">
        <is>
          <t>BERG</t>
        </is>
      </c>
      <c r="F127" t="inlineStr">
        <is>
          <t>Holmen skog AB</t>
        </is>
      </c>
      <c r="G127" t="n">
        <v>3</v>
      </c>
      <c r="H127" t="n">
        <v>0</v>
      </c>
      <c r="I127" t="n">
        <v>0</v>
      </c>
      <c r="J127" t="n">
        <v>2</v>
      </c>
      <c r="K127" t="n">
        <v>0</v>
      </c>
      <c r="L127" t="n">
        <v>0</v>
      </c>
      <c r="M127" t="n">
        <v>0</v>
      </c>
      <c r="N127" t="n">
        <v>0</v>
      </c>
      <c r="O127" t="n">
        <v>2</v>
      </c>
      <c r="P127" t="n">
        <v>0</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37387-2022</t>
        </is>
      </c>
      <c r="B128" s="1" t="n">
        <v>44806</v>
      </c>
      <c r="C128" s="1" t="n">
        <v>46134</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27919-2024</t>
        </is>
      </c>
      <c r="B129" s="1" t="n">
        <v>45475.94865740741</v>
      </c>
      <c r="C129" s="1" t="n">
        <v>46134</v>
      </c>
      <c r="D129" t="inlineStr">
        <is>
          <t>JÄMTLANDS LÄN</t>
        </is>
      </c>
      <c r="E129" t="inlineStr">
        <is>
          <t>BERG</t>
        </is>
      </c>
      <c r="F129" t="inlineStr">
        <is>
          <t>SCA</t>
        </is>
      </c>
      <c r="G129" t="n">
        <v>17.2</v>
      </c>
      <c r="H129" t="n">
        <v>0</v>
      </c>
      <c r="I129" t="n">
        <v>1</v>
      </c>
      <c r="J129" t="n">
        <v>1</v>
      </c>
      <c r="K129" t="n">
        <v>0</v>
      </c>
      <c r="L129" t="n">
        <v>0</v>
      </c>
      <c r="M129" t="n">
        <v>0</v>
      </c>
      <c r="N129" t="n">
        <v>0</v>
      </c>
      <c r="O129" t="n">
        <v>1</v>
      </c>
      <c r="P129" t="n">
        <v>0</v>
      </c>
      <c r="Q129" t="n">
        <v>2</v>
      </c>
      <c r="R129" s="2" t="inlineStr">
        <is>
          <t>Reliktbock
Dropptaggsvamp</t>
        </is>
      </c>
      <c r="S129">
        <f>HYPERLINK("https://klasma.github.io/Logging_2326/artfynd/A 27919-2024 artfynd.xlsx", "A 27919-2024")</f>
        <v/>
      </c>
      <c r="T129">
        <f>HYPERLINK("https://klasma.github.io/Logging_2326/kartor/A 27919-2024 karta.png", "A 27919-2024")</f>
        <v/>
      </c>
      <c r="V129">
        <f>HYPERLINK("https://klasma.github.io/Logging_2326/klagomål/A 27919-2024 FSC-klagomål.docx", "A 27919-2024")</f>
        <v/>
      </c>
      <c r="W129">
        <f>HYPERLINK("https://klasma.github.io/Logging_2326/klagomålsmail/A 27919-2024 FSC-klagomål mail.docx", "A 27919-2024")</f>
        <v/>
      </c>
      <c r="X129">
        <f>HYPERLINK("https://klasma.github.io/Logging_2326/tillsyn/A 27919-2024 tillsynsbegäran.docx", "A 27919-2024")</f>
        <v/>
      </c>
      <c r="Y129">
        <f>HYPERLINK("https://klasma.github.io/Logging_2326/tillsynsmail/A 27919-2024 tillsynsbegäran mail.docx", "A 27919-2024")</f>
        <v/>
      </c>
    </row>
    <row r="130" ht="15" customHeight="1">
      <c r="A130" t="inlineStr">
        <is>
          <t>A 21518-2025</t>
        </is>
      </c>
      <c r="B130" s="1" t="n">
        <v>45782</v>
      </c>
      <c r="C130" s="1" t="n">
        <v>46134</v>
      </c>
      <c r="D130" t="inlineStr">
        <is>
          <t>JÄMTLANDS LÄN</t>
        </is>
      </c>
      <c r="E130" t="inlineStr">
        <is>
          <t>BERG</t>
        </is>
      </c>
      <c r="F130" t="inlineStr">
        <is>
          <t>SCA</t>
        </is>
      </c>
      <c r="G130" t="n">
        <v>3.6</v>
      </c>
      <c r="H130" t="n">
        <v>0</v>
      </c>
      <c r="I130" t="n">
        <v>1</v>
      </c>
      <c r="J130" t="n">
        <v>1</v>
      </c>
      <c r="K130" t="n">
        <v>0</v>
      </c>
      <c r="L130" t="n">
        <v>0</v>
      </c>
      <c r="M130" t="n">
        <v>0</v>
      </c>
      <c r="N130" t="n">
        <v>0</v>
      </c>
      <c r="O130" t="n">
        <v>1</v>
      </c>
      <c r="P130" t="n">
        <v>0</v>
      </c>
      <c r="Q130" t="n">
        <v>2</v>
      </c>
      <c r="R130" s="2" t="inlineStr">
        <is>
          <t>Dvärgbägarlav
Skarp dropptaggsvamp</t>
        </is>
      </c>
      <c r="S130">
        <f>HYPERLINK("https://klasma.github.io/Logging_2326/artfynd/A 21518-2025 artfynd.xlsx", "A 21518-2025")</f>
        <v/>
      </c>
      <c r="T130">
        <f>HYPERLINK("https://klasma.github.io/Logging_2326/kartor/A 21518-2025 karta.png", "A 21518-2025")</f>
        <v/>
      </c>
      <c r="V130">
        <f>HYPERLINK("https://klasma.github.io/Logging_2326/klagomål/A 21518-2025 FSC-klagomål.docx", "A 21518-2025")</f>
        <v/>
      </c>
      <c r="W130">
        <f>HYPERLINK("https://klasma.github.io/Logging_2326/klagomålsmail/A 21518-2025 FSC-klagomål mail.docx", "A 21518-2025")</f>
        <v/>
      </c>
      <c r="X130">
        <f>HYPERLINK("https://klasma.github.io/Logging_2326/tillsyn/A 21518-2025 tillsynsbegäran.docx", "A 21518-2025")</f>
        <v/>
      </c>
      <c r="Y130">
        <f>HYPERLINK("https://klasma.github.io/Logging_2326/tillsynsmail/A 21518-2025 tillsynsbegäran mail.docx", "A 21518-2025")</f>
        <v/>
      </c>
    </row>
    <row r="131" ht="15" customHeight="1">
      <c r="A131" t="inlineStr">
        <is>
          <t>A 60333-2024</t>
        </is>
      </c>
      <c r="B131" s="1" t="n">
        <v>45643</v>
      </c>
      <c r="C131" s="1" t="n">
        <v>46134</v>
      </c>
      <c r="D131" t="inlineStr">
        <is>
          <t>JÄMTLANDS LÄN</t>
        </is>
      </c>
      <c r="E131" t="inlineStr">
        <is>
          <t>BERG</t>
        </is>
      </c>
      <c r="G131" t="n">
        <v>25.5</v>
      </c>
      <c r="H131" t="n">
        <v>0</v>
      </c>
      <c r="I131" t="n">
        <v>2</v>
      </c>
      <c r="J131" t="n">
        <v>0</v>
      </c>
      <c r="K131" t="n">
        <v>0</v>
      </c>
      <c r="L131" t="n">
        <v>0</v>
      </c>
      <c r="M131" t="n">
        <v>0</v>
      </c>
      <c r="N131" t="n">
        <v>0</v>
      </c>
      <c r="O131" t="n">
        <v>0</v>
      </c>
      <c r="P131" t="n">
        <v>0</v>
      </c>
      <c r="Q131" t="n">
        <v>2</v>
      </c>
      <c r="R131" s="2" t="inlineStr">
        <is>
          <t>Honungsvaxing
Ängsvaxing agg.</t>
        </is>
      </c>
      <c r="S131">
        <f>HYPERLINK("https://klasma.github.io/Logging_2326/artfynd/A 60333-2024 artfynd.xlsx", "A 60333-2024")</f>
        <v/>
      </c>
      <c r="T131">
        <f>HYPERLINK("https://klasma.github.io/Logging_2326/kartor/A 60333-2024 karta.png", "A 60333-2024")</f>
        <v/>
      </c>
      <c r="V131">
        <f>HYPERLINK("https://klasma.github.io/Logging_2326/klagomål/A 60333-2024 FSC-klagomål.docx", "A 60333-2024")</f>
        <v/>
      </c>
      <c r="W131">
        <f>HYPERLINK("https://klasma.github.io/Logging_2326/klagomålsmail/A 60333-2024 FSC-klagomål mail.docx", "A 60333-2024")</f>
        <v/>
      </c>
      <c r="X131">
        <f>HYPERLINK("https://klasma.github.io/Logging_2326/tillsyn/A 60333-2024 tillsynsbegäran.docx", "A 60333-2024")</f>
        <v/>
      </c>
      <c r="Y131">
        <f>HYPERLINK("https://klasma.github.io/Logging_2326/tillsynsmail/A 60333-2024 tillsynsbegäran mail.docx", "A 60333-2024")</f>
        <v/>
      </c>
    </row>
    <row r="132" ht="15" customHeight="1">
      <c r="A132" t="inlineStr">
        <is>
          <t>A 41317-2022</t>
        </is>
      </c>
      <c r="B132" s="1" t="n">
        <v>44826</v>
      </c>
      <c r="C132" s="1" t="n">
        <v>46134</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46134</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46134</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56202-2021</t>
        </is>
      </c>
      <c r="B135" s="1" t="n">
        <v>44477</v>
      </c>
      <c r="C135" s="1" t="n">
        <v>46134</v>
      </c>
      <c r="D135" t="inlineStr">
        <is>
          <t>JÄMTLANDS LÄN</t>
        </is>
      </c>
      <c r="E135" t="inlineStr">
        <is>
          <t>BERG</t>
        </is>
      </c>
      <c r="F135" t="inlineStr">
        <is>
          <t>SCA</t>
        </is>
      </c>
      <c r="G135" t="n">
        <v>1.1</v>
      </c>
      <c r="H135" t="n">
        <v>1</v>
      </c>
      <c r="I135" t="n">
        <v>0</v>
      </c>
      <c r="J135" t="n">
        <v>0</v>
      </c>
      <c r="K135" t="n">
        <v>1</v>
      </c>
      <c r="L135" t="n">
        <v>0</v>
      </c>
      <c r="M135" t="n">
        <v>0</v>
      </c>
      <c r="N135" t="n">
        <v>0</v>
      </c>
      <c r="O135" t="n">
        <v>1</v>
      </c>
      <c r="P135" t="n">
        <v>1</v>
      </c>
      <c r="Q135" t="n">
        <v>1</v>
      </c>
      <c r="R135" s="2" t="inlineStr">
        <is>
          <t>Knärot</t>
        </is>
      </c>
      <c r="S135">
        <f>HYPERLINK("https://klasma.github.io/Logging_2326/artfynd/A 56202-2021 artfynd.xlsx", "A 56202-2021")</f>
        <v/>
      </c>
      <c r="T135">
        <f>HYPERLINK("https://klasma.github.io/Logging_2326/kartor/A 56202-2021 karta.png", "A 56202-2021")</f>
        <v/>
      </c>
      <c r="U135">
        <f>HYPERLINK("https://klasma.github.io/Logging_2326/knärot/A 56202-2021 karta knärot.png", "A 56202-2021")</f>
        <v/>
      </c>
      <c r="V135">
        <f>HYPERLINK("https://klasma.github.io/Logging_2326/klagomål/A 56202-2021 FSC-klagomål.docx", "A 56202-2021")</f>
        <v/>
      </c>
      <c r="W135">
        <f>HYPERLINK("https://klasma.github.io/Logging_2326/klagomålsmail/A 56202-2021 FSC-klagomål mail.docx", "A 56202-2021")</f>
        <v/>
      </c>
      <c r="X135">
        <f>HYPERLINK("https://klasma.github.io/Logging_2326/tillsyn/A 56202-2021 tillsynsbegäran.docx", "A 56202-2021")</f>
        <v/>
      </c>
      <c r="Y135">
        <f>HYPERLINK("https://klasma.github.io/Logging_2326/tillsynsmail/A 56202-2021 tillsynsbegäran mail.docx", "A 56202-2021")</f>
        <v/>
      </c>
    </row>
    <row r="136" ht="15" customHeight="1">
      <c r="A136" t="inlineStr">
        <is>
          <t>A 24331-2025</t>
        </is>
      </c>
      <c r="B136" s="1" t="n">
        <v>45797</v>
      </c>
      <c r="C136" s="1" t="n">
        <v>46134</v>
      </c>
      <c r="D136" t="inlineStr">
        <is>
          <t>JÄMTLANDS LÄN</t>
        </is>
      </c>
      <c r="E136" t="inlineStr">
        <is>
          <t>BERG</t>
        </is>
      </c>
      <c r="G136" t="n">
        <v>9</v>
      </c>
      <c r="H136" t="n">
        <v>1</v>
      </c>
      <c r="I136" t="n">
        <v>0</v>
      </c>
      <c r="J136" t="n">
        <v>0</v>
      </c>
      <c r="K136" t="n">
        <v>0</v>
      </c>
      <c r="L136" t="n">
        <v>0</v>
      </c>
      <c r="M136" t="n">
        <v>0</v>
      </c>
      <c r="N136" t="n">
        <v>0</v>
      </c>
      <c r="O136" t="n">
        <v>0</v>
      </c>
      <c r="P136" t="n">
        <v>0</v>
      </c>
      <c r="Q136" t="n">
        <v>1</v>
      </c>
      <c r="R136" s="2" t="inlineStr">
        <is>
          <t>Blåsippa</t>
        </is>
      </c>
      <c r="S136">
        <f>HYPERLINK("https://klasma.github.io/Logging_2326/artfynd/A 24331-2025 artfynd.xlsx", "A 24331-2025")</f>
        <v/>
      </c>
      <c r="T136">
        <f>HYPERLINK("https://klasma.github.io/Logging_2326/kartor/A 24331-2025 karta.png", "A 24331-2025")</f>
        <v/>
      </c>
      <c r="V136">
        <f>HYPERLINK("https://klasma.github.io/Logging_2326/klagomål/A 24331-2025 FSC-klagomål.docx", "A 24331-2025")</f>
        <v/>
      </c>
      <c r="W136">
        <f>HYPERLINK("https://klasma.github.io/Logging_2326/klagomålsmail/A 24331-2025 FSC-klagomål mail.docx", "A 24331-2025")</f>
        <v/>
      </c>
      <c r="X136">
        <f>HYPERLINK("https://klasma.github.io/Logging_2326/tillsyn/A 24331-2025 tillsynsbegäran.docx", "A 24331-2025")</f>
        <v/>
      </c>
      <c r="Y136">
        <f>HYPERLINK("https://klasma.github.io/Logging_2326/tillsynsmail/A 24331-2025 tillsynsbegäran mail.docx", "A 24331-2025")</f>
        <v/>
      </c>
    </row>
    <row r="137" ht="15" customHeight="1">
      <c r="A137" t="inlineStr">
        <is>
          <t>A 25556-2025</t>
        </is>
      </c>
      <c r="B137" s="1" t="n">
        <v>45803.45106481481</v>
      </c>
      <c r="C137" s="1" t="n">
        <v>46134</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33083-2024</t>
        </is>
      </c>
      <c r="B138" s="1" t="n">
        <v>45517.675</v>
      </c>
      <c r="C138" s="1" t="n">
        <v>46134</v>
      </c>
      <c r="D138" t="inlineStr">
        <is>
          <t>JÄMTLANDS LÄN</t>
        </is>
      </c>
      <c r="E138" t="inlineStr">
        <is>
          <t>BERG</t>
        </is>
      </c>
      <c r="G138" t="n">
        <v>0.2</v>
      </c>
      <c r="H138" t="n">
        <v>0</v>
      </c>
      <c r="I138" t="n">
        <v>0</v>
      </c>
      <c r="J138" t="n">
        <v>1</v>
      </c>
      <c r="K138" t="n">
        <v>0</v>
      </c>
      <c r="L138" t="n">
        <v>0</v>
      </c>
      <c r="M138" t="n">
        <v>0</v>
      </c>
      <c r="N138" t="n">
        <v>0</v>
      </c>
      <c r="O138" t="n">
        <v>1</v>
      </c>
      <c r="P138" t="n">
        <v>0</v>
      </c>
      <c r="Q138" t="n">
        <v>1</v>
      </c>
      <c r="R138" s="2" t="inlineStr">
        <is>
          <t>Garnlav</t>
        </is>
      </c>
      <c r="S138">
        <f>HYPERLINK("https://klasma.github.io/Logging_2326/artfynd/A 33083-2024 artfynd.xlsx", "A 33083-2024")</f>
        <v/>
      </c>
      <c r="T138">
        <f>HYPERLINK("https://klasma.github.io/Logging_2326/kartor/A 33083-2024 karta.png", "A 33083-2024")</f>
        <v/>
      </c>
      <c r="V138">
        <f>HYPERLINK("https://klasma.github.io/Logging_2326/klagomål/A 33083-2024 FSC-klagomål.docx", "A 33083-2024")</f>
        <v/>
      </c>
      <c r="W138">
        <f>HYPERLINK("https://klasma.github.io/Logging_2326/klagomålsmail/A 33083-2024 FSC-klagomål mail.docx", "A 33083-2024")</f>
        <v/>
      </c>
      <c r="X138">
        <f>HYPERLINK("https://klasma.github.io/Logging_2326/tillsyn/A 33083-2024 tillsynsbegäran.docx", "A 33083-2024")</f>
        <v/>
      </c>
      <c r="Y138">
        <f>HYPERLINK("https://klasma.github.io/Logging_2326/tillsynsmail/A 33083-2024 tillsynsbegäran mail.docx", "A 33083-2024")</f>
        <v/>
      </c>
    </row>
    <row r="139" ht="15" customHeight="1">
      <c r="A139" t="inlineStr">
        <is>
          <t>A 34891-2024</t>
        </is>
      </c>
      <c r="B139" s="1" t="n">
        <v>45527.36498842593</v>
      </c>
      <c r="C139" s="1" t="n">
        <v>46134</v>
      </c>
      <c r="D139" t="inlineStr">
        <is>
          <t>JÄMTLANDS LÄN</t>
        </is>
      </c>
      <c r="E139" t="inlineStr">
        <is>
          <t>BERG</t>
        </is>
      </c>
      <c r="F139" t="inlineStr">
        <is>
          <t>SCA</t>
        </is>
      </c>
      <c r="G139" t="n">
        <v>1.5</v>
      </c>
      <c r="H139" t="n">
        <v>1</v>
      </c>
      <c r="I139" t="n">
        <v>0</v>
      </c>
      <c r="J139" t="n">
        <v>0</v>
      </c>
      <c r="K139" t="n">
        <v>1</v>
      </c>
      <c r="L139" t="n">
        <v>0</v>
      </c>
      <c r="M139" t="n">
        <v>0</v>
      </c>
      <c r="N139" t="n">
        <v>0</v>
      </c>
      <c r="O139" t="n">
        <v>1</v>
      </c>
      <c r="P139" t="n">
        <v>1</v>
      </c>
      <c r="Q139" t="n">
        <v>1</v>
      </c>
      <c r="R139" s="2" t="inlineStr">
        <is>
          <t>Knärot</t>
        </is>
      </c>
      <c r="S139">
        <f>HYPERLINK("https://klasma.github.io/Logging_2326/artfynd/A 34891-2024 artfynd.xlsx", "A 34891-2024")</f>
        <v/>
      </c>
      <c r="T139">
        <f>HYPERLINK("https://klasma.github.io/Logging_2326/kartor/A 34891-2024 karta.png", "A 34891-2024")</f>
        <v/>
      </c>
      <c r="U139">
        <f>HYPERLINK("https://klasma.github.io/Logging_2326/knärot/A 34891-2024 karta knärot.png", "A 34891-2024")</f>
        <v/>
      </c>
      <c r="V139">
        <f>HYPERLINK("https://klasma.github.io/Logging_2326/klagomål/A 34891-2024 FSC-klagomål.docx", "A 34891-2024")</f>
        <v/>
      </c>
      <c r="W139">
        <f>HYPERLINK("https://klasma.github.io/Logging_2326/klagomålsmail/A 34891-2024 FSC-klagomål mail.docx", "A 34891-2024")</f>
        <v/>
      </c>
      <c r="X139">
        <f>HYPERLINK("https://klasma.github.io/Logging_2326/tillsyn/A 34891-2024 tillsynsbegäran.docx", "A 34891-2024")</f>
        <v/>
      </c>
      <c r="Y139">
        <f>HYPERLINK("https://klasma.github.io/Logging_2326/tillsynsmail/A 34891-2024 tillsynsbegäran mail.docx", "A 34891-2024")</f>
        <v/>
      </c>
    </row>
    <row r="140" ht="15" customHeight="1">
      <c r="A140" t="inlineStr">
        <is>
          <t>A 32171-2024</t>
        </is>
      </c>
      <c r="B140" s="1" t="n">
        <v>45511</v>
      </c>
      <c r="C140" s="1" t="n">
        <v>46134</v>
      </c>
      <c r="D140" t="inlineStr">
        <is>
          <t>JÄMTLANDS LÄN</t>
        </is>
      </c>
      <c r="E140" t="inlineStr">
        <is>
          <t>BERG</t>
        </is>
      </c>
      <c r="G140" t="n">
        <v>9.800000000000001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32171-2024 artfynd.xlsx", "A 32171-2024")</f>
        <v/>
      </c>
      <c r="T140">
        <f>HYPERLINK("https://klasma.github.io/Logging_2326/kartor/A 32171-2024 karta.png", "A 32171-2024")</f>
        <v/>
      </c>
      <c r="V140">
        <f>HYPERLINK("https://klasma.github.io/Logging_2326/klagomål/A 32171-2024 FSC-klagomål.docx", "A 32171-2024")</f>
        <v/>
      </c>
      <c r="W140">
        <f>HYPERLINK("https://klasma.github.io/Logging_2326/klagomålsmail/A 32171-2024 FSC-klagomål mail.docx", "A 32171-2024")</f>
        <v/>
      </c>
      <c r="X140">
        <f>HYPERLINK("https://klasma.github.io/Logging_2326/tillsyn/A 32171-2024 tillsynsbegäran.docx", "A 32171-2024")</f>
        <v/>
      </c>
      <c r="Y140">
        <f>HYPERLINK("https://klasma.github.io/Logging_2326/tillsynsmail/A 32171-2024 tillsynsbegäran mail.docx", "A 32171-2024")</f>
        <v/>
      </c>
      <c r="Z140">
        <f>HYPERLINK("https://klasma.github.io/Logging_2326/fåglar/A 32171-2024 prioriterade fågelarter.docx", "A 32171-2024")</f>
        <v/>
      </c>
    </row>
    <row r="141" ht="15" customHeight="1">
      <c r="A141" t="inlineStr">
        <is>
          <t>A 41635-2024</t>
        </is>
      </c>
      <c r="B141" s="1" t="n">
        <v>45560.61601851852</v>
      </c>
      <c r="C141" s="1" t="n">
        <v>46134</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31837-2025</t>
        </is>
      </c>
      <c r="B142" s="1" t="n">
        <v>45834.59467592592</v>
      </c>
      <c r="C142" s="1" t="n">
        <v>46134</v>
      </c>
      <c r="D142" t="inlineStr">
        <is>
          <t>JÄMTLANDS LÄN</t>
        </is>
      </c>
      <c r="E142" t="inlineStr">
        <is>
          <t>BERG</t>
        </is>
      </c>
      <c r="F142" t="inlineStr">
        <is>
          <t>SCA</t>
        </is>
      </c>
      <c r="G142" t="n">
        <v>12.2</v>
      </c>
      <c r="H142" t="n">
        <v>0</v>
      </c>
      <c r="I142" t="n">
        <v>0</v>
      </c>
      <c r="J142" t="n">
        <v>0</v>
      </c>
      <c r="K142" t="n">
        <v>1</v>
      </c>
      <c r="L142" t="n">
        <v>0</v>
      </c>
      <c r="M142" t="n">
        <v>0</v>
      </c>
      <c r="N142" t="n">
        <v>0</v>
      </c>
      <c r="O142" t="n">
        <v>1</v>
      </c>
      <c r="P142" t="n">
        <v>1</v>
      </c>
      <c r="Q142" t="n">
        <v>1</v>
      </c>
      <c r="R142" s="2" t="inlineStr">
        <is>
          <t>Gräddporing</t>
        </is>
      </c>
      <c r="S142">
        <f>HYPERLINK("https://klasma.github.io/Logging_2326/artfynd/A 31837-2025 artfynd.xlsx", "A 31837-2025")</f>
        <v/>
      </c>
      <c r="T142">
        <f>HYPERLINK("https://klasma.github.io/Logging_2326/kartor/A 31837-2025 karta.png", "A 31837-2025")</f>
        <v/>
      </c>
      <c r="V142">
        <f>HYPERLINK("https://klasma.github.io/Logging_2326/klagomål/A 31837-2025 FSC-klagomål.docx", "A 31837-2025")</f>
        <v/>
      </c>
      <c r="W142">
        <f>HYPERLINK("https://klasma.github.io/Logging_2326/klagomålsmail/A 31837-2025 FSC-klagomål mail.docx", "A 31837-2025")</f>
        <v/>
      </c>
      <c r="X142">
        <f>HYPERLINK("https://klasma.github.io/Logging_2326/tillsyn/A 31837-2025 tillsynsbegäran.docx", "A 31837-2025")</f>
        <v/>
      </c>
      <c r="Y142">
        <f>HYPERLINK("https://klasma.github.io/Logging_2326/tillsynsmail/A 31837-2025 tillsynsbegäran mail.docx", "A 31837-2025")</f>
        <v/>
      </c>
    </row>
    <row r="143" ht="15" customHeight="1">
      <c r="A143" t="inlineStr">
        <is>
          <t>A 52193-2024</t>
        </is>
      </c>
      <c r="B143" s="1" t="n">
        <v>45608</v>
      </c>
      <c r="C143" s="1" t="n">
        <v>46134</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54595-2024</t>
        </is>
      </c>
      <c r="B144" s="1" t="n">
        <v>45617.67353009259</v>
      </c>
      <c r="C144" s="1" t="n">
        <v>46134</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33501-2025</t>
        </is>
      </c>
      <c r="B145" s="1" t="n">
        <v>45841</v>
      </c>
      <c r="C145" s="1" t="n">
        <v>46134</v>
      </c>
      <c r="D145" t="inlineStr">
        <is>
          <t>JÄMTLANDS LÄN</t>
        </is>
      </c>
      <c r="E145" t="inlineStr">
        <is>
          <t>BERG</t>
        </is>
      </c>
      <c r="G145" t="n">
        <v>6.9</v>
      </c>
      <c r="H145" t="n">
        <v>1</v>
      </c>
      <c r="I145" t="n">
        <v>1</v>
      </c>
      <c r="J145" t="n">
        <v>0</v>
      </c>
      <c r="K145" t="n">
        <v>0</v>
      </c>
      <c r="L145" t="n">
        <v>0</v>
      </c>
      <c r="M145" t="n">
        <v>0</v>
      </c>
      <c r="N145" t="n">
        <v>0</v>
      </c>
      <c r="O145" t="n">
        <v>0</v>
      </c>
      <c r="P145" t="n">
        <v>0</v>
      </c>
      <c r="Q145" t="n">
        <v>1</v>
      </c>
      <c r="R145" s="2" t="inlineStr">
        <is>
          <t>Korallrot</t>
        </is>
      </c>
      <c r="S145">
        <f>HYPERLINK("https://klasma.github.io/Logging_2326/artfynd/A 33501-2025 artfynd.xlsx", "A 33501-2025")</f>
        <v/>
      </c>
      <c r="T145">
        <f>HYPERLINK("https://klasma.github.io/Logging_2326/kartor/A 33501-2025 karta.png", "A 33501-2025")</f>
        <v/>
      </c>
      <c r="V145">
        <f>HYPERLINK("https://klasma.github.io/Logging_2326/klagomål/A 33501-2025 FSC-klagomål.docx", "A 33501-2025")</f>
        <v/>
      </c>
      <c r="W145">
        <f>HYPERLINK("https://klasma.github.io/Logging_2326/klagomålsmail/A 33501-2025 FSC-klagomål mail.docx", "A 33501-2025")</f>
        <v/>
      </c>
      <c r="X145">
        <f>HYPERLINK("https://klasma.github.io/Logging_2326/tillsyn/A 33501-2025 tillsynsbegäran.docx", "A 33501-2025")</f>
        <v/>
      </c>
      <c r="Y145">
        <f>HYPERLINK("https://klasma.github.io/Logging_2326/tillsynsmail/A 33501-2025 tillsynsbegäran mail.docx", "A 33501-2025")</f>
        <v/>
      </c>
    </row>
    <row r="146" ht="15" customHeight="1">
      <c r="A146" t="inlineStr">
        <is>
          <t>A 47946-2025</t>
        </is>
      </c>
      <c r="B146" s="1" t="n">
        <v>45932.57346064815</v>
      </c>
      <c r="C146" s="1" t="n">
        <v>46134</v>
      </c>
      <c r="D146" t="inlineStr">
        <is>
          <t>JÄMTLANDS LÄN</t>
        </is>
      </c>
      <c r="E146" t="inlineStr">
        <is>
          <t>BERG</t>
        </is>
      </c>
      <c r="F146" t="inlineStr">
        <is>
          <t>SCA</t>
        </is>
      </c>
      <c r="G146" t="n">
        <v>7.7</v>
      </c>
      <c r="H146" t="n">
        <v>0</v>
      </c>
      <c r="I146" t="n">
        <v>0</v>
      </c>
      <c r="J146" t="n">
        <v>0</v>
      </c>
      <c r="K146" t="n">
        <v>1</v>
      </c>
      <c r="L146" t="n">
        <v>0</v>
      </c>
      <c r="M146" t="n">
        <v>0</v>
      </c>
      <c r="N146" t="n">
        <v>0</v>
      </c>
      <c r="O146" t="n">
        <v>1</v>
      </c>
      <c r="P146" t="n">
        <v>1</v>
      </c>
      <c r="Q146" t="n">
        <v>1</v>
      </c>
      <c r="R146" s="2" t="inlineStr">
        <is>
          <t>Gräddporing</t>
        </is>
      </c>
      <c r="S146">
        <f>HYPERLINK("https://klasma.github.io/Logging_2326/artfynd/A 47946-2025 artfynd.xlsx", "A 47946-2025")</f>
        <v/>
      </c>
      <c r="T146">
        <f>HYPERLINK("https://klasma.github.io/Logging_2326/kartor/A 47946-2025 karta.png", "A 47946-2025")</f>
        <v/>
      </c>
      <c r="V146">
        <f>HYPERLINK("https://klasma.github.io/Logging_2326/klagomål/A 47946-2025 FSC-klagomål.docx", "A 47946-2025")</f>
        <v/>
      </c>
      <c r="W146">
        <f>HYPERLINK("https://klasma.github.io/Logging_2326/klagomålsmail/A 47946-2025 FSC-klagomål mail.docx", "A 47946-2025")</f>
        <v/>
      </c>
      <c r="X146">
        <f>HYPERLINK("https://klasma.github.io/Logging_2326/tillsyn/A 47946-2025 tillsynsbegäran.docx", "A 47946-2025")</f>
        <v/>
      </c>
      <c r="Y146">
        <f>HYPERLINK("https://klasma.github.io/Logging_2326/tillsynsmail/A 47946-2025 tillsynsbegäran mail.docx", "A 47946-2025")</f>
        <v/>
      </c>
    </row>
    <row r="147" ht="15" customHeight="1">
      <c r="A147" t="inlineStr">
        <is>
          <t>A 47658-2025</t>
        </is>
      </c>
      <c r="B147" s="1" t="n">
        <v>45931.55266203704</v>
      </c>
      <c r="C147" s="1" t="n">
        <v>46134</v>
      </c>
      <c r="D147" t="inlineStr">
        <is>
          <t>JÄMTLANDS LÄN</t>
        </is>
      </c>
      <c r="E147" t="inlineStr">
        <is>
          <t>BERG</t>
        </is>
      </c>
      <c r="F147" t="inlineStr">
        <is>
          <t>SCA</t>
        </is>
      </c>
      <c r="G147" t="n">
        <v>3.2</v>
      </c>
      <c r="H147" t="n">
        <v>0</v>
      </c>
      <c r="I147" t="n">
        <v>0</v>
      </c>
      <c r="J147" t="n">
        <v>1</v>
      </c>
      <c r="K147" t="n">
        <v>0</v>
      </c>
      <c r="L147" t="n">
        <v>0</v>
      </c>
      <c r="M147" t="n">
        <v>0</v>
      </c>
      <c r="N147" t="n">
        <v>0</v>
      </c>
      <c r="O147" t="n">
        <v>1</v>
      </c>
      <c r="P147" t="n">
        <v>0</v>
      </c>
      <c r="Q147" t="n">
        <v>1</v>
      </c>
      <c r="R147" s="2" t="inlineStr">
        <is>
          <t>Blågrå svartspik</t>
        </is>
      </c>
      <c r="S147">
        <f>HYPERLINK("https://klasma.github.io/Logging_2326/artfynd/A 47658-2025 artfynd.xlsx", "A 47658-2025")</f>
        <v/>
      </c>
      <c r="T147">
        <f>HYPERLINK("https://klasma.github.io/Logging_2326/kartor/A 47658-2025 karta.png", "A 47658-2025")</f>
        <v/>
      </c>
      <c r="V147">
        <f>HYPERLINK("https://klasma.github.io/Logging_2326/klagomål/A 47658-2025 FSC-klagomål.docx", "A 47658-2025")</f>
        <v/>
      </c>
      <c r="W147">
        <f>HYPERLINK("https://klasma.github.io/Logging_2326/klagomålsmail/A 47658-2025 FSC-klagomål mail.docx", "A 47658-2025")</f>
        <v/>
      </c>
      <c r="X147">
        <f>HYPERLINK("https://klasma.github.io/Logging_2326/tillsyn/A 47658-2025 tillsynsbegäran.docx", "A 47658-2025")</f>
        <v/>
      </c>
      <c r="Y147">
        <f>HYPERLINK("https://klasma.github.io/Logging_2326/tillsynsmail/A 47658-2025 tillsynsbegäran mail.docx", "A 47658-2025")</f>
        <v/>
      </c>
    </row>
    <row r="148" ht="15" customHeight="1">
      <c r="A148" t="inlineStr">
        <is>
          <t>A 35211-2025</t>
        </is>
      </c>
      <c r="B148" s="1" t="n">
        <v>45853.45060185185</v>
      </c>
      <c r="C148" s="1" t="n">
        <v>46134</v>
      </c>
      <c r="D148" t="inlineStr">
        <is>
          <t>JÄMTLANDS LÄN</t>
        </is>
      </c>
      <c r="E148" t="inlineStr">
        <is>
          <t>BERG</t>
        </is>
      </c>
      <c r="G148" t="n">
        <v>0.8</v>
      </c>
      <c r="H148" t="n">
        <v>1</v>
      </c>
      <c r="I148" t="n">
        <v>0</v>
      </c>
      <c r="J148" t="n">
        <v>0</v>
      </c>
      <c r="K148" t="n">
        <v>1</v>
      </c>
      <c r="L148" t="n">
        <v>0</v>
      </c>
      <c r="M148" t="n">
        <v>0</v>
      </c>
      <c r="N148" t="n">
        <v>0</v>
      </c>
      <c r="O148" t="n">
        <v>1</v>
      </c>
      <c r="P148" t="n">
        <v>1</v>
      </c>
      <c r="Q148" t="n">
        <v>1</v>
      </c>
      <c r="R148" s="2" t="inlineStr">
        <is>
          <t>Knärot</t>
        </is>
      </c>
      <c r="S148">
        <f>HYPERLINK("https://klasma.github.io/Logging_2326/artfynd/A 35211-2025 artfynd.xlsx", "A 35211-2025")</f>
        <v/>
      </c>
      <c r="T148">
        <f>HYPERLINK("https://klasma.github.io/Logging_2326/kartor/A 35211-2025 karta.png", "A 35211-2025")</f>
        <v/>
      </c>
      <c r="U148">
        <f>HYPERLINK("https://klasma.github.io/Logging_2326/knärot/A 35211-2025 karta knärot.png", "A 35211-2025")</f>
        <v/>
      </c>
      <c r="V148">
        <f>HYPERLINK("https://klasma.github.io/Logging_2326/klagomål/A 35211-2025 FSC-klagomål.docx", "A 35211-2025")</f>
        <v/>
      </c>
      <c r="W148">
        <f>HYPERLINK("https://klasma.github.io/Logging_2326/klagomålsmail/A 35211-2025 FSC-klagomål mail.docx", "A 35211-2025")</f>
        <v/>
      </c>
      <c r="X148">
        <f>HYPERLINK("https://klasma.github.io/Logging_2326/tillsyn/A 35211-2025 tillsynsbegäran.docx", "A 35211-2025")</f>
        <v/>
      </c>
      <c r="Y148">
        <f>HYPERLINK("https://klasma.github.io/Logging_2326/tillsynsmail/A 35211-2025 tillsynsbegäran mail.docx", "A 35211-2025")</f>
        <v/>
      </c>
    </row>
    <row r="149" ht="15" customHeight="1">
      <c r="A149" t="inlineStr">
        <is>
          <t>A 47656-2025</t>
        </is>
      </c>
      <c r="B149" s="1" t="n">
        <v>45931.55247685185</v>
      </c>
      <c r="C149" s="1" t="n">
        <v>46134</v>
      </c>
      <c r="D149" t="inlineStr">
        <is>
          <t>JÄMTLANDS LÄN</t>
        </is>
      </c>
      <c r="E149" t="inlineStr">
        <is>
          <t>BERG</t>
        </is>
      </c>
      <c r="F149" t="inlineStr">
        <is>
          <t>SCA</t>
        </is>
      </c>
      <c r="G149" t="n">
        <v>1.2</v>
      </c>
      <c r="H149" t="n">
        <v>0</v>
      </c>
      <c r="I149" t="n">
        <v>0</v>
      </c>
      <c r="J149" t="n">
        <v>1</v>
      </c>
      <c r="K149" t="n">
        <v>0</v>
      </c>
      <c r="L149" t="n">
        <v>0</v>
      </c>
      <c r="M149" t="n">
        <v>0</v>
      </c>
      <c r="N149" t="n">
        <v>0</v>
      </c>
      <c r="O149" t="n">
        <v>1</v>
      </c>
      <c r="P149" t="n">
        <v>0</v>
      </c>
      <c r="Q149" t="n">
        <v>1</v>
      </c>
      <c r="R149" s="2" t="inlineStr">
        <is>
          <t>Vedflamlav</t>
        </is>
      </c>
      <c r="S149">
        <f>HYPERLINK("https://klasma.github.io/Logging_2326/artfynd/A 47656-2025 artfynd.xlsx", "A 47656-2025")</f>
        <v/>
      </c>
      <c r="T149">
        <f>HYPERLINK("https://klasma.github.io/Logging_2326/kartor/A 47656-2025 karta.png", "A 47656-2025")</f>
        <v/>
      </c>
      <c r="V149">
        <f>HYPERLINK("https://klasma.github.io/Logging_2326/klagomål/A 47656-2025 FSC-klagomål.docx", "A 47656-2025")</f>
        <v/>
      </c>
      <c r="W149">
        <f>HYPERLINK("https://klasma.github.io/Logging_2326/klagomålsmail/A 47656-2025 FSC-klagomål mail.docx", "A 47656-2025")</f>
        <v/>
      </c>
      <c r="X149">
        <f>HYPERLINK("https://klasma.github.io/Logging_2326/tillsyn/A 47656-2025 tillsynsbegäran.docx", "A 47656-2025")</f>
        <v/>
      </c>
      <c r="Y149">
        <f>HYPERLINK("https://klasma.github.io/Logging_2326/tillsynsmail/A 47656-2025 tillsynsbegäran mail.docx", "A 47656-2025")</f>
        <v/>
      </c>
    </row>
    <row r="150" ht="15" customHeight="1">
      <c r="A150" t="inlineStr">
        <is>
          <t>A 35535-2025</t>
        </is>
      </c>
      <c r="B150" s="1" t="n">
        <v>45856.45047453704</v>
      </c>
      <c r="C150" s="1" t="n">
        <v>46134</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53086-2024</t>
        </is>
      </c>
      <c r="B151" s="1" t="n">
        <v>45611.51084490741</v>
      </c>
      <c r="C151" s="1" t="n">
        <v>46134</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50182-2025</t>
        </is>
      </c>
      <c r="B152" s="1" t="n">
        <v>45943.61550925926</v>
      </c>
      <c r="C152" s="1" t="n">
        <v>46134</v>
      </c>
      <c r="D152" t="inlineStr">
        <is>
          <t>JÄMTLANDS LÄN</t>
        </is>
      </c>
      <c r="E152" t="inlineStr">
        <is>
          <t>BERG</t>
        </is>
      </c>
      <c r="F152" t="inlineStr">
        <is>
          <t>SCA</t>
        </is>
      </c>
      <c r="G152" t="n">
        <v>12.8</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50182-2025 artfynd.xlsx", "A 50182-2025")</f>
        <v/>
      </c>
      <c r="T152">
        <f>HYPERLINK("https://klasma.github.io/Logging_2326/kartor/A 50182-2025 karta.png", "A 50182-2025")</f>
        <v/>
      </c>
      <c r="V152">
        <f>HYPERLINK("https://klasma.github.io/Logging_2326/klagomål/A 50182-2025 FSC-klagomål.docx", "A 50182-2025")</f>
        <v/>
      </c>
      <c r="W152">
        <f>HYPERLINK("https://klasma.github.io/Logging_2326/klagomålsmail/A 50182-2025 FSC-klagomål mail.docx", "A 50182-2025")</f>
        <v/>
      </c>
      <c r="X152">
        <f>HYPERLINK("https://klasma.github.io/Logging_2326/tillsyn/A 50182-2025 tillsynsbegäran.docx", "A 50182-2025")</f>
        <v/>
      </c>
      <c r="Y152">
        <f>HYPERLINK("https://klasma.github.io/Logging_2326/tillsynsmail/A 50182-2025 tillsynsbegäran mail.docx", "A 50182-2025")</f>
        <v/>
      </c>
      <c r="Z152">
        <f>HYPERLINK("https://klasma.github.io/Logging_2326/fåglar/A 50182-2025 prioriterade fågelarter.docx", "A 50182-2025")</f>
        <v/>
      </c>
    </row>
    <row r="153" ht="15" customHeight="1">
      <c r="A153" t="inlineStr">
        <is>
          <t>A 37513-2025</t>
        </is>
      </c>
      <c r="B153" s="1" t="n">
        <v>45877.69828703703</v>
      </c>
      <c r="C153" s="1" t="n">
        <v>46134</v>
      </c>
      <c r="D153" t="inlineStr">
        <is>
          <t>JÄMTLANDS LÄN</t>
        </is>
      </c>
      <c r="E153" t="inlineStr">
        <is>
          <t>BERG</t>
        </is>
      </c>
      <c r="F153" t="inlineStr">
        <is>
          <t>SCA</t>
        </is>
      </c>
      <c r="G153" t="n">
        <v>14.1</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37513-2025 artfynd.xlsx", "A 37513-2025")</f>
        <v/>
      </c>
      <c r="T153">
        <f>HYPERLINK("https://klasma.github.io/Logging_2326/kartor/A 37513-2025 karta.png", "A 37513-2025")</f>
        <v/>
      </c>
      <c r="V153">
        <f>HYPERLINK("https://klasma.github.io/Logging_2326/klagomål/A 37513-2025 FSC-klagomål.docx", "A 37513-2025")</f>
        <v/>
      </c>
      <c r="W153">
        <f>HYPERLINK("https://klasma.github.io/Logging_2326/klagomålsmail/A 37513-2025 FSC-klagomål mail.docx", "A 37513-2025")</f>
        <v/>
      </c>
      <c r="X153">
        <f>HYPERLINK("https://klasma.github.io/Logging_2326/tillsyn/A 37513-2025 tillsynsbegäran.docx", "A 37513-2025")</f>
        <v/>
      </c>
      <c r="Y153">
        <f>HYPERLINK("https://klasma.github.io/Logging_2326/tillsynsmail/A 37513-2025 tillsynsbegäran mail.docx", "A 37513-2025")</f>
        <v/>
      </c>
    </row>
    <row r="154" ht="15" customHeight="1">
      <c r="A154" t="inlineStr">
        <is>
          <t>A 56198-2025</t>
        </is>
      </c>
      <c r="B154" s="1" t="n">
        <v>45974.45760416667</v>
      </c>
      <c r="C154" s="1" t="n">
        <v>46134</v>
      </c>
      <c r="D154" t="inlineStr">
        <is>
          <t>JÄMTLANDS LÄN</t>
        </is>
      </c>
      <c r="E154" t="inlineStr">
        <is>
          <t>BERG</t>
        </is>
      </c>
      <c r="G154" t="n">
        <v>8.6</v>
      </c>
      <c r="H154" t="n">
        <v>0</v>
      </c>
      <c r="I154" t="n">
        <v>0</v>
      </c>
      <c r="J154" t="n">
        <v>1</v>
      </c>
      <c r="K154" t="n">
        <v>0</v>
      </c>
      <c r="L154" t="n">
        <v>0</v>
      </c>
      <c r="M154" t="n">
        <v>0</v>
      </c>
      <c r="N154" t="n">
        <v>0</v>
      </c>
      <c r="O154" t="n">
        <v>1</v>
      </c>
      <c r="P154" t="n">
        <v>0</v>
      </c>
      <c r="Q154" t="n">
        <v>1</v>
      </c>
      <c r="R154" s="2" t="inlineStr">
        <is>
          <t>Knottrig blåslav</t>
        </is>
      </c>
      <c r="S154">
        <f>HYPERLINK("https://klasma.github.io/Logging_2326/artfynd/A 56198-2025 artfynd.xlsx", "A 56198-2025")</f>
        <v/>
      </c>
      <c r="T154">
        <f>HYPERLINK("https://klasma.github.io/Logging_2326/kartor/A 56198-2025 karta.png", "A 56198-2025")</f>
        <v/>
      </c>
      <c r="V154">
        <f>HYPERLINK("https://klasma.github.io/Logging_2326/klagomål/A 56198-2025 FSC-klagomål.docx", "A 56198-2025")</f>
        <v/>
      </c>
      <c r="W154">
        <f>HYPERLINK("https://klasma.github.io/Logging_2326/klagomålsmail/A 56198-2025 FSC-klagomål mail.docx", "A 56198-2025")</f>
        <v/>
      </c>
      <c r="X154">
        <f>HYPERLINK("https://klasma.github.io/Logging_2326/tillsyn/A 56198-2025 tillsynsbegäran.docx", "A 56198-2025")</f>
        <v/>
      </c>
      <c r="Y154">
        <f>HYPERLINK("https://klasma.github.io/Logging_2326/tillsynsmail/A 56198-2025 tillsynsbegäran mail.docx", "A 56198-2025")</f>
        <v/>
      </c>
    </row>
    <row r="155" ht="15" customHeight="1">
      <c r="A155" t="inlineStr">
        <is>
          <t>A 68434-2021</t>
        </is>
      </c>
      <c r="B155" s="1" t="n">
        <v>44529</v>
      </c>
      <c r="C155" s="1" t="n">
        <v>46134</v>
      </c>
      <c r="D155" t="inlineStr">
        <is>
          <t>JÄMTLANDS LÄN</t>
        </is>
      </c>
      <c r="E155" t="inlineStr">
        <is>
          <t>BERG</t>
        </is>
      </c>
      <c r="G155" t="n">
        <v>14</v>
      </c>
      <c r="H155" t="n">
        <v>0</v>
      </c>
      <c r="I155" t="n">
        <v>0</v>
      </c>
      <c r="J155" t="n">
        <v>0</v>
      </c>
      <c r="K155" t="n">
        <v>1</v>
      </c>
      <c r="L155" t="n">
        <v>0</v>
      </c>
      <c r="M155" t="n">
        <v>0</v>
      </c>
      <c r="N155" t="n">
        <v>0</v>
      </c>
      <c r="O155" t="n">
        <v>1</v>
      </c>
      <c r="P155" t="n">
        <v>1</v>
      </c>
      <c r="Q155" t="n">
        <v>1</v>
      </c>
      <c r="R155" s="2" t="inlineStr">
        <is>
          <t>Ostticka</t>
        </is>
      </c>
      <c r="S155">
        <f>HYPERLINK("https://klasma.github.io/Logging_2326/artfynd/A 68434-2021 artfynd.xlsx", "A 68434-2021")</f>
        <v/>
      </c>
      <c r="T155">
        <f>HYPERLINK("https://klasma.github.io/Logging_2326/kartor/A 68434-2021 karta.png", "A 68434-2021")</f>
        <v/>
      </c>
      <c r="V155">
        <f>HYPERLINK("https://klasma.github.io/Logging_2326/klagomål/A 68434-2021 FSC-klagomål.docx", "A 68434-2021")</f>
        <v/>
      </c>
      <c r="W155">
        <f>HYPERLINK("https://klasma.github.io/Logging_2326/klagomålsmail/A 68434-2021 FSC-klagomål mail.docx", "A 68434-2021")</f>
        <v/>
      </c>
      <c r="X155">
        <f>HYPERLINK("https://klasma.github.io/Logging_2326/tillsyn/A 68434-2021 tillsynsbegäran.docx", "A 68434-2021")</f>
        <v/>
      </c>
      <c r="Y155">
        <f>HYPERLINK("https://klasma.github.io/Logging_2326/tillsynsmail/A 68434-2021 tillsynsbegäran mail.docx", "A 68434-2021")</f>
        <v/>
      </c>
    </row>
    <row r="156" ht="15" customHeight="1">
      <c r="A156" t="inlineStr">
        <is>
          <t>A 971-2026</t>
        </is>
      </c>
      <c r="B156" s="1" t="n">
        <v>46029</v>
      </c>
      <c r="C156" s="1" t="n">
        <v>46134</v>
      </c>
      <c r="D156" t="inlineStr">
        <is>
          <t>JÄMTLANDS LÄN</t>
        </is>
      </c>
      <c r="E156" t="inlineStr">
        <is>
          <t>BERG</t>
        </is>
      </c>
      <c r="F156" t="inlineStr">
        <is>
          <t>SCA</t>
        </is>
      </c>
      <c r="G156" t="n">
        <v>9.699999999999999</v>
      </c>
      <c r="H156" t="n">
        <v>1</v>
      </c>
      <c r="I156" t="n">
        <v>0</v>
      </c>
      <c r="J156" t="n">
        <v>1</v>
      </c>
      <c r="K156" t="n">
        <v>0</v>
      </c>
      <c r="L156" t="n">
        <v>0</v>
      </c>
      <c r="M156" t="n">
        <v>0</v>
      </c>
      <c r="N156" t="n">
        <v>0</v>
      </c>
      <c r="O156" t="n">
        <v>1</v>
      </c>
      <c r="P156" t="n">
        <v>0</v>
      </c>
      <c r="Q156" t="n">
        <v>1</v>
      </c>
      <c r="R156" s="2" t="inlineStr">
        <is>
          <t>Grönsångare</t>
        </is>
      </c>
      <c r="S156">
        <f>HYPERLINK("https://klasma.github.io/Logging_2326/artfynd/A 971-2026 artfynd.xlsx", "A 971-2026")</f>
        <v/>
      </c>
      <c r="T156">
        <f>HYPERLINK("https://klasma.github.io/Logging_2326/kartor/A 971-2026 karta.png", "A 971-2026")</f>
        <v/>
      </c>
      <c r="V156">
        <f>HYPERLINK("https://klasma.github.io/Logging_2326/klagomål/A 971-2026 FSC-klagomål.docx", "A 971-2026")</f>
        <v/>
      </c>
      <c r="W156">
        <f>HYPERLINK("https://klasma.github.io/Logging_2326/klagomålsmail/A 971-2026 FSC-klagomål mail.docx", "A 971-2026")</f>
        <v/>
      </c>
      <c r="X156">
        <f>HYPERLINK("https://klasma.github.io/Logging_2326/tillsyn/A 971-2026 tillsynsbegäran.docx", "A 971-2026")</f>
        <v/>
      </c>
      <c r="Y156">
        <f>HYPERLINK("https://klasma.github.io/Logging_2326/tillsynsmail/A 971-2026 tillsynsbegäran mail.docx", "A 971-2026")</f>
        <v/>
      </c>
      <c r="Z156">
        <f>HYPERLINK("https://klasma.github.io/Logging_2326/fåglar/A 971-2026 prioriterade fågelarter.docx", "A 971-2026")</f>
        <v/>
      </c>
    </row>
    <row r="157" ht="15" customHeight="1">
      <c r="A157" t="inlineStr">
        <is>
          <t>A 53014-2022</t>
        </is>
      </c>
      <c r="B157" s="1" t="n">
        <v>44875</v>
      </c>
      <c r="C157" s="1" t="n">
        <v>46134</v>
      </c>
      <c r="D157" t="inlineStr">
        <is>
          <t>JÄMTLANDS LÄN</t>
        </is>
      </c>
      <c r="E157" t="inlineStr">
        <is>
          <t>BERG</t>
        </is>
      </c>
      <c r="F157" t="inlineStr">
        <is>
          <t>SCA</t>
        </is>
      </c>
      <c r="G157" t="n">
        <v>13</v>
      </c>
      <c r="H157" t="n">
        <v>0</v>
      </c>
      <c r="I157" t="n">
        <v>0</v>
      </c>
      <c r="J157" t="n">
        <v>0</v>
      </c>
      <c r="K157" t="n">
        <v>1</v>
      </c>
      <c r="L157" t="n">
        <v>0</v>
      </c>
      <c r="M157" t="n">
        <v>0</v>
      </c>
      <c r="N157" t="n">
        <v>0</v>
      </c>
      <c r="O157" t="n">
        <v>1</v>
      </c>
      <c r="P157" t="n">
        <v>1</v>
      </c>
      <c r="Q157" t="n">
        <v>1</v>
      </c>
      <c r="R157" s="2" t="inlineStr">
        <is>
          <t>Gräddporing</t>
        </is>
      </c>
      <c r="S157">
        <f>HYPERLINK("https://klasma.github.io/Logging_2326/artfynd/A 53014-2022 artfynd.xlsx", "A 53014-2022")</f>
        <v/>
      </c>
      <c r="T157">
        <f>HYPERLINK("https://klasma.github.io/Logging_2326/kartor/A 53014-2022 karta.png", "A 53014-2022")</f>
        <v/>
      </c>
      <c r="V157">
        <f>HYPERLINK("https://klasma.github.io/Logging_2326/klagomål/A 53014-2022 FSC-klagomål.docx", "A 53014-2022")</f>
        <v/>
      </c>
      <c r="W157">
        <f>HYPERLINK("https://klasma.github.io/Logging_2326/klagomålsmail/A 53014-2022 FSC-klagomål mail.docx", "A 53014-2022")</f>
        <v/>
      </c>
      <c r="X157">
        <f>HYPERLINK("https://klasma.github.io/Logging_2326/tillsyn/A 53014-2022 tillsynsbegäran.docx", "A 53014-2022")</f>
        <v/>
      </c>
      <c r="Y157">
        <f>HYPERLINK("https://klasma.github.io/Logging_2326/tillsynsmail/A 53014-2022 tillsynsbegäran mail.docx", "A 53014-2022")</f>
        <v/>
      </c>
    </row>
    <row r="158" ht="15" customHeight="1">
      <c r="A158" t="inlineStr">
        <is>
          <t>A 60150-2025</t>
        </is>
      </c>
      <c r="B158" s="1" t="n">
        <v>45994.38944444444</v>
      </c>
      <c r="C158" s="1" t="n">
        <v>46134</v>
      </c>
      <c r="D158" t="inlineStr">
        <is>
          <t>JÄMTLANDS LÄN</t>
        </is>
      </c>
      <c r="E158" t="inlineStr">
        <is>
          <t>BERG</t>
        </is>
      </c>
      <c r="G158" t="n">
        <v>17.6</v>
      </c>
      <c r="H158" t="n">
        <v>0</v>
      </c>
      <c r="I158" t="n">
        <v>0</v>
      </c>
      <c r="J158" t="n">
        <v>1</v>
      </c>
      <c r="K158" t="n">
        <v>0</v>
      </c>
      <c r="L158" t="n">
        <v>0</v>
      </c>
      <c r="M158" t="n">
        <v>0</v>
      </c>
      <c r="N158" t="n">
        <v>0</v>
      </c>
      <c r="O158" t="n">
        <v>1</v>
      </c>
      <c r="P158" t="n">
        <v>0</v>
      </c>
      <c r="Q158" t="n">
        <v>1</v>
      </c>
      <c r="R158" s="2" t="inlineStr">
        <is>
          <t>Kolflarnlav</t>
        </is>
      </c>
      <c r="S158">
        <f>HYPERLINK("https://klasma.github.io/Logging_2326/artfynd/A 60150-2025 artfynd.xlsx", "A 60150-2025")</f>
        <v/>
      </c>
      <c r="T158">
        <f>HYPERLINK("https://klasma.github.io/Logging_2326/kartor/A 60150-2025 karta.png", "A 60150-2025")</f>
        <v/>
      </c>
      <c r="V158">
        <f>HYPERLINK("https://klasma.github.io/Logging_2326/klagomål/A 60150-2025 FSC-klagomål.docx", "A 60150-2025")</f>
        <v/>
      </c>
      <c r="W158">
        <f>HYPERLINK("https://klasma.github.io/Logging_2326/klagomålsmail/A 60150-2025 FSC-klagomål mail.docx", "A 60150-2025")</f>
        <v/>
      </c>
      <c r="X158">
        <f>HYPERLINK("https://klasma.github.io/Logging_2326/tillsyn/A 60150-2025 tillsynsbegäran.docx", "A 60150-2025")</f>
        <v/>
      </c>
      <c r="Y158">
        <f>HYPERLINK("https://klasma.github.io/Logging_2326/tillsynsmail/A 60150-2025 tillsynsbegäran mail.docx", "A 60150-2025")</f>
        <v/>
      </c>
    </row>
    <row r="159" ht="15" customHeight="1">
      <c r="A159" t="inlineStr">
        <is>
          <t>A 60833-2025</t>
        </is>
      </c>
      <c r="B159" s="1" t="n">
        <v>45999.46969907408</v>
      </c>
      <c r="C159" s="1" t="n">
        <v>46134</v>
      </c>
      <c r="D159" t="inlineStr">
        <is>
          <t>JÄMTLANDS LÄN</t>
        </is>
      </c>
      <c r="E159" t="inlineStr">
        <is>
          <t>BERG</t>
        </is>
      </c>
      <c r="F159" t="inlineStr">
        <is>
          <t>SCA</t>
        </is>
      </c>
      <c r="G159" t="n">
        <v>18.1</v>
      </c>
      <c r="H159" t="n">
        <v>1</v>
      </c>
      <c r="I159" t="n">
        <v>0</v>
      </c>
      <c r="J159" t="n">
        <v>1</v>
      </c>
      <c r="K159" t="n">
        <v>0</v>
      </c>
      <c r="L159" t="n">
        <v>0</v>
      </c>
      <c r="M159" t="n">
        <v>0</v>
      </c>
      <c r="N159" t="n">
        <v>0</v>
      </c>
      <c r="O159" t="n">
        <v>1</v>
      </c>
      <c r="P159" t="n">
        <v>0</v>
      </c>
      <c r="Q159" t="n">
        <v>1</v>
      </c>
      <c r="R159" s="2" t="inlineStr">
        <is>
          <t>Spillkråka</t>
        </is>
      </c>
      <c r="S159">
        <f>HYPERLINK("https://klasma.github.io/Logging_2326/artfynd/A 60833-2025 artfynd.xlsx", "A 60833-2025")</f>
        <v/>
      </c>
      <c r="T159">
        <f>HYPERLINK("https://klasma.github.io/Logging_2326/kartor/A 60833-2025 karta.png", "A 60833-2025")</f>
        <v/>
      </c>
      <c r="V159">
        <f>HYPERLINK("https://klasma.github.io/Logging_2326/klagomål/A 60833-2025 FSC-klagomål.docx", "A 60833-2025")</f>
        <v/>
      </c>
      <c r="W159">
        <f>HYPERLINK("https://klasma.github.io/Logging_2326/klagomålsmail/A 60833-2025 FSC-klagomål mail.docx", "A 60833-2025")</f>
        <v/>
      </c>
      <c r="X159">
        <f>HYPERLINK("https://klasma.github.io/Logging_2326/tillsyn/A 60833-2025 tillsynsbegäran.docx", "A 60833-2025")</f>
        <v/>
      </c>
      <c r="Y159">
        <f>HYPERLINK("https://klasma.github.io/Logging_2326/tillsynsmail/A 60833-2025 tillsynsbegäran mail.docx", "A 60833-2025")</f>
        <v/>
      </c>
      <c r="Z159">
        <f>HYPERLINK("https://klasma.github.io/Logging_2326/fåglar/A 60833-2025 prioriterade fågelarter.docx", "A 60833-2025")</f>
        <v/>
      </c>
    </row>
    <row r="160" ht="15" customHeight="1">
      <c r="A160" t="inlineStr">
        <is>
          <t>A 60633-2025</t>
        </is>
      </c>
      <c r="B160" s="1" t="n">
        <v>45996.42788194444</v>
      </c>
      <c r="C160" s="1" t="n">
        <v>46134</v>
      </c>
      <c r="D160" t="inlineStr">
        <is>
          <t>JÄMTLANDS LÄN</t>
        </is>
      </c>
      <c r="E160" t="inlineStr">
        <is>
          <t>BERG</t>
        </is>
      </c>
      <c r="F160" t="inlineStr">
        <is>
          <t>SCA</t>
        </is>
      </c>
      <c r="G160" t="n">
        <v>18.3</v>
      </c>
      <c r="H160" t="n">
        <v>1</v>
      </c>
      <c r="I160" t="n">
        <v>1</v>
      </c>
      <c r="J160" t="n">
        <v>0</v>
      </c>
      <c r="K160" t="n">
        <v>0</v>
      </c>
      <c r="L160" t="n">
        <v>0</v>
      </c>
      <c r="M160" t="n">
        <v>0</v>
      </c>
      <c r="N160" t="n">
        <v>0</v>
      </c>
      <c r="O160" t="n">
        <v>0</v>
      </c>
      <c r="P160" t="n">
        <v>0</v>
      </c>
      <c r="Q160" t="n">
        <v>1</v>
      </c>
      <c r="R160" s="2" t="inlineStr">
        <is>
          <t>Plattlummer</t>
        </is>
      </c>
      <c r="S160">
        <f>HYPERLINK("https://klasma.github.io/Logging_2326/artfynd/A 60633-2025 artfynd.xlsx", "A 60633-2025")</f>
        <v/>
      </c>
      <c r="T160">
        <f>HYPERLINK("https://klasma.github.io/Logging_2326/kartor/A 60633-2025 karta.png", "A 60633-2025")</f>
        <v/>
      </c>
      <c r="V160">
        <f>HYPERLINK("https://klasma.github.io/Logging_2326/klagomål/A 60633-2025 FSC-klagomål.docx", "A 60633-2025")</f>
        <v/>
      </c>
      <c r="W160">
        <f>HYPERLINK("https://klasma.github.io/Logging_2326/klagomålsmail/A 60633-2025 FSC-klagomål mail.docx", "A 60633-2025")</f>
        <v/>
      </c>
      <c r="X160">
        <f>HYPERLINK("https://klasma.github.io/Logging_2326/tillsyn/A 60633-2025 tillsynsbegäran.docx", "A 60633-2025")</f>
        <v/>
      </c>
      <c r="Y160">
        <f>HYPERLINK("https://klasma.github.io/Logging_2326/tillsynsmail/A 60633-2025 tillsynsbegäran mail.docx", "A 60633-2025")</f>
        <v/>
      </c>
    </row>
    <row r="161" ht="15" customHeight="1">
      <c r="A161" t="inlineStr">
        <is>
          <t>A 9281-2026</t>
        </is>
      </c>
      <c r="B161" s="1" t="n">
        <v>46070.57982638889</v>
      </c>
      <c r="C161" s="1" t="n">
        <v>46134</v>
      </c>
      <c r="D161" t="inlineStr">
        <is>
          <t>JÄMTLANDS LÄN</t>
        </is>
      </c>
      <c r="E161" t="inlineStr">
        <is>
          <t>BERG</t>
        </is>
      </c>
      <c r="G161" t="n">
        <v>4.4</v>
      </c>
      <c r="H161" t="n">
        <v>1</v>
      </c>
      <c r="I161" t="n">
        <v>0</v>
      </c>
      <c r="J161" t="n">
        <v>0</v>
      </c>
      <c r="K161" t="n">
        <v>1</v>
      </c>
      <c r="L161" t="n">
        <v>0</v>
      </c>
      <c r="M161" t="n">
        <v>0</v>
      </c>
      <c r="N161" t="n">
        <v>0</v>
      </c>
      <c r="O161" t="n">
        <v>1</v>
      </c>
      <c r="P161" t="n">
        <v>1</v>
      </c>
      <c r="Q161" t="n">
        <v>1</v>
      </c>
      <c r="R161" s="2" t="inlineStr">
        <is>
          <t>Knärot</t>
        </is>
      </c>
      <c r="S161">
        <f>HYPERLINK("https://klasma.github.io/Logging_2326/artfynd/A 9281-2026 artfynd.xlsx", "A 9281-2026")</f>
        <v/>
      </c>
      <c r="T161">
        <f>HYPERLINK("https://klasma.github.io/Logging_2326/kartor/A 9281-2026 karta.png", "A 9281-2026")</f>
        <v/>
      </c>
      <c r="U161">
        <f>HYPERLINK("https://klasma.github.io/Logging_2326/knärot/A 9281-2026 karta knärot.png", "A 9281-2026")</f>
        <v/>
      </c>
      <c r="V161">
        <f>HYPERLINK("https://klasma.github.io/Logging_2326/klagomål/A 9281-2026 FSC-klagomål.docx", "A 9281-2026")</f>
        <v/>
      </c>
      <c r="W161">
        <f>HYPERLINK("https://klasma.github.io/Logging_2326/klagomålsmail/A 9281-2026 FSC-klagomål mail.docx", "A 9281-2026")</f>
        <v/>
      </c>
      <c r="X161">
        <f>HYPERLINK("https://klasma.github.io/Logging_2326/tillsyn/A 9281-2026 tillsynsbegäran.docx", "A 9281-2026")</f>
        <v/>
      </c>
      <c r="Y161">
        <f>HYPERLINK("https://klasma.github.io/Logging_2326/tillsynsmail/A 9281-2026 tillsynsbegäran mail.docx", "A 9281-2026")</f>
        <v/>
      </c>
    </row>
    <row r="162" ht="15" customHeight="1">
      <c r="A162" t="inlineStr">
        <is>
          <t>A 16560-2026</t>
        </is>
      </c>
      <c r="B162" s="1" t="n">
        <v>46112.55299768518</v>
      </c>
      <c r="C162" s="1" t="n">
        <v>46134</v>
      </c>
      <c r="D162" t="inlineStr">
        <is>
          <t>JÄMTLANDS LÄN</t>
        </is>
      </c>
      <c r="E162" t="inlineStr">
        <is>
          <t>BERG</t>
        </is>
      </c>
      <c r="F162" t="inlineStr">
        <is>
          <t>SCA</t>
        </is>
      </c>
      <c r="G162" t="n">
        <v>11.2</v>
      </c>
      <c r="H162" t="n">
        <v>1</v>
      </c>
      <c r="I162" t="n">
        <v>0</v>
      </c>
      <c r="J162" t="n">
        <v>1</v>
      </c>
      <c r="K162" t="n">
        <v>0</v>
      </c>
      <c r="L162" t="n">
        <v>0</v>
      </c>
      <c r="M162" t="n">
        <v>0</v>
      </c>
      <c r="N162" t="n">
        <v>0</v>
      </c>
      <c r="O162" t="n">
        <v>1</v>
      </c>
      <c r="P162" t="n">
        <v>0</v>
      </c>
      <c r="Q162" t="n">
        <v>1</v>
      </c>
      <c r="R162" s="2" t="inlineStr">
        <is>
          <t>Järpe</t>
        </is>
      </c>
      <c r="S162">
        <f>HYPERLINK("https://klasma.github.io/Logging_2326/artfynd/A 16560-2026 artfynd.xlsx", "A 16560-2026")</f>
        <v/>
      </c>
      <c r="T162">
        <f>HYPERLINK("https://klasma.github.io/Logging_2326/kartor/A 16560-2026 karta.png", "A 16560-2026")</f>
        <v/>
      </c>
      <c r="V162">
        <f>HYPERLINK("https://klasma.github.io/Logging_2326/klagomål/A 16560-2026 FSC-klagomål.docx", "A 16560-2026")</f>
        <v/>
      </c>
      <c r="W162">
        <f>HYPERLINK("https://klasma.github.io/Logging_2326/klagomålsmail/A 16560-2026 FSC-klagomål mail.docx", "A 16560-2026")</f>
        <v/>
      </c>
      <c r="X162">
        <f>HYPERLINK("https://klasma.github.io/Logging_2326/tillsyn/A 16560-2026 tillsynsbegäran.docx", "A 16560-2026")</f>
        <v/>
      </c>
      <c r="Y162">
        <f>HYPERLINK("https://klasma.github.io/Logging_2326/tillsynsmail/A 16560-2026 tillsynsbegäran mail.docx", "A 16560-2026")</f>
        <v/>
      </c>
      <c r="Z162">
        <f>HYPERLINK("https://klasma.github.io/Logging_2326/fåglar/A 16560-2026 prioriterade fågelarter.docx", "A 16560-2026")</f>
        <v/>
      </c>
    </row>
    <row r="163" ht="15" customHeight="1">
      <c r="A163" t="inlineStr">
        <is>
          <t>A 39001-2025</t>
        </is>
      </c>
      <c r="B163" s="1" t="n">
        <v>45888.344375</v>
      </c>
      <c r="C163" s="1" t="n">
        <v>46134</v>
      </c>
      <c r="D163" t="inlineStr">
        <is>
          <t>JÄMTLANDS LÄN</t>
        </is>
      </c>
      <c r="E163" t="inlineStr">
        <is>
          <t>BERG</t>
        </is>
      </c>
      <c r="F163" t="inlineStr">
        <is>
          <t>SCA</t>
        </is>
      </c>
      <c r="G163" t="n">
        <v>4.4</v>
      </c>
      <c r="H163" t="n">
        <v>0</v>
      </c>
      <c r="I163" t="n">
        <v>0</v>
      </c>
      <c r="J163" t="n">
        <v>1</v>
      </c>
      <c r="K163" t="n">
        <v>0</v>
      </c>
      <c r="L163" t="n">
        <v>0</v>
      </c>
      <c r="M163" t="n">
        <v>0</v>
      </c>
      <c r="N163" t="n">
        <v>0</v>
      </c>
      <c r="O163" t="n">
        <v>1</v>
      </c>
      <c r="P163" t="n">
        <v>0</v>
      </c>
      <c r="Q163" t="n">
        <v>1</v>
      </c>
      <c r="R163" s="2" t="inlineStr">
        <is>
          <t>Vedflamlav</t>
        </is>
      </c>
      <c r="S163">
        <f>HYPERLINK("https://klasma.github.io/Logging_2326/artfynd/A 39001-2025 artfynd.xlsx", "A 39001-2025")</f>
        <v/>
      </c>
      <c r="T163">
        <f>HYPERLINK("https://klasma.github.io/Logging_2326/kartor/A 39001-2025 karta.png", "A 39001-2025")</f>
        <v/>
      </c>
      <c r="V163">
        <f>HYPERLINK("https://klasma.github.io/Logging_2326/klagomål/A 39001-2025 FSC-klagomål.docx", "A 39001-2025")</f>
        <v/>
      </c>
      <c r="W163">
        <f>HYPERLINK("https://klasma.github.io/Logging_2326/klagomålsmail/A 39001-2025 FSC-klagomål mail.docx", "A 39001-2025")</f>
        <v/>
      </c>
      <c r="X163">
        <f>HYPERLINK("https://klasma.github.io/Logging_2326/tillsyn/A 39001-2025 tillsynsbegäran.docx", "A 39001-2025")</f>
        <v/>
      </c>
      <c r="Y163">
        <f>HYPERLINK("https://klasma.github.io/Logging_2326/tillsynsmail/A 39001-2025 tillsynsbegäran mail.docx", "A 39001-2025")</f>
        <v/>
      </c>
    </row>
    <row r="164" ht="15" customHeight="1">
      <c r="A164" t="inlineStr">
        <is>
          <t>A 20808-2024</t>
        </is>
      </c>
      <c r="B164" s="1" t="n">
        <v>45439</v>
      </c>
      <c r="C164" s="1" t="n">
        <v>46134</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20808-2024 artfynd.xlsx", "A 20808-2024")</f>
        <v/>
      </c>
      <c r="T164">
        <f>HYPERLINK("https://klasma.github.io/Logging_2326/kartor/A 20808-2024 karta.png", "A 20808-2024")</f>
        <v/>
      </c>
      <c r="V164">
        <f>HYPERLINK("https://klasma.github.io/Logging_2326/klagomål/A 20808-2024 FSC-klagomål.docx", "A 20808-2024")</f>
        <v/>
      </c>
      <c r="W164">
        <f>HYPERLINK("https://klasma.github.io/Logging_2326/klagomålsmail/A 20808-2024 FSC-klagomål mail.docx", "A 20808-2024")</f>
        <v/>
      </c>
      <c r="X164">
        <f>HYPERLINK("https://klasma.github.io/Logging_2326/tillsyn/A 20808-2024 tillsynsbegäran.docx", "A 20808-2024")</f>
        <v/>
      </c>
      <c r="Y164">
        <f>HYPERLINK("https://klasma.github.io/Logging_2326/tillsynsmail/A 20808-2024 tillsynsbegäran mail.docx", "A 20808-2024")</f>
        <v/>
      </c>
      <c r="Z164">
        <f>HYPERLINK("https://klasma.github.io/Logging_2326/fåglar/A 20808-2024 prioriterade fågelarter.docx", "A 20808-2024")</f>
        <v/>
      </c>
    </row>
    <row r="165" ht="15" customHeight="1">
      <c r="A165" t="inlineStr">
        <is>
          <t>A 49049-2024</t>
        </is>
      </c>
      <c r="B165" s="1" t="n">
        <v>45594.5742824074</v>
      </c>
      <c r="C165" s="1" t="n">
        <v>46134</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49049-2024 artfynd.xlsx", "A 49049-2024")</f>
        <v/>
      </c>
      <c r="T165">
        <f>HYPERLINK("https://klasma.github.io/Logging_2326/kartor/A 49049-2024 karta.png", "A 49049-2024")</f>
        <v/>
      </c>
      <c r="V165">
        <f>HYPERLINK("https://klasma.github.io/Logging_2326/klagomål/A 49049-2024 FSC-klagomål.docx", "A 49049-2024")</f>
        <v/>
      </c>
      <c r="W165">
        <f>HYPERLINK("https://klasma.github.io/Logging_2326/klagomålsmail/A 49049-2024 FSC-klagomål mail.docx", "A 49049-2024")</f>
        <v/>
      </c>
      <c r="X165">
        <f>HYPERLINK("https://klasma.github.io/Logging_2326/tillsyn/A 49049-2024 tillsynsbegäran.docx", "A 49049-2024")</f>
        <v/>
      </c>
      <c r="Y165">
        <f>HYPERLINK("https://klasma.github.io/Logging_2326/tillsynsmail/A 49049-2024 tillsynsbegäran mail.docx", "A 49049-2024")</f>
        <v/>
      </c>
    </row>
    <row r="166" ht="15" customHeight="1">
      <c r="A166" t="inlineStr">
        <is>
          <t>A 23177-2024</t>
        </is>
      </c>
      <c r="B166" s="1" t="n">
        <v>45450</v>
      </c>
      <c r="C166" s="1" t="n">
        <v>46134</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50556-2024</t>
        </is>
      </c>
      <c r="B167" s="1" t="n">
        <v>45601.59604166666</v>
      </c>
      <c r="C167" s="1" t="n">
        <v>46134</v>
      </c>
      <c r="D167" t="inlineStr">
        <is>
          <t>JÄMTLANDS LÄN</t>
        </is>
      </c>
      <c r="E167" t="inlineStr">
        <is>
          <t>BERG</t>
        </is>
      </c>
      <c r="G167" t="n">
        <v>5.7</v>
      </c>
      <c r="H167" t="n">
        <v>0</v>
      </c>
      <c r="I167" t="n">
        <v>0</v>
      </c>
      <c r="J167" t="n">
        <v>1</v>
      </c>
      <c r="K167" t="n">
        <v>0</v>
      </c>
      <c r="L167" t="n">
        <v>0</v>
      </c>
      <c r="M167" t="n">
        <v>0</v>
      </c>
      <c r="N167" t="n">
        <v>0</v>
      </c>
      <c r="O167" t="n">
        <v>1</v>
      </c>
      <c r="P167" t="n">
        <v>0</v>
      </c>
      <c r="Q167" t="n">
        <v>1</v>
      </c>
      <c r="R167" s="2" t="inlineStr">
        <is>
          <t>Kalkbräken</t>
        </is>
      </c>
      <c r="S167">
        <f>HYPERLINK("https://klasma.github.io/Logging_2326/artfynd/A 50556-2024 artfynd.xlsx", "A 50556-2024")</f>
        <v/>
      </c>
      <c r="T167">
        <f>HYPERLINK("https://klasma.github.io/Logging_2326/kartor/A 50556-2024 karta.png", "A 50556-2024")</f>
        <v/>
      </c>
      <c r="V167">
        <f>HYPERLINK("https://klasma.github.io/Logging_2326/klagomål/A 50556-2024 FSC-klagomål.docx", "A 50556-2024")</f>
        <v/>
      </c>
      <c r="W167">
        <f>HYPERLINK("https://klasma.github.io/Logging_2326/klagomålsmail/A 50556-2024 FSC-klagomål mail.docx", "A 50556-2024")</f>
        <v/>
      </c>
      <c r="X167">
        <f>HYPERLINK("https://klasma.github.io/Logging_2326/tillsyn/A 50556-2024 tillsynsbegäran.docx", "A 50556-2024")</f>
        <v/>
      </c>
      <c r="Y167">
        <f>HYPERLINK("https://klasma.github.io/Logging_2326/tillsynsmail/A 50556-2024 tillsynsbegäran mail.docx", "A 50556-2024")</f>
        <v/>
      </c>
    </row>
    <row r="168" ht="15" customHeight="1">
      <c r="A168" t="inlineStr">
        <is>
          <t>A 21370-2025</t>
        </is>
      </c>
      <c r="B168" s="1" t="n">
        <v>45782</v>
      </c>
      <c r="C168" s="1" t="n">
        <v>46134</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21632-2025</t>
        </is>
      </c>
      <c r="B169" s="1" t="n">
        <v>45783</v>
      </c>
      <c r="C169" s="1" t="n">
        <v>46134</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37651-2025</t>
        </is>
      </c>
      <c r="B170" s="1" t="n">
        <v>45880.49006944444</v>
      </c>
      <c r="C170" s="1" t="n">
        <v>46134</v>
      </c>
      <c r="D170" t="inlineStr">
        <is>
          <t>JÄMTLANDS LÄN</t>
        </is>
      </c>
      <c r="E170" t="inlineStr">
        <is>
          <t>BERG</t>
        </is>
      </c>
      <c r="F170" t="inlineStr">
        <is>
          <t>SCA</t>
        </is>
      </c>
      <c r="G170" t="n">
        <v>8.5</v>
      </c>
      <c r="H170" t="n">
        <v>0</v>
      </c>
      <c r="I170" t="n">
        <v>0</v>
      </c>
      <c r="J170" t="n">
        <v>1</v>
      </c>
      <c r="K170" t="n">
        <v>0</v>
      </c>
      <c r="L170" t="n">
        <v>0</v>
      </c>
      <c r="M170" t="n">
        <v>0</v>
      </c>
      <c r="N170" t="n">
        <v>0</v>
      </c>
      <c r="O170" t="n">
        <v>1</v>
      </c>
      <c r="P170" t="n">
        <v>0</v>
      </c>
      <c r="Q170" t="n">
        <v>1</v>
      </c>
      <c r="R170" s="2" t="inlineStr">
        <is>
          <t>Vedflamlav</t>
        </is>
      </c>
      <c r="S170">
        <f>HYPERLINK("https://klasma.github.io/Logging_2326/artfynd/A 37651-2025 artfynd.xlsx", "A 37651-2025")</f>
        <v/>
      </c>
      <c r="T170">
        <f>HYPERLINK("https://klasma.github.io/Logging_2326/kartor/A 37651-2025 karta.png", "A 37651-2025")</f>
        <v/>
      </c>
      <c r="V170">
        <f>HYPERLINK("https://klasma.github.io/Logging_2326/klagomål/A 37651-2025 FSC-klagomål.docx", "A 37651-2025")</f>
        <v/>
      </c>
      <c r="W170">
        <f>HYPERLINK("https://klasma.github.io/Logging_2326/klagomålsmail/A 37651-2025 FSC-klagomål mail.docx", "A 37651-2025")</f>
        <v/>
      </c>
      <c r="X170">
        <f>HYPERLINK("https://klasma.github.io/Logging_2326/tillsyn/A 37651-2025 tillsynsbegäran.docx", "A 37651-2025")</f>
        <v/>
      </c>
      <c r="Y170">
        <f>HYPERLINK("https://klasma.github.io/Logging_2326/tillsynsmail/A 37651-2025 tillsynsbegäran mail.docx", "A 37651-2025")</f>
        <v/>
      </c>
    </row>
    <row r="171" ht="15" customHeight="1">
      <c r="A171" t="inlineStr">
        <is>
          <t>A 25853-2025</t>
        </is>
      </c>
      <c r="B171" s="1" t="n">
        <v>45804</v>
      </c>
      <c r="C171" s="1" t="n">
        <v>46134</v>
      </c>
      <c r="D171" t="inlineStr">
        <is>
          <t>JÄMTLANDS LÄN</t>
        </is>
      </c>
      <c r="E171" t="inlineStr">
        <is>
          <t>BERG</t>
        </is>
      </c>
      <c r="F171" t="inlineStr">
        <is>
          <t>SCA</t>
        </is>
      </c>
      <c r="G171" t="n">
        <v>24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25853-2025 artfynd.xlsx", "A 25853-2025")</f>
        <v/>
      </c>
      <c r="T171">
        <f>HYPERLINK("https://klasma.github.io/Logging_2326/kartor/A 25853-2025 karta.png", "A 25853-2025")</f>
        <v/>
      </c>
      <c r="V171">
        <f>HYPERLINK("https://klasma.github.io/Logging_2326/klagomål/A 25853-2025 FSC-klagomål.docx", "A 25853-2025")</f>
        <v/>
      </c>
      <c r="W171">
        <f>HYPERLINK("https://klasma.github.io/Logging_2326/klagomålsmail/A 25853-2025 FSC-klagomål mail.docx", "A 25853-2025")</f>
        <v/>
      </c>
      <c r="X171">
        <f>HYPERLINK("https://klasma.github.io/Logging_2326/tillsyn/A 25853-2025 tillsynsbegäran.docx", "A 25853-2025")</f>
        <v/>
      </c>
      <c r="Y171">
        <f>HYPERLINK("https://klasma.github.io/Logging_2326/tillsynsmail/A 25853-2025 tillsynsbegäran mail.docx", "A 25853-2025")</f>
        <v/>
      </c>
      <c r="Z171">
        <f>HYPERLINK("https://klasma.github.io/Logging_2326/fåglar/A 25853-2025 prioriterade fågelarter.docx", "A 25853-2025")</f>
        <v/>
      </c>
    </row>
    <row r="172" ht="15" customHeight="1">
      <c r="A172" t="inlineStr">
        <is>
          <t>A 48069-2023</t>
        </is>
      </c>
      <c r="B172" s="1" t="n">
        <v>45204</v>
      </c>
      <c r="C172" s="1" t="n">
        <v>46134</v>
      </c>
      <c r="D172" t="inlineStr">
        <is>
          <t>JÄMTLANDS LÄN</t>
        </is>
      </c>
      <c r="E172" t="inlineStr">
        <is>
          <t>BERG</t>
        </is>
      </c>
      <c r="F172" t="inlineStr">
        <is>
          <t>SCA</t>
        </is>
      </c>
      <c r="G172" t="n">
        <v>11.2</v>
      </c>
      <c r="H172" t="n">
        <v>1</v>
      </c>
      <c r="I172" t="n">
        <v>0</v>
      </c>
      <c r="J172" t="n">
        <v>1</v>
      </c>
      <c r="K172" t="n">
        <v>0</v>
      </c>
      <c r="L172" t="n">
        <v>0</v>
      </c>
      <c r="M172" t="n">
        <v>0</v>
      </c>
      <c r="N172" t="n">
        <v>0</v>
      </c>
      <c r="O172" t="n">
        <v>1</v>
      </c>
      <c r="P172" t="n">
        <v>0</v>
      </c>
      <c r="Q172" t="n">
        <v>1</v>
      </c>
      <c r="R172" s="2" t="inlineStr">
        <is>
          <t>Kungsörn</t>
        </is>
      </c>
      <c r="S172">
        <f>HYPERLINK("https://klasma.github.io/Logging_2326/artfynd/A 48069-2023 artfynd.xlsx", "A 48069-2023")</f>
        <v/>
      </c>
      <c r="T172">
        <f>HYPERLINK("https://klasma.github.io/Logging_2326/kartor/A 48069-2023 karta.png", "A 48069-2023")</f>
        <v/>
      </c>
      <c r="V172">
        <f>HYPERLINK("https://klasma.github.io/Logging_2326/klagomål/A 48069-2023 FSC-klagomål.docx", "A 48069-2023")</f>
        <v/>
      </c>
      <c r="W172">
        <f>HYPERLINK("https://klasma.github.io/Logging_2326/klagomålsmail/A 48069-2023 FSC-klagomål mail.docx", "A 48069-2023")</f>
        <v/>
      </c>
      <c r="X172">
        <f>HYPERLINK("https://klasma.github.io/Logging_2326/tillsyn/A 48069-2023 tillsynsbegäran.docx", "A 48069-2023")</f>
        <v/>
      </c>
      <c r="Y172">
        <f>HYPERLINK("https://klasma.github.io/Logging_2326/tillsynsmail/A 48069-2023 tillsynsbegäran mail.docx", "A 48069-2023")</f>
        <v/>
      </c>
      <c r="Z172">
        <f>HYPERLINK("https://klasma.github.io/Logging_2326/fåglar/A 48069-2023 prioriterade fågelarter.docx", "A 48069-2023")</f>
        <v/>
      </c>
    </row>
    <row r="173" ht="15" customHeight="1">
      <c r="A173" t="inlineStr">
        <is>
          <t>A 24309-2023</t>
        </is>
      </c>
      <c r="B173" s="1" t="n">
        <v>45079</v>
      </c>
      <c r="C173" s="1" t="n">
        <v>46134</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49276-2024</t>
        </is>
      </c>
      <c r="B174" s="1" t="n">
        <v>45595.50819444445</v>
      </c>
      <c r="C174" s="1" t="n">
        <v>46134</v>
      </c>
      <c r="D174" t="inlineStr">
        <is>
          <t>JÄMTLANDS LÄN</t>
        </is>
      </c>
      <c r="E174" t="inlineStr">
        <is>
          <t>BERG</t>
        </is>
      </c>
      <c r="G174" t="n">
        <v>0.8</v>
      </c>
      <c r="H174" t="n">
        <v>1</v>
      </c>
      <c r="I174" t="n">
        <v>1</v>
      </c>
      <c r="J174" t="n">
        <v>0</v>
      </c>
      <c r="K174" t="n">
        <v>0</v>
      </c>
      <c r="L174" t="n">
        <v>0</v>
      </c>
      <c r="M174" t="n">
        <v>0</v>
      </c>
      <c r="N174" t="n">
        <v>0</v>
      </c>
      <c r="O174" t="n">
        <v>0</v>
      </c>
      <c r="P174" t="n">
        <v>0</v>
      </c>
      <c r="Q174" t="n">
        <v>1</v>
      </c>
      <c r="R174" s="2" t="inlineStr">
        <is>
          <t>Korallrot</t>
        </is>
      </c>
      <c r="S174">
        <f>HYPERLINK("https://klasma.github.io/Logging_2326/artfynd/A 49276-2024 artfynd.xlsx", "A 49276-2024")</f>
        <v/>
      </c>
      <c r="T174">
        <f>HYPERLINK("https://klasma.github.io/Logging_2326/kartor/A 49276-2024 karta.png", "A 49276-2024")</f>
        <v/>
      </c>
      <c r="V174">
        <f>HYPERLINK("https://klasma.github.io/Logging_2326/klagomål/A 49276-2024 FSC-klagomål.docx", "A 49276-2024")</f>
        <v/>
      </c>
      <c r="W174">
        <f>HYPERLINK("https://klasma.github.io/Logging_2326/klagomålsmail/A 49276-2024 FSC-klagomål mail.docx", "A 49276-2024")</f>
        <v/>
      </c>
      <c r="X174">
        <f>HYPERLINK("https://klasma.github.io/Logging_2326/tillsyn/A 49276-2024 tillsynsbegäran.docx", "A 49276-2024")</f>
        <v/>
      </c>
      <c r="Y174">
        <f>HYPERLINK("https://klasma.github.io/Logging_2326/tillsynsmail/A 49276-2024 tillsynsbegäran mail.docx", "A 49276-2024")</f>
        <v/>
      </c>
    </row>
    <row r="175" ht="15" customHeight="1">
      <c r="A175" t="inlineStr">
        <is>
          <t>A 12733-2024</t>
        </is>
      </c>
      <c r="B175" s="1" t="n">
        <v>45384</v>
      </c>
      <c r="C175" s="1" t="n">
        <v>46134</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40382-2024</t>
        </is>
      </c>
      <c r="B176" s="1" t="n">
        <v>45555.42225694445</v>
      </c>
      <c r="C176" s="1" t="n">
        <v>46134</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40440-2024</t>
        </is>
      </c>
      <c r="B177" s="1" t="n">
        <v>45555.48267361111</v>
      </c>
      <c r="C177" s="1" t="n">
        <v>46134</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9657-2023</t>
        </is>
      </c>
      <c r="B178" s="1" t="n">
        <v>44978</v>
      </c>
      <c r="C178" s="1" t="n">
        <v>46134</v>
      </c>
      <c r="D178" t="inlineStr">
        <is>
          <t>JÄMTLANDS LÄN</t>
        </is>
      </c>
      <c r="E178" t="inlineStr">
        <is>
          <t>BERG</t>
        </is>
      </c>
      <c r="G178" t="n">
        <v>2.7</v>
      </c>
      <c r="H178" t="n">
        <v>0</v>
      </c>
      <c r="I178" t="n">
        <v>0</v>
      </c>
      <c r="J178" t="n">
        <v>1</v>
      </c>
      <c r="K178" t="n">
        <v>0</v>
      </c>
      <c r="L178" t="n">
        <v>0</v>
      </c>
      <c r="M178" t="n">
        <v>0</v>
      </c>
      <c r="N178" t="n">
        <v>0</v>
      </c>
      <c r="O178" t="n">
        <v>1</v>
      </c>
      <c r="P178" t="n">
        <v>0</v>
      </c>
      <c r="Q178" t="n">
        <v>1</v>
      </c>
      <c r="R178" s="2" t="inlineStr">
        <is>
          <t>Garnlav</t>
        </is>
      </c>
      <c r="S178">
        <f>HYPERLINK("https://klasma.github.io/Logging_2326/artfynd/A 9657-2023 artfynd.xlsx", "A 9657-2023")</f>
        <v/>
      </c>
      <c r="T178">
        <f>HYPERLINK("https://klasma.github.io/Logging_2326/kartor/A 9657-2023 karta.png", "A 9657-2023")</f>
        <v/>
      </c>
      <c r="V178">
        <f>HYPERLINK("https://klasma.github.io/Logging_2326/klagomål/A 9657-2023 FSC-klagomål.docx", "A 9657-2023")</f>
        <v/>
      </c>
      <c r="W178">
        <f>HYPERLINK("https://klasma.github.io/Logging_2326/klagomålsmail/A 9657-2023 FSC-klagomål mail.docx", "A 9657-2023")</f>
        <v/>
      </c>
      <c r="X178">
        <f>HYPERLINK("https://klasma.github.io/Logging_2326/tillsyn/A 9657-2023 tillsynsbegäran.docx", "A 9657-2023")</f>
        <v/>
      </c>
      <c r="Y178">
        <f>HYPERLINK("https://klasma.github.io/Logging_2326/tillsynsmail/A 9657-2023 tillsynsbegäran mail.docx", "A 9657-2023")</f>
        <v/>
      </c>
    </row>
    <row r="179" ht="15" customHeight="1">
      <c r="A179" t="inlineStr">
        <is>
          <t>A 21681-2025</t>
        </is>
      </c>
      <c r="B179" s="1" t="n">
        <v>45783.49015046296</v>
      </c>
      <c r="C179" s="1" t="n">
        <v>46134</v>
      </c>
      <c r="D179" t="inlineStr">
        <is>
          <t>JÄMTLANDS LÄN</t>
        </is>
      </c>
      <c r="E179" t="inlineStr">
        <is>
          <t>BERG</t>
        </is>
      </c>
      <c r="F179" t="inlineStr">
        <is>
          <t>SCA</t>
        </is>
      </c>
      <c r="G179" t="n">
        <v>10.2</v>
      </c>
      <c r="H179" t="n">
        <v>0</v>
      </c>
      <c r="I179" t="n">
        <v>0</v>
      </c>
      <c r="J179" t="n">
        <v>0</v>
      </c>
      <c r="K179" t="n">
        <v>1</v>
      </c>
      <c r="L179" t="n">
        <v>0</v>
      </c>
      <c r="M179" t="n">
        <v>0</v>
      </c>
      <c r="N179" t="n">
        <v>0</v>
      </c>
      <c r="O179" t="n">
        <v>1</v>
      </c>
      <c r="P179" t="n">
        <v>1</v>
      </c>
      <c r="Q179" t="n">
        <v>1</v>
      </c>
      <c r="R179" s="2" t="inlineStr">
        <is>
          <t>Gräddporing</t>
        </is>
      </c>
      <c r="S179">
        <f>HYPERLINK("https://klasma.github.io/Logging_2326/artfynd/A 21681-2025 artfynd.xlsx", "A 21681-2025")</f>
        <v/>
      </c>
      <c r="T179">
        <f>HYPERLINK("https://klasma.github.io/Logging_2326/kartor/A 21681-2025 karta.png", "A 21681-2025")</f>
        <v/>
      </c>
      <c r="V179">
        <f>HYPERLINK("https://klasma.github.io/Logging_2326/klagomål/A 21681-2025 FSC-klagomål.docx", "A 21681-2025")</f>
        <v/>
      </c>
      <c r="W179">
        <f>HYPERLINK("https://klasma.github.io/Logging_2326/klagomålsmail/A 21681-2025 FSC-klagomål mail.docx", "A 21681-2025")</f>
        <v/>
      </c>
      <c r="X179">
        <f>HYPERLINK("https://klasma.github.io/Logging_2326/tillsyn/A 21681-2025 tillsynsbegäran.docx", "A 21681-2025")</f>
        <v/>
      </c>
      <c r="Y179">
        <f>HYPERLINK("https://klasma.github.io/Logging_2326/tillsynsmail/A 21681-2025 tillsynsbegäran mail.docx", "A 21681-2025")</f>
        <v/>
      </c>
    </row>
    <row r="180" ht="15" customHeight="1">
      <c r="A180" t="inlineStr">
        <is>
          <t>A 53708-2024</t>
        </is>
      </c>
      <c r="B180" s="1" t="n">
        <v>45615.40983796296</v>
      </c>
      <c r="C180" s="1" t="n">
        <v>46134</v>
      </c>
      <c r="D180" t="inlineStr">
        <is>
          <t>JÄMTLANDS LÄN</t>
        </is>
      </c>
      <c r="E180" t="inlineStr">
        <is>
          <t>BERG</t>
        </is>
      </c>
      <c r="G180" t="n">
        <v>8.199999999999999</v>
      </c>
      <c r="H180" t="n">
        <v>0</v>
      </c>
      <c r="I180" t="n">
        <v>0</v>
      </c>
      <c r="J180" t="n">
        <v>1</v>
      </c>
      <c r="K180" t="n">
        <v>0</v>
      </c>
      <c r="L180" t="n">
        <v>0</v>
      </c>
      <c r="M180" t="n">
        <v>0</v>
      </c>
      <c r="N180" t="n">
        <v>0</v>
      </c>
      <c r="O180" t="n">
        <v>1</v>
      </c>
      <c r="P180" t="n">
        <v>0</v>
      </c>
      <c r="Q180" t="n">
        <v>1</v>
      </c>
      <c r="R180" s="2" t="inlineStr">
        <is>
          <t>Lunglav</t>
        </is>
      </c>
      <c r="S180">
        <f>HYPERLINK("https://klasma.github.io/Logging_2326/artfynd/A 53708-2024 artfynd.xlsx", "A 53708-2024")</f>
        <v/>
      </c>
      <c r="T180">
        <f>HYPERLINK("https://klasma.github.io/Logging_2326/kartor/A 53708-2024 karta.png", "A 53708-2024")</f>
        <v/>
      </c>
      <c r="V180">
        <f>HYPERLINK("https://klasma.github.io/Logging_2326/klagomål/A 53708-2024 FSC-klagomål.docx", "A 53708-2024")</f>
        <v/>
      </c>
      <c r="W180">
        <f>HYPERLINK("https://klasma.github.io/Logging_2326/klagomålsmail/A 53708-2024 FSC-klagomål mail.docx", "A 53708-2024")</f>
        <v/>
      </c>
      <c r="X180">
        <f>HYPERLINK("https://klasma.github.io/Logging_2326/tillsyn/A 53708-2024 tillsynsbegäran.docx", "A 53708-2024")</f>
        <v/>
      </c>
      <c r="Y180">
        <f>HYPERLINK("https://klasma.github.io/Logging_2326/tillsynsmail/A 53708-2024 tillsynsbegäran mail.docx", "A 53708-2024")</f>
        <v/>
      </c>
    </row>
    <row r="181" ht="15" customHeight="1">
      <c r="A181" t="inlineStr">
        <is>
          <t>A 33126-2024</t>
        </is>
      </c>
      <c r="B181" s="1" t="n">
        <v>45517.9575462963</v>
      </c>
      <c r="C181" s="1" t="n">
        <v>46134</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49196-2022</t>
        </is>
      </c>
      <c r="B182" s="1" t="n">
        <v>44860.95508101852</v>
      </c>
      <c r="C182" s="1" t="n">
        <v>46134</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46134</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46134</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46134</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46134</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46134</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46134</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46134</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46134</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46134</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46134</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46134</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46134</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68450-2021</t>
        </is>
      </c>
      <c r="B195" s="1" t="n">
        <v>44529</v>
      </c>
      <c r="C195" s="1" t="n">
        <v>46134</v>
      </c>
      <c r="D195" t="inlineStr">
        <is>
          <t>JÄMTLANDS LÄN</t>
        </is>
      </c>
      <c r="E195" t="inlineStr">
        <is>
          <t>BERG</t>
        </is>
      </c>
      <c r="G195" t="n">
        <v>7.3</v>
      </c>
      <c r="H195" t="n">
        <v>0</v>
      </c>
      <c r="I195" t="n">
        <v>0</v>
      </c>
      <c r="J195" t="n">
        <v>0</v>
      </c>
      <c r="K195" t="n">
        <v>0</v>
      </c>
      <c r="L195" t="n">
        <v>0</v>
      </c>
      <c r="M195" t="n">
        <v>0</v>
      </c>
      <c r="N195" t="n">
        <v>0</v>
      </c>
      <c r="O195" t="n">
        <v>0</v>
      </c>
      <c r="P195" t="n">
        <v>0</v>
      </c>
      <c r="Q195" t="n">
        <v>0</v>
      </c>
      <c r="R195" s="2" t="inlineStr"/>
    </row>
    <row r="196" ht="15" customHeight="1">
      <c r="A196" t="inlineStr">
        <is>
          <t>A 44443-2022</t>
        </is>
      </c>
      <c r="B196" s="1" t="n">
        <v>44839.95467592592</v>
      </c>
      <c r="C196" s="1" t="n">
        <v>46134</v>
      </c>
      <c r="D196" t="inlineStr">
        <is>
          <t>JÄMTLANDS LÄN</t>
        </is>
      </c>
      <c r="E196" t="inlineStr">
        <is>
          <t>BERG</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25265-2022</t>
        </is>
      </c>
      <c r="B197" s="1" t="n">
        <v>44729.94224537037</v>
      </c>
      <c r="C197" s="1" t="n">
        <v>46134</v>
      </c>
      <c r="D197" t="inlineStr">
        <is>
          <t>JÄMTLANDS LÄN</t>
        </is>
      </c>
      <c r="E197" t="inlineStr">
        <is>
          <t>BERG</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36720-2021</t>
        </is>
      </c>
      <c r="B198" s="1" t="n">
        <v>44392</v>
      </c>
      <c r="C198" s="1" t="n">
        <v>46134</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46134</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24136-2021</t>
        </is>
      </c>
      <c r="B200" s="1" t="n">
        <v>44336.540625</v>
      </c>
      <c r="C200" s="1" t="n">
        <v>46134</v>
      </c>
      <c r="D200" t="inlineStr">
        <is>
          <t>JÄMTLANDS LÄN</t>
        </is>
      </c>
      <c r="E200" t="inlineStr">
        <is>
          <t>BERG</t>
        </is>
      </c>
      <c r="G200" t="n">
        <v>12.6</v>
      </c>
      <c r="H200" t="n">
        <v>0</v>
      </c>
      <c r="I200" t="n">
        <v>0</v>
      </c>
      <c r="J200" t="n">
        <v>0</v>
      </c>
      <c r="K200" t="n">
        <v>0</v>
      </c>
      <c r="L200" t="n">
        <v>0</v>
      </c>
      <c r="M200" t="n">
        <v>0</v>
      </c>
      <c r="N200" t="n">
        <v>0</v>
      </c>
      <c r="O200" t="n">
        <v>0</v>
      </c>
      <c r="P200" t="n">
        <v>0</v>
      </c>
      <c r="Q200" t="n">
        <v>0</v>
      </c>
      <c r="R200" s="2" t="inlineStr"/>
    </row>
    <row r="201" ht="15" customHeight="1">
      <c r="A201" t="inlineStr">
        <is>
          <t>A 27144-2021</t>
        </is>
      </c>
      <c r="B201" s="1" t="n">
        <v>44350</v>
      </c>
      <c r="C201" s="1" t="n">
        <v>46134</v>
      </c>
      <c r="D201" t="inlineStr">
        <is>
          <t>JÄMTLANDS LÄN</t>
        </is>
      </c>
      <c r="E201" t="inlineStr">
        <is>
          <t>BERG</t>
        </is>
      </c>
      <c r="F201" t="inlineStr">
        <is>
          <t>Sveaskog</t>
        </is>
      </c>
      <c r="G201" t="n">
        <v>10.2</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46134</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52927-2022</t>
        </is>
      </c>
      <c r="B203" s="1" t="n">
        <v>44872</v>
      </c>
      <c r="C203" s="1" t="n">
        <v>46134</v>
      </c>
      <c r="D203" t="inlineStr">
        <is>
          <t>JÄMTLANDS LÄN</t>
        </is>
      </c>
      <c r="E203" t="inlineStr">
        <is>
          <t>BERG</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41819-2021</t>
        </is>
      </c>
      <c r="B204" s="1" t="n">
        <v>44425.85641203704</v>
      </c>
      <c r="C204" s="1" t="n">
        <v>46134</v>
      </c>
      <c r="D204" t="inlineStr">
        <is>
          <t>JÄMTLANDS LÄN</t>
        </is>
      </c>
      <c r="E204" t="inlineStr">
        <is>
          <t>BERG</t>
        </is>
      </c>
      <c r="G204" t="n">
        <v>1.5</v>
      </c>
      <c r="H204" t="n">
        <v>0</v>
      </c>
      <c r="I204" t="n">
        <v>0</v>
      </c>
      <c r="J204" t="n">
        <v>0</v>
      </c>
      <c r="K204" t="n">
        <v>0</v>
      </c>
      <c r="L204" t="n">
        <v>0</v>
      </c>
      <c r="M204" t="n">
        <v>0</v>
      </c>
      <c r="N204" t="n">
        <v>0</v>
      </c>
      <c r="O204" t="n">
        <v>0</v>
      </c>
      <c r="P204" t="n">
        <v>0</v>
      </c>
      <c r="Q204" t="n">
        <v>0</v>
      </c>
      <c r="R204" s="2" t="inlineStr"/>
    </row>
    <row r="205" ht="15" customHeight="1">
      <c r="A205" t="inlineStr">
        <is>
          <t>A 164-2022</t>
        </is>
      </c>
      <c r="B205" s="1" t="n">
        <v>44564</v>
      </c>
      <c r="C205" s="1" t="n">
        <v>46134</v>
      </c>
      <c r="D205" t="inlineStr">
        <is>
          <t>JÄMTLANDS LÄN</t>
        </is>
      </c>
      <c r="E205" t="inlineStr">
        <is>
          <t>BERG</t>
        </is>
      </c>
      <c r="G205" t="n">
        <v>12.4</v>
      </c>
      <c r="H205" t="n">
        <v>0</v>
      </c>
      <c r="I205" t="n">
        <v>0</v>
      </c>
      <c r="J205" t="n">
        <v>0</v>
      </c>
      <c r="K205" t="n">
        <v>0</v>
      </c>
      <c r="L205" t="n">
        <v>0</v>
      </c>
      <c r="M205" t="n">
        <v>0</v>
      </c>
      <c r="N205" t="n">
        <v>0</v>
      </c>
      <c r="O205" t="n">
        <v>0</v>
      </c>
      <c r="P205" t="n">
        <v>0</v>
      </c>
      <c r="Q205" t="n">
        <v>0</v>
      </c>
      <c r="R205" s="2" t="inlineStr"/>
    </row>
    <row r="206" ht="15" customHeight="1">
      <c r="A206" t="inlineStr">
        <is>
          <t>A 70468-2021</t>
        </is>
      </c>
      <c r="B206" s="1" t="n">
        <v>44536.66070601852</v>
      </c>
      <c r="C206" s="1" t="n">
        <v>46134</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46134</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48756-2022</t>
        </is>
      </c>
      <c r="B208" s="1" t="n">
        <v>44859</v>
      </c>
      <c r="C208" s="1" t="n">
        <v>46134</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46134</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46134</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46853-2021</t>
        </is>
      </c>
      <c r="B211" s="1" t="n">
        <v>44446</v>
      </c>
      <c r="C211" s="1" t="n">
        <v>46134</v>
      </c>
      <c r="D211" t="inlineStr">
        <is>
          <t>JÄMTLANDS LÄN</t>
        </is>
      </c>
      <c r="E211" t="inlineStr">
        <is>
          <t>BERG</t>
        </is>
      </c>
      <c r="G211" t="n">
        <v>0.9</v>
      </c>
      <c r="H211" t="n">
        <v>0</v>
      </c>
      <c r="I211" t="n">
        <v>0</v>
      </c>
      <c r="J211" t="n">
        <v>0</v>
      </c>
      <c r="K211" t="n">
        <v>0</v>
      </c>
      <c r="L211" t="n">
        <v>0</v>
      </c>
      <c r="M211" t="n">
        <v>0</v>
      </c>
      <c r="N211" t="n">
        <v>0</v>
      </c>
      <c r="O211" t="n">
        <v>0</v>
      </c>
      <c r="P211" t="n">
        <v>0</v>
      </c>
      <c r="Q211" t="n">
        <v>0</v>
      </c>
      <c r="R211" s="2" t="inlineStr"/>
    </row>
    <row r="212" ht="15" customHeight="1">
      <c r="A212" t="inlineStr">
        <is>
          <t>A 37711-2022</t>
        </is>
      </c>
      <c r="B212" s="1" t="n">
        <v>44810.54903935185</v>
      </c>
      <c r="C212" s="1" t="n">
        <v>46134</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20304-2022</t>
        </is>
      </c>
      <c r="B213" s="1" t="n">
        <v>44698.94268518518</v>
      </c>
      <c r="C213" s="1" t="n">
        <v>46134</v>
      </c>
      <c r="D213" t="inlineStr">
        <is>
          <t>JÄMTLANDS LÄN</t>
        </is>
      </c>
      <c r="E213" t="inlineStr">
        <is>
          <t>BERG</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21629-2021</t>
        </is>
      </c>
      <c r="B214" s="1" t="n">
        <v>44321</v>
      </c>
      <c r="C214" s="1" t="n">
        <v>46134</v>
      </c>
      <c r="D214" t="inlineStr">
        <is>
          <t>JÄMTLANDS LÄN</t>
        </is>
      </c>
      <c r="E214" t="inlineStr">
        <is>
          <t>BERG</t>
        </is>
      </c>
      <c r="G214" t="n">
        <v>15.9</v>
      </c>
      <c r="H214" t="n">
        <v>0</v>
      </c>
      <c r="I214" t="n">
        <v>0</v>
      </c>
      <c r="J214" t="n">
        <v>0</v>
      </c>
      <c r="K214" t="n">
        <v>0</v>
      </c>
      <c r="L214" t="n">
        <v>0</v>
      </c>
      <c r="M214" t="n">
        <v>0</v>
      </c>
      <c r="N214" t="n">
        <v>0</v>
      </c>
      <c r="O214" t="n">
        <v>0</v>
      </c>
      <c r="P214" t="n">
        <v>0</v>
      </c>
      <c r="Q214" t="n">
        <v>0</v>
      </c>
      <c r="R214" s="2" t="inlineStr"/>
    </row>
    <row r="215" ht="15" customHeight="1">
      <c r="A215" t="inlineStr">
        <is>
          <t>A 68854-2021</t>
        </is>
      </c>
      <c r="B215" s="1" t="n">
        <v>44530</v>
      </c>
      <c r="C215" s="1" t="n">
        <v>46134</v>
      </c>
      <c r="D215" t="inlineStr">
        <is>
          <t>JÄMTLANDS LÄN</t>
        </is>
      </c>
      <c r="E215" t="inlineStr">
        <is>
          <t>BERG</t>
        </is>
      </c>
      <c r="G215" t="n">
        <v>3.3</v>
      </c>
      <c r="H215" t="n">
        <v>0</v>
      </c>
      <c r="I215" t="n">
        <v>0</v>
      </c>
      <c r="J215" t="n">
        <v>0</v>
      </c>
      <c r="K215" t="n">
        <v>0</v>
      </c>
      <c r="L215" t="n">
        <v>0</v>
      </c>
      <c r="M215" t="n">
        <v>0</v>
      </c>
      <c r="N215" t="n">
        <v>0</v>
      </c>
      <c r="O215" t="n">
        <v>0</v>
      </c>
      <c r="P215" t="n">
        <v>0</v>
      </c>
      <c r="Q215" t="n">
        <v>0</v>
      </c>
      <c r="R215" s="2" t="inlineStr"/>
    </row>
    <row r="216" ht="15" customHeight="1">
      <c r="A216" t="inlineStr">
        <is>
          <t>A 9114-2022</t>
        </is>
      </c>
      <c r="B216" s="1" t="n">
        <v>44615</v>
      </c>
      <c r="C216" s="1" t="n">
        <v>46134</v>
      </c>
      <c r="D216" t="inlineStr">
        <is>
          <t>JÄMTLANDS LÄN</t>
        </is>
      </c>
      <c r="E216" t="inlineStr">
        <is>
          <t>BERG</t>
        </is>
      </c>
      <c r="G216" t="n">
        <v>2.9</v>
      </c>
      <c r="H216" t="n">
        <v>0</v>
      </c>
      <c r="I216" t="n">
        <v>0</v>
      </c>
      <c r="J216" t="n">
        <v>0</v>
      </c>
      <c r="K216" t="n">
        <v>0</v>
      </c>
      <c r="L216" t="n">
        <v>0</v>
      </c>
      <c r="M216" t="n">
        <v>0</v>
      </c>
      <c r="N216" t="n">
        <v>0</v>
      </c>
      <c r="O216" t="n">
        <v>0</v>
      </c>
      <c r="P216" t="n">
        <v>0</v>
      </c>
      <c r="Q216" t="n">
        <v>0</v>
      </c>
      <c r="R216" s="2" t="inlineStr"/>
    </row>
    <row r="217" ht="15" customHeight="1">
      <c r="A217" t="inlineStr">
        <is>
          <t>A 46115-2021</t>
        </is>
      </c>
      <c r="B217" s="1" t="n">
        <v>44441</v>
      </c>
      <c r="C217" s="1" t="n">
        <v>46134</v>
      </c>
      <c r="D217" t="inlineStr">
        <is>
          <t>JÄMTLANDS LÄN</t>
        </is>
      </c>
      <c r="E217" t="inlineStr">
        <is>
          <t>BERG</t>
        </is>
      </c>
      <c r="G217" t="n">
        <v>15.1</v>
      </c>
      <c r="H217" t="n">
        <v>0</v>
      </c>
      <c r="I217" t="n">
        <v>0</v>
      </c>
      <c r="J217" t="n">
        <v>0</v>
      </c>
      <c r="K217" t="n">
        <v>0</v>
      </c>
      <c r="L217" t="n">
        <v>0</v>
      </c>
      <c r="M217" t="n">
        <v>0</v>
      </c>
      <c r="N217" t="n">
        <v>0</v>
      </c>
      <c r="O217" t="n">
        <v>0</v>
      </c>
      <c r="P217" t="n">
        <v>0</v>
      </c>
      <c r="Q217" t="n">
        <v>0</v>
      </c>
      <c r="R217" s="2" t="inlineStr"/>
    </row>
    <row r="218" ht="15" customHeight="1">
      <c r="A218" t="inlineStr">
        <is>
          <t>A 19809-2022</t>
        </is>
      </c>
      <c r="B218" s="1" t="n">
        <v>44694</v>
      </c>
      <c r="C218" s="1" t="n">
        <v>46134</v>
      </c>
      <c r="D218" t="inlineStr">
        <is>
          <t>JÄMTLANDS LÄN</t>
        </is>
      </c>
      <c r="E218" t="inlineStr">
        <is>
          <t>BERG</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2009-2022</t>
        </is>
      </c>
      <c r="B219" s="1" t="n">
        <v>44575</v>
      </c>
      <c r="C219" s="1" t="n">
        <v>46134</v>
      </c>
      <c r="D219" t="inlineStr">
        <is>
          <t>JÄMTLANDS LÄN</t>
        </is>
      </c>
      <c r="E219" t="inlineStr">
        <is>
          <t>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44378.64378472222</v>
      </c>
      <c r="C220" s="1" t="n">
        <v>46134</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21403-2022</t>
        </is>
      </c>
      <c r="B221" s="1" t="n">
        <v>44705.9403125</v>
      </c>
      <c r="C221" s="1" t="n">
        <v>46134</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46134</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46134</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44847.53822916667</v>
      </c>
      <c r="C224" s="1" t="n">
        <v>46134</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13636-2022</t>
        </is>
      </c>
      <c r="B225" s="1" t="n">
        <v>44648</v>
      </c>
      <c r="C225" s="1" t="n">
        <v>46134</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46134</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20179-2021</t>
        </is>
      </c>
      <c r="B227" s="1" t="n">
        <v>44314.56744212963</v>
      </c>
      <c r="C227" s="1" t="n">
        <v>46134</v>
      </c>
      <c r="D227" t="inlineStr">
        <is>
          <t>JÄMTLANDS LÄN</t>
        </is>
      </c>
      <c r="E227" t="inlineStr">
        <is>
          <t>BERG</t>
        </is>
      </c>
      <c r="G227" t="n">
        <v>1.9</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46134</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46134</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46134</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35308-2021</t>
        </is>
      </c>
      <c r="B231" s="1" t="n">
        <v>44384</v>
      </c>
      <c r="C231" s="1" t="n">
        <v>46134</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c r="U231">
        <f>HYPERLINK("https://klasma.github.io/Logging_2326/knärot/A 35308-2021 karta knärot.png", "A 35308-2021")</f>
        <v/>
      </c>
      <c r="V231">
        <f>HYPERLINK("https://klasma.github.io/Logging_2326/klagomål/A 35308-2021 FSC-klagomål.docx", "A 35308-2021")</f>
        <v/>
      </c>
      <c r="W231">
        <f>HYPERLINK("https://klasma.github.io/Logging_2326/klagomålsmail/A 35308-2021 FSC-klagomål mail.docx", "A 35308-2021")</f>
        <v/>
      </c>
      <c r="X231">
        <f>HYPERLINK("https://klasma.github.io/Logging_2326/tillsyn/A 35308-2021 tillsynsbegäran.docx", "A 35308-2021")</f>
        <v/>
      </c>
      <c r="Y231">
        <f>HYPERLINK("https://klasma.github.io/Logging_2326/tillsynsmail/A 35308-2021 tillsynsbegäran mail.docx", "A 35308-2021")</f>
        <v/>
      </c>
    </row>
    <row r="232" ht="15" customHeight="1">
      <c r="A232" t="inlineStr">
        <is>
          <t>A 37726-2022</t>
        </is>
      </c>
      <c r="B232" s="1" t="n">
        <v>44810.56636574074</v>
      </c>
      <c r="C232" s="1" t="n">
        <v>46134</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5221-2022</t>
        </is>
      </c>
      <c r="B233" s="1" t="n">
        <v>44594.48864583333</v>
      </c>
      <c r="C233" s="1" t="n">
        <v>46134</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5222-2022</t>
        </is>
      </c>
      <c r="B234" s="1" t="n">
        <v>44594.4892824074</v>
      </c>
      <c r="C234" s="1" t="n">
        <v>46134</v>
      </c>
      <c r="D234" t="inlineStr">
        <is>
          <t>JÄMTLANDS LÄN</t>
        </is>
      </c>
      <c r="E234" t="inlineStr">
        <is>
          <t>BERG</t>
        </is>
      </c>
      <c r="G234" t="n">
        <v>12.3</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46134</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46134</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64490-2023</t>
        </is>
      </c>
      <c r="B237" s="1" t="n">
        <v>45280</v>
      </c>
      <c r="C237" s="1" t="n">
        <v>46134</v>
      </c>
      <c r="D237" t="inlineStr">
        <is>
          <t>JÄMTLANDS LÄN</t>
        </is>
      </c>
      <c r="E237" t="inlineStr">
        <is>
          <t>BERG</t>
        </is>
      </c>
      <c r="F237" t="inlineStr">
        <is>
          <t>Övriga Aktiebolag</t>
        </is>
      </c>
      <c r="G237" t="n">
        <v>7.7</v>
      </c>
      <c r="H237" t="n">
        <v>0</v>
      </c>
      <c r="I237" t="n">
        <v>0</v>
      </c>
      <c r="J237" t="n">
        <v>0</v>
      </c>
      <c r="K237" t="n">
        <v>0</v>
      </c>
      <c r="L237" t="n">
        <v>0</v>
      </c>
      <c r="M237" t="n">
        <v>0</v>
      </c>
      <c r="N237" t="n">
        <v>0</v>
      </c>
      <c r="O237" t="n">
        <v>0</v>
      </c>
      <c r="P237" t="n">
        <v>0</v>
      </c>
      <c r="Q237" t="n">
        <v>0</v>
      </c>
      <c r="R237" s="2" t="inlineStr"/>
    </row>
    <row r="238" ht="15" customHeight="1">
      <c r="A238" t="inlineStr">
        <is>
          <t>A 47304-2023</t>
        </is>
      </c>
      <c r="B238" s="1" t="n">
        <v>45202.48180555556</v>
      </c>
      <c r="C238" s="1" t="n">
        <v>46134</v>
      </c>
      <c r="D238" t="inlineStr">
        <is>
          <t>JÄMTLANDS LÄN</t>
        </is>
      </c>
      <c r="E238" t="inlineStr">
        <is>
          <t>BERG</t>
        </is>
      </c>
      <c r="G238" t="n">
        <v>3.4</v>
      </c>
      <c r="H238" t="n">
        <v>0</v>
      </c>
      <c r="I238" t="n">
        <v>0</v>
      </c>
      <c r="J238" t="n">
        <v>0</v>
      </c>
      <c r="K238" t="n">
        <v>0</v>
      </c>
      <c r="L238" t="n">
        <v>0</v>
      </c>
      <c r="M238" t="n">
        <v>0</v>
      </c>
      <c r="N238" t="n">
        <v>0</v>
      </c>
      <c r="O238" t="n">
        <v>0</v>
      </c>
      <c r="P238" t="n">
        <v>0</v>
      </c>
      <c r="Q238" t="n">
        <v>0</v>
      </c>
      <c r="R238" s="2" t="inlineStr"/>
    </row>
    <row r="239" ht="15" customHeight="1">
      <c r="A239" t="inlineStr">
        <is>
          <t>A 10861-2024</t>
        </is>
      </c>
      <c r="B239" s="1" t="n">
        <v>45370.01967592593</v>
      </c>
      <c r="C239" s="1" t="n">
        <v>46134</v>
      </c>
      <c r="D239" t="inlineStr">
        <is>
          <t>JÄMTLANDS LÄN</t>
        </is>
      </c>
      <c r="E239" t="inlineStr">
        <is>
          <t>BERG</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62299-2023</t>
        </is>
      </c>
      <c r="B240" s="1" t="n">
        <v>45266</v>
      </c>
      <c r="C240" s="1" t="n">
        <v>46134</v>
      </c>
      <c r="D240" t="inlineStr">
        <is>
          <t>JÄMTLANDS LÄN</t>
        </is>
      </c>
      <c r="E240" t="inlineStr">
        <is>
          <t>BERG</t>
        </is>
      </c>
      <c r="G240" t="n">
        <v>2.6</v>
      </c>
      <c r="H240" t="n">
        <v>0</v>
      </c>
      <c r="I240" t="n">
        <v>0</v>
      </c>
      <c r="J240" t="n">
        <v>0</v>
      </c>
      <c r="K240" t="n">
        <v>0</v>
      </c>
      <c r="L240" t="n">
        <v>0</v>
      </c>
      <c r="M240" t="n">
        <v>0</v>
      </c>
      <c r="N240" t="n">
        <v>0</v>
      </c>
      <c r="O240" t="n">
        <v>0</v>
      </c>
      <c r="P240" t="n">
        <v>0</v>
      </c>
      <c r="Q240" t="n">
        <v>0</v>
      </c>
      <c r="R240" s="2" t="inlineStr"/>
    </row>
    <row r="241" ht="15" customHeight="1">
      <c r="A241" t="inlineStr">
        <is>
          <t>A 50612-2023</t>
        </is>
      </c>
      <c r="B241" s="1" t="n">
        <v>45217.444375</v>
      </c>
      <c r="C241" s="1" t="n">
        <v>46134</v>
      </c>
      <c r="D241" t="inlineStr">
        <is>
          <t>JÄMTLANDS LÄN</t>
        </is>
      </c>
      <c r="E241" t="inlineStr">
        <is>
          <t>BERG</t>
        </is>
      </c>
      <c r="G241" t="n">
        <v>1.4</v>
      </c>
      <c r="H241" t="n">
        <v>0</v>
      </c>
      <c r="I241" t="n">
        <v>0</v>
      </c>
      <c r="J241" t="n">
        <v>0</v>
      </c>
      <c r="K241" t="n">
        <v>0</v>
      </c>
      <c r="L241" t="n">
        <v>0</v>
      </c>
      <c r="M241" t="n">
        <v>0</v>
      </c>
      <c r="N241" t="n">
        <v>0</v>
      </c>
      <c r="O241" t="n">
        <v>0</v>
      </c>
      <c r="P241" t="n">
        <v>0</v>
      </c>
      <c r="Q241" t="n">
        <v>0</v>
      </c>
      <c r="R241" s="2" t="inlineStr"/>
    </row>
    <row r="242" ht="15" customHeight="1">
      <c r="A242" t="inlineStr">
        <is>
          <t>A 54071-2023</t>
        </is>
      </c>
      <c r="B242" s="1" t="n">
        <v>45231</v>
      </c>
      <c r="C242" s="1" t="n">
        <v>46134</v>
      </c>
      <c r="D242" t="inlineStr">
        <is>
          <t>JÄMTLANDS LÄN</t>
        </is>
      </c>
      <c r="E242" t="inlineStr">
        <is>
          <t>BERG</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29511-2021</t>
        </is>
      </c>
      <c r="B243" s="1" t="n">
        <v>44361</v>
      </c>
      <c r="C243" s="1" t="n">
        <v>46134</v>
      </c>
      <c r="D243" t="inlineStr">
        <is>
          <t>JÄMTLANDS LÄN</t>
        </is>
      </c>
      <c r="E243" t="inlineStr">
        <is>
          <t>BERG</t>
        </is>
      </c>
      <c r="G243" t="n">
        <v>5.6</v>
      </c>
      <c r="H243" t="n">
        <v>0</v>
      </c>
      <c r="I243" t="n">
        <v>0</v>
      </c>
      <c r="J243" t="n">
        <v>0</v>
      </c>
      <c r="K243" t="n">
        <v>0</v>
      </c>
      <c r="L243" t="n">
        <v>0</v>
      </c>
      <c r="M243" t="n">
        <v>0</v>
      </c>
      <c r="N243" t="n">
        <v>0</v>
      </c>
      <c r="O243" t="n">
        <v>0</v>
      </c>
      <c r="P243" t="n">
        <v>0</v>
      </c>
      <c r="Q243" t="n">
        <v>0</v>
      </c>
      <c r="R243" s="2" t="inlineStr"/>
    </row>
    <row r="244" ht="15" customHeight="1">
      <c r="A244" t="inlineStr">
        <is>
          <t>A 20268-2024</t>
        </is>
      </c>
      <c r="B244" s="1" t="n">
        <v>45434.94887731481</v>
      </c>
      <c r="C244" s="1" t="n">
        <v>46134</v>
      </c>
      <c r="D244" t="inlineStr">
        <is>
          <t>JÄMTLANDS LÄN</t>
        </is>
      </c>
      <c r="E244" t="inlineStr">
        <is>
          <t>BERG</t>
        </is>
      </c>
      <c r="F244" t="inlineStr">
        <is>
          <t>SCA</t>
        </is>
      </c>
      <c r="G244" t="n">
        <v>4.9</v>
      </c>
      <c r="H244" t="n">
        <v>0</v>
      </c>
      <c r="I244" t="n">
        <v>0</v>
      </c>
      <c r="J244" t="n">
        <v>0</v>
      </c>
      <c r="K244" t="n">
        <v>0</v>
      </c>
      <c r="L244" t="n">
        <v>0</v>
      </c>
      <c r="M244" t="n">
        <v>0</v>
      </c>
      <c r="N244" t="n">
        <v>0</v>
      </c>
      <c r="O244" t="n">
        <v>0</v>
      </c>
      <c r="P244" t="n">
        <v>0</v>
      </c>
      <c r="Q244" t="n">
        <v>0</v>
      </c>
      <c r="R244" s="2" t="inlineStr"/>
    </row>
    <row r="245" ht="15" customHeight="1">
      <c r="A245" t="inlineStr">
        <is>
          <t>A 17929-2024</t>
        </is>
      </c>
      <c r="B245" s="1" t="n">
        <v>45419.60266203704</v>
      </c>
      <c r="C245" s="1" t="n">
        <v>46134</v>
      </c>
      <c r="D245" t="inlineStr">
        <is>
          <t>JÄMTLANDS LÄN</t>
        </is>
      </c>
      <c r="E245" t="inlineStr">
        <is>
          <t>BERG</t>
        </is>
      </c>
      <c r="F245" t="inlineStr">
        <is>
          <t>Holmen skog AB</t>
        </is>
      </c>
      <c r="G245" t="n">
        <v>3</v>
      </c>
      <c r="H245" t="n">
        <v>0</v>
      </c>
      <c r="I245" t="n">
        <v>0</v>
      </c>
      <c r="J245" t="n">
        <v>0</v>
      </c>
      <c r="K245" t="n">
        <v>0</v>
      </c>
      <c r="L245" t="n">
        <v>0</v>
      </c>
      <c r="M245" t="n">
        <v>0</v>
      </c>
      <c r="N245" t="n">
        <v>0</v>
      </c>
      <c r="O245" t="n">
        <v>0</v>
      </c>
      <c r="P245" t="n">
        <v>0</v>
      </c>
      <c r="Q245" t="n">
        <v>0</v>
      </c>
      <c r="R245" s="2" t="inlineStr"/>
    </row>
    <row r="246" ht="15" customHeight="1">
      <c r="A246" t="inlineStr">
        <is>
          <t>A 46167-2022</t>
        </is>
      </c>
      <c r="B246" s="1" t="n">
        <v>44845</v>
      </c>
      <c r="C246" s="1" t="n">
        <v>46134</v>
      </c>
      <c r="D246" t="inlineStr">
        <is>
          <t>JÄMTLANDS LÄN</t>
        </is>
      </c>
      <c r="E246" t="inlineStr">
        <is>
          <t>BERG</t>
        </is>
      </c>
      <c r="G246" t="n">
        <v>35.2</v>
      </c>
      <c r="H246" t="n">
        <v>0</v>
      </c>
      <c r="I246" t="n">
        <v>0</v>
      </c>
      <c r="J246" t="n">
        <v>0</v>
      </c>
      <c r="K246" t="n">
        <v>0</v>
      </c>
      <c r="L246" t="n">
        <v>0</v>
      </c>
      <c r="M246" t="n">
        <v>0</v>
      </c>
      <c r="N246" t="n">
        <v>0</v>
      </c>
      <c r="O246" t="n">
        <v>0</v>
      </c>
      <c r="P246" t="n">
        <v>0</v>
      </c>
      <c r="Q246" t="n">
        <v>0</v>
      </c>
      <c r="R246" s="2" t="inlineStr"/>
    </row>
    <row r="247" ht="15" customHeight="1">
      <c r="A247" t="inlineStr">
        <is>
          <t>A 15156-2024</t>
        </is>
      </c>
      <c r="B247" s="1" t="n">
        <v>45399.94496527778</v>
      </c>
      <c r="C247" s="1" t="n">
        <v>46134</v>
      </c>
      <c r="D247" t="inlineStr">
        <is>
          <t>JÄMTLANDS LÄN</t>
        </is>
      </c>
      <c r="E247" t="inlineStr">
        <is>
          <t>BERG</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23165-2024</t>
        </is>
      </c>
      <c r="B248" s="1" t="n">
        <v>45450</v>
      </c>
      <c r="C248" s="1" t="n">
        <v>46134</v>
      </c>
      <c r="D248" t="inlineStr">
        <is>
          <t>JÄMTLANDS LÄN</t>
        </is>
      </c>
      <c r="E248" t="inlineStr">
        <is>
          <t>BERG</t>
        </is>
      </c>
      <c r="G248" t="n">
        <v>1.3</v>
      </c>
      <c r="H248" t="n">
        <v>0</v>
      </c>
      <c r="I248" t="n">
        <v>0</v>
      </c>
      <c r="J248" t="n">
        <v>0</v>
      </c>
      <c r="K248" t="n">
        <v>0</v>
      </c>
      <c r="L248" t="n">
        <v>0</v>
      </c>
      <c r="M248" t="n">
        <v>0</v>
      </c>
      <c r="N248" t="n">
        <v>0</v>
      </c>
      <c r="O248" t="n">
        <v>0</v>
      </c>
      <c r="P248" t="n">
        <v>0</v>
      </c>
      <c r="Q248" t="n">
        <v>0</v>
      </c>
      <c r="R248" s="2" t="inlineStr"/>
    </row>
    <row r="249" ht="15" customHeight="1">
      <c r="A249" t="inlineStr">
        <is>
          <t>A 18833-2024</t>
        </is>
      </c>
      <c r="B249" s="1" t="n">
        <v>45426.65157407407</v>
      </c>
      <c r="C249" s="1" t="n">
        <v>46134</v>
      </c>
      <c r="D249" t="inlineStr">
        <is>
          <t>JÄMTLANDS LÄN</t>
        </is>
      </c>
      <c r="E249" t="inlineStr">
        <is>
          <t>BERG</t>
        </is>
      </c>
      <c r="G249" t="n">
        <v>1.3</v>
      </c>
      <c r="H249" t="n">
        <v>0</v>
      </c>
      <c r="I249" t="n">
        <v>0</v>
      </c>
      <c r="J249" t="n">
        <v>0</v>
      </c>
      <c r="K249" t="n">
        <v>0</v>
      </c>
      <c r="L249" t="n">
        <v>0</v>
      </c>
      <c r="M249" t="n">
        <v>0</v>
      </c>
      <c r="N249" t="n">
        <v>0</v>
      </c>
      <c r="O249" t="n">
        <v>0</v>
      </c>
      <c r="P249" t="n">
        <v>0</v>
      </c>
      <c r="Q249" t="n">
        <v>0</v>
      </c>
      <c r="R249" s="2" t="inlineStr"/>
    </row>
    <row r="250" ht="15" customHeight="1">
      <c r="A250" t="inlineStr">
        <is>
          <t>A 4522-2024</t>
        </is>
      </c>
      <c r="B250" s="1" t="n">
        <v>45327</v>
      </c>
      <c r="C250" s="1" t="n">
        <v>46134</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22020-2024</t>
        </is>
      </c>
      <c r="B251" s="1" t="n">
        <v>45443.5894675926</v>
      </c>
      <c r="C251" s="1" t="n">
        <v>46134</v>
      </c>
      <c r="D251" t="inlineStr">
        <is>
          <t>JÄMTLANDS LÄN</t>
        </is>
      </c>
      <c r="E251" t="inlineStr">
        <is>
          <t>BERG</t>
        </is>
      </c>
      <c r="G251" t="n">
        <v>4.9</v>
      </c>
      <c r="H251" t="n">
        <v>0</v>
      </c>
      <c r="I251" t="n">
        <v>0</v>
      </c>
      <c r="J251" t="n">
        <v>0</v>
      </c>
      <c r="K251" t="n">
        <v>0</v>
      </c>
      <c r="L251" t="n">
        <v>0</v>
      </c>
      <c r="M251" t="n">
        <v>0</v>
      </c>
      <c r="N251" t="n">
        <v>0</v>
      </c>
      <c r="O251" t="n">
        <v>0</v>
      </c>
      <c r="P251" t="n">
        <v>0</v>
      </c>
      <c r="Q251" t="n">
        <v>0</v>
      </c>
      <c r="R251" s="2" t="inlineStr"/>
    </row>
    <row r="252" ht="15" customHeight="1">
      <c r="A252" t="inlineStr">
        <is>
          <t>A 18153-2024</t>
        </is>
      </c>
      <c r="B252" s="1" t="n">
        <v>45420</v>
      </c>
      <c r="C252" s="1" t="n">
        <v>46134</v>
      </c>
      <c r="D252" t="inlineStr">
        <is>
          <t>JÄMTLANDS LÄN</t>
        </is>
      </c>
      <c r="E252" t="inlineStr">
        <is>
          <t>BERG</t>
        </is>
      </c>
      <c r="F252" t="inlineStr">
        <is>
          <t>Holmen skog AB</t>
        </is>
      </c>
      <c r="G252" t="n">
        <v>2.8</v>
      </c>
      <c r="H252" t="n">
        <v>0</v>
      </c>
      <c r="I252" t="n">
        <v>0</v>
      </c>
      <c r="J252" t="n">
        <v>0</v>
      </c>
      <c r="K252" t="n">
        <v>0</v>
      </c>
      <c r="L252" t="n">
        <v>0</v>
      </c>
      <c r="M252" t="n">
        <v>0</v>
      </c>
      <c r="N252" t="n">
        <v>0</v>
      </c>
      <c r="O252" t="n">
        <v>0</v>
      </c>
      <c r="P252" t="n">
        <v>0</v>
      </c>
      <c r="Q252" t="n">
        <v>0</v>
      </c>
      <c r="R252" s="2" t="inlineStr"/>
    </row>
    <row r="253" ht="15" customHeight="1">
      <c r="A253" t="inlineStr">
        <is>
          <t>A 65207-2023</t>
        </is>
      </c>
      <c r="B253" s="1" t="n">
        <v>45289</v>
      </c>
      <c r="C253" s="1" t="n">
        <v>46134</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61788-2023</t>
        </is>
      </c>
      <c r="B254" s="1" t="n">
        <v>45265.9577199074</v>
      </c>
      <c r="C254" s="1" t="n">
        <v>46134</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35911-2024</t>
        </is>
      </c>
      <c r="B255" s="1" t="n">
        <v>45533.41498842592</v>
      </c>
      <c r="C255" s="1" t="n">
        <v>46134</v>
      </c>
      <c r="D255" t="inlineStr">
        <is>
          <t>JÄMTLANDS LÄN</t>
        </is>
      </c>
      <c r="E255" t="inlineStr">
        <is>
          <t>BERG</t>
        </is>
      </c>
      <c r="G255" t="n">
        <v>4.1</v>
      </c>
      <c r="H255" t="n">
        <v>0</v>
      </c>
      <c r="I255" t="n">
        <v>0</v>
      </c>
      <c r="J255" t="n">
        <v>0</v>
      </c>
      <c r="K255" t="n">
        <v>0</v>
      </c>
      <c r="L255" t="n">
        <v>0</v>
      </c>
      <c r="M255" t="n">
        <v>0</v>
      </c>
      <c r="N255" t="n">
        <v>0</v>
      </c>
      <c r="O255" t="n">
        <v>0</v>
      </c>
      <c r="P255" t="n">
        <v>0</v>
      </c>
      <c r="Q255" t="n">
        <v>0</v>
      </c>
      <c r="R255" s="2" t="inlineStr"/>
    </row>
    <row r="256" ht="15" customHeight="1">
      <c r="A256" t="inlineStr">
        <is>
          <t>A 47982-2022</t>
        </is>
      </c>
      <c r="B256" s="1" t="n">
        <v>44853</v>
      </c>
      <c r="C256" s="1" t="n">
        <v>46134</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58157-2021</t>
        </is>
      </c>
      <c r="B257" s="1" t="n">
        <v>44487.60703703704</v>
      </c>
      <c r="C257" s="1" t="n">
        <v>46134</v>
      </c>
      <c r="D257" t="inlineStr">
        <is>
          <t>JÄMTLANDS LÄN</t>
        </is>
      </c>
      <c r="E257" t="inlineStr">
        <is>
          <t>BERG</t>
        </is>
      </c>
      <c r="G257" t="n">
        <v>4.5</v>
      </c>
      <c r="H257" t="n">
        <v>0</v>
      </c>
      <c r="I257" t="n">
        <v>0</v>
      </c>
      <c r="J257" t="n">
        <v>0</v>
      </c>
      <c r="K257" t="n">
        <v>0</v>
      </c>
      <c r="L257" t="n">
        <v>0</v>
      </c>
      <c r="M257" t="n">
        <v>0</v>
      </c>
      <c r="N257" t="n">
        <v>0</v>
      </c>
      <c r="O257" t="n">
        <v>0</v>
      </c>
      <c r="P257" t="n">
        <v>0</v>
      </c>
      <c r="Q257" t="n">
        <v>0</v>
      </c>
      <c r="R257" s="2" t="inlineStr"/>
    </row>
    <row r="258" ht="15" customHeight="1">
      <c r="A258" t="inlineStr">
        <is>
          <t>A 13373-2024</t>
        </is>
      </c>
      <c r="B258" s="1" t="n">
        <v>45387.37010416666</v>
      </c>
      <c r="C258" s="1" t="n">
        <v>46134</v>
      </c>
      <c r="D258" t="inlineStr">
        <is>
          <t>JÄMTLANDS LÄN</t>
        </is>
      </c>
      <c r="E258" t="inlineStr">
        <is>
          <t>BERG</t>
        </is>
      </c>
      <c r="G258" t="n">
        <v>3.8</v>
      </c>
      <c r="H258" t="n">
        <v>0</v>
      </c>
      <c r="I258" t="n">
        <v>0</v>
      </c>
      <c r="J258" t="n">
        <v>0</v>
      </c>
      <c r="K258" t="n">
        <v>0</v>
      </c>
      <c r="L258" t="n">
        <v>0</v>
      </c>
      <c r="M258" t="n">
        <v>0</v>
      </c>
      <c r="N258" t="n">
        <v>0</v>
      </c>
      <c r="O258" t="n">
        <v>0</v>
      </c>
      <c r="P258" t="n">
        <v>0</v>
      </c>
      <c r="Q258" t="n">
        <v>0</v>
      </c>
      <c r="R258" s="2" t="inlineStr"/>
    </row>
    <row r="259" ht="15" customHeight="1">
      <c r="A259" t="inlineStr">
        <is>
          <t>A 44911-2021</t>
        </is>
      </c>
      <c r="B259" s="1" t="n">
        <v>44435</v>
      </c>
      <c r="C259" s="1" t="n">
        <v>46134</v>
      </c>
      <c r="D259" t="inlineStr">
        <is>
          <t>JÄMTLANDS LÄN</t>
        </is>
      </c>
      <c r="E259" t="inlineStr">
        <is>
          <t>BERG</t>
        </is>
      </c>
      <c r="G259" t="n">
        <v>1.3</v>
      </c>
      <c r="H259" t="n">
        <v>0</v>
      </c>
      <c r="I259" t="n">
        <v>0</v>
      </c>
      <c r="J259" t="n">
        <v>0</v>
      </c>
      <c r="K259" t="n">
        <v>0</v>
      </c>
      <c r="L259" t="n">
        <v>0</v>
      </c>
      <c r="M259" t="n">
        <v>0</v>
      </c>
      <c r="N259" t="n">
        <v>0</v>
      </c>
      <c r="O259" t="n">
        <v>0</v>
      </c>
      <c r="P259" t="n">
        <v>0</v>
      </c>
      <c r="Q259" t="n">
        <v>0</v>
      </c>
      <c r="R259" s="2" t="inlineStr"/>
    </row>
    <row r="260" ht="15" customHeight="1">
      <c r="A260" t="inlineStr">
        <is>
          <t>A 53883-2023</t>
        </is>
      </c>
      <c r="B260" s="1" t="n">
        <v>45231.5221875</v>
      </c>
      <c r="C260" s="1" t="n">
        <v>46134</v>
      </c>
      <c r="D260" t="inlineStr">
        <is>
          <t>JÄMTLANDS LÄN</t>
        </is>
      </c>
      <c r="E260" t="inlineStr">
        <is>
          <t>BERG</t>
        </is>
      </c>
      <c r="G260" t="n">
        <v>2</v>
      </c>
      <c r="H260" t="n">
        <v>0</v>
      </c>
      <c r="I260" t="n">
        <v>0</v>
      </c>
      <c r="J260" t="n">
        <v>0</v>
      </c>
      <c r="K260" t="n">
        <v>0</v>
      </c>
      <c r="L260" t="n">
        <v>0</v>
      </c>
      <c r="M260" t="n">
        <v>0</v>
      </c>
      <c r="N260" t="n">
        <v>0</v>
      </c>
      <c r="O260" t="n">
        <v>0</v>
      </c>
      <c r="P260" t="n">
        <v>0</v>
      </c>
      <c r="Q260" t="n">
        <v>0</v>
      </c>
      <c r="R260" s="2" t="inlineStr"/>
    </row>
    <row r="261" ht="15" customHeight="1">
      <c r="A261" t="inlineStr">
        <is>
          <t>A 38428-2025</t>
        </is>
      </c>
      <c r="B261" s="1" t="n">
        <v>45883.63628472222</v>
      </c>
      <c r="C261" s="1" t="n">
        <v>46134</v>
      </c>
      <c r="D261" t="inlineStr">
        <is>
          <t>JÄMTLANDS LÄN</t>
        </is>
      </c>
      <c r="E261" t="inlineStr">
        <is>
          <t>BERG</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13936-2024</t>
        </is>
      </c>
      <c r="B262" s="1" t="n">
        <v>45391.9533912037</v>
      </c>
      <c r="C262" s="1" t="n">
        <v>46134</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64251-2023</t>
        </is>
      </c>
      <c r="B263" s="1" t="n">
        <v>45279.92756944444</v>
      </c>
      <c r="C263" s="1" t="n">
        <v>46134</v>
      </c>
      <c r="D263" t="inlineStr">
        <is>
          <t>JÄMTLANDS LÄN</t>
        </is>
      </c>
      <c r="E263" t="inlineStr">
        <is>
          <t>BERG</t>
        </is>
      </c>
      <c r="G263" t="n">
        <v>0.4</v>
      </c>
      <c r="H263" t="n">
        <v>0</v>
      </c>
      <c r="I263" t="n">
        <v>0</v>
      </c>
      <c r="J263" t="n">
        <v>0</v>
      </c>
      <c r="K263" t="n">
        <v>0</v>
      </c>
      <c r="L263" t="n">
        <v>0</v>
      </c>
      <c r="M263" t="n">
        <v>0</v>
      </c>
      <c r="N263" t="n">
        <v>0</v>
      </c>
      <c r="O263" t="n">
        <v>0</v>
      </c>
      <c r="P263" t="n">
        <v>0</v>
      </c>
      <c r="Q263" t="n">
        <v>0</v>
      </c>
      <c r="R263" s="2" t="inlineStr"/>
    </row>
    <row r="264" ht="15" customHeight="1">
      <c r="A264" t="inlineStr">
        <is>
          <t>A 23900-2025</t>
        </is>
      </c>
      <c r="B264" s="1" t="n">
        <v>45794.34425925926</v>
      </c>
      <c r="C264" s="1" t="n">
        <v>46134</v>
      </c>
      <c r="D264" t="inlineStr">
        <is>
          <t>JÄMTLANDS LÄN</t>
        </is>
      </c>
      <c r="E264" t="inlineStr">
        <is>
          <t>BERG</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23915-2025</t>
        </is>
      </c>
      <c r="B265" s="1" t="n">
        <v>45795.3446412037</v>
      </c>
      <c r="C265" s="1" t="n">
        <v>46134</v>
      </c>
      <c r="D265" t="inlineStr">
        <is>
          <t>JÄMTLANDS LÄN</t>
        </is>
      </c>
      <c r="E265" t="inlineStr">
        <is>
          <t>BERG</t>
        </is>
      </c>
      <c r="F265" t="inlineStr">
        <is>
          <t>SCA</t>
        </is>
      </c>
      <c r="G265" t="n">
        <v>16.7</v>
      </c>
      <c r="H265" t="n">
        <v>0</v>
      </c>
      <c r="I265" t="n">
        <v>0</v>
      </c>
      <c r="J265" t="n">
        <v>0</v>
      </c>
      <c r="K265" t="n">
        <v>0</v>
      </c>
      <c r="L265" t="n">
        <v>0</v>
      </c>
      <c r="M265" t="n">
        <v>0</v>
      </c>
      <c r="N265" t="n">
        <v>0</v>
      </c>
      <c r="O265" t="n">
        <v>0</v>
      </c>
      <c r="P265" t="n">
        <v>0</v>
      </c>
      <c r="Q265" t="n">
        <v>0</v>
      </c>
      <c r="R265" s="2" t="inlineStr"/>
    </row>
    <row r="266" ht="15" customHeight="1">
      <c r="A266" t="inlineStr">
        <is>
          <t>A 23916-2025</t>
        </is>
      </c>
      <c r="B266" s="1" t="n">
        <v>45795.34472222222</v>
      </c>
      <c r="C266" s="1" t="n">
        <v>46134</v>
      </c>
      <c r="D266" t="inlineStr">
        <is>
          <t>JÄMTLANDS LÄN</t>
        </is>
      </c>
      <c r="E266" t="inlineStr">
        <is>
          <t>BERG</t>
        </is>
      </c>
      <c r="F266" t="inlineStr">
        <is>
          <t>SCA</t>
        </is>
      </c>
      <c r="G266" t="n">
        <v>3.7</v>
      </c>
      <c r="H266" t="n">
        <v>0</v>
      </c>
      <c r="I266" t="n">
        <v>0</v>
      </c>
      <c r="J266" t="n">
        <v>0</v>
      </c>
      <c r="K266" t="n">
        <v>0</v>
      </c>
      <c r="L266" t="n">
        <v>0</v>
      </c>
      <c r="M266" t="n">
        <v>0</v>
      </c>
      <c r="N266" t="n">
        <v>0</v>
      </c>
      <c r="O266" t="n">
        <v>0</v>
      </c>
      <c r="P266" t="n">
        <v>0</v>
      </c>
      <c r="Q266" t="n">
        <v>0</v>
      </c>
      <c r="R266" s="2" t="inlineStr"/>
    </row>
    <row r="267" ht="15" customHeight="1">
      <c r="A267" t="inlineStr">
        <is>
          <t>A 57226-2022</t>
        </is>
      </c>
      <c r="B267" s="1" t="n">
        <v>44895.66629629629</v>
      </c>
      <c r="C267" s="1" t="n">
        <v>46134</v>
      </c>
      <c r="D267" t="inlineStr">
        <is>
          <t>JÄMTLANDS LÄN</t>
        </is>
      </c>
      <c r="E267" t="inlineStr">
        <is>
          <t>BERG</t>
        </is>
      </c>
      <c r="G267" t="n">
        <v>4.6</v>
      </c>
      <c r="H267" t="n">
        <v>0</v>
      </c>
      <c r="I267" t="n">
        <v>0</v>
      </c>
      <c r="J267" t="n">
        <v>0</v>
      </c>
      <c r="K267" t="n">
        <v>0</v>
      </c>
      <c r="L267" t="n">
        <v>0</v>
      </c>
      <c r="M267" t="n">
        <v>0</v>
      </c>
      <c r="N267" t="n">
        <v>0</v>
      </c>
      <c r="O267" t="n">
        <v>0</v>
      </c>
      <c r="P267" t="n">
        <v>0</v>
      </c>
      <c r="Q267" t="n">
        <v>0</v>
      </c>
      <c r="R267" s="2" t="inlineStr"/>
    </row>
    <row r="268" ht="15" customHeight="1">
      <c r="A268" t="inlineStr">
        <is>
          <t>A 23560-2024</t>
        </is>
      </c>
      <c r="B268" s="1" t="n">
        <v>45453.95467592592</v>
      </c>
      <c r="C268" s="1" t="n">
        <v>46134</v>
      </c>
      <c r="D268" t="inlineStr">
        <is>
          <t>JÄMTLANDS LÄN</t>
        </is>
      </c>
      <c r="E268" t="inlineStr">
        <is>
          <t>BERG</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35866-2024</t>
        </is>
      </c>
      <c r="B269" s="1" t="n">
        <v>45533.3422337963</v>
      </c>
      <c r="C269" s="1" t="n">
        <v>46134</v>
      </c>
      <c r="D269" t="inlineStr">
        <is>
          <t>JÄMTLANDS LÄN</t>
        </is>
      </c>
      <c r="E269" t="inlineStr">
        <is>
          <t>BERG</t>
        </is>
      </c>
      <c r="G269" t="n">
        <v>2.5</v>
      </c>
      <c r="H269" t="n">
        <v>0</v>
      </c>
      <c r="I269" t="n">
        <v>0</v>
      </c>
      <c r="J269" t="n">
        <v>0</v>
      </c>
      <c r="K269" t="n">
        <v>0</v>
      </c>
      <c r="L269" t="n">
        <v>0</v>
      </c>
      <c r="M269" t="n">
        <v>0</v>
      </c>
      <c r="N269" t="n">
        <v>0</v>
      </c>
      <c r="O269" t="n">
        <v>0</v>
      </c>
      <c r="P269" t="n">
        <v>0</v>
      </c>
      <c r="Q269" t="n">
        <v>0</v>
      </c>
      <c r="R269" s="2" t="inlineStr"/>
    </row>
    <row r="270" ht="15" customHeight="1">
      <c r="A270" t="inlineStr">
        <is>
          <t>A 23920-2025</t>
        </is>
      </c>
      <c r="B270" s="1" t="n">
        <v>45795.34505787037</v>
      </c>
      <c r="C270" s="1" t="n">
        <v>46134</v>
      </c>
      <c r="D270" t="inlineStr">
        <is>
          <t>JÄMTLANDS LÄN</t>
        </is>
      </c>
      <c r="E270" t="inlineStr">
        <is>
          <t>BERG</t>
        </is>
      </c>
      <c r="F270" t="inlineStr">
        <is>
          <t>SCA</t>
        </is>
      </c>
      <c r="G270" t="n">
        <v>8.5</v>
      </c>
      <c r="H270" t="n">
        <v>0</v>
      </c>
      <c r="I270" t="n">
        <v>0</v>
      </c>
      <c r="J270" t="n">
        <v>0</v>
      </c>
      <c r="K270" t="n">
        <v>0</v>
      </c>
      <c r="L270" t="n">
        <v>0</v>
      </c>
      <c r="M270" t="n">
        <v>0</v>
      </c>
      <c r="N270" t="n">
        <v>0</v>
      </c>
      <c r="O270" t="n">
        <v>0</v>
      </c>
      <c r="P270" t="n">
        <v>0</v>
      </c>
      <c r="Q270" t="n">
        <v>0</v>
      </c>
      <c r="R270" s="2" t="inlineStr"/>
    </row>
    <row r="271" ht="15" customHeight="1">
      <c r="A271" t="inlineStr">
        <is>
          <t>A 23901-2025</t>
        </is>
      </c>
      <c r="B271" s="1" t="n">
        <v>45794.34436342592</v>
      </c>
      <c r="C271" s="1" t="n">
        <v>46134</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17922-2024</t>
        </is>
      </c>
      <c r="B272" s="1" t="n">
        <v>45419.5853587963</v>
      </c>
      <c r="C272" s="1" t="n">
        <v>46134</v>
      </c>
      <c r="D272" t="inlineStr">
        <is>
          <t>JÄMTLANDS LÄN</t>
        </is>
      </c>
      <c r="E272" t="inlineStr">
        <is>
          <t>BERG</t>
        </is>
      </c>
      <c r="F272" t="inlineStr">
        <is>
          <t>Holmen skog AB</t>
        </is>
      </c>
      <c r="G272" t="n">
        <v>6.8</v>
      </c>
      <c r="H272" t="n">
        <v>0</v>
      </c>
      <c r="I272" t="n">
        <v>0</v>
      </c>
      <c r="J272" t="n">
        <v>0</v>
      </c>
      <c r="K272" t="n">
        <v>0</v>
      </c>
      <c r="L272" t="n">
        <v>0</v>
      </c>
      <c r="M272" t="n">
        <v>0</v>
      </c>
      <c r="N272" t="n">
        <v>0</v>
      </c>
      <c r="O272" t="n">
        <v>0</v>
      </c>
      <c r="P272" t="n">
        <v>0</v>
      </c>
      <c r="Q272" t="n">
        <v>0</v>
      </c>
      <c r="R272" s="2" t="inlineStr"/>
    </row>
    <row r="273" ht="15" customHeight="1">
      <c r="A273" t="inlineStr">
        <is>
          <t>A 23919-2025</t>
        </is>
      </c>
      <c r="B273" s="1" t="n">
        <v>45795.34497685185</v>
      </c>
      <c r="C273" s="1" t="n">
        <v>46134</v>
      </c>
      <c r="D273" t="inlineStr">
        <is>
          <t>JÄMTLANDS LÄN</t>
        </is>
      </c>
      <c r="E273" t="inlineStr">
        <is>
          <t>BERG</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24060-2025</t>
        </is>
      </c>
      <c r="B274" s="1" t="n">
        <v>45796.5216087963</v>
      </c>
      <c r="C274" s="1" t="n">
        <v>46134</v>
      </c>
      <c r="D274" t="inlineStr">
        <is>
          <t>JÄMTLANDS LÄN</t>
        </is>
      </c>
      <c r="E274" t="inlineStr">
        <is>
          <t>BERG</t>
        </is>
      </c>
      <c r="G274" t="n">
        <v>4.7</v>
      </c>
      <c r="H274" t="n">
        <v>0</v>
      </c>
      <c r="I274" t="n">
        <v>0</v>
      </c>
      <c r="J274" t="n">
        <v>0</v>
      </c>
      <c r="K274" t="n">
        <v>0</v>
      </c>
      <c r="L274" t="n">
        <v>0</v>
      </c>
      <c r="M274" t="n">
        <v>0</v>
      </c>
      <c r="N274" t="n">
        <v>0</v>
      </c>
      <c r="O274" t="n">
        <v>0</v>
      </c>
      <c r="P274" t="n">
        <v>0</v>
      </c>
      <c r="Q274" t="n">
        <v>0</v>
      </c>
      <c r="R274" s="2" t="inlineStr"/>
    </row>
    <row r="275" ht="15" customHeight="1">
      <c r="A275" t="inlineStr">
        <is>
          <t>A 63381-2025</t>
        </is>
      </c>
      <c r="B275" s="1" t="n">
        <v>46010.89377314815</v>
      </c>
      <c r="C275" s="1" t="n">
        <v>46134</v>
      </c>
      <c r="D275" t="inlineStr">
        <is>
          <t>JÄMTLANDS LÄN</t>
        </is>
      </c>
      <c r="E275" t="inlineStr">
        <is>
          <t>BERG</t>
        </is>
      </c>
      <c r="G275" t="n">
        <v>3.6</v>
      </c>
      <c r="H275" t="n">
        <v>0</v>
      </c>
      <c r="I275" t="n">
        <v>0</v>
      </c>
      <c r="J275" t="n">
        <v>0</v>
      </c>
      <c r="K275" t="n">
        <v>0</v>
      </c>
      <c r="L275" t="n">
        <v>0</v>
      </c>
      <c r="M275" t="n">
        <v>0</v>
      </c>
      <c r="N275" t="n">
        <v>0</v>
      </c>
      <c r="O275" t="n">
        <v>0</v>
      </c>
      <c r="P275" t="n">
        <v>0</v>
      </c>
      <c r="Q275" t="n">
        <v>0</v>
      </c>
      <c r="R275" s="2" t="inlineStr"/>
    </row>
    <row r="276" ht="15" customHeight="1">
      <c r="A276" t="inlineStr">
        <is>
          <t>A 54799-2021</t>
        </is>
      </c>
      <c r="B276" s="1" t="n">
        <v>44473</v>
      </c>
      <c r="C276" s="1" t="n">
        <v>46134</v>
      </c>
      <c r="D276" t="inlineStr">
        <is>
          <t>JÄMTLANDS LÄN</t>
        </is>
      </c>
      <c r="E276" t="inlineStr">
        <is>
          <t>BERG</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63559-2025</t>
        </is>
      </c>
      <c r="B277" s="1" t="n">
        <v>46013.61951388889</v>
      </c>
      <c r="C277" s="1" t="n">
        <v>46134</v>
      </c>
      <c r="D277" t="inlineStr">
        <is>
          <t>JÄMTLANDS LÄN</t>
        </is>
      </c>
      <c r="E277" t="inlineStr">
        <is>
          <t>BERG</t>
        </is>
      </c>
      <c r="G277" t="n">
        <v>0.6</v>
      </c>
      <c r="H277" t="n">
        <v>0</v>
      </c>
      <c r="I277" t="n">
        <v>0</v>
      </c>
      <c r="J277" t="n">
        <v>0</v>
      </c>
      <c r="K277" t="n">
        <v>0</v>
      </c>
      <c r="L277" t="n">
        <v>0</v>
      </c>
      <c r="M277" t="n">
        <v>0</v>
      </c>
      <c r="N277" t="n">
        <v>0</v>
      </c>
      <c r="O277" t="n">
        <v>0</v>
      </c>
      <c r="P277" t="n">
        <v>0</v>
      </c>
      <c r="Q277" t="n">
        <v>0</v>
      </c>
      <c r="R277" s="2" t="inlineStr"/>
    </row>
    <row r="278" ht="15" customHeight="1">
      <c r="A278" t="inlineStr">
        <is>
          <t>A 63562-2025</t>
        </is>
      </c>
      <c r="B278" s="1" t="n">
        <v>46013.62353009259</v>
      </c>
      <c r="C278" s="1" t="n">
        <v>46134</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23766-2025</t>
        </is>
      </c>
      <c r="B279" s="1" t="n">
        <v>45793.46954861111</v>
      </c>
      <c r="C279" s="1" t="n">
        <v>46134</v>
      </c>
      <c r="D279" t="inlineStr">
        <is>
          <t>JÄMTLANDS LÄN</t>
        </is>
      </c>
      <c r="E279" t="inlineStr">
        <is>
          <t>BERG</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36142-2025</t>
        </is>
      </c>
      <c r="B280" s="1" t="n">
        <v>45866</v>
      </c>
      <c r="C280" s="1" t="n">
        <v>46134</v>
      </c>
      <c r="D280" t="inlineStr">
        <is>
          <t>JÄMTLANDS LÄN</t>
        </is>
      </c>
      <c r="E280" t="inlineStr">
        <is>
          <t>BERG</t>
        </is>
      </c>
      <c r="F280" t="inlineStr">
        <is>
          <t>SCA</t>
        </is>
      </c>
      <c r="G280" t="n">
        <v>4.1</v>
      </c>
      <c r="H280" t="n">
        <v>0</v>
      </c>
      <c r="I280" t="n">
        <v>0</v>
      </c>
      <c r="J280" t="n">
        <v>0</v>
      </c>
      <c r="K280" t="n">
        <v>0</v>
      </c>
      <c r="L280" t="n">
        <v>0</v>
      </c>
      <c r="M280" t="n">
        <v>0</v>
      </c>
      <c r="N280" t="n">
        <v>0</v>
      </c>
      <c r="O280" t="n">
        <v>0</v>
      </c>
      <c r="P280" t="n">
        <v>0</v>
      </c>
      <c r="Q280" t="n">
        <v>0</v>
      </c>
      <c r="R280" s="2" t="inlineStr"/>
    </row>
    <row r="281" ht="15" customHeight="1">
      <c r="A281" t="inlineStr">
        <is>
          <t>A 24360-2025</t>
        </is>
      </c>
      <c r="B281" s="1" t="n">
        <v>45797.59502314815</v>
      </c>
      <c r="C281" s="1" t="n">
        <v>46134</v>
      </c>
      <c r="D281" t="inlineStr">
        <is>
          <t>JÄMTLANDS LÄN</t>
        </is>
      </c>
      <c r="E281" t="inlineStr">
        <is>
          <t>BERG</t>
        </is>
      </c>
      <c r="F281" t="inlineStr">
        <is>
          <t>SCA</t>
        </is>
      </c>
      <c r="G281" t="n">
        <v>10.5</v>
      </c>
      <c r="H281" t="n">
        <v>0</v>
      </c>
      <c r="I281" t="n">
        <v>0</v>
      </c>
      <c r="J281" t="n">
        <v>0</v>
      </c>
      <c r="K281" t="n">
        <v>0</v>
      </c>
      <c r="L281" t="n">
        <v>0</v>
      </c>
      <c r="M281" t="n">
        <v>0</v>
      </c>
      <c r="N281" t="n">
        <v>0</v>
      </c>
      <c r="O281" t="n">
        <v>0</v>
      </c>
      <c r="P281" t="n">
        <v>0</v>
      </c>
      <c r="Q281" t="n">
        <v>0</v>
      </c>
      <c r="R281" s="2" t="inlineStr"/>
    </row>
    <row r="282" ht="15" customHeight="1">
      <c r="A282" t="inlineStr">
        <is>
          <t>A 48209-2025</t>
        </is>
      </c>
      <c r="B282" s="1" t="n">
        <v>45933.4900462963</v>
      </c>
      <c r="C282" s="1" t="n">
        <v>46134</v>
      </c>
      <c r="D282" t="inlineStr">
        <is>
          <t>JÄMTLANDS LÄN</t>
        </is>
      </c>
      <c r="E282" t="inlineStr">
        <is>
          <t>BERG</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55223-2025</t>
        </is>
      </c>
      <c r="B283" s="1" t="n">
        <v>45968.59439814815</v>
      </c>
      <c r="C283" s="1" t="n">
        <v>46134</v>
      </c>
      <c r="D283" t="inlineStr">
        <is>
          <t>JÄMTLANDS LÄN</t>
        </is>
      </c>
      <c r="E283" t="inlineStr">
        <is>
          <t>BERG</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24324-2025</t>
        </is>
      </c>
      <c r="B284" s="1" t="n">
        <v>45797.56049768518</v>
      </c>
      <c r="C284" s="1" t="n">
        <v>46134</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29540-2024</t>
        </is>
      </c>
      <c r="B285" s="1" t="n">
        <v>45484</v>
      </c>
      <c r="C285" s="1" t="n">
        <v>46134</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24390-2025</t>
        </is>
      </c>
      <c r="B286" s="1" t="n">
        <v>45797.63576388889</v>
      </c>
      <c r="C286" s="1" t="n">
        <v>46134</v>
      </c>
      <c r="D286" t="inlineStr">
        <is>
          <t>JÄMTLANDS LÄN</t>
        </is>
      </c>
      <c r="E286" t="inlineStr">
        <is>
          <t>BERG</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28098-2024</t>
        </is>
      </c>
      <c r="B287" s="1" t="n">
        <v>45476.61347222222</v>
      </c>
      <c r="C287" s="1" t="n">
        <v>46134</v>
      </c>
      <c r="D287" t="inlineStr">
        <is>
          <t>JÄMTLANDS LÄN</t>
        </is>
      </c>
      <c r="E287" t="inlineStr">
        <is>
          <t>BERG</t>
        </is>
      </c>
      <c r="G287" t="n">
        <v>0.4</v>
      </c>
      <c r="H287" t="n">
        <v>0</v>
      </c>
      <c r="I287" t="n">
        <v>0</v>
      </c>
      <c r="J287" t="n">
        <v>0</v>
      </c>
      <c r="K287" t="n">
        <v>0</v>
      </c>
      <c r="L287" t="n">
        <v>0</v>
      </c>
      <c r="M287" t="n">
        <v>0</v>
      </c>
      <c r="N287" t="n">
        <v>0</v>
      </c>
      <c r="O287" t="n">
        <v>0</v>
      </c>
      <c r="P287" t="n">
        <v>0</v>
      </c>
      <c r="Q287" t="n">
        <v>0</v>
      </c>
      <c r="R287" s="2" t="inlineStr"/>
    </row>
    <row r="288" ht="15" customHeight="1">
      <c r="A288" t="inlineStr">
        <is>
          <t>A 45570-2025</t>
        </is>
      </c>
      <c r="B288" s="1" t="n">
        <v>45922.65715277778</v>
      </c>
      <c r="C288" s="1" t="n">
        <v>46134</v>
      </c>
      <c r="D288" t="inlineStr">
        <is>
          <t>JÄMTLANDS LÄN</t>
        </is>
      </c>
      <c r="E288" t="inlineStr">
        <is>
          <t>BERG</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40339-2025</t>
        </is>
      </c>
      <c r="B289" s="1" t="n">
        <v>45895</v>
      </c>
      <c r="C289" s="1" t="n">
        <v>46134</v>
      </c>
      <c r="D289" t="inlineStr">
        <is>
          <t>JÄMTLANDS LÄN</t>
        </is>
      </c>
      <c r="E289" t="inlineStr">
        <is>
          <t>BERG</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40340-2025</t>
        </is>
      </c>
      <c r="B290" s="1" t="n">
        <v>45895.46922453704</v>
      </c>
      <c r="C290" s="1" t="n">
        <v>46134</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55770-2025</t>
        </is>
      </c>
      <c r="B291" s="1" t="n">
        <v>45972</v>
      </c>
      <c r="C291" s="1" t="n">
        <v>46134</v>
      </c>
      <c r="D291" t="inlineStr">
        <is>
          <t>JÄMTLANDS LÄN</t>
        </is>
      </c>
      <c r="E291" t="inlineStr">
        <is>
          <t>BERG</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38682-2023</t>
        </is>
      </c>
      <c r="B292" s="1" t="n">
        <v>45162</v>
      </c>
      <c r="C292" s="1" t="n">
        <v>46134</v>
      </c>
      <c r="D292" t="inlineStr">
        <is>
          <t>JÄMTLANDS LÄN</t>
        </is>
      </c>
      <c r="E292" t="inlineStr">
        <is>
          <t>BERG</t>
        </is>
      </c>
      <c r="F292" t="inlineStr">
        <is>
          <t>SCA</t>
        </is>
      </c>
      <c r="G292" t="n">
        <v>21.3</v>
      </c>
      <c r="H292" t="n">
        <v>0</v>
      </c>
      <c r="I292" t="n">
        <v>0</v>
      </c>
      <c r="J292" t="n">
        <v>0</v>
      </c>
      <c r="K292" t="n">
        <v>0</v>
      </c>
      <c r="L292" t="n">
        <v>0</v>
      </c>
      <c r="M292" t="n">
        <v>0</v>
      </c>
      <c r="N292" t="n">
        <v>0</v>
      </c>
      <c r="O292" t="n">
        <v>0</v>
      </c>
      <c r="P292" t="n">
        <v>0</v>
      </c>
      <c r="Q292" t="n">
        <v>0</v>
      </c>
      <c r="R292" s="2" t="inlineStr"/>
    </row>
    <row r="293" ht="15" customHeight="1">
      <c r="A293" t="inlineStr">
        <is>
          <t>A 55224-2025</t>
        </is>
      </c>
      <c r="B293" s="1" t="n">
        <v>45968.59447916667</v>
      </c>
      <c r="C293" s="1" t="n">
        <v>46134</v>
      </c>
      <c r="D293" t="inlineStr">
        <is>
          <t>JÄMTLANDS LÄN</t>
        </is>
      </c>
      <c r="E293" t="inlineStr">
        <is>
          <t>BERG</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38388-2025</t>
        </is>
      </c>
      <c r="B294" s="1" t="n">
        <v>45883.57467592593</v>
      </c>
      <c r="C294" s="1" t="n">
        <v>46134</v>
      </c>
      <c r="D294" t="inlineStr">
        <is>
          <t>JÄMTLANDS LÄN</t>
        </is>
      </c>
      <c r="E294" t="inlineStr">
        <is>
          <t>BERG</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24442-2025</t>
        </is>
      </c>
      <c r="B295" s="1" t="n">
        <v>45797.96236111111</v>
      </c>
      <c r="C295" s="1" t="n">
        <v>46134</v>
      </c>
      <c r="D295" t="inlineStr">
        <is>
          <t>JÄMTLANDS LÄN</t>
        </is>
      </c>
      <c r="E295" t="inlineStr">
        <is>
          <t>BERG</t>
        </is>
      </c>
      <c r="G295" t="n">
        <v>9</v>
      </c>
      <c r="H295" t="n">
        <v>0</v>
      </c>
      <c r="I295" t="n">
        <v>0</v>
      </c>
      <c r="J295" t="n">
        <v>0</v>
      </c>
      <c r="K295" t="n">
        <v>0</v>
      </c>
      <c r="L295" t="n">
        <v>0</v>
      </c>
      <c r="M295" t="n">
        <v>0</v>
      </c>
      <c r="N295" t="n">
        <v>0</v>
      </c>
      <c r="O295" t="n">
        <v>0</v>
      </c>
      <c r="P295" t="n">
        <v>0</v>
      </c>
      <c r="Q295" t="n">
        <v>0</v>
      </c>
      <c r="R295" s="2" t="inlineStr"/>
    </row>
    <row r="296" ht="15" customHeight="1">
      <c r="A296" t="inlineStr">
        <is>
          <t>A 60831-2025</t>
        </is>
      </c>
      <c r="B296" s="1" t="n">
        <v>45999.46935185185</v>
      </c>
      <c r="C296" s="1" t="n">
        <v>46134</v>
      </c>
      <c r="D296" t="inlineStr">
        <is>
          <t>JÄMTLANDS LÄN</t>
        </is>
      </c>
      <c r="E296" t="inlineStr">
        <is>
          <t>BERG</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48056-2025</t>
        </is>
      </c>
      <c r="B297" s="1" t="n">
        <v>45932.67946759259</v>
      </c>
      <c r="C297" s="1" t="n">
        <v>46134</v>
      </c>
      <c r="D297" t="inlineStr">
        <is>
          <t>JÄMTLANDS LÄN</t>
        </is>
      </c>
      <c r="E297" t="inlineStr">
        <is>
          <t>BERG</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48190-2025</t>
        </is>
      </c>
      <c r="B298" s="1" t="n">
        <v>45933.46930555555</v>
      </c>
      <c r="C298" s="1" t="n">
        <v>46134</v>
      </c>
      <c r="D298" t="inlineStr">
        <is>
          <t>JÄMTLANDS LÄN</t>
        </is>
      </c>
      <c r="E298" t="inlineStr">
        <is>
          <t>BERG</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57271-2025</t>
        </is>
      </c>
      <c r="B299" s="1" t="n">
        <v>45979.67789351852</v>
      </c>
      <c r="C299" s="1" t="n">
        <v>46134</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46908-2025</t>
        </is>
      </c>
      <c r="B300" s="1" t="n">
        <v>45929.40664351852</v>
      </c>
      <c r="C300" s="1" t="n">
        <v>46134</v>
      </c>
      <c r="D300" t="inlineStr">
        <is>
          <t>JÄMTLANDS LÄN</t>
        </is>
      </c>
      <c r="E300" t="inlineStr">
        <is>
          <t>BERG</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44051-2025</t>
        </is>
      </c>
      <c r="B301" s="1" t="n">
        <v>45915.51079861111</v>
      </c>
      <c r="C301" s="1" t="n">
        <v>46134</v>
      </c>
      <c r="D301" t="inlineStr">
        <is>
          <t>JÄMTLANDS LÄN</t>
        </is>
      </c>
      <c r="E301" t="inlineStr">
        <is>
          <t>BERG</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38408-2025</t>
        </is>
      </c>
      <c r="B302" s="1" t="n">
        <v>45883.59412037037</v>
      </c>
      <c r="C302" s="1" t="n">
        <v>46134</v>
      </c>
      <c r="D302" t="inlineStr">
        <is>
          <t>JÄMTLANDS LÄN</t>
        </is>
      </c>
      <c r="E302" t="inlineStr">
        <is>
          <t>BERG</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18872-2023</t>
        </is>
      </c>
      <c r="B303" s="1" t="n">
        <v>45042</v>
      </c>
      <c r="C303" s="1" t="n">
        <v>46134</v>
      </c>
      <c r="D303" t="inlineStr">
        <is>
          <t>JÄMTLANDS LÄN</t>
        </is>
      </c>
      <c r="E303" t="inlineStr">
        <is>
          <t>BERG</t>
        </is>
      </c>
      <c r="G303" t="n">
        <v>13.2</v>
      </c>
      <c r="H303" t="n">
        <v>0</v>
      </c>
      <c r="I303" t="n">
        <v>0</v>
      </c>
      <c r="J303" t="n">
        <v>0</v>
      </c>
      <c r="K303" t="n">
        <v>0</v>
      </c>
      <c r="L303" t="n">
        <v>0</v>
      </c>
      <c r="M303" t="n">
        <v>0</v>
      </c>
      <c r="N303" t="n">
        <v>0</v>
      </c>
      <c r="O303" t="n">
        <v>0</v>
      </c>
      <c r="P303" t="n">
        <v>0</v>
      </c>
      <c r="Q303" t="n">
        <v>0</v>
      </c>
      <c r="R303" s="2" t="inlineStr"/>
    </row>
    <row r="304" ht="15" customHeight="1">
      <c r="A304" t="inlineStr">
        <is>
          <t>A 21508-2024</t>
        </is>
      </c>
      <c r="B304" s="1" t="n">
        <v>45441.56905092593</v>
      </c>
      <c r="C304" s="1" t="n">
        <v>46134</v>
      </c>
      <c r="D304" t="inlineStr">
        <is>
          <t>JÄMTLANDS LÄN</t>
        </is>
      </c>
      <c r="E304" t="inlineStr">
        <is>
          <t>BERG</t>
        </is>
      </c>
      <c r="G304" t="n">
        <v>3.2</v>
      </c>
      <c r="H304" t="n">
        <v>0</v>
      </c>
      <c r="I304" t="n">
        <v>0</v>
      </c>
      <c r="J304" t="n">
        <v>0</v>
      </c>
      <c r="K304" t="n">
        <v>0</v>
      </c>
      <c r="L304" t="n">
        <v>0</v>
      </c>
      <c r="M304" t="n">
        <v>0</v>
      </c>
      <c r="N304" t="n">
        <v>0</v>
      </c>
      <c r="O304" t="n">
        <v>0</v>
      </c>
      <c r="P304" t="n">
        <v>0</v>
      </c>
      <c r="Q304" t="n">
        <v>0</v>
      </c>
      <c r="R304" s="2" t="inlineStr"/>
    </row>
    <row r="305" ht="15" customHeight="1">
      <c r="A305" t="inlineStr">
        <is>
          <t>A 29378-2024</t>
        </is>
      </c>
      <c r="B305" s="1" t="n">
        <v>45483.59328703704</v>
      </c>
      <c r="C305" s="1" t="n">
        <v>46134</v>
      </c>
      <c r="D305" t="inlineStr">
        <is>
          <t>JÄMTLANDS LÄN</t>
        </is>
      </c>
      <c r="E305" t="inlineStr">
        <is>
          <t>BERG</t>
        </is>
      </c>
      <c r="G305" t="n">
        <v>5.6</v>
      </c>
      <c r="H305" t="n">
        <v>0</v>
      </c>
      <c r="I305" t="n">
        <v>0</v>
      </c>
      <c r="J305" t="n">
        <v>0</v>
      </c>
      <c r="K305" t="n">
        <v>0</v>
      </c>
      <c r="L305" t="n">
        <v>0</v>
      </c>
      <c r="M305" t="n">
        <v>0</v>
      </c>
      <c r="N305" t="n">
        <v>0</v>
      </c>
      <c r="O305" t="n">
        <v>0</v>
      </c>
      <c r="P305" t="n">
        <v>0</v>
      </c>
      <c r="Q305" t="n">
        <v>0</v>
      </c>
      <c r="R305" s="2" t="inlineStr"/>
    </row>
    <row r="306" ht="15" customHeight="1">
      <c r="A306" t="inlineStr">
        <is>
          <t>A 24786-2025</t>
        </is>
      </c>
      <c r="B306" s="1" t="n">
        <v>45799.42777777778</v>
      </c>
      <c r="C306" s="1" t="n">
        <v>46134</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29424-2024</t>
        </is>
      </c>
      <c r="B307" s="1" t="n">
        <v>45483.71451388889</v>
      </c>
      <c r="C307" s="1" t="n">
        <v>46134</v>
      </c>
      <c r="D307" t="inlineStr">
        <is>
          <t>JÄMTLANDS LÄN</t>
        </is>
      </c>
      <c r="E307" t="inlineStr">
        <is>
          <t>BERG</t>
        </is>
      </c>
      <c r="G307" t="n">
        <v>4</v>
      </c>
      <c r="H307" t="n">
        <v>0</v>
      </c>
      <c r="I307" t="n">
        <v>0</v>
      </c>
      <c r="J307" t="n">
        <v>0</v>
      </c>
      <c r="K307" t="n">
        <v>0</v>
      </c>
      <c r="L307" t="n">
        <v>0</v>
      </c>
      <c r="M307" t="n">
        <v>0</v>
      </c>
      <c r="N307" t="n">
        <v>0</v>
      </c>
      <c r="O307" t="n">
        <v>0</v>
      </c>
      <c r="P307" t="n">
        <v>0</v>
      </c>
      <c r="Q307" t="n">
        <v>0</v>
      </c>
      <c r="R307" s="2" t="inlineStr"/>
    </row>
    <row r="308" ht="15" customHeight="1">
      <c r="A308" t="inlineStr">
        <is>
          <t>A 30917-2024</t>
        </is>
      </c>
      <c r="B308" s="1" t="n">
        <v>45498.66611111111</v>
      </c>
      <c r="C308" s="1" t="n">
        <v>46134</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30992-2024</t>
        </is>
      </c>
      <c r="B309" s="1" t="n">
        <v>45499</v>
      </c>
      <c r="C309" s="1" t="n">
        <v>46134</v>
      </c>
      <c r="D309" t="inlineStr">
        <is>
          <t>JÄMTLANDS LÄN</t>
        </is>
      </c>
      <c r="E309" t="inlineStr">
        <is>
          <t>BERG</t>
        </is>
      </c>
      <c r="F309" t="inlineStr">
        <is>
          <t>Sveaskog</t>
        </is>
      </c>
      <c r="G309" t="n">
        <v>5.1</v>
      </c>
      <c r="H309" t="n">
        <v>0</v>
      </c>
      <c r="I309" t="n">
        <v>0</v>
      </c>
      <c r="J309" t="n">
        <v>0</v>
      </c>
      <c r="K309" t="n">
        <v>0</v>
      </c>
      <c r="L309" t="n">
        <v>0</v>
      </c>
      <c r="M309" t="n">
        <v>0</v>
      </c>
      <c r="N309" t="n">
        <v>0</v>
      </c>
      <c r="O309" t="n">
        <v>0</v>
      </c>
      <c r="P309" t="n">
        <v>0</v>
      </c>
      <c r="Q309" t="n">
        <v>0</v>
      </c>
      <c r="R309" s="2" t="inlineStr"/>
    </row>
    <row r="310" ht="15" customHeight="1">
      <c r="A310" t="inlineStr">
        <is>
          <t>A 24849-2025</t>
        </is>
      </c>
      <c r="B310" s="1" t="n">
        <v>45799.46949074074</v>
      </c>
      <c r="C310" s="1" t="n">
        <v>46134</v>
      </c>
      <c r="D310" t="inlineStr">
        <is>
          <t>JÄMTLANDS LÄN</t>
        </is>
      </c>
      <c r="E310" t="inlineStr">
        <is>
          <t>BERG</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45081-2022</t>
        </is>
      </c>
      <c r="B311" s="1" t="n">
        <v>44841</v>
      </c>
      <c r="C311" s="1" t="n">
        <v>46134</v>
      </c>
      <c r="D311" t="inlineStr">
        <is>
          <t>JÄMTLANDS LÄN</t>
        </is>
      </c>
      <c r="E311" t="inlineStr">
        <is>
          <t>BERG</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24869-2025</t>
        </is>
      </c>
      <c r="B312" s="1" t="n">
        <v>45799.48994212963</v>
      </c>
      <c r="C312" s="1" t="n">
        <v>46134</v>
      </c>
      <c r="D312" t="inlineStr">
        <is>
          <t>JÄMTLANDS LÄN</t>
        </is>
      </c>
      <c r="E312" t="inlineStr">
        <is>
          <t>BERG</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59824-2025</t>
        </is>
      </c>
      <c r="B313" s="1" t="n">
        <v>45992.65116898148</v>
      </c>
      <c r="C313" s="1" t="n">
        <v>46134</v>
      </c>
      <c r="D313" t="inlineStr">
        <is>
          <t>JÄMTLANDS LÄN</t>
        </is>
      </c>
      <c r="E313" t="inlineStr">
        <is>
          <t>BERG</t>
        </is>
      </c>
      <c r="G313" t="n">
        <v>0.7</v>
      </c>
      <c r="H313" t="n">
        <v>0</v>
      </c>
      <c r="I313" t="n">
        <v>0</v>
      </c>
      <c r="J313" t="n">
        <v>0</v>
      </c>
      <c r="K313" t="n">
        <v>0</v>
      </c>
      <c r="L313" t="n">
        <v>0</v>
      </c>
      <c r="M313" t="n">
        <v>0</v>
      </c>
      <c r="N313" t="n">
        <v>0</v>
      </c>
      <c r="O313" t="n">
        <v>0</v>
      </c>
      <c r="P313" t="n">
        <v>0</v>
      </c>
      <c r="Q313" t="n">
        <v>0</v>
      </c>
      <c r="R313" s="2" t="inlineStr"/>
    </row>
    <row r="314" ht="15" customHeight="1">
      <c r="A314" t="inlineStr">
        <is>
          <t>A 19428-2025</t>
        </is>
      </c>
      <c r="B314" s="1" t="n">
        <v>45769.79763888889</v>
      </c>
      <c r="C314" s="1" t="n">
        <v>46134</v>
      </c>
      <c r="D314" t="inlineStr">
        <is>
          <t>JÄMTLANDS LÄN</t>
        </is>
      </c>
      <c r="E314" t="inlineStr">
        <is>
          <t>BERG</t>
        </is>
      </c>
      <c r="G314" t="n">
        <v>7.1</v>
      </c>
      <c r="H314" t="n">
        <v>0</v>
      </c>
      <c r="I314" t="n">
        <v>0</v>
      </c>
      <c r="J314" t="n">
        <v>0</v>
      </c>
      <c r="K314" t="n">
        <v>0</v>
      </c>
      <c r="L314" t="n">
        <v>0</v>
      </c>
      <c r="M314" t="n">
        <v>0</v>
      </c>
      <c r="N314" t="n">
        <v>0</v>
      </c>
      <c r="O314" t="n">
        <v>0</v>
      </c>
      <c r="P314" t="n">
        <v>0</v>
      </c>
      <c r="Q314" t="n">
        <v>0</v>
      </c>
      <c r="R314" s="2" t="inlineStr"/>
    </row>
    <row r="315" ht="15" customHeight="1">
      <c r="A315" t="inlineStr">
        <is>
          <t>A 60409-2023</t>
        </is>
      </c>
      <c r="B315" s="1" t="n">
        <v>45259.47972222222</v>
      </c>
      <c r="C315" s="1" t="n">
        <v>46134</v>
      </c>
      <c r="D315" t="inlineStr">
        <is>
          <t>JÄMTLANDS LÄN</t>
        </is>
      </c>
      <c r="E315" t="inlineStr">
        <is>
          <t>BERG</t>
        </is>
      </c>
      <c r="G315" t="n">
        <v>5.8</v>
      </c>
      <c r="H315" t="n">
        <v>0</v>
      </c>
      <c r="I315" t="n">
        <v>0</v>
      </c>
      <c r="J315" t="n">
        <v>0</v>
      </c>
      <c r="K315" t="n">
        <v>0</v>
      </c>
      <c r="L315" t="n">
        <v>0</v>
      </c>
      <c r="M315" t="n">
        <v>0</v>
      </c>
      <c r="N315" t="n">
        <v>0</v>
      </c>
      <c r="O315" t="n">
        <v>0</v>
      </c>
      <c r="P315" t="n">
        <v>0</v>
      </c>
      <c r="Q315" t="n">
        <v>0</v>
      </c>
      <c r="R315" s="2" t="inlineStr"/>
    </row>
    <row r="316" ht="15" customHeight="1">
      <c r="A316" t="inlineStr">
        <is>
          <t>A 5911-2024</t>
        </is>
      </c>
      <c r="B316" s="1" t="n">
        <v>45335</v>
      </c>
      <c r="C316" s="1" t="n">
        <v>46134</v>
      </c>
      <c r="D316" t="inlineStr">
        <is>
          <t>JÄMTLANDS LÄN</t>
        </is>
      </c>
      <c r="E316" t="inlineStr">
        <is>
          <t>BERG</t>
        </is>
      </c>
      <c r="F316" t="inlineStr">
        <is>
          <t>SCA</t>
        </is>
      </c>
      <c r="G316" t="n">
        <v>28.6</v>
      </c>
      <c r="H316" t="n">
        <v>0</v>
      </c>
      <c r="I316" t="n">
        <v>0</v>
      </c>
      <c r="J316" t="n">
        <v>0</v>
      </c>
      <c r="K316" t="n">
        <v>0</v>
      </c>
      <c r="L316" t="n">
        <v>0</v>
      </c>
      <c r="M316" t="n">
        <v>0</v>
      </c>
      <c r="N316" t="n">
        <v>0</v>
      </c>
      <c r="O316" t="n">
        <v>0</v>
      </c>
      <c r="P316" t="n">
        <v>0</v>
      </c>
      <c r="Q316" t="n">
        <v>0</v>
      </c>
      <c r="R316" s="2" t="inlineStr"/>
    </row>
    <row r="317" ht="15" customHeight="1">
      <c r="A317" t="inlineStr">
        <is>
          <t>A 1983-2022</t>
        </is>
      </c>
      <c r="B317" s="1" t="n">
        <v>44575</v>
      </c>
      <c r="C317" s="1" t="n">
        <v>46134</v>
      </c>
      <c r="D317" t="inlineStr">
        <is>
          <t>JÄMTLANDS LÄN</t>
        </is>
      </c>
      <c r="E317" t="inlineStr">
        <is>
          <t>BERG</t>
        </is>
      </c>
      <c r="G317" t="n">
        <v>1.8</v>
      </c>
      <c r="H317" t="n">
        <v>0</v>
      </c>
      <c r="I317" t="n">
        <v>0</v>
      </c>
      <c r="J317" t="n">
        <v>0</v>
      </c>
      <c r="K317" t="n">
        <v>0</v>
      </c>
      <c r="L317" t="n">
        <v>0</v>
      </c>
      <c r="M317" t="n">
        <v>0</v>
      </c>
      <c r="N317" t="n">
        <v>0</v>
      </c>
      <c r="O317" t="n">
        <v>0</v>
      </c>
      <c r="P317" t="n">
        <v>0</v>
      </c>
      <c r="Q317" t="n">
        <v>0</v>
      </c>
      <c r="R317" s="2" t="inlineStr"/>
    </row>
    <row r="318" ht="15" customHeight="1">
      <c r="A318" t="inlineStr">
        <is>
          <t>A 2002-2022</t>
        </is>
      </c>
      <c r="B318" s="1" t="n">
        <v>44575</v>
      </c>
      <c r="C318" s="1" t="n">
        <v>46134</v>
      </c>
      <c r="D318" t="inlineStr">
        <is>
          <t>JÄMTLANDS LÄN</t>
        </is>
      </c>
      <c r="E318" t="inlineStr">
        <is>
          <t>BERG</t>
        </is>
      </c>
      <c r="G318" t="n">
        <v>11.3</v>
      </c>
      <c r="H318" t="n">
        <v>0</v>
      </c>
      <c r="I318" t="n">
        <v>0</v>
      </c>
      <c r="J318" t="n">
        <v>0</v>
      </c>
      <c r="K318" t="n">
        <v>0</v>
      </c>
      <c r="L318" t="n">
        <v>0</v>
      </c>
      <c r="M318" t="n">
        <v>0</v>
      </c>
      <c r="N318" t="n">
        <v>0</v>
      </c>
      <c r="O318" t="n">
        <v>0</v>
      </c>
      <c r="P318" t="n">
        <v>0</v>
      </c>
      <c r="Q318" t="n">
        <v>0</v>
      </c>
      <c r="R318" s="2" t="inlineStr"/>
    </row>
    <row r="319" ht="15" customHeight="1">
      <c r="A319" t="inlineStr">
        <is>
          <t>A 39186-2024</t>
        </is>
      </c>
      <c r="B319" s="1" t="n">
        <v>45548.66489583333</v>
      </c>
      <c r="C319" s="1" t="n">
        <v>46134</v>
      </c>
      <c r="D319" t="inlineStr">
        <is>
          <t>JÄMTLANDS LÄN</t>
        </is>
      </c>
      <c r="E319" t="inlineStr">
        <is>
          <t>BERG</t>
        </is>
      </c>
      <c r="G319" t="n">
        <v>38.4</v>
      </c>
      <c r="H319" t="n">
        <v>0</v>
      </c>
      <c r="I319" t="n">
        <v>0</v>
      </c>
      <c r="J319" t="n">
        <v>0</v>
      </c>
      <c r="K319" t="n">
        <v>0</v>
      </c>
      <c r="L319" t="n">
        <v>0</v>
      </c>
      <c r="M319" t="n">
        <v>0</v>
      </c>
      <c r="N319" t="n">
        <v>0</v>
      </c>
      <c r="O319" t="n">
        <v>0</v>
      </c>
      <c r="P319" t="n">
        <v>0</v>
      </c>
      <c r="Q319" t="n">
        <v>0</v>
      </c>
      <c r="R319" s="2" t="inlineStr"/>
    </row>
    <row r="320" ht="15" customHeight="1">
      <c r="A320" t="inlineStr">
        <is>
          <t>A 24954-2025</t>
        </is>
      </c>
      <c r="B320" s="1" t="n">
        <v>45799.57385416667</v>
      </c>
      <c r="C320" s="1" t="n">
        <v>46134</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679-2026</t>
        </is>
      </c>
      <c r="B321" s="1" t="n">
        <v>46029.60032407408</v>
      </c>
      <c r="C321" s="1" t="n">
        <v>46134</v>
      </c>
      <c r="D321" t="inlineStr">
        <is>
          <t>JÄMTLANDS LÄN</t>
        </is>
      </c>
      <c r="E321" t="inlineStr">
        <is>
          <t>BERG</t>
        </is>
      </c>
      <c r="G321" t="n">
        <v>1.9</v>
      </c>
      <c r="H321" t="n">
        <v>0</v>
      </c>
      <c r="I321" t="n">
        <v>0</v>
      </c>
      <c r="J321" t="n">
        <v>0</v>
      </c>
      <c r="K321" t="n">
        <v>0</v>
      </c>
      <c r="L321" t="n">
        <v>0</v>
      </c>
      <c r="M321" t="n">
        <v>0</v>
      </c>
      <c r="N321" t="n">
        <v>0</v>
      </c>
      <c r="O321" t="n">
        <v>0</v>
      </c>
      <c r="P321" t="n">
        <v>0</v>
      </c>
      <c r="Q321" t="n">
        <v>0</v>
      </c>
      <c r="R321" s="2" t="inlineStr"/>
    </row>
    <row r="322" ht="15" customHeight="1">
      <c r="A322" t="inlineStr">
        <is>
          <t>A 62158-2025</t>
        </is>
      </c>
      <c r="B322" s="1" t="n">
        <v>46006.490625</v>
      </c>
      <c r="C322" s="1" t="n">
        <v>46134</v>
      </c>
      <c r="D322" t="inlineStr">
        <is>
          <t>JÄMTLANDS LÄN</t>
        </is>
      </c>
      <c r="E322" t="inlineStr">
        <is>
          <t>BERG</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47821-2025</t>
        </is>
      </c>
      <c r="B323" s="1" t="n">
        <v>45932.34421296296</v>
      </c>
      <c r="C323" s="1" t="n">
        <v>46134</v>
      </c>
      <c r="D323" t="inlineStr">
        <is>
          <t>JÄMTLANDS LÄN</t>
        </is>
      </c>
      <c r="E323" t="inlineStr">
        <is>
          <t>BERG</t>
        </is>
      </c>
      <c r="F323" t="inlineStr">
        <is>
          <t>SCA</t>
        </is>
      </c>
      <c r="G323" t="n">
        <v>7.6</v>
      </c>
      <c r="H323" t="n">
        <v>0</v>
      </c>
      <c r="I323" t="n">
        <v>0</v>
      </c>
      <c r="J323" t="n">
        <v>0</v>
      </c>
      <c r="K323" t="n">
        <v>0</v>
      </c>
      <c r="L323" t="n">
        <v>0</v>
      </c>
      <c r="M323" t="n">
        <v>0</v>
      </c>
      <c r="N323" t="n">
        <v>0</v>
      </c>
      <c r="O323" t="n">
        <v>0</v>
      </c>
      <c r="P323" t="n">
        <v>0</v>
      </c>
      <c r="Q323" t="n">
        <v>0</v>
      </c>
      <c r="R323" s="2" t="inlineStr"/>
    </row>
    <row r="324" ht="15" customHeight="1">
      <c r="A324" t="inlineStr">
        <is>
          <t>A 49749-2025</t>
        </is>
      </c>
      <c r="B324" s="1" t="n">
        <v>45940.34486111111</v>
      </c>
      <c r="C324" s="1" t="n">
        <v>46134</v>
      </c>
      <c r="D324" t="inlineStr">
        <is>
          <t>JÄMTLANDS LÄN</t>
        </is>
      </c>
      <c r="E324" t="inlineStr">
        <is>
          <t>BERG</t>
        </is>
      </c>
      <c r="F324" t="inlineStr">
        <is>
          <t>SCA</t>
        </is>
      </c>
      <c r="G324" t="n">
        <v>3.5</v>
      </c>
      <c r="H324" t="n">
        <v>0</v>
      </c>
      <c r="I324" t="n">
        <v>0</v>
      </c>
      <c r="J324" t="n">
        <v>0</v>
      </c>
      <c r="K324" t="n">
        <v>0</v>
      </c>
      <c r="L324" t="n">
        <v>0</v>
      </c>
      <c r="M324" t="n">
        <v>0</v>
      </c>
      <c r="N324" t="n">
        <v>0</v>
      </c>
      <c r="O324" t="n">
        <v>0</v>
      </c>
      <c r="P324" t="n">
        <v>0</v>
      </c>
      <c r="Q324" t="n">
        <v>0</v>
      </c>
      <c r="R324" s="2" t="inlineStr"/>
    </row>
    <row r="325" ht="15" customHeight="1">
      <c r="A325" t="inlineStr">
        <is>
          <t>A 64709-2021</t>
        </is>
      </c>
      <c r="B325" s="1" t="n">
        <v>44512</v>
      </c>
      <c r="C325" s="1" t="n">
        <v>46134</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25938-2025</t>
        </is>
      </c>
      <c r="B326" s="1" t="n">
        <v>45804.59414351852</v>
      </c>
      <c r="C326" s="1" t="n">
        <v>46134</v>
      </c>
      <c r="D326" t="inlineStr">
        <is>
          <t>JÄMTLANDS LÄN</t>
        </is>
      </c>
      <c r="E326" t="inlineStr">
        <is>
          <t>BERG</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25960-2025</t>
        </is>
      </c>
      <c r="B327" s="1" t="n">
        <v>45804.60972222222</v>
      </c>
      <c r="C327" s="1" t="n">
        <v>46134</v>
      </c>
      <c r="D327" t="inlineStr">
        <is>
          <t>JÄMTLANDS LÄN</t>
        </is>
      </c>
      <c r="E327" t="inlineStr">
        <is>
          <t>BERG</t>
        </is>
      </c>
      <c r="G327" t="n">
        <v>7.3</v>
      </c>
      <c r="H327" t="n">
        <v>0</v>
      </c>
      <c r="I327" t="n">
        <v>0</v>
      </c>
      <c r="J327" t="n">
        <v>0</v>
      </c>
      <c r="K327" t="n">
        <v>0</v>
      </c>
      <c r="L327" t="n">
        <v>0</v>
      </c>
      <c r="M327" t="n">
        <v>0</v>
      </c>
      <c r="N327" t="n">
        <v>0</v>
      </c>
      <c r="O327" t="n">
        <v>0</v>
      </c>
      <c r="P327" t="n">
        <v>0</v>
      </c>
      <c r="Q327" t="n">
        <v>0</v>
      </c>
      <c r="R327" s="2" t="inlineStr"/>
    </row>
    <row r="328" ht="15" customHeight="1">
      <c r="A328" t="inlineStr">
        <is>
          <t>A 25976-2025</t>
        </is>
      </c>
      <c r="B328" s="1" t="n">
        <v>45804.63596064815</v>
      </c>
      <c r="C328" s="1" t="n">
        <v>46134</v>
      </c>
      <c r="D328" t="inlineStr">
        <is>
          <t>JÄMTLANDS LÄN</t>
        </is>
      </c>
      <c r="E328" t="inlineStr">
        <is>
          <t>BERG</t>
        </is>
      </c>
      <c r="F328" t="inlineStr">
        <is>
          <t>SCA</t>
        </is>
      </c>
      <c r="G328" t="n">
        <v>5.5</v>
      </c>
      <c r="H328" t="n">
        <v>0</v>
      </c>
      <c r="I328" t="n">
        <v>0</v>
      </c>
      <c r="J328" t="n">
        <v>0</v>
      </c>
      <c r="K328" t="n">
        <v>0</v>
      </c>
      <c r="L328" t="n">
        <v>0</v>
      </c>
      <c r="M328" t="n">
        <v>0</v>
      </c>
      <c r="N328" t="n">
        <v>0</v>
      </c>
      <c r="O328" t="n">
        <v>0</v>
      </c>
      <c r="P328" t="n">
        <v>0</v>
      </c>
      <c r="Q328" t="n">
        <v>0</v>
      </c>
      <c r="R328" s="2" t="inlineStr"/>
    </row>
    <row r="329" ht="15" customHeight="1">
      <c r="A329" t="inlineStr">
        <is>
          <t>A 25979-2025</t>
        </is>
      </c>
      <c r="B329" s="1" t="n">
        <v>45804.63642361111</v>
      </c>
      <c r="C329" s="1" t="n">
        <v>46134</v>
      </c>
      <c r="D329" t="inlineStr">
        <is>
          <t>JÄMTLANDS LÄN</t>
        </is>
      </c>
      <c r="E329" t="inlineStr">
        <is>
          <t>BERG</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32654-2025</t>
        </is>
      </c>
      <c r="B330" s="1" t="n">
        <v>45838.6778587963</v>
      </c>
      <c r="C330" s="1" t="n">
        <v>46134</v>
      </c>
      <c r="D330" t="inlineStr">
        <is>
          <t>JÄMTLANDS LÄN</t>
        </is>
      </c>
      <c r="E330" t="inlineStr">
        <is>
          <t>BERG</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32879-2024</t>
        </is>
      </c>
      <c r="B331" s="1" t="n">
        <v>45516.68450231481</v>
      </c>
      <c r="C331" s="1" t="n">
        <v>46134</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25885-2025</t>
        </is>
      </c>
      <c r="B332" s="1" t="n">
        <v>45804.51075231482</v>
      </c>
      <c r="C332" s="1" t="n">
        <v>46134</v>
      </c>
      <c r="D332" t="inlineStr">
        <is>
          <t>JÄMTLANDS LÄN</t>
        </is>
      </c>
      <c r="E332" t="inlineStr">
        <is>
          <t>BERG</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25887-2025</t>
        </is>
      </c>
      <c r="B333" s="1" t="n">
        <v>45804.51104166666</v>
      </c>
      <c r="C333" s="1" t="n">
        <v>46134</v>
      </c>
      <c r="D333" t="inlineStr">
        <is>
          <t>JÄMTLANDS LÄN</t>
        </is>
      </c>
      <c r="E333" t="inlineStr">
        <is>
          <t>BERG</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50458-2025</t>
        </is>
      </c>
      <c r="B334" s="1" t="n">
        <v>45945</v>
      </c>
      <c r="C334" s="1" t="n">
        <v>46134</v>
      </c>
      <c r="D334" t="inlineStr">
        <is>
          <t>JÄMTLANDS LÄN</t>
        </is>
      </c>
      <c r="E334" t="inlineStr">
        <is>
          <t>BERG</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53778-2025</t>
        </is>
      </c>
      <c r="B335" s="1" t="n">
        <v>45960.69841435185</v>
      </c>
      <c r="C335" s="1" t="n">
        <v>46134</v>
      </c>
      <c r="D335" t="inlineStr">
        <is>
          <t>JÄMTLANDS LÄN</t>
        </is>
      </c>
      <c r="E335" t="inlineStr">
        <is>
          <t>BERG</t>
        </is>
      </c>
      <c r="F335" t="inlineStr">
        <is>
          <t>SCA</t>
        </is>
      </c>
      <c r="G335" t="n">
        <v>18.7</v>
      </c>
      <c r="H335" t="n">
        <v>0</v>
      </c>
      <c r="I335" t="n">
        <v>0</v>
      </c>
      <c r="J335" t="n">
        <v>0</v>
      </c>
      <c r="K335" t="n">
        <v>0</v>
      </c>
      <c r="L335" t="n">
        <v>0</v>
      </c>
      <c r="M335" t="n">
        <v>0</v>
      </c>
      <c r="N335" t="n">
        <v>0</v>
      </c>
      <c r="O335" t="n">
        <v>0</v>
      </c>
      <c r="P335" t="n">
        <v>0</v>
      </c>
      <c r="Q335" t="n">
        <v>0</v>
      </c>
      <c r="R335" s="2" t="inlineStr"/>
      <c r="U335">
        <f>HYPERLINK("https://klasma.github.io/Logging_2326/knärot/A 53778-2025 karta knärot.png", "A 53778-2025")</f>
        <v/>
      </c>
      <c r="V335">
        <f>HYPERLINK("https://klasma.github.io/Logging_2326/klagomål/A 53778-2025 FSC-klagomål.docx", "A 53778-2025")</f>
        <v/>
      </c>
      <c r="W335">
        <f>HYPERLINK("https://klasma.github.io/Logging_2326/klagomålsmail/A 53778-2025 FSC-klagomål mail.docx", "A 53778-2025")</f>
        <v/>
      </c>
      <c r="X335">
        <f>HYPERLINK("https://klasma.github.io/Logging_2326/tillsyn/A 53778-2025 tillsynsbegäran.docx", "A 53778-2025")</f>
        <v/>
      </c>
      <c r="Y335">
        <f>HYPERLINK("https://klasma.github.io/Logging_2326/tillsynsmail/A 53778-2025 tillsynsbegäran mail.docx", "A 53778-2025")</f>
        <v/>
      </c>
    </row>
    <row r="336" ht="15" customHeight="1">
      <c r="A336" t="inlineStr">
        <is>
          <t>A 19345-2024</t>
        </is>
      </c>
      <c r="B336" s="1" t="n">
        <v>45428.97185185185</v>
      </c>
      <c r="C336" s="1" t="n">
        <v>46134</v>
      </c>
      <c r="D336" t="inlineStr">
        <is>
          <t>JÄMTLANDS LÄN</t>
        </is>
      </c>
      <c r="E336" t="inlineStr">
        <is>
          <t>BERG</t>
        </is>
      </c>
      <c r="F336" t="inlineStr">
        <is>
          <t>SCA</t>
        </is>
      </c>
      <c r="G336" t="n">
        <v>14.7</v>
      </c>
      <c r="H336" t="n">
        <v>0</v>
      </c>
      <c r="I336" t="n">
        <v>0</v>
      </c>
      <c r="J336" t="n">
        <v>0</v>
      </c>
      <c r="K336" t="n">
        <v>0</v>
      </c>
      <c r="L336" t="n">
        <v>0</v>
      </c>
      <c r="M336" t="n">
        <v>0</v>
      </c>
      <c r="N336" t="n">
        <v>0</v>
      </c>
      <c r="O336" t="n">
        <v>0</v>
      </c>
      <c r="P336" t="n">
        <v>0</v>
      </c>
      <c r="Q336" t="n">
        <v>0</v>
      </c>
      <c r="R336" s="2" t="inlineStr"/>
    </row>
    <row r="337" ht="15" customHeight="1">
      <c r="A337" t="inlineStr">
        <is>
          <t>A 568-2026</t>
        </is>
      </c>
      <c r="B337" s="1" t="n">
        <v>46029.46987268519</v>
      </c>
      <c r="C337" s="1" t="n">
        <v>46134</v>
      </c>
      <c r="D337" t="inlineStr">
        <is>
          <t>JÄMTLANDS LÄN</t>
        </is>
      </c>
      <c r="E337" t="inlineStr">
        <is>
          <t>BERG</t>
        </is>
      </c>
      <c r="G337" t="n">
        <v>2.7</v>
      </c>
      <c r="H337" t="n">
        <v>0</v>
      </c>
      <c r="I337" t="n">
        <v>0</v>
      </c>
      <c r="J337" t="n">
        <v>0</v>
      </c>
      <c r="K337" t="n">
        <v>0</v>
      </c>
      <c r="L337" t="n">
        <v>0</v>
      </c>
      <c r="M337" t="n">
        <v>0</v>
      </c>
      <c r="N337" t="n">
        <v>0</v>
      </c>
      <c r="O337" t="n">
        <v>0</v>
      </c>
      <c r="P337" t="n">
        <v>0</v>
      </c>
      <c r="Q337" t="n">
        <v>0</v>
      </c>
      <c r="R337" s="2" t="inlineStr"/>
    </row>
    <row r="338" ht="15" customHeight="1">
      <c r="A338" t="inlineStr">
        <is>
          <t>A 53456-2022</t>
        </is>
      </c>
      <c r="B338" s="1" t="n">
        <v>44874</v>
      </c>
      <c r="C338" s="1" t="n">
        <v>46134</v>
      </c>
      <c r="D338" t="inlineStr">
        <is>
          <t>JÄMTLANDS LÄN</t>
        </is>
      </c>
      <c r="E338" t="inlineStr">
        <is>
          <t>BERG</t>
        </is>
      </c>
      <c r="G338" t="n">
        <v>13.3</v>
      </c>
      <c r="H338" t="n">
        <v>0</v>
      </c>
      <c r="I338" t="n">
        <v>0</v>
      </c>
      <c r="J338" t="n">
        <v>0</v>
      </c>
      <c r="K338" t="n">
        <v>0</v>
      </c>
      <c r="L338" t="n">
        <v>0</v>
      </c>
      <c r="M338" t="n">
        <v>0</v>
      </c>
      <c r="N338" t="n">
        <v>0</v>
      </c>
      <c r="O338" t="n">
        <v>0</v>
      </c>
      <c r="P338" t="n">
        <v>0</v>
      </c>
      <c r="Q338" t="n">
        <v>0</v>
      </c>
      <c r="R338" s="2" t="inlineStr"/>
    </row>
    <row r="339" ht="15" customHeight="1">
      <c r="A339" t="inlineStr">
        <is>
          <t>A 25886-2025</t>
        </is>
      </c>
      <c r="B339" s="1" t="n">
        <v>45804.51092592593</v>
      </c>
      <c r="C339" s="1" t="n">
        <v>46134</v>
      </c>
      <c r="D339" t="inlineStr">
        <is>
          <t>JÄMTLANDS LÄN</t>
        </is>
      </c>
      <c r="E339" t="inlineStr">
        <is>
          <t>BERG</t>
        </is>
      </c>
      <c r="F339" t="inlineStr">
        <is>
          <t>SCA</t>
        </is>
      </c>
      <c r="G339" t="n">
        <v>18.3</v>
      </c>
      <c r="H339" t="n">
        <v>0</v>
      </c>
      <c r="I339" t="n">
        <v>0</v>
      </c>
      <c r="J339" t="n">
        <v>0</v>
      </c>
      <c r="K339" t="n">
        <v>0</v>
      </c>
      <c r="L339" t="n">
        <v>0</v>
      </c>
      <c r="M339" t="n">
        <v>0</v>
      </c>
      <c r="N339" t="n">
        <v>0</v>
      </c>
      <c r="O339" t="n">
        <v>0</v>
      </c>
      <c r="P339" t="n">
        <v>0</v>
      </c>
      <c r="Q339" t="n">
        <v>0</v>
      </c>
      <c r="R339" s="2" t="inlineStr"/>
    </row>
    <row r="340" ht="15" customHeight="1">
      <c r="A340" t="inlineStr">
        <is>
          <t>A 25951-2025</t>
        </is>
      </c>
      <c r="B340" s="1" t="n">
        <v>45804.5984375</v>
      </c>
      <c r="C340" s="1" t="n">
        <v>46134</v>
      </c>
      <c r="D340" t="inlineStr">
        <is>
          <t>JÄMTLANDS LÄN</t>
        </is>
      </c>
      <c r="E340" t="inlineStr">
        <is>
          <t>BERG</t>
        </is>
      </c>
      <c r="G340" t="n">
        <v>0.9</v>
      </c>
      <c r="H340" t="n">
        <v>0</v>
      </c>
      <c r="I340" t="n">
        <v>0</v>
      </c>
      <c r="J340" t="n">
        <v>0</v>
      </c>
      <c r="K340" t="n">
        <v>0</v>
      </c>
      <c r="L340" t="n">
        <v>0</v>
      </c>
      <c r="M340" t="n">
        <v>0</v>
      </c>
      <c r="N340" t="n">
        <v>0</v>
      </c>
      <c r="O340" t="n">
        <v>0</v>
      </c>
      <c r="P340" t="n">
        <v>0</v>
      </c>
      <c r="Q340" t="n">
        <v>0</v>
      </c>
      <c r="R340" s="2" t="inlineStr"/>
    </row>
    <row r="341" ht="15" customHeight="1">
      <c r="A341" t="inlineStr">
        <is>
          <t>A 58237-2025</t>
        </is>
      </c>
      <c r="B341" s="1" t="n">
        <v>45985.38751157407</v>
      </c>
      <c r="C341" s="1" t="n">
        <v>46134</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39004-2025</t>
        </is>
      </c>
      <c r="B342" s="1" t="n">
        <v>45888.34472222222</v>
      </c>
      <c r="C342" s="1" t="n">
        <v>46134</v>
      </c>
      <c r="D342" t="inlineStr">
        <is>
          <t>JÄMTLANDS LÄN</t>
        </is>
      </c>
      <c r="E342" t="inlineStr">
        <is>
          <t>BERG</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171-2022</t>
        </is>
      </c>
      <c r="B343" s="1" t="n">
        <v>44564</v>
      </c>
      <c r="C343" s="1" t="n">
        <v>46134</v>
      </c>
      <c r="D343" t="inlineStr">
        <is>
          <t>JÄMTLANDS LÄN</t>
        </is>
      </c>
      <c r="E343" t="inlineStr">
        <is>
          <t>BERG</t>
        </is>
      </c>
      <c r="G343" t="n">
        <v>2.3</v>
      </c>
      <c r="H343" t="n">
        <v>0</v>
      </c>
      <c r="I343" t="n">
        <v>0</v>
      </c>
      <c r="J343" t="n">
        <v>0</v>
      </c>
      <c r="K343" t="n">
        <v>0</v>
      </c>
      <c r="L343" t="n">
        <v>0</v>
      </c>
      <c r="M343" t="n">
        <v>0</v>
      </c>
      <c r="N343" t="n">
        <v>0</v>
      </c>
      <c r="O343" t="n">
        <v>0</v>
      </c>
      <c r="P343" t="n">
        <v>0</v>
      </c>
      <c r="Q343" t="n">
        <v>0</v>
      </c>
      <c r="R343" s="2" t="inlineStr"/>
    </row>
    <row r="344" ht="15" customHeight="1">
      <c r="A344" t="inlineStr">
        <is>
          <t>A 38962-2024</t>
        </is>
      </c>
      <c r="B344" s="1" t="n">
        <v>45548.36175925926</v>
      </c>
      <c r="C344" s="1" t="n">
        <v>46134</v>
      </c>
      <c r="D344" t="inlineStr">
        <is>
          <t>JÄMTLANDS LÄN</t>
        </is>
      </c>
      <c r="E344" t="inlineStr">
        <is>
          <t>BERG</t>
        </is>
      </c>
      <c r="G344" t="n">
        <v>2.2</v>
      </c>
      <c r="H344" t="n">
        <v>0</v>
      </c>
      <c r="I344" t="n">
        <v>0</v>
      </c>
      <c r="J344" t="n">
        <v>0</v>
      </c>
      <c r="K344" t="n">
        <v>0</v>
      </c>
      <c r="L344" t="n">
        <v>0</v>
      </c>
      <c r="M344" t="n">
        <v>0</v>
      </c>
      <c r="N344" t="n">
        <v>0</v>
      </c>
      <c r="O344" t="n">
        <v>0</v>
      </c>
      <c r="P344" t="n">
        <v>0</v>
      </c>
      <c r="Q344" t="n">
        <v>0</v>
      </c>
      <c r="R344" s="2" t="inlineStr"/>
    </row>
    <row r="345" ht="15" customHeight="1">
      <c r="A345" t="inlineStr">
        <is>
          <t>A 25980-2025</t>
        </is>
      </c>
      <c r="B345" s="1" t="n">
        <v>45804.63658564815</v>
      </c>
      <c r="C345" s="1" t="n">
        <v>46134</v>
      </c>
      <c r="D345" t="inlineStr">
        <is>
          <t>JÄMTLANDS LÄN</t>
        </is>
      </c>
      <c r="E345" t="inlineStr">
        <is>
          <t>BERG</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25441-2025</t>
        </is>
      </c>
      <c r="B346" s="1" t="n">
        <v>45801.34476851852</v>
      </c>
      <c r="C346" s="1" t="n">
        <v>46134</v>
      </c>
      <c r="D346" t="inlineStr">
        <is>
          <t>JÄMTLANDS LÄN</t>
        </is>
      </c>
      <c r="E346" t="inlineStr">
        <is>
          <t>BERG</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46991-2024</t>
        </is>
      </c>
      <c r="B347" s="1" t="n">
        <v>45586.365625</v>
      </c>
      <c r="C347" s="1" t="n">
        <v>46134</v>
      </c>
      <c r="D347" t="inlineStr">
        <is>
          <t>JÄMTLANDS LÄN</t>
        </is>
      </c>
      <c r="E347" t="inlineStr">
        <is>
          <t>BERG</t>
        </is>
      </c>
      <c r="G347" t="n">
        <v>2.9</v>
      </c>
      <c r="H347" t="n">
        <v>0</v>
      </c>
      <c r="I347" t="n">
        <v>0</v>
      </c>
      <c r="J347" t="n">
        <v>0</v>
      </c>
      <c r="K347" t="n">
        <v>0</v>
      </c>
      <c r="L347" t="n">
        <v>0</v>
      </c>
      <c r="M347" t="n">
        <v>0</v>
      </c>
      <c r="N347" t="n">
        <v>0</v>
      </c>
      <c r="O347" t="n">
        <v>0</v>
      </c>
      <c r="P347" t="n">
        <v>0</v>
      </c>
      <c r="Q347" t="n">
        <v>0</v>
      </c>
      <c r="R347" s="2" t="inlineStr"/>
    </row>
    <row r="348" ht="15" customHeight="1">
      <c r="A348" t="inlineStr">
        <is>
          <t>A 25454-2025</t>
        </is>
      </c>
      <c r="B348" s="1" t="n">
        <v>45802.34460648148</v>
      </c>
      <c r="C348" s="1" t="n">
        <v>46134</v>
      </c>
      <c r="D348" t="inlineStr">
        <is>
          <t>JÄMTLANDS LÄN</t>
        </is>
      </c>
      <c r="E348" t="inlineStr">
        <is>
          <t>BERG</t>
        </is>
      </c>
      <c r="F348" t="inlineStr">
        <is>
          <t>SCA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39544-2025</t>
        </is>
      </c>
      <c r="B349" s="1" t="n">
        <v>45890.45547453704</v>
      </c>
      <c r="C349" s="1" t="n">
        <v>46134</v>
      </c>
      <c r="D349" t="inlineStr">
        <is>
          <t>JÄMTLANDS LÄN</t>
        </is>
      </c>
      <c r="E349" t="inlineStr">
        <is>
          <t>BERG</t>
        </is>
      </c>
      <c r="G349" t="n">
        <v>7.5</v>
      </c>
      <c r="H349" t="n">
        <v>0</v>
      </c>
      <c r="I349" t="n">
        <v>0</v>
      </c>
      <c r="J349" t="n">
        <v>0</v>
      </c>
      <c r="K349" t="n">
        <v>0</v>
      </c>
      <c r="L349" t="n">
        <v>0</v>
      </c>
      <c r="M349" t="n">
        <v>0</v>
      </c>
      <c r="N349" t="n">
        <v>0</v>
      </c>
      <c r="O349" t="n">
        <v>0</v>
      </c>
      <c r="P349" t="n">
        <v>0</v>
      </c>
      <c r="Q349" t="n">
        <v>0</v>
      </c>
      <c r="R349" s="2" t="inlineStr"/>
    </row>
    <row r="350" ht="15" customHeight="1">
      <c r="A350" t="inlineStr">
        <is>
          <t>A 39601-2025</t>
        </is>
      </c>
      <c r="B350" s="1" t="n">
        <v>45890.55284722222</v>
      </c>
      <c r="C350" s="1" t="n">
        <v>46134</v>
      </c>
      <c r="D350" t="inlineStr">
        <is>
          <t>JÄMTLANDS LÄN</t>
        </is>
      </c>
      <c r="E350" t="inlineStr">
        <is>
          <t>BERG</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26013-2025</t>
        </is>
      </c>
      <c r="B351" s="1" t="n">
        <v>45804.67760416667</v>
      </c>
      <c r="C351" s="1" t="n">
        <v>46134</v>
      </c>
      <c r="D351" t="inlineStr">
        <is>
          <t>JÄMTLANDS LÄN</t>
        </is>
      </c>
      <c r="E351" t="inlineStr">
        <is>
          <t>BERG</t>
        </is>
      </c>
      <c r="F351" t="inlineStr">
        <is>
          <t>SCA</t>
        </is>
      </c>
      <c r="G351" t="n">
        <v>11.7</v>
      </c>
      <c r="H351" t="n">
        <v>0</v>
      </c>
      <c r="I351" t="n">
        <v>0</v>
      </c>
      <c r="J351" t="n">
        <v>0</v>
      </c>
      <c r="K351" t="n">
        <v>0</v>
      </c>
      <c r="L351" t="n">
        <v>0</v>
      </c>
      <c r="M351" t="n">
        <v>0</v>
      </c>
      <c r="N351" t="n">
        <v>0</v>
      </c>
      <c r="O351" t="n">
        <v>0</v>
      </c>
      <c r="P351" t="n">
        <v>0</v>
      </c>
      <c r="Q351" t="n">
        <v>0</v>
      </c>
      <c r="R351" s="2" t="inlineStr"/>
    </row>
    <row r="352" ht="15" customHeight="1">
      <c r="A352" t="inlineStr">
        <is>
          <t>A 59968-2024</t>
        </is>
      </c>
      <c r="B352" s="1" t="n">
        <v>45642</v>
      </c>
      <c r="C352" s="1" t="n">
        <v>46134</v>
      </c>
      <c r="D352" t="inlineStr">
        <is>
          <t>JÄMTLANDS LÄN</t>
        </is>
      </c>
      <c r="E352" t="inlineStr">
        <is>
          <t>BERG</t>
        </is>
      </c>
      <c r="G352" t="n">
        <v>4.7</v>
      </c>
      <c r="H352" t="n">
        <v>0</v>
      </c>
      <c r="I352" t="n">
        <v>0</v>
      </c>
      <c r="J352" t="n">
        <v>0</v>
      </c>
      <c r="K352" t="n">
        <v>0</v>
      </c>
      <c r="L352" t="n">
        <v>0</v>
      </c>
      <c r="M352" t="n">
        <v>0</v>
      </c>
      <c r="N352" t="n">
        <v>0</v>
      </c>
      <c r="O352" t="n">
        <v>0</v>
      </c>
      <c r="P352" t="n">
        <v>0</v>
      </c>
      <c r="Q352" t="n">
        <v>0</v>
      </c>
      <c r="R352" s="2" t="inlineStr"/>
    </row>
    <row r="353" ht="15" customHeight="1">
      <c r="A353" t="inlineStr">
        <is>
          <t>A 25452-2025</t>
        </is>
      </c>
      <c r="B353" s="1" t="n">
        <v>45802.34440972222</v>
      </c>
      <c r="C353" s="1" t="n">
        <v>46134</v>
      </c>
      <c r="D353" t="inlineStr">
        <is>
          <t>JÄMTLANDS LÄN</t>
        </is>
      </c>
      <c r="E353" t="inlineStr">
        <is>
          <t>BERG</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25453-2025</t>
        </is>
      </c>
      <c r="B354" s="1" t="n">
        <v>45802.34451388889</v>
      </c>
      <c r="C354" s="1" t="n">
        <v>46134</v>
      </c>
      <c r="D354" t="inlineStr">
        <is>
          <t>JÄMTLANDS LÄN</t>
        </is>
      </c>
      <c r="E354" t="inlineStr">
        <is>
          <t>BERG</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1287-2026</t>
        </is>
      </c>
      <c r="B355" s="1" t="n">
        <v>46031.49944444445</v>
      </c>
      <c r="C355" s="1" t="n">
        <v>46134</v>
      </c>
      <c r="D355" t="inlineStr">
        <is>
          <t>JÄMTLANDS LÄN</t>
        </is>
      </c>
      <c r="E355" t="inlineStr">
        <is>
          <t>BERG</t>
        </is>
      </c>
      <c r="G355" t="n">
        <v>2.2</v>
      </c>
      <c r="H355" t="n">
        <v>0</v>
      </c>
      <c r="I355" t="n">
        <v>0</v>
      </c>
      <c r="J355" t="n">
        <v>0</v>
      </c>
      <c r="K355" t="n">
        <v>0</v>
      </c>
      <c r="L355" t="n">
        <v>0</v>
      </c>
      <c r="M355" t="n">
        <v>0</v>
      </c>
      <c r="N355" t="n">
        <v>0</v>
      </c>
      <c r="O355" t="n">
        <v>0</v>
      </c>
      <c r="P355" t="n">
        <v>0</v>
      </c>
      <c r="Q355" t="n">
        <v>0</v>
      </c>
      <c r="R355" s="2" t="inlineStr"/>
    </row>
    <row r="356" ht="15" customHeight="1">
      <c r="A356" t="inlineStr">
        <is>
          <t>A 1386-2026</t>
        </is>
      </c>
      <c r="B356" s="1" t="n">
        <v>46031.62633101852</v>
      </c>
      <c r="C356" s="1" t="n">
        <v>46134</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1391-2026</t>
        </is>
      </c>
      <c r="B357" s="1" t="n">
        <v>46031.63359953704</v>
      </c>
      <c r="C357" s="1" t="n">
        <v>46134</v>
      </c>
      <c r="D357" t="inlineStr">
        <is>
          <t>JÄMTLANDS LÄN</t>
        </is>
      </c>
      <c r="E357" t="inlineStr">
        <is>
          <t>BERG</t>
        </is>
      </c>
      <c r="G357" t="n">
        <v>1.5</v>
      </c>
      <c r="H357" t="n">
        <v>0</v>
      </c>
      <c r="I357" t="n">
        <v>0</v>
      </c>
      <c r="J357" t="n">
        <v>0</v>
      </c>
      <c r="K357" t="n">
        <v>0</v>
      </c>
      <c r="L357" t="n">
        <v>0</v>
      </c>
      <c r="M357" t="n">
        <v>0</v>
      </c>
      <c r="N357" t="n">
        <v>0</v>
      </c>
      <c r="O357" t="n">
        <v>0</v>
      </c>
      <c r="P357" t="n">
        <v>0</v>
      </c>
      <c r="Q357" t="n">
        <v>0</v>
      </c>
      <c r="R357" s="2" t="inlineStr"/>
    </row>
    <row r="358" ht="15" customHeight="1">
      <c r="A358" t="inlineStr">
        <is>
          <t>A 162-2024</t>
        </is>
      </c>
      <c r="B358" s="1" t="n">
        <v>45294</v>
      </c>
      <c r="C358" s="1" t="n">
        <v>46134</v>
      </c>
      <c r="D358" t="inlineStr">
        <is>
          <t>JÄMTLANDS LÄN</t>
        </is>
      </c>
      <c r="E358" t="inlineStr">
        <is>
          <t>BERG</t>
        </is>
      </c>
      <c r="F358" t="inlineStr">
        <is>
          <t>Kyrkan</t>
        </is>
      </c>
      <c r="G358" t="n">
        <v>2.2</v>
      </c>
      <c r="H358" t="n">
        <v>0</v>
      </c>
      <c r="I358" t="n">
        <v>0</v>
      </c>
      <c r="J358" t="n">
        <v>0</v>
      </c>
      <c r="K358" t="n">
        <v>0</v>
      </c>
      <c r="L358" t="n">
        <v>0</v>
      </c>
      <c r="M358" t="n">
        <v>0</v>
      </c>
      <c r="N358" t="n">
        <v>0</v>
      </c>
      <c r="O358" t="n">
        <v>0</v>
      </c>
      <c r="P358" t="n">
        <v>0</v>
      </c>
      <c r="Q358" t="n">
        <v>0</v>
      </c>
      <c r="R358" s="2" t="inlineStr"/>
    </row>
    <row r="359" ht="15" customHeight="1">
      <c r="A359" t="inlineStr">
        <is>
          <t>A 1282-2026</t>
        </is>
      </c>
      <c r="B359" s="1" t="n">
        <v>46031.49096064815</v>
      </c>
      <c r="C359" s="1" t="n">
        <v>46134</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26378-2025</t>
        </is>
      </c>
      <c r="B360" s="1" t="n">
        <v>45806.48989583334</v>
      </c>
      <c r="C360" s="1" t="n">
        <v>46134</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26275-2025</t>
        </is>
      </c>
      <c r="B361" s="1" t="n">
        <v>45805.60230324074</v>
      </c>
      <c r="C361" s="1" t="n">
        <v>46134</v>
      </c>
      <c r="D361" t="inlineStr">
        <is>
          <t>JÄMTLANDS LÄN</t>
        </is>
      </c>
      <c r="E361" t="inlineStr">
        <is>
          <t>BERG</t>
        </is>
      </c>
      <c r="G361" t="n">
        <v>10.2</v>
      </c>
      <c r="H361" t="n">
        <v>0</v>
      </c>
      <c r="I361" t="n">
        <v>0</v>
      </c>
      <c r="J361" t="n">
        <v>0</v>
      </c>
      <c r="K361" t="n">
        <v>0</v>
      </c>
      <c r="L361" t="n">
        <v>0</v>
      </c>
      <c r="M361" t="n">
        <v>0</v>
      </c>
      <c r="N361" t="n">
        <v>0</v>
      </c>
      <c r="O361" t="n">
        <v>0</v>
      </c>
      <c r="P361" t="n">
        <v>0</v>
      </c>
      <c r="Q361" t="n">
        <v>0</v>
      </c>
      <c r="R361" s="2" t="inlineStr"/>
    </row>
    <row r="362" ht="15" customHeight="1">
      <c r="A362" t="inlineStr">
        <is>
          <t>A 26053-2025</t>
        </is>
      </c>
      <c r="B362" s="1" t="n">
        <v>45804.75445601852</v>
      </c>
      <c r="C362" s="1" t="n">
        <v>46134</v>
      </c>
      <c r="D362" t="inlineStr">
        <is>
          <t>JÄMTLANDS LÄN</t>
        </is>
      </c>
      <c r="E362" t="inlineStr">
        <is>
          <t>BERG</t>
        </is>
      </c>
      <c r="G362" t="n">
        <v>6</v>
      </c>
      <c r="H362" t="n">
        <v>0</v>
      </c>
      <c r="I362" t="n">
        <v>0</v>
      </c>
      <c r="J362" t="n">
        <v>0</v>
      </c>
      <c r="K362" t="n">
        <v>0</v>
      </c>
      <c r="L362" t="n">
        <v>0</v>
      </c>
      <c r="M362" t="n">
        <v>0</v>
      </c>
      <c r="N362" t="n">
        <v>0</v>
      </c>
      <c r="O362" t="n">
        <v>0</v>
      </c>
      <c r="P362" t="n">
        <v>0</v>
      </c>
      <c r="Q362" t="n">
        <v>0</v>
      </c>
      <c r="R362" s="2" t="inlineStr"/>
    </row>
    <row r="363" ht="15" customHeight="1">
      <c r="A363" t="inlineStr">
        <is>
          <t>A 1684-2026</t>
        </is>
      </c>
      <c r="B363" s="1" t="n">
        <v>46034.58386574074</v>
      </c>
      <c r="C363" s="1" t="n">
        <v>46134</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525-2023</t>
        </is>
      </c>
      <c r="B364" s="1" t="n">
        <v>44924</v>
      </c>
      <c r="C364" s="1" t="n">
        <v>46134</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39418-2025</t>
        </is>
      </c>
      <c r="B365" s="1" t="n">
        <v>45889</v>
      </c>
      <c r="C365" s="1" t="n">
        <v>46134</v>
      </c>
      <c r="D365" t="inlineStr">
        <is>
          <t>JÄMTLANDS LÄN</t>
        </is>
      </c>
      <c r="E365" t="inlineStr">
        <is>
          <t>BERG</t>
        </is>
      </c>
      <c r="G365" t="n">
        <v>19.8</v>
      </c>
      <c r="H365" t="n">
        <v>0</v>
      </c>
      <c r="I365" t="n">
        <v>0</v>
      </c>
      <c r="J365" t="n">
        <v>0</v>
      </c>
      <c r="K365" t="n">
        <v>0</v>
      </c>
      <c r="L365" t="n">
        <v>0</v>
      </c>
      <c r="M365" t="n">
        <v>0</v>
      </c>
      <c r="N365" t="n">
        <v>0</v>
      </c>
      <c r="O365" t="n">
        <v>0</v>
      </c>
      <c r="P365" t="n">
        <v>0</v>
      </c>
      <c r="Q365" t="n">
        <v>0</v>
      </c>
      <c r="R365" s="2" t="inlineStr"/>
    </row>
    <row r="366" ht="15" customHeight="1">
      <c r="A366" t="inlineStr">
        <is>
          <t>A 39698-2025</t>
        </is>
      </c>
      <c r="B366" s="1" t="n">
        <v>45890.69837962963</v>
      </c>
      <c r="C366" s="1" t="n">
        <v>46134</v>
      </c>
      <c r="D366" t="inlineStr">
        <is>
          <t>JÄMTLANDS LÄN</t>
        </is>
      </c>
      <c r="E366" t="inlineStr">
        <is>
          <t>BERG</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26374-2025</t>
        </is>
      </c>
      <c r="B367" s="1" t="n">
        <v>45806.42745370371</v>
      </c>
      <c r="C367" s="1" t="n">
        <v>46134</v>
      </c>
      <c r="D367" t="inlineStr">
        <is>
          <t>JÄMTLANDS LÄN</t>
        </is>
      </c>
      <c r="E367" t="inlineStr">
        <is>
          <t>BERG</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61239-2022</t>
        </is>
      </c>
      <c r="B368" s="1" t="n">
        <v>44909</v>
      </c>
      <c r="C368" s="1" t="n">
        <v>46134</v>
      </c>
      <c r="D368" t="inlineStr">
        <is>
          <t>JÄMTLANDS LÄN</t>
        </is>
      </c>
      <c r="E368" t="inlineStr">
        <is>
          <t>BERG</t>
        </is>
      </c>
      <c r="G368" t="n">
        <v>13.5</v>
      </c>
      <c r="H368" t="n">
        <v>0</v>
      </c>
      <c r="I368" t="n">
        <v>0</v>
      </c>
      <c r="J368" t="n">
        <v>0</v>
      </c>
      <c r="K368" t="n">
        <v>0</v>
      </c>
      <c r="L368" t="n">
        <v>0</v>
      </c>
      <c r="M368" t="n">
        <v>0</v>
      </c>
      <c r="N368" t="n">
        <v>0</v>
      </c>
      <c r="O368" t="n">
        <v>0</v>
      </c>
      <c r="P368" t="n">
        <v>0</v>
      </c>
      <c r="Q368" t="n">
        <v>0</v>
      </c>
      <c r="R368" s="2" t="inlineStr"/>
    </row>
    <row r="369" ht="15" customHeight="1">
      <c r="A369" t="inlineStr">
        <is>
          <t>A 61251-2022</t>
        </is>
      </c>
      <c r="B369" s="1" t="n">
        <v>44909</v>
      </c>
      <c r="C369" s="1" t="n">
        <v>46134</v>
      </c>
      <c r="D369" t="inlineStr">
        <is>
          <t>JÄMTLANDS LÄN</t>
        </is>
      </c>
      <c r="E369" t="inlineStr">
        <is>
          <t>BERG</t>
        </is>
      </c>
      <c r="G369" t="n">
        <v>3</v>
      </c>
      <c r="H369" t="n">
        <v>0</v>
      </c>
      <c r="I369" t="n">
        <v>0</v>
      </c>
      <c r="J369" t="n">
        <v>0</v>
      </c>
      <c r="K369" t="n">
        <v>0</v>
      </c>
      <c r="L369" t="n">
        <v>0</v>
      </c>
      <c r="M369" t="n">
        <v>0</v>
      </c>
      <c r="N369" t="n">
        <v>0</v>
      </c>
      <c r="O369" t="n">
        <v>0</v>
      </c>
      <c r="P369" t="n">
        <v>0</v>
      </c>
      <c r="Q369" t="n">
        <v>0</v>
      </c>
      <c r="R369" s="2" t="inlineStr"/>
    </row>
    <row r="370" ht="15" customHeight="1">
      <c r="A370" t="inlineStr">
        <is>
          <t>A 61255-2022</t>
        </is>
      </c>
      <c r="B370" s="1" t="n">
        <v>44909</v>
      </c>
      <c r="C370" s="1" t="n">
        <v>46134</v>
      </c>
      <c r="D370" t="inlineStr">
        <is>
          <t>JÄMTLANDS LÄN</t>
        </is>
      </c>
      <c r="E370" t="inlineStr">
        <is>
          <t>BERG</t>
        </is>
      </c>
      <c r="G370" t="n">
        <v>12</v>
      </c>
      <c r="H370" t="n">
        <v>0</v>
      </c>
      <c r="I370" t="n">
        <v>0</v>
      </c>
      <c r="J370" t="n">
        <v>0</v>
      </c>
      <c r="K370" t="n">
        <v>0</v>
      </c>
      <c r="L370" t="n">
        <v>0</v>
      </c>
      <c r="M370" t="n">
        <v>0</v>
      </c>
      <c r="N370" t="n">
        <v>0</v>
      </c>
      <c r="O370" t="n">
        <v>0</v>
      </c>
      <c r="P370" t="n">
        <v>0</v>
      </c>
      <c r="Q370" t="n">
        <v>0</v>
      </c>
      <c r="R370" s="2" t="inlineStr"/>
    </row>
    <row r="371" ht="15" customHeight="1">
      <c r="A371" t="inlineStr">
        <is>
          <t>A 39539-2025</t>
        </is>
      </c>
      <c r="B371" s="1" t="n">
        <v>45890.4525</v>
      </c>
      <c r="C371" s="1" t="n">
        <v>46134</v>
      </c>
      <c r="D371" t="inlineStr">
        <is>
          <t>JÄMTLANDS LÄN</t>
        </is>
      </c>
      <c r="E371" t="inlineStr">
        <is>
          <t>BERG</t>
        </is>
      </c>
      <c r="G371" t="n">
        <v>7.7</v>
      </c>
      <c r="H371" t="n">
        <v>0</v>
      </c>
      <c r="I371" t="n">
        <v>0</v>
      </c>
      <c r="J371" t="n">
        <v>0</v>
      </c>
      <c r="K371" t="n">
        <v>0</v>
      </c>
      <c r="L371" t="n">
        <v>0</v>
      </c>
      <c r="M371" t="n">
        <v>0</v>
      </c>
      <c r="N371" t="n">
        <v>0</v>
      </c>
      <c r="O371" t="n">
        <v>0</v>
      </c>
      <c r="P371" t="n">
        <v>0</v>
      </c>
      <c r="Q371" t="n">
        <v>0</v>
      </c>
      <c r="R371" s="2" t="inlineStr"/>
    </row>
    <row r="372" ht="15" customHeight="1">
      <c r="A372" t="inlineStr">
        <is>
          <t>A 26186-2025</t>
        </is>
      </c>
      <c r="B372" s="1" t="n">
        <v>45805.47840277778</v>
      </c>
      <c r="C372" s="1" t="n">
        <v>46134</v>
      </c>
      <c r="D372" t="inlineStr">
        <is>
          <t>JÄMTLANDS LÄN</t>
        </is>
      </c>
      <c r="E372" t="inlineStr">
        <is>
          <t>BERG</t>
        </is>
      </c>
      <c r="G372" t="n">
        <v>5.3</v>
      </c>
      <c r="H372" t="n">
        <v>0</v>
      </c>
      <c r="I372" t="n">
        <v>0</v>
      </c>
      <c r="J372" t="n">
        <v>0</v>
      </c>
      <c r="K372" t="n">
        <v>0</v>
      </c>
      <c r="L372" t="n">
        <v>0</v>
      </c>
      <c r="M372" t="n">
        <v>0</v>
      </c>
      <c r="N372" t="n">
        <v>0</v>
      </c>
      <c r="O372" t="n">
        <v>0</v>
      </c>
      <c r="P372" t="n">
        <v>0</v>
      </c>
      <c r="Q372" t="n">
        <v>0</v>
      </c>
      <c r="R372" s="2" t="inlineStr"/>
    </row>
    <row r="373" ht="15" customHeight="1">
      <c r="A373" t="inlineStr">
        <is>
          <t>A 8388-2022</t>
        </is>
      </c>
      <c r="B373" s="1" t="n">
        <v>44610</v>
      </c>
      <c r="C373" s="1" t="n">
        <v>46134</v>
      </c>
      <c r="D373" t="inlineStr">
        <is>
          <t>JÄMTLANDS LÄN</t>
        </is>
      </c>
      <c r="E373" t="inlineStr">
        <is>
          <t>BERG</t>
        </is>
      </c>
      <c r="G373" t="n">
        <v>2.6</v>
      </c>
      <c r="H373" t="n">
        <v>0</v>
      </c>
      <c r="I373" t="n">
        <v>0</v>
      </c>
      <c r="J373" t="n">
        <v>0</v>
      </c>
      <c r="K373" t="n">
        <v>0</v>
      </c>
      <c r="L373" t="n">
        <v>0</v>
      </c>
      <c r="M373" t="n">
        <v>0</v>
      </c>
      <c r="N373" t="n">
        <v>0</v>
      </c>
      <c r="O373" t="n">
        <v>0</v>
      </c>
      <c r="P373" t="n">
        <v>0</v>
      </c>
      <c r="Q373" t="n">
        <v>0</v>
      </c>
      <c r="R373" s="2" t="inlineStr"/>
    </row>
    <row r="374" ht="15" customHeight="1">
      <c r="A374" t="inlineStr">
        <is>
          <t>A 33962-2024</t>
        </is>
      </c>
      <c r="B374" s="1" t="n">
        <v>45523.48854166667</v>
      </c>
      <c r="C374" s="1" t="n">
        <v>46134</v>
      </c>
      <c r="D374" t="inlineStr">
        <is>
          <t>JÄMTLANDS LÄN</t>
        </is>
      </c>
      <c r="E374" t="inlineStr">
        <is>
          <t>BERG</t>
        </is>
      </c>
      <c r="G374" t="n">
        <v>2.2</v>
      </c>
      <c r="H374" t="n">
        <v>0</v>
      </c>
      <c r="I374" t="n">
        <v>0</v>
      </c>
      <c r="J374" t="n">
        <v>0</v>
      </c>
      <c r="K374" t="n">
        <v>0</v>
      </c>
      <c r="L374" t="n">
        <v>0</v>
      </c>
      <c r="M374" t="n">
        <v>0</v>
      </c>
      <c r="N374" t="n">
        <v>0</v>
      </c>
      <c r="O374" t="n">
        <v>0</v>
      </c>
      <c r="P374" t="n">
        <v>0</v>
      </c>
      <c r="Q374" t="n">
        <v>0</v>
      </c>
      <c r="R374" s="2" t="inlineStr"/>
    </row>
    <row r="375" ht="15" customHeight="1">
      <c r="A375" t="inlineStr">
        <is>
          <t>A 40060-2025</t>
        </is>
      </c>
      <c r="B375" s="1" t="n">
        <v>45894.42746527777</v>
      </c>
      <c r="C375" s="1" t="n">
        <v>46134</v>
      </c>
      <c r="D375" t="inlineStr">
        <is>
          <t>JÄMTLANDS LÄN</t>
        </is>
      </c>
      <c r="E375" t="inlineStr">
        <is>
          <t>BERG</t>
        </is>
      </c>
      <c r="F375" t="inlineStr">
        <is>
          <t>SCA</t>
        </is>
      </c>
      <c r="G375" t="n">
        <v>8</v>
      </c>
      <c r="H375" t="n">
        <v>0</v>
      </c>
      <c r="I375" t="n">
        <v>0</v>
      </c>
      <c r="J375" t="n">
        <v>0</v>
      </c>
      <c r="K375" t="n">
        <v>0</v>
      </c>
      <c r="L375" t="n">
        <v>0</v>
      </c>
      <c r="M375" t="n">
        <v>0</v>
      </c>
      <c r="N375" t="n">
        <v>0</v>
      </c>
      <c r="O375" t="n">
        <v>0</v>
      </c>
      <c r="P375" t="n">
        <v>0</v>
      </c>
      <c r="Q375" t="n">
        <v>0</v>
      </c>
      <c r="R375" s="2" t="inlineStr"/>
    </row>
    <row r="376" ht="15" customHeight="1">
      <c r="A376" t="inlineStr">
        <is>
          <t>A 39269-2024</t>
        </is>
      </c>
      <c r="B376" s="1" t="n">
        <v>45551.34488425926</v>
      </c>
      <c r="C376" s="1" t="n">
        <v>46134</v>
      </c>
      <c r="D376" t="inlineStr">
        <is>
          <t>JÄMTLANDS LÄN</t>
        </is>
      </c>
      <c r="E376" t="inlineStr">
        <is>
          <t>BERG</t>
        </is>
      </c>
      <c r="G376" t="n">
        <v>3.1</v>
      </c>
      <c r="H376" t="n">
        <v>0</v>
      </c>
      <c r="I376" t="n">
        <v>0</v>
      </c>
      <c r="J376" t="n">
        <v>0</v>
      </c>
      <c r="K376" t="n">
        <v>0</v>
      </c>
      <c r="L376" t="n">
        <v>0</v>
      </c>
      <c r="M376" t="n">
        <v>0</v>
      </c>
      <c r="N376" t="n">
        <v>0</v>
      </c>
      <c r="O376" t="n">
        <v>0</v>
      </c>
      <c r="P376" t="n">
        <v>0</v>
      </c>
      <c r="Q376" t="n">
        <v>0</v>
      </c>
      <c r="R376" s="2" t="inlineStr"/>
    </row>
    <row r="377" ht="15" customHeight="1">
      <c r="A377" t="inlineStr">
        <is>
          <t>A 26743-2025</t>
        </is>
      </c>
      <c r="B377" s="1" t="n">
        <v>45810.53163194445</v>
      </c>
      <c r="C377" s="1" t="n">
        <v>46134</v>
      </c>
      <c r="D377" t="inlineStr">
        <is>
          <t>JÄMTLANDS LÄN</t>
        </is>
      </c>
      <c r="E377" t="inlineStr">
        <is>
          <t>BERG</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40630-2025</t>
        </is>
      </c>
      <c r="B378" s="1" t="n">
        <v>45896</v>
      </c>
      <c r="C378" s="1" t="n">
        <v>46134</v>
      </c>
      <c r="D378" t="inlineStr">
        <is>
          <t>JÄMTLANDS LÄN</t>
        </is>
      </c>
      <c r="E378" t="inlineStr">
        <is>
          <t>BERG</t>
        </is>
      </c>
      <c r="G378" t="n">
        <v>2.1</v>
      </c>
      <c r="H378" t="n">
        <v>0</v>
      </c>
      <c r="I378" t="n">
        <v>0</v>
      </c>
      <c r="J378" t="n">
        <v>0</v>
      </c>
      <c r="K378" t="n">
        <v>0</v>
      </c>
      <c r="L378" t="n">
        <v>0</v>
      </c>
      <c r="M378" t="n">
        <v>0</v>
      </c>
      <c r="N378" t="n">
        <v>0</v>
      </c>
      <c r="O378" t="n">
        <v>0</v>
      </c>
      <c r="P378" t="n">
        <v>0</v>
      </c>
      <c r="Q378" t="n">
        <v>0</v>
      </c>
      <c r="R378" s="2" t="inlineStr"/>
    </row>
    <row r="379" ht="15" customHeight="1">
      <c r="A379" t="inlineStr">
        <is>
          <t>A 40410-2025</t>
        </is>
      </c>
      <c r="B379" s="1" t="n">
        <v>45895.57349537037</v>
      </c>
      <c r="C379" s="1" t="n">
        <v>46134</v>
      </c>
      <c r="D379" t="inlineStr">
        <is>
          <t>JÄMTLANDS LÄN</t>
        </is>
      </c>
      <c r="E379" t="inlineStr">
        <is>
          <t>BERG</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37098-2024</t>
        </is>
      </c>
      <c r="B380" s="1" t="n">
        <v>45539.50243055556</v>
      </c>
      <c r="C380" s="1" t="n">
        <v>46134</v>
      </c>
      <c r="D380" t="inlineStr">
        <is>
          <t>JÄMTLANDS LÄN</t>
        </is>
      </c>
      <c r="E380" t="inlineStr">
        <is>
          <t>BERG</t>
        </is>
      </c>
      <c r="F380" t="inlineStr">
        <is>
          <t>Övriga Aktiebolag</t>
        </is>
      </c>
      <c r="G380" t="n">
        <v>4.5</v>
      </c>
      <c r="H380" t="n">
        <v>0</v>
      </c>
      <c r="I380" t="n">
        <v>0</v>
      </c>
      <c r="J380" t="n">
        <v>0</v>
      </c>
      <c r="K380" t="n">
        <v>0</v>
      </c>
      <c r="L380" t="n">
        <v>0</v>
      </c>
      <c r="M380" t="n">
        <v>0</v>
      </c>
      <c r="N380" t="n">
        <v>0</v>
      </c>
      <c r="O380" t="n">
        <v>0</v>
      </c>
      <c r="P380" t="n">
        <v>0</v>
      </c>
      <c r="Q380" t="n">
        <v>0</v>
      </c>
      <c r="R380" s="2" t="inlineStr"/>
    </row>
    <row r="381" ht="15" customHeight="1">
      <c r="A381" t="inlineStr">
        <is>
          <t>A 37101-2024</t>
        </is>
      </c>
      <c r="B381" s="1" t="n">
        <v>45539.5029050926</v>
      </c>
      <c r="C381" s="1" t="n">
        <v>46134</v>
      </c>
      <c r="D381" t="inlineStr">
        <is>
          <t>JÄMTLANDS LÄN</t>
        </is>
      </c>
      <c r="E381" t="inlineStr">
        <is>
          <t>BERG</t>
        </is>
      </c>
      <c r="F381" t="inlineStr">
        <is>
          <t>Övriga Aktiebolag</t>
        </is>
      </c>
      <c r="G381" t="n">
        <v>2.4</v>
      </c>
      <c r="H381" t="n">
        <v>0</v>
      </c>
      <c r="I381" t="n">
        <v>0</v>
      </c>
      <c r="J381" t="n">
        <v>0</v>
      </c>
      <c r="K381" t="n">
        <v>0</v>
      </c>
      <c r="L381" t="n">
        <v>0</v>
      </c>
      <c r="M381" t="n">
        <v>0</v>
      </c>
      <c r="N381" t="n">
        <v>0</v>
      </c>
      <c r="O381" t="n">
        <v>0</v>
      </c>
      <c r="P381" t="n">
        <v>0</v>
      </c>
      <c r="Q381" t="n">
        <v>0</v>
      </c>
      <c r="R381" s="2" t="inlineStr"/>
    </row>
    <row r="382" ht="15" customHeight="1">
      <c r="A382" t="inlineStr">
        <is>
          <t>A 27312-2025</t>
        </is>
      </c>
      <c r="B382" s="1" t="n">
        <v>45812.58002314815</v>
      </c>
      <c r="C382" s="1" t="n">
        <v>46134</v>
      </c>
      <c r="D382" t="inlineStr">
        <is>
          <t>JÄMTLANDS LÄN</t>
        </is>
      </c>
      <c r="E382" t="inlineStr">
        <is>
          <t>BERG</t>
        </is>
      </c>
      <c r="G382" t="n">
        <v>6</v>
      </c>
      <c r="H382" t="n">
        <v>0</v>
      </c>
      <c r="I382" t="n">
        <v>0</v>
      </c>
      <c r="J382" t="n">
        <v>0</v>
      </c>
      <c r="K382" t="n">
        <v>0</v>
      </c>
      <c r="L382" t="n">
        <v>0</v>
      </c>
      <c r="M382" t="n">
        <v>0</v>
      </c>
      <c r="N382" t="n">
        <v>0</v>
      </c>
      <c r="O382" t="n">
        <v>0</v>
      </c>
      <c r="P382" t="n">
        <v>0</v>
      </c>
      <c r="Q382" t="n">
        <v>0</v>
      </c>
      <c r="R382" s="2" t="inlineStr"/>
    </row>
    <row r="383" ht="15" customHeight="1">
      <c r="A383" t="inlineStr">
        <is>
          <t>A 40266-2025</t>
        </is>
      </c>
      <c r="B383" s="1" t="n">
        <v>45895.34478009259</v>
      </c>
      <c r="C383" s="1" t="n">
        <v>46134</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4561-2024</t>
        </is>
      </c>
      <c r="B384" s="1" t="n">
        <v>45327</v>
      </c>
      <c r="C384" s="1" t="n">
        <v>46134</v>
      </c>
      <c r="D384" t="inlineStr">
        <is>
          <t>JÄMTLANDS LÄN</t>
        </is>
      </c>
      <c r="E384" t="inlineStr">
        <is>
          <t>BERG</t>
        </is>
      </c>
      <c r="G384" t="n">
        <v>7.4</v>
      </c>
      <c r="H384" t="n">
        <v>0</v>
      </c>
      <c r="I384" t="n">
        <v>0</v>
      </c>
      <c r="J384" t="n">
        <v>0</v>
      </c>
      <c r="K384" t="n">
        <v>0</v>
      </c>
      <c r="L384" t="n">
        <v>0</v>
      </c>
      <c r="M384" t="n">
        <v>0</v>
      </c>
      <c r="N384" t="n">
        <v>0</v>
      </c>
      <c r="O384" t="n">
        <v>0</v>
      </c>
      <c r="P384" t="n">
        <v>0</v>
      </c>
      <c r="Q384" t="n">
        <v>0</v>
      </c>
      <c r="R384" s="2" t="inlineStr"/>
    </row>
    <row r="385" ht="15" customHeight="1">
      <c r="A385" t="inlineStr">
        <is>
          <t>A 27317-2025</t>
        </is>
      </c>
      <c r="B385" s="1" t="n">
        <v>45812.59011574074</v>
      </c>
      <c r="C385" s="1" t="n">
        <v>46134</v>
      </c>
      <c r="D385" t="inlineStr">
        <is>
          <t>JÄMTLANDS LÄN</t>
        </is>
      </c>
      <c r="E385" t="inlineStr">
        <is>
          <t>BERG</t>
        </is>
      </c>
      <c r="G385" t="n">
        <v>6.2</v>
      </c>
      <c r="H385" t="n">
        <v>0</v>
      </c>
      <c r="I385" t="n">
        <v>0</v>
      </c>
      <c r="J385" t="n">
        <v>0</v>
      </c>
      <c r="K385" t="n">
        <v>0</v>
      </c>
      <c r="L385" t="n">
        <v>0</v>
      </c>
      <c r="M385" t="n">
        <v>0</v>
      </c>
      <c r="N385" t="n">
        <v>0</v>
      </c>
      <c r="O385" t="n">
        <v>0</v>
      </c>
      <c r="P385" t="n">
        <v>0</v>
      </c>
      <c r="Q385" t="n">
        <v>0</v>
      </c>
      <c r="R385" s="2" t="inlineStr"/>
    </row>
    <row r="386" ht="15" customHeight="1">
      <c r="A386" t="inlineStr">
        <is>
          <t>A 40341-2025</t>
        </is>
      </c>
      <c r="B386" s="1" t="n">
        <v>45895</v>
      </c>
      <c r="C386" s="1" t="n">
        <v>46134</v>
      </c>
      <c r="D386" t="inlineStr">
        <is>
          <t>JÄMTLANDS LÄN</t>
        </is>
      </c>
      <c r="E386" t="inlineStr">
        <is>
          <t>BERG</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511-2025</t>
        </is>
      </c>
      <c r="B387" s="1" t="n">
        <v>45664.47284722222</v>
      </c>
      <c r="C387" s="1" t="n">
        <v>46134</v>
      </c>
      <c r="D387" t="inlineStr">
        <is>
          <t>JÄMTLANDS LÄN</t>
        </is>
      </c>
      <c r="E387" t="inlineStr">
        <is>
          <t>BERG</t>
        </is>
      </c>
      <c r="G387" t="n">
        <v>4.5</v>
      </c>
      <c r="H387" t="n">
        <v>0</v>
      </c>
      <c r="I387" t="n">
        <v>0</v>
      </c>
      <c r="J387" t="n">
        <v>0</v>
      </c>
      <c r="K387" t="n">
        <v>0</v>
      </c>
      <c r="L387" t="n">
        <v>0</v>
      </c>
      <c r="M387" t="n">
        <v>0</v>
      </c>
      <c r="N387" t="n">
        <v>0</v>
      </c>
      <c r="O387" t="n">
        <v>0</v>
      </c>
      <c r="P387" t="n">
        <v>0</v>
      </c>
      <c r="Q387" t="n">
        <v>0</v>
      </c>
      <c r="R387" s="2" t="inlineStr"/>
    </row>
    <row r="388" ht="15" customHeight="1">
      <c r="A388" t="inlineStr">
        <is>
          <t>A 40617-2025</t>
        </is>
      </c>
      <c r="B388" s="1" t="n">
        <v>45896.58326388889</v>
      </c>
      <c r="C388" s="1" t="n">
        <v>46134</v>
      </c>
      <c r="D388" t="inlineStr">
        <is>
          <t>JÄMTLANDS LÄN</t>
        </is>
      </c>
      <c r="E388" t="inlineStr">
        <is>
          <t>BERG</t>
        </is>
      </c>
      <c r="G388" t="n">
        <v>3.5</v>
      </c>
      <c r="H388" t="n">
        <v>0</v>
      </c>
      <c r="I388" t="n">
        <v>0</v>
      </c>
      <c r="J388" t="n">
        <v>0</v>
      </c>
      <c r="K388" t="n">
        <v>0</v>
      </c>
      <c r="L388" t="n">
        <v>0</v>
      </c>
      <c r="M388" t="n">
        <v>0</v>
      </c>
      <c r="N388" t="n">
        <v>0</v>
      </c>
      <c r="O388" t="n">
        <v>0</v>
      </c>
      <c r="P388" t="n">
        <v>0</v>
      </c>
      <c r="Q388" t="n">
        <v>0</v>
      </c>
      <c r="R388" s="2" t="inlineStr"/>
    </row>
    <row r="389" ht="15" customHeight="1">
      <c r="A389" t="inlineStr">
        <is>
          <t>A 41247-2025</t>
        </is>
      </c>
      <c r="B389" s="1" t="n">
        <v>45898.60109953704</v>
      </c>
      <c r="C389" s="1" t="n">
        <v>46134</v>
      </c>
      <c r="D389" t="inlineStr">
        <is>
          <t>JÄMTLANDS LÄN</t>
        </is>
      </c>
      <c r="E389" t="inlineStr">
        <is>
          <t>BERG</t>
        </is>
      </c>
      <c r="G389" t="n">
        <v>17.5</v>
      </c>
      <c r="H389" t="n">
        <v>0</v>
      </c>
      <c r="I389" t="n">
        <v>0</v>
      </c>
      <c r="J389" t="n">
        <v>0</v>
      </c>
      <c r="K389" t="n">
        <v>0</v>
      </c>
      <c r="L389" t="n">
        <v>0</v>
      </c>
      <c r="M389" t="n">
        <v>0</v>
      </c>
      <c r="N389" t="n">
        <v>0</v>
      </c>
      <c r="O389" t="n">
        <v>0</v>
      </c>
      <c r="P389" t="n">
        <v>0</v>
      </c>
      <c r="Q389" t="n">
        <v>0</v>
      </c>
      <c r="R389" s="2" t="inlineStr"/>
    </row>
    <row r="390" ht="15" customHeight="1">
      <c r="A390" t="inlineStr">
        <is>
          <t>A 27063-2025</t>
        </is>
      </c>
      <c r="B390" s="1" t="n">
        <v>45811.63626157407</v>
      </c>
      <c r="C390" s="1" t="n">
        <v>46134</v>
      </c>
      <c r="D390" t="inlineStr">
        <is>
          <t>JÄMTLANDS LÄN</t>
        </is>
      </c>
      <c r="E390" t="inlineStr">
        <is>
          <t>BERG</t>
        </is>
      </c>
      <c r="F390" t="inlineStr">
        <is>
          <t>SCA</t>
        </is>
      </c>
      <c r="G390" t="n">
        <v>18.9</v>
      </c>
      <c r="H390" t="n">
        <v>0</v>
      </c>
      <c r="I390" t="n">
        <v>0</v>
      </c>
      <c r="J390" t="n">
        <v>0</v>
      </c>
      <c r="K390" t="n">
        <v>0</v>
      </c>
      <c r="L390" t="n">
        <v>0</v>
      </c>
      <c r="M390" t="n">
        <v>0</v>
      </c>
      <c r="N390" t="n">
        <v>0</v>
      </c>
      <c r="O390" t="n">
        <v>0</v>
      </c>
      <c r="P390" t="n">
        <v>0</v>
      </c>
      <c r="Q390" t="n">
        <v>0</v>
      </c>
      <c r="R390" s="2" t="inlineStr"/>
    </row>
    <row r="391" ht="15" customHeight="1">
      <c r="A391" t="inlineStr">
        <is>
          <t>A 41295-2025</t>
        </is>
      </c>
      <c r="B391" s="1" t="n">
        <v>45898.65660879629</v>
      </c>
      <c r="C391" s="1" t="n">
        <v>46134</v>
      </c>
      <c r="D391" t="inlineStr">
        <is>
          <t>JÄMTLANDS LÄN</t>
        </is>
      </c>
      <c r="E391" t="inlineStr">
        <is>
          <t>BERG</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27044-2025</t>
        </is>
      </c>
      <c r="B392" s="1" t="n">
        <v>45811.61496527777</v>
      </c>
      <c r="C392" s="1" t="n">
        <v>46134</v>
      </c>
      <c r="D392" t="inlineStr">
        <is>
          <t>JÄMTLANDS LÄN</t>
        </is>
      </c>
      <c r="E392" t="inlineStr">
        <is>
          <t>BERG</t>
        </is>
      </c>
      <c r="F392" t="inlineStr">
        <is>
          <t>SCA</t>
        </is>
      </c>
      <c r="G392" t="n">
        <v>26.1</v>
      </c>
      <c r="H392" t="n">
        <v>0</v>
      </c>
      <c r="I392" t="n">
        <v>0</v>
      </c>
      <c r="J392" t="n">
        <v>0</v>
      </c>
      <c r="K392" t="n">
        <v>0</v>
      </c>
      <c r="L392" t="n">
        <v>0</v>
      </c>
      <c r="M392" t="n">
        <v>0</v>
      </c>
      <c r="N392" t="n">
        <v>0</v>
      </c>
      <c r="O392" t="n">
        <v>0</v>
      </c>
      <c r="P392" t="n">
        <v>0</v>
      </c>
      <c r="Q392" t="n">
        <v>0</v>
      </c>
      <c r="R392" s="2" t="inlineStr"/>
    </row>
    <row r="393" ht="15" customHeight="1">
      <c r="A393" t="inlineStr">
        <is>
          <t>A 40918-2025</t>
        </is>
      </c>
      <c r="B393" s="1" t="n">
        <v>45897.6292824074</v>
      </c>
      <c r="C393" s="1" t="n">
        <v>46134</v>
      </c>
      <c r="D393" t="inlineStr">
        <is>
          <t>JÄMTLANDS LÄN</t>
        </is>
      </c>
      <c r="E393" t="inlineStr">
        <is>
          <t>BERG</t>
        </is>
      </c>
      <c r="G393" t="n">
        <v>1.7</v>
      </c>
      <c r="H393" t="n">
        <v>0</v>
      </c>
      <c r="I393" t="n">
        <v>0</v>
      </c>
      <c r="J393" t="n">
        <v>0</v>
      </c>
      <c r="K393" t="n">
        <v>0</v>
      </c>
      <c r="L393" t="n">
        <v>0</v>
      </c>
      <c r="M393" t="n">
        <v>0</v>
      </c>
      <c r="N393" t="n">
        <v>0</v>
      </c>
      <c r="O393" t="n">
        <v>0</v>
      </c>
      <c r="P393" t="n">
        <v>0</v>
      </c>
      <c r="Q393" t="n">
        <v>0</v>
      </c>
      <c r="R393" s="2" t="inlineStr"/>
    </row>
    <row r="394" ht="15" customHeight="1">
      <c r="A394" t="inlineStr">
        <is>
          <t>A 1498-2026</t>
        </is>
      </c>
      <c r="B394" s="1" t="n">
        <v>46034.331875</v>
      </c>
      <c r="C394" s="1" t="n">
        <v>46134</v>
      </c>
      <c r="D394" t="inlineStr">
        <is>
          <t>JÄMTLANDS LÄN</t>
        </is>
      </c>
      <c r="E394" t="inlineStr">
        <is>
          <t>BERG</t>
        </is>
      </c>
      <c r="G394" t="n">
        <v>1.8</v>
      </c>
      <c r="H394" t="n">
        <v>0</v>
      </c>
      <c r="I394" t="n">
        <v>0</v>
      </c>
      <c r="J394" t="n">
        <v>0</v>
      </c>
      <c r="K394" t="n">
        <v>0</v>
      </c>
      <c r="L394" t="n">
        <v>0</v>
      </c>
      <c r="M394" t="n">
        <v>0</v>
      </c>
      <c r="N394" t="n">
        <v>0</v>
      </c>
      <c r="O394" t="n">
        <v>0</v>
      </c>
      <c r="P394" t="n">
        <v>0</v>
      </c>
      <c r="Q394" t="n">
        <v>0</v>
      </c>
      <c r="R394" s="2" t="inlineStr"/>
    </row>
    <row r="395" ht="15" customHeight="1">
      <c r="A395" t="inlineStr">
        <is>
          <t>A 27569-2025</t>
        </is>
      </c>
      <c r="B395" s="1" t="n">
        <v>45813.49018518518</v>
      </c>
      <c r="C395" s="1" t="n">
        <v>46134</v>
      </c>
      <c r="D395" t="inlineStr">
        <is>
          <t>JÄMTLANDS LÄN</t>
        </is>
      </c>
      <c r="E395" t="inlineStr">
        <is>
          <t>BERG</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40708-2025</t>
        </is>
      </c>
      <c r="B396" s="1" t="n">
        <v>45897</v>
      </c>
      <c r="C396" s="1" t="n">
        <v>46134</v>
      </c>
      <c r="D396" t="inlineStr">
        <is>
          <t>JÄMTLANDS LÄN</t>
        </is>
      </c>
      <c r="E396" t="inlineStr">
        <is>
          <t>BERG</t>
        </is>
      </c>
      <c r="G396" t="n">
        <v>6.6</v>
      </c>
      <c r="H396" t="n">
        <v>0</v>
      </c>
      <c r="I396" t="n">
        <v>0</v>
      </c>
      <c r="J396" t="n">
        <v>0</v>
      </c>
      <c r="K396" t="n">
        <v>0</v>
      </c>
      <c r="L396" t="n">
        <v>0</v>
      </c>
      <c r="M396" t="n">
        <v>0</v>
      </c>
      <c r="N396" t="n">
        <v>0</v>
      </c>
      <c r="O396" t="n">
        <v>0</v>
      </c>
      <c r="P396" t="n">
        <v>0</v>
      </c>
      <c r="Q396" t="n">
        <v>0</v>
      </c>
      <c r="R396" s="2" t="inlineStr"/>
    </row>
    <row r="397" ht="15" customHeight="1">
      <c r="A397" t="inlineStr">
        <is>
          <t>A 27459-2025</t>
        </is>
      </c>
      <c r="B397" s="1" t="n">
        <v>45813.34561342592</v>
      </c>
      <c r="C397" s="1" t="n">
        <v>46134</v>
      </c>
      <c r="D397" t="inlineStr">
        <is>
          <t>JÄMTLANDS LÄN</t>
        </is>
      </c>
      <c r="E397" t="inlineStr">
        <is>
          <t>BERG</t>
        </is>
      </c>
      <c r="F397" t="inlineStr">
        <is>
          <t>SCA</t>
        </is>
      </c>
      <c r="G397" t="n">
        <v>19.2</v>
      </c>
      <c r="H397" t="n">
        <v>0</v>
      </c>
      <c r="I397" t="n">
        <v>0</v>
      </c>
      <c r="J397" t="n">
        <v>0</v>
      </c>
      <c r="K397" t="n">
        <v>0</v>
      </c>
      <c r="L397" t="n">
        <v>0</v>
      </c>
      <c r="M397" t="n">
        <v>0</v>
      </c>
      <c r="N397" t="n">
        <v>0</v>
      </c>
      <c r="O397" t="n">
        <v>0</v>
      </c>
      <c r="P397" t="n">
        <v>0</v>
      </c>
      <c r="Q397" t="n">
        <v>0</v>
      </c>
      <c r="R397" s="2" t="inlineStr"/>
    </row>
    <row r="398" ht="15" customHeight="1">
      <c r="A398" t="inlineStr">
        <is>
          <t>A 40873-2025</t>
        </is>
      </c>
      <c r="B398" s="1" t="n">
        <v>45897.5744675926</v>
      </c>
      <c r="C398" s="1" t="n">
        <v>46134</v>
      </c>
      <c r="D398" t="inlineStr">
        <is>
          <t>JÄMTLANDS LÄN</t>
        </is>
      </c>
      <c r="E398" t="inlineStr">
        <is>
          <t>BERG</t>
        </is>
      </c>
      <c r="G398" t="n">
        <v>0.6</v>
      </c>
      <c r="H398" t="n">
        <v>0</v>
      </c>
      <c r="I398" t="n">
        <v>0</v>
      </c>
      <c r="J398" t="n">
        <v>0</v>
      </c>
      <c r="K398" t="n">
        <v>0</v>
      </c>
      <c r="L398" t="n">
        <v>0</v>
      </c>
      <c r="M398" t="n">
        <v>0</v>
      </c>
      <c r="N398" t="n">
        <v>0</v>
      </c>
      <c r="O398" t="n">
        <v>0</v>
      </c>
      <c r="P398" t="n">
        <v>0</v>
      </c>
      <c r="Q398" t="n">
        <v>0</v>
      </c>
      <c r="R398" s="2" t="inlineStr"/>
    </row>
    <row r="399" ht="15" customHeight="1">
      <c r="A399" t="inlineStr">
        <is>
          <t>A 27716-2025</t>
        </is>
      </c>
      <c r="B399" s="1" t="n">
        <v>45813.961875</v>
      </c>
      <c r="C399" s="1" t="n">
        <v>46134</v>
      </c>
      <c r="D399" t="inlineStr">
        <is>
          <t>JÄMTLANDS LÄN</t>
        </is>
      </c>
      <c r="E399" t="inlineStr">
        <is>
          <t>BERG</t>
        </is>
      </c>
      <c r="G399" t="n">
        <v>6.7</v>
      </c>
      <c r="H399" t="n">
        <v>0</v>
      </c>
      <c r="I399" t="n">
        <v>0</v>
      </c>
      <c r="J399" t="n">
        <v>0</v>
      </c>
      <c r="K399" t="n">
        <v>0</v>
      </c>
      <c r="L399" t="n">
        <v>0</v>
      </c>
      <c r="M399" t="n">
        <v>0</v>
      </c>
      <c r="N399" t="n">
        <v>0</v>
      </c>
      <c r="O399" t="n">
        <v>0</v>
      </c>
      <c r="P399" t="n">
        <v>0</v>
      </c>
      <c r="Q399" t="n">
        <v>0</v>
      </c>
      <c r="R399" s="2" t="inlineStr"/>
    </row>
    <row r="400" ht="15" customHeight="1">
      <c r="A400" t="inlineStr">
        <is>
          <t>A 41265-2025</t>
        </is>
      </c>
      <c r="B400" s="1" t="n">
        <v>45898.6153587963</v>
      </c>
      <c r="C400" s="1" t="n">
        <v>46134</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41263-2025</t>
        </is>
      </c>
      <c r="B401" s="1" t="n">
        <v>45898.61517361111</v>
      </c>
      <c r="C401" s="1" t="n">
        <v>46134</v>
      </c>
      <c r="D401" t="inlineStr">
        <is>
          <t>JÄMTLANDS LÄN</t>
        </is>
      </c>
      <c r="E401" t="inlineStr">
        <is>
          <t>BERG</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40737-2025</t>
        </is>
      </c>
      <c r="B402" s="1" t="n">
        <v>45897.36572916667</v>
      </c>
      <c r="C402" s="1" t="n">
        <v>46134</v>
      </c>
      <c r="D402" t="inlineStr">
        <is>
          <t>JÄMTLANDS LÄN</t>
        </is>
      </c>
      <c r="E402" t="inlineStr">
        <is>
          <t>BERG</t>
        </is>
      </c>
      <c r="G402" t="n">
        <v>2.8</v>
      </c>
      <c r="H402" t="n">
        <v>0</v>
      </c>
      <c r="I402" t="n">
        <v>0</v>
      </c>
      <c r="J402" t="n">
        <v>0</v>
      </c>
      <c r="K402" t="n">
        <v>0</v>
      </c>
      <c r="L402" t="n">
        <v>0</v>
      </c>
      <c r="M402" t="n">
        <v>0</v>
      </c>
      <c r="N402" t="n">
        <v>0</v>
      </c>
      <c r="O402" t="n">
        <v>0</v>
      </c>
      <c r="P402" t="n">
        <v>0</v>
      </c>
      <c r="Q402" t="n">
        <v>0</v>
      </c>
      <c r="R402" s="2" t="inlineStr"/>
    </row>
    <row r="403" ht="15" customHeight="1">
      <c r="A403" t="inlineStr">
        <is>
          <t>A 28157-2025</t>
        </is>
      </c>
      <c r="B403" s="1" t="n">
        <v>45818.36512731481</v>
      </c>
      <c r="C403" s="1" t="n">
        <v>46134</v>
      </c>
      <c r="D403" t="inlineStr">
        <is>
          <t>JÄMTLANDS LÄN</t>
        </is>
      </c>
      <c r="E403" t="inlineStr">
        <is>
          <t>BERG</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14697-2025</t>
        </is>
      </c>
      <c r="B404" s="1" t="n">
        <v>45742.59415509259</v>
      </c>
      <c r="C404" s="1" t="n">
        <v>46134</v>
      </c>
      <c r="D404" t="inlineStr">
        <is>
          <t>JÄMTLANDS LÄN</t>
        </is>
      </c>
      <c r="E404" t="inlineStr">
        <is>
          <t>BERG</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28196-2025</t>
        </is>
      </c>
      <c r="B405" s="1" t="n">
        <v>45818.42753472222</v>
      </c>
      <c r="C405" s="1" t="n">
        <v>46134</v>
      </c>
      <c r="D405" t="inlineStr">
        <is>
          <t>JÄMTLANDS LÄN</t>
        </is>
      </c>
      <c r="E405" t="inlineStr">
        <is>
          <t>BERG</t>
        </is>
      </c>
      <c r="F405" t="inlineStr">
        <is>
          <t>SCA</t>
        </is>
      </c>
      <c r="G405" t="n">
        <v>6.6</v>
      </c>
      <c r="H405" t="n">
        <v>0</v>
      </c>
      <c r="I405" t="n">
        <v>0</v>
      </c>
      <c r="J405" t="n">
        <v>0</v>
      </c>
      <c r="K405" t="n">
        <v>0</v>
      </c>
      <c r="L405" t="n">
        <v>0</v>
      </c>
      <c r="M405" t="n">
        <v>0</v>
      </c>
      <c r="N405" t="n">
        <v>0</v>
      </c>
      <c r="O405" t="n">
        <v>0</v>
      </c>
      <c r="P405" t="n">
        <v>0</v>
      </c>
      <c r="Q405" t="n">
        <v>0</v>
      </c>
      <c r="R405" s="2" t="inlineStr"/>
    </row>
    <row r="406" ht="15" customHeight="1">
      <c r="A406" t="inlineStr">
        <is>
          <t>A 32064-2023</t>
        </is>
      </c>
      <c r="B406" s="1" t="n">
        <v>45119.57108796296</v>
      </c>
      <c r="C406" s="1" t="n">
        <v>46134</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1401-2026</t>
        </is>
      </c>
      <c r="B407" s="1" t="n">
        <v>46031.64333333333</v>
      </c>
      <c r="C407" s="1" t="n">
        <v>46134</v>
      </c>
      <c r="D407" t="inlineStr">
        <is>
          <t>JÄMTLANDS LÄN</t>
        </is>
      </c>
      <c r="E407" t="inlineStr">
        <is>
          <t>BERG</t>
        </is>
      </c>
      <c r="G407" t="n">
        <v>2.1</v>
      </c>
      <c r="H407" t="n">
        <v>0</v>
      </c>
      <c r="I407" t="n">
        <v>0</v>
      </c>
      <c r="J407" t="n">
        <v>0</v>
      </c>
      <c r="K407" t="n">
        <v>0</v>
      </c>
      <c r="L407" t="n">
        <v>0</v>
      </c>
      <c r="M407" t="n">
        <v>0</v>
      </c>
      <c r="N407" t="n">
        <v>0</v>
      </c>
      <c r="O407" t="n">
        <v>0</v>
      </c>
      <c r="P407" t="n">
        <v>0</v>
      </c>
      <c r="Q407" t="n">
        <v>0</v>
      </c>
      <c r="R407" s="2" t="inlineStr"/>
    </row>
    <row r="408" ht="15" customHeight="1">
      <c r="A408" t="inlineStr">
        <is>
          <t>A 1407-2026</t>
        </is>
      </c>
      <c r="B408" s="1" t="n">
        <v>46031.64733796296</v>
      </c>
      <c r="C408" s="1" t="n">
        <v>46134</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41886-2024</t>
        </is>
      </c>
      <c r="B409" s="1" t="n">
        <v>45561.48825231481</v>
      </c>
      <c r="C409" s="1" t="n">
        <v>46134</v>
      </c>
      <c r="D409" t="inlineStr">
        <is>
          <t>JÄMTLANDS LÄN</t>
        </is>
      </c>
      <c r="E409" t="inlineStr">
        <is>
          <t>BERG</t>
        </is>
      </c>
      <c r="G409" t="n">
        <v>1.2</v>
      </c>
      <c r="H409" t="n">
        <v>0</v>
      </c>
      <c r="I409" t="n">
        <v>0</v>
      </c>
      <c r="J409" t="n">
        <v>0</v>
      </c>
      <c r="K409" t="n">
        <v>0</v>
      </c>
      <c r="L409" t="n">
        <v>0</v>
      </c>
      <c r="M409" t="n">
        <v>0</v>
      </c>
      <c r="N409" t="n">
        <v>0</v>
      </c>
      <c r="O409" t="n">
        <v>0</v>
      </c>
      <c r="P409" t="n">
        <v>0</v>
      </c>
      <c r="Q409" t="n">
        <v>0</v>
      </c>
      <c r="R409" s="2" t="inlineStr"/>
    </row>
    <row r="410" ht="15" customHeight="1">
      <c r="A410" t="inlineStr">
        <is>
          <t>A 13672-2024</t>
        </is>
      </c>
      <c r="B410" s="1" t="n">
        <v>45390</v>
      </c>
      <c r="C410" s="1" t="n">
        <v>46134</v>
      </c>
      <c r="D410" t="inlineStr">
        <is>
          <t>JÄMTLANDS LÄN</t>
        </is>
      </c>
      <c r="E410" t="inlineStr">
        <is>
          <t>BERG</t>
        </is>
      </c>
      <c r="G410" t="n">
        <v>0.3</v>
      </c>
      <c r="H410" t="n">
        <v>0</v>
      </c>
      <c r="I410" t="n">
        <v>0</v>
      </c>
      <c r="J410" t="n">
        <v>0</v>
      </c>
      <c r="K410" t="n">
        <v>0</v>
      </c>
      <c r="L410" t="n">
        <v>0</v>
      </c>
      <c r="M410" t="n">
        <v>0</v>
      </c>
      <c r="N410" t="n">
        <v>0</v>
      </c>
      <c r="O410" t="n">
        <v>0</v>
      </c>
      <c r="P410" t="n">
        <v>0</v>
      </c>
      <c r="Q410" t="n">
        <v>0</v>
      </c>
      <c r="R410" s="2" t="inlineStr"/>
    </row>
    <row r="411" ht="15" customHeight="1">
      <c r="A411" t="inlineStr">
        <is>
          <t>A 1495-2026</t>
        </is>
      </c>
      <c r="B411" s="1" t="n">
        <v>46034.32285879629</v>
      </c>
      <c r="C411" s="1" t="n">
        <v>46134</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28079-2025</t>
        </is>
      </c>
      <c r="B412" s="1" t="n">
        <v>45817.69681712963</v>
      </c>
      <c r="C412" s="1" t="n">
        <v>46134</v>
      </c>
      <c r="D412" t="inlineStr">
        <is>
          <t>JÄMTLANDS LÄN</t>
        </is>
      </c>
      <c r="E412" t="inlineStr">
        <is>
          <t>BERG</t>
        </is>
      </c>
      <c r="G412" t="n">
        <v>3.7</v>
      </c>
      <c r="H412" t="n">
        <v>0</v>
      </c>
      <c r="I412" t="n">
        <v>0</v>
      </c>
      <c r="J412" t="n">
        <v>0</v>
      </c>
      <c r="K412" t="n">
        <v>0</v>
      </c>
      <c r="L412" t="n">
        <v>0</v>
      </c>
      <c r="M412" t="n">
        <v>0</v>
      </c>
      <c r="N412" t="n">
        <v>0</v>
      </c>
      <c r="O412" t="n">
        <v>0</v>
      </c>
      <c r="P412" t="n">
        <v>0</v>
      </c>
      <c r="Q412" t="n">
        <v>0</v>
      </c>
      <c r="R412" s="2" t="inlineStr"/>
    </row>
    <row r="413" ht="15" customHeight="1">
      <c r="A413" t="inlineStr">
        <is>
          <t>A 27750-2025</t>
        </is>
      </c>
      <c r="B413" s="1" t="n">
        <v>45815.68543981481</v>
      </c>
      <c r="C413" s="1" t="n">
        <v>46134</v>
      </c>
      <c r="D413" t="inlineStr">
        <is>
          <t>JÄMTLANDS LÄN</t>
        </is>
      </c>
      <c r="E413" t="inlineStr">
        <is>
          <t>BERG</t>
        </is>
      </c>
      <c r="G413" t="n">
        <v>2.4</v>
      </c>
      <c r="H413" t="n">
        <v>0</v>
      </c>
      <c r="I413" t="n">
        <v>0</v>
      </c>
      <c r="J413" t="n">
        <v>0</v>
      </c>
      <c r="K413" t="n">
        <v>0</v>
      </c>
      <c r="L413" t="n">
        <v>0</v>
      </c>
      <c r="M413" t="n">
        <v>0</v>
      </c>
      <c r="N413" t="n">
        <v>0</v>
      </c>
      <c r="O413" t="n">
        <v>0</v>
      </c>
      <c r="P413" t="n">
        <v>0</v>
      </c>
      <c r="Q413" t="n">
        <v>0</v>
      </c>
      <c r="R413" s="2" t="inlineStr"/>
    </row>
    <row r="414" ht="15" customHeight="1">
      <c r="A414" t="inlineStr">
        <is>
          <t>A 28257-2025</t>
        </is>
      </c>
      <c r="B414" s="1" t="n">
        <v>45818.55263888889</v>
      </c>
      <c r="C414" s="1" t="n">
        <v>46134</v>
      </c>
      <c r="D414" t="inlineStr">
        <is>
          <t>JÄMTLANDS LÄN</t>
        </is>
      </c>
      <c r="E414" t="inlineStr">
        <is>
          <t>BERG</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27737-2025</t>
        </is>
      </c>
      <c r="B415" s="1" t="n">
        <v>45815.34414351852</v>
      </c>
      <c r="C415" s="1" t="n">
        <v>46134</v>
      </c>
      <c r="D415" t="inlineStr">
        <is>
          <t>JÄMTLANDS LÄN</t>
        </is>
      </c>
      <c r="E415" t="inlineStr">
        <is>
          <t>BERG</t>
        </is>
      </c>
      <c r="F415" t="inlineStr">
        <is>
          <t>SCA</t>
        </is>
      </c>
      <c r="G415" t="n">
        <v>10.9</v>
      </c>
      <c r="H415" t="n">
        <v>0</v>
      </c>
      <c r="I415" t="n">
        <v>0</v>
      </c>
      <c r="J415" t="n">
        <v>0</v>
      </c>
      <c r="K415" t="n">
        <v>0</v>
      </c>
      <c r="L415" t="n">
        <v>0</v>
      </c>
      <c r="M415" t="n">
        <v>0</v>
      </c>
      <c r="N415" t="n">
        <v>0</v>
      </c>
      <c r="O415" t="n">
        <v>0</v>
      </c>
      <c r="P415" t="n">
        <v>0</v>
      </c>
      <c r="Q415" t="n">
        <v>0</v>
      </c>
      <c r="R415" s="2" t="inlineStr"/>
    </row>
    <row r="416" ht="15" customHeight="1">
      <c r="A416" t="inlineStr">
        <is>
          <t>A 28077-2025</t>
        </is>
      </c>
      <c r="B416" s="1" t="n">
        <v>45817.68596064814</v>
      </c>
      <c r="C416" s="1" t="n">
        <v>46134</v>
      </c>
      <c r="D416" t="inlineStr">
        <is>
          <t>JÄMTLANDS LÄN</t>
        </is>
      </c>
      <c r="E416" t="inlineStr">
        <is>
          <t>BERG</t>
        </is>
      </c>
      <c r="G416" t="n">
        <v>6</v>
      </c>
      <c r="H416" t="n">
        <v>0</v>
      </c>
      <c r="I416" t="n">
        <v>0</v>
      </c>
      <c r="J416" t="n">
        <v>0</v>
      </c>
      <c r="K416" t="n">
        <v>0</v>
      </c>
      <c r="L416" t="n">
        <v>0</v>
      </c>
      <c r="M416" t="n">
        <v>0</v>
      </c>
      <c r="N416" t="n">
        <v>0</v>
      </c>
      <c r="O416" t="n">
        <v>0</v>
      </c>
      <c r="P416" t="n">
        <v>0</v>
      </c>
      <c r="Q416" t="n">
        <v>0</v>
      </c>
      <c r="R416" s="2" t="inlineStr"/>
    </row>
    <row r="417" ht="15" customHeight="1">
      <c r="A417" t="inlineStr">
        <is>
          <t>A 41875-2024</t>
        </is>
      </c>
      <c r="B417" s="1" t="n">
        <v>45561.47431712963</v>
      </c>
      <c r="C417" s="1" t="n">
        <v>46134</v>
      </c>
      <c r="D417" t="inlineStr">
        <is>
          <t>JÄMTLANDS LÄN</t>
        </is>
      </c>
      <c r="E417" t="inlineStr">
        <is>
          <t>BERG</t>
        </is>
      </c>
      <c r="G417" t="n">
        <v>1.3</v>
      </c>
      <c r="H417" t="n">
        <v>0</v>
      </c>
      <c r="I417" t="n">
        <v>0</v>
      </c>
      <c r="J417" t="n">
        <v>0</v>
      </c>
      <c r="K417" t="n">
        <v>0</v>
      </c>
      <c r="L417" t="n">
        <v>0</v>
      </c>
      <c r="M417" t="n">
        <v>0</v>
      </c>
      <c r="N417" t="n">
        <v>0</v>
      </c>
      <c r="O417" t="n">
        <v>0</v>
      </c>
      <c r="P417" t="n">
        <v>0</v>
      </c>
      <c r="Q417" t="n">
        <v>0</v>
      </c>
      <c r="R417" s="2" t="inlineStr"/>
    </row>
    <row r="418" ht="15" customHeight="1">
      <c r="A418" t="inlineStr">
        <is>
          <t>A 28454-2025</t>
        </is>
      </c>
      <c r="B418" s="1" t="n">
        <v>45819.40679398148</v>
      </c>
      <c r="C418" s="1" t="n">
        <v>46134</v>
      </c>
      <c r="D418" t="inlineStr">
        <is>
          <t>JÄMTLANDS LÄN</t>
        </is>
      </c>
      <c r="E418" t="inlineStr">
        <is>
          <t>BERG</t>
        </is>
      </c>
      <c r="G418" t="n">
        <v>3.8</v>
      </c>
      <c r="H418" t="n">
        <v>0</v>
      </c>
      <c r="I418" t="n">
        <v>0</v>
      </c>
      <c r="J418" t="n">
        <v>0</v>
      </c>
      <c r="K418" t="n">
        <v>0</v>
      </c>
      <c r="L418" t="n">
        <v>0</v>
      </c>
      <c r="M418" t="n">
        <v>0</v>
      </c>
      <c r="N418" t="n">
        <v>0</v>
      </c>
      <c r="O418" t="n">
        <v>0</v>
      </c>
      <c r="P418" t="n">
        <v>0</v>
      </c>
      <c r="Q418" t="n">
        <v>0</v>
      </c>
      <c r="R418" s="2" t="inlineStr"/>
    </row>
    <row r="419" ht="15" customHeight="1">
      <c r="A419" t="inlineStr">
        <is>
          <t>A 28401-2025</t>
        </is>
      </c>
      <c r="B419" s="1" t="n">
        <v>45819.34469907408</v>
      </c>
      <c r="C419" s="1" t="n">
        <v>46134</v>
      </c>
      <c r="D419" t="inlineStr">
        <is>
          <t>JÄMTLANDS LÄN</t>
        </is>
      </c>
      <c r="E419" t="inlineStr">
        <is>
          <t>BERG</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28453-2025</t>
        </is>
      </c>
      <c r="B420" s="1" t="n">
        <v>45819.40668981482</v>
      </c>
      <c r="C420" s="1" t="n">
        <v>46134</v>
      </c>
      <c r="D420" t="inlineStr">
        <is>
          <t>JÄMTLANDS LÄN</t>
        </is>
      </c>
      <c r="E420" t="inlineStr">
        <is>
          <t>BERG</t>
        </is>
      </c>
      <c r="G420" t="n">
        <v>4.1</v>
      </c>
      <c r="H420" t="n">
        <v>0</v>
      </c>
      <c r="I420" t="n">
        <v>0</v>
      </c>
      <c r="J420" t="n">
        <v>0</v>
      </c>
      <c r="K420" t="n">
        <v>0</v>
      </c>
      <c r="L420" t="n">
        <v>0</v>
      </c>
      <c r="M420" t="n">
        <v>0</v>
      </c>
      <c r="N420" t="n">
        <v>0</v>
      </c>
      <c r="O420" t="n">
        <v>0</v>
      </c>
      <c r="P420" t="n">
        <v>0</v>
      </c>
      <c r="Q420" t="n">
        <v>0</v>
      </c>
      <c r="R420" s="2" t="inlineStr"/>
    </row>
    <row r="421" ht="15" customHeight="1">
      <c r="A421" t="inlineStr">
        <is>
          <t>A 41930-2025</t>
        </is>
      </c>
      <c r="B421" s="1" t="n">
        <v>45903.43454861111</v>
      </c>
      <c r="C421" s="1" t="n">
        <v>46134</v>
      </c>
      <c r="D421" t="inlineStr">
        <is>
          <t>JÄMTLANDS LÄN</t>
        </is>
      </c>
      <c r="E421" t="inlineStr">
        <is>
          <t>BERG</t>
        </is>
      </c>
      <c r="F421" t="inlineStr">
        <is>
          <t>Övriga statliga verk och myndigheter</t>
        </is>
      </c>
      <c r="G421" t="n">
        <v>2.4</v>
      </c>
      <c r="H421" t="n">
        <v>0</v>
      </c>
      <c r="I421" t="n">
        <v>0</v>
      </c>
      <c r="J421" t="n">
        <v>0</v>
      </c>
      <c r="K421" t="n">
        <v>0</v>
      </c>
      <c r="L421" t="n">
        <v>0</v>
      </c>
      <c r="M421" t="n">
        <v>0</v>
      </c>
      <c r="N421" t="n">
        <v>0</v>
      </c>
      <c r="O421" t="n">
        <v>0</v>
      </c>
      <c r="P421" t="n">
        <v>0</v>
      </c>
      <c r="Q421" t="n">
        <v>0</v>
      </c>
      <c r="R421" s="2" t="inlineStr"/>
    </row>
    <row r="422" ht="15" customHeight="1">
      <c r="A422" t="inlineStr">
        <is>
          <t>A 28657-2025</t>
        </is>
      </c>
      <c r="B422" s="1" t="n">
        <v>45819.65709490741</v>
      </c>
      <c r="C422" s="1" t="n">
        <v>46134</v>
      </c>
      <c r="D422" t="inlineStr">
        <is>
          <t>JÄMTLANDS LÄN</t>
        </is>
      </c>
      <c r="E422" t="inlineStr">
        <is>
          <t>BERG</t>
        </is>
      </c>
      <c r="G422" t="n">
        <v>2.4</v>
      </c>
      <c r="H422" t="n">
        <v>0</v>
      </c>
      <c r="I422" t="n">
        <v>0</v>
      </c>
      <c r="J422" t="n">
        <v>0</v>
      </c>
      <c r="K422" t="n">
        <v>0</v>
      </c>
      <c r="L422" t="n">
        <v>0</v>
      </c>
      <c r="M422" t="n">
        <v>0</v>
      </c>
      <c r="N422" t="n">
        <v>0</v>
      </c>
      <c r="O422" t="n">
        <v>0</v>
      </c>
      <c r="P422" t="n">
        <v>0</v>
      </c>
      <c r="Q422" t="n">
        <v>0</v>
      </c>
      <c r="R422" s="2" t="inlineStr"/>
    </row>
    <row r="423" ht="15" customHeight="1">
      <c r="A423" t="inlineStr">
        <is>
          <t>A 18408-2025</t>
        </is>
      </c>
      <c r="B423" s="1" t="n">
        <v>45762.61128472222</v>
      </c>
      <c r="C423" s="1" t="n">
        <v>46134</v>
      </c>
      <c r="D423" t="inlineStr">
        <is>
          <t>JÄMTLANDS LÄN</t>
        </is>
      </c>
      <c r="E423" t="inlineStr">
        <is>
          <t>BERG</t>
        </is>
      </c>
      <c r="G423" t="n">
        <v>5.1</v>
      </c>
      <c r="H423" t="n">
        <v>0</v>
      </c>
      <c r="I423" t="n">
        <v>0</v>
      </c>
      <c r="J423" t="n">
        <v>0</v>
      </c>
      <c r="K423" t="n">
        <v>0</v>
      </c>
      <c r="L423" t="n">
        <v>0</v>
      </c>
      <c r="M423" t="n">
        <v>0</v>
      </c>
      <c r="N423" t="n">
        <v>0</v>
      </c>
      <c r="O423" t="n">
        <v>0</v>
      </c>
      <c r="P423" t="n">
        <v>0</v>
      </c>
      <c r="Q423" t="n">
        <v>0</v>
      </c>
      <c r="R423" s="2" t="inlineStr"/>
    </row>
    <row r="424" ht="15" customHeight="1">
      <c r="A424" t="inlineStr">
        <is>
          <t>A 42003-2025</t>
        </is>
      </c>
      <c r="B424" s="1" t="n">
        <v>45903.55403935185</v>
      </c>
      <c r="C424" s="1" t="n">
        <v>46134</v>
      </c>
      <c r="D424" t="inlineStr">
        <is>
          <t>JÄMTLANDS LÄN</t>
        </is>
      </c>
      <c r="E424" t="inlineStr">
        <is>
          <t>BERG</t>
        </is>
      </c>
      <c r="F424" t="inlineStr">
        <is>
          <t>Övriga statliga verk och myndigheter</t>
        </is>
      </c>
      <c r="G424" t="n">
        <v>10.5</v>
      </c>
      <c r="H424" t="n">
        <v>0</v>
      </c>
      <c r="I424" t="n">
        <v>0</v>
      </c>
      <c r="J424" t="n">
        <v>0</v>
      </c>
      <c r="K424" t="n">
        <v>0</v>
      </c>
      <c r="L424" t="n">
        <v>0</v>
      </c>
      <c r="M424" t="n">
        <v>0</v>
      </c>
      <c r="N424" t="n">
        <v>0</v>
      </c>
      <c r="O424" t="n">
        <v>0</v>
      </c>
      <c r="P424" t="n">
        <v>0</v>
      </c>
      <c r="Q424" t="n">
        <v>0</v>
      </c>
      <c r="R424" s="2" t="inlineStr"/>
    </row>
    <row r="425" ht="15" customHeight="1">
      <c r="A425" t="inlineStr">
        <is>
          <t>A 29197-2025</t>
        </is>
      </c>
      <c r="B425" s="1" t="n">
        <v>45823.34438657408</v>
      </c>
      <c r="C425" s="1" t="n">
        <v>46134</v>
      </c>
      <c r="D425" t="inlineStr">
        <is>
          <t>JÄMTLANDS LÄN</t>
        </is>
      </c>
      <c r="E425" t="inlineStr">
        <is>
          <t>BERG</t>
        </is>
      </c>
      <c r="F425" t="inlineStr">
        <is>
          <t>SCA</t>
        </is>
      </c>
      <c r="G425" t="n">
        <v>10</v>
      </c>
      <c r="H425" t="n">
        <v>0</v>
      </c>
      <c r="I425" t="n">
        <v>0</v>
      </c>
      <c r="J425" t="n">
        <v>0</v>
      </c>
      <c r="K425" t="n">
        <v>0</v>
      </c>
      <c r="L425" t="n">
        <v>0</v>
      </c>
      <c r="M425" t="n">
        <v>0</v>
      </c>
      <c r="N425" t="n">
        <v>0</v>
      </c>
      <c r="O425" t="n">
        <v>0</v>
      </c>
      <c r="P425" t="n">
        <v>0</v>
      </c>
      <c r="Q425" t="n">
        <v>0</v>
      </c>
      <c r="R425" s="2" t="inlineStr"/>
    </row>
    <row r="426" ht="15" customHeight="1">
      <c r="A426" t="inlineStr">
        <is>
          <t>A 29279-2025</t>
        </is>
      </c>
      <c r="B426" s="1" t="n">
        <v>45824.42381944445</v>
      </c>
      <c r="C426" s="1" t="n">
        <v>46134</v>
      </c>
      <c r="D426" t="inlineStr">
        <is>
          <t>JÄMTLANDS LÄN</t>
        </is>
      </c>
      <c r="E426" t="inlineStr">
        <is>
          <t>BERG</t>
        </is>
      </c>
      <c r="G426" t="n">
        <v>3.6</v>
      </c>
      <c r="H426" t="n">
        <v>0</v>
      </c>
      <c r="I426" t="n">
        <v>0</v>
      </c>
      <c r="J426" t="n">
        <v>0</v>
      </c>
      <c r="K426" t="n">
        <v>0</v>
      </c>
      <c r="L426" t="n">
        <v>0</v>
      </c>
      <c r="M426" t="n">
        <v>0</v>
      </c>
      <c r="N426" t="n">
        <v>0</v>
      </c>
      <c r="O426" t="n">
        <v>0</v>
      </c>
      <c r="P426" t="n">
        <v>0</v>
      </c>
      <c r="Q426" t="n">
        <v>0</v>
      </c>
      <c r="R426" s="2" t="inlineStr"/>
    </row>
    <row r="427" ht="15" customHeight="1">
      <c r="A427" t="inlineStr">
        <is>
          <t>A 29310-2025</t>
        </is>
      </c>
      <c r="B427" s="1" t="n">
        <v>45824.46353009259</v>
      </c>
      <c r="C427" s="1" t="n">
        <v>46134</v>
      </c>
      <c r="D427" t="inlineStr">
        <is>
          <t>JÄMTLANDS LÄN</t>
        </is>
      </c>
      <c r="E427" t="inlineStr">
        <is>
          <t>BERG</t>
        </is>
      </c>
      <c r="G427" t="n">
        <v>5.6</v>
      </c>
      <c r="H427" t="n">
        <v>0</v>
      </c>
      <c r="I427" t="n">
        <v>0</v>
      </c>
      <c r="J427" t="n">
        <v>0</v>
      </c>
      <c r="K427" t="n">
        <v>0</v>
      </c>
      <c r="L427" t="n">
        <v>0</v>
      </c>
      <c r="M427" t="n">
        <v>0</v>
      </c>
      <c r="N427" t="n">
        <v>0</v>
      </c>
      <c r="O427" t="n">
        <v>0</v>
      </c>
      <c r="P427" t="n">
        <v>0</v>
      </c>
      <c r="Q427" t="n">
        <v>0</v>
      </c>
      <c r="R427" s="2" t="inlineStr"/>
    </row>
    <row r="428" ht="15" customHeight="1">
      <c r="A428" t="inlineStr">
        <is>
          <t>A 41997-2025</t>
        </is>
      </c>
      <c r="B428" s="1" t="n">
        <v>45903.55162037037</v>
      </c>
      <c r="C428" s="1" t="n">
        <v>46134</v>
      </c>
      <c r="D428" t="inlineStr">
        <is>
          <t>JÄMTLANDS LÄN</t>
        </is>
      </c>
      <c r="E428" t="inlineStr">
        <is>
          <t>BERG</t>
        </is>
      </c>
      <c r="F428" t="inlineStr">
        <is>
          <t>Övriga statliga verk och myndigheter</t>
        </is>
      </c>
      <c r="G428" t="n">
        <v>2.2</v>
      </c>
      <c r="H428" t="n">
        <v>0</v>
      </c>
      <c r="I428" t="n">
        <v>0</v>
      </c>
      <c r="J428" t="n">
        <v>0</v>
      </c>
      <c r="K428" t="n">
        <v>0</v>
      </c>
      <c r="L428" t="n">
        <v>0</v>
      </c>
      <c r="M428" t="n">
        <v>0</v>
      </c>
      <c r="N428" t="n">
        <v>0</v>
      </c>
      <c r="O428" t="n">
        <v>0</v>
      </c>
      <c r="P428" t="n">
        <v>0</v>
      </c>
      <c r="Q428" t="n">
        <v>0</v>
      </c>
      <c r="R428" s="2" t="inlineStr"/>
    </row>
    <row r="429" ht="15" customHeight="1">
      <c r="A429" t="inlineStr">
        <is>
          <t>A 29198-2025</t>
        </is>
      </c>
      <c r="B429" s="1" t="n">
        <v>45823.34451388889</v>
      </c>
      <c r="C429" s="1" t="n">
        <v>46134</v>
      </c>
      <c r="D429" t="inlineStr">
        <is>
          <t>JÄMTLANDS LÄN</t>
        </is>
      </c>
      <c r="E429" t="inlineStr">
        <is>
          <t>BERG</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29199-2025</t>
        </is>
      </c>
      <c r="B430" s="1" t="n">
        <v>45823.34459490741</v>
      </c>
      <c r="C430" s="1" t="n">
        <v>46134</v>
      </c>
      <c r="D430" t="inlineStr">
        <is>
          <t>JÄMTLANDS LÄN</t>
        </is>
      </c>
      <c r="E430" t="inlineStr">
        <is>
          <t>BERG</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42415-2025</t>
        </is>
      </c>
      <c r="B431" s="1" t="n">
        <v>45905.39195601852</v>
      </c>
      <c r="C431" s="1" t="n">
        <v>46134</v>
      </c>
      <c r="D431" t="inlineStr">
        <is>
          <t>JÄMTLANDS LÄN</t>
        </is>
      </c>
      <c r="E431" t="inlineStr">
        <is>
          <t>BERG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5219-2022</t>
        </is>
      </c>
      <c r="B432" s="1" t="n">
        <v>44594.48569444445</v>
      </c>
      <c r="C432" s="1" t="n">
        <v>46134</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31024-2025</t>
        </is>
      </c>
      <c r="B433" s="1" t="n">
        <v>45832.52571759259</v>
      </c>
      <c r="C433" s="1" t="n">
        <v>46134</v>
      </c>
      <c r="D433" t="inlineStr">
        <is>
          <t>JÄMTLANDS LÄN</t>
        </is>
      </c>
      <c r="E433" t="inlineStr">
        <is>
          <t>BERG</t>
        </is>
      </c>
      <c r="G433" t="n">
        <v>3.6</v>
      </c>
      <c r="H433" t="n">
        <v>0</v>
      </c>
      <c r="I433" t="n">
        <v>0</v>
      </c>
      <c r="J433" t="n">
        <v>0</v>
      </c>
      <c r="K433" t="n">
        <v>0</v>
      </c>
      <c r="L433" t="n">
        <v>0</v>
      </c>
      <c r="M433" t="n">
        <v>0</v>
      </c>
      <c r="N433" t="n">
        <v>0</v>
      </c>
      <c r="O433" t="n">
        <v>0</v>
      </c>
      <c r="P433" t="n">
        <v>0</v>
      </c>
      <c r="Q433" t="n">
        <v>0</v>
      </c>
      <c r="R433" s="2" t="inlineStr"/>
    </row>
    <row r="434" ht="15" customHeight="1">
      <c r="A434" t="inlineStr">
        <is>
          <t>A 29836-2025</t>
        </is>
      </c>
      <c r="B434" s="1" t="n">
        <v>45825.9468287037</v>
      </c>
      <c r="C434" s="1" t="n">
        <v>46134</v>
      </c>
      <c r="D434" t="inlineStr">
        <is>
          <t>JÄMTLANDS LÄN</t>
        </is>
      </c>
      <c r="E434" t="inlineStr">
        <is>
          <t>BERG</t>
        </is>
      </c>
      <c r="G434" t="n">
        <v>12.7</v>
      </c>
      <c r="H434" t="n">
        <v>0</v>
      </c>
      <c r="I434" t="n">
        <v>0</v>
      </c>
      <c r="J434" t="n">
        <v>0</v>
      </c>
      <c r="K434" t="n">
        <v>0</v>
      </c>
      <c r="L434" t="n">
        <v>0</v>
      </c>
      <c r="M434" t="n">
        <v>0</v>
      </c>
      <c r="N434" t="n">
        <v>0</v>
      </c>
      <c r="O434" t="n">
        <v>0</v>
      </c>
      <c r="P434" t="n">
        <v>0</v>
      </c>
      <c r="Q434" t="n">
        <v>0</v>
      </c>
      <c r="R434" s="2" t="inlineStr"/>
    </row>
    <row r="435" ht="15" customHeight="1">
      <c r="A435" t="inlineStr">
        <is>
          <t>A 1939-2026</t>
        </is>
      </c>
      <c r="B435" s="1" t="n">
        <v>46035.58862268519</v>
      </c>
      <c r="C435" s="1" t="n">
        <v>46134</v>
      </c>
      <c r="D435" t="inlineStr">
        <is>
          <t>JÄMTLANDS LÄN</t>
        </is>
      </c>
      <c r="E435" t="inlineStr">
        <is>
          <t>BERG</t>
        </is>
      </c>
      <c r="G435" t="n">
        <v>3.9</v>
      </c>
      <c r="H435" t="n">
        <v>0</v>
      </c>
      <c r="I435" t="n">
        <v>0</v>
      </c>
      <c r="J435" t="n">
        <v>0</v>
      </c>
      <c r="K435" t="n">
        <v>0</v>
      </c>
      <c r="L435" t="n">
        <v>0</v>
      </c>
      <c r="M435" t="n">
        <v>0</v>
      </c>
      <c r="N435" t="n">
        <v>0</v>
      </c>
      <c r="O435" t="n">
        <v>0</v>
      </c>
      <c r="P435" t="n">
        <v>0</v>
      </c>
      <c r="Q435" t="n">
        <v>0</v>
      </c>
      <c r="R435" s="2" t="inlineStr"/>
    </row>
    <row r="436" ht="15" customHeight="1">
      <c r="A436" t="inlineStr">
        <is>
          <t>A 30017-2025</t>
        </is>
      </c>
      <c r="B436" s="1" t="n">
        <v>45826.55306712963</v>
      </c>
      <c r="C436" s="1" t="n">
        <v>46134</v>
      </c>
      <c r="D436" t="inlineStr">
        <is>
          <t>JÄMTLANDS LÄN</t>
        </is>
      </c>
      <c r="E436" t="inlineStr">
        <is>
          <t>BERG</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29908-2025</t>
        </is>
      </c>
      <c r="B437" s="1" t="n">
        <v>45826</v>
      </c>
      <c r="C437" s="1" t="n">
        <v>46134</v>
      </c>
      <c r="D437" t="inlineStr">
        <is>
          <t>JÄMTLANDS LÄN</t>
        </is>
      </c>
      <c r="E437" t="inlineStr">
        <is>
          <t>BERG</t>
        </is>
      </c>
      <c r="G437" t="n">
        <v>2.2</v>
      </c>
      <c r="H437" t="n">
        <v>0</v>
      </c>
      <c r="I437" t="n">
        <v>0</v>
      </c>
      <c r="J437" t="n">
        <v>0</v>
      </c>
      <c r="K437" t="n">
        <v>0</v>
      </c>
      <c r="L437" t="n">
        <v>0</v>
      </c>
      <c r="M437" t="n">
        <v>0</v>
      </c>
      <c r="N437" t="n">
        <v>0</v>
      </c>
      <c r="O437" t="n">
        <v>0</v>
      </c>
      <c r="P437" t="n">
        <v>0</v>
      </c>
      <c r="Q437" t="n">
        <v>0</v>
      </c>
      <c r="R437" s="2" t="inlineStr"/>
    </row>
    <row r="438" ht="15" customHeight="1">
      <c r="A438" t="inlineStr">
        <is>
          <t>A 2632-2026</t>
        </is>
      </c>
      <c r="B438" s="1" t="n">
        <v>46035</v>
      </c>
      <c r="C438" s="1" t="n">
        <v>46134</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18217-2023</t>
        </is>
      </c>
      <c r="B439" s="1" t="n">
        <v>45040</v>
      </c>
      <c r="C439" s="1" t="n">
        <v>46134</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18112-2024</t>
        </is>
      </c>
      <c r="B440" s="1" t="n">
        <v>45420.49851851852</v>
      </c>
      <c r="C440" s="1" t="n">
        <v>46134</v>
      </c>
      <c r="D440" t="inlineStr">
        <is>
          <t>JÄMTLANDS LÄN</t>
        </is>
      </c>
      <c r="E440" t="inlineStr">
        <is>
          <t>BERG</t>
        </is>
      </c>
      <c r="F440" t="inlineStr">
        <is>
          <t>Holmen skog AB</t>
        </is>
      </c>
      <c r="G440" t="n">
        <v>16.6</v>
      </c>
      <c r="H440" t="n">
        <v>0</v>
      </c>
      <c r="I440" t="n">
        <v>0</v>
      </c>
      <c r="J440" t="n">
        <v>0</v>
      </c>
      <c r="K440" t="n">
        <v>0</v>
      </c>
      <c r="L440" t="n">
        <v>0</v>
      </c>
      <c r="M440" t="n">
        <v>0</v>
      </c>
      <c r="N440" t="n">
        <v>0</v>
      </c>
      <c r="O440" t="n">
        <v>0</v>
      </c>
      <c r="P440" t="n">
        <v>0</v>
      </c>
      <c r="Q440" t="n">
        <v>0</v>
      </c>
      <c r="R440" s="2" t="inlineStr"/>
    </row>
    <row r="441" ht="15" customHeight="1">
      <c r="A441" t="inlineStr">
        <is>
          <t>A 2312-2026</t>
        </is>
      </c>
      <c r="B441" s="1" t="n">
        <v>46036.59519675926</v>
      </c>
      <c r="C441" s="1" t="n">
        <v>46134</v>
      </c>
      <c r="D441" t="inlineStr">
        <is>
          <t>JÄMTLANDS LÄN</t>
        </is>
      </c>
      <c r="E441" t="inlineStr">
        <is>
          <t>BERG</t>
        </is>
      </c>
      <c r="G441" t="n">
        <v>5.4</v>
      </c>
      <c r="H441" t="n">
        <v>0</v>
      </c>
      <c r="I441" t="n">
        <v>0</v>
      </c>
      <c r="J441" t="n">
        <v>0</v>
      </c>
      <c r="K441" t="n">
        <v>0</v>
      </c>
      <c r="L441" t="n">
        <v>0</v>
      </c>
      <c r="M441" t="n">
        <v>0</v>
      </c>
      <c r="N441" t="n">
        <v>0</v>
      </c>
      <c r="O441" t="n">
        <v>0</v>
      </c>
      <c r="P441" t="n">
        <v>0</v>
      </c>
      <c r="Q441" t="n">
        <v>0</v>
      </c>
      <c r="R441" s="2" t="inlineStr"/>
    </row>
    <row r="442" ht="15" customHeight="1">
      <c r="A442" t="inlineStr">
        <is>
          <t>A 29533-2025</t>
        </is>
      </c>
      <c r="B442" s="1" t="n">
        <v>45825.34466435185</v>
      </c>
      <c r="C442" s="1" t="n">
        <v>46134</v>
      </c>
      <c r="D442" t="inlineStr">
        <is>
          <t>JÄMTLANDS LÄN</t>
        </is>
      </c>
      <c r="E442" t="inlineStr">
        <is>
          <t>BERG</t>
        </is>
      </c>
      <c r="F442" t="inlineStr">
        <is>
          <t>SCA</t>
        </is>
      </c>
      <c r="G442" t="n">
        <v>10</v>
      </c>
      <c r="H442" t="n">
        <v>0</v>
      </c>
      <c r="I442" t="n">
        <v>0</v>
      </c>
      <c r="J442" t="n">
        <v>0</v>
      </c>
      <c r="K442" t="n">
        <v>0</v>
      </c>
      <c r="L442" t="n">
        <v>0</v>
      </c>
      <c r="M442" t="n">
        <v>0</v>
      </c>
      <c r="N442" t="n">
        <v>0</v>
      </c>
      <c r="O442" t="n">
        <v>0</v>
      </c>
      <c r="P442" t="n">
        <v>0</v>
      </c>
      <c r="Q442" t="n">
        <v>0</v>
      </c>
      <c r="R442" s="2" t="inlineStr"/>
    </row>
    <row r="443" ht="15" customHeight="1">
      <c r="A443" t="inlineStr">
        <is>
          <t>A 3842-2023</t>
        </is>
      </c>
      <c r="B443" s="1" t="n">
        <v>44951</v>
      </c>
      <c r="C443" s="1" t="n">
        <v>46134</v>
      </c>
      <c r="D443" t="inlineStr">
        <is>
          <t>JÄMTLANDS LÄN</t>
        </is>
      </c>
      <c r="E443" t="inlineStr">
        <is>
          <t>BERG</t>
        </is>
      </c>
      <c r="G443" t="n">
        <v>0.3</v>
      </c>
      <c r="H443" t="n">
        <v>0</v>
      </c>
      <c r="I443" t="n">
        <v>0</v>
      </c>
      <c r="J443" t="n">
        <v>0</v>
      </c>
      <c r="K443" t="n">
        <v>0</v>
      </c>
      <c r="L443" t="n">
        <v>0</v>
      </c>
      <c r="M443" t="n">
        <v>0</v>
      </c>
      <c r="N443" t="n">
        <v>0</v>
      </c>
      <c r="O443" t="n">
        <v>0</v>
      </c>
      <c r="P443" t="n">
        <v>0</v>
      </c>
      <c r="Q443" t="n">
        <v>0</v>
      </c>
      <c r="R443" s="2" t="inlineStr"/>
    </row>
    <row r="444" ht="15" customHeight="1">
      <c r="A444" t="inlineStr">
        <is>
          <t>A 29538-2025</t>
        </is>
      </c>
      <c r="B444" s="1" t="n">
        <v>45825.34517361111</v>
      </c>
      <c r="C444" s="1" t="n">
        <v>46134</v>
      </c>
      <c r="D444" t="inlineStr">
        <is>
          <t>JÄMTLANDS LÄN</t>
        </is>
      </c>
      <c r="E444" t="inlineStr">
        <is>
          <t>BERG</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14190-2023</t>
        </is>
      </c>
      <c r="B445" s="1" t="n">
        <v>45009.56106481481</v>
      </c>
      <c r="C445" s="1" t="n">
        <v>46134</v>
      </c>
      <c r="D445" t="inlineStr">
        <is>
          <t>JÄMTLANDS LÄN</t>
        </is>
      </c>
      <c r="E445" t="inlineStr">
        <is>
          <t>BERG</t>
        </is>
      </c>
      <c r="G445" t="n">
        <v>3.8</v>
      </c>
      <c r="H445" t="n">
        <v>0</v>
      </c>
      <c r="I445" t="n">
        <v>0</v>
      </c>
      <c r="J445" t="n">
        <v>0</v>
      </c>
      <c r="K445" t="n">
        <v>0</v>
      </c>
      <c r="L445" t="n">
        <v>0</v>
      </c>
      <c r="M445" t="n">
        <v>0</v>
      </c>
      <c r="N445" t="n">
        <v>0</v>
      </c>
      <c r="O445" t="n">
        <v>0</v>
      </c>
      <c r="P445" t="n">
        <v>0</v>
      </c>
      <c r="Q445" t="n">
        <v>0</v>
      </c>
      <c r="R445" s="2" t="inlineStr"/>
    </row>
    <row r="446" ht="15" customHeight="1">
      <c r="A446" t="inlineStr">
        <is>
          <t>A 2346-2026</t>
        </is>
      </c>
      <c r="B446" s="1" t="n">
        <v>46036.62737268519</v>
      </c>
      <c r="C446" s="1" t="n">
        <v>46134</v>
      </c>
      <c r="D446" t="inlineStr">
        <is>
          <t>JÄMTLANDS LÄN</t>
        </is>
      </c>
      <c r="E446" t="inlineStr">
        <is>
          <t>BERG</t>
        </is>
      </c>
      <c r="G446" t="n">
        <v>4.2</v>
      </c>
      <c r="H446" t="n">
        <v>0</v>
      </c>
      <c r="I446" t="n">
        <v>0</v>
      </c>
      <c r="J446" t="n">
        <v>0</v>
      </c>
      <c r="K446" t="n">
        <v>0</v>
      </c>
      <c r="L446" t="n">
        <v>0</v>
      </c>
      <c r="M446" t="n">
        <v>0</v>
      </c>
      <c r="N446" t="n">
        <v>0</v>
      </c>
      <c r="O446" t="n">
        <v>0</v>
      </c>
      <c r="P446" t="n">
        <v>0</v>
      </c>
      <c r="Q446" t="n">
        <v>0</v>
      </c>
      <c r="R446" s="2" t="inlineStr"/>
    </row>
    <row r="447" ht="15" customHeight="1">
      <c r="A447" t="inlineStr">
        <is>
          <t>A 42378-2025</t>
        </is>
      </c>
      <c r="B447" s="1" t="n">
        <v>45905.34423611111</v>
      </c>
      <c r="C447" s="1" t="n">
        <v>46134</v>
      </c>
      <c r="D447" t="inlineStr">
        <is>
          <t>JÄMTLANDS LÄN</t>
        </is>
      </c>
      <c r="E447" t="inlineStr">
        <is>
          <t>BERG</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42439-2025</t>
        </is>
      </c>
      <c r="B448" s="1" t="n">
        <v>45905.42969907408</v>
      </c>
      <c r="C448" s="1" t="n">
        <v>46134</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42862-2025</t>
        </is>
      </c>
      <c r="B449" s="1" t="n">
        <v>45908.61515046296</v>
      </c>
      <c r="C449" s="1" t="n">
        <v>46134</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29902-2025</t>
        </is>
      </c>
      <c r="B450" s="1" t="n">
        <v>45826</v>
      </c>
      <c r="C450" s="1" t="n">
        <v>46134</v>
      </c>
      <c r="D450" t="inlineStr">
        <is>
          <t>JÄMTLANDS LÄN</t>
        </is>
      </c>
      <c r="E450" t="inlineStr">
        <is>
          <t>BERG</t>
        </is>
      </c>
      <c r="G450" t="n">
        <v>9.1</v>
      </c>
      <c r="H450" t="n">
        <v>0</v>
      </c>
      <c r="I450" t="n">
        <v>0</v>
      </c>
      <c r="J450" t="n">
        <v>0</v>
      </c>
      <c r="K450" t="n">
        <v>0</v>
      </c>
      <c r="L450" t="n">
        <v>0</v>
      </c>
      <c r="M450" t="n">
        <v>0</v>
      </c>
      <c r="N450" t="n">
        <v>0</v>
      </c>
      <c r="O450" t="n">
        <v>0</v>
      </c>
      <c r="P450" t="n">
        <v>0</v>
      </c>
      <c r="Q450" t="n">
        <v>0</v>
      </c>
      <c r="R450" s="2" t="inlineStr"/>
    </row>
    <row r="451" ht="15" customHeight="1">
      <c r="A451" t="inlineStr">
        <is>
          <t>A 45208-2024</t>
        </is>
      </c>
      <c r="B451" s="1" t="n">
        <v>45575.7077662037</v>
      </c>
      <c r="C451" s="1" t="n">
        <v>46134</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41634-2024</t>
        </is>
      </c>
      <c r="B452" s="1" t="n">
        <v>45560.61496527777</v>
      </c>
      <c r="C452" s="1" t="n">
        <v>46134</v>
      </c>
      <c r="D452" t="inlineStr">
        <is>
          <t>JÄMTLANDS LÄN</t>
        </is>
      </c>
      <c r="E452" t="inlineStr">
        <is>
          <t>BERG</t>
        </is>
      </c>
      <c r="F452" t="inlineStr">
        <is>
          <t>SCA</t>
        </is>
      </c>
      <c r="G452" t="n">
        <v>4.9</v>
      </c>
      <c r="H452" t="n">
        <v>0</v>
      </c>
      <c r="I452" t="n">
        <v>0</v>
      </c>
      <c r="J452" t="n">
        <v>0</v>
      </c>
      <c r="K452" t="n">
        <v>0</v>
      </c>
      <c r="L452" t="n">
        <v>0</v>
      </c>
      <c r="M452" t="n">
        <v>0</v>
      </c>
      <c r="N452" t="n">
        <v>0</v>
      </c>
      <c r="O452" t="n">
        <v>0</v>
      </c>
      <c r="P452" t="n">
        <v>0</v>
      </c>
      <c r="Q452" t="n">
        <v>0</v>
      </c>
      <c r="R452" s="2" t="inlineStr"/>
    </row>
    <row r="453" ht="15" customHeight="1">
      <c r="A453" t="inlineStr">
        <is>
          <t>A 30314-2025</t>
        </is>
      </c>
      <c r="B453" s="1" t="n">
        <v>45827.49047453704</v>
      </c>
      <c r="C453" s="1" t="n">
        <v>46134</v>
      </c>
      <c r="D453" t="inlineStr">
        <is>
          <t>JÄMTLANDS LÄN</t>
        </is>
      </c>
      <c r="E453" t="inlineStr">
        <is>
          <t>BERG</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43015-2025</t>
        </is>
      </c>
      <c r="B454" s="1" t="n">
        <v>45909.49278935185</v>
      </c>
      <c r="C454" s="1" t="n">
        <v>46134</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43442-2025</t>
        </is>
      </c>
      <c r="B455" s="1" t="n">
        <v>45911.44244212963</v>
      </c>
      <c r="C455" s="1" t="n">
        <v>46134</v>
      </c>
      <c r="D455" t="inlineStr">
        <is>
          <t>JÄMTLANDS LÄN</t>
        </is>
      </c>
      <c r="E455" t="inlineStr">
        <is>
          <t>BERG</t>
        </is>
      </c>
      <c r="G455" t="n">
        <v>3.8</v>
      </c>
      <c r="H455" t="n">
        <v>0</v>
      </c>
      <c r="I455" t="n">
        <v>0</v>
      </c>
      <c r="J455" t="n">
        <v>0</v>
      </c>
      <c r="K455" t="n">
        <v>0</v>
      </c>
      <c r="L455" t="n">
        <v>0</v>
      </c>
      <c r="M455" t="n">
        <v>0</v>
      </c>
      <c r="N455" t="n">
        <v>0</v>
      </c>
      <c r="O455" t="n">
        <v>0</v>
      </c>
      <c r="P455" t="n">
        <v>0</v>
      </c>
      <c r="Q455" t="n">
        <v>0</v>
      </c>
      <c r="R455" s="2" t="inlineStr"/>
    </row>
    <row r="456" ht="15" customHeight="1">
      <c r="A456" t="inlineStr">
        <is>
          <t>A 41264-2025</t>
        </is>
      </c>
      <c r="B456" s="1" t="n">
        <v>45898</v>
      </c>
      <c r="C456" s="1" t="n">
        <v>46134</v>
      </c>
      <c r="D456" t="inlineStr">
        <is>
          <t>JÄMTLANDS LÄN</t>
        </is>
      </c>
      <c r="E456" t="inlineStr">
        <is>
          <t>BERG</t>
        </is>
      </c>
      <c r="G456" t="n">
        <v>17.4</v>
      </c>
      <c r="H456" t="n">
        <v>0</v>
      </c>
      <c r="I456" t="n">
        <v>0</v>
      </c>
      <c r="J456" t="n">
        <v>0</v>
      </c>
      <c r="K456" t="n">
        <v>0</v>
      </c>
      <c r="L456" t="n">
        <v>0</v>
      </c>
      <c r="M456" t="n">
        <v>0</v>
      </c>
      <c r="N456" t="n">
        <v>0</v>
      </c>
      <c r="O456" t="n">
        <v>0</v>
      </c>
      <c r="P456" t="n">
        <v>0</v>
      </c>
      <c r="Q456" t="n">
        <v>0</v>
      </c>
      <c r="R456" s="2" t="inlineStr"/>
    </row>
    <row r="457" ht="15" customHeight="1">
      <c r="A457" t="inlineStr">
        <is>
          <t>A 43456-2025</t>
        </is>
      </c>
      <c r="B457" s="1" t="n">
        <v>45911.46148148148</v>
      </c>
      <c r="C457" s="1" t="n">
        <v>46134</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47407-2024</t>
        </is>
      </c>
      <c r="B458" s="1" t="n">
        <v>45587.47828703704</v>
      </c>
      <c r="C458" s="1" t="n">
        <v>46134</v>
      </c>
      <c r="D458" t="inlineStr">
        <is>
          <t>JÄMTLANDS LÄN</t>
        </is>
      </c>
      <c r="E458" t="inlineStr">
        <is>
          <t>BERG</t>
        </is>
      </c>
      <c r="G458" t="n">
        <v>2.7</v>
      </c>
      <c r="H458" t="n">
        <v>0</v>
      </c>
      <c r="I458" t="n">
        <v>0</v>
      </c>
      <c r="J458" t="n">
        <v>0</v>
      </c>
      <c r="K458" t="n">
        <v>0</v>
      </c>
      <c r="L458" t="n">
        <v>0</v>
      </c>
      <c r="M458" t="n">
        <v>0</v>
      </c>
      <c r="N458" t="n">
        <v>0</v>
      </c>
      <c r="O458" t="n">
        <v>0</v>
      </c>
      <c r="P458" t="n">
        <v>0</v>
      </c>
      <c r="Q458" t="n">
        <v>0</v>
      </c>
      <c r="R458" s="2" t="inlineStr"/>
    </row>
    <row r="459" ht="15" customHeight="1">
      <c r="A459" t="inlineStr">
        <is>
          <t>A 47083-2024</t>
        </is>
      </c>
      <c r="B459" s="1" t="n">
        <v>45586.50625</v>
      </c>
      <c r="C459" s="1" t="n">
        <v>46134</v>
      </c>
      <c r="D459" t="inlineStr">
        <is>
          <t>JÄMTLANDS LÄN</t>
        </is>
      </c>
      <c r="E459" t="inlineStr">
        <is>
          <t>BERG</t>
        </is>
      </c>
      <c r="G459" t="n">
        <v>1.9</v>
      </c>
      <c r="H459" t="n">
        <v>0</v>
      </c>
      <c r="I459" t="n">
        <v>0</v>
      </c>
      <c r="J459" t="n">
        <v>0</v>
      </c>
      <c r="K459" t="n">
        <v>0</v>
      </c>
      <c r="L459" t="n">
        <v>0</v>
      </c>
      <c r="M459" t="n">
        <v>0</v>
      </c>
      <c r="N459" t="n">
        <v>0</v>
      </c>
      <c r="O459" t="n">
        <v>0</v>
      </c>
      <c r="P459" t="n">
        <v>0</v>
      </c>
      <c r="Q459" t="n">
        <v>0</v>
      </c>
      <c r="R459" s="2" t="inlineStr"/>
    </row>
    <row r="460" ht="15" customHeight="1">
      <c r="A460" t="inlineStr">
        <is>
          <t>A 47099-2024</t>
        </is>
      </c>
      <c r="B460" s="1" t="n">
        <v>45586.53743055555</v>
      </c>
      <c r="C460" s="1" t="n">
        <v>46134</v>
      </c>
      <c r="D460" t="inlineStr">
        <is>
          <t>JÄMTLANDS LÄN</t>
        </is>
      </c>
      <c r="E460" t="inlineStr">
        <is>
          <t>BERG</t>
        </is>
      </c>
      <c r="G460" t="n">
        <v>5.9</v>
      </c>
      <c r="H460" t="n">
        <v>0</v>
      </c>
      <c r="I460" t="n">
        <v>0</v>
      </c>
      <c r="J460" t="n">
        <v>0</v>
      </c>
      <c r="K460" t="n">
        <v>0</v>
      </c>
      <c r="L460" t="n">
        <v>0</v>
      </c>
      <c r="M460" t="n">
        <v>0</v>
      </c>
      <c r="N460" t="n">
        <v>0</v>
      </c>
      <c r="O460" t="n">
        <v>0</v>
      </c>
      <c r="P460" t="n">
        <v>0</v>
      </c>
      <c r="Q460" t="n">
        <v>0</v>
      </c>
      <c r="R460" s="2" t="inlineStr"/>
    </row>
    <row r="461" ht="15" customHeight="1">
      <c r="A461" t="inlineStr">
        <is>
          <t>A 43443-2025</t>
        </is>
      </c>
      <c r="B461" s="1" t="n">
        <v>45911.44350694444</v>
      </c>
      <c r="C461" s="1" t="n">
        <v>46134</v>
      </c>
      <c r="D461" t="inlineStr">
        <is>
          <t>JÄMTLANDS LÄN</t>
        </is>
      </c>
      <c r="E461" t="inlineStr">
        <is>
          <t>BERG</t>
        </is>
      </c>
      <c r="G461" t="n">
        <v>2.7</v>
      </c>
      <c r="H461" t="n">
        <v>0</v>
      </c>
      <c r="I461" t="n">
        <v>0</v>
      </c>
      <c r="J461" t="n">
        <v>0</v>
      </c>
      <c r="K461" t="n">
        <v>0</v>
      </c>
      <c r="L461" t="n">
        <v>0</v>
      </c>
      <c r="M461" t="n">
        <v>0</v>
      </c>
      <c r="N461" t="n">
        <v>0</v>
      </c>
      <c r="O461" t="n">
        <v>0</v>
      </c>
      <c r="P461" t="n">
        <v>0</v>
      </c>
      <c r="Q461" t="n">
        <v>0</v>
      </c>
      <c r="R461" s="2" t="inlineStr"/>
    </row>
    <row r="462" ht="15" customHeight="1">
      <c r="A462" t="inlineStr">
        <is>
          <t>A 43364-2025</t>
        </is>
      </c>
      <c r="B462" s="1" t="n">
        <v>45911.34483796296</v>
      </c>
      <c r="C462" s="1" t="n">
        <v>46134</v>
      </c>
      <c r="D462" t="inlineStr">
        <is>
          <t>JÄMTLANDS LÄN</t>
        </is>
      </c>
      <c r="E462" t="inlineStr">
        <is>
          <t>BERG</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43567-2025</t>
        </is>
      </c>
      <c r="B463" s="1" t="n">
        <v>45911.6327662037</v>
      </c>
      <c r="C463" s="1" t="n">
        <v>46134</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43560-2025</t>
        </is>
      </c>
      <c r="B464" s="1" t="n">
        <v>45911.62758101852</v>
      </c>
      <c r="C464" s="1" t="n">
        <v>46134</v>
      </c>
      <c r="D464" t="inlineStr">
        <is>
          <t>JÄMTLANDS LÄN</t>
        </is>
      </c>
      <c r="E464" t="inlineStr">
        <is>
          <t>BERG</t>
        </is>
      </c>
      <c r="G464" t="n">
        <v>10</v>
      </c>
      <c r="H464" t="n">
        <v>0</v>
      </c>
      <c r="I464" t="n">
        <v>0</v>
      </c>
      <c r="J464" t="n">
        <v>0</v>
      </c>
      <c r="K464" t="n">
        <v>0</v>
      </c>
      <c r="L464" t="n">
        <v>0</v>
      </c>
      <c r="M464" t="n">
        <v>0</v>
      </c>
      <c r="N464" t="n">
        <v>0</v>
      </c>
      <c r="O464" t="n">
        <v>0</v>
      </c>
      <c r="P464" t="n">
        <v>0</v>
      </c>
      <c r="Q464" t="n">
        <v>0</v>
      </c>
      <c r="R464" s="2" t="inlineStr"/>
    </row>
    <row r="465" ht="15" customHeight="1">
      <c r="A465" t="inlineStr">
        <is>
          <t>A 43441-2025</t>
        </is>
      </c>
      <c r="B465" s="1" t="n">
        <v>45911.44184027778</v>
      </c>
      <c r="C465" s="1" t="n">
        <v>46134</v>
      </c>
      <c r="D465" t="inlineStr">
        <is>
          <t>JÄMTLANDS LÄN</t>
        </is>
      </c>
      <c r="E465" t="inlineStr">
        <is>
          <t>BERG</t>
        </is>
      </c>
      <c r="G465" t="n">
        <v>2</v>
      </c>
      <c r="H465" t="n">
        <v>0</v>
      </c>
      <c r="I465" t="n">
        <v>0</v>
      </c>
      <c r="J465" t="n">
        <v>0</v>
      </c>
      <c r="K465" t="n">
        <v>0</v>
      </c>
      <c r="L465" t="n">
        <v>0</v>
      </c>
      <c r="M465" t="n">
        <v>0</v>
      </c>
      <c r="N465" t="n">
        <v>0</v>
      </c>
      <c r="O465" t="n">
        <v>0</v>
      </c>
      <c r="P465" t="n">
        <v>0</v>
      </c>
      <c r="Q465" t="n">
        <v>0</v>
      </c>
      <c r="R465" s="2" t="inlineStr"/>
    </row>
    <row r="466" ht="15" customHeight="1">
      <c r="A466" t="inlineStr">
        <is>
          <t>A 31015-2025</t>
        </is>
      </c>
      <c r="B466" s="1" t="n">
        <v>45832.51086805556</v>
      </c>
      <c r="C466" s="1" t="n">
        <v>46134</v>
      </c>
      <c r="D466" t="inlineStr">
        <is>
          <t>JÄMTLANDS LÄN</t>
        </is>
      </c>
      <c r="E466" t="inlineStr">
        <is>
          <t>BERG</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31017-2025</t>
        </is>
      </c>
      <c r="B467" s="1" t="n">
        <v>45832.51111111111</v>
      </c>
      <c r="C467" s="1" t="n">
        <v>46134</v>
      </c>
      <c r="D467" t="inlineStr">
        <is>
          <t>JÄMTLANDS LÄN</t>
        </is>
      </c>
      <c r="E467" t="inlineStr">
        <is>
          <t>BERG</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31136-2025</t>
        </is>
      </c>
      <c r="B468" s="1" t="n">
        <v>45832.63599537037</v>
      </c>
      <c r="C468" s="1" t="n">
        <v>46134</v>
      </c>
      <c r="D468" t="inlineStr">
        <is>
          <t>JÄMTLANDS LÄN</t>
        </is>
      </c>
      <c r="E468" t="inlineStr">
        <is>
          <t>BERG</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31070-2025</t>
        </is>
      </c>
      <c r="B469" s="1" t="n">
        <v>45832.57887731482</v>
      </c>
      <c r="C469" s="1" t="n">
        <v>46134</v>
      </c>
      <c r="D469" t="inlineStr">
        <is>
          <t>JÄMTLANDS LÄN</t>
        </is>
      </c>
      <c r="E469" t="inlineStr">
        <is>
          <t>BERG</t>
        </is>
      </c>
      <c r="G469" t="n">
        <v>3.7</v>
      </c>
      <c r="H469" t="n">
        <v>0</v>
      </c>
      <c r="I469" t="n">
        <v>0</v>
      </c>
      <c r="J469" t="n">
        <v>0</v>
      </c>
      <c r="K469" t="n">
        <v>0</v>
      </c>
      <c r="L469" t="n">
        <v>0</v>
      </c>
      <c r="M469" t="n">
        <v>0</v>
      </c>
      <c r="N469" t="n">
        <v>0</v>
      </c>
      <c r="O469" t="n">
        <v>0</v>
      </c>
      <c r="P469" t="n">
        <v>0</v>
      </c>
      <c r="Q469" t="n">
        <v>0</v>
      </c>
      <c r="R469" s="2" t="inlineStr"/>
    </row>
    <row r="470" ht="15" customHeight="1">
      <c r="A470" t="inlineStr">
        <is>
          <t>A 31090-2025</t>
        </is>
      </c>
      <c r="B470" s="1" t="n">
        <v>45832.59436342592</v>
      </c>
      <c r="C470" s="1" t="n">
        <v>46134</v>
      </c>
      <c r="D470" t="inlineStr">
        <is>
          <t>JÄMTLANDS LÄN</t>
        </is>
      </c>
      <c r="E470" t="inlineStr">
        <is>
          <t>BERG</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43968-2025</t>
        </is>
      </c>
      <c r="B471" s="1" t="n">
        <v>45915</v>
      </c>
      <c r="C471" s="1" t="n">
        <v>46134</v>
      </c>
      <c r="D471" t="inlineStr">
        <is>
          <t>JÄMTLANDS LÄN</t>
        </is>
      </c>
      <c r="E471" t="inlineStr">
        <is>
          <t>BERG</t>
        </is>
      </c>
      <c r="G471" t="n">
        <v>2</v>
      </c>
      <c r="H471" t="n">
        <v>0</v>
      </c>
      <c r="I471" t="n">
        <v>0</v>
      </c>
      <c r="J471" t="n">
        <v>0</v>
      </c>
      <c r="K471" t="n">
        <v>0</v>
      </c>
      <c r="L471" t="n">
        <v>0</v>
      </c>
      <c r="M471" t="n">
        <v>0</v>
      </c>
      <c r="N471" t="n">
        <v>0</v>
      </c>
      <c r="O471" t="n">
        <v>0</v>
      </c>
      <c r="P471" t="n">
        <v>0</v>
      </c>
      <c r="Q471" t="n">
        <v>0</v>
      </c>
      <c r="R471" s="2" t="inlineStr"/>
    </row>
    <row r="472" ht="15" customHeight="1">
      <c r="A472" t="inlineStr">
        <is>
          <t>A 44302-2025</t>
        </is>
      </c>
      <c r="B472" s="1" t="n">
        <v>45915</v>
      </c>
      <c r="C472" s="1" t="n">
        <v>46134</v>
      </c>
      <c r="D472" t="inlineStr">
        <is>
          <t>JÄMTLANDS LÄN</t>
        </is>
      </c>
      <c r="E472" t="inlineStr">
        <is>
          <t>BERG</t>
        </is>
      </c>
      <c r="G472" t="n">
        <v>1.6</v>
      </c>
      <c r="H472" t="n">
        <v>0</v>
      </c>
      <c r="I472" t="n">
        <v>0</v>
      </c>
      <c r="J472" t="n">
        <v>0</v>
      </c>
      <c r="K472" t="n">
        <v>0</v>
      </c>
      <c r="L472" t="n">
        <v>0</v>
      </c>
      <c r="M472" t="n">
        <v>0</v>
      </c>
      <c r="N472" t="n">
        <v>0</v>
      </c>
      <c r="O472" t="n">
        <v>0</v>
      </c>
      <c r="P472" t="n">
        <v>0</v>
      </c>
      <c r="Q472" t="n">
        <v>0</v>
      </c>
      <c r="R472" s="2" t="inlineStr"/>
    </row>
    <row r="473" ht="15" customHeight="1">
      <c r="A473" t="inlineStr">
        <is>
          <t>A 44303-2025</t>
        </is>
      </c>
      <c r="B473" s="1" t="n">
        <v>45915</v>
      </c>
      <c r="C473" s="1" t="n">
        <v>46134</v>
      </c>
      <c r="D473" t="inlineStr">
        <is>
          <t>JÄMTLANDS LÄN</t>
        </is>
      </c>
      <c r="E473" t="inlineStr">
        <is>
          <t>BERG</t>
        </is>
      </c>
      <c r="G473" t="n">
        <v>1.3</v>
      </c>
      <c r="H473" t="n">
        <v>0</v>
      </c>
      <c r="I473" t="n">
        <v>0</v>
      </c>
      <c r="J473" t="n">
        <v>0</v>
      </c>
      <c r="K473" t="n">
        <v>0</v>
      </c>
      <c r="L473" t="n">
        <v>0</v>
      </c>
      <c r="M473" t="n">
        <v>0</v>
      </c>
      <c r="N473" t="n">
        <v>0</v>
      </c>
      <c r="O473" t="n">
        <v>0</v>
      </c>
      <c r="P473" t="n">
        <v>0</v>
      </c>
      <c r="Q473" t="n">
        <v>0</v>
      </c>
      <c r="R473" s="2" t="inlineStr"/>
    </row>
    <row r="474" ht="15" customHeight="1">
      <c r="A474" t="inlineStr">
        <is>
          <t>A 44043-2025</t>
        </is>
      </c>
      <c r="B474" s="1" t="n">
        <v>45915.49266203704</v>
      </c>
      <c r="C474" s="1" t="n">
        <v>46134</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43982-2025</t>
        </is>
      </c>
      <c r="B475" s="1" t="n">
        <v>45915.42771990741</v>
      </c>
      <c r="C475" s="1" t="n">
        <v>46134</v>
      </c>
      <c r="D475" t="inlineStr">
        <is>
          <t>JÄMTLANDS LÄN</t>
        </is>
      </c>
      <c r="E475" t="inlineStr">
        <is>
          <t>BERG</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59634-2022</t>
        </is>
      </c>
      <c r="B476" s="1" t="n">
        <v>44907.9645949074</v>
      </c>
      <c r="C476" s="1" t="n">
        <v>46134</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44031-2025</t>
        </is>
      </c>
      <c r="B477" s="1" t="n">
        <v>45915.49019675926</v>
      </c>
      <c r="C477" s="1" t="n">
        <v>46134</v>
      </c>
      <c r="D477" t="inlineStr">
        <is>
          <t>JÄMTLANDS LÄN</t>
        </is>
      </c>
      <c r="E477" t="inlineStr">
        <is>
          <t>BERG</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9482-2024</t>
        </is>
      </c>
      <c r="B478" s="1" t="n">
        <v>45359.57847222222</v>
      </c>
      <c r="C478" s="1" t="n">
        <v>46134</v>
      </c>
      <c r="D478" t="inlineStr">
        <is>
          <t>JÄMTLANDS LÄN</t>
        </is>
      </c>
      <c r="E478" t="inlineStr">
        <is>
          <t>BERG</t>
        </is>
      </c>
      <c r="G478" t="n">
        <v>3</v>
      </c>
      <c r="H478" t="n">
        <v>0</v>
      </c>
      <c r="I478" t="n">
        <v>0</v>
      </c>
      <c r="J478" t="n">
        <v>0</v>
      </c>
      <c r="K478" t="n">
        <v>0</v>
      </c>
      <c r="L478" t="n">
        <v>0</v>
      </c>
      <c r="M478" t="n">
        <v>0</v>
      </c>
      <c r="N478" t="n">
        <v>0</v>
      </c>
      <c r="O478" t="n">
        <v>0</v>
      </c>
      <c r="P478" t="n">
        <v>0</v>
      </c>
      <c r="Q478" t="n">
        <v>0</v>
      </c>
      <c r="R478" s="2" t="inlineStr"/>
    </row>
    <row r="479" ht="15" customHeight="1">
      <c r="A479" t="inlineStr">
        <is>
          <t>A 26959-2022</t>
        </is>
      </c>
      <c r="B479" s="1" t="n">
        <v>44740.66048611111</v>
      </c>
      <c r="C479" s="1" t="n">
        <v>46134</v>
      </c>
      <c r="D479" t="inlineStr">
        <is>
          <t>JÄMTLANDS LÄN</t>
        </is>
      </c>
      <c r="E479" t="inlineStr">
        <is>
          <t>BERG</t>
        </is>
      </c>
      <c r="G479" t="n">
        <v>2.8</v>
      </c>
      <c r="H479" t="n">
        <v>0</v>
      </c>
      <c r="I479" t="n">
        <v>0</v>
      </c>
      <c r="J479" t="n">
        <v>0</v>
      </c>
      <c r="K479" t="n">
        <v>0</v>
      </c>
      <c r="L479" t="n">
        <v>0</v>
      </c>
      <c r="M479" t="n">
        <v>0</v>
      </c>
      <c r="N479" t="n">
        <v>0</v>
      </c>
      <c r="O479" t="n">
        <v>0</v>
      </c>
      <c r="P479" t="n">
        <v>0</v>
      </c>
      <c r="Q479" t="n">
        <v>0</v>
      </c>
      <c r="R479" s="2" t="inlineStr"/>
    </row>
    <row r="480" ht="15" customHeight="1">
      <c r="A480" t="inlineStr">
        <is>
          <t>A 3173-2025</t>
        </is>
      </c>
      <c r="B480" s="1" t="n">
        <v>45679.38309027778</v>
      </c>
      <c r="C480" s="1" t="n">
        <v>46134</v>
      </c>
      <c r="D480" t="inlineStr">
        <is>
          <t>JÄMTLANDS LÄN</t>
        </is>
      </c>
      <c r="E480" t="inlineStr">
        <is>
          <t>BERG</t>
        </is>
      </c>
      <c r="G480" t="n">
        <v>8.9</v>
      </c>
      <c r="H480" t="n">
        <v>0</v>
      </c>
      <c r="I480" t="n">
        <v>0</v>
      </c>
      <c r="J480" t="n">
        <v>0</v>
      </c>
      <c r="K480" t="n">
        <v>0</v>
      </c>
      <c r="L480" t="n">
        <v>0</v>
      </c>
      <c r="M480" t="n">
        <v>0</v>
      </c>
      <c r="N480" t="n">
        <v>0</v>
      </c>
      <c r="O480" t="n">
        <v>0</v>
      </c>
      <c r="P480" t="n">
        <v>0</v>
      </c>
      <c r="Q480" t="n">
        <v>0</v>
      </c>
      <c r="R480" s="2" t="inlineStr"/>
    </row>
    <row r="481" ht="15" customHeight="1">
      <c r="A481" t="inlineStr">
        <is>
          <t>A 31820-2025</t>
        </is>
      </c>
      <c r="B481" s="1" t="n">
        <v>45834.57930555556</v>
      </c>
      <c r="C481" s="1" t="n">
        <v>46134</v>
      </c>
      <c r="D481" t="inlineStr">
        <is>
          <t>JÄMTLANDS LÄN</t>
        </is>
      </c>
      <c r="E481" t="inlineStr">
        <is>
          <t>BERG</t>
        </is>
      </c>
      <c r="G481" t="n">
        <v>13.9</v>
      </c>
      <c r="H481" t="n">
        <v>0</v>
      </c>
      <c r="I481" t="n">
        <v>0</v>
      </c>
      <c r="J481" t="n">
        <v>0</v>
      </c>
      <c r="K481" t="n">
        <v>0</v>
      </c>
      <c r="L481" t="n">
        <v>0</v>
      </c>
      <c r="M481" t="n">
        <v>0</v>
      </c>
      <c r="N481" t="n">
        <v>0</v>
      </c>
      <c r="O481" t="n">
        <v>0</v>
      </c>
      <c r="P481" t="n">
        <v>0</v>
      </c>
      <c r="Q481" t="n">
        <v>0</v>
      </c>
      <c r="R481" s="2" t="inlineStr"/>
    </row>
    <row r="482" ht="15" customHeight="1">
      <c r="A482" t="inlineStr">
        <is>
          <t>A 44997-2021</t>
        </is>
      </c>
      <c r="B482" s="1" t="n">
        <v>44438</v>
      </c>
      <c r="C482" s="1" t="n">
        <v>46134</v>
      </c>
      <c r="D482" t="inlineStr">
        <is>
          <t>JÄMTLANDS LÄN</t>
        </is>
      </c>
      <c r="E482" t="inlineStr">
        <is>
          <t>BERG</t>
        </is>
      </c>
      <c r="G482" t="n">
        <v>3.8</v>
      </c>
      <c r="H482" t="n">
        <v>0</v>
      </c>
      <c r="I482" t="n">
        <v>0</v>
      </c>
      <c r="J482" t="n">
        <v>0</v>
      </c>
      <c r="K482" t="n">
        <v>0</v>
      </c>
      <c r="L482" t="n">
        <v>0</v>
      </c>
      <c r="M482" t="n">
        <v>0</v>
      </c>
      <c r="N482" t="n">
        <v>0</v>
      </c>
      <c r="O482" t="n">
        <v>0</v>
      </c>
      <c r="P482" t="n">
        <v>0</v>
      </c>
      <c r="Q482" t="n">
        <v>0</v>
      </c>
      <c r="R482" s="2" t="inlineStr"/>
    </row>
    <row r="483" ht="15" customHeight="1">
      <c r="A483" t="inlineStr">
        <is>
          <t>A 44572-2025</t>
        </is>
      </c>
      <c r="B483" s="1" t="n">
        <v>45917</v>
      </c>
      <c r="C483" s="1" t="n">
        <v>46134</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19429-2025</t>
        </is>
      </c>
      <c r="B484" s="1" t="n">
        <v>45769.8025462963</v>
      </c>
      <c r="C484" s="1" t="n">
        <v>46134</v>
      </c>
      <c r="D484" t="inlineStr">
        <is>
          <t>JÄMTLANDS LÄN</t>
        </is>
      </c>
      <c r="E484" t="inlineStr">
        <is>
          <t>BERG</t>
        </is>
      </c>
      <c r="G484" t="n">
        <v>2</v>
      </c>
      <c r="H484" t="n">
        <v>0</v>
      </c>
      <c r="I484" t="n">
        <v>0</v>
      </c>
      <c r="J484" t="n">
        <v>0</v>
      </c>
      <c r="K484" t="n">
        <v>0</v>
      </c>
      <c r="L484" t="n">
        <v>0</v>
      </c>
      <c r="M484" t="n">
        <v>0</v>
      </c>
      <c r="N484" t="n">
        <v>0</v>
      </c>
      <c r="O484" t="n">
        <v>0</v>
      </c>
      <c r="P484" t="n">
        <v>0</v>
      </c>
      <c r="Q484" t="n">
        <v>0</v>
      </c>
      <c r="R484" s="2" t="inlineStr"/>
    </row>
    <row r="485" ht="15" customHeight="1">
      <c r="A485" t="inlineStr">
        <is>
          <t>A 44811-2025</t>
        </is>
      </c>
      <c r="B485" s="1" t="n">
        <v>45918.37195601852</v>
      </c>
      <c r="C485" s="1" t="n">
        <v>46134</v>
      </c>
      <c r="D485" t="inlineStr">
        <is>
          <t>JÄMTLANDS LÄN</t>
        </is>
      </c>
      <c r="E485" t="inlineStr">
        <is>
          <t>BERG</t>
        </is>
      </c>
      <c r="G485" t="n">
        <v>1.4</v>
      </c>
      <c r="H485" t="n">
        <v>0</v>
      </c>
      <c r="I485" t="n">
        <v>0</v>
      </c>
      <c r="J485" t="n">
        <v>0</v>
      </c>
      <c r="K485" t="n">
        <v>0</v>
      </c>
      <c r="L485" t="n">
        <v>0</v>
      </c>
      <c r="M485" t="n">
        <v>0</v>
      </c>
      <c r="N485" t="n">
        <v>0</v>
      </c>
      <c r="O485" t="n">
        <v>0</v>
      </c>
      <c r="P485" t="n">
        <v>0</v>
      </c>
      <c r="Q485" t="n">
        <v>0</v>
      </c>
      <c r="R485" s="2" t="inlineStr"/>
    </row>
    <row r="486" ht="15" customHeight="1">
      <c r="A486" t="inlineStr">
        <is>
          <t>A 44697-2025</t>
        </is>
      </c>
      <c r="B486" s="1" t="n">
        <v>45917.59888888889</v>
      </c>
      <c r="C486" s="1" t="n">
        <v>46134</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37589-2021</t>
        </is>
      </c>
      <c r="B487" s="1" t="n">
        <v>44399</v>
      </c>
      <c r="C487" s="1" t="n">
        <v>46134</v>
      </c>
      <c r="D487" t="inlineStr">
        <is>
          <t>JÄMTLANDS LÄN</t>
        </is>
      </c>
      <c r="E487" t="inlineStr">
        <is>
          <t>BERG</t>
        </is>
      </c>
      <c r="G487" t="n">
        <v>8.6</v>
      </c>
      <c r="H487" t="n">
        <v>0</v>
      </c>
      <c r="I487" t="n">
        <v>0</v>
      </c>
      <c r="J487" t="n">
        <v>0</v>
      </c>
      <c r="K487" t="n">
        <v>0</v>
      </c>
      <c r="L487" t="n">
        <v>0</v>
      </c>
      <c r="M487" t="n">
        <v>0</v>
      </c>
      <c r="N487" t="n">
        <v>0</v>
      </c>
      <c r="O487" t="n">
        <v>0</v>
      </c>
      <c r="P487" t="n">
        <v>0</v>
      </c>
      <c r="Q487" t="n">
        <v>0</v>
      </c>
      <c r="R487" s="2" t="inlineStr"/>
    </row>
    <row r="488" ht="15" customHeight="1">
      <c r="A488" t="inlineStr">
        <is>
          <t>A 45129-2025</t>
        </is>
      </c>
      <c r="B488" s="1" t="n">
        <v>45919.43584490741</v>
      </c>
      <c r="C488" s="1" t="n">
        <v>46134</v>
      </c>
      <c r="D488" t="inlineStr">
        <is>
          <t>JÄMTLANDS LÄN</t>
        </is>
      </c>
      <c r="E488" t="inlineStr">
        <is>
          <t>BERG</t>
        </is>
      </c>
      <c r="F488" t="inlineStr">
        <is>
          <t>Övriga Aktiebolag</t>
        </is>
      </c>
      <c r="G488" t="n">
        <v>3.3</v>
      </c>
      <c r="H488" t="n">
        <v>0</v>
      </c>
      <c r="I488" t="n">
        <v>0</v>
      </c>
      <c r="J488" t="n">
        <v>0</v>
      </c>
      <c r="K488" t="n">
        <v>0</v>
      </c>
      <c r="L488" t="n">
        <v>0</v>
      </c>
      <c r="M488" t="n">
        <v>0</v>
      </c>
      <c r="N488" t="n">
        <v>0</v>
      </c>
      <c r="O488" t="n">
        <v>0</v>
      </c>
      <c r="P488" t="n">
        <v>0</v>
      </c>
      <c r="Q488" t="n">
        <v>0</v>
      </c>
      <c r="R488" s="2" t="inlineStr"/>
    </row>
    <row r="489" ht="15" customHeight="1">
      <c r="A489" t="inlineStr">
        <is>
          <t>A 32160-2025</t>
        </is>
      </c>
      <c r="B489" s="1" t="n">
        <v>45835.54142361111</v>
      </c>
      <c r="C489" s="1" t="n">
        <v>46134</v>
      </c>
      <c r="D489" t="inlineStr">
        <is>
          <t>JÄMTLANDS LÄN</t>
        </is>
      </c>
      <c r="E489" t="inlineStr">
        <is>
          <t>BERG</t>
        </is>
      </c>
      <c r="G489" t="n">
        <v>10.3</v>
      </c>
      <c r="H489" t="n">
        <v>0</v>
      </c>
      <c r="I489" t="n">
        <v>0</v>
      </c>
      <c r="J489" t="n">
        <v>0</v>
      </c>
      <c r="K489" t="n">
        <v>0</v>
      </c>
      <c r="L489" t="n">
        <v>0</v>
      </c>
      <c r="M489" t="n">
        <v>0</v>
      </c>
      <c r="N489" t="n">
        <v>0</v>
      </c>
      <c r="O489" t="n">
        <v>0</v>
      </c>
      <c r="P489" t="n">
        <v>0</v>
      </c>
      <c r="Q489" t="n">
        <v>0</v>
      </c>
      <c r="R489" s="2" t="inlineStr"/>
    </row>
    <row r="490" ht="15" customHeight="1">
      <c r="A490" t="inlineStr">
        <is>
          <t>A 45150-2025</t>
        </is>
      </c>
      <c r="B490" s="1" t="n">
        <v>45919.47131944444</v>
      </c>
      <c r="C490" s="1" t="n">
        <v>46134</v>
      </c>
      <c r="D490" t="inlineStr">
        <is>
          <t>JÄMTLANDS LÄN</t>
        </is>
      </c>
      <c r="E490" t="inlineStr">
        <is>
          <t>BERG</t>
        </is>
      </c>
      <c r="F490" t="inlineStr">
        <is>
          <t>Övriga Aktiebolag</t>
        </is>
      </c>
      <c r="G490" t="n">
        <v>9.6</v>
      </c>
      <c r="H490" t="n">
        <v>0</v>
      </c>
      <c r="I490" t="n">
        <v>0</v>
      </c>
      <c r="J490" t="n">
        <v>0</v>
      </c>
      <c r="K490" t="n">
        <v>0</v>
      </c>
      <c r="L490" t="n">
        <v>0</v>
      </c>
      <c r="M490" t="n">
        <v>0</v>
      </c>
      <c r="N490" t="n">
        <v>0</v>
      </c>
      <c r="O490" t="n">
        <v>0</v>
      </c>
      <c r="P490" t="n">
        <v>0</v>
      </c>
      <c r="Q490" t="n">
        <v>0</v>
      </c>
      <c r="R490" s="2" t="inlineStr"/>
    </row>
    <row r="491" ht="15" customHeight="1">
      <c r="A491" t="inlineStr">
        <is>
          <t>A 45254-2025</t>
        </is>
      </c>
      <c r="B491" s="1" t="n">
        <v>45919.61523148148</v>
      </c>
      <c r="C491" s="1" t="n">
        <v>46134</v>
      </c>
      <c r="D491" t="inlineStr">
        <is>
          <t>JÄMTLANDS LÄN</t>
        </is>
      </c>
      <c r="E491" t="inlineStr">
        <is>
          <t>BERG</t>
        </is>
      </c>
      <c r="G491" t="n">
        <v>0.9</v>
      </c>
      <c r="H491" t="n">
        <v>0</v>
      </c>
      <c r="I491" t="n">
        <v>0</v>
      </c>
      <c r="J491" t="n">
        <v>0</v>
      </c>
      <c r="K491" t="n">
        <v>0</v>
      </c>
      <c r="L491" t="n">
        <v>0</v>
      </c>
      <c r="M491" t="n">
        <v>0</v>
      </c>
      <c r="N491" t="n">
        <v>0</v>
      </c>
      <c r="O491" t="n">
        <v>0</v>
      </c>
      <c r="P491" t="n">
        <v>0</v>
      </c>
      <c r="Q491" t="n">
        <v>0</v>
      </c>
      <c r="R491" s="2" t="inlineStr"/>
    </row>
    <row r="492" ht="15" customHeight="1">
      <c r="A492" t="inlineStr">
        <is>
          <t>A 45249-2025</t>
        </is>
      </c>
      <c r="B492" s="1" t="n">
        <v>45919.61225694444</v>
      </c>
      <c r="C492" s="1" t="n">
        <v>46134</v>
      </c>
      <c r="D492" t="inlineStr">
        <is>
          <t>JÄMTLANDS LÄN</t>
        </is>
      </c>
      <c r="E492" t="inlineStr">
        <is>
          <t>BERG</t>
        </is>
      </c>
      <c r="G492" t="n">
        <v>1.3</v>
      </c>
      <c r="H492" t="n">
        <v>0</v>
      </c>
      <c r="I492" t="n">
        <v>0</v>
      </c>
      <c r="J492" t="n">
        <v>0</v>
      </c>
      <c r="K492" t="n">
        <v>0</v>
      </c>
      <c r="L492" t="n">
        <v>0</v>
      </c>
      <c r="M492" t="n">
        <v>0</v>
      </c>
      <c r="N492" t="n">
        <v>0</v>
      </c>
      <c r="O492" t="n">
        <v>0</v>
      </c>
      <c r="P492" t="n">
        <v>0</v>
      </c>
      <c r="Q492" t="n">
        <v>0</v>
      </c>
      <c r="R492" s="2" t="inlineStr"/>
    </row>
    <row r="493" ht="15" customHeight="1">
      <c r="A493" t="inlineStr">
        <is>
          <t>A 62360-2023</t>
        </is>
      </c>
      <c r="B493" s="1" t="n">
        <v>45267</v>
      </c>
      <c r="C493" s="1" t="n">
        <v>46134</v>
      </c>
      <c r="D493" t="inlineStr">
        <is>
          <t>JÄMTLANDS LÄN</t>
        </is>
      </c>
      <c r="E493" t="inlineStr">
        <is>
          <t>BERG</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32919-2025</t>
        </is>
      </c>
      <c r="B494" s="1" t="n">
        <v>45839.64721064815</v>
      </c>
      <c r="C494" s="1" t="n">
        <v>46134</v>
      </c>
      <c r="D494" t="inlineStr">
        <is>
          <t>JÄMTLANDS LÄN</t>
        </is>
      </c>
      <c r="E494" t="inlineStr">
        <is>
          <t>BERG</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45109-2025</t>
        </is>
      </c>
      <c r="B495" s="1" t="n">
        <v>45919.41850694444</v>
      </c>
      <c r="C495" s="1" t="n">
        <v>46134</v>
      </c>
      <c r="D495" t="inlineStr">
        <is>
          <t>JÄMTLANDS LÄN</t>
        </is>
      </c>
      <c r="E495" t="inlineStr">
        <is>
          <t>BERG</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33054-2025</t>
        </is>
      </c>
      <c r="B496" s="1" t="n">
        <v>45840.42746527777</v>
      </c>
      <c r="C496" s="1" t="n">
        <v>46134</v>
      </c>
      <c r="D496" t="inlineStr">
        <is>
          <t>JÄMTLANDS LÄN</t>
        </is>
      </c>
      <c r="E496" t="inlineStr">
        <is>
          <t>BERG</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45568-2025</t>
        </is>
      </c>
      <c r="B497" s="1" t="n">
        <v>45922.65672453704</v>
      </c>
      <c r="C497" s="1" t="n">
        <v>46134</v>
      </c>
      <c r="D497" t="inlineStr">
        <is>
          <t>JÄMTLANDS LÄN</t>
        </is>
      </c>
      <c r="E497" t="inlineStr">
        <is>
          <t>BERG</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45390-2025</t>
        </is>
      </c>
      <c r="B498" s="1" t="n">
        <v>45922.40762731482</v>
      </c>
      <c r="C498" s="1" t="n">
        <v>46134</v>
      </c>
      <c r="D498" t="inlineStr">
        <is>
          <t>JÄMTLANDS LÄN</t>
        </is>
      </c>
      <c r="E498" t="inlineStr">
        <is>
          <t>BERG</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18685-2024</t>
        </is>
      </c>
      <c r="B499" s="1" t="n">
        <v>45426.38322916667</v>
      </c>
      <c r="C499" s="1" t="n">
        <v>46134</v>
      </c>
      <c r="D499" t="inlineStr">
        <is>
          <t>JÄMTLANDS LÄN</t>
        </is>
      </c>
      <c r="E499" t="inlineStr">
        <is>
          <t>BERG</t>
        </is>
      </c>
      <c r="G499" t="n">
        <v>5.1</v>
      </c>
      <c r="H499" t="n">
        <v>0</v>
      </c>
      <c r="I499" t="n">
        <v>0</v>
      </c>
      <c r="J499" t="n">
        <v>0</v>
      </c>
      <c r="K499" t="n">
        <v>0</v>
      </c>
      <c r="L499" t="n">
        <v>0</v>
      </c>
      <c r="M499" t="n">
        <v>0</v>
      </c>
      <c r="N499" t="n">
        <v>0</v>
      </c>
      <c r="O499" t="n">
        <v>0</v>
      </c>
      <c r="P499" t="n">
        <v>0</v>
      </c>
      <c r="Q499" t="n">
        <v>0</v>
      </c>
      <c r="R499" s="2" t="inlineStr"/>
    </row>
    <row r="500" ht="15" customHeight="1">
      <c r="A500" t="inlineStr">
        <is>
          <t>A 45459-2025</t>
        </is>
      </c>
      <c r="B500" s="1" t="n">
        <v>45922.49230324074</v>
      </c>
      <c r="C500" s="1" t="n">
        <v>46134</v>
      </c>
      <c r="D500" t="inlineStr">
        <is>
          <t>JÄMTLANDS LÄN</t>
        </is>
      </c>
      <c r="E500" t="inlineStr">
        <is>
          <t>BERG</t>
        </is>
      </c>
      <c r="F500" t="inlineStr">
        <is>
          <t>Kyrkan</t>
        </is>
      </c>
      <c r="G500" t="n">
        <v>8</v>
      </c>
      <c r="H500" t="n">
        <v>0</v>
      </c>
      <c r="I500" t="n">
        <v>0</v>
      </c>
      <c r="J500" t="n">
        <v>0</v>
      </c>
      <c r="K500" t="n">
        <v>0</v>
      </c>
      <c r="L500" t="n">
        <v>0</v>
      </c>
      <c r="M500" t="n">
        <v>0</v>
      </c>
      <c r="N500" t="n">
        <v>0</v>
      </c>
      <c r="O500" t="n">
        <v>0</v>
      </c>
      <c r="P500" t="n">
        <v>0</v>
      </c>
      <c r="Q500" t="n">
        <v>0</v>
      </c>
      <c r="R500" s="2" t="inlineStr"/>
    </row>
    <row r="501" ht="15" customHeight="1">
      <c r="A501" t="inlineStr">
        <is>
          <t>A 45171-2025</t>
        </is>
      </c>
      <c r="B501" s="1" t="n">
        <v>45919.50256944444</v>
      </c>
      <c r="C501" s="1" t="n">
        <v>46134</v>
      </c>
      <c r="D501" t="inlineStr">
        <is>
          <t>JÄMTLANDS LÄN</t>
        </is>
      </c>
      <c r="E501" t="inlineStr">
        <is>
          <t>BERG</t>
        </is>
      </c>
      <c r="F501" t="inlineStr">
        <is>
          <t>Övriga Aktiebolag</t>
        </is>
      </c>
      <c r="G501" t="n">
        <v>10.7</v>
      </c>
      <c r="H501" t="n">
        <v>0</v>
      </c>
      <c r="I501" t="n">
        <v>0</v>
      </c>
      <c r="J501" t="n">
        <v>0</v>
      </c>
      <c r="K501" t="n">
        <v>0</v>
      </c>
      <c r="L501" t="n">
        <v>0</v>
      </c>
      <c r="M501" t="n">
        <v>0</v>
      </c>
      <c r="N501" t="n">
        <v>0</v>
      </c>
      <c r="O501" t="n">
        <v>0</v>
      </c>
      <c r="P501" t="n">
        <v>0</v>
      </c>
      <c r="Q501" t="n">
        <v>0</v>
      </c>
      <c r="R501" s="2" t="inlineStr"/>
    </row>
    <row r="502" ht="15" customHeight="1">
      <c r="A502" t="inlineStr">
        <is>
          <t>A 11704-2023</t>
        </is>
      </c>
      <c r="B502" s="1" t="n">
        <v>44994.54274305556</v>
      </c>
      <c r="C502" s="1" t="n">
        <v>46134</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28403-2025</t>
        </is>
      </c>
      <c r="B503" s="1" t="n">
        <v>45819</v>
      </c>
      <c r="C503" s="1" t="n">
        <v>46134</v>
      </c>
      <c r="D503" t="inlineStr">
        <is>
          <t>JÄMTLANDS LÄN</t>
        </is>
      </c>
      <c r="E503" t="inlineStr">
        <is>
          <t>BERG</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32713-2025</t>
        </is>
      </c>
      <c r="B504" s="1" t="n">
        <v>45839.36935185185</v>
      </c>
      <c r="C504" s="1" t="n">
        <v>46134</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45640-2025</t>
        </is>
      </c>
      <c r="B505" s="1" t="n">
        <v>45922.961875</v>
      </c>
      <c r="C505" s="1" t="n">
        <v>46134</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45912-2025</t>
        </is>
      </c>
      <c r="B506" s="1" t="n">
        <v>45923</v>
      </c>
      <c r="C506" s="1" t="n">
        <v>46134</v>
      </c>
      <c r="D506" t="inlineStr">
        <is>
          <t>JÄMTLANDS LÄN</t>
        </is>
      </c>
      <c r="E506" t="inlineStr">
        <is>
          <t>BERG</t>
        </is>
      </c>
      <c r="G506" t="n">
        <v>1.1</v>
      </c>
      <c r="H506" t="n">
        <v>0</v>
      </c>
      <c r="I506" t="n">
        <v>0</v>
      </c>
      <c r="J506" t="n">
        <v>0</v>
      </c>
      <c r="K506" t="n">
        <v>0</v>
      </c>
      <c r="L506" t="n">
        <v>0</v>
      </c>
      <c r="M506" t="n">
        <v>0</v>
      </c>
      <c r="N506" t="n">
        <v>0</v>
      </c>
      <c r="O506" t="n">
        <v>0</v>
      </c>
      <c r="P506" t="n">
        <v>0</v>
      </c>
      <c r="Q506" t="n">
        <v>0</v>
      </c>
      <c r="R506" s="2" t="inlineStr"/>
    </row>
    <row r="507" ht="15" customHeight="1">
      <c r="A507" t="inlineStr">
        <is>
          <t>A 33753-2025</t>
        </is>
      </c>
      <c r="B507" s="1" t="n">
        <v>45842.37199074074</v>
      </c>
      <c r="C507" s="1" t="n">
        <v>46134</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45657-2025</t>
        </is>
      </c>
      <c r="B508" s="1" t="n">
        <v>45923.34453703704</v>
      </c>
      <c r="C508" s="1" t="n">
        <v>46134</v>
      </c>
      <c r="D508" t="inlineStr">
        <is>
          <t>JÄMTLANDS LÄN</t>
        </is>
      </c>
      <c r="E508" t="inlineStr">
        <is>
          <t>BERG</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12611-2025</t>
        </is>
      </c>
      <c r="B509" s="1" t="n">
        <v>45733.33921296296</v>
      </c>
      <c r="C509" s="1" t="n">
        <v>46134</v>
      </c>
      <c r="D509" t="inlineStr">
        <is>
          <t>JÄMTLANDS LÄN</t>
        </is>
      </c>
      <c r="E509" t="inlineStr">
        <is>
          <t>BERG</t>
        </is>
      </c>
      <c r="G509" t="n">
        <v>7.7</v>
      </c>
      <c r="H509" t="n">
        <v>0</v>
      </c>
      <c r="I509" t="n">
        <v>0</v>
      </c>
      <c r="J509" t="n">
        <v>0</v>
      </c>
      <c r="K509" t="n">
        <v>0</v>
      </c>
      <c r="L509" t="n">
        <v>0</v>
      </c>
      <c r="M509" t="n">
        <v>0</v>
      </c>
      <c r="N509" t="n">
        <v>0</v>
      </c>
      <c r="O509" t="n">
        <v>0</v>
      </c>
      <c r="P509" t="n">
        <v>0</v>
      </c>
      <c r="Q509" t="n">
        <v>0</v>
      </c>
      <c r="R509" s="2" t="inlineStr"/>
    </row>
    <row r="510" ht="15" customHeight="1">
      <c r="A510" t="inlineStr">
        <is>
          <t>A 33748-2025</t>
        </is>
      </c>
      <c r="B510" s="1" t="n">
        <v>45842.35685185185</v>
      </c>
      <c r="C510" s="1" t="n">
        <v>46134</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45206-2024</t>
        </is>
      </c>
      <c r="B511" s="1" t="n">
        <v>45575.69966435185</v>
      </c>
      <c r="C511" s="1" t="n">
        <v>46134</v>
      </c>
      <c r="D511" t="inlineStr">
        <is>
          <t>JÄMTLANDS LÄN</t>
        </is>
      </c>
      <c r="E511" t="inlineStr">
        <is>
          <t>BERG</t>
        </is>
      </c>
      <c r="G511" t="n">
        <v>2.3</v>
      </c>
      <c r="H511" t="n">
        <v>0</v>
      </c>
      <c r="I511" t="n">
        <v>0</v>
      </c>
      <c r="J511" t="n">
        <v>0</v>
      </c>
      <c r="K511" t="n">
        <v>0</v>
      </c>
      <c r="L511" t="n">
        <v>0</v>
      </c>
      <c r="M511" t="n">
        <v>0</v>
      </c>
      <c r="N511" t="n">
        <v>0</v>
      </c>
      <c r="O511" t="n">
        <v>0</v>
      </c>
      <c r="P511" t="n">
        <v>0</v>
      </c>
      <c r="Q511" t="n">
        <v>0</v>
      </c>
      <c r="R511" s="2" t="inlineStr"/>
    </row>
    <row r="512" ht="15" customHeight="1">
      <c r="A512" t="inlineStr">
        <is>
          <t>A 33750-2025</t>
        </is>
      </c>
      <c r="B512" s="1" t="n">
        <v>45842.36243055556</v>
      </c>
      <c r="C512" s="1" t="n">
        <v>46134</v>
      </c>
      <c r="D512" t="inlineStr">
        <is>
          <t>JÄMTLANDS LÄN</t>
        </is>
      </c>
      <c r="E512" t="inlineStr">
        <is>
          <t>BERG</t>
        </is>
      </c>
      <c r="G512" t="n">
        <v>0.9</v>
      </c>
      <c r="H512" t="n">
        <v>0</v>
      </c>
      <c r="I512" t="n">
        <v>0</v>
      </c>
      <c r="J512" t="n">
        <v>0</v>
      </c>
      <c r="K512" t="n">
        <v>0</v>
      </c>
      <c r="L512" t="n">
        <v>0</v>
      </c>
      <c r="M512" t="n">
        <v>0</v>
      </c>
      <c r="N512" t="n">
        <v>0</v>
      </c>
      <c r="O512" t="n">
        <v>0</v>
      </c>
      <c r="P512" t="n">
        <v>0</v>
      </c>
      <c r="Q512" t="n">
        <v>0</v>
      </c>
      <c r="R512" s="2" t="inlineStr"/>
    </row>
    <row r="513" ht="15" customHeight="1">
      <c r="A513" t="inlineStr">
        <is>
          <t>A 46811-2025</t>
        </is>
      </c>
      <c r="B513" s="1" t="n">
        <v>45926.69831018519</v>
      </c>
      <c r="C513" s="1" t="n">
        <v>46134</v>
      </c>
      <c r="D513" t="inlineStr">
        <is>
          <t>JÄMTLANDS LÄN</t>
        </is>
      </c>
      <c r="E513" t="inlineStr">
        <is>
          <t>BERG</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14153-2023</t>
        </is>
      </c>
      <c r="B514" s="1" t="n">
        <v>45008</v>
      </c>
      <c r="C514" s="1" t="n">
        <v>46134</v>
      </c>
      <c r="D514" t="inlineStr">
        <is>
          <t>JÄMTLANDS LÄN</t>
        </is>
      </c>
      <c r="E514" t="inlineStr">
        <is>
          <t>BERG</t>
        </is>
      </c>
      <c r="G514" t="n">
        <v>1.1</v>
      </c>
      <c r="H514" t="n">
        <v>0</v>
      </c>
      <c r="I514" t="n">
        <v>0</v>
      </c>
      <c r="J514" t="n">
        <v>0</v>
      </c>
      <c r="K514" t="n">
        <v>0</v>
      </c>
      <c r="L514" t="n">
        <v>0</v>
      </c>
      <c r="M514" t="n">
        <v>0</v>
      </c>
      <c r="N514" t="n">
        <v>0</v>
      </c>
      <c r="O514" t="n">
        <v>0</v>
      </c>
      <c r="P514" t="n">
        <v>0</v>
      </c>
      <c r="Q514" t="n">
        <v>0</v>
      </c>
      <c r="R514" s="2" t="inlineStr"/>
    </row>
    <row r="515" ht="15" customHeight="1">
      <c r="A515" t="inlineStr">
        <is>
          <t>A 47145-2025</t>
        </is>
      </c>
      <c r="B515" s="1" t="n">
        <v>45929.71310185185</v>
      </c>
      <c r="C515" s="1" t="n">
        <v>46134</v>
      </c>
      <c r="D515" t="inlineStr">
        <is>
          <t>JÄMTLANDS LÄN</t>
        </is>
      </c>
      <c r="E515" t="inlineStr">
        <is>
          <t>BERG</t>
        </is>
      </c>
      <c r="G515" t="n">
        <v>3.5</v>
      </c>
      <c r="H515" t="n">
        <v>0</v>
      </c>
      <c r="I515" t="n">
        <v>0</v>
      </c>
      <c r="J515" t="n">
        <v>0</v>
      </c>
      <c r="K515" t="n">
        <v>0</v>
      </c>
      <c r="L515" t="n">
        <v>0</v>
      </c>
      <c r="M515" t="n">
        <v>0</v>
      </c>
      <c r="N515" t="n">
        <v>0</v>
      </c>
      <c r="O515" t="n">
        <v>0</v>
      </c>
      <c r="P515" t="n">
        <v>0</v>
      </c>
      <c r="Q515" t="n">
        <v>0</v>
      </c>
      <c r="R515" s="2" t="inlineStr"/>
    </row>
    <row r="516" ht="15" customHeight="1">
      <c r="A516" t="inlineStr">
        <is>
          <t>A 34036-2025</t>
        </is>
      </c>
      <c r="B516" s="1" t="n">
        <v>45845.36954861111</v>
      </c>
      <c r="C516" s="1" t="n">
        <v>46134</v>
      </c>
      <c r="D516" t="inlineStr">
        <is>
          <t>JÄMTLANDS LÄN</t>
        </is>
      </c>
      <c r="E516" t="inlineStr">
        <is>
          <t>BERG</t>
        </is>
      </c>
      <c r="G516" t="n">
        <v>4.8</v>
      </c>
      <c r="H516" t="n">
        <v>0</v>
      </c>
      <c r="I516" t="n">
        <v>0</v>
      </c>
      <c r="J516" t="n">
        <v>0</v>
      </c>
      <c r="K516" t="n">
        <v>0</v>
      </c>
      <c r="L516" t="n">
        <v>0</v>
      </c>
      <c r="M516" t="n">
        <v>0</v>
      </c>
      <c r="N516" t="n">
        <v>0</v>
      </c>
      <c r="O516" t="n">
        <v>0</v>
      </c>
      <c r="P516" t="n">
        <v>0</v>
      </c>
      <c r="Q516" t="n">
        <v>0</v>
      </c>
      <c r="R516" s="2" t="inlineStr"/>
    </row>
    <row r="517" ht="15" customHeight="1">
      <c r="A517" t="inlineStr">
        <is>
          <t>A 34030-2025</t>
        </is>
      </c>
      <c r="B517" s="1" t="n">
        <v>45845.3633912037</v>
      </c>
      <c r="C517" s="1" t="n">
        <v>46134</v>
      </c>
      <c r="D517" t="inlineStr">
        <is>
          <t>JÄMTLANDS LÄN</t>
        </is>
      </c>
      <c r="E517" t="inlineStr">
        <is>
          <t>BERG</t>
        </is>
      </c>
      <c r="G517" t="n">
        <v>13.5</v>
      </c>
      <c r="H517" t="n">
        <v>0</v>
      </c>
      <c r="I517" t="n">
        <v>0</v>
      </c>
      <c r="J517" t="n">
        <v>0</v>
      </c>
      <c r="K517" t="n">
        <v>0</v>
      </c>
      <c r="L517" t="n">
        <v>0</v>
      </c>
      <c r="M517" t="n">
        <v>0</v>
      </c>
      <c r="N517" t="n">
        <v>0</v>
      </c>
      <c r="O517" t="n">
        <v>0</v>
      </c>
      <c r="P517" t="n">
        <v>0</v>
      </c>
      <c r="Q517" t="n">
        <v>0</v>
      </c>
      <c r="R517" s="2" t="inlineStr"/>
    </row>
    <row r="518" ht="15" customHeight="1">
      <c r="A518" t="inlineStr">
        <is>
          <t>A 46853-2025</t>
        </is>
      </c>
      <c r="B518" s="1" t="n">
        <v>45928.86563657408</v>
      </c>
      <c r="C518" s="1" t="n">
        <v>46134</v>
      </c>
      <c r="D518" t="inlineStr">
        <is>
          <t>JÄMTLANDS LÄN</t>
        </is>
      </c>
      <c r="E518" t="inlineStr">
        <is>
          <t>BERG</t>
        </is>
      </c>
      <c r="F518" t="inlineStr">
        <is>
          <t>Kyrkan</t>
        </is>
      </c>
      <c r="G518" t="n">
        <v>7.9</v>
      </c>
      <c r="H518" t="n">
        <v>0</v>
      </c>
      <c r="I518" t="n">
        <v>0</v>
      </c>
      <c r="J518" t="n">
        <v>0</v>
      </c>
      <c r="K518" t="n">
        <v>0</v>
      </c>
      <c r="L518" t="n">
        <v>0</v>
      </c>
      <c r="M518" t="n">
        <v>0</v>
      </c>
      <c r="N518" t="n">
        <v>0</v>
      </c>
      <c r="O518" t="n">
        <v>0</v>
      </c>
      <c r="P518" t="n">
        <v>0</v>
      </c>
      <c r="Q518" t="n">
        <v>0</v>
      </c>
      <c r="R518" s="2" t="inlineStr"/>
    </row>
    <row r="519" ht="15" customHeight="1">
      <c r="A519" t="inlineStr">
        <is>
          <t>A 47428-2025</t>
        </is>
      </c>
      <c r="B519" s="1" t="n">
        <v>45930</v>
      </c>
      <c r="C519" s="1" t="n">
        <v>46134</v>
      </c>
      <c r="D519" t="inlineStr">
        <is>
          <t>JÄMTLANDS LÄN</t>
        </is>
      </c>
      <c r="E519" t="inlineStr">
        <is>
          <t>BERG</t>
        </is>
      </c>
      <c r="G519" t="n">
        <v>3.4</v>
      </c>
      <c r="H519" t="n">
        <v>0</v>
      </c>
      <c r="I519" t="n">
        <v>0</v>
      </c>
      <c r="J519" t="n">
        <v>0</v>
      </c>
      <c r="K519" t="n">
        <v>0</v>
      </c>
      <c r="L519" t="n">
        <v>0</v>
      </c>
      <c r="M519" t="n">
        <v>0</v>
      </c>
      <c r="N519" t="n">
        <v>0</v>
      </c>
      <c r="O519" t="n">
        <v>0</v>
      </c>
      <c r="P519" t="n">
        <v>0</v>
      </c>
      <c r="Q519" t="n">
        <v>0</v>
      </c>
      <c r="R519" s="2" t="inlineStr"/>
    </row>
    <row r="520" ht="15" customHeight="1">
      <c r="A520" t="inlineStr">
        <is>
          <t>A 47141-2025</t>
        </is>
      </c>
      <c r="B520" s="1" t="n">
        <v>45929.70355324074</v>
      </c>
      <c r="C520" s="1" t="n">
        <v>46134</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46134</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47430-2025</t>
        </is>
      </c>
      <c r="B522" s="1" t="n">
        <v>45930.63619212963</v>
      </c>
      <c r="C522" s="1" t="n">
        <v>46134</v>
      </c>
      <c r="D522" t="inlineStr">
        <is>
          <t>JÄMTLANDS LÄN</t>
        </is>
      </c>
      <c r="E522" t="inlineStr">
        <is>
          <t>BERG</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47431-2025</t>
        </is>
      </c>
      <c r="B523" s="1" t="n">
        <v>45930.63626157407</v>
      </c>
      <c r="C523" s="1" t="n">
        <v>46134</v>
      </c>
      <c r="D523" t="inlineStr">
        <is>
          <t>JÄMTLANDS LÄN</t>
        </is>
      </c>
      <c r="E523" t="inlineStr">
        <is>
          <t>BERG</t>
        </is>
      </c>
      <c r="F523" t="inlineStr">
        <is>
          <t>SCA</t>
        </is>
      </c>
      <c r="G523" t="n">
        <v>9.5</v>
      </c>
      <c r="H523" t="n">
        <v>0</v>
      </c>
      <c r="I523" t="n">
        <v>0</v>
      </c>
      <c r="J523" t="n">
        <v>0</v>
      </c>
      <c r="K523" t="n">
        <v>0</v>
      </c>
      <c r="L523" t="n">
        <v>0</v>
      </c>
      <c r="M523" t="n">
        <v>0</v>
      </c>
      <c r="N523" t="n">
        <v>0</v>
      </c>
      <c r="O523" t="n">
        <v>0</v>
      </c>
      <c r="P523" t="n">
        <v>0</v>
      </c>
      <c r="Q523" t="n">
        <v>0</v>
      </c>
      <c r="R523" s="2" t="inlineStr"/>
    </row>
    <row r="524" ht="15" customHeight="1">
      <c r="A524" t="inlineStr">
        <is>
          <t>A 46584-2025</t>
        </is>
      </c>
      <c r="B524" s="1" t="n">
        <v>45926</v>
      </c>
      <c r="C524" s="1" t="n">
        <v>46134</v>
      </c>
      <c r="D524" t="inlineStr">
        <is>
          <t>JÄMTLANDS LÄN</t>
        </is>
      </c>
      <c r="E524" t="inlineStr">
        <is>
          <t>BERG</t>
        </is>
      </c>
      <c r="G524" t="n">
        <v>17.1</v>
      </c>
      <c r="H524" t="n">
        <v>0</v>
      </c>
      <c r="I524" t="n">
        <v>0</v>
      </c>
      <c r="J524" t="n">
        <v>0</v>
      </c>
      <c r="K524" t="n">
        <v>0</v>
      </c>
      <c r="L524" t="n">
        <v>0</v>
      </c>
      <c r="M524" t="n">
        <v>0</v>
      </c>
      <c r="N524" t="n">
        <v>0</v>
      </c>
      <c r="O524" t="n">
        <v>0</v>
      </c>
      <c r="P524" t="n">
        <v>0</v>
      </c>
      <c r="Q524" t="n">
        <v>0</v>
      </c>
      <c r="R524" s="2" t="inlineStr"/>
    </row>
    <row r="525" ht="15" customHeight="1">
      <c r="A525" t="inlineStr">
        <is>
          <t>A 46854-2025</t>
        </is>
      </c>
      <c r="B525" s="1" t="n">
        <v>45928.87376157408</v>
      </c>
      <c r="C525" s="1" t="n">
        <v>46134</v>
      </c>
      <c r="D525" t="inlineStr">
        <is>
          <t>JÄMTLANDS LÄN</t>
        </is>
      </c>
      <c r="E525" t="inlineStr">
        <is>
          <t>BERG</t>
        </is>
      </c>
      <c r="F525" t="inlineStr">
        <is>
          <t>Kyrkan</t>
        </is>
      </c>
      <c r="G525" t="n">
        <v>4.8</v>
      </c>
      <c r="H525" t="n">
        <v>0</v>
      </c>
      <c r="I525" t="n">
        <v>0</v>
      </c>
      <c r="J525" t="n">
        <v>0</v>
      </c>
      <c r="K525" t="n">
        <v>0</v>
      </c>
      <c r="L525" t="n">
        <v>0</v>
      </c>
      <c r="M525" t="n">
        <v>0</v>
      </c>
      <c r="N525" t="n">
        <v>0</v>
      </c>
      <c r="O525" t="n">
        <v>0</v>
      </c>
      <c r="P525" t="n">
        <v>0</v>
      </c>
      <c r="Q525" t="n">
        <v>0</v>
      </c>
      <c r="R525" s="2" t="inlineStr"/>
    </row>
    <row r="526" ht="15" customHeight="1">
      <c r="A526" t="inlineStr">
        <is>
          <t>A 47434-2025</t>
        </is>
      </c>
      <c r="B526" s="1" t="n">
        <v>45930.63659722222</v>
      </c>
      <c r="C526" s="1" t="n">
        <v>46134</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47135-2025</t>
        </is>
      </c>
      <c r="B527" s="1" t="n">
        <v>45929.69799768519</v>
      </c>
      <c r="C527" s="1" t="n">
        <v>46134</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149-2024</t>
        </is>
      </c>
      <c r="B528" s="1" t="n">
        <v>45294</v>
      </c>
      <c r="C528" s="1" t="n">
        <v>46134</v>
      </c>
      <c r="D528" t="inlineStr">
        <is>
          <t>JÄMTLANDS LÄN</t>
        </is>
      </c>
      <c r="E528" t="inlineStr">
        <is>
          <t>BERG</t>
        </is>
      </c>
      <c r="F528" t="inlineStr">
        <is>
          <t>Kyrkan</t>
        </is>
      </c>
      <c r="G528" t="n">
        <v>3.7</v>
      </c>
      <c r="H528" t="n">
        <v>0</v>
      </c>
      <c r="I528" t="n">
        <v>0</v>
      </c>
      <c r="J528" t="n">
        <v>0</v>
      </c>
      <c r="K528" t="n">
        <v>0</v>
      </c>
      <c r="L528" t="n">
        <v>0</v>
      </c>
      <c r="M528" t="n">
        <v>0</v>
      </c>
      <c r="N528" t="n">
        <v>0</v>
      </c>
      <c r="O528" t="n">
        <v>0</v>
      </c>
      <c r="P528" t="n">
        <v>0</v>
      </c>
      <c r="Q528" t="n">
        <v>0</v>
      </c>
      <c r="R528" s="2" t="inlineStr"/>
    </row>
    <row r="529" ht="15" customHeight="1">
      <c r="A529" t="inlineStr">
        <is>
          <t>A 52774-2023</t>
        </is>
      </c>
      <c r="B529" s="1" t="n">
        <v>45219</v>
      </c>
      <c r="C529" s="1" t="n">
        <v>46134</v>
      </c>
      <c r="D529" t="inlineStr">
        <is>
          <t>JÄMTLANDS LÄN</t>
        </is>
      </c>
      <c r="E529" t="inlineStr">
        <is>
          <t>BERG</t>
        </is>
      </c>
      <c r="G529" t="n">
        <v>1.1</v>
      </c>
      <c r="H529" t="n">
        <v>0</v>
      </c>
      <c r="I529" t="n">
        <v>0</v>
      </c>
      <c r="J529" t="n">
        <v>0</v>
      </c>
      <c r="K529" t="n">
        <v>0</v>
      </c>
      <c r="L529" t="n">
        <v>0</v>
      </c>
      <c r="M529" t="n">
        <v>0</v>
      </c>
      <c r="N529" t="n">
        <v>0</v>
      </c>
      <c r="O529" t="n">
        <v>0</v>
      </c>
      <c r="P529" t="n">
        <v>0</v>
      </c>
      <c r="Q529" t="n">
        <v>0</v>
      </c>
      <c r="R529" s="2" t="inlineStr"/>
    </row>
    <row r="530" ht="15" customHeight="1">
      <c r="A530" t="inlineStr">
        <is>
          <t>A 47137-2025</t>
        </is>
      </c>
      <c r="B530" s="1" t="n">
        <v>45929.69876157407</v>
      </c>
      <c r="C530" s="1" t="n">
        <v>46134</v>
      </c>
      <c r="D530" t="inlineStr">
        <is>
          <t>JÄMTLANDS LÄN</t>
        </is>
      </c>
      <c r="E530" t="inlineStr">
        <is>
          <t>BERG</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47193-2025</t>
        </is>
      </c>
      <c r="B531" s="1" t="n">
        <v>45930.34469907408</v>
      </c>
      <c r="C531" s="1" t="n">
        <v>46134</v>
      </c>
      <c r="D531" t="inlineStr">
        <is>
          <t>JÄMTLANDS LÄN</t>
        </is>
      </c>
      <c r="E531" t="inlineStr">
        <is>
          <t>BERG</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47534-2025</t>
        </is>
      </c>
      <c r="B532" s="1" t="n">
        <v>45931.3466550926</v>
      </c>
      <c r="C532" s="1" t="n">
        <v>46134</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35691-2025</t>
        </is>
      </c>
      <c r="B533" s="1" t="n">
        <v>45860.344375</v>
      </c>
      <c r="C533" s="1" t="n">
        <v>46134</v>
      </c>
      <c r="D533" t="inlineStr">
        <is>
          <t>JÄMTLANDS LÄN</t>
        </is>
      </c>
      <c r="E533" t="inlineStr">
        <is>
          <t>BERG</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35576-2025</t>
        </is>
      </c>
      <c r="B534" s="1" t="n">
        <v>45856.63608796296</v>
      </c>
      <c r="C534" s="1" t="n">
        <v>46134</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34892-2025</t>
        </is>
      </c>
      <c r="B535" s="1" t="n">
        <v>45849.49047453704</v>
      </c>
      <c r="C535" s="1" t="n">
        <v>46134</v>
      </c>
      <c r="D535" t="inlineStr">
        <is>
          <t>JÄMTLANDS LÄN</t>
        </is>
      </c>
      <c r="E535" t="inlineStr">
        <is>
          <t>BERG</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51172-2024</t>
        </is>
      </c>
      <c r="B536" s="1" t="n">
        <v>45603.59056712963</v>
      </c>
      <c r="C536" s="1" t="n">
        <v>46134</v>
      </c>
      <c r="D536" t="inlineStr">
        <is>
          <t>JÄMTLANDS LÄN</t>
        </is>
      </c>
      <c r="E536" t="inlineStr">
        <is>
          <t>BERG</t>
        </is>
      </c>
      <c r="G536" t="n">
        <v>12.2</v>
      </c>
      <c r="H536" t="n">
        <v>0</v>
      </c>
      <c r="I536" t="n">
        <v>0</v>
      </c>
      <c r="J536" t="n">
        <v>0</v>
      </c>
      <c r="K536" t="n">
        <v>0</v>
      </c>
      <c r="L536" t="n">
        <v>0</v>
      </c>
      <c r="M536" t="n">
        <v>0</v>
      </c>
      <c r="N536" t="n">
        <v>0</v>
      </c>
      <c r="O536" t="n">
        <v>0</v>
      </c>
      <c r="P536" t="n">
        <v>0</v>
      </c>
      <c r="Q536" t="n">
        <v>0</v>
      </c>
      <c r="R536" s="2" t="inlineStr"/>
    </row>
    <row r="537" ht="15" customHeight="1">
      <c r="A537" t="inlineStr">
        <is>
          <t>A 3241-2026</t>
        </is>
      </c>
      <c r="B537" s="1" t="n">
        <v>46041.56872685185</v>
      </c>
      <c r="C537" s="1" t="n">
        <v>46134</v>
      </c>
      <c r="D537" t="inlineStr">
        <is>
          <t>JÄMTLANDS LÄN</t>
        </is>
      </c>
      <c r="E537" t="inlineStr">
        <is>
          <t>BERG</t>
        </is>
      </c>
      <c r="G537" t="n">
        <v>2</v>
      </c>
      <c r="H537" t="n">
        <v>0</v>
      </c>
      <c r="I537" t="n">
        <v>0</v>
      </c>
      <c r="J537" t="n">
        <v>0</v>
      </c>
      <c r="K537" t="n">
        <v>0</v>
      </c>
      <c r="L537" t="n">
        <v>0</v>
      </c>
      <c r="M537" t="n">
        <v>0</v>
      </c>
      <c r="N537" t="n">
        <v>0</v>
      </c>
      <c r="O537" t="n">
        <v>0</v>
      </c>
      <c r="P537" t="n">
        <v>0</v>
      </c>
      <c r="Q537" t="n">
        <v>0</v>
      </c>
      <c r="R537" s="2" t="inlineStr"/>
    </row>
    <row r="538" ht="15" customHeight="1">
      <c r="A538" t="inlineStr">
        <is>
          <t>A 9077-2023</t>
        </is>
      </c>
      <c r="B538" s="1" t="n">
        <v>44979</v>
      </c>
      <c r="C538" s="1" t="n">
        <v>46134</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35183-2025</t>
        </is>
      </c>
      <c r="B539" s="1" t="n">
        <v>45853.29931712963</v>
      </c>
      <c r="C539" s="1" t="n">
        <v>46134</v>
      </c>
      <c r="D539" t="inlineStr">
        <is>
          <t>JÄMTLANDS LÄN</t>
        </is>
      </c>
      <c r="E539" t="inlineStr">
        <is>
          <t>BERG</t>
        </is>
      </c>
      <c r="G539" t="n">
        <v>2.8</v>
      </c>
      <c r="H539" t="n">
        <v>0</v>
      </c>
      <c r="I539" t="n">
        <v>0</v>
      </c>
      <c r="J539" t="n">
        <v>0</v>
      </c>
      <c r="K539" t="n">
        <v>0</v>
      </c>
      <c r="L539" t="n">
        <v>0</v>
      </c>
      <c r="M539" t="n">
        <v>0</v>
      </c>
      <c r="N539" t="n">
        <v>0</v>
      </c>
      <c r="O539" t="n">
        <v>0</v>
      </c>
      <c r="P539" t="n">
        <v>0</v>
      </c>
      <c r="Q539" t="n">
        <v>0</v>
      </c>
      <c r="R539" s="2" t="inlineStr"/>
    </row>
    <row r="540" ht="15" customHeight="1">
      <c r="A540" t="inlineStr">
        <is>
          <t>A 35363-2025</t>
        </is>
      </c>
      <c r="B540" s="1" t="n">
        <v>45854.67538194444</v>
      </c>
      <c r="C540" s="1" t="n">
        <v>46134</v>
      </c>
      <c r="D540" t="inlineStr">
        <is>
          <t>JÄMTLANDS LÄN</t>
        </is>
      </c>
      <c r="E540" t="inlineStr">
        <is>
          <t>BERG</t>
        </is>
      </c>
      <c r="G540" t="n">
        <v>9.5</v>
      </c>
      <c r="H540" t="n">
        <v>0</v>
      </c>
      <c r="I540" t="n">
        <v>0</v>
      </c>
      <c r="J540" t="n">
        <v>0</v>
      </c>
      <c r="K540" t="n">
        <v>0</v>
      </c>
      <c r="L540" t="n">
        <v>0</v>
      </c>
      <c r="M540" t="n">
        <v>0</v>
      </c>
      <c r="N540" t="n">
        <v>0</v>
      </c>
      <c r="O540" t="n">
        <v>0</v>
      </c>
      <c r="P540" t="n">
        <v>0</v>
      </c>
      <c r="Q540" t="n">
        <v>0</v>
      </c>
      <c r="R540" s="2" t="inlineStr"/>
    </row>
    <row r="541" ht="15" customHeight="1">
      <c r="A541" t="inlineStr">
        <is>
          <t>A 47533-2025</t>
        </is>
      </c>
      <c r="B541" s="1" t="n">
        <v>45931.34659722223</v>
      </c>
      <c r="C541" s="1" t="n">
        <v>46134</v>
      </c>
      <c r="D541" t="inlineStr">
        <is>
          <t>JÄMTLANDS LÄN</t>
        </is>
      </c>
      <c r="E541" t="inlineStr">
        <is>
          <t>BERG</t>
        </is>
      </c>
      <c r="G541" t="n">
        <v>3.1</v>
      </c>
      <c r="H541" t="n">
        <v>0</v>
      </c>
      <c r="I541" t="n">
        <v>0</v>
      </c>
      <c r="J541" t="n">
        <v>0</v>
      </c>
      <c r="K541" t="n">
        <v>0</v>
      </c>
      <c r="L541" t="n">
        <v>0</v>
      </c>
      <c r="M541" t="n">
        <v>0</v>
      </c>
      <c r="N541" t="n">
        <v>0</v>
      </c>
      <c r="O541" t="n">
        <v>0</v>
      </c>
      <c r="P541" t="n">
        <v>0</v>
      </c>
      <c r="Q541" t="n">
        <v>0</v>
      </c>
      <c r="R541" s="2" t="inlineStr"/>
    </row>
    <row r="542" ht="15" customHeight="1">
      <c r="A542" t="inlineStr">
        <is>
          <t>A 60028-2022</t>
        </is>
      </c>
      <c r="B542" s="1" t="n">
        <v>44902</v>
      </c>
      <c r="C542" s="1" t="n">
        <v>46134</v>
      </c>
      <c r="D542" t="inlineStr">
        <is>
          <t>JÄMTLANDS LÄN</t>
        </is>
      </c>
      <c r="E542" t="inlineStr">
        <is>
          <t>BERG</t>
        </is>
      </c>
      <c r="G542" t="n">
        <v>20</v>
      </c>
      <c r="H542" t="n">
        <v>0</v>
      </c>
      <c r="I542" t="n">
        <v>0</v>
      </c>
      <c r="J542" t="n">
        <v>0</v>
      </c>
      <c r="K542" t="n">
        <v>0</v>
      </c>
      <c r="L542" t="n">
        <v>0</v>
      </c>
      <c r="M542" t="n">
        <v>0</v>
      </c>
      <c r="N542" t="n">
        <v>0</v>
      </c>
      <c r="O542" t="n">
        <v>0</v>
      </c>
      <c r="P542" t="n">
        <v>0</v>
      </c>
      <c r="Q542" t="n">
        <v>0</v>
      </c>
      <c r="R542" s="2" t="inlineStr"/>
    </row>
    <row r="543" ht="15" customHeight="1">
      <c r="A543" t="inlineStr">
        <is>
          <t>A 35213-2025</t>
        </is>
      </c>
      <c r="B543" s="1" t="n">
        <v>45853.46494212963</v>
      </c>
      <c r="C543" s="1" t="n">
        <v>46134</v>
      </c>
      <c r="D543" t="inlineStr">
        <is>
          <t>JÄMTLANDS LÄN</t>
        </is>
      </c>
      <c r="E543" t="inlineStr">
        <is>
          <t>BERG</t>
        </is>
      </c>
      <c r="G543" t="n">
        <v>0.6</v>
      </c>
      <c r="H543" t="n">
        <v>0</v>
      </c>
      <c r="I543" t="n">
        <v>0</v>
      </c>
      <c r="J543" t="n">
        <v>0</v>
      </c>
      <c r="K543" t="n">
        <v>0</v>
      </c>
      <c r="L543" t="n">
        <v>0</v>
      </c>
      <c r="M543" t="n">
        <v>0</v>
      </c>
      <c r="N543" t="n">
        <v>0</v>
      </c>
      <c r="O543" t="n">
        <v>0</v>
      </c>
      <c r="P543" t="n">
        <v>0</v>
      </c>
      <c r="Q543" t="n">
        <v>0</v>
      </c>
      <c r="R543" s="2" t="inlineStr"/>
    </row>
    <row r="544" ht="15" customHeight="1">
      <c r="A544" t="inlineStr">
        <is>
          <t>A 35184-2025</t>
        </is>
      </c>
      <c r="B544" s="1" t="n">
        <v>45853.30270833334</v>
      </c>
      <c r="C544" s="1" t="n">
        <v>46134</v>
      </c>
      <c r="D544" t="inlineStr">
        <is>
          <t>JÄMTLANDS LÄN</t>
        </is>
      </c>
      <c r="E544" t="inlineStr">
        <is>
          <t>BERG</t>
        </is>
      </c>
      <c r="G544" t="n">
        <v>1.4</v>
      </c>
      <c r="H544" t="n">
        <v>0</v>
      </c>
      <c r="I544" t="n">
        <v>0</v>
      </c>
      <c r="J544" t="n">
        <v>0</v>
      </c>
      <c r="K544" t="n">
        <v>0</v>
      </c>
      <c r="L544" t="n">
        <v>0</v>
      </c>
      <c r="M544" t="n">
        <v>0</v>
      </c>
      <c r="N544" t="n">
        <v>0</v>
      </c>
      <c r="O544" t="n">
        <v>0</v>
      </c>
      <c r="P544" t="n">
        <v>0</v>
      </c>
      <c r="Q544" t="n">
        <v>0</v>
      </c>
      <c r="R544" s="2" t="inlineStr"/>
    </row>
    <row r="545" ht="15" customHeight="1">
      <c r="A545" t="inlineStr">
        <is>
          <t>A 35360-2025</t>
        </is>
      </c>
      <c r="B545" s="1" t="n">
        <v>45854.66877314815</v>
      </c>
      <c r="C545" s="1" t="n">
        <v>46134</v>
      </c>
      <c r="D545" t="inlineStr">
        <is>
          <t>JÄMTLANDS LÄN</t>
        </is>
      </c>
      <c r="E545" t="inlineStr">
        <is>
          <t>BERG</t>
        </is>
      </c>
      <c r="G545" t="n">
        <v>3.7</v>
      </c>
      <c r="H545" t="n">
        <v>0</v>
      </c>
      <c r="I545" t="n">
        <v>0</v>
      </c>
      <c r="J545" t="n">
        <v>0</v>
      </c>
      <c r="K545" t="n">
        <v>0</v>
      </c>
      <c r="L545" t="n">
        <v>0</v>
      </c>
      <c r="M545" t="n">
        <v>0</v>
      </c>
      <c r="N545" t="n">
        <v>0</v>
      </c>
      <c r="O545" t="n">
        <v>0</v>
      </c>
      <c r="P545" t="n">
        <v>0</v>
      </c>
      <c r="Q545" t="n">
        <v>0</v>
      </c>
      <c r="R545" s="2" t="inlineStr"/>
    </row>
    <row r="546" ht="15" customHeight="1">
      <c r="A546" t="inlineStr">
        <is>
          <t>A 3796-2026</t>
        </is>
      </c>
      <c r="B546" s="1" t="n">
        <v>46043.57982638889</v>
      </c>
      <c r="C546" s="1" t="n">
        <v>46134</v>
      </c>
      <c r="D546" t="inlineStr">
        <is>
          <t>JÄMTLANDS LÄN</t>
        </is>
      </c>
      <c r="E546" t="inlineStr">
        <is>
          <t>BERG</t>
        </is>
      </c>
      <c r="G546" t="n">
        <v>2.5</v>
      </c>
      <c r="H546" t="n">
        <v>0</v>
      </c>
      <c r="I546" t="n">
        <v>0</v>
      </c>
      <c r="J546" t="n">
        <v>0</v>
      </c>
      <c r="K546" t="n">
        <v>0</v>
      </c>
      <c r="L546" t="n">
        <v>0</v>
      </c>
      <c r="M546" t="n">
        <v>0</v>
      </c>
      <c r="N546" t="n">
        <v>0</v>
      </c>
      <c r="O546" t="n">
        <v>0</v>
      </c>
      <c r="P546" t="n">
        <v>0</v>
      </c>
      <c r="Q546" t="n">
        <v>0</v>
      </c>
      <c r="R546" s="2" t="inlineStr"/>
    </row>
    <row r="547" ht="15" customHeight="1">
      <c r="A547" t="inlineStr">
        <is>
          <t>A 3810-2026</t>
        </is>
      </c>
      <c r="B547" s="1" t="n">
        <v>46043.58373842593</v>
      </c>
      <c r="C547" s="1" t="n">
        <v>46134</v>
      </c>
      <c r="D547" t="inlineStr">
        <is>
          <t>JÄMTLANDS LÄN</t>
        </is>
      </c>
      <c r="E547" t="inlineStr">
        <is>
          <t>BERG</t>
        </is>
      </c>
      <c r="G547" t="n">
        <v>2.5</v>
      </c>
      <c r="H547" t="n">
        <v>0</v>
      </c>
      <c r="I547" t="n">
        <v>0</v>
      </c>
      <c r="J547" t="n">
        <v>0</v>
      </c>
      <c r="K547" t="n">
        <v>0</v>
      </c>
      <c r="L547" t="n">
        <v>0</v>
      </c>
      <c r="M547" t="n">
        <v>0</v>
      </c>
      <c r="N547" t="n">
        <v>0</v>
      </c>
      <c r="O547" t="n">
        <v>0</v>
      </c>
      <c r="P547" t="n">
        <v>0</v>
      </c>
      <c r="Q547" t="n">
        <v>0</v>
      </c>
      <c r="R547" s="2" t="inlineStr"/>
    </row>
    <row r="548" ht="15" customHeight="1">
      <c r="A548" t="inlineStr">
        <is>
          <t>A 48704-2025</t>
        </is>
      </c>
      <c r="B548" s="1" t="n">
        <v>45936.6222337963</v>
      </c>
      <c r="C548" s="1" t="n">
        <v>46134</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4383-2026</t>
        </is>
      </c>
      <c r="B549" s="1" t="n">
        <v>46045.56296296296</v>
      </c>
      <c r="C549" s="1" t="n">
        <v>46134</v>
      </c>
      <c r="D549" t="inlineStr">
        <is>
          <t>JÄMTLANDS LÄN</t>
        </is>
      </c>
      <c r="E549" t="inlineStr">
        <is>
          <t>BERG</t>
        </is>
      </c>
      <c r="G549" t="n">
        <v>0.9</v>
      </c>
      <c r="H549" t="n">
        <v>0</v>
      </c>
      <c r="I549" t="n">
        <v>0</v>
      </c>
      <c r="J549" t="n">
        <v>0</v>
      </c>
      <c r="K549" t="n">
        <v>0</v>
      </c>
      <c r="L549" t="n">
        <v>0</v>
      </c>
      <c r="M549" t="n">
        <v>0</v>
      </c>
      <c r="N549" t="n">
        <v>0</v>
      </c>
      <c r="O549" t="n">
        <v>0</v>
      </c>
      <c r="P549" t="n">
        <v>0</v>
      </c>
      <c r="Q549" t="n">
        <v>0</v>
      </c>
      <c r="R549" s="2" t="inlineStr"/>
    </row>
    <row r="550" ht="15" customHeight="1">
      <c r="A550" t="inlineStr">
        <is>
          <t>A 4833-2026</t>
        </is>
      </c>
      <c r="B550" s="1" t="n">
        <v>46048.60271990741</v>
      </c>
      <c r="C550" s="1" t="n">
        <v>46134</v>
      </c>
      <c r="D550" t="inlineStr">
        <is>
          <t>JÄMTLANDS LÄN</t>
        </is>
      </c>
      <c r="E550" t="inlineStr">
        <is>
          <t>BERG</t>
        </is>
      </c>
      <c r="G550" t="n">
        <v>0.8</v>
      </c>
      <c r="H550" t="n">
        <v>0</v>
      </c>
      <c r="I550" t="n">
        <v>0</v>
      </c>
      <c r="J550" t="n">
        <v>0</v>
      </c>
      <c r="K550" t="n">
        <v>0</v>
      </c>
      <c r="L550" t="n">
        <v>0</v>
      </c>
      <c r="M550" t="n">
        <v>0</v>
      </c>
      <c r="N550" t="n">
        <v>0</v>
      </c>
      <c r="O550" t="n">
        <v>0</v>
      </c>
      <c r="P550" t="n">
        <v>0</v>
      </c>
      <c r="Q550" t="n">
        <v>0</v>
      </c>
      <c r="R550" s="2" t="inlineStr"/>
    </row>
    <row r="551" ht="15" customHeight="1">
      <c r="A551" t="inlineStr">
        <is>
          <t>A 12342-2023</t>
        </is>
      </c>
      <c r="B551" s="1" t="n">
        <v>44998</v>
      </c>
      <c r="C551" s="1" t="n">
        <v>46134</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48508-2025</t>
        </is>
      </c>
      <c r="B552" s="1" t="n">
        <v>45936.3859837963</v>
      </c>
      <c r="C552" s="1" t="n">
        <v>46134</v>
      </c>
      <c r="D552" t="inlineStr">
        <is>
          <t>JÄMTLANDS LÄN</t>
        </is>
      </c>
      <c r="E552" t="inlineStr">
        <is>
          <t>BERG</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35681-2025</t>
        </is>
      </c>
      <c r="B553" s="1" t="n">
        <v>45859.77703703703</v>
      </c>
      <c r="C553" s="1" t="n">
        <v>46134</v>
      </c>
      <c r="D553" t="inlineStr">
        <is>
          <t>JÄMTLANDS LÄN</t>
        </is>
      </c>
      <c r="E553" t="inlineStr">
        <is>
          <t>BERG</t>
        </is>
      </c>
      <c r="G553" t="n">
        <v>27</v>
      </c>
      <c r="H553" t="n">
        <v>0</v>
      </c>
      <c r="I553" t="n">
        <v>0</v>
      </c>
      <c r="J553" t="n">
        <v>0</v>
      </c>
      <c r="K553" t="n">
        <v>0</v>
      </c>
      <c r="L553" t="n">
        <v>0</v>
      </c>
      <c r="M553" t="n">
        <v>0</v>
      </c>
      <c r="N553" t="n">
        <v>0</v>
      </c>
      <c r="O553" t="n">
        <v>0</v>
      </c>
      <c r="P553" t="n">
        <v>0</v>
      </c>
      <c r="Q553" t="n">
        <v>0</v>
      </c>
      <c r="R553" s="2" t="inlineStr"/>
    </row>
    <row r="554" ht="15" customHeight="1">
      <c r="A554" t="inlineStr">
        <is>
          <t>A 35684-2025</t>
        </is>
      </c>
      <c r="B554" s="1" t="n">
        <v>45859.88079861111</v>
      </c>
      <c r="C554" s="1" t="n">
        <v>46134</v>
      </c>
      <c r="D554" t="inlineStr">
        <is>
          <t>JÄMTLANDS LÄN</t>
        </is>
      </c>
      <c r="E554" t="inlineStr">
        <is>
          <t>BERG</t>
        </is>
      </c>
      <c r="G554" t="n">
        <v>6.1</v>
      </c>
      <c r="H554" t="n">
        <v>0</v>
      </c>
      <c r="I554" t="n">
        <v>0</v>
      </c>
      <c r="J554" t="n">
        <v>0</v>
      </c>
      <c r="K554" t="n">
        <v>0</v>
      </c>
      <c r="L554" t="n">
        <v>0</v>
      </c>
      <c r="M554" t="n">
        <v>0</v>
      </c>
      <c r="N554" t="n">
        <v>0</v>
      </c>
      <c r="O554" t="n">
        <v>0</v>
      </c>
      <c r="P554" t="n">
        <v>0</v>
      </c>
      <c r="Q554" t="n">
        <v>0</v>
      </c>
      <c r="R554" s="2" t="inlineStr"/>
    </row>
    <row r="555" ht="15" customHeight="1">
      <c r="A555" t="inlineStr">
        <is>
          <t>A 46298-2024</t>
        </is>
      </c>
      <c r="B555" s="1" t="n">
        <v>45581.67739583334</v>
      </c>
      <c r="C555" s="1" t="n">
        <v>46134</v>
      </c>
      <c r="D555" t="inlineStr">
        <is>
          <t>JÄMTLANDS LÄN</t>
        </is>
      </c>
      <c r="E555" t="inlineStr">
        <is>
          <t>BERG</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48168-2025</t>
        </is>
      </c>
      <c r="B556" s="1" t="n">
        <v>45933.43004629629</v>
      </c>
      <c r="C556" s="1" t="n">
        <v>46134</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12774-2023</t>
        </is>
      </c>
      <c r="B557" s="1" t="n">
        <v>45001</v>
      </c>
      <c r="C557" s="1" t="n">
        <v>46134</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35683-2025</t>
        </is>
      </c>
      <c r="B558" s="1" t="n">
        <v>45859</v>
      </c>
      <c r="C558" s="1" t="n">
        <v>46134</v>
      </c>
      <c r="D558" t="inlineStr">
        <is>
          <t>JÄMTLANDS LÄN</t>
        </is>
      </c>
      <c r="E558" t="inlineStr">
        <is>
          <t>BERG</t>
        </is>
      </c>
      <c r="G558" t="n">
        <v>3.4</v>
      </c>
      <c r="H558" t="n">
        <v>0</v>
      </c>
      <c r="I558" t="n">
        <v>0</v>
      </c>
      <c r="J558" t="n">
        <v>0</v>
      </c>
      <c r="K558" t="n">
        <v>0</v>
      </c>
      <c r="L558" t="n">
        <v>0</v>
      </c>
      <c r="M558" t="n">
        <v>0</v>
      </c>
      <c r="N558" t="n">
        <v>0</v>
      </c>
      <c r="O558" t="n">
        <v>0</v>
      </c>
      <c r="P558" t="n">
        <v>0</v>
      </c>
      <c r="Q558" t="n">
        <v>0</v>
      </c>
      <c r="R558" s="2" t="inlineStr"/>
    </row>
    <row r="559" ht="15" customHeight="1">
      <c r="A559" t="inlineStr">
        <is>
          <t>A 48511-2025</t>
        </is>
      </c>
      <c r="B559" s="1" t="n">
        <v>45936.3865162037</v>
      </c>
      <c r="C559" s="1" t="n">
        <v>46134</v>
      </c>
      <c r="D559" t="inlineStr">
        <is>
          <t>JÄMTLANDS LÄN</t>
        </is>
      </c>
      <c r="E559" t="inlineStr">
        <is>
          <t>BERG</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47289-2023</t>
        </is>
      </c>
      <c r="B560" s="1" t="n">
        <v>45202.46581018518</v>
      </c>
      <c r="C560" s="1" t="n">
        <v>46134</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5089-2026</t>
        </is>
      </c>
      <c r="B561" s="1" t="n">
        <v>46049.55258101852</v>
      </c>
      <c r="C561" s="1" t="n">
        <v>46134</v>
      </c>
      <c r="D561" t="inlineStr">
        <is>
          <t>JÄMTLANDS LÄN</t>
        </is>
      </c>
      <c r="E561" t="inlineStr">
        <is>
          <t>BERG</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12979-2026</t>
        </is>
      </c>
      <c r="B562" s="1" t="n">
        <v>46092.65782407407</v>
      </c>
      <c r="C562" s="1" t="n">
        <v>46134</v>
      </c>
      <c r="D562" t="inlineStr">
        <is>
          <t>JÄMTLANDS LÄN</t>
        </is>
      </c>
      <c r="E562" t="inlineStr">
        <is>
          <t>BERG</t>
        </is>
      </c>
      <c r="F562" t="inlineStr">
        <is>
          <t>SCA</t>
        </is>
      </c>
      <c r="G562" t="n">
        <v>13.9</v>
      </c>
      <c r="H562" t="n">
        <v>0</v>
      </c>
      <c r="I562" t="n">
        <v>0</v>
      </c>
      <c r="J562" t="n">
        <v>0</v>
      </c>
      <c r="K562" t="n">
        <v>0</v>
      </c>
      <c r="L562" t="n">
        <v>0</v>
      </c>
      <c r="M562" t="n">
        <v>0</v>
      </c>
      <c r="N562" t="n">
        <v>0</v>
      </c>
      <c r="O562" t="n">
        <v>0</v>
      </c>
      <c r="P562" t="n">
        <v>0</v>
      </c>
      <c r="Q562" t="n">
        <v>0</v>
      </c>
      <c r="R562" s="2" t="inlineStr"/>
    </row>
    <row r="563" ht="15" customHeight="1">
      <c r="A563" t="inlineStr">
        <is>
          <t>A 49391-2025</t>
        </is>
      </c>
      <c r="B563" s="1" t="n">
        <v>45938.65011574074</v>
      </c>
      <c r="C563" s="1" t="n">
        <v>46134</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48770-2025</t>
        </is>
      </c>
      <c r="B564" s="1" t="n">
        <v>45936.91108796297</v>
      </c>
      <c r="C564" s="1" t="n">
        <v>46134</v>
      </c>
      <c r="D564" t="inlineStr">
        <is>
          <t>JÄMTLANDS LÄN</t>
        </is>
      </c>
      <c r="E564" t="inlineStr">
        <is>
          <t>BERG</t>
        </is>
      </c>
      <c r="G564" t="n">
        <v>1.7</v>
      </c>
      <c r="H564" t="n">
        <v>0</v>
      </c>
      <c r="I564" t="n">
        <v>0</v>
      </c>
      <c r="J564" t="n">
        <v>0</v>
      </c>
      <c r="K564" t="n">
        <v>0</v>
      </c>
      <c r="L564" t="n">
        <v>0</v>
      </c>
      <c r="M564" t="n">
        <v>0</v>
      </c>
      <c r="N564" t="n">
        <v>0</v>
      </c>
      <c r="O564" t="n">
        <v>0</v>
      </c>
      <c r="P564" t="n">
        <v>0</v>
      </c>
      <c r="Q564" t="n">
        <v>0</v>
      </c>
      <c r="R564" s="2" t="inlineStr"/>
    </row>
    <row r="565" ht="15" customHeight="1">
      <c r="A565" t="inlineStr">
        <is>
          <t>A 49041-2025</t>
        </is>
      </c>
      <c r="B565" s="1" t="n">
        <v>45937.63592592593</v>
      </c>
      <c r="C565" s="1" t="n">
        <v>46134</v>
      </c>
      <c r="D565" t="inlineStr">
        <is>
          <t>JÄMTLANDS LÄN</t>
        </is>
      </c>
      <c r="E565" t="inlineStr">
        <is>
          <t>BERG</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36377-2025</t>
        </is>
      </c>
      <c r="B566" s="1" t="n">
        <v>45868.57342592593</v>
      </c>
      <c r="C566" s="1" t="n">
        <v>46134</v>
      </c>
      <c r="D566" t="inlineStr">
        <is>
          <t>JÄMTLANDS LÄN</t>
        </is>
      </c>
      <c r="E566" t="inlineStr">
        <is>
          <t>BERG</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8711-2024</t>
        </is>
      </c>
      <c r="B567" s="1" t="n">
        <v>45356</v>
      </c>
      <c r="C567" s="1" t="n">
        <v>46134</v>
      </c>
      <c r="D567" t="inlineStr">
        <is>
          <t>JÄMTLANDS LÄN</t>
        </is>
      </c>
      <c r="E567" t="inlineStr">
        <is>
          <t>BERG</t>
        </is>
      </c>
      <c r="G567" t="n">
        <v>5.2</v>
      </c>
      <c r="H567" t="n">
        <v>0</v>
      </c>
      <c r="I567" t="n">
        <v>0</v>
      </c>
      <c r="J567" t="n">
        <v>0</v>
      </c>
      <c r="K567" t="n">
        <v>0</v>
      </c>
      <c r="L567" t="n">
        <v>0</v>
      </c>
      <c r="M567" t="n">
        <v>0</v>
      </c>
      <c r="N567" t="n">
        <v>0</v>
      </c>
      <c r="O567" t="n">
        <v>0</v>
      </c>
      <c r="P567" t="n">
        <v>0</v>
      </c>
      <c r="Q567" t="n">
        <v>0</v>
      </c>
      <c r="R567" s="2" t="inlineStr"/>
    </row>
    <row r="568" ht="15" customHeight="1">
      <c r="A568" t="inlineStr">
        <is>
          <t>A 15624-2023</t>
        </is>
      </c>
      <c r="B568" s="1" t="n">
        <v>45020.94496527778</v>
      </c>
      <c r="C568" s="1" t="n">
        <v>46134</v>
      </c>
      <c r="D568" t="inlineStr">
        <is>
          <t>JÄMTLANDS LÄN</t>
        </is>
      </c>
      <c r="E568" t="inlineStr">
        <is>
          <t>BERG</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35636-2023</t>
        </is>
      </c>
      <c r="B569" s="1" t="n">
        <v>45147</v>
      </c>
      <c r="C569" s="1" t="n">
        <v>46134</v>
      </c>
      <c r="D569" t="inlineStr">
        <is>
          <t>JÄMTLANDS LÄN</t>
        </is>
      </c>
      <c r="E569" t="inlineStr">
        <is>
          <t>BERG</t>
        </is>
      </c>
      <c r="G569" t="n">
        <v>1.8</v>
      </c>
      <c r="H569" t="n">
        <v>0</v>
      </c>
      <c r="I569" t="n">
        <v>0</v>
      </c>
      <c r="J569" t="n">
        <v>0</v>
      </c>
      <c r="K569" t="n">
        <v>0</v>
      </c>
      <c r="L569" t="n">
        <v>0</v>
      </c>
      <c r="M569" t="n">
        <v>0</v>
      </c>
      <c r="N569" t="n">
        <v>0</v>
      </c>
      <c r="O569" t="n">
        <v>0</v>
      </c>
      <c r="P569" t="n">
        <v>0</v>
      </c>
      <c r="Q569" t="n">
        <v>0</v>
      </c>
      <c r="R569" s="2" t="inlineStr"/>
    </row>
    <row r="570" ht="15" customHeight="1">
      <c r="A570" t="inlineStr">
        <is>
          <t>A 48968-2025</t>
        </is>
      </c>
      <c r="B570" s="1" t="n">
        <v>45937.56285879629</v>
      </c>
      <c r="C570" s="1" t="n">
        <v>46134</v>
      </c>
      <c r="D570" t="inlineStr">
        <is>
          <t>JÄMTLANDS LÄN</t>
        </is>
      </c>
      <c r="E570" t="inlineStr">
        <is>
          <t>BERG</t>
        </is>
      </c>
      <c r="G570" t="n">
        <v>20</v>
      </c>
      <c r="H570" t="n">
        <v>0</v>
      </c>
      <c r="I570" t="n">
        <v>0</v>
      </c>
      <c r="J570" t="n">
        <v>0</v>
      </c>
      <c r="K570" t="n">
        <v>0</v>
      </c>
      <c r="L570" t="n">
        <v>0</v>
      </c>
      <c r="M570" t="n">
        <v>0</v>
      </c>
      <c r="N570" t="n">
        <v>0</v>
      </c>
      <c r="O570" t="n">
        <v>0</v>
      </c>
      <c r="P570" t="n">
        <v>0</v>
      </c>
      <c r="Q570" t="n">
        <v>0</v>
      </c>
      <c r="R570" s="2" t="inlineStr"/>
    </row>
    <row r="571" ht="15" customHeight="1">
      <c r="A571" t="inlineStr">
        <is>
          <t>A 48865-2025</t>
        </is>
      </c>
      <c r="B571" s="1" t="n">
        <v>45937.44760416666</v>
      </c>
      <c r="C571" s="1" t="n">
        <v>46134</v>
      </c>
      <c r="D571" t="inlineStr">
        <is>
          <t>JÄMTLANDS LÄN</t>
        </is>
      </c>
      <c r="E571" t="inlineStr">
        <is>
          <t>BERG</t>
        </is>
      </c>
      <c r="G571" t="n">
        <v>5.8</v>
      </c>
      <c r="H571" t="n">
        <v>0</v>
      </c>
      <c r="I571" t="n">
        <v>0</v>
      </c>
      <c r="J571" t="n">
        <v>0</v>
      </c>
      <c r="K571" t="n">
        <v>0</v>
      </c>
      <c r="L571" t="n">
        <v>0</v>
      </c>
      <c r="M571" t="n">
        <v>0</v>
      </c>
      <c r="N571" t="n">
        <v>0</v>
      </c>
      <c r="O571" t="n">
        <v>0</v>
      </c>
      <c r="P571" t="n">
        <v>0</v>
      </c>
      <c r="Q571" t="n">
        <v>0</v>
      </c>
      <c r="R571" s="2" t="inlineStr"/>
    </row>
    <row r="572" ht="15" customHeight="1">
      <c r="A572" t="inlineStr">
        <is>
          <t>A 22030-2025</t>
        </is>
      </c>
      <c r="B572" s="1" t="n">
        <v>45785.25814814815</v>
      </c>
      <c r="C572" s="1" t="n">
        <v>46134</v>
      </c>
      <c r="D572" t="inlineStr">
        <is>
          <t>JÄMTLANDS LÄN</t>
        </is>
      </c>
      <c r="E572" t="inlineStr">
        <is>
          <t>BERG</t>
        </is>
      </c>
      <c r="G572" t="n">
        <v>5</v>
      </c>
      <c r="H572" t="n">
        <v>0</v>
      </c>
      <c r="I572" t="n">
        <v>0</v>
      </c>
      <c r="J572" t="n">
        <v>0</v>
      </c>
      <c r="K572" t="n">
        <v>0</v>
      </c>
      <c r="L572" t="n">
        <v>0</v>
      </c>
      <c r="M572" t="n">
        <v>0</v>
      </c>
      <c r="N572" t="n">
        <v>0</v>
      </c>
      <c r="O572" t="n">
        <v>0</v>
      </c>
      <c r="P572" t="n">
        <v>0</v>
      </c>
      <c r="Q572" t="n">
        <v>0</v>
      </c>
      <c r="R572" s="2" t="inlineStr"/>
    </row>
    <row r="573" ht="15" customHeight="1">
      <c r="A573" t="inlineStr">
        <is>
          <t>A 49349-2025</t>
        </is>
      </c>
      <c r="B573" s="1" t="n">
        <v>45938.61060185185</v>
      </c>
      <c r="C573" s="1" t="n">
        <v>46134</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49573-2025</t>
        </is>
      </c>
      <c r="B574" s="1" t="n">
        <v>45939.49037037037</v>
      </c>
      <c r="C574" s="1" t="n">
        <v>46134</v>
      </c>
      <c r="D574" t="inlineStr">
        <is>
          <t>JÄMTLANDS LÄN</t>
        </is>
      </c>
      <c r="E574" t="inlineStr">
        <is>
          <t>BERG</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49918-2025</t>
        </is>
      </c>
      <c r="B575" s="1" t="n">
        <v>45940.6290625</v>
      </c>
      <c r="C575" s="1" t="n">
        <v>46134</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36896-2025</t>
        </is>
      </c>
      <c r="B576" s="1" t="n">
        <v>45874.4740625</v>
      </c>
      <c r="C576" s="1" t="n">
        <v>46134</v>
      </c>
      <c r="D576" t="inlineStr">
        <is>
          <t>JÄMTLANDS LÄN</t>
        </is>
      </c>
      <c r="E576" t="inlineStr">
        <is>
          <t>BERG</t>
        </is>
      </c>
      <c r="G576" t="n">
        <v>3.2</v>
      </c>
      <c r="H576" t="n">
        <v>0</v>
      </c>
      <c r="I576" t="n">
        <v>0</v>
      </c>
      <c r="J576" t="n">
        <v>0</v>
      </c>
      <c r="K576" t="n">
        <v>0</v>
      </c>
      <c r="L576" t="n">
        <v>0</v>
      </c>
      <c r="M576" t="n">
        <v>0</v>
      </c>
      <c r="N576" t="n">
        <v>0</v>
      </c>
      <c r="O576" t="n">
        <v>0</v>
      </c>
      <c r="P576" t="n">
        <v>0</v>
      </c>
      <c r="Q576" t="n">
        <v>0</v>
      </c>
      <c r="R576" s="2" t="inlineStr"/>
    </row>
    <row r="577" ht="15" customHeight="1">
      <c r="A577" t="inlineStr">
        <is>
          <t>A 49604-2025</t>
        </is>
      </c>
      <c r="B577" s="1" t="n">
        <v>45939.55241898148</v>
      </c>
      <c r="C577" s="1" t="n">
        <v>46134</v>
      </c>
      <c r="D577" t="inlineStr">
        <is>
          <t>JÄMTLANDS LÄN</t>
        </is>
      </c>
      <c r="E577" t="inlineStr">
        <is>
          <t>BERG</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461-2023</t>
        </is>
      </c>
      <c r="B578" s="1" t="n">
        <v>44929</v>
      </c>
      <c r="C578" s="1" t="n">
        <v>46134</v>
      </c>
      <c r="D578" t="inlineStr">
        <is>
          <t>JÄMTLANDS LÄN</t>
        </is>
      </c>
      <c r="E578" t="inlineStr">
        <is>
          <t>BERG</t>
        </is>
      </c>
      <c r="G578" t="n">
        <v>5.8</v>
      </c>
      <c r="H578" t="n">
        <v>0</v>
      </c>
      <c r="I578" t="n">
        <v>0</v>
      </c>
      <c r="J578" t="n">
        <v>0</v>
      </c>
      <c r="K578" t="n">
        <v>0</v>
      </c>
      <c r="L578" t="n">
        <v>0</v>
      </c>
      <c r="M578" t="n">
        <v>0</v>
      </c>
      <c r="N578" t="n">
        <v>0</v>
      </c>
      <c r="O578" t="n">
        <v>0</v>
      </c>
      <c r="P578" t="n">
        <v>0</v>
      </c>
      <c r="Q578" t="n">
        <v>0</v>
      </c>
      <c r="R578" s="2" t="inlineStr"/>
    </row>
    <row r="579" ht="15" customHeight="1">
      <c r="A579" t="inlineStr">
        <is>
          <t>A 50094-2025</t>
        </is>
      </c>
      <c r="B579" s="1" t="n">
        <v>45943.49340277778</v>
      </c>
      <c r="C579" s="1" t="n">
        <v>46134</v>
      </c>
      <c r="D579" t="inlineStr">
        <is>
          <t>JÄMTLANDS LÄN</t>
        </is>
      </c>
      <c r="E579" t="inlineStr">
        <is>
          <t>BERG</t>
        </is>
      </c>
      <c r="G579" t="n">
        <v>3</v>
      </c>
      <c r="H579" t="n">
        <v>0</v>
      </c>
      <c r="I579" t="n">
        <v>0</v>
      </c>
      <c r="J579" t="n">
        <v>0</v>
      </c>
      <c r="K579" t="n">
        <v>0</v>
      </c>
      <c r="L579" t="n">
        <v>0</v>
      </c>
      <c r="M579" t="n">
        <v>0</v>
      </c>
      <c r="N579" t="n">
        <v>0</v>
      </c>
      <c r="O579" t="n">
        <v>0</v>
      </c>
      <c r="P579" t="n">
        <v>0</v>
      </c>
      <c r="Q579" t="n">
        <v>0</v>
      </c>
      <c r="R579" s="2" t="inlineStr"/>
    </row>
    <row r="580" ht="15" customHeight="1">
      <c r="A580" t="inlineStr">
        <is>
          <t>A 50231-2025</t>
        </is>
      </c>
      <c r="B580" s="1" t="n">
        <v>45943.70643518519</v>
      </c>
      <c r="C580" s="1" t="n">
        <v>46134</v>
      </c>
      <c r="D580" t="inlineStr">
        <is>
          <t>JÄMTLANDS LÄN</t>
        </is>
      </c>
      <c r="E580" t="inlineStr">
        <is>
          <t>BERG</t>
        </is>
      </c>
      <c r="G580" t="n">
        <v>4.6</v>
      </c>
      <c r="H580" t="n">
        <v>0</v>
      </c>
      <c r="I580" t="n">
        <v>0</v>
      </c>
      <c r="J580" t="n">
        <v>0</v>
      </c>
      <c r="K580" t="n">
        <v>0</v>
      </c>
      <c r="L580" t="n">
        <v>0</v>
      </c>
      <c r="M580" t="n">
        <v>0</v>
      </c>
      <c r="N580" t="n">
        <v>0</v>
      </c>
      <c r="O580" t="n">
        <v>0</v>
      </c>
      <c r="P580" t="n">
        <v>0</v>
      </c>
      <c r="Q580" t="n">
        <v>0</v>
      </c>
      <c r="R580" s="2" t="inlineStr"/>
    </row>
    <row r="581" ht="15" customHeight="1">
      <c r="A581" t="inlineStr">
        <is>
          <t>A 50233-2025</t>
        </is>
      </c>
      <c r="B581" s="1" t="n">
        <v>45943.71228009259</v>
      </c>
      <c r="C581" s="1" t="n">
        <v>46134</v>
      </c>
      <c r="D581" t="inlineStr">
        <is>
          <t>JÄMTLANDS LÄN</t>
        </is>
      </c>
      <c r="E581" t="inlineStr">
        <is>
          <t>BERG</t>
        </is>
      </c>
      <c r="G581" t="n">
        <v>1.4</v>
      </c>
      <c r="H581" t="n">
        <v>0</v>
      </c>
      <c r="I581" t="n">
        <v>0</v>
      </c>
      <c r="J581" t="n">
        <v>0</v>
      </c>
      <c r="K581" t="n">
        <v>0</v>
      </c>
      <c r="L581" t="n">
        <v>0</v>
      </c>
      <c r="M581" t="n">
        <v>0</v>
      </c>
      <c r="N581" t="n">
        <v>0</v>
      </c>
      <c r="O581" t="n">
        <v>0</v>
      </c>
      <c r="P581" t="n">
        <v>0</v>
      </c>
      <c r="Q581" t="n">
        <v>0</v>
      </c>
      <c r="R581" s="2" t="inlineStr"/>
    </row>
    <row r="582" ht="15" customHeight="1">
      <c r="A582" t="inlineStr">
        <is>
          <t>A 36714-2025</t>
        </is>
      </c>
      <c r="B582" s="1" t="n">
        <v>45873.46881944445</v>
      </c>
      <c r="C582" s="1" t="n">
        <v>46134</v>
      </c>
      <c r="D582" t="inlineStr">
        <is>
          <t>JÄMTLANDS LÄN</t>
        </is>
      </c>
      <c r="E582" t="inlineStr">
        <is>
          <t>BERG</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50227-2025</t>
        </is>
      </c>
      <c r="B583" s="1" t="n">
        <v>45943.69686342592</v>
      </c>
      <c r="C583" s="1" t="n">
        <v>46134</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43458-2025</t>
        </is>
      </c>
      <c r="B584" s="1" t="n">
        <v>45911.46315972223</v>
      </c>
      <c r="C584" s="1" t="n">
        <v>46134</v>
      </c>
      <c r="D584" t="inlineStr">
        <is>
          <t>JÄMTLANDS LÄN</t>
        </is>
      </c>
      <c r="E584" t="inlineStr">
        <is>
          <t>BERG</t>
        </is>
      </c>
      <c r="G584" t="n">
        <v>11.2</v>
      </c>
      <c r="H584" t="n">
        <v>0</v>
      </c>
      <c r="I584" t="n">
        <v>0</v>
      </c>
      <c r="J584" t="n">
        <v>0</v>
      </c>
      <c r="K584" t="n">
        <v>0</v>
      </c>
      <c r="L584" t="n">
        <v>0</v>
      </c>
      <c r="M584" t="n">
        <v>0</v>
      </c>
      <c r="N584" t="n">
        <v>0</v>
      </c>
      <c r="O584" t="n">
        <v>0</v>
      </c>
      <c r="P584" t="n">
        <v>0</v>
      </c>
      <c r="Q584" t="n">
        <v>0</v>
      </c>
      <c r="R584" s="2" t="inlineStr"/>
    </row>
    <row r="585" ht="15" customHeight="1">
      <c r="A585" t="inlineStr">
        <is>
          <t>A 27395-2021</t>
        </is>
      </c>
      <c r="B585" s="1" t="n">
        <v>44350</v>
      </c>
      <c r="C585" s="1" t="n">
        <v>46134</v>
      </c>
      <c r="D585" t="inlineStr">
        <is>
          <t>JÄMTLANDS LÄN</t>
        </is>
      </c>
      <c r="E585" t="inlineStr">
        <is>
          <t>BERG</t>
        </is>
      </c>
      <c r="G585" t="n">
        <v>4.4</v>
      </c>
      <c r="H585" t="n">
        <v>0</v>
      </c>
      <c r="I585" t="n">
        <v>0</v>
      </c>
      <c r="J585" t="n">
        <v>0</v>
      </c>
      <c r="K585" t="n">
        <v>0</v>
      </c>
      <c r="L585" t="n">
        <v>0</v>
      </c>
      <c r="M585" t="n">
        <v>0</v>
      </c>
      <c r="N585" t="n">
        <v>0</v>
      </c>
      <c r="O585" t="n">
        <v>0</v>
      </c>
      <c r="P585" t="n">
        <v>0</v>
      </c>
      <c r="Q585" t="n">
        <v>0</v>
      </c>
      <c r="R585" s="2" t="inlineStr"/>
    </row>
    <row r="586" ht="15" customHeight="1">
      <c r="A586" t="inlineStr">
        <is>
          <t>A 50024-2025</t>
        </is>
      </c>
      <c r="B586" s="1" t="n">
        <v>45943.37563657408</v>
      </c>
      <c r="C586" s="1" t="n">
        <v>46134</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32248-2024</t>
        </is>
      </c>
      <c r="B587" s="1" t="n">
        <v>45511.95144675926</v>
      </c>
      <c r="C587" s="1" t="n">
        <v>46134</v>
      </c>
      <c r="D587" t="inlineStr">
        <is>
          <t>JÄMTLANDS LÄN</t>
        </is>
      </c>
      <c r="E587" t="inlineStr">
        <is>
          <t>BERG</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50020-2025</t>
        </is>
      </c>
      <c r="B588" s="1" t="n">
        <v>45943.36899305556</v>
      </c>
      <c r="C588" s="1" t="n">
        <v>46134</v>
      </c>
      <c r="D588" t="inlineStr">
        <is>
          <t>JÄMTLANDS LÄN</t>
        </is>
      </c>
      <c r="E588" t="inlineStr">
        <is>
          <t>BERG</t>
        </is>
      </c>
      <c r="G588" t="n">
        <v>0.6</v>
      </c>
      <c r="H588" t="n">
        <v>0</v>
      </c>
      <c r="I588" t="n">
        <v>0</v>
      </c>
      <c r="J588" t="n">
        <v>0</v>
      </c>
      <c r="K588" t="n">
        <v>0</v>
      </c>
      <c r="L588" t="n">
        <v>0</v>
      </c>
      <c r="M588" t="n">
        <v>0</v>
      </c>
      <c r="N588" t="n">
        <v>0</v>
      </c>
      <c r="O588" t="n">
        <v>0</v>
      </c>
      <c r="P588" t="n">
        <v>0</v>
      </c>
      <c r="Q588" t="n">
        <v>0</v>
      </c>
      <c r="R588" s="2" t="inlineStr"/>
    </row>
    <row r="589" ht="15" customHeight="1">
      <c r="A589" t="inlineStr">
        <is>
          <t>A 50230-2025</t>
        </is>
      </c>
      <c r="B589" s="1" t="n">
        <v>45943.70216435185</v>
      </c>
      <c r="C589" s="1" t="n">
        <v>46134</v>
      </c>
      <c r="D589" t="inlineStr">
        <is>
          <t>JÄMTLANDS LÄN</t>
        </is>
      </c>
      <c r="E589" t="inlineStr">
        <is>
          <t>BERG</t>
        </is>
      </c>
      <c r="G589" t="n">
        <v>6.3</v>
      </c>
      <c r="H589" t="n">
        <v>0</v>
      </c>
      <c r="I589" t="n">
        <v>0</v>
      </c>
      <c r="J589" t="n">
        <v>0</v>
      </c>
      <c r="K589" t="n">
        <v>0</v>
      </c>
      <c r="L589" t="n">
        <v>0</v>
      </c>
      <c r="M589" t="n">
        <v>0</v>
      </c>
      <c r="N589" t="n">
        <v>0</v>
      </c>
      <c r="O589" t="n">
        <v>0</v>
      </c>
      <c r="P589" t="n">
        <v>0</v>
      </c>
      <c r="Q589" t="n">
        <v>0</v>
      </c>
      <c r="R589" s="2" t="inlineStr"/>
    </row>
    <row r="590" ht="15" customHeight="1">
      <c r="A590" t="inlineStr">
        <is>
          <t>A 50273-2025</t>
        </is>
      </c>
      <c r="B590" s="1" t="n">
        <v>45944.36600694444</v>
      </c>
      <c r="C590" s="1" t="n">
        <v>46134</v>
      </c>
      <c r="D590" t="inlineStr">
        <is>
          <t>JÄMTLANDS LÄN</t>
        </is>
      </c>
      <c r="E590" t="inlineStr">
        <is>
          <t>BERG</t>
        </is>
      </c>
      <c r="G590" t="n">
        <v>5.7</v>
      </c>
      <c r="H590" t="n">
        <v>0</v>
      </c>
      <c r="I590" t="n">
        <v>0</v>
      </c>
      <c r="J590" t="n">
        <v>0</v>
      </c>
      <c r="K590" t="n">
        <v>0</v>
      </c>
      <c r="L590" t="n">
        <v>0</v>
      </c>
      <c r="M590" t="n">
        <v>0</v>
      </c>
      <c r="N590" t="n">
        <v>0</v>
      </c>
      <c r="O590" t="n">
        <v>0</v>
      </c>
      <c r="P590" t="n">
        <v>0</v>
      </c>
      <c r="Q590" t="n">
        <v>0</v>
      </c>
      <c r="R590" s="2" t="inlineStr"/>
    </row>
    <row r="591" ht="15" customHeight="1">
      <c r="A591" t="inlineStr">
        <is>
          <t>A 50408-2025</t>
        </is>
      </c>
      <c r="B591" s="1" t="n">
        <v>45944.64006944445</v>
      </c>
      <c r="C591" s="1" t="n">
        <v>46134</v>
      </c>
      <c r="D591" t="inlineStr">
        <is>
          <t>JÄMTLANDS LÄN</t>
        </is>
      </c>
      <c r="E591" t="inlineStr">
        <is>
          <t>BERG</t>
        </is>
      </c>
      <c r="G591" t="n">
        <v>1.2</v>
      </c>
      <c r="H591" t="n">
        <v>0</v>
      </c>
      <c r="I591" t="n">
        <v>0</v>
      </c>
      <c r="J591" t="n">
        <v>0</v>
      </c>
      <c r="K591" t="n">
        <v>0</v>
      </c>
      <c r="L591" t="n">
        <v>0</v>
      </c>
      <c r="M591" t="n">
        <v>0</v>
      </c>
      <c r="N591" t="n">
        <v>0</v>
      </c>
      <c r="O591" t="n">
        <v>0</v>
      </c>
      <c r="P591" t="n">
        <v>0</v>
      </c>
      <c r="Q591" t="n">
        <v>0</v>
      </c>
      <c r="R591" s="2" t="inlineStr"/>
    </row>
    <row r="592" ht="15" customHeight="1">
      <c r="A592" t="inlineStr">
        <is>
          <t>A 50435-2025</t>
        </is>
      </c>
      <c r="B592" s="1" t="n">
        <v>45944.6984837963</v>
      </c>
      <c r="C592" s="1" t="n">
        <v>46134</v>
      </c>
      <c r="D592" t="inlineStr">
        <is>
          <t>JÄMTLANDS LÄN</t>
        </is>
      </c>
      <c r="E592" t="inlineStr">
        <is>
          <t>BERG</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36668-2025</t>
        </is>
      </c>
      <c r="B593" s="1" t="n">
        <v>45873.38351851852</v>
      </c>
      <c r="C593" s="1" t="n">
        <v>46134</v>
      </c>
      <c r="D593" t="inlineStr">
        <is>
          <t>JÄMTLANDS LÄN</t>
        </is>
      </c>
      <c r="E593" t="inlineStr">
        <is>
          <t>BERG</t>
        </is>
      </c>
      <c r="G593" t="n">
        <v>6.7</v>
      </c>
      <c r="H593" t="n">
        <v>0</v>
      </c>
      <c r="I593" t="n">
        <v>0</v>
      </c>
      <c r="J593" t="n">
        <v>0</v>
      </c>
      <c r="K593" t="n">
        <v>0</v>
      </c>
      <c r="L593" t="n">
        <v>0</v>
      </c>
      <c r="M593" t="n">
        <v>0</v>
      </c>
      <c r="N593" t="n">
        <v>0</v>
      </c>
      <c r="O593" t="n">
        <v>0</v>
      </c>
      <c r="P593" t="n">
        <v>0</v>
      </c>
      <c r="Q593" t="n">
        <v>0</v>
      </c>
      <c r="R593" s="2" t="inlineStr"/>
    </row>
    <row r="594" ht="15" customHeight="1">
      <c r="A594" t="inlineStr">
        <is>
          <t>A 36718-2025</t>
        </is>
      </c>
      <c r="B594" s="1" t="n">
        <v>45873.47069444445</v>
      </c>
      <c r="C594" s="1" t="n">
        <v>46134</v>
      </c>
      <c r="D594" t="inlineStr">
        <is>
          <t>JÄMTLANDS LÄN</t>
        </is>
      </c>
      <c r="E594" t="inlineStr">
        <is>
          <t>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8733-2025</t>
        </is>
      </c>
      <c r="B595" s="1" t="n">
        <v>45712.53197916667</v>
      </c>
      <c r="C595" s="1" t="n">
        <v>46134</v>
      </c>
      <c r="D595" t="inlineStr">
        <is>
          <t>JÄMTLANDS LÄN</t>
        </is>
      </c>
      <c r="E595" t="inlineStr">
        <is>
          <t>BERG</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37201-2025</t>
        </is>
      </c>
      <c r="B596" s="1" t="n">
        <v>45875.67797453704</v>
      </c>
      <c r="C596" s="1" t="n">
        <v>46134</v>
      </c>
      <c r="D596" t="inlineStr">
        <is>
          <t>JÄMTLANDS LÄN</t>
        </is>
      </c>
      <c r="E596" t="inlineStr">
        <is>
          <t>BERG</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36341-2025</t>
        </is>
      </c>
      <c r="B597" s="1" t="n">
        <v>45868</v>
      </c>
      <c r="C597" s="1" t="n">
        <v>46134</v>
      </c>
      <c r="D597" t="inlineStr">
        <is>
          <t>JÄMTLANDS LÄN</t>
        </is>
      </c>
      <c r="E597" t="inlineStr">
        <is>
          <t>BERG</t>
        </is>
      </c>
      <c r="G597" t="n">
        <v>3.1</v>
      </c>
      <c r="H597" t="n">
        <v>0</v>
      </c>
      <c r="I597" t="n">
        <v>0</v>
      </c>
      <c r="J597" t="n">
        <v>0</v>
      </c>
      <c r="K597" t="n">
        <v>0</v>
      </c>
      <c r="L597" t="n">
        <v>0</v>
      </c>
      <c r="M597" t="n">
        <v>0</v>
      </c>
      <c r="N597" t="n">
        <v>0</v>
      </c>
      <c r="O597" t="n">
        <v>0</v>
      </c>
      <c r="P597" t="n">
        <v>0</v>
      </c>
      <c r="Q597" t="n">
        <v>0</v>
      </c>
      <c r="R597" s="2" t="inlineStr"/>
    </row>
    <row r="598" ht="15" customHeight="1">
      <c r="A598" t="inlineStr">
        <is>
          <t>A 23877-2024</t>
        </is>
      </c>
      <c r="B598" s="1" t="n">
        <v>45455.63024305556</v>
      </c>
      <c r="C598" s="1" t="n">
        <v>46134</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23880-2024</t>
        </is>
      </c>
      <c r="B599" s="1" t="n">
        <v>45455.63731481481</v>
      </c>
      <c r="C599" s="1" t="n">
        <v>46134</v>
      </c>
      <c r="D599" t="inlineStr">
        <is>
          <t>JÄMTLANDS LÄN</t>
        </is>
      </c>
      <c r="E599" t="inlineStr">
        <is>
          <t>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50531-2025</t>
        </is>
      </c>
      <c r="B600" s="1" t="n">
        <v>45945.47693287037</v>
      </c>
      <c r="C600" s="1" t="n">
        <v>46134</v>
      </c>
      <c r="D600" t="inlineStr">
        <is>
          <t>JÄMTLANDS LÄN</t>
        </is>
      </c>
      <c r="E600" t="inlineStr">
        <is>
          <t>BERG</t>
        </is>
      </c>
      <c r="G600" t="n">
        <v>13.9</v>
      </c>
      <c r="H600" t="n">
        <v>0</v>
      </c>
      <c r="I600" t="n">
        <v>0</v>
      </c>
      <c r="J600" t="n">
        <v>0</v>
      </c>
      <c r="K600" t="n">
        <v>0</v>
      </c>
      <c r="L600" t="n">
        <v>0</v>
      </c>
      <c r="M600" t="n">
        <v>0</v>
      </c>
      <c r="N600" t="n">
        <v>0</v>
      </c>
      <c r="O600" t="n">
        <v>0</v>
      </c>
      <c r="P600" t="n">
        <v>0</v>
      </c>
      <c r="Q600" t="n">
        <v>0</v>
      </c>
      <c r="R600" s="2" t="inlineStr"/>
    </row>
    <row r="601" ht="15" customHeight="1">
      <c r="A601" t="inlineStr">
        <is>
          <t>A 37455-2025</t>
        </is>
      </c>
      <c r="B601" s="1" t="n">
        <v>45877.56710648148</v>
      </c>
      <c r="C601" s="1" t="n">
        <v>46134</v>
      </c>
      <c r="D601" t="inlineStr">
        <is>
          <t>JÄMTLANDS LÄN</t>
        </is>
      </c>
      <c r="E601" t="inlineStr">
        <is>
          <t>BERG</t>
        </is>
      </c>
      <c r="G601" t="n">
        <v>5.6</v>
      </c>
      <c r="H601" t="n">
        <v>0</v>
      </c>
      <c r="I601" t="n">
        <v>0</v>
      </c>
      <c r="J601" t="n">
        <v>0</v>
      </c>
      <c r="K601" t="n">
        <v>0</v>
      </c>
      <c r="L601" t="n">
        <v>0</v>
      </c>
      <c r="M601" t="n">
        <v>0</v>
      </c>
      <c r="N601" t="n">
        <v>0</v>
      </c>
      <c r="O601" t="n">
        <v>0</v>
      </c>
      <c r="P601" t="n">
        <v>0</v>
      </c>
      <c r="Q601" t="n">
        <v>0</v>
      </c>
      <c r="R601" s="2" t="inlineStr"/>
    </row>
    <row r="602" ht="15" customHeight="1">
      <c r="A602" t="inlineStr">
        <is>
          <t>A 50698-2025</t>
        </is>
      </c>
      <c r="B602" s="1" t="n">
        <v>45945.91894675926</v>
      </c>
      <c r="C602" s="1" t="n">
        <v>46134</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50562-2025</t>
        </is>
      </c>
      <c r="B603" s="1" t="n">
        <v>45945.55256944444</v>
      </c>
      <c r="C603" s="1" t="n">
        <v>46134</v>
      </c>
      <c r="D603" t="inlineStr">
        <is>
          <t>JÄMTLANDS LÄN</t>
        </is>
      </c>
      <c r="E603" t="inlineStr">
        <is>
          <t>BERG</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37431-2025</t>
        </is>
      </c>
      <c r="B604" s="1" t="n">
        <v>45877.51092592593</v>
      </c>
      <c r="C604" s="1" t="n">
        <v>46134</v>
      </c>
      <c r="D604" t="inlineStr">
        <is>
          <t>JÄMTLANDS LÄN</t>
        </is>
      </c>
      <c r="E604" t="inlineStr">
        <is>
          <t>BERG</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37463-2025</t>
        </is>
      </c>
      <c r="B605" s="1" t="n">
        <v>45877.5738425926</v>
      </c>
      <c r="C605" s="1" t="n">
        <v>46134</v>
      </c>
      <c r="D605" t="inlineStr">
        <is>
          <t>JÄMTLANDS LÄN</t>
        </is>
      </c>
      <c r="E605" t="inlineStr">
        <is>
          <t>BERG</t>
        </is>
      </c>
      <c r="F605" t="inlineStr">
        <is>
          <t>SCA</t>
        </is>
      </c>
      <c r="G605" t="n">
        <v>13.3</v>
      </c>
      <c r="H605" t="n">
        <v>0</v>
      </c>
      <c r="I605" t="n">
        <v>0</v>
      </c>
      <c r="J605" t="n">
        <v>0</v>
      </c>
      <c r="K605" t="n">
        <v>0</v>
      </c>
      <c r="L605" t="n">
        <v>0</v>
      </c>
      <c r="M605" t="n">
        <v>0</v>
      </c>
      <c r="N605" t="n">
        <v>0</v>
      </c>
      <c r="O605" t="n">
        <v>0</v>
      </c>
      <c r="P605" t="n">
        <v>0</v>
      </c>
      <c r="Q605" t="n">
        <v>0</v>
      </c>
      <c r="R605" s="2" t="inlineStr"/>
    </row>
    <row r="606" ht="15" customHeight="1">
      <c r="A606" t="inlineStr">
        <is>
          <t>A 51079-2025</t>
        </is>
      </c>
      <c r="B606" s="1" t="n">
        <v>45947.465</v>
      </c>
      <c r="C606" s="1" t="n">
        <v>46134</v>
      </c>
      <c r="D606" t="inlineStr">
        <is>
          <t>JÄMTLANDS LÄN</t>
        </is>
      </c>
      <c r="E606" t="inlineStr">
        <is>
          <t>BERG</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51495-2025</t>
        </is>
      </c>
      <c r="B607" s="1" t="n">
        <v>45950.6366550926</v>
      </c>
      <c r="C607" s="1" t="n">
        <v>46134</v>
      </c>
      <c r="D607" t="inlineStr">
        <is>
          <t>JÄMTLANDS LÄN</t>
        </is>
      </c>
      <c r="E607" t="inlineStr">
        <is>
          <t>BERG</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29087-2024</t>
        </is>
      </c>
      <c r="B608" s="1" t="n">
        <v>45481.92946759259</v>
      </c>
      <c r="C608" s="1" t="n">
        <v>46134</v>
      </c>
      <c r="D608" t="inlineStr">
        <is>
          <t>JÄMTLANDS LÄN</t>
        </is>
      </c>
      <c r="E608" t="inlineStr">
        <is>
          <t>BERG</t>
        </is>
      </c>
      <c r="G608" t="n">
        <v>10.7</v>
      </c>
      <c r="H608" t="n">
        <v>0</v>
      </c>
      <c r="I608" t="n">
        <v>0</v>
      </c>
      <c r="J608" t="n">
        <v>0</v>
      </c>
      <c r="K608" t="n">
        <v>0</v>
      </c>
      <c r="L608" t="n">
        <v>0</v>
      </c>
      <c r="M608" t="n">
        <v>0</v>
      </c>
      <c r="N608" t="n">
        <v>0</v>
      </c>
      <c r="O608" t="n">
        <v>0</v>
      </c>
      <c r="P608" t="n">
        <v>0</v>
      </c>
      <c r="Q608" t="n">
        <v>0</v>
      </c>
      <c r="R608" s="2" t="inlineStr"/>
    </row>
    <row r="609" ht="15" customHeight="1">
      <c r="A609" t="inlineStr">
        <is>
          <t>A 51203-2025</t>
        </is>
      </c>
      <c r="B609" s="1" t="n">
        <v>45947.63592592593</v>
      </c>
      <c r="C609" s="1" t="n">
        <v>46134</v>
      </c>
      <c r="D609" t="inlineStr">
        <is>
          <t>JÄMTLANDS LÄN</t>
        </is>
      </c>
      <c r="E609" t="inlineStr">
        <is>
          <t>BERG</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37488-2025</t>
        </is>
      </c>
      <c r="B610" s="1" t="n">
        <v>45877.63582175926</v>
      </c>
      <c r="C610" s="1" t="n">
        <v>46134</v>
      </c>
      <c r="D610" t="inlineStr">
        <is>
          <t>JÄMTLANDS LÄN</t>
        </is>
      </c>
      <c r="E610" t="inlineStr">
        <is>
          <t>BERG</t>
        </is>
      </c>
      <c r="F610" t="inlineStr">
        <is>
          <t>SCA</t>
        </is>
      </c>
      <c r="G610" t="n">
        <v>5.7</v>
      </c>
      <c r="H610" t="n">
        <v>0</v>
      </c>
      <c r="I610" t="n">
        <v>0</v>
      </c>
      <c r="J610" t="n">
        <v>0</v>
      </c>
      <c r="K610" t="n">
        <v>0</v>
      </c>
      <c r="L610" t="n">
        <v>0</v>
      </c>
      <c r="M610" t="n">
        <v>0</v>
      </c>
      <c r="N610" t="n">
        <v>0</v>
      </c>
      <c r="O610" t="n">
        <v>0</v>
      </c>
      <c r="P610" t="n">
        <v>0</v>
      </c>
      <c r="Q610" t="n">
        <v>0</v>
      </c>
      <c r="R610" s="2" t="inlineStr"/>
    </row>
    <row r="611" ht="15" customHeight="1">
      <c r="A611" t="inlineStr">
        <is>
          <t>A 51301-2025</t>
        </is>
      </c>
      <c r="B611" s="1" t="n">
        <v>45950.36480324074</v>
      </c>
      <c r="C611" s="1" t="n">
        <v>46134</v>
      </c>
      <c r="D611" t="inlineStr">
        <is>
          <t>JÄMTLANDS LÄN</t>
        </is>
      </c>
      <c r="E611" t="inlineStr">
        <is>
          <t>BERG</t>
        </is>
      </c>
      <c r="G611" t="n">
        <v>3.1</v>
      </c>
      <c r="H611" t="n">
        <v>0</v>
      </c>
      <c r="I611" t="n">
        <v>0</v>
      </c>
      <c r="J611" t="n">
        <v>0</v>
      </c>
      <c r="K611" t="n">
        <v>0</v>
      </c>
      <c r="L611" t="n">
        <v>0</v>
      </c>
      <c r="M611" t="n">
        <v>0</v>
      </c>
      <c r="N611" t="n">
        <v>0</v>
      </c>
      <c r="O611" t="n">
        <v>0</v>
      </c>
      <c r="P611" t="n">
        <v>0</v>
      </c>
      <c r="Q611" t="n">
        <v>0</v>
      </c>
      <c r="R611" s="2" t="inlineStr"/>
    </row>
    <row r="612" ht="15" customHeight="1">
      <c r="A612" t="inlineStr">
        <is>
          <t>A 51083-2025</t>
        </is>
      </c>
      <c r="B612" s="1" t="n">
        <v>45947.4678587963</v>
      </c>
      <c r="C612" s="1" t="n">
        <v>46134</v>
      </c>
      <c r="D612" t="inlineStr">
        <is>
          <t>JÄMTLANDS LÄN</t>
        </is>
      </c>
      <c r="E612" t="inlineStr">
        <is>
          <t>BERG</t>
        </is>
      </c>
      <c r="F612" t="inlineStr">
        <is>
          <t>Övriga Aktiebolag</t>
        </is>
      </c>
      <c r="G612" t="n">
        <v>10.4</v>
      </c>
      <c r="H612" t="n">
        <v>0</v>
      </c>
      <c r="I612" t="n">
        <v>0</v>
      </c>
      <c r="J612" t="n">
        <v>0</v>
      </c>
      <c r="K612" t="n">
        <v>0</v>
      </c>
      <c r="L612" t="n">
        <v>0</v>
      </c>
      <c r="M612" t="n">
        <v>0</v>
      </c>
      <c r="N612" t="n">
        <v>0</v>
      </c>
      <c r="O612" t="n">
        <v>0</v>
      </c>
      <c r="P612" t="n">
        <v>0</v>
      </c>
      <c r="Q612" t="n">
        <v>0</v>
      </c>
      <c r="R612" s="2" t="inlineStr"/>
    </row>
    <row r="613" ht="15" customHeight="1">
      <c r="A613" t="inlineStr">
        <is>
          <t>A 51080-2025</t>
        </is>
      </c>
      <c r="B613" s="1" t="n">
        <v>45947.46655092593</v>
      </c>
      <c r="C613" s="1" t="n">
        <v>46134</v>
      </c>
      <c r="D613" t="inlineStr">
        <is>
          <t>JÄMTLANDS LÄN</t>
        </is>
      </c>
      <c r="E613" t="inlineStr">
        <is>
          <t>BERG</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38080-2025</t>
        </is>
      </c>
      <c r="B614" s="1" t="n">
        <v>45882</v>
      </c>
      <c r="C614" s="1" t="n">
        <v>46134</v>
      </c>
      <c r="D614" t="inlineStr">
        <is>
          <t>JÄMTLANDS LÄN</t>
        </is>
      </c>
      <c r="E614" t="inlineStr">
        <is>
          <t>BERG</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18775-2024</t>
        </is>
      </c>
      <c r="B615" s="1" t="n">
        <v>45426</v>
      </c>
      <c r="C615" s="1" t="n">
        <v>46134</v>
      </c>
      <c r="D615" t="inlineStr">
        <is>
          <t>JÄMTLANDS LÄN</t>
        </is>
      </c>
      <c r="E615" t="inlineStr">
        <is>
          <t>BERG</t>
        </is>
      </c>
      <c r="G615" t="n">
        <v>13.9</v>
      </c>
      <c r="H615" t="n">
        <v>0</v>
      </c>
      <c r="I615" t="n">
        <v>0</v>
      </c>
      <c r="J615" t="n">
        <v>0</v>
      </c>
      <c r="K615" t="n">
        <v>0</v>
      </c>
      <c r="L615" t="n">
        <v>0</v>
      </c>
      <c r="M615" t="n">
        <v>0</v>
      </c>
      <c r="N615" t="n">
        <v>0</v>
      </c>
      <c r="O615" t="n">
        <v>0</v>
      </c>
      <c r="P615" t="n">
        <v>0</v>
      </c>
      <c r="Q615" t="n">
        <v>0</v>
      </c>
      <c r="R615" s="2" t="inlineStr"/>
    </row>
    <row r="616" ht="15" customHeight="1">
      <c r="A616" t="inlineStr">
        <is>
          <t>A 5491-2026</t>
        </is>
      </c>
      <c r="B616" s="1" t="n">
        <v>46050.61548611111</v>
      </c>
      <c r="C616" s="1" t="n">
        <v>46134</v>
      </c>
      <c r="D616" t="inlineStr">
        <is>
          <t>JÄMTLANDS LÄN</t>
        </is>
      </c>
      <c r="E616" t="inlineStr">
        <is>
          <t>BERG</t>
        </is>
      </c>
      <c r="G616" t="n">
        <v>0.8</v>
      </c>
      <c r="H616" t="n">
        <v>0</v>
      </c>
      <c r="I616" t="n">
        <v>0</v>
      </c>
      <c r="J616" t="n">
        <v>0</v>
      </c>
      <c r="K616" t="n">
        <v>0</v>
      </c>
      <c r="L616" t="n">
        <v>0</v>
      </c>
      <c r="M616" t="n">
        <v>0</v>
      </c>
      <c r="N616" t="n">
        <v>0</v>
      </c>
      <c r="O616" t="n">
        <v>0</v>
      </c>
      <c r="P616" t="n">
        <v>0</v>
      </c>
      <c r="Q616" t="n">
        <v>0</v>
      </c>
      <c r="R616" s="2" t="inlineStr"/>
    </row>
    <row r="617" ht="15" customHeight="1">
      <c r="A617" t="inlineStr">
        <is>
          <t>A 38082-2025</t>
        </is>
      </c>
      <c r="B617" s="1" t="n">
        <v>45882</v>
      </c>
      <c r="C617" s="1" t="n">
        <v>46134</v>
      </c>
      <c r="D617" t="inlineStr">
        <is>
          <t>JÄMTLANDS LÄN</t>
        </is>
      </c>
      <c r="E617" t="inlineStr">
        <is>
          <t>BERG</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12254-2025</t>
        </is>
      </c>
      <c r="B618" s="1" t="n">
        <v>45729</v>
      </c>
      <c r="C618" s="1" t="n">
        <v>46134</v>
      </c>
      <c r="D618" t="inlineStr">
        <is>
          <t>JÄMTLANDS LÄN</t>
        </is>
      </c>
      <c r="E618" t="inlineStr">
        <is>
          <t>BERG</t>
        </is>
      </c>
      <c r="G618" t="n">
        <v>26.3</v>
      </c>
      <c r="H618" t="n">
        <v>0</v>
      </c>
      <c r="I618" t="n">
        <v>0</v>
      </c>
      <c r="J618" t="n">
        <v>0</v>
      </c>
      <c r="K618" t="n">
        <v>0</v>
      </c>
      <c r="L618" t="n">
        <v>0</v>
      </c>
      <c r="M618" t="n">
        <v>0</v>
      </c>
      <c r="N618" t="n">
        <v>0</v>
      </c>
      <c r="O618" t="n">
        <v>0</v>
      </c>
      <c r="P618" t="n">
        <v>0</v>
      </c>
      <c r="Q618" t="n">
        <v>0</v>
      </c>
      <c r="R618" s="2" t="inlineStr"/>
    </row>
    <row r="619" ht="15" customHeight="1">
      <c r="A619" t="inlineStr">
        <is>
          <t>A 52128-2025</t>
        </is>
      </c>
      <c r="B619" s="1" t="n">
        <v>45952.72754629629</v>
      </c>
      <c r="C619" s="1" t="n">
        <v>46134</v>
      </c>
      <c r="D619" t="inlineStr">
        <is>
          <t>JÄMTLANDS LÄN</t>
        </is>
      </c>
      <c r="E619" t="inlineStr">
        <is>
          <t>BERG</t>
        </is>
      </c>
      <c r="G619" t="n">
        <v>2.1</v>
      </c>
      <c r="H619" t="n">
        <v>0</v>
      </c>
      <c r="I619" t="n">
        <v>0</v>
      </c>
      <c r="J619" t="n">
        <v>0</v>
      </c>
      <c r="K619" t="n">
        <v>0</v>
      </c>
      <c r="L619" t="n">
        <v>0</v>
      </c>
      <c r="M619" t="n">
        <v>0</v>
      </c>
      <c r="N619" t="n">
        <v>0</v>
      </c>
      <c r="O619" t="n">
        <v>0</v>
      </c>
      <c r="P619" t="n">
        <v>0</v>
      </c>
      <c r="Q619" t="n">
        <v>0</v>
      </c>
      <c r="R619" s="2" t="inlineStr"/>
    </row>
    <row r="620" ht="15" customHeight="1">
      <c r="A620" t="inlineStr">
        <is>
          <t>A 61652-2024</t>
        </is>
      </c>
      <c r="B620" s="1" t="n">
        <v>45646.72293981481</v>
      </c>
      <c r="C620" s="1" t="n">
        <v>46134</v>
      </c>
      <c r="D620" t="inlineStr">
        <is>
          <t>JÄMTLANDS LÄN</t>
        </is>
      </c>
      <c r="E620" t="inlineStr">
        <is>
          <t>BERG</t>
        </is>
      </c>
      <c r="G620" t="n">
        <v>6.4</v>
      </c>
      <c r="H620" t="n">
        <v>0</v>
      </c>
      <c r="I620" t="n">
        <v>0</v>
      </c>
      <c r="J620" t="n">
        <v>0</v>
      </c>
      <c r="K620" t="n">
        <v>0</v>
      </c>
      <c r="L620" t="n">
        <v>0</v>
      </c>
      <c r="M620" t="n">
        <v>0</v>
      </c>
      <c r="N620" t="n">
        <v>0</v>
      </c>
      <c r="O620" t="n">
        <v>0</v>
      </c>
      <c r="P620" t="n">
        <v>0</v>
      </c>
      <c r="Q620" t="n">
        <v>0</v>
      </c>
      <c r="R620" s="2" t="inlineStr"/>
    </row>
    <row r="621" ht="15" customHeight="1">
      <c r="A621" t="inlineStr">
        <is>
          <t>A 51883-2025</t>
        </is>
      </c>
      <c r="B621" s="1" t="n">
        <v>45952.40701388889</v>
      </c>
      <c r="C621" s="1" t="n">
        <v>46134</v>
      </c>
      <c r="D621" t="inlineStr">
        <is>
          <t>JÄMTLANDS LÄN</t>
        </is>
      </c>
      <c r="E621" t="inlineStr">
        <is>
          <t>BERG</t>
        </is>
      </c>
      <c r="G621" t="n">
        <v>0.9</v>
      </c>
      <c r="H621" t="n">
        <v>0</v>
      </c>
      <c r="I621" t="n">
        <v>0</v>
      </c>
      <c r="J621" t="n">
        <v>0</v>
      </c>
      <c r="K621" t="n">
        <v>0</v>
      </c>
      <c r="L621" t="n">
        <v>0</v>
      </c>
      <c r="M621" t="n">
        <v>0</v>
      </c>
      <c r="N621" t="n">
        <v>0</v>
      </c>
      <c r="O621" t="n">
        <v>0</v>
      </c>
      <c r="P621" t="n">
        <v>0</v>
      </c>
      <c r="Q621" t="n">
        <v>0</v>
      </c>
      <c r="R621" s="2" t="inlineStr"/>
    </row>
    <row r="622" ht="15" customHeight="1">
      <c r="A622" t="inlineStr">
        <is>
          <t>A 13152-2026</t>
        </is>
      </c>
      <c r="B622" s="1" t="n">
        <v>46093.53184027778</v>
      </c>
      <c r="C622" s="1" t="n">
        <v>46134</v>
      </c>
      <c r="D622" t="inlineStr">
        <is>
          <t>JÄMTLANDS LÄN</t>
        </is>
      </c>
      <c r="E622" t="inlineStr">
        <is>
          <t>BERG</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52062-2025</t>
        </is>
      </c>
      <c r="B623" s="1" t="n">
        <v>45952.63679398148</v>
      </c>
      <c r="C623" s="1" t="n">
        <v>46134</v>
      </c>
      <c r="D623" t="inlineStr">
        <is>
          <t>JÄMTLANDS LÄN</t>
        </is>
      </c>
      <c r="E623" t="inlineStr">
        <is>
          <t>BERG</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13145-2026</t>
        </is>
      </c>
      <c r="B624" s="1" t="n">
        <v>46093.51172453703</v>
      </c>
      <c r="C624" s="1" t="n">
        <v>46134</v>
      </c>
      <c r="D624" t="inlineStr">
        <is>
          <t>JÄMTLANDS LÄN</t>
        </is>
      </c>
      <c r="E624" t="inlineStr">
        <is>
          <t>BERG</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51675-2025</t>
        </is>
      </c>
      <c r="B625" s="1" t="n">
        <v>45951.50565972222</v>
      </c>
      <c r="C625" s="1" t="n">
        <v>46134</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21679-2023</t>
        </is>
      </c>
      <c r="B626" s="1" t="n">
        <v>45063.94199074074</v>
      </c>
      <c r="C626" s="1" t="n">
        <v>46134</v>
      </c>
      <c r="D626" t="inlineStr">
        <is>
          <t>JÄMTLANDS LÄN</t>
        </is>
      </c>
      <c r="E626" t="inlineStr">
        <is>
          <t>BERG</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5857-2026</t>
        </is>
      </c>
      <c r="B627" s="1" t="n">
        <v>46052.36511574074</v>
      </c>
      <c r="C627" s="1" t="n">
        <v>46134</v>
      </c>
      <c r="D627" t="inlineStr">
        <is>
          <t>JÄMTLANDS LÄN</t>
        </is>
      </c>
      <c r="E627" t="inlineStr">
        <is>
          <t>BERG</t>
        </is>
      </c>
      <c r="G627" t="n">
        <v>0.2</v>
      </c>
      <c r="H627" t="n">
        <v>0</v>
      </c>
      <c r="I627" t="n">
        <v>0</v>
      </c>
      <c r="J627" t="n">
        <v>0</v>
      </c>
      <c r="K627" t="n">
        <v>0</v>
      </c>
      <c r="L627" t="n">
        <v>0</v>
      </c>
      <c r="M627" t="n">
        <v>0</v>
      </c>
      <c r="N627" t="n">
        <v>0</v>
      </c>
      <c r="O627" t="n">
        <v>0</v>
      </c>
      <c r="P627" t="n">
        <v>0</v>
      </c>
      <c r="Q627" t="n">
        <v>0</v>
      </c>
      <c r="R627" s="2" t="inlineStr"/>
    </row>
    <row r="628" ht="15" customHeight="1">
      <c r="A628" t="inlineStr">
        <is>
          <t>A 5859-2026</t>
        </is>
      </c>
      <c r="B628" s="1" t="n">
        <v>46052.36515046296</v>
      </c>
      <c r="C628" s="1" t="n">
        <v>46134</v>
      </c>
      <c r="D628" t="inlineStr">
        <is>
          <t>JÄMTLANDS LÄN</t>
        </is>
      </c>
      <c r="E628" t="inlineStr">
        <is>
          <t>BERG</t>
        </is>
      </c>
      <c r="G628" t="n">
        <v>1.7</v>
      </c>
      <c r="H628" t="n">
        <v>0</v>
      </c>
      <c r="I628" t="n">
        <v>0</v>
      </c>
      <c r="J628" t="n">
        <v>0</v>
      </c>
      <c r="K628" t="n">
        <v>0</v>
      </c>
      <c r="L628" t="n">
        <v>0</v>
      </c>
      <c r="M628" t="n">
        <v>0</v>
      </c>
      <c r="N628" t="n">
        <v>0</v>
      </c>
      <c r="O628" t="n">
        <v>0</v>
      </c>
      <c r="P628" t="n">
        <v>0</v>
      </c>
      <c r="Q628" t="n">
        <v>0</v>
      </c>
      <c r="R628" s="2" t="inlineStr"/>
    </row>
    <row r="629" ht="15" customHeight="1">
      <c r="A629" t="inlineStr">
        <is>
          <t>A 52341-2025</t>
        </is>
      </c>
      <c r="B629" s="1" t="n">
        <v>45953.71564814815</v>
      </c>
      <c r="C629" s="1" t="n">
        <v>46134</v>
      </c>
      <c r="D629" t="inlineStr">
        <is>
          <t>JÄMTLANDS LÄN</t>
        </is>
      </c>
      <c r="E629" t="inlineStr">
        <is>
          <t>BERG</t>
        </is>
      </c>
      <c r="G629" t="n">
        <v>12.2</v>
      </c>
      <c r="H629" t="n">
        <v>0</v>
      </c>
      <c r="I629" t="n">
        <v>0</v>
      </c>
      <c r="J629" t="n">
        <v>0</v>
      </c>
      <c r="K629" t="n">
        <v>0</v>
      </c>
      <c r="L629" t="n">
        <v>0</v>
      </c>
      <c r="M629" t="n">
        <v>0</v>
      </c>
      <c r="N629" t="n">
        <v>0</v>
      </c>
      <c r="O629" t="n">
        <v>0</v>
      </c>
      <c r="P629" t="n">
        <v>0</v>
      </c>
      <c r="Q629" t="n">
        <v>0</v>
      </c>
      <c r="R629" s="2" t="inlineStr"/>
    </row>
    <row r="630" ht="15" customHeight="1">
      <c r="A630" t="inlineStr">
        <is>
          <t>A 52260-2025</t>
        </is>
      </c>
      <c r="B630" s="1" t="n">
        <v>45953.51113425926</v>
      </c>
      <c r="C630" s="1" t="n">
        <v>46134</v>
      </c>
      <c r="D630" t="inlineStr">
        <is>
          <t>JÄMTLANDS LÄN</t>
        </is>
      </c>
      <c r="E630" t="inlineStr">
        <is>
          <t>BERG</t>
        </is>
      </c>
      <c r="G630" t="n">
        <v>0.8</v>
      </c>
      <c r="H630" t="n">
        <v>0</v>
      </c>
      <c r="I630" t="n">
        <v>0</v>
      </c>
      <c r="J630" t="n">
        <v>0</v>
      </c>
      <c r="K630" t="n">
        <v>0</v>
      </c>
      <c r="L630" t="n">
        <v>0</v>
      </c>
      <c r="M630" t="n">
        <v>0</v>
      </c>
      <c r="N630" t="n">
        <v>0</v>
      </c>
      <c r="O630" t="n">
        <v>0</v>
      </c>
      <c r="P630" t="n">
        <v>0</v>
      </c>
      <c r="Q630" t="n">
        <v>0</v>
      </c>
      <c r="R630" s="2" t="inlineStr"/>
    </row>
    <row r="631" ht="15" customHeight="1">
      <c r="A631" t="inlineStr">
        <is>
          <t>A 41105-2023</t>
        </is>
      </c>
      <c r="B631" s="1" t="n">
        <v>45170</v>
      </c>
      <c r="C631" s="1" t="n">
        <v>46134</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43403-2023</t>
        </is>
      </c>
      <c r="B632" s="1" t="n">
        <v>45183</v>
      </c>
      <c r="C632" s="1" t="n">
        <v>46134</v>
      </c>
      <c r="D632" t="inlineStr">
        <is>
          <t>JÄMTLANDS LÄN</t>
        </is>
      </c>
      <c r="E632" t="inlineStr">
        <is>
          <t>BERG</t>
        </is>
      </c>
      <c r="F632" t="inlineStr">
        <is>
          <t>SCA</t>
        </is>
      </c>
      <c r="G632" t="n">
        <v>0.1</v>
      </c>
      <c r="H632" t="n">
        <v>0</v>
      </c>
      <c r="I632" t="n">
        <v>0</v>
      </c>
      <c r="J632" t="n">
        <v>0</v>
      </c>
      <c r="K632" t="n">
        <v>0</v>
      </c>
      <c r="L632" t="n">
        <v>0</v>
      </c>
      <c r="M632" t="n">
        <v>0</v>
      </c>
      <c r="N632" t="n">
        <v>0</v>
      </c>
      <c r="O632" t="n">
        <v>0</v>
      </c>
      <c r="P632" t="n">
        <v>0</v>
      </c>
      <c r="Q632" t="n">
        <v>0</v>
      </c>
      <c r="R632" s="2" t="inlineStr"/>
    </row>
    <row r="633" ht="15" customHeight="1">
      <c r="A633" t="inlineStr">
        <is>
          <t>A 52256-2025</t>
        </is>
      </c>
      <c r="B633" s="1" t="n">
        <v>45953.50086805555</v>
      </c>
      <c r="C633" s="1" t="n">
        <v>46134</v>
      </c>
      <c r="D633" t="inlineStr">
        <is>
          <t>JÄMTLANDS LÄN</t>
        </is>
      </c>
      <c r="E633" t="inlineStr">
        <is>
          <t>BERG</t>
        </is>
      </c>
      <c r="G633" t="n">
        <v>3.9</v>
      </c>
      <c r="H633" t="n">
        <v>0</v>
      </c>
      <c r="I633" t="n">
        <v>0</v>
      </c>
      <c r="J633" t="n">
        <v>0</v>
      </c>
      <c r="K633" t="n">
        <v>0</v>
      </c>
      <c r="L633" t="n">
        <v>0</v>
      </c>
      <c r="M633" t="n">
        <v>0</v>
      </c>
      <c r="N633" t="n">
        <v>0</v>
      </c>
      <c r="O633" t="n">
        <v>0</v>
      </c>
      <c r="P633" t="n">
        <v>0</v>
      </c>
      <c r="Q633" t="n">
        <v>0</v>
      </c>
      <c r="R633" s="2" t="inlineStr"/>
    </row>
    <row r="634" ht="15" customHeight="1">
      <c r="A634" t="inlineStr">
        <is>
          <t>A 52348-2025</t>
        </is>
      </c>
      <c r="B634" s="1" t="n">
        <v>45953.72064814815</v>
      </c>
      <c r="C634" s="1" t="n">
        <v>46134</v>
      </c>
      <c r="D634" t="inlineStr">
        <is>
          <t>JÄMTLANDS LÄN</t>
        </is>
      </c>
      <c r="E634" t="inlineStr">
        <is>
          <t>BERG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6982-2025</t>
        </is>
      </c>
      <c r="B635" s="1" t="n">
        <v>45701.55769675926</v>
      </c>
      <c r="C635" s="1" t="n">
        <v>46134</v>
      </c>
      <c r="D635" t="inlineStr">
        <is>
          <t>JÄMTLANDS LÄN</t>
        </is>
      </c>
      <c r="E635" t="inlineStr">
        <is>
          <t>BERG</t>
        </is>
      </c>
      <c r="G635" t="n">
        <v>6.8</v>
      </c>
      <c r="H635" t="n">
        <v>0</v>
      </c>
      <c r="I635" t="n">
        <v>0</v>
      </c>
      <c r="J635" t="n">
        <v>0</v>
      </c>
      <c r="K635" t="n">
        <v>0</v>
      </c>
      <c r="L635" t="n">
        <v>0</v>
      </c>
      <c r="M635" t="n">
        <v>0</v>
      </c>
      <c r="N635" t="n">
        <v>0</v>
      </c>
      <c r="O635" t="n">
        <v>0</v>
      </c>
      <c r="P635" t="n">
        <v>0</v>
      </c>
      <c r="Q635" t="n">
        <v>0</v>
      </c>
      <c r="R635" s="2" t="inlineStr"/>
    </row>
    <row r="636" ht="15" customHeight="1">
      <c r="A636" t="inlineStr">
        <is>
          <t>A 52562-2025</t>
        </is>
      </c>
      <c r="B636" s="1" t="n">
        <v>45954.57357638889</v>
      </c>
      <c r="C636" s="1" t="n">
        <v>46134</v>
      </c>
      <c r="D636" t="inlineStr">
        <is>
          <t>JÄMTLANDS LÄN</t>
        </is>
      </c>
      <c r="E636" t="inlineStr">
        <is>
          <t>BERG</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52225-2025</t>
        </is>
      </c>
      <c r="B637" s="1" t="n">
        <v>45953.44831018519</v>
      </c>
      <c r="C637" s="1" t="n">
        <v>46134</v>
      </c>
      <c r="D637" t="inlineStr">
        <is>
          <t>JÄMTLANDS LÄN</t>
        </is>
      </c>
      <c r="E637" t="inlineStr">
        <is>
          <t>BERG</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52340-2025</t>
        </is>
      </c>
      <c r="B638" s="1" t="n">
        <v>45953.70571759259</v>
      </c>
      <c r="C638" s="1" t="n">
        <v>46134</v>
      </c>
      <c r="D638" t="inlineStr">
        <is>
          <t>JÄMTLANDS LÄN</t>
        </is>
      </c>
      <c r="E638" t="inlineStr">
        <is>
          <t>BERG</t>
        </is>
      </c>
      <c r="G638" t="n">
        <v>6.7</v>
      </c>
      <c r="H638" t="n">
        <v>0</v>
      </c>
      <c r="I638" t="n">
        <v>0</v>
      </c>
      <c r="J638" t="n">
        <v>0</v>
      </c>
      <c r="K638" t="n">
        <v>0</v>
      </c>
      <c r="L638" t="n">
        <v>0</v>
      </c>
      <c r="M638" t="n">
        <v>0</v>
      </c>
      <c r="N638" t="n">
        <v>0</v>
      </c>
      <c r="O638" t="n">
        <v>0</v>
      </c>
      <c r="P638" t="n">
        <v>0</v>
      </c>
      <c r="Q638" t="n">
        <v>0</v>
      </c>
      <c r="R638" s="2" t="inlineStr"/>
    </row>
    <row r="639" ht="15" customHeight="1">
      <c r="A639" t="inlineStr">
        <is>
          <t>A 13053-2026</t>
        </is>
      </c>
      <c r="B639" s="1" t="n">
        <v>46093.3452662037</v>
      </c>
      <c r="C639" s="1" t="n">
        <v>46134</v>
      </c>
      <c r="D639" t="inlineStr">
        <is>
          <t>JÄMTLANDS LÄN</t>
        </is>
      </c>
      <c r="E639" t="inlineStr">
        <is>
          <t>BERG</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13054-2026</t>
        </is>
      </c>
      <c r="B640" s="1" t="n">
        <v>46093.34547453704</v>
      </c>
      <c r="C640" s="1" t="n">
        <v>46134</v>
      </c>
      <c r="D640" t="inlineStr">
        <is>
          <t>JÄMTLANDS LÄN</t>
        </is>
      </c>
      <c r="E640" t="inlineStr">
        <is>
          <t>BERG</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433-2023</t>
        </is>
      </c>
      <c r="B641" s="1" t="n">
        <v>44923</v>
      </c>
      <c r="C641" s="1" t="n">
        <v>46134</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61980-2024</t>
        </is>
      </c>
      <c r="B642" s="1" t="n">
        <v>45653.66269675926</v>
      </c>
      <c r="C642" s="1" t="n">
        <v>46134</v>
      </c>
      <c r="D642" t="inlineStr">
        <is>
          <t>JÄMTLANDS LÄN</t>
        </is>
      </c>
      <c r="E642" t="inlineStr">
        <is>
          <t>BERG</t>
        </is>
      </c>
      <c r="G642" t="n">
        <v>1.3</v>
      </c>
      <c r="H642" t="n">
        <v>0</v>
      </c>
      <c r="I642" t="n">
        <v>0</v>
      </c>
      <c r="J642" t="n">
        <v>0</v>
      </c>
      <c r="K642" t="n">
        <v>0</v>
      </c>
      <c r="L642" t="n">
        <v>0</v>
      </c>
      <c r="M642" t="n">
        <v>0</v>
      </c>
      <c r="N642" t="n">
        <v>0</v>
      </c>
      <c r="O642" t="n">
        <v>0</v>
      </c>
      <c r="P642" t="n">
        <v>0</v>
      </c>
      <c r="Q642" t="n">
        <v>0</v>
      </c>
      <c r="R642" s="2" t="inlineStr"/>
    </row>
    <row r="643" ht="15" customHeight="1">
      <c r="A643" t="inlineStr">
        <is>
          <t>A 5858-2026</t>
        </is>
      </c>
      <c r="B643" s="1" t="n">
        <v>46052.36512731481</v>
      </c>
      <c r="C643" s="1" t="n">
        <v>46134</v>
      </c>
      <c r="D643" t="inlineStr">
        <is>
          <t>JÄMTLANDS LÄN</t>
        </is>
      </c>
      <c r="E643" t="inlineStr">
        <is>
          <t>BERG</t>
        </is>
      </c>
      <c r="G643" t="n">
        <v>1.1</v>
      </c>
      <c r="H643" t="n">
        <v>0</v>
      </c>
      <c r="I643" t="n">
        <v>0</v>
      </c>
      <c r="J643" t="n">
        <v>0</v>
      </c>
      <c r="K643" t="n">
        <v>0</v>
      </c>
      <c r="L643" t="n">
        <v>0</v>
      </c>
      <c r="M643" t="n">
        <v>0</v>
      </c>
      <c r="N643" t="n">
        <v>0</v>
      </c>
      <c r="O643" t="n">
        <v>0</v>
      </c>
      <c r="P643" t="n">
        <v>0</v>
      </c>
      <c r="Q643" t="n">
        <v>0</v>
      </c>
      <c r="R643" s="2" t="inlineStr"/>
    </row>
    <row r="644" ht="15" customHeight="1">
      <c r="A644" t="inlineStr">
        <is>
          <t>A 53085-2025</t>
        </is>
      </c>
      <c r="B644" s="1" t="n">
        <v>45958.40675925926</v>
      </c>
      <c r="C644" s="1" t="n">
        <v>46134</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53155-2025</t>
        </is>
      </c>
      <c r="B645" s="1" t="n">
        <v>45958.49011574074</v>
      </c>
      <c r="C645" s="1" t="n">
        <v>46134</v>
      </c>
      <c r="D645" t="inlineStr">
        <is>
          <t>JÄMTLANDS LÄN</t>
        </is>
      </c>
      <c r="E645" t="inlineStr">
        <is>
          <t>BERG</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52938-2025</t>
        </is>
      </c>
      <c r="B646" s="1" t="n">
        <v>45957.63680555556</v>
      </c>
      <c r="C646" s="1" t="n">
        <v>46134</v>
      </c>
      <c r="D646" t="inlineStr">
        <is>
          <t>JÄMTLANDS LÄN</t>
        </is>
      </c>
      <c r="E646" t="inlineStr">
        <is>
          <t>BERG</t>
        </is>
      </c>
      <c r="G646" t="n">
        <v>3.6</v>
      </c>
      <c r="H646" t="n">
        <v>0</v>
      </c>
      <c r="I646" t="n">
        <v>0</v>
      </c>
      <c r="J646" t="n">
        <v>0</v>
      </c>
      <c r="K646" t="n">
        <v>0</v>
      </c>
      <c r="L646" t="n">
        <v>0</v>
      </c>
      <c r="M646" t="n">
        <v>0</v>
      </c>
      <c r="N646" t="n">
        <v>0</v>
      </c>
      <c r="O646" t="n">
        <v>0</v>
      </c>
      <c r="P646" t="n">
        <v>0</v>
      </c>
      <c r="Q646" t="n">
        <v>0</v>
      </c>
      <c r="R646" s="2" t="inlineStr"/>
    </row>
    <row r="647" ht="15" customHeight="1">
      <c r="A647" t="inlineStr">
        <is>
          <t>A 8191-2025</t>
        </is>
      </c>
      <c r="B647" s="1" t="n">
        <v>45708.40821759259</v>
      </c>
      <c r="C647" s="1" t="n">
        <v>46134</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52933-2025</t>
        </is>
      </c>
      <c r="B648" s="1" t="n">
        <v>45957.62528935185</v>
      </c>
      <c r="C648" s="1" t="n">
        <v>46134</v>
      </c>
      <c r="D648" t="inlineStr">
        <is>
          <t>JÄMTLANDS LÄN</t>
        </is>
      </c>
      <c r="E648" t="inlineStr">
        <is>
          <t>BERG</t>
        </is>
      </c>
      <c r="G648" t="n">
        <v>10.1</v>
      </c>
      <c r="H648" t="n">
        <v>0</v>
      </c>
      <c r="I648" t="n">
        <v>0</v>
      </c>
      <c r="J648" t="n">
        <v>0</v>
      </c>
      <c r="K648" t="n">
        <v>0</v>
      </c>
      <c r="L648" t="n">
        <v>0</v>
      </c>
      <c r="M648" t="n">
        <v>0</v>
      </c>
      <c r="N648" t="n">
        <v>0</v>
      </c>
      <c r="O648" t="n">
        <v>0</v>
      </c>
      <c r="P648" t="n">
        <v>0</v>
      </c>
      <c r="Q648" t="n">
        <v>0</v>
      </c>
      <c r="R648" s="2" t="inlineStr"/>
    </row>
    <row r="649" ht="15" customHeight="1">
      <c r="A649" t="inlineStr">
        <is>
          <t>A 56490-2024</t>
        </is>
      </c>
      <c r="B649" s="1" t="n">
        <v>45625.48765046296</v>
      </c>
      <c r="C649" s="1" t="n">
        <v>46134</v>
      </c>
      <c r="D649" t="inlineStr">
        <is>
          <t>JÄMTLANDS LÄN</t>
        </is>
      </c>
      <c r="E649" t="inlineStr">
        <is>
          <t>BERG</t>
        </is>
      </c>
      <c r="G649" t="n">
        <v>5.9</v>
      </c>
      <c r="H649" t="n">
        <v>0</v>
      </c>
      <c r="I649" t="n">
        <v>0</v>
      </c>
      <c r="J649" t="n">
        <v>0</v>
      </c>
      <c r="K649" t="n">
        <v>0</v>
      </c>
      <c r="L649" t="n">
        <v>0</v>
      </c>
      <c r="M649" t="n">
        <v>0</v>
      </c>
      <c r="N649" t="n">
        <v>0</v>
      </c>
      <c r="O649" t="n">
        <v>0</v>
      </c>
      <c r="P649" t="n">
        <v>0</v>
      </c>
      <c r="Q649" t="n">
        <v>0</v>
      </c>
      <c r="R649" s="2" t="inlineStr"/>
    </row>
    <row r="650" ht="15" customHeight="1">
      <c r="A650" t="inlineStr">
        <is>
          <t>A 53157-2025</t>
        </is>
      </c>
      <c r="B650" s="1" t="n">
        <v>45958.49056712963</v>
      </c>
      <c r="C650" s="1" t="n">
        <v>46134</v>
      </c>
      <c r="D650" t="inlineStr">
        <is>
          <t>JÄMTLANDS LÄN</t>
        </is>
      </c>
      <c r="E650" t="inlineStr">
        <is>
          <t>BERG</t>
        </is>
      </c>
      <c r="F650" t="inlineStr">
        <is>
          <t>SCA</t>
        </is>
      </c>
      <c r="G650" t="n">
        <v>9.5</v>
      </c>
      <c r="H650" t="n">
        <v>0</v>
      </c>
      <c r="I650" t="n">
        <v>0</v>
      </c>
      <c r="J650" t="n">
        <v>0</v>
      </c>
      <c r="K650" t="n">
        <v>0</v>
      </c>
      <c r="L650" t="n">
        <v>0</v>
      </c>
      <c r="M650" t="n">
        <v>0</v>
      </c>
      <c r="N650" t="n">
        <v>0</v>
      </c>
      <c r="O650" t="n">
        <v>0</v>
      </c>
      <c r="P650" t="n">
        <v>0</v>
      </c>
      <c r="Q650" t="n">
        <v>0</v>
      </c>
      <c r="R650" s="2" t="inlineStr"/>
    </row>
    <row r="651" ht="15" customHeight="1">
      <c r="A651" t="inlineStr">
        <is>
          <t>A 24011-2023</t>
        </is>
      </c>
      <c r="B651" s="1" t="n">
        <v>45078</v>
      </c>
      <c r="C651" s="1" t="n">
        <v>46134</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5688-2026</t>
        </is>
      </c>
      <c r="B652" s="1" t="n">
        <v>46051.49005787037</v>
      </c>
      <c r="C652" s="1" t="n">
        <v>46134</v>
      </c>
      <c r="D652" t="inlineStr">
        <is>
          <t>JÄMTLANDS LÄN</t>
        </is>
      </c>
      <c r="E652" t="inlineStr">
        <is>
          <t>BERG</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53712-2025</t>
        </is>
      </c>
      <c r="B653" s="1" t="n">
        <v>45960.61547453704</v>
      </c>
      <c r="C653" s="1" t="n">
        <v>46134</v>
      </c>
      <c r="D653" t="inlineStr">
        <is>
          <t>JÄMTLANDS LÄN</t>
        </is>
      </c>
      <c r="E653" t="inlineStr">
        <is>
          <t>BERG</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53625-2025</t>
        </is>
      </c>
      <c r="B654" s="1" t="n">
        <v>45960.49020833334</v>
      </c>
      <c r="C654" s="1" t="n">
        <v>46134</v>
      </c>
      <c r="D654" t="inlineStr">
        <is>
          <t>JÄMTLANDS LÄN</t>
        </is>
      </c>
      <c r="E654" t="inlineStr">
        <is>
          <t>BERG</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53610-2025</t>
        </is>
      </c>
      <c r="B655" s="1" t="n">
        <v>45960.46951388889</v>
      </c>
      <c r="C655" s="1" t="n">
        <v>46134</v>
      </c>
      <c r="D655" t="inlineStr">
        <is>
          <t>JÄMTLANDS LÄN</t>
        </is>
      </c>
      <c r="E655" t="inlineStr">
        <is>
          <t>BERG</t>
        </is>
      </c>
      <c r="F655" t="inlineStr">
        <is>
          <t>SCA</t>
        </is>
      </c>
      <c r="G655" t="n">
        <v>30.7</v>
      </c>
      <c r="H655" t="n">
        <v>0</v>
      </c>
      <c r="I655" t="n">
        <v>0</v>
      </c>
      <c r="J655" t="n">
        <v>0</v>
      </c>
      <c r="K655" t="n">
        <v>0</v>
      </c>
      <c r="L655" t="n">
        <v>0</v>
      </c>
      <c r="M655" t="n">
        <v>0</v>
      </c>
      <c r="N655" t="n">
        <v>0</v>
      </c>
      <c r="O655" t="n">
        <v>0</v>
      </c>
      <c r="P655" t="n">
        <v>0</v>
      </c>
      <c r="Q655" t="n">
        <v>0</v>
      </c>
      <c r="R655" s="2" t="inlineStr"/>
    </row>
    <row r="656" ht="15" customHeight="1">
      <c r="A656" t="inlineStr">
        <is>
          <t>A 53349-2025</t>
        </is>
      </c>
      <c r="B656" s="1" t="n">
        <v>45959.43579861111</v>
      </c>
      <c r="C656" s="1" t="n">
        <v>46134</v>
      </c>
      <c r="D656" t="inlineStr">
        <is>
          <t>JÄMTLANDS LÄN</t>
        </is>
      </c>
      <c r="E656" t="inlineStr">
        <is>
          <t>BERG</t>
        </is>
      </c>
      <c r="G656" t="n">
        <v>1.8</v>
      </c>
      <c r="H656" t="n">
        <v>0</v>
      </c>
      <c r="I656" t="n">
        <v>0</v>
      </c>
      <c r="J656" t="n">
        <v>0</v>
      </c>
      <c r="K656" t="n">
        <v>0</v>
      </c>
      <c r="L656" t="n">
        <v>0</v>
      </c>
      <c r="M656" t="n">
        <v>0</v>
      </c>
      <c r="N656" t="n">
        <v>0</v>
      </c>
      <c r="O656" t="n">
        <v>0</v>
      </c>
      <c r="P656" t="n">
        <v>0</v>
      </c>
      <c r="Q656" t="n">
        <v>0</v>
      </c>
      <c r="R656" s="2" t="inlineStr"/>
    </row>
    <row r="657" ht="15" customHeight="1">
      <c r="A657" t="inlineStr">
        <is>
          <t>A 53680-2025</t>
        </is>
      </c>
      <c r="B657" s="1" t="n">
        <v>45960.57361111111</v>
      </c>
      <c r="C657" s="1" t="n">
        <v>46134</v>
      </c>
      <c r="D657" t="inlineStr">
        <is>
          <t>JÄMTLANDS LÄN</t>
        </is>
      </c>
      <c r="E657" t="inlineStr">
        <is>
          <t>BERG</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13069-2026</t>
        </is>
      </c>
      <c r="B658" s="1" t="n">
        <v>46093.36542824074</v>
      </c>
      <c r="C658" s="1" t="n">
        <v>46134</v>
      </c>
      <c r="D658" t="inlineStr">
        <is>
          <t>JÄMTLANDS LÄN</t>
        </is>
      </c>
      <c r="E658" t="inlineStr">
        <is>
          <t>BERG</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13067-2026</t>
        </is>
      </c>
      <c r="B659" s="1" t="n">
        <v>46093.36510416667</v>
      </c>
      <c r="C659" s="1" t="n">
        <v>46134</v>
      </c>
      <c r="D659" t="inlineStr">
        <is>
          <t>JÄMTLANDS LÄN</t>
        </is>
      </c>
      <c r="E659" t="inlineStr">
        <is>
          <t>BERG</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13068-2026</t>
        </is>
      </c>
      <c r="B660" s="1" t="n">
        <v>46093.36528935185</v>
      </c>
      <c r="C660" s="1" t="n">
        <v>46134</v>
      </c>
      <c r="D660" t="inlineStr">
        <is>
          <t>JÄMTLANDS LÄN</t>
        </is>
      </c>
      <c r="E660" t="inlineStr">
        <is>
          <t>BERG</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5816-2026</t>
        </is>
      </c>
      <c r="B661" s="1" t="n">
        <v>46051</v>
      </c>
      <c r="C661" s="1" t="n">
        <v>46134</v>
      </c>
      <c r="D661" t="inlineStr">
        <is>
          <t>JÄMTLANDS LÄN</t>
        </is>
      </c>
      <c r="E661" t="inlineStr">
        <is>
          <t>BERG</t>
        </is>
      </c>
      <c r="G661" t="n">
        <v>3.6</v>
      </c>
      <c r="H661" t="n">
        <v>0</v>
      </c>
      <c r="I661" t="n">
        <v>0</v>
      </c>
      <c r="J661" t="n">
        <v>0</v>
      </c>
      <c r="K661" t="n">
        <v>0</v>
      </c>
      <c r="L661" t="n">
        <v>0</v>
      </c>
      <c r="M661" t="n">
        <v>0</v>
      </c>
      <c r="N661" t="n">
        <v>0</v>
      </c>
      <c r="O661" t="n">
        <v>0</v>
      </c>
      <c r="P661" t="n">
        <v>0</v>
      </c>
      <c r="Q661" t="n">
        <v>0</v>
      </c>
      <c r="R661" s="2" t="inlineStr"/>
    </row>
    <row r="662" ht="15" customHeight="1">
      <c r="A662" t="inlineStr">
        <is>
          <t>A 5832-2026</t>
        </is>
      </c>
      <c r="B662" s="1" t="n">
        <v>46052.32890046296</v>
      </c>
      <c r="C662" s="1" t="n">
        <v>46134</v>
      </c>
      <c r="D662" t="inlineStr">
        <is>
          <t>JÄMTLANDS LÄN</t>
        </is>
      </c>
      <c r="E662" t="inlineStr">
        <is>
          <t>BERG</t>
        </is>
      </c>
      <c r="G662" t="n">
        <v>5.7</v>
      </c>
      <c r="H662" t="n">
        <v>0</v>
      </c>
      <c r="I662" t="n">
        <v>0</v>
      </c>
      <c r="J662" t="n">
        <v>0</v>
      </c>
      <c r="K662" t="n">
        <v>0</v>
      </c>
      <c r="L662" t="n">
        <v>0</v>
      </c>
      <c r="M662" t="n">
        <v>0</v>
      </c>
      <c r="N662" t="n">
        <v>0</v>
      </c>
      <c r="O662" t="n">
        <v>0</v>
      </c>
      <c r="P662" t="n">
        <v>0</v>
      </c>
      <c r="Q662" t="n">
        <v>0</v>
      </c>
      <c r="R662" s="2" t="inlineStr"/>
    </row>
    <row r="663" ht="15" customHeight="1">
      <c r="A663" t="inlineStr">
        <is>
          <t>A 15013-2025</t>
        </is>
      </c>
      <c r="B663" s="1" t="n">
        <v>45743.62734953704</v>
      </c>
      <c r="C663" s="1" t="n">
        <v>46134</v>
      </c>
      <c r="D663" t="inlineStr">
        <is>
          <t>JÄMTLANDS LÄN</t>
        </is>
      </c>
      <c r="E663" t="inlineStr">
        <is>
          <t>BERG</t>
        </is>
      </c>
      <c r="G663" t="n">
        <v>4.6</v>
      </c>
      <c r="H663" t="n">
        <v>0</v>
      </c>
      <c r="I663" t="n">
        <v>0</v>
      </c>
      <c r="J663" t="n">
        <v>0</v>
      </c>
      <c r="K663" t="n">
        <v>0</v>
      </c>
      <c r="L663" t="n">
        <v>0</v>
      </c>
      <c r="M663" t="n">
        <v>0</v>
      </c>
      <c r="N663" t="n">
        <v>0</v>
      </c>
      <c r="O663" t="n">
        <v>0</v>
      </c>
      <c r="P663" t="n">
        <v>0</v>
      </c>
      <c r="Q663" t="n">
        <v>0</v>
      </c>
      <c r="R663" s="2" t="inlineStr"/>
    </row>
    <row r="664" ht="15" customHeight="1">
      <c r="A664" t="inlineStr">
        <is>
          <t>A 13055-2026</t>
        </is>
      </c>
      <c r="B664" s="1" t="n">
        <v>46093.34563657407</v>
      </c>
      <c r="C664" s="1" t="n">
        <v>46134</v>
      </c>
      <c r="D664" t="inlineStr">
        <is>
          <t>JÄMTLANDS LÄN</t>
        </is>
      </c>
      <c r="E664" t="inlineStr">
        <is>
          <t>BERG</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3419-2025</t>
        </is>
      </c>
      <c r="B665" s="1" t="n">
        <v>45680.4165625</v>
      </c>
      <c r="C665" s="1" t="n">
        <v>46134</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41927-2023</t>
        </is>
      </c>
      <c r="B666" s="1" t="n">
        <v>45176</v>
      </c>
      <c r="C666" s="1" t="n">
        <v>46134</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5187-2025</t>
        </is>
      </c>
      <c r="B667" s="1" t="n">
        <v>45691.64266203704</v>
      </c>
      <c r="C667" s="1" t="n">
        <v>46134</v>
      </c>
      <c r="D667" t="inlineStr">
        <is>
          <t>JÄMTLANDS LÄN</t>
        </is>
      </c>
      <c r="E667" t="inlineStr">
        <is>
          <t>BERG</t>
        </is>
      </c>
      <c r="G667" t="n">
        <v>2.5</v>
      </c>
      <c r="H667" t="n">
        <v>0</v>
      </c>
      <c r="I667" t="n">
        <v>0</v>
      </c>
      <c r="J667" t="n">
        <v>0</v>
      </c>
      <c r="K667" t="n">
        <v>0</v>
      </c>
      <c r="L667" t="n">
        <v>0</v>
      </c>
      <c r="M667" t="n">
        <v>0</v>
      </c>
      <c r="N667" t="n">
        <v>0</v>
      </c>
      <c r="O667" t="n">
        <v>0</v>
      </c>
      <c r="P667" t="n">
        <v>0</v>
      </c>
      <c r="Q667" t="n">
        <v>0</v>
      </c>
      <c r="R667" s="2" t="inlineStr"/>
    </row>
    <row r="668" ht="15" customHeight="1">
      <c r="A668" t="inlineStr">
        <is>
          <t>A 53859-2025</t>
        </is>
      </c>
      <c r="B668" s="1" t="n">
        <v>45961</v>
      </c>
      <c r="C668" s="1" t="n">
        <v>46134</v>
      </c>
      <c r="D668" t="inlineStr">
        <is>
          <t>JÄMTLANDS LÄN</t>
        </is>
      </c>
      <c r="E668" t="inlineStr">
        <is>
          <t>BERG</t>
        </is>
      </c>
      <c r="G668" t="n">
        <v>1</v>
      </c>
      <c r="H668" t="n">
        <v>0</v>
      </c>
      <c r="I668" t="n">
        <v>0</v>
      </c>
      <c r="J668" t="n">
        <v>0</v>
      </c>
      <c r="K668" t="n">
        <v>0</v>
      </c>
      <c r="L668" t="n">
        <v>0</v>
      </c>
      <c r="M668" t="n">
        <v>0</v>
      </c>
      <c r="N668" t="n">
        <v>0</v>
      </c>
      <c r="O668" t="n">
        <v>0</v>
      </c>
      <c r="P668" t="n">
        <v>0</v>
      </c>
      <c r="Q668" t="n">
        <v>0</v>
      </c>
      <c r="R668" s="2" t="inlineStr"/>
    </row>
    <row r="669" ht="15" customHeight="1">
      <c r="A669" t="inlineStr">
        <is>
          <t>A 19891-2025</t>
        </is>
      </c>
      <c r="B669" s="1" t="n">
        <v>45771.5743287037</v>
      </c>
      <c r="C669" s="1" t="n">
        <v>46134</v>
      </c>
      <c r="D669" t="inlineStr">
        <is>
          <t>JÄMTLANDS LÄN</t>
        </is>
      </c>
      <c r="E669" t="inlineStr">
        <is>
          <t>BERG</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6332-2026</t>
        </is>
      </c>
      <c r="B670" s="1" t="n">
        <v>46055.59442129629</v>
      </c>
      <c r="C670" s="1" t="n">
        <v>46134</v>
      </c>
      <c r="D670" t="inlineStr">
        <is>
          <t>JÄMTLANDS LÄN</t>
        </is>
      </c>
      <c r="E670" t="inlineStr">
        <is>
          <t>BERG</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54825-2025</t>
        </is>
      </c>
      <c r="B671" s="1" t="n">
        <v>45966.66768518519</v>
      </c>
      <c r="C671" s="1" t="n">
        <v>46134</v>
      </c>
      <c r="D671" t="inlineStr">
        <is>
          <t>JÄMTLANDS LÄN</t>
        </is>
      </c>
      <c r="E671" t="inlineStr">
        <is>
          <t>BERG</t>
        </is>
      </c>
      <c r="G671" t="n">
        <v>0.7</v>
      </c>
      <c r="H671" t="n">
        <v>0</v>
      </c>
      <c r="I671" t="n">
        <v>0</v>
      </c>
      <c r="J671" t="n">
        <v>0</v>
      </c>
      <c r="K671" t="n">
        <v>0</v>
      </c>
      <c r="L671" t="n">
        <v>0</v>
      </c>
      <c r="M671" t="n">
        <v>0</v>
      </c>
      <c r="N671" t="n">
        <v>0</v>
      </c>
      <c r="O671" t="n">
        <v>0</v>
      </c>
      <c r="P671" t="n">
        <v>0</v>
      </c>
      <c r="Q671" t="n">
        <v>0</v>
      </c>
      <c r="R671" s="2" t="inlineStr"/>
    </row>
    <row r="672" ht="15" customHeight="1">
      <c r="A672" t="inlineStr">
        <is>
          <t>A 43616-2024</t>
        </is>
      </c>
      <c r="B672" s="1" t="n">
        <v>45569</v>
      </c>
      <c r="C672" s="1" t="n">
        <v>46134</v>
      </c>
      <c r="D672" t="inlineStr">
        <is>
          <t>JÄMTLANDS LÄN</t>
        </is>
      </c>
      <c r="E672" t="inlineStr">
        <is>
          <t>BERG</t>
        </is>
      </c>
      <c r="G672" t="n">
        <v>12.3</v>
      </c>
      <c r="H672" t="n">
        <v>0</v>
      </c>
      <c r="I672" t="n">
        <v>0</v>
      </c>
      <c r="J672" t="n">
        <v>0</v>
      </c>
      <c r="K672" t="n">
        <v>0</v>
      </c>
      <c r="L672" t="n">
        <v>0</v>
      </c>
      <c r="M672" t="n">
        <v>0</v>
      </c>
      <c r="N672" t="n">
        <v>0</v>
      </c>
      <c r="O672" t="n">
        <v>0</v>
      </c>
      <c r="P672" t="n">
        <v>0</v>
      </c>
      <c r="Q672" t="n">
        <v>0</v>
      </c>
      <c r="R672" s="2" t="inlineStr"/>
    </row>
    <row r="673" ht="15" customHeight="1">
      <c r="A673" t="inlineStr">
        <is>
          <t>A 54852-2025</t>
        </is>
      </c>
      <c r="B673" s="1" t="n">
        <v>45966.71946759259</v>
      </c>
      <c r="C673" s="1" t="n">
        <v>46134</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54720-2025</t>
        </is>
      </c>
      <c r="B674" s="1" t="n">
        <v>45966.53177083333</v>
      </c>
      <c r="C674" s="1" t="n">
        <v>46134</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32178-2024</t>
        </is>
      </c>
      <c r="B675" s="1" t="n">
        <v>45511</v>
      </c>
      <c r="C675" s="1" t="n">
        <v>46134</v>
      </c>
      <c r="D675" t="inlineStr">
        <is>
          <t>JÄMTLANDS LÄN</t>
        </is>
      </c>
      <c r="E675" t="inlineStr">
        <is>
          <t>BERG</t>
        </is>
      </c>
      <c r="G675" t="n">
        <v>11.4</v>
      </c>
      <c r="H675" t="n">
        <v>0</v>
      </c>
      <c r="I675" t="n">
        <v>0</v>
      </c>
      <c r="J675" t="n">
        <v>0</v>
      </c>
      <c r="K675" t="n">
        <v>0</v>
      </c>
      <c r="L675" t="n">
        <v>0</v>
      </c>
      <c r="M675" t="n">
        <v>0</v>
      </c>
      <c r="N675" t="n">
        <v>0</v>
      </c>
      <c r="O675" t="n">
        <v>0</v>
      </c>
      <c r="P675" t="n">
        <v>0</v>
      </c>
      <c r="Q675" t="n">
        <v>0</v>
      </c>
      <c r="R675" s="2" t="inlineStr"/>
    </row>
    <row r="676" ht="15" customHeight="1">
      <c r="A676" t="inlineStr">
        <is>
          <t>A 55043-2025</t>
        </is>
      </c>
      <c r="B676" s="1" t="n">
        <v>45967.65983796296</v>
      </c>
      <c r="C676" s="1" t="n">
        <v>46134</v>
      </c>
      <c r="D676" t="inlineStr">
        <is>
          <t>JÄMTLANDS LÄN</t>
        </is>
      </c>
      <c r="E676" t="inlineStr">
        <is>
          <t>BERG</t>
        </is>
      </c>
      <c r="G676" t="n">
        <v>3</v>
      </c>
      <c r="H676" t="n">
        <v>0</v>
      </c>
      <c r="I676" t="n">
        <v>0</v>
      </c>
      <c r="J676" t="n">
        <v>0</v>
      </c>
      <c r="K676" t="n">
        <v>0</v>
      </c>
      <c r="L676" t="n">
        <v>0</v>
      </c>
      <c r="M676" t="n">
        <v>0</v>
      </c>
      <c r="N676" t="n">
        <v>0</v>
      </c>
      <c r="O676" t="n">
        <v>0</v>
      </c>
      <c r="P676" t="n">
        <v>0</v>
      </c>
      <c r="Q676" t="n">
        <v>0</v>
      </c>
      <c r="R676" s="2" t="inlineStr"/>
    </row>
    <row r="677" ht="15" customHeight="1">
      <c r="A677" t="inlineStr">
        <is>
          <t>A 46268-2023</t>
        </is>
      </c>
      <c r="B677" s="1" t="n">
        <v>45196</v>
      </c>
      <c r="C677" s="1" t="n">
        <v>46134</v>
      </c>
      <c r="D677" t="inlineStr">
        <is>
          <t>JÄMTLANDS LÄN</t>
        </is>
      </c>
      <c r="E677" t="inlineStr">
        <is>
          <t>BERG</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55267-2025</t>
        </is>
      </c>
      <c r="B678" s="1" t="n">
        <v>45968.66726851852</v>
      </c>
      <c r="C678" s="1" t="n">
        <v>46134</v>
      </c>
      <c r="D678" t="inlineStr">
        <is>
          <t>JÄMTLANDS LÄN</t>
        </is>
      </c>
      <c r="E678" t="inlineStr">
        <is>
          <t>BERG</t>
        </is>
      </c>
      <c r="G678" t="n">
        <v>1.4</v>
      </c>
      <c r="H678" t="n">
        <v>0</v>
      </c>
      <c r="I678" t="n">
        <v>0</v>
      </c>
      <c r="J678" t="n">
        <v>0</v>
      </c>
      <c r="K678" t="n">
        <v>0</v>
      </c>
      <c r="L678" t="n">
        <v>0</v>
      </c>
      <c r="M678" t="n">
        <v>0</v>
      </c>
      <c r="N678" t="n">
        <v>0</v>
      </c>
      <c r="O678" t="n">
        <v>0</v>
      </c>
      <c r="P678" t="n">
        <v>0</v>
      </c>
      <c r="Q678" t="n">
        <v>0</v>
      </c>
      <c r="R678" s="2" t="inlineStr"/>
    </row>
    <row r="679" ht="15" customHeight="1">
      <c r="A679" t="inlineStr">
        <is>
          <t>A 55239-2025</t>
        </is>
      </c>
      <c r="B679" s="1" t="n">
        <v>45968</v>
      </c>
      <c r="C679" s="1" t="n">
        <v>46134</v>
      </c>
      <c r="D679" t="inlineStr">
        <is>
          <t>JÄMTLANDS LÄN</t>
        </is>
      </c>
      <c r="E679" t="inlineStr">
        <is>
          <t>BERG</t>
        </is>
      </c>
      <c r="G679" t="n">
        <v>6.3</v>
      </c>
      <c r="H679" t="n">
        <v>0</v>
      </c>
      <c r="I679" t="n">
        <v>0</v>
      </c>
      <c r="J679" t="n">
        <v>0</v>
      </c>
      <c r="K679" t="n">
        <v>0</v>
      </c>
      <c r="L679" t="n">
        <v>0</v>
      </c>
      <c r="M679" t="n">
        <v>0</v>
      </c>
      <c r="N679" t="n">
        <v>0</v>
      </c>
      <c r="O679" t="n">
        <v>0</v>
      </c>
      <c r="P679" t="n">
        <v>0</v>
      </c>
      <c r="Q679" t="n">
        <v>0</v>
      </c>
      <c r="R679" s="2" t="inlineStr"/>
    </row>
    <row r="680" ht="15" customHeight="1">
      <c r="A680" t="inlineStr">
        <is>
          <t>A 55240-2025</t>
        </is>
      </c>
      <c r="B680" s="1" t="n">
        <v>45968</v>
      </c>
      <c r="C680" s="1" t="n">
        <v>46134</v>
      </c>
      <c r="D680" t="inlineStr">
        <is>
          <t>JÄMTLANDS LÄN</t>
        </is>
      </c>
      <c r="E680" t="inlineStr">
        <is>
          <t>BERG</t>
        </is>
      </c>
      <c r="G680" t="n">
        <v>11.2</v>
      </c>
      <c r="H680" t="n">
        <v>0</v>
      </c>
      <c r="I680" t="n">
        <v>0</v>
      </c>
      <c r="J680" t="n">
        <v>0</v>
      </c>
      <c r="K680" t="n">
        <v>0</v>
      </c>
      <c r="L680" t="n">
        <v>0</v>
      </c>
      <c r="M680" t="n">
        <v>0</v>
      </c>
      <c r="N680" t="n">
        <v>0</v>
      </c>
      <c r="O680" t="n">
        <v>0</v>
      </c>
      <c r="P680" t="n">
        <v>0</v>
      </c>
      <c r="Q680" t="n">
        <v>0</v>
      </c>
      <c r="R680" s="2" t="inlineStr"/>
    </row>
    <row r="681" ht="15" customHeight="1">
      <c r="A681" t="inlineStr">
        <is>
          <t>A 32465-2024</t>
        </is>
      </c>
      <c r="B681" s="1" t="n">
        <v>45512.96096064815</v>
      </c>
      <c r="C681" s="1" t="n">
        <v>46134</v>
      </c>
      <c r="D681" t="inlineStr">
        <is>
          <t>JÄMTLANDS LÄN</t>
        </is>
      </c>
      <c r="E681" t="inlineStr">
        <is>
          <t>BERG</t>
        </is>
      </c>
      <c r="G681" t="n">
        <v>6.7</v>
      </c>
      <c r="H681" t="n">
        <v>0</v>
      </c>
      <c r="I681" t="n">
        <v>0</v>
      </c>
      <c r="J681" t="n">
        <v>0</v>
      </c>
      <c r="K681" t="n">
        <v>0</v>
      </c>
      <c r="L681" t="n">
        <v>0</v>
      </c>
      <c r="M681" t="n">
        <v>0</v>
      </c>
      <c r="N681" t="n">
        <v>0</v>
      </c>
      <c r="O681" t="n">
        <v>0</v>
      </c>
      <c r="P681" t="n">
        <v>0</v>
      </c>
      <c r="Q681" t="n">
        <v>0</v>
      </c>
      <c r="R681" s="2" t="inlineStr"/>
    </row>
    <row r="682" ht="15" customHeight="1">
      <c r="A682" t="inlineStr">
        <is>
          <t>A 13820-2026</t>
        </is>
      </c>
      <c r="B682" s="1" t="n">
        <v>46098.33131944444</v>
      </c>
      <c r="C682" s="1" t="n">
        <v>46134</v>
      </c>
      <c r="D682" t="inlineStr">
        <is>
          <t>JÄMTLANDS LÄN</t>
        </is>
      </c>
      <c r="E682" t="inlineStr">
        <is>
          <t>BERG</t>
        </is>
      </c>
      <c r="G682" t="n">
        <v>0.7</v>
      </c>
      <c r="H682" t="n">
        <v>0</v>
      </c>
      <c r="I682" t="n">
        <v>0</v>
      </c>
      <c r="J682" t="n">
        <v>0</v>
      </c>
      <c r="K682" t="n">
        <v>0</v>
      </c>
      <c r="L682" t="n">
        <v>0</v>
      </c>
      <c r="M682" t="n">
        <v>0</v>
      </c>
      <c r="N682" t="n">
        <v>0</v>
      </c>
      <c r="O682" t="n">
        <v>0</v>
      </c>
      <c r="P682" t="n">
        <v>0</v>
      </c>
      <c r="Q682" t="n">
        <v>0</v>
      </c>
      <c r="R682" s="2" t="inlineStr"/>
    </row>
    <row r="683" ht="15" customHeight="1">
      <c r="A683" t="inlineStr">
        <is>
          <t>A 6333-2026</t>
        </is>
      </c>
      <c r="B683" s="1" t="n">
        <v>46055.59460648148</v>
      </c>
      <c r="C683" s="1" t="n">
        <v>46134</v>
      </c>
      <c r="D683" t="inlineStr">
        <is>
          <t>JÄMTLANDS LÄN</t>
        </is>
      </c>
      <c r="E683" t="inlineStr">
        <is>
          <t>BERG</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55022-2025</t>
        </is>
      </c>
      <c r="B684" s="1" t="n">
        <v>45967.62862268519</v>
      </c>
      <c r="C684" s="1" t="n">
        <v>46134</v>
      </c>
      <c r="D684" t="inlineStr">
        <is>
          <t>JÄMTLANDS LÄN</t>
        </is>
      </c>
      <c r="E684" t="inlineStr">
        <is>
          <t>BERG</t>
        </is>
      </c>
      <c r="G684" t="n">
        <v>0.5</v>
      </c>
      <c r="H684" t="n">
        <v>0</v>
      </c>
      <c r="I684" t="n">
        <v>0</v>
      </c>
      <c r="J684" t="n">
        <v>0</v>
      </c>
      <c r="K684" t="n">
        <v>0</v>
      </c>
      <c r="L684" t="n">
        <v>0</v>
      </c>
      <c r="M684" t="n">
        <v>0</v>
      </c>
      <c r="N684" t="n">
        <v>0</v>
      </c>
      <c r="O684" t="n">
        <v>0</v>
      </c>
      <c r="P684" t="n">
        <v>0</v>
      </c>
      <c r="Q684" t="n">
        <v>0</v>
      </c>
      <c r="R684" s="2" t="inlineStr"/>
    </row>
    <row r="685" ht="15" customHeight="1">
      <c r="A685" t="inlineStr">
        <is>
          <t>A 49555-2023</t>
        </is>
      </c>
      <c r="B685" s="1" t="n">
        <v>45205</v>
      </c>
      <c r="C685" s="1" t="n">
        <v>46134</v>
      </c>
      <c r="D685" t="inlineStr">
        <is>
          <t>JÄMTLANDS LÄN</t>
        </is>
      </c>
      <c r="E685" t="inlineStr">
        <is>
          <t>BERG</t>
        </is>
      </c>
      <c r="G685" t="n">
        <v>0.6</v>
      </c>
      <c r="H685" t="n">
        <v>0</v>
      </c>
      <c r="I685" t="n">
        <v>0</v>
      </c>
      <c r="J685" t="n">
        <v>0</v>
      </c>
      <c r="K685" t="n">
        <v>0</v>
      </c>
      <c r="L685" t="n">
        <v>0</v>
      </c>
      <c r="M685" t="n">
        <v>0</v>
      </c>
      <c r="N685" t="n">
        <v>0</v>
      </c>
      <c r="O685" t="n">
        <v>0</v>
      </c>
      <c r="P685" t="n">
        <v>0</v>
      </c>
      <c r="Q685" t="n">
        <v>0</v>
      </c>
      <c r="R685" s="2" t="inlineStr"/>
    </row>
    <row r="686" ht="15" customHeight="1">
      <c r="A686" t="inlineStr">
        <is>
          <t>A 55237-2025</t>
        </is>
      </c>
      <c r="B686" s="1" t="n">
        <v>45968</v>
      </c>
      <c r="C686" s="1" t="n">
        <v>46134</v>
      </c>
      <c r="D686" t="inlineStr">
        <is>
          <t>JÄMTLANDS LÄN</t>
        </is>
      </c>
      <c r="E686" t="inlineStr">
        <is>
          <t>BERG</t>
        </is>
      </c>
      <c r="G686" t="n">
        <v>11.9</v>
      </c>
      <c r="H686" t="n">
        <v>0</v>
      </c>
      <c r="I686" t="n">
        <v>0</v>
      </c>
      <c r="J686" t="n">
        <v>0</v>
      </c>
      <c r="K686" t="n">
        <v>0</v>
      </c>
      <c r="L686" t="n">
        <v>0</v>
      </c>
      <c r="M686" t="n">
        <v>0</v>
      </c>
      <c r="N686" t="n">
        <v>0</v>
      </c>
      <c r="O686" t="n">
        <v>0</v>
      </c>
      <c r="P686" t="n">
        <v>0</v>
      </c>
      <c r="Q686" t="n">
        <v>0</v>
      </c>
      <c r="R686" s="2" t="inlineStr"/>
    </row>
    <row r="687" ht="15" customHeight="1">
      <c r="A687" t="inlineStr">
        <is>
          <t>A 1499-2025</t>
        </is>
      </c>
      <c r="B687" s="1" t="n">
        <v>45670.41112268518</v>
      </c>
      <c r="C687" s="1" t="n">
        <v>46134</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55472-2025</t>
        </is>
      </c>
      <c r="B688" s="1" t="n">
        <v>45971.54526620371</v>
      </c>
      <c r="C688" s="1" t="n">
        <v>46134</v>
      </c>
      <c r="D688" t="inlineStr">
        <is>
          <t>JÄMTLANDS LÄN</t>
        </is>
      </c>
      <c r="E688" t="inlineStr">
        <is>
          <t>BERG</t>
        </is>
      </c>
      <c r="G688" t="n">
        <v>3.2</v>
      </c>
      <c r="H688" t="n">
        <v>0</v>
      </c>
      <c r="I688" t="n">
        <v>0</v>
      </c>
      <c r="J688" t="n">
        <v>0</v>
      </c>
      <c r="K688" t="n">
        <v>0</v>
      </c>
      <c r="L688" t="n">
        <v>0</v>
      </c>
      <c r="M688" t="n">
        <v>0</v>
      </c>
      <c r="N688" t="n">
        <v>0</v>
      </c>
      <c r="O688" t="n">
        <v>0</v>
      </c>
      <c r="P688" t="n">
        <v>0</v>
      </c>
      <c r="Q688" t="n">
        <v>0</v>
      </c>
      <c r="R688" s="2" t="inlineStr"/>
    </row>
    <row r="689" ht="15" customHeight="1">
      <c r="A689" t="inlineStr">
        <is>
          <t>A 50169-2023</t>
        </is>
      </c>
      <c r="B689" s="1" t="n">
        <v>45208</v>
      </c>
      <c r="C689" s="1" t="n">
        <v>46134</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55497-2025</t>
        </is>
      </c>
      <c r="B690" s="1" t="n">
        <v>45971.58337962963</v>
      </c>
      <c r="C690" s="1" t="n">
        <v>46134</v>
      </c>
      <c r="D690" t="inlineStr">
        <is>
          <t>JÄMTLANDS LÄN</t>
        </is>
      </c>
      <c r="E690" t="inlineStr">
        <is>
          <t>BERG</t>
        </is>
      </c>
      <c r="G690" t="n">
        <v>15</v>
      </c>
      <c r="H690" t="n">
        <v>0</v>
      </c>
      <c r="I690" t="n">
        <v>0</v>
      </c>
      <c r="J690" t="n">
        <v>0</v>
      </c>
      <c r="K690" t="n">
        <v>0</v>
      </c>
      <c r="L690" t="n">
        <v>0</v>
      </c>
      <c r="M690" t="n">
        <v>0</v>
      </c>
      <c r="N690" t="n">
        <v>0</v>
      </c>
      <c r="O690" t="n">
        <v>0</v>
      </c>
      <c r="P690" t="n">
        <v>0</v>
      </c>
      <c r="Q690" t="n">
        <v>0</v>
      </c>
      <c r="R690" s="2" t="inlineStr"/>
    </row>
    <row r="691" ht="15" customHeight="1">
      <c r="A691" t="inlineStr">
        <is>
          <t>A 55575-2025</t>
        </is>
      </c>
      <c r="B691" s="1" t="n">
        <v>45971.66145833334</v>
      </c>
      <c r="C691" s="1" t="n">
        <v>46134</v>
      </c>
      <c r="D691" t="inlineStr">
        <is>
          <t>JÄMTLANDS LÄN</t>
        </is>
      </c>
      <c r="E691" t="inlineStr">
        <is>
          <t>BERG</t>
        </is>
      </c>
      <c r="G691" t="n">
        <v>3.5</v>
      </c>
      <c r="H691" t="n">
        <v>0</v>
      </c>
      <c r="I691" t="n">
        <v>0</v>
      </c>
      <c r="J691" t="n">
        <v>0</v>
      </c>
      <c r="K691" t="n">
        <v>0</v>
      </c>
      <c r="L691" t="n">
        <v>0</v>
      </c>
      <c r="M691" t="n">
        <v>0</v>
      </c>
      <c r="N691" t="n">
        <v>0</v>
      </c>
      <c r="O691" t="n">
        <v>0</v>
      </c>
      <c r="P691" t="n">
        <v>0</v>
      </c>
      <c r="Q691" t="n">
        <v>0</v>
      </c>
      <c r="R691" s="2" t="inlineStr"/>
    </row>
    <row r="692" ht="15" customHeight="1">
      <c r="A692" t="inlineStr">
        <is>
          <t>A 55553-2025</t>
        </is>
      </c>
      <c r="B692" s="1" t="n">
        <v>45971.64445601852</v>
      </c>
      <c r="C692" s="1" t="n">
        <v>46134</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24307-2023</t>
        </is>
      </c>
      <c r="B693" s="1" t="n">
        <v>45079.94229166667</v>
      </c>
      <c r="C693" s="1" t="n">
        <v>46134</v>
      </c>
      <c r="D693" t="inlineStr">
        <is>
          <t>JÄMTLANDS LÄN</t>
        </is>
      </c>
      <c r="E693" t="inlineStr">
        <is>
          <t>BERG</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12392-2025</t>
        </is>
      </c>
      <c r="B694" s="1" t="n">
        <v>45730.40104166666</v>
      </c>
      <c r="C694" s="1" t="n">
        <v>46134</v>
      </c>
      <c r="D694" t="inlineStr">
        <is>
          <t>JÄMTLANDS LÄN</t>
        </is>
      </c>
      <c r="E694" t="inlineStr">
        <is>
          <t>BERG</t>
        </is>
      </c>
      <c r="G694" t="n">
        <v>5.1</v>
      </c>
      <c r="H694" t="n">
        <v>0</v>
      </c>
      <c r="I694" t="n">
        <v>0</v>
      </c>
      <c r="J694" t="n">
        <v>0</v>
      </c>
      <c r="K694" t="n">
        <v>0</v>
      </c>
      <c r="L694" t="n">
        <v>0</v>
      </c>
      <c r="M694" t="n">
        <v>0</v>
      </c>
      <c r="N694" t="n">
        <v>0</v>
      </c>
      <c r="O694" t="n">
        <v>0</v>
      </c>
      <c r="P694" t="n">
        <v>0</v>
      </c>
      <c r="Q694" t="n">
        <v>0</v>
      </c>
      <c r="R694" s="2" t="inlineStr"/>
    </row>
    <row r="695" ht="15" customHeight="1">
      <c r="A695" t="inlineStr">
        <is>
          <t>A 37093-2024</t>
        </is>
      </c>
      <c r="B695" s="1" t="n">
        <v>45539.50018518518</v>
      </c>
      <c r="C695" s="1" t="n">
        <v>46134</v>
      </c>
      <c r="D695" t="inlineStr">
        <is>
          <t>JÄMTLANDS LÄN</t>
        </is>
      </c>
      <c r="E695" t="inlineStr">
        <is>
          <t>BERG</t>
        </is>
      </c>
      <c r="F695" t="inlineStr">
        <is>
          <t>Övriga Aktiebolag</t>
        </is>
      </c>
      <c r="G695" t="n">
        <v>15.4</v>
      </c>
      <c r="H695" t="n">
        <v>0</v>
      </c>
      <c r="I695" t="n">
        <v>0</v>
      </c>
      <c r="J695" t="n">
        <v>0</v>
      </c>
      <c r="K695" t="n">
        <v>0</v>
      </c>
      <c r="L695" t="n">
        <v>0</v>
      </c>
      <c r="M695" t="n">
        <v>0</v>
      </c>
      <c r="N695" t="n">
        <v>0</v>
      </c>
      <c r="O695" t="n">
        <v>0</v>
      </c>
      <c r="P695" t="n">
        <v>0</v>
      </c>
      <c r="Q695" t="n">
        <v>0</v>
      </c>
      <c r="R695" s="2" t="inlineStr"/>
    </row>
    <row r="696" ht="15" customHeight="1">
      <c r="A696" t="inlineStr">
        <is>
          <t>A 56199-2025</t>
        </is>
      </c>
      <c r="B696" s="1" t="n">
        <v>45974.45790509259</v>
      </c>
      <c r="C696" s="1" t="n">
        <v>46134</v>
      </c>
      <c r="D696" t="inlineStr">
        <is>
          <t>JÄMTLANDS LÄN</t>
        </is>
      </c>
      <c r="E696" t="inlineStr">
        <is>
          <t>BERG</t>
        </is>
      </c>
      <c r="G696" t="n">
        <v>0.8</v>
      </c>
      <c r="H696" t="n">
        <v>0</v>
      </c>
      <c r="I696" t="n">
        <v>0</v>
      </c>
      <c r="J696" t="n">
        <v>0</v>
      </c>
      <c r="K696" t="n">
        <v>0</v>
      </c>
      <c r="L696" t="n">
        <v>0</v>
      </c>
      <c r="M696" t="n">
        <v>0</v>
      </c>
      <c r="N696" t="n">
        <v>0</v>
      </c>
      <c r="O696" t="n">
        <v>0</v>
      </c>
      <c r="P696" t="n">
        <v>0</v>
      </c>
      <c r="Q696" t="n">
        <v>0</v>
      </c>
      <c r="R696" s="2" t="inlineStr"/>
    </row>
    <row r="697" ht="15" customHeight="1">
      <c r="A697" t="inlineStr">
        <is>
          <t>A 56234-2025</t>
        </is>
      </c>
      <c r="B697" s="1" t="n">
        <v>45974.53696759259</v>
      </c>
      <c r="C697" s="1" t="n">
        <v>46134</v>
      </c>
      <c r="D697" t="inlineStr">
        <is>
          <t>JÄMTLANDS LÄN</t>
        </is>
      </c>
      <c r="E697" t="inlineStr">
        <is>
          <t>BERG</t>
        </is>
      </c>
      <c r="G697" t="n">
        <v>11.7</v>
      </c>
      <c r="H697" t="n">
        <v>0</v>
      </c>
      <c r="I697" t="n">
        <v>0</v>
      </c>
      <c r="J697" t="n">
        <v>0</v>
      </c>
      <c r="K697" t="n">
        <v>0</v>
      </c>
      <c r="L697" t="n">
        <v>0</v>
      </c>
      <c r="M697" t="n">
        <v>0</v>
      </c>
      <c r="N697" t="n">
        <v>0</v>
      </c>
      <c r="O697" t="n">
        <v>0</v>
      </c>
      <c r="P697" t="n">
        <v>0</v>
      </c>
      <c r="Q697" t="n">
        <v>0</v>
      </c>
      <c r="R697" s="2" t="inlineStr"/>
    </row>
    <row r="698" ht="15" customHeight="1">
      <c r="A698" t="inlineStr">
        <is>
          <t>A 6885-2026</t>
        </is>
      </c>
      <c r="B698" s="1" t="n">
        <v>46057</v>
      </c>
      <c r="C698" s="1" t="n">
        <v>46134</v>
      </c>
      <c r="D698" t="inlineStr">
        <is>
          <t>JÄMTLANDS LÄN</t>
        </is>
      </c>
      <c r="E698" t="inlineStr">
        <is>
          <t>BERG</t>
        </is>
      </c>
      <c r="G698" t="n">
        <v>4.6</v>
      </c>
      <c r="H698" t="n">
        <v>0</v>
      </c>
      <c r="I698" t="n">
        <v>0</v>
      </c>
      <c r="J698" t="n">
        <v>0</v>
      </c>
      <c r="K698" t="n">
        <v>0</v>
      </c>
      <c r="L698" t="n">
        <v>0</v>
      </c>
      <c r="M698" t="n">
        <v>0</v>
      </c>
      <c r="N698" t="n">
        <v>0</v>
      </c>
      <c r="O698" t="n">
        <v>0</v>
      </c>
      <c r="P698" t="n">
        <v>0</v>
      </c>
      <c r="Q698" t="n">
        <v>0</v>
      </c>
      <c r="R698" s="2" t="inlineStr"/>
    </row>
    <row r="699" ht="15" customHeight="1">
      <c r="A699" t="inlineStr">
        <is>
          <t>A 27579-2024</t>
        </is>
      </c>
      <c r="B699" s="1" t="n">
        <v>45474.65244212963</v>
      </c>
      <c r="C699" s="1" t="n">
        <v>46134</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17748-2024</t>
        </is>
      </c>
      <c r="B700" s="1" t="n">
        <v>45418</v>
      </c>
      <c r="C700" s="1" t="n">
        <v>46134</v>
      </c>
      <c r="D700" t="inlineStr">
        <is>
          <t>JÄMTLANDS LÄN</t>
        </is>
      </c>
      <c r="E700" t="inlineStr">
        <is>
          <t>BERG</t>
        </is>
      </c>
      <c r="G700" t="n">
        <v>0.9</v>
      </c>
      <c r="H700" t="n">
        <v>0</v>
      </c>
      <c r="I700" t="n">
        <v>0</v>
      </c>
      <c r="J700" t="n">
        <v>0</v>
      </c>
      <c r="K700" t="n">
        <v>0</v>
      </c>
      <c r="L700" t="n">
        <v>0</v>
      </c>
      <c r="M700" t="n">
        <v>0</v>
      </c>
      <c r="N700" t="n">
        <v>0</v>
      </c>
      <c r="O700" t="n">
        <v>0</v>
      </c>
      <c r="P700" t="n">
        <v>0</v>
      </c>
      <c r="Q700" t="n">
        <v>0</v>
      </c>
      <c r="R700" s="2" t="inlineStr"/>
    </row>
    <row r="701" ht="15" customHeight="1">
      <c r="A701" t="inlineStr">
        <is>
          <t>A 47626-2023</t>
        </is>
      </c>
      <c r="B701" s="1" t="n">
        <v>45203</v>
      </c>
      <c r="C701" s="1" t="n">
        <v>46134</v>
      </c>
      <c r="D701" t="inlineStr">
        <is>
          <t>JÄMTLANDS LÄN</t>
        </is>
      </c>
      <c r="E701" t="inlineStr">
        <is>
          <t>BERG</t>
        </is>
      </c>
      <c r="G701" t="n">
        <v>1.2</v>
      </c>
      <c r="H701" t="n">
        <v>0</v>
      </c>
      <c r="I701" t="n">
        <v>0</v>
      </c>
      <c r="J701" t="n">
        <v>0</v>
      </c>
      <c r="K701" t="n">
        <v>0</v>
      </c>
      <c r="L701" t="n">
        <v>0</v>
      </c>
      <c r="M701" t="n">
        <v>0</v>
      </c>
      <c r="N701" t="n">
        <v>0</v>
      </c>
      <c r="O701" t="n">
        <v>0</v>
      </c>
      <c r="P701" t="n">
        <v>0</v>
      </c>
      <c r="Q701" t="n">
        <v>0</v>
      </c>
      <c r="R701" s="2" t="inlineStr"/>
    </row>
    <row r="702" ht="15" customHeight="1">
      <c r="A702" t="inlineStr">
        <is>
          <t>A 14251-2026</t>
        </is>
      </c>
      <c r="B702" s="1" t="n">
        <v>46099.61524305555</v>
      </c>
      <c r="C702" s="1" t="n">
        <v>46134</v>
      </c>
      <c r="D702" t="inlineStr">
        <is>
          <t>JÄMTLANDS LÄN</t>
        </is>
      </c>
      <c r="E702" t="inlineStr">
        <is>
          <t>BERG</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56457-2025</t>
        </is>
      </c>
      <c r="B703" s="1" t="n">
        <v>45975.36277777778</v>
      </c>
      <c r="C703" s="1" t="n">
        <v>46134</v>
      </c>
      <c r="D703" t="inlineStr">
        <is>
          <t>JÄMTLANDS LÄN</t>
        </is>
      </c>
      <c r="E703" t="inlineStr">
        <is>
          <t>BERG</t>
        </is>
      </c>
      <c r="G703" t="n">
        <v>0.8</v>
      </c>
      <c r="H703" t="n">
        <v>0</v>
      </c>
      <c r="I703" t="n">
        <v>0</v>
      </c>
      <c r="J703" t="n">
        <v>0</v>
      </c>
      <c r="K703" t="n">
        <v>0</v>
      </c>
      <c r="L703" t="n">
        <v>0</v>
      </c>
      <c r="M703" t="n">
        <v>0</v>
      </c>
      <c r="N703" t="n">
        <v>0</v>
      </c>
      <c r="O703" t="n">
        <v>0</v>
      </c>
      <c r="P703" t="n">
        <v>0</v>
      </c>
      <c r="Q703" t="n">
        <v>0</v>
      </c>
      <c r="R703" s="2" t="inlineStr"/>
    </row>
    <row r="704" ht="15" customHeight="1">
      <c r="A704" t="inlineStr">
        <is>
          <t>A 19258-2025</t>
        </is>
      </c>
      <c r="B704" s="1" t="n">
        <v>45769.49987268518</v>
      </c>
      <c r="C704" s="1" t="n">
        <v>46134</v>
      </c>
      <c r="D704" t="inlineStr">
        <is>
          <t>JÄMTLANDS LÄN</t>
        </is>
      </c>
      <c r="E704" t="inlineStr">
        <is>
          <t>BERG</t>
        </is>
      </c>
      <c r="G704" t="n">
        <v>10.9</v>
      </c>
      <c r="H704" t="n">
        <v>0</v>
      </c>
      <c r="I704" t="n">
        <v>0</v>
      </c>
      <c r="J704" t="n">
        <v>0</v>
      </c>
      <c r="K704" t="n">
        <v>0</v>
      </c>
      <c r="L704" t="n">
        <v>0</v>
      </c>
      <c r="M704" t="n">
        <v>0</v>
      </c>
      <c r="N704" t="n">
        <v>0</v>
      </c>
      <c r="O704" t="n">
        <v>0</v>
      </c>
      <c r="P704" t="n">
        <v>0</v>
      </c>
      <c r="Q704" t="n">
        <v>0</v>
      </c>
      <c r="R704" s="2" t="inlineStr"/>
    </row>
    <row r="705" ht="15" customHeight="1">
      <c r="A705" t="inlineStr">
        <is>
          <t>A 9252-2025</t>
        </is>
      </c>
      <c r="B705" s="1" t="n">
        <v>45714.59415509259</v>
      </c>
      <c r="C705" s="1" t="n">
        <v>46134</v>
      </c>
      <c r="D705" t="inlineStr">
        <is>
          <t>JÄMTLANDS LÄN</t>
        </is>
      </c>
      <c r="E705" t="inlineStr">
        <is>
          <t>BERG</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10974-2025</t>
        </is>
      </c>
      <c r="B706" s="1" t="n">
        <v>45723.38790509259</v>
      </c>
      <c r="C706" s="1" t="n">
        <v>46134</v>
      </c>
      <c r="D706" t="inlineStr">
        <is>
          <t>JÄMTLANDS LÄN</t>
        </is>
      </c>
      <c r="E706" t="inlineStr">
        <is>
          <t>BERG</t>
        </is>
      </c>
      <c r="G706" t="n">
        <v>6.9</v>
      </c>
      <c r="H706" t="n">
        <v>0</v>
      </c>
      <c r="I706" t="n">
        <v>0</v>
      </c>
      <c r="J706" t="n">
        <v>0</v>
      </c>
      <c r="K706" t="n">
        <v>0</v>
      </c>
      <c r="L706" t="n">
        <v>0</v>
      </c>
      <c r="M706" t="n">
        <v>0</v>
      </c>
      <c r="N706" t="n">
        <v>0</v>
      </c>
      <c r="O706" t="n">
        <v>0</v>
      </c>
      <c r="P706" t="n">
        <v>0</v>
      </c>
      <c r="Q706" t="n">
        <v>0</v>
      </c>
      <c r="R706" s="2" t="inlineStr"/>
    </row>
    <row r="707" ht="15" customHeight="1">
      <c r="A707" t="inlineStr">
        <is>
          <t>A 57192-2025</t>
        </is>
      </c>
      <c r="B707" s="1" t="n">
        <v>45979.57696759259</v>
      </c>
      <c r="C707" s="1" t="n">
        <v>46134</v>
      </c>
      <c r="D707" t="inlineStr">
        <is>
          <t>JÄMTLANDS LÄN</t>
        </is>
      </c>
      <c r="E707" t="inlineStr">
        <is>
          <t>BERG</t>
        </is>
      </c>
      <c r="G707" t="n">
        <v>0.8</v>
      </c>
      <c r="H707" t="n">
        <v>0</v>
      </c>
      <c r="I707" t="n">
        <v>0</v>
      </c>
      <c r="J707" t="n">
        <v>0</v>
      </c>
      <c r="K707" t="n">
        <v>0</v>
      </c>
      <c r="L707" t="n">
        <v>0</v>
      </c>
      <c r="M707" t="n">
        <v>0</v>
      </c>
      <c r="N707" t="n">
        <v>0</v>
      </c>
      <c r="O707" t="n">
        <v>0</v>
      </c>
      <c r="P707" t="n">
        <v>0</v>
      </c>
      <c r="Q707" t="n">
        <v>0</v>
      </c>
      <c r="R707" s="2" t="inlineStr"/>
    </row>
    <row r="708" ht="15" customHeight="1">
      <c r="A708" t="inlineStr">
        <is>
          <t>A 57503-2025</t>
        </is>
      </c>
      <c r="B708" s="1" t="n">
        <v>45980.59431712963</v>
      </c>
      <c r="C708" s="1" t="n">
        <v>46134</v>
      </c>
      <c r="D708" t="inlineStr">
        <is>
          <t>JÄMTLANDS LÄN</t>
        </is>
      </c>
      <c r="E708" t="inlineStr">
        <is>
          <t>BERG</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57046-2025</t>
        </is>
      </c>
      <c r="B709" s="1" t="n">
        <v>45979.34672453703</v>
      </c>
      <c r="C709" s="1" t="n">
        <v>46134</v>
      </c>
      <c r="D709" t="inlineStr">
        <is>
          <t>JÄMTLANDS LÄN</t>
        </is>
      </c>
      <c r="E709" t="inlineStr">
        <is>
          <t>BERG</t>
        </is>
      </c>
      <c r="F709" t="inlineStr">
        <is>
          <t>SCA</t>
        </is>
      </c>
      <c r="G709" t="n">
        <v>10.8</v>
      </c>
      <c r="H709" t="n">
        <v>0</v>
      </c>
      <c r="I709" t="n">
        <v>0</v>
      </c>
      <c r="J709" t="n">
        <v>0</v>
      </c>
      <c r="K709" t="n">
        <v>0</v>
      </c>
      <c r="L709" t="n">
        <v>0</v>
      </c>
      <c r="M709" t="n">
        <v>0</v>
      </c>
      <c r="N709" t="n">
        <v>0</v>
      </c>
      <c r="O709" t="n">
        <v>0</v>
      </c>
      <c r="P709" t="n">
        <v>0</v>
      </c>
      <c r="Q709" t="n">
        <v>0</v>
      </c>
      <c r="R709" s="2" t="inlineStr"/>
    </row>
    <row r="710" ht="15" customHeight="1">
      <c r="A710" t="inlineStr">
        <is>
          <t>A 57039-2025</t>
        </is>
      </c>
      <c r="B710" s="1" t="n">
        <v>45979.34543981482</v>
      </c>
      <c r="C710" s="1" t="n">
        <v>46134</v>
      </c>
      <c r="D710" t="inlineStr">
        <is>
          <t>JÄMTLANDS LÄN</t>
        </is>
      </c>
      <c r="E710" t="inlineStr">
        <is>
          <t>BERG</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6872-2026</t>
        </is>
      </c>
      <c r="B711" s="1" t="n">
        <v>46057</v>
      </c>
      <c r="C711" s="1" t="n">
        <v>46134</v>
      </c>
      <c r="D711" t="inlineStr">
        <is>
          <t>JÄMTLANDS LÄN</t>
        </is>
      </c>
      <c r="E711" t="inlineStr">
        <is>
          <t>BERG</t>
        </is>
      </c>
      <c r="G711" t="n">
        <v>42.2</v>
      </c>
      <c r="H711" t="n">
        <v>0</v>
      </c>
      <c r="I711" t="n">
        <v>0</v>
      </c>
      <c r="J711" t="n">
        <v>0</v>
      </c>
      <c r="K711" t="n">
        <v>0</v>
      </c>
      <c r="L711" t="n">
        <v>0</v>
      </c>
      <c r="M711" t="n">
        <v>0</v>
      </c>
      <c r="N711" t="n">
        <v>0</v>
      </c>
      <c r="O711" t="n">
        <v>0</v>
      </c>
      <c r="P711" t="n">
        <v>0</v>
      </c>
      <c r="Q711" t="n">
        <v>0</v>
      </c>
      <c r="R711" s="2" t="inlineStr"/>
    </row>
    <row r="712" ht="15" customHeight="1">
      <c r="A712" t="inlineStr">
        <is>
          <t>A 41069-2022</t>
        </is>
      </c>
      <c r="B712" s="1" t="n">
        <v>44825.60015046296</v>
      </c>
      <c r="C712" s="1" t="n">
        <v>46134</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57602-2025</t>
        </is>
      </c>
      <c r="B713" s="1" t="n">
        <v>45981.31667824074</v>
      </c>
      <c r="C713" s="1" t="n">
        <v>46134</v>
      </c>
      <c r="D713" t="inlineStr">
        <is>
          <t>JÄMTLANDS LÄN</t>
        </is>
      </c>
      <c r="E713" t="inlineStr">
        <is>
          <t>BERG</t>
        </is>
      </c>
      <c r="G713" t="n">
        <v>2.7</v>
      </c>
      <c r="H713" t="n">
        <v>0</v>
      </c>
      <c r="I713" t="n">
        <v>0</v>
      </c>
      <c r="J713" t="n">
        <v>0</v>
      </c>
      <c r="K713" t="n">
        <v>0</v>
      </c>
      <c r="L713" t="n">
        <v>0</v>
      </c>
      <c r="M713" t="n">
        <v>0</v>
      </c>
      <c r="N713" t="n">
        <v>0</v>
      </c>
      <c r="O713" t="n">
        <v>0</v>
      </c>
      <c r="P713" t="n">
        <v>0</v>
      </c>
      <c r="Q713" t="n">
        <v>0</v>
      </c>
      <c r="R713" s="2" t="inlineStr"/>
    </row>
    <row r="714" ht="15" customHeight="1">
      <c r="A714" t="inlineStr">
        <is>
          <t>A 57849-2025</t>
        </is>
      </c>
      <c r="B714" s="1" t="n">
        <v>45981.63472222222</v>
      </c>
      <c r="C714" s="1" t="n">
        <v>46134</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57763-2025</t>
        </is>
      </c>
      <c r="B715" s="1" t="n">
        <v>45981.55693287037</v>
      </c>
      <c r="C715" s="1" t="n">
        <v>46134</v>
      </c>
      <c r="D715" t="inlineStr">
        <is>
          <t>JÄMTLANDS LÄN</t>
        </is>
      </c>
      <c r="E715" t="inlineStr">
        <is>
          <t>BERG</t>
        </is>
      </c>
      <c r="F715" t="inlineStr">
        <is>
          <t>Övriga Aktiebolag</t>
        </is>
      </c>
      <c r="G715" t="n">
        <v>13.1</v>
      </c>
      <c r="H715" t="n">
        <v>0</v>
      </c>
      <c r="I715" t="n">
        <v>0</v>
      </c>
      <c r="J715" t="n">
        <v>0</v>
      </c>
      <c r="K715" t="n">
        <v>0</v>
      </c>
      <c r="L715" t="n">
        <v>0</v>
      </c>
      <c r="M715" t="n">
        <v>0</v>
      </c>
      <c r="N715" t="n">
        <v>0</v>
      </c>
      <c r="O715" t="n">
        <v>0</v>
      </c>
      <c r="P715" t="n">
        <v>0</v>
      </c>
      <c r="Q715" t="n">
        <v>0</v>
      </c>
      <c r="R715" s="2" t="inlineStr"/>
    </row>
    <row r="716" ht="15" customHeight="1">
      <c r="A716" t="inlineStr">
        <is>
          <t>A 57861-2025</t>
        </is>
      </c>
      <c r="B716" s="1" t="n">
        <v>45981.64236111111</v>
      </c>
      <c r="C716" s="1" t="n">
        <v>46134</v>
      </c>
      <c r="D716" t="inlineStr">
        <is>
          <t>JÄMTLANDS LÄN</t>
        </is>
      </c>
      <c r="E716" t="inlineStr">
        <is>
          <t>BERG</t>
        </is>
      </c>
      <c r="G716" t="n">
        <v>1.3</v>
      </c>
      <c r="H716" t="n">
        <v>0</v>
      </c>
      <c r="I716" t="n">
        <v>0</v>
      </c>
      <c r="J716" t="n">
        <v>0</v>
      </c>
      <c r="K716" t="n">
        <v>0</v>
      </c>
      <c r="L716" t="n">
        <v>0</v>
      </c>
      <c r="M716" t="n">
        <v>0</v>
      </c>
      <c r="N716" t="n">
        <v>0</v>
      </c>
      <c r="O716" t="n">
        <v>0</v>
      </c>
      <c r="P716" t="n">
        <v>0</v>
      </c>
      <c r="Q716" t="n">
        <v>0</v>
      </c>
      <c r="R716" s="2" t="inlineStr"/>
    </row>
    <row r="717" ht="15" customHeight="1">
      <c r="A717" t="inlineStr">
        <is>
          <t>A 58438-2025</t>
        </is>
      </c>
      <c r="B717" s="1" t="n">
        <v>45985.61513888889</v>
      </c>
      <c r="C717" s="1" t="n">
        <v>46134</v>
      </c>
      <c r="D717" t="inlineStr">
        <is>
          <t>JÄMTLANDS LÄN</t>
        </is>
      </c>
      <c r="E717" t="inlineStr">
        <is>
          <t>BERG</t>
        </is>
      </c>
      <c r="G717" t="n">
        <v>5.1</v>
      </c>
      <c r="H717" t="n">
        <v>0</v>
      </c>
      <c r="I717" t="n">
        <v>0</v>
      </c>
      <c r="J717" t="n">
        <v>0</v>
      </c>
      <c r="K717" t="n">
        <v>0</v>
      </c>
      <c r="L717" t="n">
        <v>0</v>
      </c>
      <c r="M717" t="n">
        <v>0</v>
      </c>
      <c r="N717" t="n">
        <v>0</v>
      </c>
      <c r="O717" t="n">
        <v>0</v>
      </c>
      <c r="P717" t="n">
        <v>0</v>
      </c>
      <c r="Q717" t="n">
        <v>0</v>
      </c>
      <c r="R717" s="2" t="inlineStr"/>
    </row>
    <row r="718" ht="15" customHeight="1">
      <c r="A718" t="inlineStr">
        <is>
          <t>A 58413-2025</t>
        </is>
      </c>
      <c r="B718" s="1" t="n">
        <v>45985.57662037037</v>
      </c>
      <c r="C718" s="1" t="n">
        <v>46134</v>
      </c>
      <c r="D718" t="inlineStr">
        <is>
          <t>JÄMTLANDS LÄN</t>
        </is>
      </c>
      <c r="E718" t="inlineStr">
        <is>
          <t>BERG</t>
        </is>
      </c>
      <c r="G718" t="n">
        <v>4.2</v>
      </c>
      <c r="H718" t="n">
        <v>0</v>
      </c>
      <c r="I718" t="n">
        <v>0</v>
      </c>
      <c r="J718" t="n">
        <v>0</v>
      </c>
      <c r="K718" t="n">
        <v>0</v>
      </c>
      <c r="L718" t="n">
        <v>0</v>
      </c>
      <c r="M718" t="n">
        <v>0</v>
      </c>
      <c r="N718" t="n">
        <v>0</v>
      </c>
      <c r="O718" t="n">
        <v>0</v>
      </c>
      <c r="P718" t="n">
        <v>0</v>
      </c>
      <c r="Q718" t="n">
        <v>0</v>
      </c>
      <c r="R718" s="2" t="inlineStr"/>
    </row>
    <row r="719" ht="15" customHeight="1">
      <c r="A719" t="inlineStr">
        <is>
          <t>A 58581-2025</t>
        </is>
      </c>
      <c r="B719" s="1" t="n">
        <v>45986.38626157407</v>
      </c>
      <c r="C719" s="1" t="n">
        <v>46134</v>
      </c>
      <c r="D719" t="inlineStr">
        <is>
          <t>JÄMTLANDS LÄN</t>
        </is>
      </c>
      <c r="E719" t="inlineStr">
        <is>
          <t>BERG</t>
        </is>
      </c>
      <c r="G719" t="n">
        <v>6.9</v>
      </c>
      <c r="H719" t="n">
        <v>0</v>
      </c>
      <c r="I719" t="n">
        <v>0</v>
      </c>
      <c r="J719" t="n">
        <v>0</v>
      </c>
      <c r="K719" t="n">
        <v>0</v>
      </c>
      <c r="L719" t="n">
        <v>0</v>
      </c>
      <c r="M719" t="n">
        <v>0</v>
      </c>
      <c r="N719" t="n">
        <v>0</v>
      </c>
      <c r="O719" t="n">
        <v>0</v>
      </c>
      <c r="P719" t="n">
        <v>0</v>
      </c>
      <c r="Q719" t="n">
        <v>0</v>
      </c>
      <c r="R719" s="2" t="inlineStr"/>
    </row>
    <row r="720" ht="15" customHeight="1">
      <c r="A720" t="inlineStr">
        <is>
          <t>A 51951-2021</t>
        </is>
      </c>
      <c r="B720" s="1" t="n">
        <v>44462</v>
      </c>
      <c r="C720" s="1" t="n">
        <v>46134</v>
      </c>
      <c r="D720" t="inlineStr">
        <is>
          <t>JÄMTLANDS LÄN</t>
        </is>
      </c>
      <c r="E720" t="inlineStr">
        <is>
          <t>BERG</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18261-2022</t>
        </is>
      </c>
      <c r="B721" s="1" t="n">
        <v>44685.45633101852</v>
      </c>
      <c r="C721" s="1" t="n">
        <v>46134</v>
      </c>
      <c r="D721" t="inlineStr">
        <is>
          <t>JÄMTLANDS LÄN</t>
        </is>
      </c>
      <c r="E721" t="inlineStr">
        <is>
          <t>BERG</t>
        </is>
      </c>
      <c r="G721" t="n">
        <v>3</v>
      </c>
      <c r="H721" t="n">
        <v>0</v>
      </c>
      <c r="I721" t="n">
        <v>0</v>
      </c>
      <c r="J721" t="n">
        <v>0</v>
      </c>
      <c r="K721" t="n">
        <v>0</v>
      </c>
      <c r="L721" t="n">
        <v>0</v>
      </c>
      <c r="M721" t="n">
        <v>0</v>
      </c>
      <c r="N721" t="n">
        <v>0</v>
      </c>
      <c r="O721" t="n">
        <v>0</v>
      </c>
      <c r="P721" t="n">
        <v>0</v>
      </c>
      <c r="Q721" t="n">
        <v>0</v>
      </c>
      <c r="R721" s="2" t="inlineStr"/>
    </row>
    <row r="722" ht="15" customHeight="1">
      <c r="A722" t="inlineStr">
        <is>
          <t>A 58436-2025</t>
        </is>
      </c>
      <c r="B722" s="1" t="n">
        <v>45985.61510416667</v>
      </c>
      <c r="C722" s="1" t="n">
        <v>46134</v>
      </c>
      <c r="D722" t="inlineStr">
        <is>
          <t>JÄMTLANDS LÄN</t>
        </is>
      </c>
      <c r="E722" t="inlineStr">
        <is>
          <t>BERG</t>
        </is>
      </c>
      <c r="G722" t="n">
        <v>1.7</v>
      </c>
      <c r="H722" t="n">
        <v>0</v>
      </c>
      <c r="I722" t="n">
        <v>0</v>
      </c>
      <c r="J722" t="n">
        <v>0</v>
      </c>
      <c r="K722" t="n">
        <v>0</v>
      </c>
      <c r="L722" t="n">
        <v>0</v>
      </c>
      <c r="M722" t="n">
        <v>0</v>
      </c>
      <c r="N722" t="n">
        <v>0</v>
      </c>
      <c r="O722" t="n">
        <v>0</v>
      </c>
      <c r="P722" t="n">
        <v>0</v>
      </c>
      <c r="Q722" t="n">
        <v>0</v>
      </c>
      <c r="R722" s="2" t="inlineStr"/>
    </row>
    <row r="723" ht="15" customHeight="1">
      <c r="A723" t="inlineStr">
        <is>
          <t>A 58437-2025</t>
        </is>
      </c>
      <c r="B723" s="1" t="n">
        <v>45985.61512731481</v>
      </c>
      <c r="C723" s="1" t="n">
        <v>46134</v>
      </c>
      <c r="D723" t="inlineStr">
        <is>
          <t>JÄMTLANDS LÄN</t>
        </is>
      </c>
      <c r="E723" t="inlineStr">
        <is>
          <t>BERG</t>
        </is>
      </c>
      <c r="G723" t="n">
        <v>1.6</v>
      </c>
      <c r="H723" t="n">
        <v>0</v>
      </c>
      <c r="I723" t="n">
        <v>0</v>
      </c>
      <c r="J723" t="n">
        <v>0</v>
      </c>
      <c r="K723" t="n">
        <v>0</v>
      </c>
      <c r="L723" t="n">
        <v>0</v>
      </c>
      <c r="M723" t="n">
        <v>0</v>
      </c>
      <c r="N723" t="n">
        <v>0</v>
      </c>
      <c r="O723" t="n">
        <v>0</v>
      </c>
      <c r="P723" t="n">
        <v>0</v>
      </c>
      <c r="Q723" t="n">
        <v>0</v>
      </c>
      <c r="R723" s="2" t="inlineStr"/>
    </row>
    <row r="724" ht="15" customHeight="1">
      <c r="A724" t="inlineStr">
        <is>
          <t>A 16022-2025</t>
        </is>
      </c>
      <c r="B724" s="1" t="n">
        <v>45749.60973379629</v>
      </c>
      <c r="C724" s="1" t="n">
        <v>46134</v>
      </c>
      <c r="D724" t="inlineStr">
        <is>
          <t>JÄMTLANDS LÄN</t>
        </is>
      </c>
      <c r="E724" t="inlineStr">
        <is>
          <t>BERG</t>
        </is>
      </c>
      <c r="G724" t="n">
        <v>2</v>
      </c>
      <c r="H724" t="n">
        <v>0</v>
      </c>
      <c r="I724" t="n">
        <v>0</v>
      </c>
      <c r="J724" t="n">
        <v>0</v>
      </c>
      <c r="K724" t="n">
        <v>0</v>
      </c>
      <c r="L724" t="n">
        <v>0</v>
      </c>
      <c r="M724" t="n">
        <v>0</v>
      </c>
      <c r="N724" t="n">
        <v>0</v>
      </c>
      <c r="O724" t="n">
        <v>0</v>
      </c>
      <c r="P724" t="n">
        <v>0</v>
      </c>
      <c r="Q724" t="n">
        <v>0</v>
      </c>
      <c r="R724" s="2" t="inlineStr"/>
    </row>
    <row r="725" ht="15" customHeight="1">
      <c r="A725" t="inlineStr">
        <is>
          <t>A 58708-2025</t>
        </is>
      </c>
      <c r="B725" s="1" t="n">
        <v>45986.60412037037</v>
      </c>
      <c r="C725" s="1" t="n">
        <v>46134</v>
      </c>
      <c r="D725" t="inlineStr">
        <is>
          <t>JÄMTLANDS LÄN</t>
        </is>
      </c>
      <c r="E725" t="inlineStr">
        <is>
          <t>BERG</t>
        </is>
      </c>
      <c r="G725" t="n">
        <v>2.5</v>
      </c>
      <c r="H725" t="n">
        <v>0</v>
      </c>
      <c r="I725" t="n">
        <v>0</v>
      </c>
      <c r="J725" t="n">
        <v>0</v>
      </c>
      <c r="K725" t="n">
        <v>0</v>
      </c>
      <c r="L725" t="n">
        <v>0</v>
      </c>
      <c r="M725" t="n">
        <v>0</v>
      </c>
      <c r="N725" t="n">
        <v>0</v>
      </c>
      <c r="O725" t="n">
        <v>0</v>
      </c>
      <c r="P725" t="n">
        <v>0</v>
      </c>
      <c r="Q725" t="n">
        <v>0</v>
      </c>
      <c r="R725" s="2" t="inlineStr"/>
    </row>
    <row r="726" ht="15" customHeight="1">
      <c r="A726" t="inlineStr">
        <is>
          <t>A 61837-2023</t>
        </is>
      </c>
      <c r="B726" s="1" t="n">
        <v>45264</v>
      </c>
      <c r="C726" s="1" t="n">
        <v>46134</v>
      </c>
      <c r="D726" t="inlineStr">
        <is>
          <t>JÄMTLANDS LÄN</t>
        </is>
      </c>
      <c r="E726" t="inlineStr">
        <is>
          <t>BERG</t>
        </is>
      </c>
      <c r="G726" t="n">
        <v>0.6</v>
      </c>
      <c r="H726" t="n">
        <v>0</v>
      </c>
      <c r="I726" t="n">
        <v>0</v>
      </c>
      <c r="J726" t="n">
        <v>0</v>
      </c>
      <c r="K726" t="n">
        <v>0</v>
      </c>
      <c r="L726" t="n">
        <v>0</v>
      </c>
      <c r="M726" t="n">
        <v>0</v>
      </c>
      <c r="N726" t="n">
        <v>0</v>
      </c>
      <c r="O726" t="n">
        <v>0</v>
      </c>
      <c r="P726" t="n">
        <v>0</v>
      </c>
      <c r="Q726" t="n">
        <v>0</v>
      </c>
      <c r="R726" s="2" t="inlineStr"/>
    </row>
    <row r="727" ht="15" customHeight="1">
      <c r="A727" t="inlineStr">
        <is>
          <t>A 58470-2025</t>
        </is>
      </c>
      <c r="B727" s="1" t="n">
        <v>45985.63704861111</v>
      </c>
      <c r="C727" s="1" t="n">
        <v>46134</v>
      </c>
      <c r="D727" t="inlineStr">
        <is>
          <t>JÄMTLANDS LÄN</t>
        </is>
      </c>
      <c r="E727" t="inlineStr">
        <is>
          <t>BERG</t>
        </is>
      </c>
      <c r="G727" t="n">
        <v>3.6</v>
      </c>
      <c r="H727" t="n">
        <v>0</v>
      </c>
      <c r="I727" t="n">
        <v>0</v>
      </c>
      <c r="J727" t="n">
        <v>0</v>
      </c>
      <c r="K727" t="n">
        <v>0</v>
      </c>
      <c r="L727" t="n">
        <v>0</v>
      </c>
      <c r="M727" t="n">
        <v>0</v>
      </c>
      <c r="N727" t="n">
        <v>0</v>
      </c>
      <c r="O727" t="n">
        <v>0</v>
      </c>
      <c r="P727" t="n">
        <v>0</v>
      </c>
      <c r="Q727" t="n">
        <v>0</v>
      </c>
      <c r="R727" s="2" t="inlineStr"/>
    </row>
    <row r="728" ht="15" customHeight="1">
      <c r="A728" t="inlineStr">
        <is>
          <t>A 2270-2026</t>
        </is>
      </c>
      <c r="B728" s="1" t="n">
        <v>46029</v>
      </c>
      <c r="C728" s="1" t="n">
        <v>46134</v>
      </c>
      <c r="D728" t="inlineStr">
        <is>
          <t>JÄMTLANDS LÄN</t>
        </is>
      </c>
      <c r="E728" t="inlineStr">
        <is>
          <t>BERG</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14901-2026</t>
        </is>
      </c>
      <c r="B729" s="1" t="n">
        <v>46104.45708333333</v>
      </c>
      <c r="C729" s="1" t="n">
        <v>46134</v>
      </c>
      <c r="D729" t="inlineStr">
        <is>
          <t>JÄMTLANDS LÄN</t>
        </is>
      </c>
      <c r="E729" t="inlineStr">
        <is>
          <t>BERG</t>
        </is>
      </c>
      <c r="G729" t="n">
        <v>1.4</v>
      </c>
      <c r="H729" t="n">
        <v>0</v>
      </c>
      <c r="I729" t="n">
        <v>0</v>
      </c>
      <c r="J729" t="n">
        <v>0</v>
      </c>
      <c r="K729" t="n">
        <v>0</v>
      </c>
      <c r="L729" t="n">
        <v>0</v>
      </c>
      <c r="M729" t="n">
        <v>0</v>
      </c>
      <c r="N729" t="n">
        <v>0</v>
      </c>
      <c r="O729" t="n">
        <v>0</v>
      </c>
      <c r="P729" t="n">
        <v>0</v>
      </c>
      <c r="Q729" t="n">
        <v>0</v>
      </c>
      <c r="R729" s="2" t="inlineStr"/>
    </row>
    <row r="730" ht="15" customHeight="1">
      <c r="A730" t="inlineStr">
        <is>
          <t>A 14914-2026</t>
        </is>
      </c>
      <c r="B730" s="1" t="n">
        <v>46104.46924768519</v>
      </c>
      <c r="C730" s="1" t="n">
        <v>46134</v>
      </c>
      <c r="D730" t="inlineStr">
        <is>
          <t>JÄMTLANDS LÄN</t>
        </is>
      </c>
      <c r="E730" t="inlineStr">
        <is>
          <t>BERG</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14917-2026</t>
        </is>
      </c>
      <c r="B731" s="1" t="n">
        <v>46104.47157407407</v>
      </c>
      <c r="C731" s="1" t="n">
        <v>46134</v>
      </c>
      <c r="D731" t="inlineStr">
        <is>
          <t>JÄMTLANDS LÄN</t>
        </is>
      </c>
      <c r="E731" t="inlineStr">
        <is>
          <t>BERG</t>
        </is>
      </c>
      <c r="G731" t="n">
        <v>2</v>
      </c>
      <c r="H731" t="n">
        <v>0</v>
      </c>
      <c r="I731" t="n">
        <v>0</v>
      </c>
      <c r="J731" t="n">
        <v>0</v>
      </c>
      <c r="K731" t="n">
        <v>0</v>
      </c>
      <c r="L731" t="n">
        <v>0</v>
      </c>
      <c r="M731" t="n">
        <v>0</v>
      </c>
      <c r="N731" t="n">
        <v>0</v>
      </c>
      <c r="O731" t="n">
        <v>0</v>
      </c>
      <c r="P731" t="n">
        <v>0</v>
      </c>
      <c r="Q731" t="n">
        <v>0</v>
      </c>
      <c r="R731" s="2" t="inlineStr"/>
    </row>
    <row r="732" ht="15" customHeight="1">
      <c r="A732" t="inlineStr">
        <is>
          <t>A 7515-2026</t>
        </is>
      </c>
      <c r="B732" s="1" t="n">
        <v>46059.59258101852</v>
      </c>
      <c r="C732" s="1" t="n">
        <v>46134</v>
      </c>
      <c r="D732" t="inlineStr">
        <is>
          <t>JÄMTLANDS LÄN</t>
        </is>
      </c>
      <c r="E732" t="inlineStr">
        <is>
          <t>BERG</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14860-2026</t>
        </is>
      </c>
      <c r="B733" s="1" t="n">
        <v>46104.43082175926</v>
      </c>
      <c r="C733" s="1" t="n">
        <v>46134</v>
      </c>
      <c r="D733" t="inlineStr">
        <is>
          <t>JÄMTLANDS LÄN</t>
        </is>
      </c>
      <c r="E733" t="inlineStr">
        <is>
          <t>BERG</t>
        </is>
      </c>
      <c r="G733" t="n">
        <v>2.3</v>
      </c>
      <c r="H733" t="n">
        <v>0</v>
      </c>
      <c r="I733" t="n">
        <v>0</v>
      </c>
      <c r="J733" t="n">
        <v>0</v>
      </c>
      <c r="K733" t="n">
        <v>0</v>
      </c>
      <c r="L733" t="n">
        <v>0</v>
      </c>
      <c r="M733" t="n">
        <v>0</v>
      </c>
      <c r="N733" t="n">
        <v>0</v>
      </c>
      <c r="O733" t="n">
        <v>0</v>
      </c>
      <c r="P733" t="n">
        <v>0</v>
      </c>
      <c r="Q733" t="n">
        <v>0</v>
      </c>
      <c r="R733" s="2" t="inlineStr"/>
    </row>
    <row r="734" ht="15" customHeight="1">
      <c r="A734" t="inlineStr">
        <is>
          <t>A 59010-2025</t>
        </is>
      </c>
      <c r="B734" s="1" t="n">
        <v>45987</v>
      </c>
      <c r="C734" s="1" t="n">
        <v>46134</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58861-2025</t>
        </is>
      </c>
      <c r="B735" s="1" t="n">
        <v>45987.42820601852</v>
      </c>
      <c r="C735" s="1" t="n">
        <v>46134</v>
      </c>
      <c r="D735" t="inlineStr">
        <is>
          <t>JÄMTLANDS LÄN</t>
        </is>
      </c>
      <c r="E735" t="inlineStr">
        <is>
          <t>BERG</t>
        </is>
      </c>
      <c r="G735" t="n">
        <v>29.3</v>
      </c>
      <c r="H735" t="n">
        <v>0</v>
      </c>
      <c r="I735" t="n">
        <v>0</v>
      </c>
      <c r="J735" t="n">
        <v>0</v>
      </c>
      <c r="K735" t="n">
        <v>0</v>
      </c>
      <c r="L735" t="n">
        <v>0</v>
      </c>
      <c r="M735" t="n">
        <v>0</v>
      </c>
      <c r="N735" t="n">
        <v>0</v>
      </c>
      <c r="O735" t="n">
        <v>0</v>
      </c>
      <c r="P735" t="n">
        <v>0</v>
      </c>
      <c r="Q735" t="n">
        <v>0</v>
      </c>
      <c r="R735" s="2" t="inlineStr"/>
    </row>
    <row r="736" ht="15" customHeight="1">
      <c r="A736" t="inlineStr">
        <is>
          <t>A 59267-2025</t>
        </is>
      </c>
      <c r="B736" s="1" t="n">
        <v>45988.66127314815</v>
      </c>
      <c r="C736" s="1" t="n">
        <v>46134</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58822-2025</t>
        </is>
      </c>
      <c r="B737" s="1" t="n">
        <v>45987.34506944445</v>
      </c>
      <c r="C737" s="1" t="n">
        <v>46134</v>
      </c>
      <c r="D737" t="inlineStr">
        <is>
          <t>JÄMTLANDS LÄN</t>
        </is>
      </c>
      <c r="E737" t="inlineStr">
        <is>
          <t>BERG</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59253-2025</t>
        </is>
      </c>
      <c r="B738" s="1" t="n">
        <v>45988.65121527778</v>
      </c>
      <c r="C738" s="1" t="n">
        <v>46134</v>
      </c>
      <c r="D738" t="inlineStr">
        <is>
          <t>JÄMTLANDS LÄN</t>
        </is>
      </c>
      <c r="E738" t="inlineStr">
        <is>
          <t>BERG</t>
        </is>
      </c>
      <c r="G738" t="n">
        <v>1.1</v>
      </c>
      <c r="H738" t="n">
        <v>0</v>
      </c>
      <c r="I738" t="n">
        <v>0</v>
      </c>
      <c r="J738" t="n">
        <v>0</v>
      </c>
      <c r="K738" t="n">
        <v>0</v>
      </c>
      <c r="L738" t="n">
        <v>0</v>
      </c>
      <c r="M738" t="n">
        <v>0</v>
      </c>
      <c r="N738" t="n">
        <v>0</v>
      </c>
      <c r="O738" t="n">
        <v>0</v>
      </c>
      <c r="P738" t="n">
        <v>0</v>
      </c>
      <c r="Q738" t="n">
        <v>0</v>
      </c>
      <c r="R738" s="2" t="inlineStr"/>
    </row>
    <row r="739" ht="15" customHeight="1">
      <c r="A739" t="inlineStr">
        <is>
          <t>A 59281-2025</t>
        </is>
      </c>
      <c r="B739" s="1" t="n">
        <v>45988.7234375</v>
      </c>
      <c r="C739" s="1" t="n">
        <v>46134</v>
      </c>
      <c r="D739" t="inlineStr">
        <is>
          <t>JÄMTLANDS LÄN</t>
        </is>
      </c>
      <c r="E739" t="inlineStr">
        <is>
          <t>BERG</t>
        </is>
      </c>
      <c r="G739" t="n">
        <v>16.7</v>
      </c>
      <c r="H739" t="n">
        <v>0</v>
      </c>
      <c r="I739" t="n">
        <v>0</v>
      </c>
      <c r="J739" t="n">
        <v>0</v>
      </c>
      <c r="K739" t="n">
        <v>0</v>
      </c>
      <c r="L739" t="n">
        <v>0</v>
      </c>
      <c r="M739" t="n">
        <v>0</v>
      </c>
      <c r="N739" t="n">
        <v>0</v>
      </c>
      <c r="O739" t="n">
        <v>0</v>
      </c>
      <c r="P739" t="n">
        <v>0</v>
      </c>
      <c r="Q739" t="n">
        <v>0</v>
      </c>
      <c r="R739" s="2" t="inlineStr"/>
    </row>
    <row r="740" ht="15" customHeight="1">
      <c r="A740" t="inlineStr">
        <is>
          <t>A 59210-2025</t>
        </is>
      </c>
      <c r="B740" s="1" t="n">
        <v>45988.61516203704</v>
      </c>
      <c r="C740" s="1" t="n">
        <v>46134</v>
      </c>
      <c r="D740" t="inlineStr">
        <is>
          <t>JÄMTLANDS LÄN</t>
        </is>
      </c>
      <c r="E740" t="inlineStr">
        <is>
          <t>BERG</t>
        </is>
      </c>
      <c r="G740" t="n">
        <v>2</v>
      </c>
      <c r="H740" t="n">
        <v>0</v>
      </c>
      <c r="I740" t="n">
        <v>0</v>
      </c>
      <c r="J740" t="n">
        <v>0</v>
      </c>
      <c r="K740" t="n">
        <v>0</v>
      </c>
      <c r="L740" t="n">
        <v>0</v>
      </c>
      <c r="M740" t="n">
        <v>0</v>
      </c>
      <c r="N740" t="n">
        <v>0</v>
      </c>
      <c r="O740" t="n">
        <v>0</v>
      </c>
      <c r="P740" t="n">
        <v>0</v>
      </c>
      <c r="Q740" t="n">
        <v>0</v>
      </c>
      <c r="R740" s="2" t="inlineStr"/>
    </row>
    <row r="741" ht="15" customHeight="1">
      <c r="A741" t="inlineStr">
        <is>
          <t>A 59424-2025</t>
        </is>
      </c>
      <c r="B741" s="1" t="n">
        <v>45989.53782407408</v>
      </c>
      <c r="C741" s="1" t="n">
        <v>46134</v>
      </c>
      <c r="D741" t="inlineStr">
        <is>
          <t>JÄMTLANDS LÄN</t>
        </is>
      </c>
      <c r="E741" t="inlineStr">
        <is>
          <t>BERG</t>
        </is>
      </c>
      <c r="G741" t="n">
        <v>3.9</v>
      </c>
      <c r="H741" t="n">
        <v>0</v>
      </c>
      <c r="I741" t="n">
        <v>0</v>
      </c>
      <c r="J741" t="n">
        <v>0</v>
      </c>
      <c r="K741" t="n">
        <v>0</v>
      </c>
      <c r="L741" t="n">
        <v>0</v>
      </c>
      <c r="M741" t="n">
        <v>0</v>
      </c>
      <c r="N741" t="n">
        <v>0</v>
      </c>
      <c r="O741" t="n">
        <v>0</v>
      </c>
      <c r="P741" t="n">
        <v>0</v>
      </c>
      <c r="Q741" t="n">
        <v>0</v>
      </c>
      <c r="R741" s="2" t="inlineStr"/>
    </row>
    <row r="742" ht="15" customHeight="1">
      <c r="A742" t="inlineStr">
        <is>
          <t>A 59841-2025</t>
        </is>
      </c>
      <c r="B742" s="1" t="n">
        <v>45992</v>
      </c>
      <c r="C742" s="1" t="n">
        <v>46134</v>
      </c>
      <c r="D742" t="inlineStr">
        <is>
          <t>JÄMTLANDS LÄN</t>
        </is>
      </c>
      <c r="E742" t="inlineStr">
        <is>
          <t>BERG</t>
        </is>
      </c>
      <c r="G742" t="n">
        <v>14.9</v>
      </c>
      <c r="H742" t="n">
        <v>0</v>
      </c>
      <c r="I742" t="n">
        <v>0</v>
      </c>
      <c r="J742" t="n">
        <v>0</v>
      </c>
      <c r="K742" t="n">
        <v>0</v>
      </c>
      <c r="L742" t="n">
        <v>0</v>
      </c>
      <c r="M742" t="n">
        <v>0</v>
      </c>
      <c r="N742" t="n">
        <v>0</v>
      </c>
      <c r="O742" t="n">
        <v>0</v>
      </c>
      <c r="P742" t="n">
        <v>0</v>
      </c>
      <c r="Q742" t="n">
        <v>0</v>
      </c>
      <c r="R742" s="2" t="inlineStr"/>
    </row>
    <row r="743" ht="15" customHeight="1">
      <c r="A743" t="inlineStr">
        <is>
          <t>A 59652-2025</t>
        </is>
      </c>
      <c r="B743" s="1" t="n">
        <v>45992</v>
      </c>
      <c r="C743" s="1" t="n">
        <v>46134</v>
      </c>
      <c r="D743" t="inlineStr">
        <is>
          <t>JÄMTLANDS LÄN</t>
        </is>
      </c>
      <c r="E743" t="inlineStr">
        <is>
          <t>BERG</t>
        </is>
      </c>
      <c r="G743" t="n">
        <v>4</v>
      </c>
      <c r="H743" t="n">
        <v>0</v>
      </c>
      <c r="I743" t="n">
        <v>0</v>
      </c>
      <c r="J743" t="n">
        <v>0</v>
      </c>
      <c r="K743" t="n">
        <v>0</v>
      </c>
      <c r="L743" t="n">
        <v>0</v>
      </c>
      <c r="M743" t="n">
        <v>0</v>
      </c>
      <c r="N743" t="n">
        <v>0</v>
      </c>
      <c r="O743" t="n">
        <v>0</v>
      </c>
      <c r="P743" t="n">
        <v>0</v>
      </c>
      <c r="Q743" t="n">
        <v>0</v>
      </c>
      <c r="R743" s="2" t="inlineStr"/>
    </row>
    <row r="744" ht="15" customHeight="1">
      <c r="A744" t="inlineStr">
        <is>
          <t>A 59404-2025</t>
        </is>
      </c>
      <c r="B744" s="1" t="n">
        <v>45989.48997685185</v>
      </c>
      <c r="C744" s="1" t="n">
        <v>46134</v>
      </c>
      <c r="D744" t="inlineStr">
        <is>
          <t>JÄMTLANDS LÄN</t>
        </is>
      </c>
      <c r="E744" t="inlineStr">
        <is>
          <t>BERG</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59447-2025</t>
        </is>
      </c>
      <c r="B745" s="1" t="n">
        <v>45989</v>
      </c>
      <c r="C745" s="1" t="n">
        <v>46134</v>
      </c>
      <c r="D745" t="inlineStr">
        <is>
          <t>JÄMTLANDS LÄN</t>
        </is>
      </c>
      <c r="E745" t="inlineStr">
        <is>
          <t>BERG</t>
        </is>
      </c>
      <c r="G745" t="n">
        <v>1.8</v>
      </c>
      <c r="H745" t="n">
        <v>0</v>
      </c>
      <c r="I745" t="n">
        <v>0</v>
      </c>
      <c r="J745" t="n">
        <v>0</v>
      </c>
      <c r="K745" t="n">
        <v>0</v>
      </c>
      <c r="L745" t="n">
        <v>0</v>
      </c>
      <c r="M745" t="n">
        <v>0</v>
      </c>
      <c r="N745" t="n">
        <v>0</v>
      </c>
      <c r="O745" t="n">
        <v>0</v>
      </c>
      <c r="P745" t="n">
        <v>0</v>
      </c>
      <c r="Q745" t="n">
        <v>0</v>
      </c>
      <c r="R745" s="2" t="inlineStr"/>
    </row>
    <row r="746" ht="15" customHeight="1">
      <c r="A746" t="inlineStr">
        <is>
          <t>A 7759-2026</t>
        </is>
      </c>
      <c r="B746" s="1" t="n">
        <v>46062.55266203704</v>
      </c>
      <c r="C746" s="1" t="n">
        <v>46134</v>
      </c>
      <c r="D746" t="inlineStr">
        <is>
          <t>JÄMTLANDS LÄN</t>
        </is>
      </c>
      <c r="E746" t="inlineStr">
        <is>
          <t>BERG</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59411-2025</t>
        </is>
      </c>
      <c r="B747" s="1" t="n">
        <v>45989.49638888889</v>
      </c>
      <c r="C747" s="1" t="n">
        <v>46134</v>
      </c>
      <c r="D747" t="inlineStr">
        <is>
          <t>JÄMTLANDS LÄN</t>
        </is>
      </c>
      <c r="E747" t="inlineStr">
        <is>
          <t>BERG</t>
        </is>
      </c>
      <c r="G747" t="n">
        <v>2.4</v>
      </c>
      <c r="H747" t="n">
        <v>0</v>
      </c>
      <c r="I747" t="n">
        <v>0</v>
      </c>
      <c r="J747" t="n">
        <v>0</v>
      </c>
      <c r="K747" t="n">
        <v>0</v>
      </c>
      <c r="L747" t="n">
        <v>0</v>
      </c>
      <c r="M747" t="n">
        <v>0</v>
      </c>
      <c r="N747" t="n">
        <v>0</v>
      </c>
      <c r="O747" t="n">
        <v>0</v>
      </c>
      <c r="P747" t="n">
        <v>0</v>
      </c>
      <c r="Q747" t="n">
        <v>0</v>
      </c>
      <c r="R747" s="2" t="inlineStr"/>
    </row>
    <row r="748" ht="15" customHeight="1">
      <c r="A748" t="inlineStr">
        <is>
          <t>A 59415-2025</t>
        </is>
      </c>
      <c r="B748" s="1" t="n">
        <v>45989.50196759259</v>
      </c>
      <c r="C748" s="1" t="n">
        <v>46134</v>
      </c>
      <c r="D748" t="inlineStr">
        <is>
          <t>JÄMTLANDS LÄN</t>
        </is>
      </c>
      <c r="E748" t="inlineStr">
        <is>
          <t>BERG</t>
        </is>
      </c>
      <c r="G748" t="n">
        <v>6.8</v>
      </c>
      <c r="H748" t="n">
        <v>0</v>
      </c>
      <c r="I748" t="n">
        <v>0</v>
      </c>
      <c r="J748" t="n">
        <v>0</v>
      </c>
      <c r="K748" t="n">
        <v>0</v>
      </c>
      <c r="L748" t="n">
        <v>0</v>
      </c>
      <c r="M748" t="n">
        <v>0</v>
      </c>
      <c r="N748" t="n">
        <v>0</v>
      </c>
      <c r="O748" t="n">
        <v>0</v>
      </c>
      <c r="P748" t="n">
        <v>0</v>
      </c>
      <c r="Q748" t="n">
        <v>0</v>
      </c>
      <c r="R748" s="2" t="inlineStr"/>
    </row>
    <row r="749" ht="15" customHeight="1">
      <c r="A749" t="inlineStr">
        <is>
          <t>A 60051-2025</t>
        </is>
      </c>
      <c r="B749" s="1" t="n">
        <v>45993.6353125</v>
      </c>
      <c r="C749" s="1" t="n">
        <v>46134</v>
      </c>
      <c r="D749" t="inlineStr">
        <is>
          <t>JÄMTLANDS LÄN</t>
        </is>
      </c>
      <c r="E749" t="inlineStr">
        <is>
          <t>BERG</t>
        </is>
      </c>
      <c r="G749" t="n">
        <v>1.4</v>
      </c>
      <c r="H749" t="n">
        <v>0</v>
      </c>
      <c r="I749" t="n">
        <v>0</v>
      </c>
      <c r="J749" t="n">
        <v>0</v>
      </c>
      <c r="K749" t="n">
        <v>0</v>
      </c>
      <c r="L749" t="n">
        <v>0</v>
      </c>
      <c r="M749" t="n">
        <v>0</v>
      </c>
      <c r="N749" t="n">
        <v>0</v>
      </c>
      <c r="O749" t="n">
        <v>0</v>
      </c>
      <c r="P749" t="n">
        <v>0</v>
      </c>
      <c r="Q749" t="n">
        <v>0</v>
      </c>
      <c r="R749" s="2" t="inlineStr"/>
    </row>
    <row r="750" ht="15" customHeight="1">
      <c r="A750" t="inlineStr">
        <is>
          <t>A 20899-2023</t>
        </is>
      </c>
      <c r="B750" s="1" t="n">
        <v>45060</v>
      </c>
      <c r="C750" s="1" t="n">
        <v>46134</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60163-2025</t>
        </is>
      </c>
      <c r="B751" s="1" t="n">
        <v>45994.43094907407</v>
      </c>
      <c r="C751" s="1" t="n">
        <v>46134</v>
      </c>
      <c r="D751" t="inlineStr">
        <is>
          <t>JÄMTLANDS LÄN</t>
        </is>
      </c>
      <c r="E751" t="inlineStr">
        <is>
          <t>BERG</t>
        </is>
      </c>
      <c r="F751" t="inlineStr">
        <is>
          <t>Övriga Aktiebolag</t>
        </is>
      </c>
      <c r="G751" t="n">
        <v>7</v>
      </c>
      <c r="H751" t="n">
        <v>0</v>
      </c>
      <c r="I751" t="n">
        <v>0</v>
      </c>
      <c r="J751" t="n">
        <v>0</v>
      </c>
      <c r="K751" t="n">
        <v>0</v>
      </c>
      <c r="L751" t="n">
        <v>0</v>
      </c>
      <c r="M751" t="n">
        <v>0</v>
      </c>
      <c r="N751" t="n">
        <v>0</v>
      </c>
      <c r="O751" t="n">
        <v>0</v>
      </c>
      <c r="P751" t="n">
        <v>0</v>
      </c>
      <c r="Q751" t="n">
        <v>0</v>
      </c>
      <c r="R751" s="2" t="inlineStr"/>
    </row>
    <row r="752" ht="15" customHeight="1">
      <c r="A752" t="inlineStr">
        <is>
          <t>A 8171-2026</t>
        </is>
      </c>
      <c r="B752" s="1" t="n">
        <v>46064.39402777778</v>
      </c>
      <c r="C752" s="1" t="n">
        <v>46134</v>
      </c>
      <c r="D752" t="inlineStr">
        <is>
          <t>JÄMTLANDS LÄN</t>
        </is>
      </c>
      <c r="E752" t="inlineStr">
        <is>
          <t>BERG</t>
        </is>
      </c>
      <c r="G752" t="n">
        <v>2.9</v>
      </c>
      <c r="H752" t="n">
        <v>0</v>
      </c>
      <c r="I752" t="n">
        <v>0</v>
      </c>
      <c r="J752" t="n">
        <v>0</v>
      </c>
      <c r="K752" t="n">
        <v>0</v>
      </c>
      <c r="L752" t="n">
        <v>0</v>
      </c>
      <c r="M752" t="n">
        <v>0</v>
      </c>
      <c r="N752" t="n">
        <v>0</v>
      </c>
      <c r="O752" t="n">
        <v>0</v>
      </c>
      <c r="P752" t="n">
        <v>0</v>
      </c>
      <c r="Q752" t="n">
        <v>0</v>
      </c>
      <c r="R752" s="2" t="inlineStr"/>
    </row>
    <row r="753" ht="15" customHeight="1">
      <c r="A753" t="inlineStr">
        <is>
          <t>A 60077-2025</t>
        </is>
      </c>
      <c r="B753" s="1" t="n">
        <v>45993.67987268518</v>
      </c>
      <c r="C753" s="1" t="n">
        <v>46134</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59890-2025</t>
        </is>
      </c>
      <c r="B754" s="1" t="n">
        <v>45993.33128472222</v>
      </c>
      <c r="C754" s="1" t="n">
        <v>46134</v>
      </c>
      <c r="D754" t="inlineStr">
        <is>
          <t>JÄMTLANDS LÄN</t>
        </is>
      </c>
      <c r="E754" t="inlineStr">
        <is>
          <t>BERG</t>
        </is>
      </c>
      <c r="G754" t="n">
        <v>4</v>
      </c>
      <c r="H754" t="n">
        <v>0</v>
      </c>
      <c r="I754" t="n">
        <v>0</v>
      </c>
      <c r="J754" t="n">
        <v>0</v>
      </c>
      <c r="K754" t="n">
        <v>0</v>
      </c>
      <c r="L754" t="n">
        <v>0</v>
      </c>
      <c r="M754" t="n">
        <v>0</v>
      </c>
      <c r="N754" t="n">
        <v>0</v>
      </c>
      <c r="O754" t="n">
        <v>0</v>
      </c>
      <c r="P754" t="n">
        <v>0</v>
      </c>
      <c r="Q754" t="n">
        <v>0</v>
      </c>
      <c r="R754" s="2" t="inlineStr"/>
    </row>
    <row r="755" ht="15" customHeight="1">
      <c r="A755" t="inlineStr">
        <is>
          <t>A 7744-2024</t>
        </is>
      </c>
      <c r="B755" s="1" t="n">
        <v>45349</v>
      </c>
      <c r="C755" s="1" t="n">
        <v>46134</v>
      </c>
      <c r="D755" t="inlineStr">
        <is>
          <t>JÄMTLANDS LÄN</t>
        </is>
      </c>
      <c r="E755" t="inlineStr">
        <is>
          <t>BERG</t>
        </is>
      </c>
      <c r="G755" t="n">
        <v>1.7</v>
      </c>
      <c r="H755" t="n">
        <v>0</v>
      </c>
      <c r="I755" t="n">
        <v>0</v>
      </c>
      <c r="J755" t="n">
        <v>0</v>
      </c>
      <c r="K755" t="n">
        <v>0</v>
      </c>
      <c r="L755" t="n">
        <v>0</v>
      </c>
      <c r="M755" t="n">
        <v>0</v>
      </c>
      <c r="N755" t="n">
        <v>0</v>
      </c>
      <c r="O755" t="n">
        <v>0</v>
      </c>
      <c r="P755" t="n">
        <v>0</v>
      </c>
      <c r="Q755" t="n">
        <v>0</v>
      </c>
      <c r="R755" s="2" t="inlineStr"/>
    </row>
    <row r="756" ht="15" customHeight="1">
      <c r="A756" t="inlineStr">
        <is>
          <t>A 21521-2024</t>
        </is>
      </c>
      <c r="B756" s="1" t="n">
        <v>45441.58313657407</v>
      </c>
      <c r="C756" s="1" t="n">
        <v>46134</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60463-2025</t>
        </is>
      </c>
      <c r="B757" s="1" t="n">
        <v>45995.55276620371</v>
      </c>
      <c r="C757" s="1" t="n">
        <v>46134</v>
      </c>
      <c r="D757" t="inlineStr">
        <is>
          <t>JÄMTLANDS LÄN</t>
        </is>
      </c>
      <c r="E757" t="inlineStr">
        <is>
          <t>BERG</t>
        </is>
      </c>
      <c r="G757" t="n">
        <v>4.3</v>
      </c>
      <c r="H757" t="n">
        <v>0</v>
      </c>
      <c r="I757" t="n">
        <v>0</v>
      </c>
      <c r="J757" t="n">
        <v>0</v>
      </c>
      <c r="K757" t="n">
        <v>0</v>
      </c>
      <c r="L757" t="n">
        <v>0</v>
      </c>
      <c r="M757" t="n">
        <v>0</v>
      </c>
      <c r="N757" t="n">
        <v>0</v>
      </c>
      <c r="O757" t="n">
        <v>0</v>
      </c>
      <c r="P757" t="n">
        <v>0</v>
      </c>
      <c r="Q757" t="n">
        <v>0</v>
      </c>
      <c r="R757" s="2" t="inlineStr"/>
    </row>
    <row r="758" ht="15" customHeight="1">
      <c r="A758" t="inlineStr">
        <is>
          <t>A 60632-2025</t>
        </is>
      </c>
      <c r="B758" s="1" t="n">
        <v>45996.42769675926</v>
      </c>
      <c r="C758" s="1" t="n">
        <v>46134</v>
      </c>
      <c r="D758" t="inlineStr">
        <is>
          <t>JÄMTLANDS LÄN</t>
        </is>
      </c>
      <c r="E758" t="inlineStr">
        <is>
          <t>BERG</t>
        </is>
      </c>
      <c r="F758" t="inlineStr">
        <is>
          <t>SCA</t>
        </is>
      </c>
      <c r="G758" t="n">
        <v>18.2</v>
      </c>
      <c r="H758" t="n">
        <v>0</v>
      </c>
      <c r="I758" t="n">
        <v>0</v>
      </c>
      <c r="J758" t="n">
        <v>0</v>
      </c>
      <c r="K758" t="n">
        <v>0</v>
      </c>
      <c r="L758" t="n">
        <v>0</v>
      </c>
      <c r="M758" t="n">
        <v>0</v>
      </c>
      <c r="N758" t="n">
        <v>0</v>
      </c>
      <c r="O758" t="n">
        <v>0</v>
      </c>
      <c r="P758" t="n">
        <v>0</v>
      </c>
      <c r="Q758" t="n">
        <v>0</v>
      </c>
      <c r="R758" s="2" t="inlineStr"/>
    </row>
    <row r="759" ht="15" customHeight="1">
      <c r="A759" t="inlineStr">
        <is>
          <t>A 60635-2025</t>
        </is>
      </c>
      <c r="B759" s="1" t="n">
        <v>45996.42826388889</v>
      </c>
      <c r="C759" s="1" t="n">
        <v>46134</v>
      </c>
      <c r="D759" t="inlineStr">
        <is>
          <t>JÄMTLANDS LÄN</t>
        </is>
      </c>
      <c r="E759" t="inlineStr">
        <is>
          <t>BERG</t>
        </is>
      </c>
      <c r="F759" t="inlineStr">
        <is>
          <t>SCA</t>
        </is>
      </c>
      <c r="G759" t="n">
        <v>7.4</v>
      </c>
      <c r="H759" t="n">
        <v>0</v>
      </c>
      <c r="I759" t="n">
        <v>0</v>
      </c>
      <c r="J759" t="n">
        <v>0</v>
      </c>
      <c r="K759" t="n">
        <v>0</v>
      </c>
      <c r="L759" t="n">
        <v>0</v>
      </c>
      <c r="M759" t="n">
        <v>0</v>
      </c>
      <c r="N759" t="n">
        <v>0</v>
      </c>
      <c r="O759" t="n">
        <v>0</v>
      </c>
      <c r="P759" t="n">
        <v>0</v>
      </c>
      <c r="Q759" t="n">
        <v>0</v>
      </c>
      <c r="R759" s="2" t="inlineStr"/>
    </row>
    <row r="760" ht="15" customHeight="1">
      <c r="A760" t="inlineStr">
        <is>
          <t>A 44110-2022</t>
        </is>
      </c>
      <c r="B760" s="1" t="n">
        <v>44837</v>
      </c>
      <c r="C760" s="1" t="n">
        <v>46134</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60634-2025</t>
        </is>
      </c>
      <c r="B761" s="1" t="n">
        <v>45996.42805555555</v>
      </c>
      <c r="C761" s="1" t="n">
        <v>46134</v>
      </c>
      <c r="D761" t="inlineStr">
        <is>
          <t>JÄMTLANDS LÄN</t>
        </is>
      </c>
      <c r="E761" t="inlineStr">
        <is>
          <t>BERG</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47168-2025</t>
        </is>
      </c>
      <c r="B762" s="1" t="n">
        <v>45929</v>
      </c>
      <c r="C762" s="1" t="n">
        <v>46134</v>
      </c>
      <c r="D762" t="inlineStr">
        <is>
          <t>JÄMTLANDS LÄN</t>
        </is>
      </c>
      <c r="E762" t="inlineStr">
        <is>
          <t>BERG</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14431-2025</t>
        </is>
      </c>
      <c r="B763" s="1" t="n">
        <v>45741</v>
      </c>
      <c r="C763" s="1" t="n">
        <v>46134</v>
      </c>
      <c r="D763" t="inlineStr">
        <is>
          <t>JÄMTLANDS LÄN</t>
        </is>
      </c>
      <c r="E763" t="inlineStr">
        <is>
          <t>BERG</t>
        </is>
      </c>
      <c r="G763" t="n">
        <v>1.7</v>
      </c>
      <c r="H763" t="n">
        <v>0</v>
      </c>
      <c r="I763" t="n">
        <v>0</v>
      </c>
      <c r="J763" t="n">
        <v>0</v>
      </c>
      <c r="K763" t="n">
        <v>0</v>
      </c>
      <c r="L763" t="n">
        <v>0</v>
      </c>
      <c r="M763" t="n">
        <v>0</v>
      </c>
      <c r="N763" t="n">
        <v>0</v>
      </c>
      <c r="O763" t="n">
        <v>0</v>
      </c>
      <c r="P763" t="n">
        <v>0</v>
      </c>
      <c r="Q763" t="n">
        <v>0</v>
      </c>
      <c r="R763" s="2" t="inlineStr"/>
    </row>
    <row r="764" ht="15" customHeight="1">
      <c r="A764" t="inlineStr">
        <is>
          <t>A 15276-2026</t>
        </is>
      </c>
      <c r="B764" s="1" t="n">
        <v>46105.60627314815</v>
      </c>
      <c r="C764" s="1" t="n">
        <v>46134</v>
      </c>
      <c r="D764" t="inlineStr">
        <is>
          <t>JÄMTLANDS LÄN</t>
        </is>
      </c>
      <c r="E764" t="inlineStr">
        <is>
          <t>BERG</t>
        </is>
      </c>
      <c r="G764" t="n">
        <v>1.3</v>
      </c>
      <c r="H764" t="n">
        <v>0</v>
      </c>
      <c r="I764" t="n">
        <v>0</v>
      </c>
      <c r="J764" t="n">
        <v>0</v>
      </c>
      <c r="K764" t="n">
        <v>0</v>
      </c>
      <c r="L764" t="n">
        <v>0</v>
      </c>
      <c r="M764" t="n">
        <v>0</v>
      </c>
      <c r="N764" t="n">
        <v>0</v>
      </c>
      <c r="O764" t="n">
        <v>0</v>
      </c>
      <c r="P764" t="n">
        <v>0</v>
      </c>
      <c r="Q764" t="n">
        <v>0</v>
      </c>
      <c r="R764" s="2" t="inlineStr"/>
    </row>
    <row r="765" ht="15" customHeight="1">
      <c r="A765" t="inlineStr">
        <is>
          <t>A 15292-2026</t>
        </is>
      </c>
      <c r="B765" s="1" t="n">
        <v>46105.62427083333</v>
      </c>
      <c r="C765" s="1" t="n">
        <v>46134</v>
      </c>
      <c r="D765" t="inlineStr">
        <is>
          <t>JÄMTLANDS LÄN</t>
        </is>
      </c>
      <c r="E765" t="inlineStr">
        <is>
          <t>BERG</t>
        </is>
      </c>
      <c r="G765" t="n">
        <v>1.3</v>
      </c>
      <c r="H765" t="n">
        <v>0</v>
      </c>
      <c r="I765" t="n">
        <v>0</v>
      </c>
      <c r="J765" t="n">
        <v>0</v>
      </c>
      <c r="K765" t="n">
        <v>0</v>
      </c>
      <c r="L765" t="n">
        <v>0</v>
      </c>
      <c r="M765" t="n">
        <v>0</v>
      </c>
      <c r="N765" t="n">
        <v>0</v>
      </c>
      <c r="O765" t="n">
        <v>0</v>
      </c>
      <c r="P765" t="n">
        <v>0</v>
      </c>
      <c r="Q765" t="n">
        <v>0</v>
      </c>
      <c r="R765" s="2" t="inlineStr"/>
    </row>
    <row r="766" ht="15" customHeight="1">
      <c r="A766" t="inlineStr">
        <is>
          <t>A 15270-2026</t>
        </is>
      </c>
      <c r="B766" s="1" t="n">
        <v>46105.59951388889</v>
      </c>
      <c r="C766" s="1" t="n">
        <v>46134</v>
      </c>
      <c r="D766" t="inlineStr">
        <is>
          <t>JÄMTLANDS LÄN</t>
        </is>
      </c>
      <c r="E766" t="inlineStr">
        <is>
          <t>BERG</t>
        </is>
      </c>
      <c r="G766" t="n">
        <v>0.9</v>
      </c>
      <c r="H766" t="n">
        <v>0</v>
      </c>
      <c r="I766" t="n">
        <v>0</v>
      </c>
      <c r="J766" t="n">
        <v>0</v>
      </c>
      <c r="K766" t="n">
        <v>0</v>
      </c>
      <c r="L766" t="n">
        <v>0</v>
      </c>
      <c r="M766" t="n">
        <v>0</v>
      </c>
      <c r="N766" t="n">
        <v>0</v>
      </c>
      <c r="O766" t="n">
        <v>0</v>
      </c>
      <c r="P766" t="n">
        <v>0</v>
      </c>
      <c r="Q766" t="n">
        <v>0</v>
      </c>
      <c r="R766" s="2" t="inlineStr"/>
    </row>
    <row r="767" ht="15" customHeight="1">
      <c r="A767" t="inlineStr">
        <is>
          <t>A 10230-2024</t>
        </is>
      </c>
      <c r="B767" s="1" t="n">
        <v>45365.31883101852</v>
      </c>
      <c r="C767" s="1" t="n">
        <v>46134</v>
      </c>
      <c r="D767" t="inlineStr">
        <is>
          <t>JÄMTLANDS LÄN</t>
        </is>
      </c>
      <c r="E767" t="inlineStr">
        <is>
          <t>BERG</t>
        </is>
      </c>
      <c r="G767" t="n">
        <v>6.3</v>
      </c>
      <c r="H767" t="n">
        <v>0</v>
      </c>
      <c r="I767" t="n">
        <v>0</v>
      </c>
      <c r="J767" t="n">
        <v>0</v>
      </c>
      <c r="K767" t="n">
        <v>0</v>
      </c>
      <c r="L767" t="n">
        <v>0</v>
      </c>
      <c r="M767" t="n">
        <v>0</v>
      </c>
      <c r="N767" t="n">
        <v>0</v>
      </c>
      <c r="O767" t="n">
        <v>0</v>
      </c>
      <c r="P767" t="n">
        <v>0</v>
      </c>
      <c r="Q767" t="n">
        <v>0</v>
      </c>
      <c r="R767" s="2" t="inlineStr"/>
    </row>
    <row r="768" ht="15" customHeight="1">
      <c r="A768" t="inlineStr">
        <is>
          <t>A 49277-2024</t>
        </is>
      </c>
      <c r="B768" s="1" t="n">
        <v>45595.50820601852</v>
      </c>
      <c r="C768" s="1" t="n">
        <v>46134</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15517-2026</t>
        </is>
      </c>
      <c r="B769" s="1" t="n">
        <v>46106.47037037037</v>
      </c>
      <c r="C769" s="1" t="n">
        <v>46134</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50547-2025</t>
        </is>
      </c>
      <c r="B770" s="1" t="n">
        <v>45945.51104166666</v>
      </c>
      <c r="C770" s="1" t="n">
        <v>46134</v>
      </c>
      <c r="D770" t="inlineStr">
        <is>
          <t>JÄMTLANDS LÄN</t>
        </is>
      </c>
      <c r="E770" t="inlineStr">
        <is>
          <t>BERG</t>
        </is>
      </c>
      <c r="F770" t="inlineStr">
        <is>
          <t>SCA</t>
        </is>
      </c>
      <c r="G770" t="n">
        <v>12.6</v>
      </c>
      <c r="H770" t="n">
        <v>0</v>
      </c>
      <c r="I770" t="n">
        <v>0</v>
      </c>
      <c r="J770" t="n">
        <v>0</v>
      </c>
      <c r="K770" t="n">
        <v>0</v>
      </c>
      <c r="L770" t="n">
        <v>0</v>
      </c>
      <c r="M770" t="n">
        <v>0</v>
      </c>
      <c r="N770" t="n">
        <v>0</v>
      </c>
      <c r="O770" t="n">
        <v>0</v>
      </c>
      <c r="P770" t="n">
        <v>0</v>
      </c>
      <c r="Q770" t="n">
        <v>0</v>
      </c>
      <c r="R770" s="2" t="inlineStr"/>
    </row>
    <row r="771" ht="15" customHeight="1">
      <c r="A771" t="inlineStr">
        <is>
          <t>A 60331-2023</t>
        </is>
      </c>
      <c r="B771" s="1" t="n">
        <v>45258</v>
      </c>
      <c r="C771" s="1" t="n">
        <v>46134</v>
      </c>
      <c r="D771" t="inlineStr">
        <is>
          <t>JÄMTLANDS LÄN</t>
        </is>
      </c>
      <c r="E771" t="inlineStr">
        <is>
          <t>BERG</t>
        </is>
      </c>
      <c r="G771" t="n">
        <v>2.6</v>
      </c>
      <c r="H771" t="n">
        <v>0</v>
      </c>
      <c r="I771" t="n">
        <v>0</v>
      </c>
      <c r="J771" t="n">
        <v>0</v>
      </c>
      <c r="K771" t="n">
        <v>0</v>
      </c>
      <c r="L771" t="n">
        <v>0</v>
      </c>
      <c r="M771" t="n">
        <v>0</v>
      </c>
      <c r="N771" t="n">
        <v>0</v>
      </c>
      <c r="O771" t="n">
        <v>0</v>
      </c>
      <c r="P771" t="n">
        <v>0</v>
      </c>
      <c r="Q771" t="n">
        <v>0</v>
      </c>
      <c r="R771" s="2" t="inlineStr"/>
    </row>
    <row r="772" ht="15" customHeight="1">
      <c r="A772" t="inlineStr">
        <is>
          <t>A 15239-2026</t>
        </is>
      </c>
      <c r="B772" s="1" t="n">
        <v>46105.56040509259</v>
      </c>
      <c r="C772" s="1" t="n">
        <v>46134</v>
      </c>
      <c r="D772" t="inlineStr">
        <is>
          <t>JÄMTLANDS LÄN</t>
        </is>
      </c>
      <c r="E772" t="inlineStr">
        <is>
          <t>BERG</t>
        </is>
      </c>
      <c r="G772" t="n">
        <v>16.1</v>
      </c>
      <c r="H772" t="n">
        <v>0</v>
      </c>
      <c r="I772" t="n">
        <v>0</v>
      </c>
      <c r="J772" t="n">
        <v>0</v>
      </c>
      <c r="K772" t="n">
        <v>0</v>
      </c>
      <c r="L772" t="n">
        <v>0</v>
      </c>
      <c r="M772" t="n">
        <v>0</v>
      </c>
      <c r="N772" t="n">
        <v>0</v>
      </c>
      <c r="O772" t="n">
        <v>0</v>
      </c>
      <c r="P772" t="n">
        <v>0</v>
      </c>
      <c r="Q772" t="n">
        <v>0</v>
      </c>
      <c r="R772" s="2" t="inlineStr"/>
    </row>
    <row r="773" ht="15" customHeight="1">
      <c r="A773" t="inlineStr">
        <is>
          <t>A 15246-2026</t>
        </is>
      </c>
      <c r="B773" s="1" t="n">
        <v>46105.56806712963</v>
      </c>
      <c r="C773" s="1" t="n">
        <v>46134</v>
      </c>
      <c r="D773" t="inlineStr">
        <is>
          <t>JÄMTLANDS LÄN</t>
        </is>
      </c>
      <c r="E773" t="inlineStr">
        <is>
          <t>BERG</t>
        </is>
      </c>
      <c r="G773" t="n">
        <v>1.3</v>
      </c>
      <c r="H773" t="n">
        <v>0</v>
      </c>
      <c r="I773" t="n">
        <v>0</v>
      </c>
      <c r="J773" t="n">
        <v>0</v>
      </c>
      <c r="K773" t="n">
        <v>0</v>
      </c>
      <c r="L773" t="n">
        <v>0</v>
      </c>
      <c r="M773" t="n">
        <v>0</v>
      </c>
      <c r="N773" t="n">
        <v>0</v>
      </c>
      <c r="O773" t="n">
        <v>0</v>
      </c>
      <c r="P773" t="n">
        <v>0</v>
      </c>
      <c r="Q773" t="n">
        <v>0</v>
      </c>
      <c r="R773" s="2" t="inlineStr"/>
    </row>
    <row r="774" ht="15" customHeight="1">
      <c r="A774" t="inlineStr">
        <is>
          <t>A 34601-2024</t>
        </is>
      </c>
      <c r="B774" s="1" t="n">
        <v>45526.4034375</v>
      </c>
      <c r="C774" s="1" t="n">
        <v>46134</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8319-2026</t>
        </is>
      </c>
      <c r="B775" s="1" t="n">
        <v>46064.60849537037</v>
      </c>
      <c r="C775" s="1" t="n">
        <v>46134</v>
      </c>
      <c r="D775" t="inlineStr">
        <is>
          <t>JÄMTLANDS LÄN</t>
        </is>
      </c>
      <c r="E775" t="inlineStr">
        <is>
          <t>BERG</t>
        </is>
      </c>
      <c r="G775" t="n">
        <v>1.8</v>
      </c>
      <c r="H775" t="n">
        <v>0</v>
      </c>
      <c r="I775" t="n">
        <v>0</v>
      </c>
      <c r="J775" t="n">
        <v>0</v>
      </c>
      <c r="K775" t="n">
        <v>0</v>
      </c>
      <c r="L775" t="n">
        <v>0</v>
      </c>
      <c r="M775" t="n">
        <v>0</v>
      </c>
      <c r="N775" t="n">
        <v>0</v>
      </c>
      <c r="O775" t="n">
        <v>0</v>
      </c>
      <c r="P775" t="n">
        <v>0</v>
      </c>
      <c r="Q775" t="n">
        <v>0</v>
      </c>
      <c r="R775" s="2" t="inlineStr"/>
    </row>
    <row r="776" ht="15" customHeight="1">
      <c r="A776" t="inlineStr">
        <is>
          <t>A 33481-2023</t>
        </is>
      </c>
      <c r="B776" s="1" t="n">
        <v>45131</v>
      </c>
      <c r="C776" s="1" t="n">
        <v>46134</v>
      </c>
      <c r="D776" t="inlineStr">
        <is>
          <t>JÄMTLANDS LÄN</t>
        </is>
      </c>
      <c r="E776" t="inlineStr">
        <is>
          <t>BERG</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7983-2026</t>
        </is>
      </c>
      <c r="B777" s="1" t="n">
        <v>46063.49013888889</v>
      </c>
      <c r="C777" s="1" t="n">
        <v>46134</v>
      </c>
      <c r="D777" t="inlineStr">
        <is>
          <t>JÄMTLANDS LÄN</t>
        </is>
      </c>
      <c r="E777" t="inlineStr">
        <is>
          <t>BERG</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59763-2025</t>
        </is>
      </c>
      <c r="B778" s="1" t="n">
        <v>45992.59430555555</v>
      </c>
      <c r="C778" s="1" t="n">
        <v>46134</v>
      </c>
      <c r="D778" t="inlineStr">
        <is>
          <t>JÄMTLANDS LÄN</t>
        </is>
      </c>
      <c r="E778" t="inlineStr">
        <is>
          <t>BERG</t>
        </is>
      </c>
      <c r="F778" t="inlineStr">
        <is>
          <t>SCA</t>
        </is>
      </c>
      <c r="G778" t="n">
        <v>16.5</v>
      </c>
      <c r="H778" t="n">
        <v>0</v>
      </c>
      <c r="I778" t="n">
        <v>0</v>
      </c>
      <c r="J778" t="n">
        <v>0</v>
      </c>
      <c r="K778" t="n">
        <v>0</v>
      </c>
      <c r="L778" t="n">
        <v>0</v>
      </c>
      <c r="M778" t="n">
        <v>0</v>
      </c>
      <c r="N778" t="n">
        <v>0</v>
      </c>
      <c r="O778" t="n">
        <v>0</v>
      </c>
      <c r="P778" t="n">
        <v>0</v>
      </c>
      <c r="Q778" t="n">
        <v>0</v>
      </c>
      <c r="R778" s="2" t="inlineStr"/>
    </row>
    <row r="779" ht="15" customHeight="1">
      <c r="A779" t="inlineStr">
        <is>
          <t>A 61647-2025</t>
        </is>
      </c>
      <c r="B779" s="1" t="n">
        <v>46002.4403587963</v>
      </c>
      <c r="C779" s="1" t="n">
        <v>46134</v>
      </c>
      <c r="D779" t="inlineStr">
        <is>
          <t>JÄMTLANDS LÄN</t>
        </is>
      </c>
      <c r="E779" t="inlineStr">
        <is>
          <t>BERG</t>
        </is>
      </c>
      <c r="G779" t="n">
        <v>3.2</v>
      </c>
      <c r="H779" t="n">
        <v>0</v>
      </c>
      <c r="I779" t="n">
        <v>0</v>
      </c>
      <c r="J779" t="n">
        <v>0</v>
      </c>
      <c r="K779" t="n">
        <v>0</v>
      </c>
      <c r="L779" t="n">
        <v>0</v>
      </c>
      <c r="M779" t="n">
        <v>0</v>
      </c>
      <c r="N779" t="n">
        <v>0</v>
      </c>
      <c r="O779" t="n">
        <v>0</v>
      </c>
      <c r="P779" t="n">
        <v>0</v>
      </c>
      <c r="Q779" t="n">
        <v>0</v>
      </c>
      <c r="R779" s="2" t="inlineStr"/>
    </row>
    <row r="780" ht="15" customHeight="1">
      <c r="A780" t="inlineStr">
        <is>
          <t>A 31682-2022</t>
        </is>
      </c>
      <c r="B780" s="1" t="n">
        <v>44776</v>
      </c>
      <c r="C780" s="1" t="n">
        <v>46134</v>
      </c>
      <c r="D780" t="inlineStr">
        <is>
          <t>JÄMTLANDS LÄN</t>
        </is>
      </c>
      <c r="E780" t="inlineStr">
        <is>
          <t>BERG</t>
        </is>
      </c>
      <c r="G780" t="n">
        <v>8</v>
      </c>
      <c r="H780" t="n">
        <v>0</v>
      </c>
      <c r="I780" t="n">
        <v>0</v>
      </c>
      <c r="J780" t="n">
        <v>0</v>
      </c>
      <c r="K780" t="n">
        <v>0</v>
      </c>
      <c r="L780" t="n">
        <v>0</v>
      </c>
      <c r="M780" t="n">
        <v>0</v>
      </c>
      <c r="N780" t="n">
        <v>0</v>
      </c>
      <c r="O780" t="n">
        <v>0</v>
      </c>
      <c r="P780" t="n">
        <v>0</v>
      </c>
      <c r="Q780" t="n">
        <v>0</v>
      </c>
      <c r="R780" s="2" t="inlineStr"/>
    </row>
    <row r="781" ht="15" customHeight="1">
      <c r="A781" t="inlineStr">
        <is>
          <t>A 64486-2023</t>
        </is>
      </c>
      <c r="B781" s="1" t="n">
        <v>45280</v>
      </c>
      <c r="C781" s="1" t="n">
        <v>46134</v>
      </c>
      <c r="D781" t="inlineStr">
        <is>
          <t>JÄMTLANDS LÄN</t>
        </is>
      </c>
      <c r="E781" t="inlineStr">
        <is>
          <t>BERG</t>
        </is>
      </c>
      <c r="G781" t="n">
        <v>2</v>
      </c>
      <c r="H781" t="n">
        <v>0</v>
      </c>
      <c r="I781" t="n">
        <v>0</v>
      </c>
      <c r="J781" t="n">
        <v>0</v>
      </c>
      <c r="K781" t="n">
        <v>0</v>
      </c>
      <c r="L781" t="n">
        <v>0</v>
      </c>
      <c r="M781" t="n">
        <v>0</v>
      </c>
      <c r="N781" t="n">
        <v>0</v>
      </c>
      <c r="O781" t="n">
        <v>0</v>
      </c>
      <c r="P781" t="n">
        <v>0</v>
      </c>
      <c r="Q781" t="n">
        <v>0</v>
      </c>
      <c r="R781" s="2" t="inlineStr"/>
    </row>
    <row r="782" ht="15" customHeight="1">
      <c r="A782" t="inlineStr">
        <is>
          <t>A 64488-2023</t>
        </is>
      </c>
      <c r="B782" s="1" t="n">
        <v>45280.92618055556</v>
      </c>
      <c r="C782" s="1" t="n">
        <v>46134</v>
      </c>
      <c r="D782" t="inlineStr">
        <is>
          <t>JÄMTLANDS LÄN</t>
        </is>
      </c>
      <c r="E782" t="inlineStr">
        <is>
          <t>BERG</t>
        </is>
      </c>
      <c r="F782" t="inlineStr">
        <is>
          <t>Övriga Aktiebolag</t>
        </is>
      </c>
      <c r="G782" t="n">
        <v>7.1</v>
      </c>
      <c r="H782" t="n">
        <v>0</v>
      </c>
      <c r="I782" t="n">
        <v>0</v>
      </c>
      <c r="J782" t="n">
        <v>0</v>
      </c>
      <c r="K782" t="n">
        <v>0</v>
      </c>
      <c r="L782" t="n">
        <v>0</v>
      </c>
      <c r="M782" t="n">
        <v>0</v>
      </c>
      <c r="N782" t="n">
        <v>0</v>
      </c>
      <c r="O782" t="n">
        <v>0</v>
      </c>
      <c r="P782" t="n">
        <v>0</v>
      </c>
      <c r="Q782" t="n">
        <v>0</v>
      </c>
      <c r="R782" s="2" t="inlineStr"/>
    </row>
    <row r="783" ht="15" customHeight="1">
      <c r="A783" t="inlineStr">
        <is>
          <t>A 61460-2025</t>
        </is>
      </c>
      <c r="B783" s="1" t="n">
        <v>46001.59425925926</v>
      </c>
      <c r="C783" s="1" t="n">
        <v>46134</v>
      </c>
      <c r="D783" t="inlineStr">
        <is>
          <t>JÄMTLANDS LÄN</t>
        </is>
      </c>
      <c r="E783" t="inlineStr">
        <is>
          <t>BERG</t>
        </is>
      </c>
      <c r="G783" t="n">
        <v>1.9</v>
      </c>
      <c r="H783" t="n">
        <v>0</v>
      </c>
      <c r="I783" t="n">
        <v>0</v>
      </c>
      <c r="J783" t="n">
        <v>0</v>
      </c>
      <c r="K783" t="n">
        <v>0</v>
      </c>
      <c r="L783" t="n">
        <v>0</v>
      </c>
      <c r="M783" t="n">
        <v>0</v>
      </c>
      <c r="N783" t="n">
        <v>0</v>
      </c>
      <c r="O783" t="n">
        <v>0</v>
      </c>
      <c r="P783" t="n">
        <v>0</v>
      </c>
      <c r="Q783" t="n">
        <v>0</v>
      </c>
      <c r="R783" s="2" t="inlineStr"/>
    </row>
    <row r="784" ht="15" customHeight="1">
      <c r="A784" t="inlineStr">
        <is>
          <t>A 61459-2025</t>
        </is>
      </c>
      <c r="B784" s="1" t="n">
        <v>46001.59416666667</v>
      </c>
      <c r="C784" s="1" t="n">
        <v>46134</v>
      </c>
      <c r="D784" t="inlineStr">
        <is>
          <t>JÄMTLANDS LÄN</t>
        </is>
      </c>
      <c r="E784" t="inlineStr">
        <is>
          <t>BERG</t>
        </is>
      </c>
      <c r="G784" t="n">
        <v>2.7</v>
      </c>
      <c r="H784" t="n">
        <v>0</v>
      </c>
      <c r="I784" t="n">
        <v>0</v>
      </c>
      <c r="J784" t="n">
        <v>0</v>
      </c>
      <c r="K784" t="n">
        <v>0</v>
      </c>
      <c r="L784" t="n">
        <v>0</v>
      </c>
      <c r="M784" t="n">
        <v>0</v>
      </c>
      <c r="N784" t="n">
        <v>0</v>
      </c>
      <c r="O784" t="n">
        <v>0</v>
      </c>
      <c r="P784" t="n">
        <v>0</v>
      </c>
      <c r="Q784" t="n">
        <v>0</v>
      </c>
      <c r="R784" s="2" t="inlineStr"/>
    </row>
    <row r="785" ht="15" customHeight="1">
      <c r="A785" t="inlineStr">
        <is>
          <t>A 16247-2024</t>
        </is>
      </c>
      <c r="B785" s="1" t="n">
        <v>45407.05797453703</v>
      </c>
      <c r="C785" s="1" t="n">
        <v>46134</v>
      </c>
      <c r="D785" t="inlineStr">
        <is>
          <t>JÄMTLANDS LÄN</t>
        </is>
      </c>
      <c r="E785" t="inlineStr">
        <is>
          <t>BERG</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61501-2025</t>
        </is>
      </c>
      <c r="B786" s="1" t="n">
        <v>46001.65951388889</v>
      </c>
      <c r="C786" s="1" t="n">
        <v>46134</v>
      </c>
      <c r="D786" t="inlineStr">
        <is>
          <t>JÄMTLANDS LÄN</t>
        </is>
      </c>
      <c r="E786" t="inlineStr">
        <is>
          <t>BERG</t>
        </is>
      </c>
      <c r="G786" t="n">
        <v>1.8</v>
      </c>
      <c r="H786" t="n">
        <v>0</v>
      </c>
      <c r="I786" t="n">
        <v>0</v>
      </c>
      <c r="J786" t="n">
        <v>0</v>
      </c>
      <c r="K786" t="n">
        <v>0</v>
      </c>
      <c r="L786" t="n">
        <v>0</v>
      </c>
      <c r="M786" t="n">
        <v>0</v>
      </c>
      <c r="N786" t="n">
        <v>0</v>
      </c>
      <c r="O786" t="n">
        <v>0</v>
      </c>
      <c r="P786" t="n">
        <v>0</v>
      </c>
      <c r="Q786" t="n">
        <v>0</v>
      </c>
      <c r="R786" s="2" t="inlineStr"/>
    </row>
    <row r="787" ht="15" customHeight="1">
      <c r="A787" t="inlineStr">
        <is>
          <t>A 15079-2026</t>
        </is>
      </c>
      <c r="B787" s="1" t="n">
        <v>46105.29556712963</v>
      </c>
      <c r="C787" s="1" t="n">
        <v>46134</v>
      </c>
      <c r="D787" t="inlineStr">
        <is>
          <t>JÄMTLANDS LÄN</t>
        </is>
      </c>
      <c r="E787" t="inlineStr">
        <is>
          <t>BERG</t>
        </is>
      </c>
      <c r="G787" t="n">
        <v>0.3</v>
      </c>
      <c r="H787" t="n">
        <v>0</v>
      </c>
      <c r="I787" t="n">
        <v>0</v>
      </c>
      <c r="J787" t="n">
        <v>0</v>
      </c>
      <c r="K787" t="n">
        <v>0</v>
      </c>
      <c r="L787" t="n">
        <v>0</v>
      </c>
      <c r="M787" t="n">
        <v>0</v>
      </c>
      <c r="N787" t="n">
        <v>0</v>
      </c>
      <c r="O787" t="n">
        <v>0</v>
      </c>
      <c r="P787" t="n">
        <v>0</v>
      </c>
      <c r="Q787" t="n">
        <v>0</v>
      </c>
      <c r="R787" s="2" t="inlineStr"/>
    </row>
    <row r="788" ht="15" customHeight="1">
      <c r="A788" t="inlineStr">
        <is>
          <t>A 25306-2023</t>
        </is>
      </c>
      <c r="B788" s="1" t="n">
        <v>45086</v>
      </c>
      <c r="C788" s="1" t="n">
        <v>46134</v>
      </c>
      <c r="D788" t="inlineStr">
        <is>
          <t>JÄMTLANDS LÄN</t>
        </is>
      </c>
      <c r="E788" t="inlineStr">
        <is>
          <t>BERG</t>
        </is>
      </c>
      <c r="G788" t="n">
        <v>23.3</v>
      </c>
      <c r="H788" t="n">
        <v>0</v>
      </c>
      <c r="I788" t="n">
        <v>0</v>
      </c>
      <c r="J788" t="n">
        <v>0</v>
      </c>
      <c r="K788" t="n">
        <v>0</v>
      </c>
      <c r="L788" t="n">
        <v>0</v>
      </c>
      <c r="M788" t="n">
        <v>0</v>
      </c>
      <c r="N788" t="n">
        <v>0</v>
      </c>
      <c r="O788" t="n">
        <v>0</v>
      </c>
      <c r="P788" t="n">
        <v>0</v>
      </c>
      <c r="Q788" t="n">
        <v>0</v>
      </c>
      <c r="R788" s="2" t="inlineStr"/>
    </row>
    <row r="789" ht="15" customHeight="1">
      <c r="A789" t="inlineStr">
        <is>
          <t>A 61987-2025</t>
        </is>
      </c>
      <c r="B789" s="1" t="n">
        <v>46003.62914351852</v>
      </c>
      <c r="C789" s="1" t="n">
        <v>46134</v>
      </c>
      <c r="D789" t="inlineStr">
        <is>
          <t>JÄMTLANDS LÄN</t>
        </is>
      </c>
      <c r="E789" t="inlineStr">
        <is>
          <t>BERG</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61977-2025</t>
        </is>
      </c>
      <c r="B790" s="1" t="n">
        <v>46003.61158564815</v>
      </c>
      <c r="C790" s="1" t="n">
        <v>46134</v>
      </c>
      <c r="D790" t="inlineStr">
        <is>
          <t>JÄMTLANDS LÄN</t>
        </is>
      </c>
      <c r="E790" t="inlineStr">
        <is>
          <t>BERG</t>
        </is>
      </c>
      <c r="G790" t="n">
        <v>2.7</v>
      </c>
      <c r="H790" t="n">
        <v>0</v>
      </c>
      <c r="I790" t="n">
        <v>0</v>
      </c>
      <c r="J790" t="n">
        <v>0</v>
      </c>
      <c r="K790" t="n">
        <v>0</v>
      </c>
      <c r="L790" t="n">
        <v>0</v>
      </c>
      <c r="M790" t="n">
        <v>0</v>
      </c>
      <c r="N790" t="n">
        <v>0</v>
      </c>
      <c r="O790" t="n">
        <v>0</v>
      </c>
      <c r="P790" t="n">
        <v>0</v>
      </c>
      <c r="Q790" t="n">
        <v>0</v>
      </c>
      <c r="R790" s="2" t="inlineStr"/>
    </row>
    <row r="791" ht="15" customHeight="1">
      <c r="A791" t="inlineStr">
        <is>
          <t>A 61991-2025</t>
        </is>
      </c>
      <c r="B791" s="1" t="n">
        <v>46003.62962962963</v>
      </c>
      <c r="C791" s="1" t="n">
        <v>46134</v>
      </c>
      <c r="D791" t="inlineStr">
        <is>
          <t>JÄMTLANDS LÄN</t>
        </is>
      </c>
      <c r="E791" t="inlineStr">
        <is>
          <t>BERG</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10465-2023</t>
        </is>
      </c>
      <c r="B792" s="1" t="n">
        <v>44987.60319444445</v>
      </c>
      <c r="C792" s="1" t="n">
        <v>46134</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62052-2025</t>
        </is>
      </c>
      <c r="B793" s="1" t="n">
        <v>46006.32145833333</v>
      </c>
      <c r="C793" s="1" t="n">
        <v>46134</v>
      </c>
      <c r="D793" t="inlineStr">
        <is>
          <t>JÄMTLANDS LÄN</t>
        </is>
      </c>
      <c r="E793" t="inlineStr">
        <is>
          <t>BERG</t>
        </is>
      </c>
      <c r="G793" t="n">
        <v>11</v>
      </c>
      <c r="H793" t="n">
        <v>0</v>
      </c>
      <c r="I793" t="n">
        <v>0</v>
      </c>
      <c r="J793" t="n">
        <v>0</v>
      </c>
      <c r="K793" t="n">
        <v>0</v>
      </c>
      <c r="L793" t="n">
        <v>0</v>
      </c>
      <c r="M793" t="n">
        <v>0</v>
      </c>
      <c r="N793" t="n">
        <v>0</v>
      </c>
      <c r="O793" t="n">
        <v>0</v>
      </c>
      <c r="P793" t="n">
        <v>0</v>
      </c>
      <c r="Q793" t="n">
        <v>0</v>
      </c>
      <c r="R793" s="2" t="inlineStr"/>
    </row>
    <row r="794" ht="15" customHeight="1">
      <c r="A794" t="inlineStr">
        <is>
          <t>A 3625-2024</t>
        </is>
      </c>
      <c r="B794" s="1" t="n">
        <v>45320</v>
      </c>
      <c r="C794" s="1" t="n">
        <v>46134</v>
      </c>
      <c r="D794" t="inlineStr">
        <is>
          <t>JÄMTLANDS LÄN</t>
        </is>
      </c>
      <c r="E794" t="inlineStr">
        <is>
          <t>BERG</t>
        </is>
      </c>
      <c r="F794" t="inlineStr">
        <is>
          <t>SCA</t>
        </is>
      </c>
      <c r="G794" t="n">
        <v>23.7</v>
      </c>
      <c r="H794" t="n">
        <v>0</v>
      </c>
      <c r="I794" t="n">
        <v>0</v>
      </c>
      <c r="J794" t="n">
        <v>0</v>
      </c>
      <c r="K794" t="n">
        <v>0</v>
      </c>
      <c r="L794" t="n">
        <v>0</v>
      </c>
      <c r="M794" t="n">
        <v>0</v>
      </c>
      <c r="N794" t="n">
        <v>0</v>
      </c>
      <c r="O794" t="n">
        <v>0</v>
      </c>
      <c r="P794" t="n">
        <v>0</v>
      </c>
      <c r="Q794" t="n">
        <v>0</v>
      </c>
      <c r="R794" s="2" t="inlineStr"/>
    </row>
    <row r="795" ht="15" customHeight="1">
      <c r="A795" t="inlineStr">
        <is>
          <t>A 13436-2024</t>
        </is>
      </c>
      <c r="B795" s="1" t="n">
        <v>45387.4865625</v>
      </c>
      <c r="C795" s="1" t="n">
        <v>46134</v>
      </c>
      <c r="D795" t="inlineStr">
        <is>
          <t>JÄMTLANDS LÄN</t>
        </is>
      </c>
      <c r="E795" t="inlineStr">
        <is>
          <t>BERG</t>
        </is>
      </c>
      <c r="G795" t="n">
        <v>28.9</v>
      </c>
      <c r="H795" t="n">
        <v>0</v>
      </c>
      <c r="I795" t="n">
        <v>0</v>
      </c>
      <c r="J795" t="n">
        <v>0</v>
      </c>
      <c r="K795" t="n">
        <v>0</v>
      </c>
      <c r="L795" t="n">
        <v>0</v>
      </c>
      <c r="M795" t="n">
        <v>0</v>
      </c>
      <c r="N795" t="n">
        <v>0</v>
      </c>
      <c r="O795" t="n">
        <v>0</v>
      </c>
      <c r="P795" t="n">
        <v>0</v>
      </c>
      <c r="Q795" t="n">
        <v>0</v>
      </c>
      <c r="R795" s="2" t="inlineStr"/>
    </row>
    <row r="796" ht="15" customHeight="1">
      <c r="A796" t="inlineStr">
        <is>
          <t>A 39809-2025</t>
        </is>
      </c>
      <c r="B796" s="1" t="n">
        <v>45891</v>
      </c>
      <c r="C796" s="1" t="n">
        <v>46134</v>
      </c>
      <c r="D796" t="inlineStr">
        <is>
          <t>JÄMTLANDS LÄN</t>
        </is>
      </c>
      <c r="E796" t="inlineStr">
        <is>
          <t>BERG</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15242-2026</t>
        </is>
      </c>
      <c r="B797" s="1" t="n">
        <v>46105.56503472223</v>
      </c>
      <c r="C797" s="1" t="n">
        <v>46134</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62814-2025</t>
        </is>
      </c>
      <c r="B798" s="1" t="n">
        <v>46008.6502662037</v>
      </c>
      <c r="C798" s="1" t="n">
        <v>46134</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62826-2025</t>
        </is>
      </c>
      <c r="B799" s="1" t="n">
        <v>46008.65883101852</v>
      </c>
      <c r="C799" s="1" t="n">
        <v>46134</v>
      </c>
      <c r="D799" t="inlineStr">
        <is>
          <t>JÄMTLANDS LÄN</t>
        </is>
      </c>
      <c r="E799" t="inlineStr">
        <is>
          <t>BERG</t>
        </is>
      </c>
      <c r="G799" t="n">
        <v>4</v>
      </c>
      <c r="H799" t="n">
        <v>0</v>
      </c>
      <c r="I799" t="n">
        <v>0</v>
      </c>
      <c r="J799" t="n">
        <v>0</v>
      </c>
      <c r="K799" t="n">
        <v>0</v>
      </c>
      <c r="L799" t="n">
        <v>0</v>
      </c>
      <c r="M799" t="n">
        <v>0</v>
      </c>
      <c r="N799" t="n">
        <v>0</v>
      </c>
      <c r="O799" t="n">
        <v>0</v>
      </c>
      <c r="P799" t="n">
        <v>0</v>
      </c>
      <c r="Q799" t="n">
        <v>0</v>
      </c>
      <c r="R799" s="2" t="inlineStr"/>
    </row>
    <row r="800" ht="15" customHeight="1">
      <c r="A800" t="inlineStr">
        <is>
          <t>A 15182-2026</t>
        </is>
      </c>
      <c r="B800" s="1" t="n">
        <v>46105.45504629629</v>
      </c>
      <c r="C800" s="1" t="n">
        <v>46134</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63345-2025</t>
        </is>
      </c>
      <c r="B801" s="1" t="n">
        <v>46010.65959490741</v>
      </c>
      <c r="C801" s="1" t="n">
        <v>46134</v>
      </c>
      <c r="D801" t="inlineStr">
        <is>
          <t>JÄMTLANDS LÄN</t>
        </is>
      </c>
      <c r="E801" t="inlineStr">
        <is>
          <t>BERG</t>
        </is>
      </c>
      <c r="G801" t="n">
        <v>15</v>
      </c>
      <c r="H801" t="n">
        <v>0</v>
      </c>
      <c r="I801" t="n">
        <v>0</v>
      </c>
      <c r="J801" t="n">
        <v>0</v>
      </c>
      <c r="K801" t="n">
        <v>0</v>
      </c>
      <c r="L801" t="n">
        <v>0</v>
      </c>
      <c r="M801" t="n">
        <v>0</v>
      </c>
      <c r="N801" t="n">
        <v>0</v>
      </c>
      <c r="O801" t="n">
        <v>0</v>
      </c>
      <c r="P801" t="n">
        <v>0</v>
      </c>
      <c r="Q801" t="n">
        <v>0</v>
      </c>
      <c r="R801" s="2" t="inlineStr"/>
    </row>
    <row r="802" ht="15" customHeight="1">
      <c r="A802" t="inlineStr">
        <is>
          <t>A 60249-2022</t>
        </is>
      </c>
      <c r="B802" s="1" t="n">
        <v>44903</v>
      </c>
      <c r="C802" s="1" t="n">
        <v>46134</v>
      </c>
      <c r="D802" t="inlineStr">
        <is>
          <t>JÄMTLANDS LÄN</t>
        </is>
      </c>
      <c r="E802" t="inlineStr">
        <is>
          <t>BERG</t>
        </is>
      </c>
      <c r="G802" t="n">
        <v>6</v>
      </c>
      <c r="H802" t="n">
        <v>0</v>
      </c>
      <c r="I802" t="n">
        <v>0</v>
      </c>
      <c r="J802" t="n">
        <v>0</v>
      </c>
      <c r="K802" t="n">
        <v>0</v>
      </c>
      <c r="L802" t="n">
        <v>0</v>
      </c>
      <c r="M802" t="n">
        <v>0</v>
      </c>
      <c r="N802" t="n">
        <v>0</v>
      </c>
      <c r="O802" t="n">
        <v>0</v>
      </c>
      <c r="P802" t="n">
        <v>0</v>
      </c>
      <c r="Q802" t="n">
        <v>0</v>
      </c>
      <c r="R802" s="2" t="inlineStr"/>
    </row>
    <row r="803" ht="15" customHeight="1">
      <c r="A803" t="inlineStr">
        <is>
          <t>A 63332-2025</t>
        </is>
      </c>
      <c r="B803" s="1" t="n">
        <v>46010.64340277778</v>
      </c>
      <c r="C803" s="1" t="n">
        <v>46134</v>
      </c>
      <c r="D803" t="inlineStr">
        <is>
          <t>JÄMTLANDS LÄN</t>
        </is>
      </c>
      <c r="E803" t="inlineStr">
        <is>
          <t>BERG</t>
        </is>
      </c>
      <c r="G803" t="n">
        <v>5.4</v>
      </c>
      <c r="H803" t="n">
        <v>0</v>
      </c>
      <c r="I803" t="n">
        <v>0</v>
      </c>
      <c r="J803" t="n">
        <v>0</v>
      </c>
      <c r="K803" t="n">
        <v>0</v>
      </c>
      <c r="L803" t="n">
        <v>0</v>
      </c>
      <c r="M803" t="n">
        <v>0</v>
      </c>
      <c r="N803" t="n">
        <v>0</v>
      </c>
      <c r="O803" t="n">
        <v>0</v>
      </c>
      <c r="P803" t="n">
        <v>0</v>
      </c>
      <c r="Q803" t="n">
        <v>0</v>
      </c>
      <c r="R803" s="2" t="inlineStr"/>
    </row>
    <row r="804" ht="15" customHeight="1">
      <c r="A804" t="inlineStr">
        <is>
          <t>A 53427-2025</t>
        </is>
      </c>
      <c r="B804" s="1" t="n">
        <v>45959</v>
      </c>
      <c r="C804" s="1" t="n">
        <v>46134</v>
      </c>
      <c r="D804" t="inlineStr">
        <is>
          <t>JÄMTLANDS LÄN</t>
        </is>
      </c>
      <c r="E804" t="inlineStr">
        <is>
          <t>BERG</t>
        </is>
      </c>
      <c r="F804" t="inlineStr">
        <is>
          <t>SCA</t>
        </is>
      </c>
      <c r="G804" t="n">
        <v>7.1</v>
      </c>
      <c r="H804" t="n">
        <v>0</v>
      </c>
      <c r="I804" t="n">
        <v>0</v>
      </c>
      <c r="J804" t="n">
        <v>0</v>
      </c>
      <c r="K804" t="n">
        <v>0</v>
      </c>
      <c r="L804" t="n">
        <v>0</v>
      </c>
      <c r="M804" t="n">
        <v>0</v>
      </c>
      <c r="N804" t="n">
        <v>0</v>
      </c>
      <c r="O804" t="n">
        <v>0</v>
      </c>
      <c r="P804" t="n">
        <v>0</v>
      </c>
      <c r="Q804" t="n">
        <v>0</v>
      </c>
      <c r="R804" s="2" t="inlineStr"/>
    </row>
    <row r="805" ht="15" customHeight="1">
      <c r="A805" t="inlineStr">
        <is>
          <t>A 65209-2023</t>
        </is>
      </c>
      <c r="B805" s="1" t="n">
        <v>45289</v>
      </c>
      <c r="C805" s="1" t="n">
        <v>46134</v>
      </c>
      <c r="D805" t="inlineStr">
        <is>
          <t>JÄMTLANDS LÄN</t>
        </is>
      </c>
      <c r="E805" t="inlineStr">
        <is>
          <t>BERG</t>
        </is>
      </c>
      <c r="G805" t="n">
        <v>1</v>
      </c>
      <c r="H805" t="n">
        <v>0</v>
      </c>
      <c r="I805" t="n">
        <v>0</v>
      </c>
      <c r="J805" t="n">
        <v>0</v>
      </c>
      <c r="K805" t="n">
        <v>0</v>
      </c>
      <c r="L805" t="n">
        <v>0</v>
      </c>
      <c r="M805" t="n">
        <v>0</v>
      </c>
      <c r="N805" t="n">
        <v>0</v>
      </c>
      <c r="O805" t="n">
        <v>0</v>
      </c>
      <c r="P805" t="n">
        <v>0</v>
      </c>
      <c r="Q805" t="n">
        <v>0</v>
      </c>
      <c r="R805" s="2" t="inlineStr"/>
    </row>
    <row r="806" ht="15" customHeight="1">
      <c r="A806" t="inlineStr">
        <is>
          <t>A 17899-2024</t>
        </is>
      </c>
      <c r="B806" s="1" t="n">
        <v>45419.49334490741</v>
      </c>
      <c r="C806" s="1" t="n">
        <v>46134</v>
      </c>
      <c r="D806" t="inlineStr">
        <is>
          <t>JÄMTLANDS LÄN</t>
        </is>
      </c>
      <c r="E806" t="inlineStr">
        <is>
          <t>BERG</t>
        </is>
      </c>
      <c r="F806" t="inlineStr">
        <is>
          <t>Holmen skog AB</t>
        </is>
      </c>
      <c r="G806" t="n">
        <v>5.2</v>
      </c>
      <c r="H806" t="n">
        <v>0</v>
      </c>
      <c r="I806" t="n">
        <v>0</v>
      </c>
      <c r="J806" t="n">
        <v>0</v>
      </c>
      <c r="K806" t="n">
        <v>0</v>
      </c>
      <c r="L806" t="n">
        <v>0</v>
      </c>
      <c r="M806" t="n">
        <v>0</v>
      </c>
      <c r="N806" t="n">
        <v>0</v>
      </c>
      <c r="O806" t="n">
        <v>0</v>
      </c>
      <c r="P806" t="n">
        <v>0</v>
      </c>
      <c r="Q806" t="n">
        <v>0</v>
      </c>
      <c r="R806" s="2" t="inlineStr"/>
    </row>
    <row r="807" ht="15" customHeight="1">
      <c r="A807" t="inlineStr">
        <is>
          <t>A 63597-2025</t>
        </is>
      </c>
      <c r="B807" s="1" t="n">
        <v>46014.28792824074</v>
      </c>
      <c r="C807" s="1" t="n">
        <v>46134</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19181-2025</t>
        </is>
      </c>
      <c r="B808" s="1" t="n">
        <v>45769.40174768519</v>
      </c>
      <c r="C808" s="1" t="n">
        <v>46134</v>
      </c>
      <c r="D808" t="inlineStr">
        <is>
          <t>JÄMTLANDS LÄN</t>
        </is>
      </c>
      <c r="E808" t="inlineStr">
        <is>
          <t>BERG</t>
        </is>
      </c>
      <c r="G808" t="n">
        <v>4.4</v>
      </c>
      <c r="H808" t="n">
        <v>0</v>
      </c>
      <c r="I808" t="n">
        <v>0</v>
      </c>
      <c r="J808" t="n">
        <v>0</v>
      </c>
      <c r="K808" t="n">
        <v>0</v>
      </c>
      <c r="L808" t="n">
        <v>0</v>
      </c>
      <c r="M808" t="n">
        <v>0</v>
      </c>
      <c r="N808" t="n">
        <v>0</v>
      </c>
      <c r="O808" t="n">
        <v>0</v>
      </c>
      <c r="P808" t="n">
        <v>0</v>
      </c>
      <c r="Q808" t="n">
        <v>0</v>
      </c>
      <c r="R808" s="2" t="inlineStr"/>
    </row>
    <row r="809" ht="15" customHeight="1">
      <c r="A809" t="inlineStr">
        <is>
          <t>A 14740-2026</t>
        </is>
      </c>
      <c r="B809" s="1" t="n">
        <v>46101</v>
      </c>
      <c r="C809" s="1" t="n">
        <v>46134</v>
      </c>
      <c r="D809" t="inlineStr">
        <is>
          <t>JÄMTLANDS LÄN</t>
        </is>
      </c>
      <c r="E809" t="inlineStr">
        <is>
          <t>BERG</t>
        </is>
      </c>
      <c r="F809" t="inlineStr">
        <is>
          <t>SCA</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8765-2026</t>
        </is>
      </c>
      <c r="B810" s="1" t="n">
        <v>46066.56057870371</v>
      </c>
      <c r="C810" s="1" t="n">
        <v>46134</v>
      </c>
      <c r="D810" t="inlineStr">
        <is>
          <t>JÄMTLANDS LÄN</t>
        </is>
      </c>
      <c r="E810" t="inlineStr">
        <is>
          <t>BERG</t>
        </is>
      </c>
      <c r="G810" t="n">
        <v>5.6</v>
      </c>
      <c r="H810" t="n">
        <v>0</v>
      </c>
      <c r="I810" t="n">
        <v>0</v>
      </c>
      <c r="J810" t="n">
        <v>0</v>
      </c>
      <c r="K810" t="n">
        <v>0</v>
      </c>
      <c r="L810" t="n">
        <v>0</v>
      </c>
      <c r="M810" t="n">
        <v>0</v>
      </c>
      <c r="N810" t="n">
        <v>0</v>
      </c>
      <c r="O810" t="n">
        <v>0</v>
      </c>
      <c r="P810" t="n">
        <v>0</v>
      </c>
      <c r="Q810" t="n">
        <v>0</v>
      </c>
      <c r="R810" s="2" t="inlineStr"/>
    </row>
    <row r="811" ht="15" customHeight="1">
      <c r="A811" t="inlineStr">
        <is>
          <t>A 8653-2026</t>
        </is>
      </c>
      <c r="B811" s="1" t="n">
        <v>46066.36811342592</v>
      </c>
      <c r="C811" s="1" t="n">
        <v>46134</v>
      </c>
      <c r="D811" t="inlineStr">
        <is>
          <t>JÄMTLANDS LÄN</t>
        </is>
      </c>
      <c r="E811" t="inlineStr">
        <is>
          <t>BERG</t>
        </is>
      </c>
      <c r="G811" t="n">
        <v>2.1</v>
      </c>
      <c r="H811" t="n">
        <v>0</v>
      </c>
      <c r="I811" t="n">
        <v>0</v>
      </c>
      <c r="J811" t="n">
        <v>0</v>
      </c>
      <c r="K811" t="n">
        <v>0</v>
      </c>
      <c r="L811" t="n">
        <v>0</v>
      </c>
      <c r="M811" t="n">
        <v>0</v>
      </c>
      <c r="N811" t="n">
        <v>0</v>
      </c>
      <c r="O811" t="n">
        <v>0</v>
      </c>
      <c r="P811" t="n">
        <v>0</v>
      </c>
      <c r="Q811" t="n">
        <v>0</v>
      </c>
      <c r="R811" s="2" t="inlineStr"/>
    </row>
    <row r="812" ht="15" customHeight="1">
      <c r="A812" t="inlineStr">
        <is>
          <t>A 41868-2024</t>
        </is>
      </c>
      <c r="B812" s="1" t="n">
        <v>45561.46900462963</v>
      </c>
      <c r="C812" s="1" t="n">
        <v>46134</v>
      </c>
      <c r="D812" t="inlineStr">
        <is>
          <t>JÄMTLANDS LÄN</t>
        </is>
      </c>
      <c r="E812" t="inlineStr">
        <is>
          <t>BERG</t>
        </is>
      </c>
      <c r="G812" t="n">
        <v>2.3</v>
      </c>
      <c r="H812" t="n">
        <v>0</v>
      </c>
      <c r="I812" t="n">
        <v>0</v>
      </c>
      <c r="J812" t="n">
        <v>0</v>
      </c>
      <c r="K812" t="n">
        <v>0</v>
      </c>
      <c r="L812" t="n">
        <v>0</v>
      </c>
      <c r="M812" t="n">
        <v>0</v>
      </c>
      <c r="N812" t="n">
        <v>0</v>
      </c>
      <c r="O812" t="n">
        <v>0</v>
      </c>
      <c r="P812" t="n">
        <v>0</v>
      </c>
      <c r="Q812" t="n">
        <v>0</v>
      </c>
      <c r="R812" s="2" t="inlineStr"/>
    </row>
    <row r="813" ht="15" customHeight="1">
      <c r="A813" t="inlineStr">
        <is>
          <t>A 34845-2023</t>
        </is>
      </c>
      <c r="B813" s="1" t="n">
        <v>45141.95964120371</v>
      </c>
      <c r="C813" s="1" t="n">
        <v>46134</v>
      </c>
      <c r="D813" t="inlineStr">
        <is>
          <t>JÄMTLANDS LÄN</t>
        </is>
      </c>
      <c r="E813" t="inlineStr">
        <is>
          <t>BERG</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8571-2026</t>
        </is>
      </c>
      <c r="B814" s="1" t="n">
        <v>46065.67915509259</v>
      </c>
      <c r="C814" s="1" t="n">
        <v>46134</v>
      </c>
      <c r="D814" t="inlineStr">
        <is>
          <t>JÄMTLANDS LÄN</t>
        </is>
      </c>
      <c r="E814" t="inlineStr">
        <is>
          <t>BERG</t>
        </is>
      </c>
      <c r="G814" t="n">
        <v>5.5</v>
      </c>
      <c r="H814" t="n">
        <v>0</v>
      </c>
      <c r="I814" t="n">
        <v>0</v>
      </c>
      <c r="J814" t="n">
        <v>0</v>
      </c>
      <c r="K814" t="n">
        <v>0</v>
      </c>
      <c r="L814" t="n">
        <v>0</v>
      </c>
      <c r="M814" t="n">
        <v>0</v>
      </c>
      <c r="N814" t="n">
        <v>0</v>
      </c>
      <c r="O814" t="n">
        <v>0</v>
      </c>
      <c r="P814" t="n">
        <v>0</v>
      </c>
      <c r="Q814" t="n">
        <v>0</v>
      </c>
      <c r="R814" s="2" t="inlineStr"/>
    </row>
    <row r="815" ht="15" customHeight="1">
      <c r="A815" t="inlineStr">
        <is>
          <t>A 31330-2024</t>
        </is>
      </c>
      <c r="B815" s="1" t="n">
        <v>45504</v>
      </c>
      <c r="C815" s="1" t="n">
        <v>46134</v>
      </c>
      <c r="D815" t="inlineStr">
        <is>
          <t>JÄMTLANDS LÄN</t>
        </is>
      </c>
      <c r="E815" t="inlineStr">
        <is>
          <t>BERG</t>
        </is>
      </c>
      <c r="G815" t="n">
        <v>30.5</v>
      </c>
      <c r="H815" t="n">
        <v>0</v>
      </c>
      <c r="I815" t="n">
        <v>0</v>
      </c>
      <c r="J815" t="n">
        <v>0</v>
      </c>
      <c r="K815" t="n">
        <v>0</v>
      </c>
      <c r="L815" t="n">
        <v>0</v>
      </c>
      <c r="M815" t="n">
        <v>0</v>
      </c>
      <c r="N815" t="n">
        <v>0</v>
      </c>
      <c r="O815" t="n">
        <v>0</v>
      </c>
      <c r="P815" t="n">
        <v>0</v>
      </c>
      <c r="Q815" t="n">
        <v>0</v>
      </c>
      <c r="R815" s="2" t="inlineStr"/>
    </row>
    <row r="816" ht="15" customHeight="1">
      <c r="A816" t="inlineStr">
        <is>
          <t>A 15852-2026</t>
        </is>
      </c>
      <c r="B816" s="1" t="n">
        <v>46107.57366898148</v>
      </c>
      <c r="C816" s="1" t="n">
        <v>46134</v>
      </c>
      <c r="D816" t="inlineStr">
        <is>
          <t>JÄMTLANDS LÄN</t>
        </is>
      </c>
      <c r="E816" t="inlineStr">
        <is>
          <t>BERG</t>
        </is>
      </c>
      <c r="F816" t="inlineStr">
        <is>
          <t>SCA</t>
        </is>
      </c>
      <c r="G816" t="n">
        <v>16.4</v>
      </c>
      <c r="H816" t="n">
        <v>0</v>
      </c>
      <c r="I816" t="n">
        <v>0</v>
      </c>
      <c r="J816" t="n">
        <v>0</v>
      </c>
      <c r="K816" t="n">
        <v>0</v>
      </c>
      <c r="L816" t="n">
        <v>0</v>
      </c>
      <c r="M816" t="n">
        <v>0</v>
      </c>
      <c r="N816" t="n">
        <v>0</v>
      </c>
      <c r="O816" t="n">
        <v>0</v>
      </c>
      <c r="P816" t="n">
        <v>0</v>
      </c>
      <c r="Q816" t="n">
        <v>0</v>
      </c>
      <c r="R816" s="2" t="inlineStr"/>
    </row>
    <row r="817" ht="15" customHeight="1">
      <c r="A817" t="inlineStr">
        <is>
          <t>A 8572-2026</t>
        </is>
      </c>
      <c r="B817" s="1" t="n">
        <v>46065.68355324074</v>
      </c>
      <c r="C817" s="1" t="n">
        <v>46134</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16346-2026</t>
        </is>
      </c>
      <c r="B818" s="1" t="n">
        <v>46111.58641203704</v>
      </c>
      <c r="C818" s="1" t="n">
        <v>46134</v>
      </c>
      <c r="D818" t="inlineStr">
        <is>
          <t>JÄMTLANDS LÄN</t>
        </is>
      </c>
      <c r="E818" t="inlineStr">
        <is>
          <t>BERG</t>
        </is>
      </c>
      <c r="F818" t="inlineStr">
        <is>
          <t>Övriga Aktiebolag</t>
        </is>
      </c>
      <c r="G818" t="n">
        <v>10.3</v>
      </c>
      <c r="H818" t="n">
        <v>0</v>
      </c>
      <c r="I818" t="n">
        <v>0</v>
      </c>
      <c r="J818" t="n">
        <v>0</v>
      </c>
      <c r="K818" t="n">
        <v>0</v>
      </c>
      <c r="L818" t="n">
        <v>0</v>
      </c>
      <c r="M818" t="n">
        <v>0</v>
      </c>
      <c r="N818" t="n">
        <v>0</v>
      </c>
      <c r="O818" t="n">
        <v>0</v>
      </c>
      <c r="P818" t="n">
        <v>0</v>
      </c>
      <c r="Q818" t="n">
        <v>0</v>
      </c>
      <c r="R818" s="2" t="inlineStr"/>
    </row>
    <row r="819" ht="15" customHeight="1">
      <c r="A819" t="inlineStr">
        <is>
          <t>A 34367-2024</t>
        </is>
      </c>
      <c r="B819" s="1" t="n">
        <v>45525.38040509259</v>
      </c>
      <c r="C819" s="1" t="n">
        <v>46134</v>
      </c>
      <c r="D819" t="inlineStr">
        <is>
          <t>JÄMTLANDS LÄN</t>
        </is>
      </c>
      <c r="E819" t="inlineStr">
        <is>
          <t>BERG</t>
        </is>
      </c>
      <c r="G819" t="n">
        <v>0.4</v>
      </c>
      <c r="H819" t="n">
        <v>0</v>
      </c>
      <c r="I819" t="n">
        <v>0</v>
      </c>
      <c r="J819" t="n">
        <v>0</v>
      </c>
      <c r="K819" t="n">
        <v>0</v>
      </c>
      <c r="L819" t="n">
        <v>0</v>
      </c>
      <c r="M819" t="n">
        <v>0</v>
      </c>
      <c r="N819" t="n">
        <v>0</v>
      </c>
      <c r="O819" t="n">
        <v>0</v>
      </c>
      <c r="P819" t="n">
        <v>0</v>
      </c>
      <c r="Q819" t="n">
        <v>0</v>
      </c>
      <c r="R819" s="2" t="inlineStr"/>
    </row>
    <row r="820" ht="15" customHeight="1">
      <c r="A820" t="inlineStr">
        <is>
          <t>A 34369-2024</t>
        </is>
      </c>
      <c r="B820" s="1" t="n">
        <v>45525.38228009259</v>
      </c>
      <c r="C820" s="1" t="n">
        <v>46134</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13108-2025</t>
        </is>
      </c>
      <c r="B821" s="1" t="n">
        <v>45734</v>
      </c>
      <c r="C821" s="1" t="n">
        <v>46134</v>
      </c>
      <c r="D821" t="inlineStr">
        <is>
          <t>JÄMTLANDS LÄN</t>
        </is>
      </c>
      <c r="E821" t="inlineStr">
        <is>
          <t>BERG</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9201-2026</t>
        </is>
      </c>
      <c r="B822" s="1" t="n">
        <v>46070.40723379629</v>
      </c>
      <c r="C822" s="1" t="n">
        <v>46134</v>
      </c>
      <c r="D822" t="inlineStr">
        <is>
          <t>JÄMTLANDS LÄN</t>
        </is>
      </c>
      <c r="E822" t="inlineStr">
        <is>
          <t>BERG</t>
        </is>
      </c>
      <c r="G822" t="n">
        <v>2.3</v>
      </c>
      <c r="H822" t="n">
        <v>0</v>
      </c>
      <c r="I822" t="n">
        <v>0</v>
      </c>
      <c r="J822" t="n">
        <v>0</v>
      </c>
      <c r="K822" t="n">
        <v>0</v>
      </c>
      <c r="L822" t="n">
        <v>0</v>
      </c>
      <c r="M822" t="n">
        <v>0</v>
      </c>
      <c r="N822" t="n">
        <v>0</v>
      </c>
      <c r="O822" t="n">
        <v>0</v>
      </c>
      <c r="P822" t="n">
        <v>0</v>
      </c>
      <c r="Q822" t="n">
        <v>0</v>
      </c>
      <c r="R822" s="2" t="inlineStr"/>
    </row>
    <row r="823" ht="15" customHeight="1">
      <c r="A823" t="inlineStr">
        <is>
          <t>A 9223-2026</t>
        </is>
      </c>
      <c r="B823" s="1" t="n">
        <v>46070.44862268519</v>
      </c>
      <c r="C823" s="1" t="n">
        <v>46134</v>
      </c>
      <c r="D823" t="inlineStr">
        <is>
          <t>JÄMTLANDS LÄN</t>
        </is>
      </c>
      <c r="E823" t="inlineStr">
        <is>
          <t>BERG</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9282-2026</t>
        </is>
      </c>
      <c r="B824" s="1" t="n">
        <v>46070.58050925926</v>
      </c>
      <c r="C824" s="1" t="n">
        <v>46134</v>
      </c>
      <c r="D824" t="inlineStr">
        <is>
          <t>JÄMTLANDS LÄN</t>
        </is>
      </c>
      <c r="E824" t="inlineStr">
        <is>
          <t>BERG</t>
        </is>
      </c>
      <c r="G824" t="n">
        <v>2.2</v>
      </c>
      <c r="H824" t="n">
        <v>0</v>
      </c>
      <c r="I824" t="n">
        <v>0</v>
      </c>
      <c r="J824" t="n">
        <v>0</v>
      </c>
      <c r="K824" t="n">
        <v>0</v>
      </c>
      <c r="L824" t="n">
        <v>0</v>
      </c>
      <c r="M824" t="n">
        <v>0</v>
      </c>
      <c r="N824" t="n">
        <v>0</v>
      </c>
      <c r="O824" t="n">
        <v>0</v>
      </c>
      <c r="P824" t="n">
        <v>0</v>
      </c>
      <c r="Q824" t="n">
        <v>0</v>
      </c>
      <c r="R824" s="2" t="inlineStr"/>
    </row>
    <row r="825" ht="15" customHeight="1">
      <c r="A825" t="inlineStr">
        <is>
          <t>A 65210-2023</t>
        </is>
      </c>
      <c r="B825" s="1" t="n">
        <v>45289</v>
      </c>
      <c r="C825" s="1" t="n">
        <v>46134</v>
      </c>
      <c r="D825" t="inlineStr">
        <is>
          <t>JÄMTLANDS LÄN</t>
        </is>
      </c>
      <c r="E825" t="inlineStr">
        <is>
          <t>BERG</t>
        </is>
      </c>
      <c r="G825" t="n">
        <v>0.4</v>
      </c>
      <c r="H825" t="n">
        <v>0</v>
      </c>
      <c r="I825" t="n">
        <v>0</v>
      </c>
      <c r="J825" t="n">
        <v>0</v>
      </c>
      <c r="K825" t="n">
        <v>0</v>
      </c>
      <c r="L825" t="n">
        <v>0</v>
      </c>
      <c r="M825" t="n">
        <v>0</v>
      </c>
      <c r="N825" t="n">
        <v>0</v>
      </c>
      <c r="O825" t="n">
        <v>0</v>
      </c>
      <c r="P825" t="n">
        <v>0</v>
      </c>
      <c r="Q825" t="n">
        <v>0</v>
      </c>
      <c r="R825" s="2" t="inlineStr"/>
    </row>
    <row r="826" ht="15" customHeight="1">
      <c r="A826" t="inlineStr">
        <is>
          <t>A 9277-2026</t>
        </is>
      </c>
      <c r="B826" s="1" t="n">
        <v>46070.57337962963</v>
      </c>
      <c r="C826" s="1" t="n">
        <v>46134</v>
      </c>
      <c r="D826" t="inlineStr">
        <is>
          <t>JÄMTLANDS LÄN</t>
        </is>
      </c>
      <c r="E826" t="inlineStr">
        <is>
          <t>BERG</t>
        </is>
      </c>
      <c r="F826" t="inlineStr">
        <is>
          <t>SCA</t>
        </is>
      </c>
      <c r="G826" t="n">
        <v>12.6</v>
      </c>
      <c r="H826" t="n">
        <v>0</v>
      </c>
      <c r="I826" t="n">
        <v>0</v>
      </c>
      <c r="J826" t="n">
        <v>0</v>
      </c>
      <c r="K826" t="n">
        <v>0</v>
      </c>
      <c r="L826" t="n">
        <v>0</v>
      </c>
      <c r="M826" t="n">
        <v>0</v>
      </c>
      <c r="N826" t="n">
        <v>0</v>
      </c>
      <c r="O826" t="n">
        <v>0</v>
      </c>
      <c r="P826" t="n">
        <v>0</v>
      </c>
      <c r="Q826" t="n">
        <v>0</v>
      </c>
      <c r="R826" s="2" t="inlineStr"/>
    </row>
    <row r="827" ht="15" customHeight="1">
      <c r="A827" t="inlineStr">
        <is>
          <t>A 9118-2026</t>
        </is>
      </c>
      <c r="B827" s="1" t="n">
        <v>46069.67773148148</v>
      </c>
      <c r="C827" s="1" t="n">
        <v>46134</v>
      </c>
      <c r="D827" t="inlineStr">
        <is>
          <t>JÄMTLANDS LÄN</t>
        </is>
      </c>
      <c r="E827" t="inlineStr">
        <is>
          <t>BERG</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9012-2026</t>
        </is>
      </c>
      <c r="B828" s="1" t="n">
        <v>46069.4900462963</v>
      </c>
      <c r="C828" s="1" t="n">
        <v>46134</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27239-2023</t>
        </is>
      </c>
      <c r="B829" s="1" t="n">
        <v>45092</v>
      </c>
      <c r="C829" s="1" t="n">
        <v>46134</v>
      </c>
      <c r="D829" t="inlineStr">
        <is>
          <t>JÄMTLANDS LÄN</t>
        </is>
      </c>
      <c r="E829" t="inlineStr">
        <is>
          <t>BERG</t>
        </is>
      </c>
      <c r="G829" t="n">
        <v>5.3</v>
      </c>
      <c r="H829" t="n">
        <v>0</v>
      </c>
      <c r="I829" t="n">
        <v>0</v>
      </c>
      <c r="J829" t="n">
        <v>0</v>
      </c>
      <c r="K829" t="n">
        <v>0</v>
      </c>
      <c r="L829" t="n">
        <v>0</v>
      </c>
      <c r="M829" t="n">
        <v>0</v>
      </c>
      <c r="N829" t="n">
        <v>0</v>
      </c>
      <c r="O829" t="n">
        <v>0</v>
      </c>
      <c r="P829" t="n">
        <v>0</v>
      </c>
      <c r="Q829" t="n">
        <v>0</v>
      </c>
      <c r="R829" s="2" t="inlineStr"/>
    </row>
    <row r="830" ht="15" customHeight="1">
      <c r="A830" t="inlineStr">
        <is>
          <t>A 59459-2024</t>
        </is>
      </c>
      <c r="B830" s="1" t="n">
        <v>45638</v>
      </c>
      <c r="C830" s="1" t="n">
        <v>46134</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33750-2023</t>
        </is>
      </c>
      <c r="B831" s="1" t="n">
        <v>45120</v>
      </c>
      <c r="C831" s="1" t="n">
        <v>46134</v>
      </c>
      <c r="D831" t="inlineStr">
        <is>
          <t>JÄMTLANDS LÄN</t>
        </is>
      </c>
      <c r="E831" t="inlineStr">
        <is>
          <t>BERG</t>
        </is>
      </c>
      <c r="G831" t="n">
        <v>2.6</v>
      </c>
      <c r="H831" t="n">
        <v>0</v>
      </c>
      <c r="I831" t="n">
        <v>0</v>
      </c>
      <c r="J831" t="n">
        <v>0</v>
      </c>
      <c r="K831" t="n">
        <v>0</v>
      </c>
      <c r="L831" t="n">
        <v>0</v>
      </c>
      <c r="M831" t="n">
        <v>0</v>
      </c>
      <c r="N831" t="n">
        <v>0</v>
      </c>
      <c r="O831" t="n">
        <v>0</v>
      </c>
      <c r="P831" t="n">
        <v>0</v>
      </c>
      <c r="Q831" t="n">
        <v>0</v>
      </c>
      <c r="R831" s="2" t="inlineStr"/>
    </row>
    <row r="832" ht="15" customHeight="1">
      <c r="A832" t="inlineStr">
        <is>
          <t>A 11599-2025</t>
        </is>
      </c>
      <c r="B832" s="1" t="n">
        <v>45727.4261574074</v>
      </c>
      <c r="C832" s="1" t="n">
        <v>46134</v>
      </c>
      <c r="D832" t="inlineStr">
        <is>
          <t>JÄMTLANDS LÄN</t>
        </is>
      </c>
      <c r="E832" t="inlineStr">
        <is>
          <t>BERG</t>
        </is>
      </c>
      <c r="G832" t="n">
        <v>1.4</v>
      </c>
      <c r="H832" t="n">
        <v>0</v>
      </c>
      <c r="I832" t="n">
        <v>0</v>
      </c>
      <c r="J832" t="n">
        <v>0</v>
      </c>
      <c r="K832" t="n">
        <v>0</v>
      </c>
      <c r="L832" t="n">
        <v>0</v>
      </c>
      <c r="M832" t="n">
        <v>0</v>
      </c>
      <c r="N832" t="n">
        <v>0</v>
      </c>
      <c r="O832" t="n">
        <v>0</v>
      </c>
      <c r="P832" t="n">
        <v>0</v>
      </c>
      <c r="Q832" t="n">
        <v>0</v>
      </c>
      <c r="R832" s="2" t="inlineStr"/>
    </row>
    <row r="833" ht="15" customHeight="1">
      <c r="A833" t="inlineStr">
        <is>
          <t>A 37086-2024</t>
        </is>
      </c>
      <c r="B833" s="1" t="n">
        <v>45539.49776620371</v>
      </c>
      <c r="C833" s="1" t="n">
        <v>46134</v>
      </c>
      <c r="D833" t="inlineStr">
        <is>
          <t>JÄMTLANDS LÄN</t>
        </is>
      </c>
      <c r="E833" t="inlineStr">
        <is>
          <t>BERG</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43762-2023</t>
        </is>
      </c>
      <c r="B834" s="1" t="n">
        <v>45182</v>
      </c>
      <c r="C834" s="1" t="n">
        <v>46134</v>
      </c>
      <c r="D834" t="inlineStr">
        <is>
          <t>JÄMTLANDS LÄN</t>
        </is>
      </c>
      <c r="E834" t="inlineStr">
        <is>
          <t>BERG</t>
        </is>
      </c>
      <c r="G834" t="n">
        <v>6.4</v>
      </c>
      <c r="H834" t="n">
        <v>0</v>
      </c>
      <c r="I834" t="n">
        <v>0</v>
      </c>
      <c r="J834" t="n">
        <v>0</v>
      </c>
      <c r="K834" t="n">
        <v>0</v>
      </c>
      <c r="L834" t="n">
        <v>0</v>
      </c>
      <c r="M834" t="n">
        <v>0</v>
      </c>
      <c r="N834" t="n">
        <v>0</v>
      </c>
      <c r="O834" t="n">
        <v>0</v>
      </c>
      <c r="P834" t="n">
        <v>0</v>
      </c>
      <c r="Q834" t="n">
        <v>0</v>
      </c>
      <c r="R834" s="2" t="inlineStr"/>
    </row>
    <row r="835" ht="15" customHeight="1">
      <c r="A835" t="inlineStr">
        <is>
          <t>A 17046-2026</t>
        </is>
      </c>
      <c r="B835" s="1" t="n">
        <v>46114.4804050926</v>
      </c>
      <c r="C835" s="1" t="n">
        <v>46134</v>
      </c>
      <c r="D835" t="inlineStr">
        <is>
          <t>JÄMTLANDS LÄN</t>
        </is>
      </c>
      <c r="E835" t="inlineStr">
        <is>
          <t>BERG</t>
        </is>
      </c>
      <c r="G835" t="n">
        <v>28.9</v>
      </c>
      <c r="H835" t="n">
        <v>0</v>
      </c>
      <c r="I835" t="n">
        <v>0</v>
      </c>
      <c r="J835" t="n">
        <v>0</v>
      </c>
      <c r="K835" t="n">
        <v>0</v>
      </c>
      <c r="L835" t="n">
        <v>0</v>
      </c>
      <c r="M835" t="n">
        <v>0</v>
      </c>
      <c r="N835" t="n">
        <v>0</v>
      </c>
      <c r="O835" t="n">
        <v>0</v>
      </c>
      <c r="P835" t="n">
        <v>0</v>
      </c>
      <c r="Q835" t="n">
        <v>0</v>
      </c>
      <c r="R835" s="2" t="inlineStr"/>
    </row>
    <row r="836" ht="15" customHeight="1">
      <c r="A836" t="inlineStr">
        <is>
          <t>A 31155-2024</t>
        </is>
      </c>
      <c r="B836" s="1" t="n">
        <v>45503</v>
      </c>
      <c r="C836" s="1" t="n">
        <v>46134</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35921-2024</t>
        </is>
      </c>
      <c r="B837" s="1" t="n">
        <v>45533.42659722222</v>
      </c>
      <c r="C837" s="1" t="n">
        <v>46134</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13463-2026</t>
        </is>
      </c>
      <c r="B838" s="1" t="n">
        <v>46094</v>
      </c>
      <c r="C838" s="1" t="n">
        <v>46134</v>
      </c>
      <c r="D838" t="inlineStr">
        <is>
          <t>JÄMTLANDS LÄN</t>
        </is>
      </c>
      <c r="E838" t="inlineStr">
        <is>
          <t>BERG</t>
        </is>
      </c>
      <c r="G838" t="n">
        <v>11</v>
      </c>
      <c r="H838" t="n">
        <v>0</v>
      </c>
      <c r="I838" t="n">
        <v>0</v>
      </c>
      <c r="J838" t="n">
        <v>0</v>
      </c>
      <c r="K838" t="n">
        <v>0</v>
      </c>
      <c r="L838" t="n">
        <v>0</v>
      </c>
      <c r="M838" t="n">
        <v>0</v>
      </c>
      <c r="N838" t="n">
        <v>0</v>
      </c>
      <c r="O838" t="n">
        <v>0</v>
      </c>
      <c r="P838" t="n">
        <v>0</v>
      </c>
      <c r="Q838" t="n">
        <v>0</v>
      </c>
      <c r="R838" s="2" t="inlineStr"/>
    </row>
    <row r="839" ht="15" customHeight="1">
      <c r="A839" t="inlineStr">
        <is>
          <t>A 5014-2024</t>
        </is>
      </c>
      <c r="B839" s="1" t="n">
        <v>45329</v>
      </c>
      <c r="C839" s="1" t="n">
        <v>46134</v>
      </c>
      <c r="D839" t="inlineStr">
        <is>
          <t>JÄMTLANDS LÄN</t>
        </is>
      </c>
      <c r="E839" t="inlineStr">
        <is>
          <t>BERG</t>
        </is>
      </c>
      <c r="G839" t="n">
        <v>1.1</v>
      </c>
      <c r="H839" t="n">
        <v>0</v>
      </c>
      <c r="I839" t="n">
        <v>0</v>
      </c>
      <c r="J839" t="n">
        <v>0</v>
      </c>
      <c r="K839" t="n">
        <v>0</v>
      </c>
      <c r="L839" t="n">
        <v>0</v>
      </c>
      <c r="M839" t="n">
        <v>0</v>
      </c>
      <c r="N839" t="n">
        <v>0</v>
      </c>
      <c r="O839" t="n">
        <v>0</v>
      </c>
      <c r="P839" t="n">
        <v>0</v>
      </c>
      <c r="Q839" t="n">
        <v>0</v>
      </c>
      <c r="R839" s="2" t="inlineStr"/>
    </row>
    <row r="840" ht="15" customHeight="1">
      <c r="A840" t="inlineStr">
        <is>
          <t>A 45346-2023</t>
        </is>
      </c>
      <c r="B840" s="1" t="n">
        <v>45191</v>
      </c>
      <c r="C840" s="1" t="n">
        <v>46134</v>
      </c>
      <c r="D840" t="inlineStr">
        <is>
          <t>JÄMTLANDS LÄN</t>
        </is>
      </c>
      <c r="E840" t="inlineStr">
        <is>
          <t>BERG</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51039-2024</t>
        </is>
      </c>
      <c r="B841" s="1" t="n">
        <v>45603.43164351852</v>
      </c>
      <c r="C841" s="1" t="n">
        <v>46134</v>
      </c>
      <c r="D841" t="inlineStr">
        <is>
          <t>JÄMTLANDS LÄN</t>
        </is>
      </c>
      <c r="E841" t="inlineStr">
        <is>
          <t>BERG</t>
        </is>
      </c>
      <c r="G841" t="n">
        <v>14</v>
      </c>
      <c r="H841" t="n">
        <v>0</v>
      </c>
      <c r="I841" t="n">
        <v>0</v>
      </c>
      <c r="J841" t="n">
        <v>0</v>
      </c>
      <c r="K841" t="n">
        <v>0</v>
      </c>
      <c r="L841" t="n">
        <v>0</v>
      </c>
      <c r="M841" t="n">
        <v>0</v>
      </c>
      <c r="N841" t="n">
        <v>0</v>
      </c>
      <c r="O841" t="n">
        <v>0</v>
      </c>
      <c r="P841" t="n">
        <v>0</v>
      </c>
      <c r="Q841" t="n">
        <v>0</v>
      </c>
      <c r="R841" s="2" t="inlineStr"/>
    </row>
    <row r="842" ht="15" customHeight="1">
      <c r="A842" t="inlineStr">
        <is>
          <t>A 20882-2023</t>
        </is>
      </c>
      <c r="B842" s="1" t="n">
        <v>45058</v>
      </c>
      <c r="C842" s="1" t="n">
        <v>46134</v>
      </c>
      <c r="D842" t="inlineStr">
        <is>
          <t>JÄMTLANDS LÄN</t>
        </is>
      </c>
      <c r="E842" t="inlineStr">
        <is>
          <t>BERG</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59521-2024</t>
        </is>
      </c>
      <c r="B843" s="1" t="n">
        <v>45638.57283564815</v>
      </c>
      <c r="C843" s="1" t="n">
        <v>46134</v>
      </c>
      <c r="D843" t="inlineStr">
        <is>
          <t>JÄMTLANDS LÄN</t>
        </is>
      </c>
      <c r="E843" t="inlineStr">
        <is>
          <t>BERG</t>
        </is>
      </c>
      <c r="G843" t="n">
        <v>2.1</v>
      </c>
      <c r="H843" t="n">
        <v>0</v>
      </c>
      <c r="I843" t="n">
        <v>0</v>
      </c>
      <c r="J843" t="n">
        <v>0</v>
      </c>
      <c r="K843" t="n">
        <v>0</v>
      </c>
      <c r="L843" t="n">
        <v>0</v>
      </c>
      <c r="M843" t="n">
        <v>0</v>
      </c>
      <c r="N843" t="n">
        <v>0</v>
      </c>
      <c r="O843" t="n">
        <v>0</v>
      </c>
      <c r="P843" t="n">
        <v>0</v>
      </c>
      <c r="Q843" t="n">
        <v>0</v>
      </c>
      <c r="R843" s="2" t="inlineStr"/>
    </row>
    <row r="844" ht="15" customHeight="1">
      <c r="A844" t="inlineStr">
        <is>
          <t>A 48307-2024</t>
        </is>
      </c>
      <c r="B844" s="1" t="n">
        <v>45590.47684027778</v>
      </c>
      <c r="C844" s="1" t="n">
        <v>46134</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46874-2023</t>
        </is>
      </c>
      <c r="B845" s="1" t="n">
        <v>45200</v>
      </c>
      <c r="C845" s="1" t="n">
        <v>46134</v>
      </c>
      <c r="D845" t="inlineStr">
        <is>
          <t>JÄMTLANDS LÄN</t>
        </is>
      </c>
      <c r="E845" t="inlineStr">
        <is>
          <t>BERG</t>
        </is>
      </c>
      <c r="F845" t="inlineStr">
        <is>
          <t>Naturvårdsverket</t>
        </is>
      </c>
      <c r="G845" t="n">
        <v>1.1</v>
      </c>
      <c r="H845" t="n">
        <v>0</v>
      </c>
      <c r="I845" t="n">
        <v>0</v>
      </c>
      <c r="J845" t="n">
        <v>0</v>
      </c>
      <c r="K845" t="n">
        <v>0</v>
      </c>
      <c r="L845" t="n">
        <v>0</v>
      </c>
      <c r="M845" t="n">
        <v>0</v>
      </c>
      <c r="N845" t="n">
        <v>0</v>
      </c>
      <c r="O845" t="n">
        <v>0</v>
      </c>
      <c r="P845" t="n">
        <v>0</v>
      </c>
      <c r="Q845" t="n">
        <v>0</v>
      </c>
      <c r="R845" s="2" t="inlineStr"/>
    </row>
    <row r="846" ht="15" customHeight="1">
      <c r="A846" t="inlineStr">
        <is>
          <t>A 11093-2026</t>
        </is>
      </c>
      <c r="B846" s="1" t="n">
        <v>46079.64143518519</v>
      </c>
      <c r="C846" s="1" t="n">
        <v>46134</v>
      </c>
      <c r="D846" t="inlineStr">
        <is>
          <t>JÄMTLANDS LÄN</t>
        </is>
      </c>
      <c r="E846" t="inlineStr">
        <is>
          <t>BERG</t>
        </is>
      </c>
      <c r="G846" t="n">
        <v>4.5</v>
      </c>
      <c r="H846" t="n">
        <v>0</v>
      </c>
      <c r="I846" t="n">
        <v>0</v>
      </c>
      <c r="J846" t="n">
        <v>0</v>
      </c>
      <c r="K846" t="n">
        <v>0</v>
      </c>
      <c r="L846" t="n">
        <v>0</v>
      </c>
      <c r="M846" t="n">
        <v>0</v>
      </c>
      <c r="N846" t="n">
        <v>0</v>
      </c>
      <c r="O846" t="n">
        <v>0</v>
      </c>
      <c r="P846" t="n">
        <v>0</v>
      </c>
      <c r="Q846" t="n">
        <v>0</v>
      </c>
      <c r="R846" s="2" t="inlineStr"/>
    </row>
    <row r="847" ht="15" customHeight="1">
      <c r="A847" t="inlineStr">
        <is>
          <t>A 1495-2025</t>
        </is>
      </c>
      <c r="B847" s="1" t="n">
        <v>45670.40652777778</v>
      </c>
      <c r="C847" s="1" t="n">
        <v>46134</v>
      </c>
      <c r="D847" t="inlineStr">
        <is>
          <t>JÄMTLANDS LÄN</t>
        </is>
      </c>
      <c r="E847" t="inlineStr">
        <is>
          <t>BERG</t>
        </is>
      </c>
      <c r="G847" t="n">
        <v>0.3</v>
      </c>
      <c r="H847" t="n">
        <v>0</v>
      </c>
      <c r="I847" t="n">
        <v>0</v>
      </c>
      <c r="J847" t="n">
        <v>0</v>
      </c>
      <c r="K847" t="n">
        <v>0</v>
      </c>
      <c r="L847" t="n">
        <v>0</v>
      </c>
      <c r="M847" t="n">
        <v>0</v>
      </c>
      <c r="N847" t="n">
        <v>0</v>
      </c>
      <c r="O847" t="n">
        <v>0</v>
      </c>
      <c r="P847" t="n">
        <v>0</v>
      </c>
      <c r="Q847" t="n">
        <v>0</v>
      </c>
      <c r="R847" s="2" t="inlineStr"/>
    </row>
    <row r="848" ht="15" customHeight="1">
      <c r="A848" t="inlineStr">
        <is>
          <t>A 35986-2023</t>
        </is>
      </c>
      <c r="B848" s="1" t="n">
        <v>45148</v>
      </c>
      <c r="C848" s="1" t="n">
        <v>46134</v>
      </c>
      <c r="D848" t="inlineStr">
        <is>
          <t>JÄMTLANDS LÄN</t>
        </is>
      </c>
      <c r="E848" t="inlineStr">
        <is>
          <t>BERG</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17470-2026</t>
        </is>
      </c>
      <c r="B849" s="1" t="n">
        <v>46120.51174768519</v>
      </c>
      <c r="C849" s="1" t="n">
        <v>46134</v>
      </c>
      <c r="D849" t="inlineStr">
        <is>
          <t>JÄMTLANDS LÄN</t>
        </is>
      </c>
      <c r="E849" t="inlineStr">
        <is>
          <t>BERG</t>
        </is>
      </c>
      <c r="F849" t="inlineStr">
        <is>
          <t>SCA</t>
        </is>
      </c>
      <c r="G849" t="n">
        <v>7.2</v>
      </c>
      <c r="H849" t="n">
        <v>0</v>
      </c>
      <c r="I849" t="n">
        <v>0</v>
      </c>
      <c r="J849" t="n">
        <v>0</v>
      </c>
      <c r="K849" t="n">
        <v>0</v>
      </c>
      <c r="L849" t="n">
        <v>0</v>
      </c>
      <c r="M849" t="n">
        <v>0</v>
      </c>
      <c r="N849" t="n">
        <v>0</v>
      </c>
      <c r="O849" t="n">
        <v>0</v>
      </c>
      <c r="P849" t="n">
        <v>0</v>
      </c>
      <c r="Q849" t="n">
        <v>0</v>
      </c>
      <c r="R849" s="2" t="inlineStr"/>
    </row>
    <row r="850" ht="15" customHeight="1">
      <c r="A850" t="inlineStr">
        <is>
          <t>A 10778-2026</t>
        </is>
      </c>
      <c r="B850" s="1" t="n">
        <v>46078.5741087963</v>
      </c>
      <c r="C850" s="1" t="n">
        <v>46134</v>
      </c>
      <c r="D850" t="inlineStr">
        <is>
          <t>JÄMTLANDS LÄN</t>
        </is>
      </c>
      <c r="E850" t="inlineStr">
        <is>
          <t>BERG</t>
        </is>
      </c>
      <c r="G850" t="n">
        <v>7.1</v>
      </c>
      <c r="H850" t="n">
        <v>0</v>
      </c>
      <c r="I850" t="n">
        <v>0</v>
      </c>
      <c r="J850" t="n">
        <v>0</v>
      </c>
      <c r="K850" t="n">
        <v>0</v>
      </c>
      <c r="L850" t="n">
        <v>0</v>
      </c>
      <c r="M850" t="n">
        <v>0</v>
      </c>
      <c r="N850" t="n">
        <v>0</v>
      </c>
      <c r="O850" t="n">
        <v>0</v>
      </c>
      <c r="P850" t="n">
        <v>0</v>
      </c>
      <c r="Q850" t="n">
        <v>0</v>
      </c>
      <c r="R850" s="2" t="inlineStr"/>
    </row>
    <row r="851" ht="15" customHeight="1">
      <c r="A851" t="inlineStr">
        <is>
          <t>A 57661-2024</t>
        </is>
      </c>
      <c r="B851" s="1" t="n">
        <v>45630.6140162037</v>
      </c>
      <c r="C851" s="1" t="n">
        <v>46134</v>
      </c>
      <c r="D851" t="inlineStr">
        <is>
          <t>JÄMTLANDS LÄN</t>
        </is>
      </c>
      <c r="E851" t="inlineStr">
        <is>
          <t>BERG</t>
        </is>
      </c>
      <c r="G851" t="n">
        <v>0.8</v>
      </c>
      <c r="H851" t="n">
        <v>0</v>
      </c>
      <c r="I851" t="n">
        <v>0</v>
      </c>
      <c r="J851" t="n">
        <v>0</v>
      </c>
      <c r="K851" t="n">
        <v>0</v>
      </c>
      <c r="L851" t="n">
        <v>0</v>
      </c>
      <c r="M851" t="n">
        <v>0</v>
      </c>
      <c r="N851" t="n">
        <v>0</v>
      </c>
      <c r="O851" t="n">
        <v>0</v>
      </c>
      <c r="P851" t="n">
        <v>0</v>
      </c>
      <c r="Q851" t="n">
        <v>0</v>
      </c>
      <c r="R851" s="2" t="inlineStr"/>
    </row>
    <row r="852" ht="15" customHeight="1">
      <c r="A852" t="inlineStr">
        <is>
          <t>A 17420-2026</t>
        </is>
      </c>
      <c r="B852" s="1" t="n">
        <v>46120.36201388889</v>
      </c>
      <c r="C852" s="1" t="n">
        <v>46134</v>
      </c>
      <c r="D852" t="inlineStr">
        <is>
          <t>JÄMTLANDS LÄN</t>
        </is>
      </c>
      <c r="E852" t="inlineStr">
        <is>
          <t>BERG</t>
        </is>
      </c>
      <c r="G852" t="n">
        <v>5</v>
      </c>
      <c r="H852" t="n">
        <v>0</v>
      </c>
      <c r="I852" t="n">
        <v>0</v>
      </c>
      <c r="J852" t="n">
        <v>0</v>
      </c>
      <c r="K852" t="n">
        <v>0</v>
      </c>
      <c r="L852" t="n">
        <v>0</v>
      </c>
      <c r="M852" t="n">
        <v>0</v>
      </c>
      <c r="N852" t="n">
        <v>0</v>
      </c>
      <c r="O852" t="n">
        <v>0</v>
      </c>
      <c r="P852" t="n">
        <v>0</v>
      </c>
      <c r="Q852" t="n">
        <v>0</v>
      </c>
      <c r="R852" s="2" t="inlineStr"/>
    </row>
    <row r="853" ht="15" customHeight="1">
      <c r="A853" t="inlineStr">
        <is>
          <t>A 11134-2026</t>
        </is>
      </c>
      <c r="B853" s="1" t="n">
        <v>46079.74704861111</v>
      </c>
      <c r="C853" s="1" t="n">
        <v>46134</v>
      </c>
      <c r="D853" t="inlineStr">
        <is>
          <t>JÄMTLANDS LÄN</t>
        </is>
      </c>
      <c r="E853" t="inlineStr">
        <is>
          <t>BERG</t>
        </is>
      </c>
      <c r="G853" t="n">
        <v>3.9</v>
      </c>
      <c r="H853" t="n">
        <v>0</v>
      </c>
      <c r="I853" t="n">
        <v>0</v>
      </c>
      <c r="J853" t="n">
        <v>0</v>
      </c>
      <c r="K853" t="n">
        <v>0</v>
      </c>
      <c r="L853" t="n">
        <v>0</v>
      </c>
      <c r="M853" t="n">
        <v>0</v>
      </c>
      <c r="N853" t="n">
        <v>0</v>
      </c>
      <c r="O853" t="n">
        <v>0</v>
      </c>
      <c r="P853" t="n">
        <v>0</v>
      </c>
      <c r="Q853" t="n">
        <v>0</v>
      </c>
      <c r="R853" s="2" t="inlineStr"/>
    </row>
    <row r="854" ht="15" customHeight="1">
      <c r="A854" t="inlineStr">
        <is>
          <t>A 58176-2024</t>
        </is>
      </c>
      <c r="B854" s="1" t="n">
        <v>45632.46771990741</v>
      </c>
      <c r="C854" s="1" t="n">
        <v>46134</v>
      </c>
      <c r="D854" t="inlineStr">
        <is>
          <t>JÄMTLANDS LÄN</t>
        </is>
      </c>
      <c r="E854" t="inlineStr">
        <is>
          <t>BERG</t>
        </is>
      </c>
      <c r="G854" t="n">
        <v>14.4</v>
      </c>
      <c r="H854" t="n">
        <v>0</v>
      </c>
      <c r="I854" t="n">
        <v>0</v>
      </c>
      <c r="J854" t="n">
        <v>0</v>
      </c>
      <c r="K854" t="n">
        <v>0</v>
      </c>
      <c r="L854" t="n">
        <v>0</v>
      </c>
      <c r="M854" t="n">
        <v>0</v>
      </c>
      <c r="N854" t="n">
        <v>0</v>
      </c>
      <c r="O854" t="n">
        <v>0</v>
      </c>
      <c r="P854" t="n">
        <v>0</v>
      </c>
      <c r="Q854" t="n">
        <v>0</v>
      </c>
      <c r="R854" s="2" t="inlineStr"/>
    </row>
    <row r="855" ht="15" customHeight="1">
      <c r="A855" t="inlineStr">
        <is>
          <t>A 17624-2026</t>
        </is>
      </c>
      <c r="B855" s="1" t="n">
        <v>46121.46959490741</v>
      </c>
      <c r="C855" s="1" t="n">
        <v>46134</v>
      </c>
      <c r="D855" t="inlineStr">
        <is>
          <t>JÄMTLANDS LÄN</t>
        </is>
      </c>
      <c r="E855" t="inlineStr">
        <is>
          <t>BERG</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7021-2025</t>
        </is>
      </c>
      <c r="B856" s="1" t="n">
        <v>45701.61520833334</v>
      </c>
      <c r="C856" s="1" t="n">
        <v>46134</v>
      </c>
      <c r="D856" t="inlineStr">
        <is>
          <t>JÄMTLANDS LÄN</t>
        </is>
      </c>
      <c r="E856" t="inlineStr">
        <is>
          <t>BERG</t>
        </is>
      </c>
      <c r="G856" t="n">
        <v>4.2</v>
      </c>
      <c r="H856" t="n">
        <v>0</v>
      </c>
      <c r="I856" t="n">
        <v>0</v>
      </c>
      <c r="J856" t="n">
        <v>0</v>
      </c>
      <c r="K856" t="n">
        <v>0</v>
      </c>
      <c r="L856" t="n">
        <v>0</v>
      </c>
      <c r="M856" t="n">
        <v>0</v>
      </c>
      <c r="N856" t="n">
        <v>0</v>
      </c>
      <c r="O856" t="n">
        <v>0</v>
      </c>
      <c r="P856" t="n">
        <v>0</v>
      </c>
      <c r="Q856" t="n">
        <v>0</v>
      </c>
      <c r="R856" s="2" t="inlineStr"/>
    </row>
    <row r="857" ht="15" customHeight="1">
      <c r="A857" t="inlineStr">
        <is>
          <t>A 17631-2026</t>
        </is>
      </c>
      <c r="B857" s="1" t="n">
        <v>46121</v>
      </c>
      <c r="C857" s="1" t="n">
        <v>46134</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11403-2026</t>
        </is>
      </c>
      <c r="B858" s="1" t="n">
        <v>46083.45075231481</v>
      </c>
      <c r="C858" s="1" t="n">
        <v>46134</v>
      </c>
      <c r="D858" t="inlineStr">
        <is>
          <t>JÄMTLANDS LÄN</t>
        </is>
      </c>
      <c r="E858" t="inlineStr">
        <is>
          <t>BERG</t>
        </is>
      </c>
      <c r="G858" t="n">
        <v>0.5</v>
      </c>
      <c r="H858" t="n">
        <v>0</v>
      </c>
      <c r="I858" t="n">
        <v>0</v>
      </c>
      <c r="J858" t="n">
        <v>0</v>
      </c>
      <c r="K858" t="n">
        <v>0</v>
      </c>
      <c r="L858" t="n">
        <v>0</v>
      </c>
      <c r="M858" t="n">
        <v>0</v>
      </c>
      <c r="N858" t="n">
        <v>0</v>
      </c>
      <c r="O858" t="n">
        <v>0</v>
      </c>
      <c r="P858" t="n">
        <v>0</v>
      </c>
      <c r="Q858" t="n">
        <v>0</v>
      </c>
      <c r="R858" s="2" t="inlineStr"/>
    </row>
    <row r="859" ht="15" customHeight="1">
      <c r="A859" t="inlineStr">
        <is>
          <t>A 11408-2026</t>
        </is>
      </c>
      <c r="B859" s="1" t="n">
        <v>46083.45653935185</v>
      </c>
      <c r="C859" s="1" t="n">
        <v>46134</v>
      </c>
      <c r="D859" t="inlineStr">
        <is>
          <t>JÄMTLANDS LÄN</t>
        </is>
      </c>
      <c r="E859" t="inlineStr">
        <is>
          <t>BERG</t>
        </is>
      </c>
      <c r="G859" t="n">
        <v>1.1</v>
      </c>
      <c r="H859" t="n">
        <v>0</v>
      </c>
      <c r="I859" t="n">
        <v>0</v>
      </c>
      <c r="J859" t="n">
        <v>0</v>
      </c>
      <c r="K859" t="n">
        <v>0</v>
      </c>
      <c r="L859" t="n">
        <v>0</v>
      </c>
      <c r="M859" t="n">
        <v>0</v>
      </c>
      <c r="N859" t="n">
        <v>0</v>
      </c>
      <c r="O859" t="n">
        <v>0</v>
      </c>
      <c r="P859" t="n">
        <v>0</v>
      </c>
      <c r="Q859" t="n">
        <v>0</v>
      </c>
      <c r="R859" s="2" t="inlineStr"/>
    </row>
    <row r="860" ht="15" customHeight="1">
      <c r="A860" t="inlineStr">
        <is>
          <t>A 11141-2026</t>
        </is>
      </c>
      <c r="B860" s="1" t="n">
        <v>46079.85365740741</v>
      </c>
      <c r="C860" s="1" t="n">
        <v>46134</v>
      </c>
      <c r="D860" t="inlineStr">
        <is>
          <t>JÄMTLANDS LÄN</t>
        </is>
      </c>
      <c r="E860" t="inlineStr">
        <is>
          <t>BERG</t>
        </is>
      </c>
      <c r="G860" t="n">
        <v>5.2</v>
      </c>
      <c r="H860" t="n">
        <v>0</v>
      </c>
      <c r="I860" t="n">
        <v>0</v>
      </c>
      <c r="J860" t="n">
        <v>0</v>
      </c>
      <c r="K860" t="n">
        <v>0</v>
      </c>
      <c r="L860" t="n">
        <v>0</v>
      </c>
      <c r="M860" t="n">
        <v>0</v>
      </c>
      <c r="N860" t="n">
        <v>0</v>
      </c>
      <c r="O860" t="n">
        <v>0</v>
      </c>
      <c r="P860" t="n">
        <v>0</v>
      </c>
      <c r="Q860" t="n">
        <v>0</v>
      </c>
      <c r="R860" s="2" t="inlineStr"/>
    </row>
    <row r="861" ht="15" customHeight="1">
      <c r="A861" t="inlineStr">
        <is>
          <t>A 11144-2026</t>
        </is>
      </c>
      <c r="B861" s="1" t="n">
        <v>46079.88511574074</v>
      </c>
      <c r="C861" s="1" t="n">
        <v>46134</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11409-2026</t>
        </is>
      </c>
      <c r="B862" s="1" t="n">
        <v>46083.4584375</v>
      </c>
      <c r="C862" s="1" t="n">
        <v>46134</v>
      </c>
      <c r="D862" t="inlineStr">
        <is>
          <t>JÄMTLANDS LÄN</t>
        </is>
      </c>
      <c r="E862" t="inlineStr">
        <is>
          <t>BERG</t>
        </is>
      </c>
      <c r="G862" t="n">
        <v>2</v>
      </c>
      <c r="H862" t="n">
        <v>0</v>
      </c>
      <c r="I862" t="n">
        <v>0</v>
      </c>
      <c r="J862" t="n">
        <v>0</v>
      </c>
      <c r="K862" t="n">
        <v>0</v>
      </c>
      <c r="L862" t="n">
        <v>0</v>
      </c>
      <c r="M862" t="n">
        <v>0</v>
      </c>
      <c r="N862" t="n">
        <v>0</v>
      </c>
      <c r="O862" t="n">
        <v>0</v>
      </c>
      <c r="P862" t="n">
        <v>0</v>
      </c>
      <c r="Q862" t="n">
        <v>0</v>
      </c>
      <c r="R862" s="2" t="inlineStr"/>
    </row>
    <row r="863" ht="15" customHeight="1">
      <c r="A863" t="inlineStr">
        <is>
          <t>A 43137-2025</t>
        </is>
      </c>
      <c r="B863" s="1" t="n">
        <v>45909.85438657407</v>
      </c>
      <c r="C863" s="1" t="n">
        <v>46134</v>
      </c>
      <c r="D863" t="inlineStr">
        <is>
          <t>JÄMTLANDS LÄN</t>
        </is>
      </c>
      <c r="E863" t="inlineStr">
        <is>
          <t>BERG</t>
        </is>
      </c>
      <c r="F863" t="inlineStr">
        <is>
          <t>Övriga statliga verk och myndigheter</t>
        </is>
      </c>
      <c r="G863" t="n">
        <v>11.6</v>
      </c>
      <c r="H863" t="n">
        <v>0</v>
      </c>
      <c r="I863" t="n">
        <v>0</v>
      </c>
      <c r="J863" t="n">
        <v>0</v>
      </c>
      <c r="K863" t="n">
        <v>0</v>
      </c>
      <c r="L863" t="n">
        <v>0</v>
      </c>
      <c r="M863" t="n">
        <v>0</v>
      </c>
      <c r="N863" t="n">
        <v>0</v>
      </c>
      <c r="O863" t="n">
        <v>0</v>
      </c>
      <c r="P863" t="n">
        <v>0</v>
      </c>
      <c r="Q863" t="n">
        <v>0</v>
      </c>
      <c r="R863" s="2" t="inlineStr"/>
    </row>
    <row r="864" ht="15" customHeight="1">
      <c r="A864" t="inlineStr">
        <is>
          <t>A 18007-2026</t>
        </is>
      </c>
      <c r="B864" s="1" t="n">
        <v>46125.31802083334</v>
      </c>
      <c r="C864" s="1" t="n">
        <v>46134</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11395-2026</t>
        </is>
      </c>
      <c r="B865" s="1" t="n">
        <v>46083.43694444445</v>
      </c>
      <c r="C865" s="1" t="n">
        <v>46134</v>
      </c>
      <c r="D865" t="inlineStr">
        <is>
          <t>JÄMTLANDS LÄN</t>
        </is>
      </c>
      <c r="E865" t="inlineStr">
        <is>
          <t>BERG</t>
        </is>
      </c>
      <c r="G865" t="n">
        <v>8.6</v>
      </c>
      <c r="H865" t="n">
        <v>0</v>
      </c>
      <c r="I865" t="n">
        <v>0</v>
      </c>
      <c r="J865" t="n">
        <v>0</v>
      </c>
      <c r="K865" t="n">
        <v>0</v>
      </c>
      <c r="L865" t="n">
        <v>0</v>
      </c>
      <c r="M865" t="n">
        <v>0</v>
      </c>
      <c r="N865" t="n">
        <v>0</v>
      </c>
      <c r="O865" t="n">
        <v>0</v>
      </c>
      <c r="P865" t="n">
        <v>0</v>
      </c>
      <c r="Q865" t="n">
        <v>0</v>
      </c>
      <c r="R865" s="2" t="inlineStr"/>
    </row>
    <row r="866" ht="15" customHeight="1">
      <c r="A866" t="inlineStr">
        <is>
          <t>A 11418-2026</t>
        </is>
      </c>
      <c r="B866" s="1" t="n">
        <v>46083.47025462963</v>
      </c>
      <c r="C866" s="1" t="n">
        <v>46134</v>
      </c>
      <c r="D866" t="inlineStr">
        <is>
          <t>JÄMTLANDS LÄN</t>
        </is>
      </c>
      <c r="E866" t="inlineStr">
        <is>
          <t>BERG</t>
        </is>
      </c>
      <c r="G866" t="n">
        <v>17.8</v>
      </c>
      <c r="H866" t="n">
        <v>0</v>
      </c>
      <c r="I866" t="n">
        <v>0</v>
      </c>
      <c r="J866" t="n">
        <v>0</v>
      </c>
      <c r="K866" t="n">
        <v>0</v>
      </c>
      <c r="L866" t="n">
        <v>0</v>
      </c>
      <c r="M866" t="n">
        <v>0</v>
      </c>
      <c r="N866" t="n">
        <v>0</v>
      </c>
      <c r="O866" t="n">
        <v>0</v>
      </c>
      <c r="P866" t="n">
        <v>0</v>
      </c>
      <c r="Q866" t="n">
        <v>0</v>
      </c>
      <c r="R866" s="2" t="inlineStr"/>
    </row>
    <row r="867" ht="15" customHeight="1">
      <c r="A867" t="inlineStr">
        <is>
          <t>A 18082-2026</t>
        </is>
      </c>
      <c r="B867" s="1" t="n">
        <v>46125.53168981482</v>
      </c>
      <c r="C867" s="1" t="n">
        <v>46134</v>
      </c>
      <c r="D867" t="inlineStr">
        <is>
          <t>JÄMTLANDS LÄN</t>
        </is>
      </c>
      <c r="E867" t="inlineStr">
        <is>
          <t>BERG</t>
        </is>
      </c>
      <c r="F867" t="inlineStr">
        <is>
          <t>SCA</t>
        </is>
      </c>
      <c r="G867" t="n">
        <v>10.3</v>
      </c>
      <c r="H867" t="n">
        <v>0</v>
      </c>
      <c r="I867" t="n">
        <v>0</v>
      </c>
      <c r="J867" t="n">
        <v>0</v>
      </c>
      <c r="K867" t="n">
        <v>0</v>
      </c>
      <c r="L867" t="n">
        <v>0</v>
      </c>
      <c r="M867" t="n">
        <v>0</v>
      </c>
      <c r="N867" t="n">
        <v>0</v>
      </c>
      <c r="O867" t="n">
        <v>0</v>
      </c>
      <c r="P867" t="n">
        <v>0</v>
      </c>
      <c r="Q867" t="n">
        <v>0</v>
      </c>
      <c r="R867" s="2" t="inlineStr"/>
    </row>
    <row r="868" ht="15" customHeight="1">
      <c r="A868" t="inlineStr">
        <is>
          <t>A 11399-2026</t>
        </is>
      </c>
      <c r="B868" s="1" t="n">
        <v>46083.4437962963</v>
      </c>
      <c r="C868" s="1" t="n">
        <v>46134</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11142-2026</t>
        </is>
      </c>
      <c r="B869" s="1" t="n">
        <v>46079.87018518519</v>
      </c>
      <c r="C869" s="1" t="n">
        <v>46134</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11292-2026</t>
        </is>
      </c>
      <c r="B870" s="1" t="n">
        <v>46080.6150462963</v>
      </c>
      <c r="C870" s="1" t="n">
        <v>46134</v>
      </c>
      <c r="D870" t="inlineStr">
        <is>
          <t>JÄMTLANDS LÄN</t>
        </is>
      </c>
      <c r="E870" t="inlineStr">
        <is>
          <t>BERG</t>
        </is>
      </c>
      <c r="G870" t="n">
        <v>1.7</v>
      </c>
      <c r="H870" t="n">
        <v>0</v>
      </c>
      <c r="I870" t="n">
        <v>0</v>
      </c>
      <c r="J870" t="n">
        <v>0</v>
      </c>
      <c r="K870" t="n">
        <v>0</v>
      </c>
      <c r="L870" t="n">
        <v>0</v>
      </c>
      <c r="M870" t="n">
        <v>0</v>
      </c>
      <c r="N870" t="n">
        <v>0</v>
      </c>
      <c r="O870" t="n">
        <v>0</v>
      </c>
      <c r="P870" t="n">
        <v>0</v>
      </c>
      <c r="Q870" t="n">
        <v>0</v>
      </c>
      <c r="R870" s="2" t="inlineStr"/>
    </row>
    <row r="871" ht="15" customHeight="1">
      <c r="A871" t="inlineStr">
        <is>
          <t>A 49048-2024</t>
        </is>
      </c>
      <c r="B871" s="1" t="n">
        <v>45594.57427083333</v>
      </c>
      <c r="C871" s="1" t="n">
        <v>46134</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11390-2026</t>
        </is>
      </c>
      <c r="B872" s="1" t="n">
        <v>46083.42858796296</v>
      </c>
      <c r="C872" s="1" t="n">
        <v>46134</v>
      </c>
      <c r="D872" t="inlineStr">
        <is>
          <t>JÄMTLANDS LÄN</t>
        </is>
      </c>
      <c r="E872" t="inlineStr">
        <is>
          <t>BERG</t>
        </is>
      </c>
      <c r="G872" t="n">
        <v>7</v>
      </c>
      <c r="H872" t="n">
        <v>0</v>
      </c>
      <c r="I872" t="n">
        <v>0</v>
      </c>
      <c r="J872" t="n">
        <v>0</v>
      </c>
      <c r="K872" t="n">
        <v>0</v>
      </c>
      <c r="L872" t="n">
        <v>0</v>
      </c>
      <c r="M872" t="n">
        <v>0</v>
      </c>
      <c r="N872" t="n">
        <v>0</v>
      </c>
      <c r="O872" t="n">
        <v>0</v>
      </c>
      <c r="P872" t="n">
        <v>0</v>
      </c>
      <c r="Q872" t="n">
        <v>0</v>
      </c>
      <c r="R872" s="2" t="inlineStr"/>
    </row>
    <row r="873" ht="15" customHeight="1">
      <c r="A873" t="inlineStr">
        <is>
          <t>A 11400-2026</t>
        </is>
      </c>
      <c r="B873" s="1" t="n">
        <v>46083.44576388889</v>
      </c>
      <c r="C873" s="1" t="n">
        <v>46134</v>
      </c>
      <c r="D873" t="inlineStr">
        <is>
          <t>JÄMTLANDS LÄN</t>
        </is>
      </c>
      <c r="E873" t="inlineStr">
        <is>
          <t>BERG</t>
        </is>
      </c>
      <c r="G873" t="n">
        <v>2</v>
      </c>
      <c r="H873" t="n">
        <v>0</v>
      </c>
      <c r="I873" t="n">
        <v>0</v>
      </c>
      <c r="J873" t="n">
        <v>0</v>
      </c>
      <c r="K873" t="n">
        <v>0</v>
      </c>
      <c r="L873" t="n">
        <v>0</v>
      </c>
      <c r="M873" t="n">
        <v>0</v>
      </c>
      <c r="N873" t="n">
        <v>0</v>
      </c>
      <c r="O873" t="n">
        <v>0</v>
      </c>
      <c r="P873" t="n">
        <v>0</v>
      </c>
      <c r="Q873" t="n">
        <v>0</v>
      </c>
      <c r="R873" s="2" t="inlineStr"/>
    </row>
    <row r="874" ht="15" customHeight="1">
      <c r="A874" t="inlineStr">
        <is>
          <t>A 11428-2026</t>
        </is>
      </c>
      <c r="B874" s="1" t="n">
        <v>46083.49012731481</v>
      </c>
      <c r="C874" s="1" t="n">
        <v>46134</v>
      </c>
      <c r="D874" t="inlineStr">
        <is>
          <t>JÄMTLANDS LÄN</t>
        </is>
      </c>
      <c r="E874" t="inlineStr">
        <is>
          <t>BERG</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11255-2026</t>
        </is>
      </c>
      <c r="B875" s="1" t="n">
        <v>46080</v>
      </c>
      <c r="C875" s="1" t="n">
        <v>46134</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11442-2026</t>
        </is>
      </c>
      <c r="B876" s="1" t="n">
        <v>46083.52256944445</v>
      </c>
      <c r="C876" s="1" t="n">
        <v>46134</v>
      </c>
      <c r="D876" t="inlineStr">
        <is>
          <t>JÄMTLANDS LÄN</t>
        </is>
      </c>
      <c r="E876" t="inlineStr">
        <is>
          <t>BERG</t>
        </is>
      </c>
      <c r="G876" t="n">
        <v>2</v>
      </c>
      <c r="H876" t="n">
        <v>0</v>
      </c>
      <c r="I876" t="n">
        <v>0</v>
      </c>
      <c r="J876" t="n">
        <v>0</v>
      </c>
      <c r="K876" t="n">
        <v>0</v>
      </c>
      <c r="L876" t="n">
        <v>0</v>
      </c>
      <c r="M876" t="n">
        <v>0</v>
      </c>
      <c r="N876" t="n">
        <v>0</v>
      </c>
      <c r="O876" t="n">
        <v>0</v>
      </c>
      <c r="P876" t="n">
        <v>0</v>
      </c>
      <c r="Q876" t="n">
        <v>0</v>
      </c>
      <c r="R876" s="2" t="inlineStr"/>
    </row>
    <row r="877" ht="15" customHeight="1">
      <c r="A877" t="inlineStr">
        <is>
          <t>A 11143-2026</t>
        </is>
      </c>
      <c r="B877" s="1" t="n">
        <v>46079.87586805555</v>
      </c>
      <c r="C877" s="1" t="n">
        <v>46134</v>
      </c>
      <c r="D877" t="inlineStr">
        <is>
          <t>JÄMTLANDS LÄN</t>
        </is>
      </c>
      <c r="E877" t="inlineStr">
        <is>
          <t>BERG</t>
        </is>
      </c>
      <c r="G877" t="n">
        <v>4.1</v>
      </c>
      <c r="H877" t="n">
        <v>0</v>
      </c>
      <c r="I877" t="n">
        <v>0</v>
      </c>
      <c r="J877" t="n">
        <v>0</v>
      </c>
      <c r="K877" t="n">
        <v>0</v>
      </c>
      <c r="L877" t="n">
        <v>0</v>
      </c>
      <c r="M877" t="n">
        <v>0</v>
      </c>
      <c r="N877" t="n">
        <v>0</v>
      </c>
      <c r="O877" t="n">
        <v>0</v>
      </c>
      <c r="P877" t="n">
        <v>0</v>
      </c>
      <c r="Q877" t="n">
        <v>0</v>
      </c>
      <c r="R877" s="2" t="inlineStr"/>
    </row>
    <row r="878" ht="15" customHeight="1">
      <c r="A878" t="inlineStr">
        <is>
          <t>A 18056-2026</t>
        </is>
      </c>
      <c r="B878" s="1" t="n">
        <v>46125.43604166667</v>
      </c>
      <c r="C878" s="1" t="n">
        <v>46134</v>
      </c>
      <c r="D878" t="inlineStr">
        <is>
          <t>JÄMTLANDS LÄN</t>
        </is>
      </c>
      <c r="E878" t="inlineStr">
        <is>
          <t>BERG</t>
        </is>
      </c>
      <c r="G878" t="n">
        <v>3.4</v>
      </c>
      <c r="H878" t="n">
        <v>0</v>
      </c>
      <c r="I878" t="n">
        <v>0</v>
      </c>
      <c r="J878" t="n">
        <v>0</v>
      </c>
      <c r="K878" t="n">
        <v>0</v>
      </c>
      <c r="L878" t="n">
        <v>0</v>
      </c>
      <c r="M878" t="n">
        <v>0</v>
      </c>
      <c r="N878" t="n">
        <v>0</v>
      </c>
      <c r="O878" t="n">
        <v>0</v>
      </c>
      <c r="P878" t="n">
        <v>0</v>
      </c>
      <c r="Q878" t="n">
        <v>0</v>
      </c>
      <c r="R878" s="2" t="inlineStr"/>
    </row>
    <row r="879" ht="15" customHeight="1">
      <c r="A879" t="inlineStr">
        <is>
          <t>A 11322-2026</t>
        </is>
      </c>
      <c r="B879" s="1" t="n">
        <v>46080</v>
      </c>
      <c r="C879" s="1" t="n">
        <v>46134</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18605-2026</t>
        </is>
      </c>
      <c r="B880" s="1" t="n">
        <v>46127.65814814815</v>
      </c>
      <c r="C880" s="1" t="n">
        <v>46134</v>
      </c>
      <c r="D880" t="inlineStr">
        <is>
          <t>JÄMTLANDS LÄN</t>
        </is>
      </c>
      <c r="E880" t="inlineStr">
        <is>
          <t>BERG</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16362-2026</t>
        </is>
      </c>
      <c r="B881" s="1" t="n">
        <v>46111</v>
      </c>
      <c r="C881" s="1" t="n">
        <v>46134</v>
      </c>
      <c r="D881" t="inlineStr">
        <is>
          <t>JÄMTLANDS LÄN</t>
        </is>
      </c>
      <c r="E881" t="inlineStr">
        <is>
          <t>BERG</t>
        </is>
      </c>
      <c r="G881" t="n">
        <v>11.9</v>
      </c>
      <c r="H881" t="n">
        <v>0</v>
      </c>
      <c r="I881" t="n">
        <v>0</v>
      </c>
      <c r="J881" t="n">
        <v>0</v>
      </c>
      <c r="K881" t="n">
        <v>0</v>
      </c>
      <c r="L881" t="n">
        <v>0</v>
      </c>
      <c r="M881" t="n">
        <v>0</v>
      </c>
      <c r="N881" t="n">
        <v>0</v>
      </c>
      <c r="O881" t="n">
        <v>0</v>
      </c>
      <c r="P881" t="n">
        <v>0</v>
      </c>
      <c r="Q881" t="n">
        <v>0</v>
      </c>
      <c r="R881" s="2" t="inlineStr"/>
    </row>
    <row r="882" ht="15" customHeight="1">
      <c r="A882" t="inlineStr">
        <is>
          <t>A 37248-2023</t>
        </is>
      </c>
      <c r="B882" s="1" t="n">
        <v>45155.954375</v>
      </c>
      <c r="C882" s="1" t="n">
        <v>46134</v>
      </c>
      <c r="D882" t="inlineStr">
        <is>
          <t>JÄMTLANDS LÄN</t>
        </is>
      </c>
      <c r="E882" t="inlineStr">
        <is>
          <t>BERG</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11933-2026</t>
        </is>
      </c>
      <c r="B883" s="1" t="n">
        <v>46085.58731481482</v>
      </c>
      <c r="C883" s="1" t="n">
        <v>46134</v>
      </c>
      <c r="D883" t="inlineStr">
        <is>
          <t>JÄMTLANDS LÄN</t>
        </is>
      </c>
      <c r="E883" t="inlineStr">
        <is>
          <t>BERG</t>
        </is>
      </c>
      <c r="G883" t="n">
        <v>5.8</v>
      </c>
      <c r="H883" t="n">
        <v>0</v>
      </c>
      <c r="I883" t="n">
        <v>0</v>
      </c>
      <c r="J883" t="n">
        <v>0</v>
      </c>
      <c r="K883" t="n">
        <v>0</v>
      </c>
      <c r="L883" t="n">
        <v>0</v>
      </c>
      <c r="M883" t="n">
        <v>0</v>
      </c>
      <c r="N883" t="n">
        <v>0</v>
      </c>
      <c r="O883" t="n">
        <v>0</v>
      </c>
      <c r="P883" t="n">
        <v>0</v>
      </c>
      <c r="Q883" t="n">
        <v>0</v>
      </c>
      <c r="R883" s="2" t="inlineStr"/>
    </row>
    <row r="884" ht="15" customHeight="1">
      <c r="A884" t="inlineStr">
        <is>
          <t>A 11566-2026</t>
        </is>
      </c>
      <c r="B884" s="1" t="n">
        <v>46084</v>
      </c>
      <c r="C884" s="1" t="n">
        <v>46134</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18628-2026</t>
        </is>
      </c>
      <c r="B885" s="1" t="n">
        <v>46127.86283564815</v>
      </c>
      <c r="C885" s="1" t="n">
        <v>46134</v>
      </c>
      <c r="D885" t="inlineStr">
        <is>
          <t>JÄMTLANDS LÄN</t>
        </is>
      </c>
      <c r="E885" t="inlineStr">
        <is>
          <t>BERG</t>
        </is>
      </c>
      <c r="G885" t="n">
        <v>1.8</v>
      </c>
      <c r="H885" t="n">
        <v>0</v>
      </c>
      <c r="I885" t="n">
        <v>0</v>
      </c>
      <c r="J885" t="n">
        <v>0</v>
      </c>
      <c r="K885" t="n">
        <v>0</v>
      </c>
      <c r="L885" t="n">
        <v>0</v>
      </c>
      <c r="M885" t="n">
        <v>0</v>
      </c>
      <c r="N885" t="n">
        <v>0</v>
      </c>
      <c r="O885" t="n">
        <v>0</v>
      </c>
      <c r="P885" t="n">
        <v>0</v>
      </c>
      <c r="Q885" t="n">
        <v>0</v>
      </c>
      <c r="R885" s="2" t="inlineStr"/>
    </row>
    <row r="886" ht="15" customHeight="1">
      <c r="A886" t="inlineStr">
        <is>
          <t>A 11872-2026</t>
        </is>
      </c>
      <c r="B886" s="1" t="n">
        <v>46085.49086805555</v>
      </c>
      <c r="C886" s="1" t="n">
        <v>46134</v>
      </c>
      <c r="D886" t="inlineStr">
        <is>
          <t>JÄMTLANDS LÄN</t>
        </is>
      </c>
      <c r="E886" t="inlineStr">
        <is>
          <t>BERG</t>
        </is>
      </c>
      <c r="G886" t="n">
        <v>23.6</v>
      </c>
      <c r="H886" t="n">
        <v>0</v>
      </c>
      <c r="I886" t="n">
        <v>0</v>
      </c>
      <c r="J886" t="n">
        <v>0</v>
      </c>
      <c r="K886" t="n">
        <v>0</v>
      </c>
      <c r="L886" t="n">
        <v>0</v>
      </c>
      <c r="M886" t="n">
        <v>0</v>
      </c>
      <c r="N886" t="n">
        <v>0</v>
      </c>
      <c r="O886" t="n">
        <v>0</v>
      </c>
      <c r="P886" t="n">
        <v>0</v>
      </c>
      <c r="Q886" t="n">
        <v>0</v>
      </c>
      <c r="R886" s="2" t="inlineStr"/>
    </row>
    <row r="887" ht="15" customHeight="1">
      <c r="A887" t="inlineStr">
        <is>
          <t>A 11889-2026</t>
        </is>
      </c>
      <c r="B887" s="1" t="n">
        <v>46085.51912037037</v>
      </c>
      <c r="C887" s="1" t="n">
        <v>46134</v>
      </c>
      <c r="D887" t="inlineStr">
        <is>
          <t>JÄMTLANDS LÄN</t>
        </is>
      </c>
      <c r="E887" t="inlineStr">
        <is>
          <t>BERG</t>
        </is>
      </c>
      <c r="G887" t="n">
        <v>2.9</v>
      </c>
      <c r="H887" t="n">
        <v>0</v>
      </c>
      <c r="I887" t="n">
        <v>0</v>
      </c>
      <c r="J887" t="n">
        <v>0</v>
      </c>
      <c r="K887" t="n">
        <v>0</v>
      </c>
      <c r="L887" t="n">
        <v>0</v>
      </c>
      <c r="M887" t="n">
        <v>0</v>
      </c>
      <c r="N887" t="n">
        <v>0</v>
      </c>
      <c r="O887" t="n">
        <v>0</v>
      </c>
      <c r="P887" t="n">
        <v>0</v>
      </c>
      <c r="Q887" t="n">
        <v>0</v>
      </c>
      <c r="R887" s="2" t="inlineStr"/>
    </row>
    <row r="888" ht="15" customHeight="1">
      <c r="A888" t="inlineStr">
        <is>
          <t>A 11978-2026</t>
        </is>
      </c>
      <c r="B888" s="1" t="n">
        <v>46085.63597222222</v>
      </c>
      <c r="C888" s="1" t="n">
        <v>46134</v>
      </c>
      <c r="D888" t="inlineStr">
        <is>
          <t>JÄMTLANDS LÄN</t>
        </is>
      </c>
      <c r="E888" t="inlineStr">
        <is>
          <t>BERG</t>
        </is>
      </c>
      <c r="F888" t="inlineStr">
        <is>
          <t>SCA</t>
        </is>
      </c>
      <c r="G888" t="n">
        <v>15.6</v>
      </c>
      <c r="H888" t="n">
        <v>0</v>
      </c>
      <c r="I888" t="n">
        <v>0</v>
      </c>
      <c r="J888" t="n">
        <v>0</v>
      </c>
      <c r="K888" t="n">
        <v>0</v>
      </c>
      <c r="L888" t="n">
        <v>0</v>
      </c>
      <c r="M888" t="n">
        <v>0</v>
      </c>
      <c r="N888" t="n">
        <v>0</v>
      </c>
      <c r="O888" t="n">
        <v>0</v>
      </c>
      <c r="P888" t="n">
        <v>0</v>
      </c>
      <c r="Q888" t="n">
        <v>0</v>
      </c>
      <c r="R888" s="2" t="inlineStr"/>
    </row>
    <row r="889" ht="15" customHeight="1">
      <c r="A889" t="inlineStr">
        <is>
          <t>A 18597-2026</t>
        </is>
      </c>
      <c r="B889" s="1" t="n">
        <v>46127.65699074074</v>
      </c>
      <c r="C889" s="1" t="n">
        <v>46134</v>
      </c>
      <c r="D889" t="inlineStr">
        <is>
          <t>JÄMTLANDS LÄN</t>
        </is>
      </c>
      <c r="E889" t="inlineStr">
        <is>
          <t>BERG</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18600-2026</t>
        </is>
      </c>
      <c r="B890" s="1" t="n">
        <v>46127.65747685185</v>
      </c>
      <c r="C890" s="1" t="n">
        <v>46134</v>
      </c>
      <c r="D890" t="inlineStr">
        <is>
          <t>JÄMTLANDS LÄN</t>
        </is>
      </c>
      <c r="E890" t="inlineStr">
        <is>
          <t>BERG</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18601-2026</t>
        </is>
      </c>
      <c r="B891" s="1" t="n">
        <v>46127.65760416666</v>
      </c>
      <c r="C891" s="1" t="n">
        <v>46134</v>
      </c>
      <c r="D891" t="inlineStr">
        <is>
          <t>JÄMTLANDS LÄN</t>
        </is>
      </c>
      <c r="E891" t="inlineStr">
        <is>
          <t>BERG</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18598-2026</t>
        </is>
      </c>
      <c r="B892" s="1" t="n">
        <v>46127.65716435185</v>
      </c>
      <c r="C892" s="1" t="n">
        <v>46134</v>
      </c>
      <c r="D892" t="inlineStr">
        <is>
          <t>JÄMTLANDS LÄN</t>
        </is>
      </c>
      <c r="E892" t="inlineStr">
        <is>
          <t>BERG</t>
        </is>
      </c>
      <c r="F892" t="inlineStr">
        <is>
          <t>SCA</t>
        </is>
      </c>
      <c r="G892" t="n">
        <v>2.9</v>
      </c>
      <c r="H892" t="n">
        <v>0</v>
      </c>
      <c r="I892" t="n">
        <v>0</v>
      </c>
      <c r="J892" t="n">
        <v>0</v>
      </c>
      <c r="K892" t="n">
        <v>0</v>
      </c>
      <c r="L892" t="n">
        <v>0</v>
      </c>
      <c r="M892" t="n">
        <v>0</v>
      </c>
      <c r="N892" t="n">
        <v>0</v>
      </c>
      <c r="O892" t="n">
        <v>0</v>
      </c>
      <c r="P892" t="n">
        <v>0</v>
      </c>
      <c r="Q892" t="n">
        <v>0</v>
      </c>
      <c r="R892" s="2" t="inlineStr"/>
    </row>
    <row r="893" ht="15" customHeight="1">
      <c r="A893" t="inlineStr">
        <is>
          <t>A 18526-2026</t>
        </is>
      </c>
      <c r="B893" s="1" t="n">
        <v>46127.53778935185</v>
      </c>
      <c r="C893" s="1" t="n">
        <v>46134</v>
      </c>
      <c r="D893" t="inlineStr">
        <is>
          <t>JÄMTLANDS LÄN</t>
        </is>
      </c>
      <c r="E893" t="inlineStr">
        <is>
          <t>BERG</t>
        </is>
      </c>
      <c r="G893" t="n">
        <v>5.1</v>
      </c>
      <c r="H893" t="n">
        <v>0</v>
      </c>
      <c r="I893" t="n">
        <v>0</v>
      </c>
      <c r="J893" t="n">
        <v>0</v>
      </c>
      <c r="K893" t="n">
        <v>0</v>
      </c>
      <c r="L893" t="n">
        <v>0</v>
      </c>
      <c r="M893" t="n">
        <v>0</v>
      </c>
      <c r="N893" t="n">
        <v>0</v>
      </c>
      <c r="O893" t="n">
        <v>0</v>
      </c>
      <c r="P893" t="n">
        <v>0</v>
      </c>
      <c r="Q893" t="n">
        <v>0</v>
      </c>
      <c r="R893" s="2" t="inlineStr"/>
    </row>
    <row r="894" ht="15" customHeight="1">
      <c r="A894" t="inlineStr">
        <is>
          <t>A 11950-2026</t>
        </is>
      </c>
      <c r="B894" s="1" t="n">
        <v>46085.60175925926</v>
      </c>
      <c r="C894" s="1" t="n">
        <v>46134</v>
      </c>
      <c r="D894" t="inlineStr">
        <is>
          <t>JÄMTLANDS LÄN</t>
        </is>
      </c>
      <c r="E894" t="inlineStr">
        <is>
          <t>BERG</t>
        </is>
      </c>
      <c r="G894" t="n">
        <v>2.1</v>
      </c>
      <c r="H894" t="n">
        <v>0</v>
      </c>
      <c r="I894" t="n">
        <v>0</v>
      </c>
      <c r="J894" t="n">
        <v>0</v>
      </c>
      <c r="K894" t="n">
        <v>0</v>
      </c>
      <c r="L894" t="n">
        <v>0</v>
      </c>
      <c r="M894" t="n">
        <v>0</v>
      </c>
      <c r="N894" t="n">
        <v>0</v>
      </c>
      <c r="O894" t="n">
        <v>0</v>
      </c>
      <c r="P894" t="n">
        <v>0</v>
      </c>
      <c r="Q894" t="n">
        <v>0</v>
      </c>
      <c r="R894" s="2" t="inlineStr"/>
    </row>
    <row r="895" ht="15" customHeight="1">
      <c r="A895" t="inlineStr">
        <is>
          <t>A 11971-2026</t>
        </is>
      </c>
      <c r="B895" s="1" t="n">
        <v>46085.62383101852</v>
      </c>
      <c r="C895" s="1" t="n">
        <v>46134</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11990-2026</t>
        </is>
      </c>
      <c r="B896" s="1" t="n">
        <v>46085.65671296296</v>
      </c>
      <c r="C896" s="1" t="n">
        <v>46134</v>
      </c>
      <c r="D896" t="inlineStr">
        <is>
          <t>JÄMTLANDS LÄN</t>
        </is>
      </c>
      <c r="E896" t="inlineStr">
        <is>
          <t>BERG</t>
        </is>
      </c>
      <c r="F896" t="inlineStr">
        <is>
          <t>SCA</t>
        </is>
      </c>
      <c r="G896" t="n">
        <v>5.8</v>
      </c>
      <c r="H896" t="n">
        <v>0</v>
      </c>
      <c r="I896" t="n">
        <v>0</v>
      </c>
      <c r="J896" t="n">
        <v>0</v>
      </c>
      <c r="K896" t="n">
        <v>0</v>
      </c>
      <c r="L896" t="n">
        <v>0</v>
      </c>
      <c r="M896" t="n">
        <v>0</v>
      </c>
      <c r="N896" t="n">
        <v>0</v>
      </c>
      <c r="O896" t="n">
        <v>0</v>
      </c>
      <c r="P896" t="n">
        <v>0</v>
      </c>
      <c r="Q896" t="n">
        <v>0</v>
      </c>
      <c r="R896" s="2" t="inlineStr"/>
    </row>
    <row r="897" ht="15" customHeight="1">
      <c r="A897" t="inlineStr">
        <is>
          <t>A 11923-2026</t>
        </is>
      </c>
      <c r="B897" s="1" t="n">
        <v>46085.57335648148</v>
      </c>
      <c r="C897" s="1" t="n">
        <v>46134</v>
      </c>
      <c r="D897" t="inlineStr">
        <is>
          <t>JÄMTLANDS LÄN</t>
        </is>
      </c>
      <c r="E897" t="inlineStr">
        <is>
          <t>BERG</t>
        </is>
      </c>
      <c r="G897" t="n">
        <v>1.8</v>
      </c>
      <c r="H897" t="n">
        <v>0</v>
      </c>
      <c r="I897" t="n">
        <v>0</v>
      </c>
      <c r="J897" t="n">
        <v>0</v>
      </c>
      <c r="K897" t="n">
        <v>0</v>
      </c>
      <c r="L897" t="n">
        <v>0</v>
      </c>
      <c r="M897" t="n">
        <v>0</v>
      </c>
      <c r="N897" t="n">
        <v>0</v>
      </c>
      <c r="O897" t="n">
        <v>0</v>
      </c>
      <c r="P897" t="n">
        <v>0</v>
      </c>
      <c r="Q897" t="n">
        <v>0</v>
      </c>
      <c r="R897" s="2" t="inlineStr"/>
    </row>
    <row r="898" ht="15" customHeight="1">
      <c r="A898" t="inlineStr">
        <is>
          <t>A 12196-2026</t>
        </is>
      </c>
      <c r="B898" s="1" t="n">
        <v>46086.87208333334</v>
      </c>
      <c r="C898" s="1" t="n">
        <v>46134</v>
      </c>
      <c r="D898" t="inlineStr">
        <is>
          <t>JÄMTLANDS LÄN</t>
        </is>
      </c>
      <c r="E898" t="inlineStr">
        <is>
          <t>BERG</t>
        </is>
      </c>
      <c r="G898" t="n">
        <v>4.8</v>
      </c>
      <c r="H898" t="n">
        <v>0</v>
      </c>
      <c r="I898" t="n">
        <v>0</v>
      </c>
      <c r="J898" t="n">
        <v>0</v>
      </c>
      <c r="K898" t="n">
        <v>0</v>
      </c>
      <c r="L898" t="n">
        <v>0</v>
      </c>
      <c r="M898" t="n">
        <v>0</v>
      </c>
      <c r="N898" t="n">
        <v>0</v>
      </c>
      <c r="O898" t="n">
        <v>0</v>
      </c>
      <c r="P898" t="n">
        <v>0</v>
      </c>
      <c r="Q898" t="n">
        <v>0</v>
      </c>
      <c r="R898" s="2" t="inlineStr"/>
    </row>
    <row r="899" ht="15" customHeight="1">
      <c r="A899" t="inlineStr">
        <is>
          <t>A 2855-2025</t>
        </is>
      </c>
      <c r="B899" s="1" t="n">
        <v>45678</v>
      </c>
      <c r="C899" s="1" t="n">
        <v>46134</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18917-2026</t>
        </is>
      </c>
      <c r="B900" s="1" t="n">
        <v>46129.51339120371</v>
      </c>
      <c r="C900" s="1" t="n">
        <v>46134</v>
      </c>
      <c r="D900" t="inlineStr">
        <is>
          <t>JÄMTLANDS LÄN</t>
        </is>
      </c>
      <c r="E900" t="inlineStr">
        <is>
          <t>BERG</t>
        </is>
      </c>
      <c r="G900" t="n">
        <v>6.3</v>
      </c>
      <c r="H900" t="n">
        <v>0</v>
      </c>
      <c r="I900" t="n">
        <v>0</v>
      </c>
      <c r="J900" t="n">
        <v>0</v>
      </c>
      <c r="K900" t="n">
        <v>0</v>
      </c>
      <c r="L900" t="n">
        <v>0</v>
      </c>
      <c r="M900" t="n">
        <v>0</v>
      </c>
      <c r="N900" t="n">
        <v>0</v>
      </c>
      <c r="O900" t="n">
        <v>0</v>
      </c>
      <c r="P900" t="n">
        <v>0</v>
      </c>
      <c r="Q900" t="n">
        <v>0</v>
      </c>
      <c r="R900" s="2" t="inlineStr"/>
    </row>
    <row r="901" ht="15" customHeight="1">
      <c r="A901" t="inlineStr">
        <is>
          <t>A 12043-2026</t>
        </is>
      </c>
      <c r="B901" s="1" t="n">
        <v>46086.34070601852</v>
      </c>
      <c r="C901" s="1" t="n">
        <v>46134</v>
      </c>
      <c r="D901" t="inlineStr">
        <is>
          <t>JÄMTLANDS LÄN</t>
        </is>
      </c>
      <c r="E901" t="inlineStr">
        <is>
          <t>BERG</t>
        </is>
      </c>
      <c r="G901" t="n">
        <v>2.8</v>
      </c>
      <c r="H901" t="n">
        <v>0</v>
      </c>
      <c r="I901" t="n">
        <v>0</v>
      </c>
      <c r="J901" t="n">
        <v>0</v>
      </c>
      <c r="K901" t="n">
        <v>0</v>
      </c>
      <c r="L901" t="n">
        <v>0</v>
      </c>
      <c r="M901" t="n">
        <v>0</v>
      </c>
      <c r="N901" t="n">
        <v>0</v>
      </c>
      <c r="O901" t="n">
        <v>0</v>
      </c>
      <c r="P901" t="n">
        <v>0</v>
      </c>
      <c r="Q901" t="n">
        <v>0</v>
      </c>
      <c r="R901" s="2" t="inlineStr"/>
    </row>
    <row r="902" ht="15" customHeight="1">
      <c r="A902" t="inlineStr">
        <is>
          <t>A 7482-2022</t>
        </is>
      </c>
      <c r="B902" s="1" t="n">
        <v>44606</v>
      </c>
      <c r="C902" s="1" t="n">
        <v>46134</v>
      </c>
      <c r="D902" t="inlineStr">
        <is>
          <t>JÄMTLANDS LÄN</t>
        </is>
      </c>
      <c r="E902" t="inlineStr">
        <is>
          <t>BERG</t>
        </is>
      </c>
      <c r="G902" t="n">
        <v>1.8</v>
      </c>
      <c r="H902" t="n">
        <v>0</v>
      </c>
      <c r="I902" t="n">
        <v>0</v>
      </c>
      <c r="J902" t="n">
        <v>0</v>
      </c>
      <c r="K902" t="n">
        <v>0</v>
      </c>
      <c r="L902" t="n">
        <v>0</v>
      </c>
      <c r="M902" t="n">
        <v>0</v>
      </c>
      <c r="N902" t="n">
        <v>0</v>
      </c>
      <c r="O902" t="n">
        <v>0</v>
      </c>
      <c r="P902" t="n">
        <v>0</v>
      </c>
      <c r="Q902" t="n">
        <v>0</v>
      </c>
      <c r="R902" s="2" t="inlineStr"/>
    </row>
    <row r="903" ht="15" customHeight="1">
      <c r="A903" t="inlineStr">
        <is>
          <t>A 61085-2024</t>
        </is>
      </c>
      <c r="B903" s="1" t="n">
        <v>45645.53202546296</v>
      </c>
      <c r="C903" s="1" t="n">
        <v>46134</v>
      </c>
      <c r="D903" t="inlineStr">
        <is>
          <t>JÄMTLANDS LÄN</t>
        </is>
      </c>
      <c r="E903" t="inlineStr">
        <is>
          <t>BERG</t>
        </is>
      </c>
      <c r="F903" t="inlineStr">
        <is>
          <t>SCA</t>
        </is>
      </c>
      <c r="G903" t="n">
        <v>12.2</v>
      </c>
      <c r="H903" t="n">
        <v>0</v>
      </c>
      <c r="I903" t="n">
        <v>0</v>
      </c>
      <c r="J903" t="n">
        <v>0</v>
      </c>
      <c r="K903" t="n">
        <v>0</v>
      </c>
      <c r="L903" t="n">
        <v>0</v>
      </c>
      <c r="M903" t="n">
        <v>0</v>
      </c>
      <c r="N903" t="n">
        <v>0</v>
      </c>
      <c r="O903" t="n">
        <v>0</v>
      </c>
      <c r="P903" t="n">
        <v>0</v>
      </c>
      <c r="Q903" t="n">
        <v>0</v>
      </c>
      <c r="R903" s="2" t="inlineStr"/>
    </row>
    <row r="904" ht="15" customHeight="1">
      <c r="A904" t="inlineStr">
        <is>
          <t>A 3961-2025</t>
        </is>
      </c>
      <c r="B904" s="1" t="n">
        <v>45684.50217592593</v>
      </c>
      <c r="C904" s="1" t="n">
        <v>46134</v>
      </c>
      <c r="D904" t="inlineStr">
        <is>
          <t>JÄMTLANDS LÄN</t>
        </is>
      </c>
      <c r="E904" t="inlineStr">
        <is>
          <t>BERG</t>
        </is>
      </c>
      <c r="G904" t="n">
        <v>14.9</v>
      </c>
      <c r="H904" t="n">
        <v>0</v>
      </c>
      <c r="I904" t="n">
        <v>0</v>
      </c>
      <c r="J904" t="n">
        <v>0</v>
      </c>
      <c r="K904" t="n">
        <v>0</v>
      </c>
      <c r="L904" t="n">
        <v>0</v>
      </c>
      <c r="M904" t="n">
        <v>0</v>
      </c>
      <c r="N904" t="n">
        <v>0</v>
      </c>
      <c r="O904" t="n">
        <v>0</v>
      </c>
      <c r="P904" t="n">
        <v>0</v>
      </c>
      <c r="Q904" t="n">
        <v>0</v>
      </c>
      <c r="R904" s="2" t="inlineStr"/>
    </row>
    <row r="905" ht="15" customHeight="1">
      <c r="A905" t="inlineStr">
        <is>
          <t>A 3964-2025</t>
        </is>
      </c>
      <c r="B905" s="1" t="n">
        <v>45684.50761574074</v>
      </c>
      <c r="C905" s="1" t="n">
        <v>46134</v>
      </c>
      <c r="D905" t="inlineStr">
        <is>
          <t>JÄMTLANDS LÄN</t>
        </is>
      </c>
      <c r="E905" t="inlineStr">
        <is>
          <t>BERG</t>
        </is>
      </c>
      <c r="G905" t="n">
        <v>0.7</v>
      </c>
      <c r="H905" t="n">
        <v>0</v>
      </c>
      <c r="I905" t="n">
        <v>0</v>
      </c>
      <c r="J905" t="n">
        <v>0</v>
      </c>
      <c r="K905" t="n">
        <v>0</v>
      </c>
      <c r="L905" t="n">
        <v>0</v>
      </c>
      <c r="M905" t="n">
        <v>0</v>
      </c>
      <c r="N905" t="n">
        <v>0</v>
      </c>
      <c r="O905" t="n">
        <v>0</v>
      </c>
      <c r="P905" t="n">
        <v>0</v>
      </c>
      <c r="Q905" t="n">
        <v>0</v>
      </c>
      <c r="R905" s="2" t="inlineStr"/>
    </row>
    <row r="906" ht="15" customHeight="1">
      <c r="A906" t="inlineStr">
        <is>
          <t>A 17266-2025</t>
        </is>
      </c>
      <c r="B906" s="1" t="n">
        <v>45756</v>
      </c>
      <c r="C906" s="1" t="n">
        <v>46134</v>
      </c>
      <c r="D906" t="inlineStr">
        <is>
          <t>JÄMTLANDS LÄN</t>
        </is>
      </c>
      <c r="E906" t="inlineStr">
        <is>
          <t>BERG</t>
        </is>
      </c>
      <c r="G906" t="n">
        <v>20.1</v>
      </c>
      <c r="H906" t="n">
        <v>0</v>
      </c>
      <c r="I906" t="n">
        <v>0</v>
      </c>
      <c r="J906" t="n">
        <v>0</v>
      </c>
      <c r="K906" t="n">
        <v>0</v>
      </c>
      <c r="L906" t="n">
        <v>0</v>
      </c>
      <c r="M906" t="n">
        <v>0</v>
      </c>
      <c r="N906" t="n">
        <v>0</v>
      </c>
      <c r="O906" t="n">
        <v>0</v>
      </c>
      <c r="P906" t="n">
        <v>0</v>
      </c>
      <c r="Q906" t="n">
        <v>0</v>
      </c>
      <c r="R906" s="2" t="inlineStr"/>
    </row>
    <row r="907" ht="15" customHeight="1">
      <c r="A907" t="inlineStr">
        <is>
          <t>A 18728-2026</t>
        </is>
      </c>
      <c r="B907" s="1" t="n">
        <v>46128.49013888889</v>
      </c>
      <c r="C907" s="1" t="n">
        <v>46134</v>
      </c>
      <c r="D907" t="inlineStr">
        <is>
          <t>JÄMTLANDS LÄN</t>
        </is>
      </c>
      <c r="E907" t="inlineStr">
        <is>
          <t>BERG</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12037-2026</t>
        </is>
      </c>
      <c r="B908" s="1" t="n">
        <v>46086.32107638889</v>
      </c>
      <c r="C908" s="1" t="n">
        <v>46134</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12038-2026</t>
        </is>
      </c>
      <c r="B909" s="1" t="n">
        <v>46086.32611111111</v>
      </c>
      <c r="C909" s="1" t="n">
        <v>46134</v>
      </c>
      <c r="D909" t="inlineStr">
        <is>
          <t>JÄMTLANDS LÄN</t>
        </is>
      </c>
      <c r="E909" t="inlineStr">
        <is>
          <t>BERG</t>
        </is>
      </c>
      <c r="G909" t="n">
        <v>6.3</v>
      </c>
      <c r="H909" t="n">
        <v>0</v>
      </c>
      <c r="I909" t="n">
        <v>0</v>
      </c>
      <c r="J909" t="n">
        <v>0</v>
      </c>
      <c r="K909" t="n">
        <v>0</v>
      </c>
      <c r="L909" t="n">
        <v>0</v>
      </c>
      <c r="M909" t="n">
        <v>0</v>
      </c>
      <c r="N909" t="n">
        <v>0</v>
      </c>
      <c r="O909" t="n">
        <v>0</v>
      </c>
      <c r="P909" t="n">
        <v>0</v>
      </c>
      <c r="Q909" t="n">
        <v>0</v>
      </c>
      <c r="R909" s="2" t="inlineStr"/>
    </row>
    <row r="910" ht="15" customHeight="1">
      <c r="A910" t="inlineStr">
        <is>
          <t>A 13149-2025</t>
        </is>
      </c>
      <c r="B910" s="1" t="n">
        <v>45735.34424768519</v>
      </c>
      <c r="C910" s="1" t="n">
        <v>46134</v>
      </c>
      <c r="D910" t="inlineStr">
        <is>
          <t>JÄMTLANDS LÄN</t>
        </is>
      </c>
      <c r="E910" t="inlineStr">
        <is>
          <t>BERG</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12671-2026</t>
        </is>
      </c>
      <c r="B911" s="1" t="n">
        <v>46091.53453703703</v>
      </c>
      <c r="C911" s="1" t="n">
        <v>46134</v>
      </c>
      <c r="D911" t="inlineStr">
        <is>
          <t>JÄMTLANDS LÄN</t>
        </is>
      </c>
      <c r="E911" t="inlineStr">
        <is>
          <t>BERG</t>
        </is>
      </c>
      <c r="G911" t="n">
        <v>6.4</v>
      </c>
      <c r="H911" t="n">
        <v>0</v>
      </c>
      <c r="I911" t="n">
        <v>0</v>
      </c>
      <c r="J911" t="n">
        <v>0</v>
      </c>
      <c r="K911" t="n">
        <v>0</v>
      </c>
      <c r="L911" t="n">
        <v>0</v>
      </c>
      <c r="M911" t="n">
        <v>0</v>
      </c>
      <c r="N911" t="n">
        <v>0</v>
      </c>
      <c r="O911" t="n">
        <v>0</v>
      </c>
      <c r="P911" t="n">
        <v>0</v>
      </c>
      <c r="Q911" t="n">
        <v>0</v>
      </c>
      <c r="R911" s="2" t="inlineStr"/>
    </row>
    <row r="912" ht="15" customHeight="1">
      <c r="A912" t="inlineStr">
        <is>
          <t>A 53085-2024</t>
        </is>
      </c>
      <c r="B912" s="1" t="n">
        <v>45611.51072916666</v>
      </c>
      <c r="C912" s="1" t="n">
        <v>46134</v>
      </c>
      <c r="D912" t="inlineStr">
        <is>
          <t>JÄMTLANDS LÄN</t>
        </is>
      </c>
      <c r="E912" t="inlineStr">
        <is>
          <t>BERG</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37066-2025</t>
        </is>
      </c>
      <c r="B913" s="1" t="n">
        <v>45875.3862962963</v>
      </c>
      <c r="C913" s="1" t="n">
        <v>46134</v>
      </c>
      <c r="D913" t="inlineStr">
        <is>
          <t>JÄMTLANDS LÄN</t>
        </is>
      </c>
      <c r="E913" t="inlineStr">
        <is>
          <t>BERG</t>
        </is>
      </c>
      <c r="F913" t="inlineStr">
        <is>
          <t>SCA</t>
        </is>
      </c>
      <c r="G913" t="n">
        <v>9.6</v>
      </c>
      <c r="H913" t="n">
        <v>0</v>
      </c>
      <c r="I913" t="n">
        <v>0</v>
      </c>
      <c r="J913" t="n">
        <v>0</v>
      </c>
      <c r="K913" t="n">
        <v>0</v>
      </c>
      <c r="L913" t="n">
        <v>0</v>
      </c>
      <c r="M913" t="n">
        <v>0</v>
      </c>
      <c r="N913" t="n">
        <v>0</v>
      </c>
      <c r="O913" t="n">
        <v>0</v>
      </c>
      <c r="P913" t="n">
        <v>0</v>
      </c>
      <c r="Q913" t="n">
        <v>0</v>
      </c>
      <c r="R913" s="2" t="inlineStr"/>
    </row>
    <row r="914" ht="15" customHeight="1">
      <c r="A914" t="inlineStr">
        <is>
          <t>A 37062-2025</t>
        </is>
      </c>
      <c r="B914" s="1" t="n">
        <v>45875.38579861111</v>
      </c>
      <c r="C914" s="1" t="n">
        <v>46134</v>
      </c>
      <c r="D914" t="inlineStr">
        <is>
          <t>JÄMTLANDS LÄN</t>
        </is>
      </c>
      <c r="E914" t="inlineStr">
        <is>
          <t>BERG</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27575-2025</t>
        </is>
      </c>
      <c r="B915" s="1" t="n">
        <v>45813.49083333334</v>
      </c>
      <c r="C915" s="1" t="n">
        <v>46134</v>
      </c>
      <c r="D915" t="inlineStr">
        <is>
          <t>JÄMTLANDS LÄN</t>
        </is>
      </c>
      <c r="E915" t="inlineStr">
        <is>
          <t>BERG</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27603-2025</t>
        </is>
      </c>
      <c r="B916" s="1" t="n">
        <v>45813.53174768519</v>
      </c>
      <c r="C916" s="1" t="n">
        <v>46134</v>
      </c>
      <c r="D916" t="inlineStr">
        <is>
          <t>JÄMTLANDS LÄN</t>
        </is>
      </c>
      <c r="E916" t="inlineStr">
        <is>
          <t>BERG</t>
        </is>
      </c>
      <c r="F916" t="inlineStr">
        <is>
          <t>SCA</t>
        </is>
      </c>
      <c r="G916" t="n">
        <v>11.3</v>
      </c>
      <c r="H916" t="n">
        <v>0</v>
      </c>
      <c r="I916" t="n">
        <v>0</v>
      </c>
      <c r="J916" t="n">
        <v>0</v>
      </c>
      <c r="K916" t="n">
        <v>0</v>
      </c>
      <c r="L916" t="n">
        <v>0</v>
      </c>
      <c r="M916" t="n">
        <v>0</v>
      </c>
      <c r="N916" t="n">
        <v>0</v>
      </c>
      <c r="O916" t="n">
        <v>0</v>
      </c>
      <c r="P916" t="n">
        <v>0</v>
      </c>
      <c r="Q916" t="n">
        <v>0</v>
      </c>
      <c r="R916" s="2" t="inlineStr"/>
    </row>
    <row r="917" ht="15" customHeight="1">
      <c r="A917" t="inlineStr">
        <is>
          <t>A 12571-2026</t>
        </is>
      </c>
      <c r="B917" s="1" t="n">
        <v>46090.65715277778</v>
      </c>
      <c r="C917" s="1" t="n">
        <v>46134</v>
      </c>
      <c r="D917" t="inlineStr">
        <is>
          <t>JÄMTLANDS LÄN</t>
        </is>
      </c>
      <c r="E917" t="inlineStr">
        <is>
          <t>BERG</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48250-2025</t>
        </is>
      </c>
      <c r="B918" s="1" t="n">
        <v>45933.55259259259</v>
      </c>
      <c r="C918" s="1" t="n">
        <v>46134</v>
      </c>
      <c r="D918" t="inlineStr">
        <is>
          <t>JÄMTLANDS LÄN</t>
        </is>
      </c>
      <c r="E918" t="inlineStr">
        <is>
          <t>BERG</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2247-2025</t>
        </is>
      </c>
      <c r="B919" s="1" t="n">
        <v>45673.49039351852</v>
      </c>
      <c r="C919" s="1" t="n">
        <v>46134</v>
      </c>
      <c r="D919" t="inlineStr">
        <is>
          <t>JÄMTLANDS LÄN</t>
        </is>
      </c>
      <c r="E919" t="inlineStr">
        <is>
          <t>BERG</t>
        </is>
      </c>
      <c r="F919" t="inlineStr">
        <is>
          <t>SCA</t>
        </is>
      </c>
      <c r="G919" t="n">
        <v>13.3</v>
      </c>
      <c r="H919" t="n">
        <v>0</v>
      </c>
      <c r="I919" t="n">
        <v>0</v>
      </c>
      <c r="J919" t="n">
        <v>0</v>
      </c>
      <c r="K919" t="n">
        <v>0</v>
      </c>
      <c r="L919" t="n">
        <v>0</v>
      </c>
      <c r="M919" t="n">
        <v>0</v>
      </c>
      <c r="N919" t="n">
        <v>0</v>
      </c>
      <c r="O919" t="n">
        <v>0</v>
      </c>
      <c r="P919" t="n">
        <v>0</v>
      </c>
      <c r="Q919" t="n">
        <v>0</v>
      </c>
      <c r="R919" s="2" t="inlineStr"/>
    </row>
    <row r="920" ht="15" customHeight="1">
      <c r="A920" t="inlineStr">
        <is>
          <t>A 4527-2025</t>
        </is>
      </c>
      <c r="B920" s="1" t="n">
        <v>45686</v>
      </c>
      <c r="C920" s="1" t="n">
        <v>46134</v>
      </c>
      <c r="D920" t="inlineStr">
        <is>
          <t>JÄMTLANDS LÄN</t>
        </is>
      </c>
      <c r="E920" t="inlineStr">
        <is>
          <t>BERG</t>
        </is>
      </c>
      <c r="G920" t="n">
        <v>17.8</v>
      </c>
      <c r="H920" t="n">
        <v>0</v>
      </c>
      <c r="I920" t="n">
        <v>0</v>
      </c>
      <c r="J920" t="n">
        <v>0</v>
      </c>
      <c r="K920" t="n">
        <v>0</v>
      </c>
      <c r="L920" t="n">
        <v>0</v>
      </c>
      <c r="M920" t="n">
        <v>0</v>
      </c>
      <c r="N920" t="n">
        <v>0</v>
      </c>
      <c r="O920" t="n">
        <v>0</v>
      </c>
      <c r="P920" t="n">
        <v>0</v>
      </c>
      <c r="Q920" t="n">
        <v>0</v>
      </c>
      <c r="R920" s="2" t="inlineStr"/>
    </row>
    <row r="921" ht="15" customHeight="1">
      <c r="A921" t="inlineStr">
        <is>
          <t>A 12736-2026</t>
        </is>
      </c>
      <c r="B921" s="1" t="n">
        <v>46091.63627314815</v>
      </c>
      <c r="C921" s="1" t="n">
        <v>46134</v>
      </c>
      <c r="D921" t="inlineStr">
        <is>
          <t>JÄMTLANDS LÄN</t>
        </is>
      </c>
      <c r="E921" t="inlineStr">
        <is>
          <t>BERG</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4337-2026</t>
        </is>
      </c>
      <c r="B922" s="1" t="n">
        <v>46045</v>
      </c>
      <c r="C922" s="1" t="n">
        <v>46134</v>
      </c>
      <c r="D922" t="inlineStr">
        <is>
          <t>JÄMTLANDS LÄN</t>
        </is>
      </c>
      <c r="E922" t="inlineStr">
        <is>
          <t>BERG</t>
        </is>
      </c>
      <c r="F922" t="inlineStr">
        <is>
          <t>SCA</t>
        </is>
      </c>
      <c r="G922" t="n">
        <v>4.8</v>
      </c>
      <c r="H922" t="n">
        <v>0</v>
      </c>
      <c r="I922" t="n">
        <v>0</v>
      </c>
      <c r="J922" t="n">
        <v>0</v>
      </c>
      <c r="K922" t="n">
        <v>0</v>
      </c>
      <c r="L922" t="n">
        <v>0</v>
      </c>
      <c r="M922" t="n">
        <v>0</v>
      </c>
      <c r="N922" t="n">
        <v>0</v>
      </c>
      <c r="O922" t="n">
        <v>0</v>
      </c>
      <c r="P922" t="n">
        <v>0</v>
      </c>
      <c r="Q922" t="n">
        <v>0</v>
      </c>
      <c r="R922" s="2" t="inlineStr"/>
    </row>
    <row r="923" ht="15" customHeight="1">
      <c r="A923" t="inlineStr">
        <is>
          <t>A 28232-2025</t>
        </is>
      </c>
      <c r="B923" s="1" t="n">
        <v>45818.48989583334</v>
      </c>
      <c r="C923" s="1" t="n">
        <v>46134</v>
      </c>
      <c r="D923" t="inlineStr">
        <is>
          <t>JÄMTLANDS LÄN</t>
        </is>
      </c>
      <c r="E923" t="inlineStr">
        <is>
          <t>BERG</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12562-2026</t>
        </is>
      </c>
      <c r="B924" s="1" t="n">
        <v>46090</v>
      </c>
      <c r="C924" s="1" t="n">
        <v>46134</v>
      </c>
      <c r="D924" t="inlineStr">
        <is>
          <t>JÄMTLANDS LÄN</t>
        </is>
      </c>
      <c r="E924" t="inlineStr">
        <is>
          <t>BERG</t>
        </is>
      </c>
      <c r="F924" t="inlineStr">
        <is>
          <t>Kyrkan</t>
        </is>
      </c>
      <c r="G924" t="n">
        <v>11.1</v>
      </c>
      <c r="H924" t="n">
        <v>0</v>
      </c>
      <c r="I924" t="n">
        <v>0</v>
      </c>
      <c r="J924" t="n">
        <v>0</v>
      </c>
      <c r="K924" t="n">
        <v>0</v>
      </c>
      <c r="L924" t="n">
        <v>0</v>
      </c>
      <c r="M924" t="n">
        <v>0</v>
      </c>
      <c r="N924" t="n">
        <v>0</v>
      </c>
      <c r="O924" t="n">
        <v>0</v>
      </c>
      <c r="P924" t="n">
        <v>0</v>
      </c>
      <c r="Q924" t="n">
        <v>0</v>
      </c>
      <c r="R924" s="2" t="inlineStr"/>
    </row>
    <row r="925" ht="15" customHeight="1">
      <c r="A925" t="inlineStr">
        <is>
          <t>A 34819-2023</t>
        </is>
      </c>
      <c r="B925" s="1" t="n">
        <v>45140</v>
      </c>
      <c r="C925" s="1" t="n">
        <v>46134</v>
      </c>
      <c r="D925" t="inlineStr">
        <is>
          <t>JÄMTLANDS LÄN</t>
        </is>
      </c>
      <c r="E925" t="inlineStr">
        <is>
          <t>BERG</t>
        </is>
      </c>
      <c r="G925" t="n">
        <v>0.8</v>
      </c>
      <c r="H925" t="n">
        <v>0</v>
      </c>
      <c r="I925" t="n">
        <v>0</v>
      </c>
      <c r="J925" t="n">
        <v>0</v>
      </c>
      <c r="K925" t="n">
        <v>0</v>
      </c>
      <c r="L925" t="n">
        <v>0</v>
      </c>
      <c r="M925" t="n">
        <v>0</v>
      </c>
      <c r="N925" t="n">
        <v>0</v>
      </c>
      <c r="O925" t="n">
        <v>0</v>
      </c>
      <c r="P925" t="n">
        <v>0</v>
      </c>
      <c r="Q925" t="n">
        <v>0</v>
      </c>
      <c r="R925" s="2" t="inlineStr"/>
    </row>
    <row r="926" ht="15" customHeight="1">
      <c r="A926" t="inlineStr">
        <is>
          <t>A 36708-2023</t>
        </is>
      </c>
      <c r="B926" s="1" t="n">
        <v>45153.65226851852</v>
      </c>
      <c r="C926" s="1" t="n">
        <v>46134</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1520-2022</t>
        </is>
      </c>
      <c r="B927" s="1" t="n">
        <v>44572</v>
      </c>
      <c r="C927" s="1" t="n">
        <v>46134</v>
      </c>
      <c r="D927" t="inlineStr">
        <is>
          <t>JÄMTLANDS LÄN</t>
        </is>
      </c>
      <c r="E927" t="inlineStr">
        <is>
          <t>BERG</t>
        </is>
      </c>
      <c r="G927" t="n">
        <v>7.7</v>
      </c>
      <c r="H927" t="n">
        <v>0</v>
      </c>
      <c r="I927" t="n">
        <v>0</v>
      </c>
      <c r="J927" t="n">
        <v>0</v>
      </c>
      <c r="K927" t="n">
        <v>0</v>
      </c>
      <c r="L927" t="n">
        <v>0</v>
      </c>
      <c r="M927" t="n">
        <v>0</v>
      </c>
      <c r="N927" t="n">
        <v>0</v>
      </c>
      <c r="O927" t="n">
        <v>0</v>
      </c>
      <c r="P927" t="n">
        <v>0</v>
      </c>
      <c r="Q927" t="n">
        <v>0</v>
      </c>
      <c r="R927" s="2" t="inlineStr"/>
    </row>
    <row r="928" ht="15" customHeight="1">
      <c r="A928" t="inlineStr">
        <is>
          <t>A 46816-2023</t>
        </is>
      </c>
      <c r="B928" s="1" t="n">
        <v>45198</v>
      </c>
      <c r="C928" s="1" t="n">
        <v>46134</v>
      </c>
      <c r="D928" t="inlineStr">
        <is>
          <t>JÄMTLANDS LÄN</t>
        </is>
      </c>
      <c r="E928" t="inlineStr">
        <is>
          <t>BERG</t>
        </is>
      </c>
      <c r="F928" t="inlineStr">
        <is>
          <t>SCA</t>
        </is>
      </c>
      <c r="G928" t="n">
        <v>66.2</v>
      </c>
      <c r="H928" t="n">
        <v>0</v>
      </c>
      <c r="I928" t="n">
        <v>0</v>
      </c>
      <c r="J928" t="n">
        <v>0</v>
      </c>
      <c r="K928" t="n">
        <v>0</v>
      </c>
      <c r="L928" t="n">
        <v>0</v>
      </c>
      <c r="M928" t="n">
        <v>0</v>
      </c>
      <c r="N928" t="n">
        <v>0</v>
      </c>
      <c r="O928" t="n">
        <v>0</v>
      </c>
      <c r="P928" t="n">
        <v>0</v>
      </c>
      <c r="Q928" t="n">
        <v>0</v>
      </c>
      <c r="R928" s="2" t="inlineStr"/>
    </row>
    <row r="929" ht="15" customHeight="1">
      <c r="A929" t="inlineStr">
        <is>
          <t>A 31641-2022</t>
        </is>
      </c>
      <c r="B929" s="1" t="n">
        <v>44775.94119212963</v>
      </c>
      <c r="C929" s="1" t="n">
        <v>46134</v>
      </c>
      <c r="D929" t="inlineStr">
        <is>
          <t>JÄMTLANDS LÄN</t>
        </is>
      </c>
      <c r="E929" t="inlineStr">
        <is>
          <t>BERG</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46872-2023</t>
        </is>
      </c>
      <c r="B930" s="1" t="n">
        <v>45200</v>
      </c>
      <c r="C930" s="1" t="n">
        <v>46134</v>
      </c>
      <c r="D930" t="inlineStr">
        <is>
          <t>JÄMTLANDS LÄN</t>
        </is>
      </c>
      <c r="E930" t="inlineStr">
        <is>
          <t>BERG</t>
        </is>
      </c>
      <c r="F930" t="inlineStr">
        <is>
          <t>Naturvårdsverket</t>
        </is>
      </c>
      <c r="G930" t="n">
        <v>1.2</v>
      </c>
      <c r="H930" t="n">
        <v>0</v>
      </c>
      <c r="I930" t="n">
        <v>0</v>
      </c>
      <c r="J930" t="n">
        <v>0</v>
      </c>
      <c r="K930" t="n">
        <v>0</v>
      </c>
      <c r="L930" t="n">
        <v>0</v>
      </c>
      <c r="M930" t="n">
        <v>0</v>
      </c>
      <c r="N930" t="n">
        <v>0</v>
      </c>
      <c r="O930" t="n">
        <v>0</v>
      </c>
      <c r="P930" t="n">
        <v>0</v>
      </c>
      <c r="Q930" t="n">
        <v>0</v>
      </c>
      <c r="R930" s="2" t="inlineStr"/>
      <c r="U930">
        <f>HYPERLINK("https://klasma.github.io/Logging_2326/knärot/A 46872-2023 karta knärot.png", "A 46872-2023")</f>
        <v/>
      </c>
      <c r="V930">
        <f>HYPERLINK("https://klasma.github.io/Logging_2326/klagomål/A 46872-2023 FSC-klagomål.docx", "A 46872-2023")</f>
        <v/>
      </c>
      <c r="W930">
        <f>HYPERLINK("https://klasma.github.io/Logging_2326/klagomålsmail/A 46872-2023 FSC-klagomål mail.docx", "A 46872-2023")</f>
        <v/>
      </c>
      <c r="X930">
        <f>HYPERLINK("https://klasma.github.io/Logging_2326/tillsyn/A 46872-2023 tillsynsbegäran.docx", "A 46872-2023")</f>
        <v/>
      </c>
      <c r="Y930">
        <f>HYPERLINK("https://klasma.github.io/Logging_2326/tillsynsmail/A 46872-2023 tillsynsbegäran mail.docx", "A 46872-2023")</f>
        <v/>
      </c>
    </row>
    <row r="931" ht="15" customHeight="1">
      <c r="A931" t="inlineStr">
        <is>
          <t>A 22275-2022</t>
        </is>
      </c>
      <c r="B931" s="1" t="n">
        <v>44712</v>
      </c>
      <c r="C931" s="1" t="n">
        <v>46134</v>
      </c>
      <c r="D931" t="inlineStr">
        <is>
          <t>JÄMTLANDS LÄN</t>
        </is>
      </c>
      <c r="E931" t="inlineStr">
        <is>
          <t>BERG</t>
        </is>
      </c>
      <c r="G931" t="n">
        <v>2.1</v>
      </c>
      <c r="H931" t="n">
        <v>0</v>
      </c>
      <c r="I931" t="n">
        <v>0</v>
      </c>
      <c r="J931" t="n">
        <v>0</v>
      </c>
      <c r="K931" t="n">
        <v>0</v>
      </c>
      <c r="L931" t="n">
        <v>0</v>
      </c>
      <c r="M931" t="n">
        <v>0</v>
      </c>
      <c r="N931" t="n">
        <v>0</v>
      </c>
      <c r="O931" t="n">
        <v>0</v>
      </c>
      <c r="P931" t="n">
        <v>0</v>
      </c>
      <c r="Q931" t="n">
        <v>0</v>
      </c>
      <c r="R931" s="2" t="inlineStr"/>
    </row>
    <row r="932" ht="15" customHeight="1">
      <c r="A932" t="inlineStr">
        <is>
          <t>A 50706-2023</t>
        </is>
      </c>
      <c r="B932" s="1" t="n">
        <v>45217.55832175926</v>
      </c>
      <c r="C932" s="1" t="n">
        <v>46134</v>
      </c>
      <c r="D932" t="inlineStr">
        <is>
          <t>JÄMTLANDS LÄN</t>
        </is>
      </c>
      <c r="E932" t="inlineStr">
        <is>
          <t>BERG</t>
        </is>
      </c>
      <c r="G932" t="n">
        <v>4.1</v>
      </c>
      <c r="H932" t="n">
        <v>0</v>
      </c>
      <c r="I932" t="n">
        <v>0</v>
      </c>
      <c r="J932" t="n">
        <v>0</v>
      </c>
      <c r="K932" t="n">
        <v>0</v>
      </c>
      <c r="L932" t="n">
        <v>0</v>
      </c>
      <c r="M932" t="n">
        <v>0</v>
      </c>
      <c r="N932" t="n">
        <v>0</v>
      </c>
      <c r="O932" t="n">
        <v>0</v>
      </c>
      <c r="P932" t="n">
        <v>0</v>
      </c>
      <c r="Q932" t="n">
        <v>0</v>
      </c>
      <c r="R932" s="2" t="inlineStr"/>
    </row>
    <row r="933" ht="15" customHeight="1">
      <c r="A933" t="inlineStr">
        <is>
          <t>A 54415-2023</t>
        </is>
      </c>
      <c r="B933" s="1" t="n">
        <v>45233.40039351852</v>
      </c>
      <c r="C933" s="1" t="n">
        <v>46134</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47176-2023</t>
        </is>
      </c>
      <c r="B934" s="1" t="n">
        <v>45201.94844907407</v>
      </c>
      <c r="C934" s="1" t="n">
        <v>46134</v>
      </c>
      <c r="D934" t="inlineStr">
        <is>
          <t>JÄMTLANDS LÄN</t>
        </is>
      </c>
      <c r="E934" t="inlineStr">
        <is>
          <t>BERG</t>
        </is>
      </c>
      <c r="F934" t="inlineStr">
        <is>
          <t>SCA</t>
        </is>
      </c>
      <c r="G934" t="n">
        <v>32.3</v>
      </c>
      <c r="H934" t="n">
        <v>0</v>
      </c>
      <c r="I934" t="n">
        <v>0</v>
      </c>
      <c r="J934" t="n">
        <v>0</v>
      </c>
      <c r="K934" t="n">
        <v>0</v>
      </c>
      <c r="L934" t="n">
        <v>0</v>
      </c>
      <c r="M934" t="n">
        <v>0</v>
      </c>
      <c r="N934" t="n">
        <v>0</v>
      </c>
      <c r="O934" t="n">
        <v>0</v>
      </c>
      <c r="P934" t="n">
        <v>0</v>
      </c>
      <c r="Q934" t="n">
        <v>0</v>
      </c>
      <c r="R934" s="2" t="inlineStr"/>
    </row>
    <row r="935" ht="15" customHeight="1">
      <c r="A935" t="inlineStr">
        <is>
          <t>A 41098-2023</t>
        </is>
      </c>
      <c r="B935" s="1" t="n">
        <v>45170</v>
      </c>
      <c r="C935" s="1" t="n">
        <v>46134</v>
      </c>
      <c r="D935" t="inlineStr">
        <is>
          <t>JÄMTLANDS LÄN</t>
        </is>
      </c>
      <c r="E935" t="inlineStr">
        <is>
          <t>BERG</t>
        </is>
      </c>
      <c r="G935" t="n">
        <v>3.1</v>
      </c>
      <c r="H935" t="n">
        <v>0</v>
      </c>
      <c r="I935" t="n">
        <v>0</v>
      </c>
      <c r="J935" t="n">
        <v>0</v>
      </c>
      <c r="K935" t="n">
        <v>0</v>
      </c>
      <c r="L935" t="n">
        <v>0</v>
      </c>
      <c r="M935" t="n">
        <v>0</v>
      </c>
      <c r="N935" t="n">
        <v>0</v>
      </c>
      <c r="O935" t="n">
        <v>0</v>
      </c>
      <c r="P935" t="n">
        <v>0</v>
      </c>
      <c r="Q935" t="n">
        <v>0</v>
      </c>
      <c r="R935" s="2" t="inlineStr"/>
    </row>
    <row r="936" ht="15" customHeight="1">
      <c r="A936" t="inlineStr">
        <is>
          <t>A 41106-2023</t>
        </is>
      </c>
      <c r="B936" s="1" t="n">
        <v>45170</v>
      </c>
      <c r="C936" s="1" t="n">
        <v>46134</v>
      </c>
      <c r="D936" t="inlineStr">
        <is>
          <t>JÄMTLANDS LÄN</t>
        </is>
      </c>
      <c r="E936" t="inlineStr">
        <is>
          <t>BERG</t>
        </is>
      </c>
      <c r="G936" t="n">
        <v>0.7</v>
      </c>
      <c r="H936" t="n">
        <v>0</v>
      </c>
      <c r="I936" t="n">
        <v>0</v>
      </c>
      <c r="J936" t="n">
        <v>0</v>
      </c>
      <c r="K936" t="n">
        <v>0</v>
      </c>
      <c r="L936" t="n">
        <v>0</v>
      </c>
      <c r="M936" t="n">
        <v>0</v>
      </c>
      <c r="N936" t="n">
        <v>0</v>
      </c>
      <c r="O936" t="n">
        <v>0</v>
      </c>
      <c r="P936" t="n">
        <v>0</v>
      </c>
      <c r="Q936" t="n">
        <v>0</v>
      </c>
      <c r="R936" s="2" t="inlineStr"/>
    </row>
    <row r="937" ht="15" customHeight="1">
      <c r="A937" t="inlineStr">
        <is>
          <t>A 40415-2023</t>
        </is>
      </c>
      <c r="B937" s="1" t="n">
        <v>45169.93925925926</v>
      </c>
      <c r="C937" s="1" t="n">
        <v>46134</v>
      </c>
      <c r="D937" t="inlineStr">
        <is>
          <t>JÄMTLANDS LÄN</t>
        </is>
      </c>
      <c r="E937" t="inlineStr">
        <is>
          <t>BERG</t>
        </is>
      </c>
      <c r="F937" t="inlineStr">
        <is>
          <t>SCA</t>
        </is>
      </c>
      <c r="G937" t="n">
        <v>10.2</v>
      </c>
      <c r="H937" t="n">
        <v>0</v>
      </c>
      <c r="I937" t="n">
        <v>0</v>
      </c>
      <c r="J937" t="n">
        <v>0</v>
      </c>
      <c r="K937" t="n">
        <v>0</v>
      </c>
      <c r="L937" t="n">
        <v>0</v>
      </c>
      <c r="M937" t="n">
        <v>0</v>
      </c>
      <c r="N937" t="n">
        <v>0</v>
      </c>
      <c r="O937" t="n">
        <v>0</v>
      </c>
      <c r="P937" t="n">
        <v>0</v>
      </c>
      <c r="Q937" t="n">
        <v>0</v>
      </c>
      <c r="R937" s="2" t="inlineStr"/>
    </row>
    <row r="938" ht="15" customHeight="1">
      <c r="A938" t="inlineStr">
        <is>
          <t>A 54998-2023</t>
        </is>
      </c>
      <c r="B938" s="1" t="n">
        <v>45236</v>
      </c>
      <c r="C938" s="1" t="n">
        <v>46134</v>
      </c>
      <c r="D938" t="inlineStr">
        <is>
          <t>JÄMTLANDS LÄN</t>
        </is>
      </c>
      <c r="E938" t="inlineStr">
        <is>
          <t>BERG</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26944-2022</t>
        </is>
      </c>
      <c r="B939" s="1" t="n">
        <v>44740</v>
      </c>
      <c r="C939" s="1" t="n">
        <v>46134</v>
      </c>
      <c r="D939" t="inlineStr">
        <is>
          <t>JÄMTLANDS LÄN</t>
        </is>
      </c>
      <c r="E939" t="inlineStr">
        <is>
          <t>BERG</t>
        </is>
      </c>
      <c r="G939" t="n">
        <v>3.3</v>
      </c>
      <c r="H939" t="n">
        <v>0</v>
      </c>
      <c r="I939" t="n">
        <v>0</v>
      </c>
      <c r="J939" t="n">
        <v>0</v>
      </c>
      <c r="K939" t="n">
        <v>0</v>
      </c>
      <c r="L939" t="n">
        <v>0</v>
      </c>
      <c r="M939" t="n">
        <v>0</v>
      </c>
      <c r="N939" t="n">
        <v>0</v>
      </c>
      <c r="O939" t="n">
        <v>0</v>
      </c>
      <c r="P939" t="n">
        <v>0</v>
      </c>
      <c r="Q939" t="n">
        <v>0</v>
      </c>
      <c r="R939" s="2" t="inlineStr"/>
    </row>
    <row r="940" ht="15" customHeight="1">
      <c r="A940" t="inlineStr">
        <is>
          <t>A 63819-2023</t>
        </is>
      </c>
      <c r="B940" s="1" t="n">
        <v>45278.44128472222</v>
      </c>
      <c r="C940" s="1" t="n">
        <v>46134</v>
      </c>
      <c r="D940" t="inlineStr">
        <is>
          <t>JÄMTLANDS LÄN</t>
        </is>
      </c>
      <c r="E940" t="inlineStr">
        <is>
          <t>BERG</t>
        </is>
      </c>
      <c r="G940" t="n">
        <v>1.8</v>
      </c>
      <c r="H940" t="n">
        <v>0</v>
      </c>
      <c r="I940" t="n">
        <v>0</v>
      </c>
      <c r="J940" t="n">
        <v>0</v>
      </c>
      <c r="K940" t="n">
        <v>0</v>
      </c>
      <c r="L940" t="n">
        <v>0</v>
      </c>
      <c r="M940" t="n">
        <v>0</v>
      </c>
      <c r="N940" t="n">
        <v>0</v>
      </c>
      <c r="O940" t="n">
        <v>0</v>
      </c>
      <c r="P940" t="n">
        <v>0</v>
      </c>
      <c r="Q940" t="n">
        <v>0</v>
      </c>
      <c r="R940" s="2" t="inlineStr"/>
    </row>
    <row r="941" ht="15" customHeight="1">
      <c r="A941" t="inlineStr">
        <is>
          <t>A 44088-2021</t>
        </is>
      </c>
      <c r="B941" s="1" t="n">
        <v>44434</v>
      </c>
      <c r="C941" s="1" t="n">
        <v>46134</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39510-2023</t>
        </is>
      </c>
      <c r="B942" s="1" t="n">
        <v>45166</v>
      </c>
      <c r="C942" s="1" t="n">
        <v>46134</v>
      </c>
      <c r="D942" t="inlineStr">
        <is>
          <t>JÄMTLANDS LÄN</t>
        </is>
      </c>
      <c r="E942" t="inlineStr">
        <is>
          <t>BERG</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19513-2025</t>
        </is>
      </c>
      <c r="B943" s="1" t="n">
        <v>45770.42762731481</v>
      </c>
      <c r="C943" s="1" t="n">
        <v>46134</v>
      </c>
      <c r="D943" t="inlineStr">
        <is>
          <t>JÄMTLANDS LÄN</t>
        </is>
      </c>
      <c r="E943" t="inlineStr">
        <is>
          <t>BERG</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1596-2024</t>
        </is>
      </c>
      <c r="B944" s="1" t="n">
        <v>45306</v>
      </c>
      <c r="C944" s="1" t="n">
        <v>46134</v>
      </c>
      <c r="D944" t="inlineStr">
        <is>
          <t>JÄMTLANDS LÄN</t>
        </is>
      </c>
      <c r="E944" t="inlineStr">
        <is>
          <t>BERG</t>
        </is>
      </c>
      <c r="G944" t="n">
        <v>0.8</v>
      </c>
      <c r="H944" t="n">
        <v>0</v>
      </c>
      <c r="I944" t="n">
        <v>0</v>
      </c>
      <c r="J944" t="n">
        <v>0</v>
      </c>
      <c r="K944" t="n">
        <v>0</v>
      </c>
      <c r="L944" t="n">
        <v>0</v>
      </c>
      <c r="M944" t="n">
        <v>0</v>
      </c>
      <c r="N944" t="n">
        <v>0</v>
      </c>
      <c r="O944" t="n">
        <v>0</v>
      </c>
      <c r="P944" t="n">
        <v>0</v>
      </c>
      <c r="Q944" t="n">
        <v>0</v>
      </c>
      <c r="R944" s="2" t="inlineStr"/>
    </row>
    <row r="945" ht="15" customHeight="1">
      <c r="A945" t="inlineStr">
        <is>
          <t>A 36192-2024</t>
        </is>
      </c>
      <c r="B945" s="1" t="n">
        <v>45534.42809027778</v>
      </c>
      <c r="C945" s="1" t="n">
        <v>46134</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166-2024</t>
        </is>
      </c>
      <c r="B946" s="1" t="n">
        <v>45294</v>
      </c>
      <c r="C946" s="1" t="n">
        <v>46134</v>
      </c>
      <c r="D946" t="inlineStr">
        <is>
          <t>JÄMTLANDS LÄN</t>
        </is>
      </c>
      <c r="E946" t="inlineStr">
        <is>
          <t>BERG</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46134</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46134</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7040-2024</t>
        </is>
      </c>
      <c r="B949" s="1" t="n">
        <v>45343</v>
      </c>
      <c r="C949" s="1" t="n">
        <v>46134</v>
      </c>
      <c r="D949" t="inlineStr">
        <is>
          <t>JÄMTLANDS LÄN</t>
        </is>
      </c>
      <c r="E949" t="inlineStr">
        <is>
          <t>BERG</t>
        </is>
      </c>
      <c r="G949" t="n">
        <v>15.9</v>
      </c>
      <c r="H949" t="n">
        <v>0</v>
      </c>
      <c r="I949" t="n">
        <v>0</v>
      </c>
      <c r="J949" t="n">
        <v>0</v>
      </c>
      <c r="K949" t="n">
        <v>0</v>
      </c>
      <c r="L949" t="n">
        <v>0</v>
      </c>
      <c r="M949" t="n">
        <v>0</v>
      </c>
      <c r="N949" t="n">
        <v>0</v>
      </c>
      <c r="O949" t="n">
        <v>0</v>
      </c>
      <c r="P949" t="n">
        <v>0</v>
      </c>
      <c r="Q949" t="n">
        <v>0</v>
      </c>
      <c r="R949" s="2" t="inlineStr"/>
    </row>
    <row r="950" ht="15" customHeight="1">
      <c r="A950" t="inlineStr">
        <is>
          <t>A 5215-2024</t>
        </is>
      </c>
      <c r="B950" s="1" t="n">
        <v>45330</v>
      </c>
      <c r="C950" s="1" t="n">
        <v>46134</v>
      </c>
      <c r="D950" t="inlineStr">
        <is>
          <t>JÄMTLANDS LÄN</t>
        </is>
      </c>
      <c r="E950" t="inlineStr">
        <is>
          <t>BERG</t>
        </is>
      </c>
      <c r="G950" t="n">
        <v>0.8</v>
      </c>
      <c r="H950" t="n">
        <v>0</v>
      </c>
      <c r="I950" t="n">
        <v>0</v>
      </c>
      <c r="J950" t="n">
        <v>0</v>
      </c>
      <c r="K950" t="n">
        <v>0</v>
      </c>
      <c r="L950" t="n">
        <v>0</v>
      </c>
      <c r="M950" t="n">
        <v>0</v>
      </c>
      <c r="N950" t="n">
        <v>0</v>
      </c>
      <c r="O950" t="n">
        <v>0</v>
      </c>
      <c r="P950" t="n">
        <v>0</v>
      </c>
      <c r="Q950" t="n">
        <v>0</v>
      </c>
      <c r="R950" s="2" t="inlineStr"/>
    </row>
    <row r="951" ht="15" customHeight="1">
      <c r="A951" t="inlineStr">
        <is>
          <t>A 14341-2025</t>
        </is>
      </c>
      <c r="B951" s="1" t="n">
        <v>45741.26008101852</v>
      </c>
      <c r="C951" s="1" t="n">
        <v>46134</v>
      </c>
      <c r="D951" t="inlineStr">
        <is>
          <t>JÄMTLANDS LÄN</t>
        </is>
      </c>
      <c r="E951" t="inlineStr">
        <is>
          <t>BERG</t>
        </is>
      </c>
      <c r="G951" t="n">
        <v>3.8</v>
      </c>
      <c r="H951" t="n">
        <v>0</v>
      </c>
      <c r="I951" t="n">
        <v>0</v>
      </c>
      <c r="J951" t="n">
        <v>0</v>
      </c>
      <c r="K951" t="n">
        <v>0</v>
      </c>
      <c r="L951" t="n">
        <v>0</v>
      </c>
      <c r="M951" t="n">
        <v>0</v>
      </c>
      <c r="N951" t="n">
        <v>0</v>
      </c>
      <c r="O951" t="n">
        <v>0</v>
      </c>
      <c r="P951" t="n">
        <v>0</v>
      </c>
      <c r="Q951" t="n">
        <v>0</v>
      </c>
      <c r="R951" s="2" t="inlineStr"/>
    </row>
    <row r="952" ht="15" customHeight="1">
      <c r="A952" t="inlineStr">
        <is>
          <t>A 57669-2024</t>
        </is>
      </c>
      <c r="B952" s="1" t="n">
        <v>45630.62520833333</v>
      </c>
      <c r="C952" s="1" t="n">
        <v>46134</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31131-2024</t>
        </is>
      </c>
      <c r="B953" s="1" t="n">
        <v>45502</v>
      </c>
      <c r="C953" s="1" t="n">
        <v>46134</v>
      </c>
      <c r="D953" t="inlineStr">
        <is>
          <t>JÄMTLANDS LÄN</t>
        </is>
      </c>
      <c r="E953" t="inlineStr">
        <is>
          <t>BERG</t>
        </is>
      </c>
      <c r="G953" t="n">
        <v>2.1</v>
      </c>
      <c r="H953" t="n">
        <v>0</v>
      </c>
      <c r="I953" t="n">
        <v>0</v>
      </c>
      <c r="J953" t="n">
        <v>0</v>
      </c>
      <c r="K953" t="n">
        <v>0</v>
      </c>
      <c r="L953" t="n">
        <v>0</v>
      </c>
      <c r="M953" t="n">
        <v>0</v>
      </c>
      <c r="N953" t="n">
        <v>0</v>
      </c>
      <c r="O953" t="n">
        <v>0</v>
      </c>
      <c r="P953" t="n">
        <v>0</v>
      </c>
      <c r="Q953" t="n">
        <v>0</v>
      </c>
      <c r="R953" s="2" t="inlineStr"/>
    </row>
    <row r="954" ht="15" customHeight="1">
      <c r="A954" t="inlineStr">
        <is>
          <t>A 31154-2024</t>
        </is>
      </c>
      <c r="B954" s="1" t="n">
        <v>45503.32976851852</v>
      </c>
      <c r="C954" s="1" t="n">
        <v>46134</v>
      </c>
      <c r="D954" t="inlineStr">
        <is>
          <t>JÄMTLANDS LÄN</t>
        </is>
      </c>
      <c r="E954" t="inlineStr">
        <is>
          <t>BERG</t>
        </is>
      </c>
      <c r="G954" t="n">
        <v>2.3</v>
      </c>
      <c r="H954" t="n">
        <v>0</v>
      </c>
      <c r="I954" t="n">
        <v>0</v>
      </c>
      <c r="J954" t="n">
        <v>0</v>
      </c>
      <c r="K954" t="n">
        <v>0</v>
      </c>
      <c r="L954" t="n">
        <v>0</v>
      </c>
      <c r="M954" t="n">
        <v>0</v>
      </c>
      <c r="N954" t="n">
        <v>0</v>
      </c>
      <c r="O954" t="n">
        <v>0</v>
      </c>
      <c r="P954" t="n">
        <v>0</v>
      </c>
      <c r="Q954" t="n">
        <v>0</v>
      </c>
      <c r="R954" s="2" t="inlineStr"/>
    </row>
    <row r="955" ht="15" customHeight="1">
      <c r="A955" t="inlineStr">
        <is>
          <t>A 19538-2023</t>
        </is>
      </c>
      <c r="B955" s="1" t="n">
        <v>45050</v>
      </c>
      <c r="C955" s="1" t="n">
        <v>46134</v>
      </c>
      <c r="D955" t="inlineStr">
        <is>
          <t>JÄMTLANDS LÄN</t>
        </is>
      </c>
      <c r="E955" t="inlineStr">
        <is>
          <t>BERG</t>
        </is>
      </c>
      <c r="G955" t="n">
        <v>1.4</v>
      </c>
      <c r="H955" t="n">
        <v>0</v>
      </c>
      <c r="I955" t="n">
        <v>0</v>
      </c>
      <c r="J955" t="n">
        <v>0</v>
      </c>
      <c r="K955" t="n">
        <v>0</v>
      </c>
      <c r="L955" t="n">
        <v>0</v>
      </c>
      <c r="M955" t="n">
        <v>0</v>
      </c>
      <c r="N955" t="n">
        <v>0</v>
      </c>
      <c r="O955" t="n">
        <v>0</v>
      </c>
      <c r="P955" t="n">
        <v>0</v>
      </c>
      <c r="Q955" t="n">
        <v>0</v>
      </c>
      <c r="R955" s="2" t="inlineStr"/>
    </row>
    <row r="956" ht="15" customHeight="1">
      <c r="A956" t="inlineStr">
        <is>
          <t>A 13473-2025</t>
        </is>
      </c>
      <c r="B956" s="1" t="n">
        <v>45736.40671296296</v>
      </c>
      <c r="C956" s="1" t="n">
        <v>46134</v>
      </c>
      <c r="D956" t="inlineStr">
        <is>
          <t>JÄMTLANDS LÄN</t>
        </is>
      </c>
      <c r="E956" t="inlineStr">
        <is>
          <t>BERG</t>
        </is>
      </c>
      <c r="F956" t="inlineStr">
        <is>
          <t>SCA</t>
        </is>
      </c>
      <c r="G956" t="n">
        <v>13.7</v>
      </c>
      <c r="H956" t="n">
        <v>0</v>
      </c>
      <c r="I956" t="n">
        <v>0</v>
      </c>
      <c r="J956" t="n">
        <v>0</v>
      </c>
      <c r="K956" t="n">
        <v>0</v>
      </c>
      <c r="L956" t="n">
        <v>0</v>
      </c>
      <c r="M956" t="n">
        <v>0</v>
      </c>
      <c r="N956" t="n">
        <v>0</v>
      </c>
      <c r="O956" t="n">
        <v>0</v>
      </c>
      <c r="P956" t="n">
        <v>0</v>
      </c>
      <c r="Q956" t="n">
        <v>0</v>
      </c>
      <c r="R956" s="2" t="inlineStr"/>
    </row>
    <row r="957" ht="15" customHeight="1">
      <c r="A957" t="inlineStr">
        <is>
          <t>A 18551-2025</t>
        </is>
      </c>
      <c r="B957" s="1" t="n">
        <v>45763.43650462963</v>
      </c>
      <c r="C957" s="1" t="n">
        <v>46134</v>
      </c>
      <c r="D957" t="inlineStr">
        <is>
          <t>JÄMTLANDS LÄN</t>
        </is>
      </c>
      <c r="E957" t="inlineStr">
        <is>
          <t>BERG</t>
        </is>
      </c>
      <c r="G957" t="n">
        <v>3.5</v>
      </c>
      <c r="H957" t="n">
        <v>0</v>
      </c>
      <c r="I957" t="n">
        <v>0</v>
      </c>
      <c r="J957" t="n">
        <v>0</v>
      </c>
      <c r="K957" t="n">
        <v>0</v>
      </c>
      <c r="L957" t="n">
        <v>0</v>
      </c>
      <c r="M957" t="n">
        <v>0</v>
      </c>
      <c r="N957" t="n">
        <v>0</v>
      </c>
      <c r="O957" t="n">
        <v>0</v>
      </c>
      <c r="P957" t="n">
        <v>0</v>
      </c>
      <c r="Q957" t="n">
        <v>0</v>
      </c>
      <c r="R957" s="2" t="inlineStr"/>
    </row>
    <row r="958" ht="15" customHeight="1">
      <c r="A958" t="inlineStr">
        <is>
          <t>A 16491-2023</t>
        </is>
      </c>
      <c r="B958" s="1" t="n">
        <v>45027</v>
      </c>
      <c r="C958" s="1" t="n">
        <v>46134</v>
      </c>
      <c r="D958" t="inlineStr">
        <is>
          <t>JÄMTLANDS LÄN</t>
        </is>
      </c>
      <c r="E958" t="inlineStr">
        <is>
          <t>BERG</t>
        </is>
      </c>
      <c r="G958" t="n">
        <v>2.5</v>
      </c>
      <c r="H958" t="n">
        <v>0</v>
      </c>
      <c r="I958" t="n">
        <v>0</v>
      </c>
      <c r="J958" t="n">
        <v>0</v>
      </c>
      <c r="K958" t="n">
        <v>0</v>
      </c>
      <c r="L958" t="n">
        <v>0</v>
      </c>
      <c r="M958" t="n">
        <v>0</v>
      </c>
      <c r="N958" t="n">
        <v>0</v>
      </c>
      <c r="O958" t="n">
        <v>0</v>
      </c>
      <c r="P958" t="n">
        <v>0</v>
      </c>
      <c r="Q958" t="n">
        <v>0</v>
      </c>
      <c r="R958" s="2" t="inlineStr"/>
    </row>
    <row r="959" ht="15" customHeight="1">
      <c r="A959" t="inlineStr">
        <is>
          <t>A 8239-2024</t>
        </is>
      </c>
      <c r="B959" s="1" t="n">
        <v>45351</v>
      </c>
      <c r="C959" s="1" t="n">
        <v>46134</v>
      </c>
      <c r="D959" t="inlineStr">
        <is>
          <t>JÄMTLANDS LÄN</t>
        </is>
      </c>
      <c r="E959" t="inlineStr">
        <is>
          <t>BERG</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64247-2023</t>
        </is>
      </c>
      <c r="B960" s="1" t="n">
        <v>45279.92739583334</v>
      </c>
      <c r="C960" s="1" t="n">
        <v>46134</v>
      </c>
      <c r="D960" t="inlineStr">
        <is>
          <t>JÄMTLANDS LÄN</t>
        </is>
      </c>
      <c r="E960" t="inlineStr">
        <is>
          <t>BERG</t>
        </is>
      </c>
      <c r="G960" t="n">
        <v>0.9</v>
      </c>
      <c r="H960" t="n">
        <v>0</v>
      </c>
      <c r="I960" t="n">
        <v>0</v>
      </c>
      <c r="J960" t="n">
        <v>0</v>
      </c>
      <c r="K960" t="n">
        <v>0</v>
      </c>
      <c r="L960" t="n">
        <v>0</v>
      </c>
      <c r="M960" t="n">
        <v>0</v>
      </c>
      <c r="N960" t="n">
        <v>0</v>
      </c>
      <c r="O960" t="n">
        <v>0</v>
      </c>
      <c r="P960" t="n">
        <v>0</v>
      </c>
      <c r="Q960" t="n">
        <v>0</v>
      </c>
      <c r="R960" s="2" t="inlineStr"/>
    </row>
    <row r="961" ht="15" customHeight="1">
      <c r="A961" t="inlineStr">
        <is>
          <t>A 62555-2023</t>
        </is>
      </c>
      <c r="B961" s="1" t="n">
        <v>45268.9262962963</v>
      </c>
      <c r="C961" s="1" t="n">
        <v>46134</v>
      </c>
      <c r="D961" t="inlineStr">
        <is>
          <t>JÄMTLANDS LÄN</t>
        </is>
      </c>
      <c r="E961" t="inlineStr">
        <is>
          <t>BERG</t>
        </is>
      </c>
      <c r="G961" t="n">
        <v>5</v>
      </c>
      <c r="H961" t="n">
        <v>0</v>
      </c>
      <c r="I961" t="n">
        <v>0</v>
      </c>
      <c r="J961" t="n">
        <v>0</v>
      </c>
      <c r="K961" t="n">
        <v>0</v>
      </c>
      <c r="L961" t="n">
        <v>0</v>
      </c>
      <c r="M961" t="n">
        <v>0</v>
      </c>
      <c r="N961" t="n">
        <v>0</v>
      </c>
      <c r="O961" t="n">
        <v>0</v>
      </c>
      <c r="P961" t="n">
        <v>0</v>
      </c>
      <c r="Q961" t="n">
        <v>0</v>
      </c>
      <c r="R961" s="2" t="inlineStr"/>
    </row>
    <row r="962" ht="15" customHeight="1">
      <c r="A962" t="inlineStr">
        <is>
          <t>A 36-2024</t>
        </is>
      </c>
      <c r="B962" s="1" t="n">
        <v>45293</v>
      </c>
      <c r="C962" s="1" t="n">
        <v>46134</v>
      </c>
      <c r="D962" t="inlineStr">
        <is>
          <t>JÄMTLANDS LÄN</t>
        </is>
      </c>
      <c r="E962" t="inlineStr">
        <is>
          <t>BERG</t>
        </is>
      </c>
      <c r="G962" t="n">
        <v>2.6</v>
      </c>
      <c r="H962" t="n">
        <v>0</v>
      </c>
      <c r="I962" t="n">
        <v>0</v>
      </c>
      <c r="J962" t="n">
        <v>0</v>
      </c>
      <c r="K962" t="n">
        <v>0</v>
      </c>
      <c r="L962" t="n">
        <v>0</v>
      </c>
      <c r="M962" t="n">
        <v>0</v>
      </c>
      <c r="N962" t="n">
        <v>0</v>
      </c>
      <c r="O962" t="n">
        <v>0</v>
      </c>
      <c r="P962" t="n">
        <v>0</v>
      </c>
      <c r="Q962" t="n">
        <v>0</v>
      </c>
      <c r="R962" s="2" t="inlineStr"/>
    </row>
    <row r="963" ht="15" customHeight="1">
      <c r="A963" t="inlineStr">
        <is>
          <t>A 31079-2024</t>
        </is>
      </c>
      <c r="B963" s="1" t="n">
        <v>45502.46423611111</v>
      </c>
      <c r="C963" s="1" t="n">
        <v>46134</v>
      </c>
      <c r="D963" t="inlineStr">
        <is>
          <t>JÄMTLANDS LÄN</t>
        </is>
      </c>
      <c r="E963" t="inlineStr">
        <is>
          <t>BERG</t>
        </is>
      </c>
      <c r="G963" t="n">
        <v>2.5</v>
      </c>
      <c r="H963" t="n">
        <v>0</v>
      </c>
      <c r="I963" t="n">
        <v>0</v>
      </c>
      <c r="J963" t="n">
        <v>0</v>
      </c>
      <c r="K963" t="n">
        <v>0</v>
      </c>
      <c r="L963" t="n">
        <v>0</v>
      </c>
      <c r="M963" t="n">
        <v>0</v>
      </c>
      <c r="N963" t="n">
        <v>0</v>
      </c>
      <c r="O963" t="n">
        <v>0</v>
      </c>
      <c r="P963" t="n">
        <v>0</v>
      </c>
      <c r="Q963" t="n">
        <v>0</v>
      </c>
      <c r="R963" s="2" t="inlineStr"/>
    </row>
    <row r="964" ht="15" customHeight="1">
      <c r="A964" t="inlineStr">
        <is>
          <t>A 16002-2025</t>
        </is>
      </c>
      <c r="B964" s="1" t="n">
        <v>45749.59398148148</v>
      </c>
      <c r="C964" s="1" t="n">
        <v>46134</v>
      </c>
      <c r="D964" t="inlineStr">
        <is>
          <t>JÄMTLANDS LÄN</t>
        </is>
      </c>
      <c r="E964" t="inlineStr">
        <is>
          <t>BERG</t>
        </is>
      </c>
      <c r="G964" t="n">
        <v>0.7</v>
      </c>
      <c r="H964" t="n">
        <v>0</v>
      </c>
      <c r="I964" t="n">
        <v>0</v>
      </c>
      <c r="J964" t="n">
        <v>0</v>
      </c>
      <c r="K964" t="n">
        <v>0</v>
      </c>
      <c r="L964" t="n">
        <v>0</v>
      </c>
      <c r="M964" t="n">
        <v>0</v>
      </c>
      <c r="N964" t="n">
        <v>0</v>
      </c>
      <c r="O964" t="n">
        <v>0</v>
      </c>
      <c r="P964" t="n">
        <v>0</v>
      </c>
      <c r="Q964" t="n">
        <v>0</v>
      </c>
      <c r="R964" s="2" t="inlineStr"/>
    </row>
    <row r="965" ht="15" customHeight="1">
      <c r="A965" t="inlineStr">
        <is>
          <t>A 8251-2023</t>
        </is>
      </c>
      <c r="B965" s="1" t="n">
        <v>44974</v>
      </c>
      <c r="C965" s="1" t="n">
        <v>46134</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57905-2024</t>
        </is>
      </c>
      <c r="B966" s="1" t="n">
        <v>45631.48989583334</v>
      </c>
      <c r="C966" s="1" t="n">
        <v>46134</v>
      </c>
      <c r="D966" t="inlineStr">
        <is>
          <t>JÄMTLANDS LÄN</t>
        </is>
      </c>
      <c r="E966" t="inlineStr">
        <is>
          <t>BERG</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39785-2024</t>
        </is>
      </c>
      <c r="B967" s="1" t="n">
        <v>45553.29927083333</v>
      </c>
      <c r="C967" s="1" t="n">
        <v>46134</v>
      </c>
      <c r="D967" t="inlineStr">
        <is>
          <t>JÄMTLANDS LÄN</t>
        </is>
      </c>
      <c r="E967" t="inlineStr">
        <is>
          <t>BERG</t>
        </is>
      </c>
      <c r="G967" t="n">
        <v>16.1</v>
      </c>
      <c r="H967" t="n">
        <v>0</v>
      </c>
      <c r="I967" t="n">
        <v>0</v>
      </c>
      <c r="J967" t="n">
        <v>0</v>
      </c>
      <c r="K967" t="n">
        <v>0</v>
      </c>
      <c r="L967" t="n">
        <v>0</v>
      </c>
      <c r="M967" t="n">
        <v>0</v>
      </c>
      <c r="N967" t="n">
        <v>0</v>
      </c>
      <c r="O967" t="n">
        <v>0</v>
      </c>
      <c r="P967" t="n">
        <v>0</v>
      </c>
      <c r="Q967" t="n">
        <v>0</v>
      </c>
      <c r="R967" s="2" t="inlineStr"/>
    </row>
    <row r="968" ht="15" customHeight="1">
      <c r="A968" t="inlineStr">
        <is>
          <t>A 26918-2024</t>
        </is>
      </c>
      <c r="B968" s="1" t="n">
        <v>45470</v>
      </c>
      <c r="C968" s="1" t="n">
        <v>46134</v>
      </c>
      <c r="D968" t="inlineStr">
        <is>
          <t>JÄMTLANDS LÄN</t>
        </is>
      </c>
      <c r="E968" t="inlineStr">
        <is>
          <t>BERG</t>
        </is>
      </c>
      <c r="G968" t="n">
        <v>0.4</v>
      </c>
      <c r="H968" t="n">
        <v>0</v>
      </c>
      <c r="I968" t="n">
        <v>0</v>
      </c>
      <c r="J968" t="n">
        <v>0</v>
      </c>
      <c r="K968" t="n">
        <v>0</v>
      </c>
      <c r="L968" t="n">
        <v>0</v>
      </c>
      <c r="M968" t="n">
        <v>0</v>
      </c>
      <c r="N968" t="n">
        <v>0</v>
      </c>
      <c r="O968" t="n">
        <v>0</v>
      </c>
      <c r="P968" t="n">
        <v>0</v>
      </c>
      <c r="Q968" t="n">
        <v>0</v>
      </c>
      <c r="R968" s="2" t="inlineStr"/>
    </row>
    <row r="969" ht="15" customHeight="1">
      <c r="A969" t="inlineStr">
        <is>
          <t>A 62153-2022</t>
        </is>
      </c>
      <c r="B969" s="1" t="n">
        <v>44914</v>
      </c>
      <c r="C969" s="1" t="n">
        <v>46134</v>
      </c>
      <c r="D969" t="inlineStr">
        <is>
          <t>JÄMTLANDS LÄN</t>
        </is>
      </c>
      <c r="E969" t="inlineStr">
        <is>
          <t>BERG</t>
        </is>
      </c>
      <c r="G969" t="n">
        <v>1</v>
      </c>
      <c r="H969" t="n">
        <v>0</v>
      </c>
      <c r="I969" t="n">
        <v>0</v>
      </c>
      <c r="J969" t="n">
        <v>0</v>
      </c>
      <c r="K969" t="n">
        <v>0</v>
      </c>
      <c r="L969" t="n">
        <v>0</v>
      </c>
      <c r="M969" t="n">
        <v>0</v>
      </c>
      <c r="N969" t="n">
        <v>0</v>
      </c>
      <c r="O969" t="n">
        <v>0</v>
      </c>
      <c r="P969" t="n">
        <v>0</v>
      </c>
      <c r="Q969" t="n">
        <v>0</v>
      </c>
      <c r="R969" s="2" t="inlineStr"/>
    </row>
    <row r="970" ht="15" customHeight="1">
      <c r="A970" t="inlineStr">
        <is>
          <t>A 13805-2024</t>
        </is>
      </c>
      <c r="B970" s="1" t="n">
        <v>45390</v>
      </c>
      <c r="C970" s="1" t="n">
        <v>46134</v>
      </c>
      <c r="D970" t="inlineStr">
        <is>
          <t>JÄMTLANDS LÄN</t>
        </is>
      </c>
      <c r="E970" t="inlineStr">
        <is>
          <t>BERG</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62104-2023</t>
        </is>
      </c>
      <c r="B971" s="1" t="n">
        <v>45266.95052083334</v>
      </c>
      <c r="C971" s="1" t="n">
        <v>46134</v>
      </c>
      <c r="D971" t="inlineStr">
        <is>
          <t>JÄMTLANDS LÄN</t>
        </is>
      </c>
      <c r="E971" t="inlineStr">
        <is>
          <t>BERG</t>
        </is>
      </c>
      <c r="G971" t="n">
        <v>1.5</v>
      </c>
      <c r="H971" t="n">
        <v>0</v>
      </c>
      <c r="I971" t="n">
        <v>0</v>
      </c>
      <c r="J971" t="n">
        <v>0</v>
      </c>
      <c r="K971" t="n">
        <v>0</v>
      </c>
      <c r="L971" t="n">
        <v>0</v>
      </c>
      <c r="M971" t="n">
        <v>0</v>
      </c>
      <c r="N971" t="n">
        <v>0</v>
      </c>
      <c r="O971" t="n">
        <v>0</v>
      </c>
      <c r="P971" t="n">
        <v>0</v>
      </c>
      <c r="Q971" t="n">
        <v>0</v>
      </c>
      <c r="R971" s="2" t="inlineStr"/>
    </row>
    <row r="972" ht="15" customHeight="1">
      <c r="A972" t="inlineStr">
        <is>
          <t>A 62105-2023</t>
        </is>
      </c>
      <c r="B972" s="1" t="n">
        <v>45266.95074074074</v>
      </c>
      <c r="C972" s="1" t="n">
        <v>46134</v>
      </c>
      <c r="D972" t="inlineStr">
        <is>
          <t>JÄMTLANDS LÄN</t>
        </is>
      </c>
      <c r="E972" t="inlineStr">
        <is>
          <t>BERG</t>
        </is>
      </c>
      <c r="F972" t="inlineStr">
        <is>
          <t>SCA</t>
        </is>
      </c>
      <c r="G972" t="n">
        <v>13.1</v>
      </c>
      <c r="H972" t="n">
        <v>0</v>
      </c>
      <c r="I972" t="n">
        <v>0</v>
      </c>
      <c r="J972" t="n">
        <v>0</v>
      </c>
      <c r="K972" t="n">
        <v>0</v>
      </c>
      <c r="L972" t="n">
        <v>0</v>
      </c>
      <c r="M972" t="n">
        <v>0</v>
      </c>
      <c r="N972" t="n">
        <v>0</v>
      </c>
      <c r="O972" t="n">
        <v>0</v>
      </c>
      <c r="P972" t="n">
        <v>0</v>
      </c>
      <c r="Q972" t="n">
        <v>0</v>
      </c>
      <c r="R972" s="2" t="inlineStr"/>
    </row>
    <row r="973" ht="15" customHeight="1">
      <c r="A973" t="inlineStr">
        <is>
          <t>A 32147-2024</t>
        </is>
      </c>
      <c r="B973" s="1" t="n">
        <v>45511.55600694445</v>
      </c>
      <c r="C973" s="1" t="n">
        <v>46134</v>
      </c>
      <c r="D973" t="inlineStr">
        <is>
          <t>JÄMTLANDS LÄN</t>
        </is>
      </c>
      <c r="E973" t="inlineStr">
        <is>
          <t>BERG</t>
        </is>
      </c>
      <c r="G973" t="n">
        <v>2.3</v>
      </c>
      <c r="H973" t="n">
        <v>0</v>
      </c>
      <c r="I973" t="n">
        <v>0</v>
      </c>
      <c r="J973" t="n">
        <v>0</v>
      </c>
      <c r="K973" t="n">
        <v>0</v>
      </c>
      <c r="L973" t="n">
        <v>0</v>
      </c>
      <c r="M973" t="n">
        <v>0</v>
      </c>
      <c r="N973" t="n">
        <v>0</v>
      </c>
      <c r="O973" t="n">
        <v>0</v>
      </c>
      <c r="P973" t="n">
        <v>0</v>
      </c>
      <c r="Q973" t="n">
        <v>0</v>
      </c>
      <c r="R973" s="2" t="inlineStr"/>
    </row>
    <row r="974" ht="15" customHeight="1">
      <c r="A974" t="inlineStr">
        <is>
          <t>A 32156-2024</t>
        </is>
      </c>
      <c r="B974" s="1" t="n">
        <v>45511</v>
      </c>
      <c r="C974" s="1" t="n">
        <v>46134</v>
      </c>
      <c r="D974" t="inlineStr">
        <is>
          <t>JÄMTLANDS LÄN</t>
        </is>
      </c>
      <c r="E974" t="inlineStr">
        <is>
          <t>BERG</t>
        </is>
      </c>
      <c r="G974" t="n">
        <v>3.4</v>
      </c>
      <c r="H974" t="n">
        <v>0</v>
      </c>
      <c r="I974" t="n">
        <v>0</v>
      </c>
      <c r="J974" t="n">
        <v>0</v>
      </c>
      <c r="K974" t="n">
        <v>0</v>
      </c>
      <c r="L974" t="n">
        <v>0</v>
      </c>
      <c r="M974" t="n">
        <v>0</v>
      </c>
      <c r="N974" t="n">
        <v>0</v>
      </c>
      <c r="O974" t="n">
        <v>0</v>
      </c>
      <c r="P974" t="n">
        <v>0</v>
      </c>
      <c r="Q974" t="n">
        <v>0</v>
      </c>
      <c r="R974" s="2" t="inlineStr"/>
    </row>
    <row r="975" ht="15" customHeight="1">
      <c r="A975" t="inlineStr">
        <is>
          <t>A 39103-2024</t>
        </is>
      </c>
      <c r="B975" s="1" t="n">
        <v>45548.57025462963</v>
      </c>
      <c r="C975" s="1" t="n">
        <v>46134</v>
      </c>
      <c r="D975" t="inlineStr">
        <is>
          <t>JÄMTLANDS LÄN</t>
        </is>
      </c>
      <c r="E975" t="inlineStr">
        <is>
          <t>BERG</t>
        </is>
      </c>
      <c r="G975" t="n">
        <v>38.4</v>
      </c>
      <c r="H975" t="n">
        <v>0</v>
      </c>
      <c r="I975" t="n">
        <v>0</v>
      </c>
      <c r="J975" t="n">
        <v>0</v>
      </c>
      <c r="K975" t="n">
        <v>0</v>
      </c>
      <c r="L975" t="n">
        <v>0</v>
      </c>
      <c r="M975" t="n">
        <v>0</v>
      </c>
      <c r="N975" t="n">
        <v>0</v>
      </c>
      <c r="O975" t="n">
        <v>0</v>
      </c>
      <c r="P975" t="n">
        <v>0</v>
      </c>
      <c r="Q975" t="n">
        <v>0</v>
      </c>
      <c r="R975" s="2" t="inlineStr"/>
    </row>
    <row r="976" ht="15" customHeight="1">
      <c r="A976" t="inlineStr">
        <is>
          <t>A 41782-2024</t>
        </is>
      </c>
      <c r="B976" s="1" t="n">
        <v>45561</v>
      </c>
      <c r="C976" s="1" t="n">
        <v>46134</v>
      </c>
      <c r="D976" t="inlineStr">
        <is>
          <t>JÄMTLANDS LÄN</t>
        </is>
      </c>
      <c r="E976" t="inlineStr">
        <is>
          <t>BERG</t>
        </is>
      </c>
      <c r="F976" t="inlineStr">
        <is>
          <t>SCA</t>
        </is>
      </c>
      <c r="G976" t="n">
        <v>0.1</v>
      </c>
      <c r="H976" t="n">
        <v>0</v>
      </c>
      <c r="I976" t="n">
        <v>0</v>
      </c>
      <c r="J976" t="n">
        <v>0</v>
      </c>
      <c r="K976" t="n">
        <v>0</v>
      </c>
      <c r="L976" t="n">
        <v>0</v>
      </c>
      <c r="M976" t="n">
        <v>0</v>
      </c>
      <c r="N976" t="n">
        <v>0</v>
      </c>
      <c r="O976" t="n">
        <v>0</v>
      </c>
      <c r="P976" t="n">
        <v>0</v>
      </c>
      <c r="Q976" t="n">
        <v>0</v>
      </c>
      <c r="R976" s="2" t="inlineStr"/>
    </row>
    <row r="977" ht="15" customHeight="1">
      <c r="A977" t="inlineStr">
        <is>
          <t>A 14728-2025</t>
        </is>
      </c>
      <c r="B977" s="1" t="n">
        <v>45742.63574074074</v>
      </c>
      <c r="C977" s="1" t="n">
        <v>46134</v>
      </c>
      <c r="D977" t="inlineStr">
        <is>
          <t>JÄMTLANDS LÄN</t>
        </is>
      </c>
      <c r="E977" t="inlineStr">
        <is>
          <t>BERG</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34225-2024</t>
        </is>
      </c>
      <c r="B978" s="1" t="n">
        <v>45524.55398148148</v>
      </c>
      <c r="C978" s="1" t="n">
        <v>46134</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41636-2024</t>
        </is>
      </c>
      <c r="B979" s="1" t="n">
        <v>45560.61606481481</v>
      </c>
      <c r="C979" s="1" t="n">
        <v>46134</v>
      </c>
      <c r="D979" t="inlineStr">
        <is>
          <t>JÄMTLANDS LÄN</t>
        </is>
      </c>
      <c r="E979" t="inlineStr">
        <is>
          <t>BERG</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18032-2024</t>
        </is>
      </c>
      <c r="B980" s="1" t="n">
        <v>45420.34979166667</v>
      </c>
      <c r="C980" s="1" t="n">
        <v>46134</v>
      </c>
      <c r="D980" t="inlineStr">
        <is>
          <t>JÄMTLANDS LÄN</t>
        </is>
      </c>
      <c r="E980" t="inlineStr">
        <is>
          <t>BERG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22947-2022</t>
        </is>
      </c>
      <c r="B981" s="1" t="n">
        <v>44715.92443287037</v>
      </c>
      <c r="C981" s="1" t="n">
        <v>46134</v>
      </c>
      <c r="D981" t="inlineStr">
        <is>
          <t>JÄMTLANDS LÄN</t>
        </is>
      </c>
      <c r="E981" t="inlineStr">
        <is>
          <t>BERG</t>
        </is>
      </c>
      <c r="G981" t="n">
        <v>1</v>
      </c>
      <c r="H981" t="n">
        <v>0</v>
      </c>
      <c r="I981" t="n">
        <v>0</v>
      </c>
      <c r="J981" t="n">
        <v>0</v>
      </c>
      <c r="K981" t="n">
        <v>0</v>
      </c>
      <c r="L981" t="n">
        <v>0</v>
      </c>
      <c r="M981" t="n">
        <v>0</v>
      </c>
      <c r="N981" t="n">
        <v>0</v>
      </c>
      <c r="O981" t="n">
        <v>0</v>
      </c>
      <c r="P981" t="n">
        <v>0</v>
      </c>
      <c r="Q981" t="n">
        <v>0</v>
      </c>
      <c r="R981" s="2" t="inlineStr"/>
    </row>
    <row r="982" ht="15" customHeight="1">
      <c r="A982" t="inlineStr">
        <is>
          <t>A 46902-2024</t>
        </is>
      </c>
      <c r="B982" s="1" t="n">
        <v>45583.69847222222</v>
      </c>
      <c r="C982" s="1" t="n">
        <v>46134</v>
      </c>
      <c r="D982" t="inlineStr">
        <is>
          <t>JÄMTLANDS LÄN</t>
        </is>
      </c>
      <c r="E982" t="inlineStr">
        <is>
          <t>BERG</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45347-2023</t>
        </is>
      </c>
      <c r="B983" s="1" t="n">
        <v>45191</v>
      </c>
      <c r="C983" s="1" t="n">
        <v>46134</v>
      </c>
      <c r="D983" t="inlineStr">
        <is>
          <t>JÄMTLANDS LÄN</t>
        </is>
      </c>
      <c r="E983" t="inlineStr">
        <is>
          <t>BERG</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36079-2024</t>
        </is>
      </c>
      <c r="B984" s="1" t="n">
        <v>45533.66685185185</v>
      </c>
      <c r="C984" s="1" t="n">
        <v>46134</v>
      </c>
      <c r="D984" t="inlineStr">
        <is>
          <t>JÄMTLANDS LÄN</t>
        </is>
      </c>
      <c r="E984" t="inlineStr">
        <is>
          <t>BERG</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64487-2023</t>
        </is>
      </c>
      <c r="B985" s="1" t="n">
        <v>45280.92613425926</v>
      </c>
      <c r="C985" s="1" t="n">
        <v>46134</v>
      </c>
      <c r="D985" t="inlineStr">
        <is>
          <t>JÄMTLANDS LÄN</t>
        </is>
      </c>
      <c r="E985" t="inlineStr">
        <is>
          <t>BERG</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64489-2023</t>
        </is>
      </c>
      <c r="B986" s="1" t="n">
        <v>45280</v>
      </c>
      <c r="C986" s="1" t="n">
        <v>46134</v>
      </c>
      <c r="D986" t="inlineStr">
        <is>
          <t>JÄMTLANDS LÄN</t>
        </is>
      </c>
      <c r="E986" t="inlineStr">
        <is>
          <t>BERG</t>
        </is>
      </c>
      <c r="F986" t="inlineStr">
        <is>
          <t>Övriga Aktiebolag</t>
        </is>
      </c>
      <c r="G986" t="n">
        <v>14.1</v>
      </c>
      <c r="H986" t="n">
        <v>0</v>
      </c>
      <c r="I986" t="n">
        <v>0</v>
      </c>
      <c r="J986" t="n">
        <v>0</v>
      </c>
      <c r="K986" t="n">
        <v>0</v>
      </c>
      <c r="L986" t="n">
        <v>0</v>
      </c>
      <c r="M986" t="n">
        <v>0</v>
      </c>
      <c r="N986" t="n">
        <v>0</v>
      </c>
      <c r="O986" t="n">
        <v>0</v>
      </c>
      <c r="P986" t="n">
        <v>0</v>
      </c>
      <c r="Q986" t="n">
        <v>0</v>
      </c>
      <c r="R986" s="2" t="inlineStr"/>
    </row>
    <row r="987" ht="15" customHeight="1">
      <c r="A987" t="inlineStr">
        <is>
          <t>A 60068-2022</t>
        </is>
      </c>
      <c r="B987" s="1" t="n">
        <v>44902</v>
      </c>
      <c r="C987" s="1" t="n">
        <v>46134</v>
      </c>
      <c r="D987" t="inlineStr">
        <is>
          <t>JÄMTLANDS LÄN</t>
        </is>
      </c>
      <c r="E987" t="inlineStr">
        <is>
          <t>BERG</t>
        </is>
      </c>
      <c r="G987" t="n">
        <v>5.2</v>
      </c>
      <c r="H987" t="n">
        <v>0</v>
      </c>
      <c r="I987" t="n">
        <v>0</v>
      </c>
      <c r="J987" t="n">
        <v>0</v>
      </c>
      <c r="K987" t="n">
        <v>0</v>
      </c>
      <c r="L987" t="n">
        <v>0</v>
      </c>
      <c r="M987" t="n">
        <v>0</v>
      </c>
      <c r="N987" t="n">
        <v>0</v>
      </c>
      <c r="O987" t="n">
        <v>0</v>
      </c>
      <c r="P987" t="n">
        <v>0</v>
      </c>
      <c r="Q987" t="n">
        <v>0</v>
      </c>
      <c r="R987" s="2" t="inlineStr"/>
    </row>
    <row r="988" ht="15" customHeight="1">
      <c r="A988" t="inlineStr">
        <is>
          <t>A 3798-2022</t>
        </is>
      </c>
      <c r="B988" s="1" t="n">
        <v>44586</v>
      </c>
      <c r="C988" s="1" t="n">
        <v>46134</v>
      </c>
      <c r="D988" t="inlineStr">
        <is>
          <t>JÄMTLANDS LÄN</t>
        </is>
      </c>
      <c r="E988" t="inlineStr">
        <is>
          <t>BERG</t>
        </is>
      </c>
      <c r="G988" t="n">
        <v>0.1</v>
      </c>
      <c r="H988" t="n">
        <v>0</v>
      </c>
      <c r="I988" t="n">
        <v>0</v>
      </c>
      <c r="J988" t="n">
        <v>0</v>
      </c>
      <c r="K988" t="n">
        <v>0</v>
      </c>
      <c r="L988" t="n">
        <v>0</v>
      </c>
      <c r="M988" t="n">
        <v>0</v>
      </c>
      <c r="N988" t="n">
        <v>0</v>
      </c>
      <c r="O988" t="n">
        <v>0</v>
      </c>
      <c r="P988" t="n">
        <v>0</v>
      </c>
      <c r="Q988" t="n">
        <v>0</v>
      </c>
      <c r="R988" s="2" t="inlineStr"/>
    </row>
    <row r="989" ht="15" customHeight="1">
      <c r="A989" t="inlineStr">
        <is>
          <t>A 22297-2022</t>
        </is>
      </c>
      <c r="B989" s="1" t="n">
        <v>44712</v>
      </c>
      <c r="C989" s="1" t="n">
        <v>46134</v>
      </c>
      <c r="D989" t="inlineStr">
        <is>
          <t>JÄMTLANDS LÄN</t>
        </is>
      </c>
      <c r="E989" t="inlineStr">
        <is>
          <t>BERG</t>
        </is>
      </c>
      <c r="G989" t="n">
        <v>1</v>
      </c>
      <c r="H989" t="n">
        <v>0</v>
      </c>
      <c r="I989" t="n">
        <v>0</v>
      </c>
      <c r="J989" t="n">
        <v>0</v>
      </c>
      <c r="K989" t="n">
        <v>0</v>
      </c>
      <c r="L989" t="n">
        <v>0</v>
      </c>
      <c r="M989" t="n">
        <v>0</v>
      </c>
      <c r="N989" t="n">
        <v>0</v>
      </c>
      <c r="O989" t="n">
        <v>0</v>
      </c>
      <c r="P989" t="n">
        <v>0</v>
      </c>
      <c r="Q989" t="n">
        <v>0</v>
      </c>
      <c r="R989" s="2" t="inlineStr"/>
    </row>
    <row r="990" ht="15" customHeight="1">
      <c r="A990" t="inlineStr">
        <is>
          <t>A 54992-2023</t>
        </is>
      </c>
      <c r="B990" s="1" t="n">
        <v>45236.96789351852</v>
      </c>
      <c r="C990" s="1" t="n">
        <v>46134</v>
      </c>
      <c r="D990" t="inlineStr">
        <is>
          <t>JÄMTLANDS LÄN</t>
        </is>
      </c>
      <c r="E990" t="inlineStr">
        <is>
          <t>BERG</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54994-2023</t>
        </is>
      </c>
      <c r="B991" s="1" t="n">
        <v>45236</v>
      </c>
      <c r="C991" s="1" t="n">
        <v>46134</v>
      </c>
      <c r="D991" t="inlineStr">
        <is>
          <t>JÄMTLANDS LÄN</t>
        </is>
      </c>
      <c r="E991" t="inlineStr">
        <is>
          <t>BERG</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51548-2023</t>
        </is>
      </c>
      <c r="B992" s="1" t="n">
        <v>45215</v>
      </c>
      <c r="C992" s="1" t="n">
        <v>46134</v>
      </c>
      <c r="D992" t="inlineStr">
        <is>
          <t>JÄMTLANDS LÄN</t>
        </is>
      </c>
      <c r="E992" t="inlineStr">
        <is>
          <t>BERG</t>
        </is>
      </c>
      <c r="G992" t="n">
        <v>4.8</v>
      </c>
      <c r="H992" t="n">
        <v>0</v>
      </c>
      <c r="I992" t="n">
        <v>0</v>
      </c>
      <c r="J992" t="n">
        <v>0</v>
      </c>
      <c r="K992" t="n">
        <v>0</v>
      </c>
      <c r="L992" t="n">
        <v>0</v>
      </c>
      <c r="M992" t="n">
        <v>0</v>
      </c>
      <c r="N992" t="n">
        <v>0</v>
      </c>
      <c r="O992" t="n">
        <v>0</v>
      </c>
      <c r="P992" t="n">
        <v>0</v>
      </c>
      <c r="Q992" t="n">
        <v>0</v>
      </c>
      <c r="R992" s="2" t="inlineStr"/>
    </row>
    <row r="993" ht="15" customHeight="1">
      <c r="A993" t="inlineStr">
        <is>
          <t>A 2472-2025</t>
        </is>
      </c>
      <c r="B993" s="1" t="n">
        <v>45674.47341435185</v>
      </c>
      <c r="C993" s="1" t="n">
        <v>46134</v>
      </c>
      <c r="D993" t="inlineStr">
        <is>
          <t>JÄMTLANDS LÄN</t>
        </is>
      </c>
      <c r="E993" t="inlineStr">
        <is>
          <t>BERG</t>
        </is>
      </c>
      <c r="G993" t="n">
        <v>2.6</v>
      </c>
      <c r="H993" t="n">
        <v>0</v>
      </c>
      <c r="I993" t="n">
        <v>0</v>
      </c>
      <c r="J993" t="n">
        <v>0</v>
      </c>
      <c r="K993" t="n">
        <v>0</v>
      </c>
      <c r="L993" t="n">
        <v>0</v>
      </c>
      <c r="M993" t="n">
        <v>0</v>
      </c>
      <c r="N993" t="n">
        <v>0</v>
      </c>
      <c r="O993" t="n">
        <v>0</v>
      </c>
      <c r="P993" t="n">
        <v>0</v>
      </c>
      <c r="Q993" t="n">
        <v>0</v>
      </c>
      <c r="R993" s="2" t="inlineStr"/>
    </row>
    <row r="994" ht="15" customHeight="1">
      <c r="A994" t="inlineStr">
        <is>
          <t>A 2474-2025</t>
        </is>
      </c>
      <c r="B994" s="1" t="n">
        <v>45674.47496527778</v>
      </c>
      <c r="C994" s="1" t="n">
        <v>46134</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50780-2021</t>
        </is>
      </c>
      <c r="B995" s="1" t="n">
        <v>44459</v>
      </c>
      <c r="C995" s="1" t="n">
        <v>46134</v>
      </c>
      <c r="D995" t="inlineStr">
        <is>
          <t>JÄMTLANDS LÄN</t>
        </is>
      </c>
      <c r="E995" t="inlineStr">
        <is>
          <t>BERG</t>
        </is>
      </c>
      <c r="G995" t="n">
        <v>3.5</v>
      </c>
      <c r="H995" t="n">
        <v>0</v>
      </c>
      <c r="I995" t="n">
        <v>0</v>
      </c>
      <c r="J995" t="n">
        <v>0</v>
      </c>
      <c r="K995" t="n">
        <v>0</v>
      </c>
      <c r="L995" t="n">
        <v>0</v>
      </c>
      <c r="M995" t="n">
        <v>0</v>
      </c>
      <c r="N995" t="n">
        <v>0</v>
      </c>
      <c r="O995" t="n">
        <v>0</v>
      </c>
      <c r="P995" t="n">
        <v>0</v>
      </c>
      <c r="Q995" t="n">
        <v>0</v>
      </c>
      <c r="R995" s="2" t="inlineStr"/>
    </row>
    <row r="996" ht="15" customHeight="1">
      <c r="A996" t="inlineStr">
        <is>
          <t>A 40824-2023</t>
        </is>
      </c>
      <c r="B996" s="1" t="n">
        <v>45171</v>
      </c>
      <c r="C996" s="1" t="n">
        <v>46134</v>
      </c>
      <c r="D996" t="inlineStr">
        <is>
          <t>JÄMTLANDS LÄN</t>
        </is>
      </c>
      <c r="E996" t="inlineStr">
        <is>
          <t>BERG</t>
        </is>
      </c>
      <c r="G996" t="n">
        <v>0.5</v>
      </c>
      <c r="H996" t="n">
        <v>0</v>
      </c>
      <c r="I996" t="n">
        <v>0</v>
      </c>
      <c r="J996" t="n">
        <v>0</v>
      </c>
      <c r="K996" t="n">
        <v>0</v>
      </c>
      <c r="L996" t="n">
        <v>0</v>
      </c>
      <c r="M996" t="n">
        <v>0</v>
      </c>
      <c r="N996" t="n">
        <v>0</v>
      </c>
      <c r="O996" t="n">
        <v>0</v>
      </c>
      <c r="P996" t="n">
        <v>0</v>
      </c>
      <c r="Q996" t="n">
        <v>0</v>
      </c>
      <c r="R996" s="2" t="inlineStr"/>
    </row>
    <row r="997" ht="15" customHeight="1">
      <c r="A997" t="inlineStr">
        <is>
          <t>A 47119-2024</t>
        </is>
      </c>
      <c r="B997" s="1" t="n">
        <v>45586.56431712963</v>
      </c>
      <c r="C997" s="1" t="n">
        <v>46134</v>
      </c>
      <c r="D997" t="inlineStr">
        <is>
          <t>JÄMTLANDS LÄN</t>
        </is>
      </c>
      <c r="E997" t="inlineStr">
        <is>
          <t>BERG</t>
        </is>
      </c>
      <c r="G997" t="n">
        <v>5</v>
      </c>
      <c r="H997" t="n">
        <v>0</v>
      </c>
      <c r="I997" t="n">
        <v>0</v>
      </c>
      <c r="J997" t="n">
        <v>0</v>
      </c>
      <c r="K997" t="n">
        <v>0</v>
      </c>
      <c r="L997" t="n">
        <v>0</v>
      </c>
      <c r="M997" t="n">
        <v>0</v>
      </c>
      <c r="N997" t="n">
        <v>0</v>
      </c>
      <c r="O997" t="n">
        <v>0</v>
      </c>
      <c r="P997" t="n">
        <v>0</v>
      </c>
      <c r="Q997" t="n">
        <v>0</v>
      </c>
      <c r="R997" s="2" t="inlineStr"/>
    </row>
    <row r="998" ht="15" customHeight="1">
      <c r="A998" t="inlineStr">
        <is>
          <t>A 1982-2022</t>
        </is>
      </c>
      <c r="B998" s="1" t="n">
        <v>44575</v>
      </c>
      <c r="C998" s="1" t="n">
        <v>46134</v>
      </c>
      <c r="D998" t="inlineStr">
        <is>
          <t>JÄMTLANDS LÄN</t>
        </is>
      </c>
      <c r="E998" t="inlineStr">
        <is>
          <t>BERG</t>
        </is>
      </c>
      <c r="G998" t="n">
        <v>1.6</v>
      </c>
      <c r="H998" t="n">
        <v>0</v>
      </c>
      <c r="I998" t="n">
        <v>0</v>
      </c>
      <c r="J998" t="n">
        <v>0</v>
      </c>
      <c r="K998" t="n">
        <v>0</v>
      </c>
      <c r="L998" t="n">
        <v>0</v>
      </c>
      <c r="M998" t="n">
        <v>0</v>
      </c>
      <c r="N998" t="n">
        <v>0</v>
      </c>
      <c r="O998" t="n">
        <v>0</v>
      </c>
      <c r="P998" t="n">
        <v>0</v>
      </c>
      <c r="Q998" t="n">
        <v>0</v>
      </c>
      <c r="R998" s="2" t="inlineStr"/>
    </row>
    <row r="999" ht="15" customHeight="1">
      <c r="A999" t="inlineStr">
        <is>
          <t>A 1989-2022</t>
        </is>
      </c>
      <c r="B999" s="1" t="n">
        <v>44575.55935185185</v>
      </c>
      <c r="C999" s="1" t="n">
        <v>46134</v>
      </c>
      <c r="D999" t="inlineStr">
        <is>
          <t>JÄMTLANDS LÄN</t>
        </is>
      </c>
      <c r="E999" t="inlineStr">
        <is>
          <t>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14198-2023</t>
        </is>
      </c>
      <c r="B1000" s="1" t="n">
        <v>45009.57518518518</v>
      </c>
      <c r="C1000" s="1" t="n">
        <v>46134</v>
      </c>
      <c r="D1000" t="inlineStr">
        <is>
          <t>JÄMTLANDS LÄN</t>
        </is>
      </c>
      <c r="E1000" t="inlineStr">
        <is>
          <t>BERG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58817-2024</t>
        </is>
      </c>
      <c r="B1001" s="1" t="n">
        <v>45636.35909722222</v>
      </c>
      <c r="C1001" s="1" t="n">
        <v>46134</v>
      </c>
      <c r="D1001" t="inlineStr">
        <is>
          <t>JÄMTLANDS LÄN</t>
        </is>
      </c>
      <c r="E1001" t="inlineStr">
        <is>
          <t>BERG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59526-2024</t>
        </is>
      </c>
      <c r="B1002" s="1" t="n">
        <v>45638.58019675926</v>
      </c>
      <c r="C1002" s="1" t="n">
        <v>46134</v>
      </c>
      <c r="D1002" t="inlineStr">
        <is>
          <t>JÄMTLANDS LÄN</t>
        </is>
      </c>
      <c r="E1002" t="inlineStr">
        <is>
          <t>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64752-2023</t>
        </is>
      </c>
      <c r="B1003" s="1" t="n">
        <v>45281.92891203704</v>
      </c>
      <c r="C1003" s="1" t="n">
        <v>46134</v>
      </c>
      <c r="D1003" t="inlineStr">
        <is>
          <t>JÄMTLANDS LÄN</t>
        </is>
      </c>
      <c r="E1003" t="inlineStr">
        <is>
          <t>BERG</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8069-2024</t>
        </is>
      </c>
      <c r="B1004" s="1" t="n">
        <v>45351.41600694445</v>
      </c>
      <c r="C1004" s="1" t="n">
        <v>46134</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7447-2022</t>
        </is>
      </c>
      <c r="B1005" s="1" t="n">
        <v>44606</v>
      </c>
      <c r="C1005" s="1" t="n">
        <v>46134</v>
      </c>
      <c r="D1005" t="inlineStr">
        <is>
          <t>JÄMTLANDS LÄN</t>
        </is>
      </c>
      <c r="E1005" t="inlineStr">
        <is>
          <t>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44313-2023</t>
        </is>
      </c>
      <c r="B1006" s="1" t="n">
        <v>45188.6505787037</v>
      </c>
      <c r="C1006" s="1" t="n">
        <v>46134</v>
      </c>
      <c r="D1006" t="inlineStr">
        <is>
          <t>JÄMTLANDS LÄN</t>
        </is>
      </c>
      <c r="E1006" t="inlineStr">
        <is>
          <t>BERG</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38-2024</t>
        </is>
      </c>
      <c r="B1007" s="1" t="n">
        <v>45293</v>
      </c>
      <c r="C1007" s="1" t="n">
        <v>46134</v>
      </c>
      <c r="D1007" t="inlineStr">
        <is>
          <t>JÄMTLANDS LÄN</t>
        </is>
      </c>
      <c r="E1007" t="inlineStr">
        <is>
          <t>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31129-2024</t>
        </is>
      </c>
      <c r="B1008" s="1" t="n">
        <v>45502</v>
      </c>
      <c r="C1008" s="1" t="n">
        <v>46134</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18007-2024</t>
        </is>
      </c>
      <c r="B1009" s="1" t="n">
        <v>45419.94912037037</v>
      </c>
      <c r="C1009" s="1" t="n">
        <v>46134</v>
      </c>
      <c r="D1009" t="inlineStr">
        <is>
          <t>JÄMTLANDS LÄN</t>
        </is>
      </c>
      <c r="E1009" t="inlineStr">
        <is>
          <t>BERG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53894-2023</t>
        </is>
      </c>
      <c r="B1010" s="1" t="n">
        <v>45231.53321759259</v>
      </c>
      <c r="C1010" s="1" t="n">
        <v>46134</v>
      </c>
      <c r="D1010" t="inlineStr">
        <is>
          <t>JÄMTLANDS LÄN</t>
        </is>
      </c>
      <c r="E1010" t="inlineStr">
        <is>
          <t>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6645-2025</t>
        </is>
      </c>
      <c r="B1011" s="1" t="n">
        <v>45700.39645833334</v>
      </c>
      <c r="C1011" s="1" t="n">
        <v>46134</v>
      </c>
      <c r="D1011" t="inlineStr">
        <is>
          <t>JÄMTLANDS LÄN</t>
        </is>
      </c>
      <c r="E1011" t="inlineStr">
        <is>
          <t>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21717-2023</t>
        </is>
      </c>
      <c r="B1012" s="1" t="n">
        <v>45063</v>
      </c>
      <c r="C1012" s="1" t="n">
        <v>46134</v>
      </c>
      <c r="D1012" t="inlineStr">
        <is>
          <t>JÄMTLANDS LÄN</t>
        </is>
      </c>
      <c r="E1012" t="inlineStr">
        <is>
          <t>BERG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46858-2023</t>
        </is>
      </c>
      <c r="B1013" s="1" t="n">
        <v>45199.97042824074</v>
      </c>
      <c r="C1013" s="1" t="n">
        <v>46134</v>
      </c>
      <c r="D1013" t="inlineStr">
        <is>
          <t>JÄMTLANDS LÄN</t>
        </is>
      </c>
      <c r="E1013" t="inlineStr">
        <is>
          <t>BERG</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49225-2024</t>
        </is>
      </c>
      <c r="B1014" s="1" t="n">
        <v>45595.4177662037</v>
      </c>
      <c r="C1014" s="1" t="n">
        <v>46134</v>
      </c>
      <c r="D1014" t="inlineStr">
        <is>
          <t>JÄMTLANDS LÄN</t>
        </is>
      </c>
      <c r="E1014" t="inlineStr">
        <is>
          <t>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25565-2023</t>
        </is>
      </c>
      <c r="B1015" s="1" t="n">
        <v>45082</v>
      </c>
      <c r="C1015" s="1" t="n">
        <v>46134</v>
      </c>
      <c r="D1015" t="inlineStr">
        <is>
          <t>JÄMTLANDS LÄN</t>
        </is>
      </c>
      <c r="E1015" t="inlineStr">
        <is>
          <t>BERG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56226-2024</t>
        </is>
      </c>
      <c r="B1016" s="1" t="n">
        <v>45624.61572916667</v>
      </c>
      <c r="C1016" s="1" t="n">
        <v>46134</v>
      </c>
      <c r="D1016" t="inlineStr">
        <is>
          <t>JÄMTLANDS LÄN</t>
        </is>
      </c>
      <c r="E1016" t="inlineStr">
        <is>
          <t>BERG</t>
        </is>
      </c>
      <c r="F1016" t="inlineStr">
        <is>
          <t>SCA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54863-2023</t>
        </is>
      </c>
      <c r="B1017" s="1" t="n">
        <v>45236</v>
      </c>
      <c r="C1017" s="1" t="n">
        <v>46134</v>
      </c>
      <c r="D1017" t="inlineStr">
        <is>
          <t>JÄMTLANDS LÄN</t>
        </is>
      </c>
      <c r="E1017" t="inlineStr">
        <is>
          <t>BERG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48663-2023</t>
        </is>
      </c>
      <c r="B1018" s="1" t="n">
        <v>45202</v>
      </c>
      <c r="C1018" s="1" t="n">
        <v>46134</v>
      </c>
      <c r="D1018" t="inlineStr">
        <is>
          <t>JÄMTLANDS LÄN</t>
        </is>
      </c>
      <c r="E1018" t="inlineStr">
        <is>
          <t>BERG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4476-2025</t>
        </is>
      </c>
      <c r="B1019" s="1" t="n">
        <v>45686.62828703703</v>
      </c>
      <c r="C1019" s="1" t="n">
        <v>46134</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35792-2024</t>
        </is>
      </c>
      <c r="B1020" s="1" t="n">
        <v>45532.62950231481</v>
      </c>
      <c r="C1020" s="1" t="n">
        <v>46134</v>
      </c>
      <c r="D1020" t="inlineStr">
        <is>
          <t>JÄMTLANDS LÄN</t>
        </is>
      </c>
      <c r="E1020" t="inlineStr">
        <is>
          <t>BERG</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40990-2022</t>
        </is>
      </c>
      <c r="B1021" s="1" t="n">
        <v>44823</v>
      </c>
      <c r="C1021" s="1" t="n">
        <v>46134</v>
      </c>
      <c r="D1021" t="inlineStr">
        <is>
          <t>JÄMTLANDS LÄN</t>
        </is>
      </c>
      <c r="E1021" t="inlineStr">
        <is>
          <t>BERG</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8733-2024</t>
        </is>
      </c>
      <c r="B1022" s="1" t="n">
        <v>45355</v>
      </c>
      <c r="C1022" s="1" t="n">
        <v>46134</v>
      </c>
      <c r="D1022" t="inlineStr">
        <is>
          <t>JÄMTLANDS LÄN</t>
        </is>
      </c>
      <c r="E1022" t="inlineStr">
        <is>
          <t>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18752-2024</t>
        </is>
      </c>
      <c r="B1023" s="1" t="n">
        <v>45426.54224537037</v>
      </c>
      <c r="C1023" s="1" t="n">
        <v>46134</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36287-2024</t>
        </is>
      </c>
      <c r="B1024" s="1" t="n">
        <v>45534</v>
      </c>
      <c r="C1024" s="1" t="n">
        <v>46134</v>
      </c>
      <c r="D1024" t="inlineStr">
        <is>
          <t>JÄMTLANDS LÄN</t>
        </is>
      </c>
      <c r="E1024" t="inlineStr">
        <is>
          <t>BERG</t>
        </is>
      </c>
      <c r="F1024" t="inlineStr">
        <is>
          <t>Kyrkan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13524-2024</t>
        </is>
      </c>
      <c r="B1025" s="1" t="n">
        <v>45387.78174768519</v>
      </c>
      <c r="C1025" s="1" t="n">
        <v>46134</v>
      </c>
      <c r="D1025" t="inlineStr">
        <is>
          <t>JÄMTLANDS LÄN</t>
        </is>
      </c>
      <c r="E1025" t="inlineStr">
        <is>
          <t>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8065-2024</t>
        </is>
      </c>
      <c r="B1026" s="1" t="n">
        <v>45351.40697916667</v>
      </c>
      <c r="C1026" s="1" t="n">
        <v>46134</v>
      </c>
      <c r="D1026" t="inlineStr">
        <is>
          <t>JÄMTLANDS LÄN</t>
        </is>
      </c>
      <c r="E1026" t="inlineStr">
        <is>
          <t>BERG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29581-2024</t>
        </is>
      </c>
      <c r="B1027" s="1" t="n">
        <v>45484.5740162037</v>
      </c>
      <c r="C1027" s="1" t="n">
        <v>46134</v>
      </c>
      <c r="D1027" t="inlineStr">
        <is>
          <t>JÄMTLANDS LÄN</t>
        </is>
      </c>
      <c r="E1027" t="inlineStr">
        <is>
          <t>BERG</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14594-2025</t>
        </is>
      </c>
      <c r="B1028" s="1" t="n">
        <v>45742.34414351852</v>
      </c>
      <c r="C1028" s="1" t="n">
        <v>46134</v>
      </c>
      <c r="D1028" t="inlineStr">
        <is>
          <t>JÄMTLANDS LÄN</t>
        </is>
      </c>
      <c r="E1028" t="inlineStr">
        <is>
          <t>BERG</t>
        </is>
      </c>
      <c r="F1028" t="inlineStr">
        <is>
          <t>SCA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14596-2025</t>
        </is>
      </c>
      <c r="B1029" s="1" t="n">
        <v>45742.34449074074</v>
      </c>
      <c r="C1029" s="1" t="n">
        <v>46134</v>
      </c>
      <c r="D1029" t="inlineStr">
        <is>
          <t>JÄMTLANDS LÄN</t>
        </is>
      </c>
      <c r="E1029" t="inlineStr">
        <is>
          <t>BERG</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5644-2025</t>
        </is>
      </c>
      <c r="B1030" s="1" t="n">
        <v>45693.6833449074</v>
      </c>
      <c r="C1030" s="1" t="n">
        <v>46134</v>
      </c>
      <c r="D1030" t="inlineStr">
        <is>
          <t>JÄMTLANDS LÄN</t>
        </is>
      </c>
      <c r="E1030" t="inlineStr">
        <is>
          <t>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60076-2024</t>
        </is>
      </c>
      <c r="B1031" s="1" t="n">
        <v>45642.53166666667</v>
      </c>
      <c r="C1031" s="1" t="n">
        <v>46134</v>
      </c>
      <c r="D1031" t="inlineStr">
        <is>
          <t>JÄMTLANDS LÄN</t>
        </is>
      </c>
      <c r="E1031" t="inlineStr">
        <is>
          <t>BERG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8238-2024</t>
        </is>
      </c>
      <c r="B1032" s="1" t="n">
        <v>45351.98450231482</v>
      </c>
      <c r="C1032" s="1" t="n">
        <v>46134</v>
      </c>
      <c r="D1032" t="inlineStr">
        <is>
          <t>JÄMTLANDS LÄN</t>
        </is>
      </c>
      <c r="E1032" t="inlineStr">
        <is>
          <t>BERG</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43279-2024</t>
        </is>
      </c>
      <c r="B1033" s="1" t="n">
        <v>45568.3975462963</v>
      </c>
      <c r="C1033" s="1" t="n">
        <v>46134</v>
      </c>
      <c r="D1033" t="inlineStr">
        <is>
          <t>JÄMTLANDS LÄN</t>
        </is>
      </c>
      <c r="E1033" t="inlineStr">
        <is>
          <t>BERG</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37067-2023</t>
        </is>
      </c>
      <c r="B1034" s="1" t="n">
        <v>45154</v>
      </c>
      <c r="C1034" s="1" t="n">
        <v>46134</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15992-2025</t>
        </is>
      </c>
      <c r="B1035" s="1" t="n">
        <v>45749.58319444444</v>
      </c>
      <c r="C1035" s="1" t="n">
        <v>46134</v>
      </c>
      <c r="D1035" t="inlineStr">
        <is>
          <t>JÄMTLANDS LÄN</t>
        </is>
      </c>
      <c r="E1035" t="inlineStr">
        <is>
          <t>BERG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60404-2023</t>
        </is>
      </c>
      <c r="B1036" s="1" t="n">
        <v>45259.46332175926</v>
      </c>
      <c r="C1036" s="1" t="n">
        <v>46134</v>
      </c>
      <c r="D1036" t="inlineStr">
        <is>
          <t>JÄMTLANDS LÄN</t>
        </is>
      </c>
      <c r="E1036" t="inlineStr">
        <is>
          <t>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60587-2022</t>
        </is>
      </c>
      <c r="B1037" s="1" t="n">
        <v>44911.58445601852</v>
      </c>
      <c r="C1037" s="1" t="n">
        <v>46134</v>
      </c>
      <c r="D1037" t="inlineStr">
        <is>
          <t>JÄMTLANDS LÄN</t>
        </is>
      </c>
      <c r="E1037" t="inlineStr">
        <is>
          <t>BERG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11274-2025</t>
        </is>
      </c>
      <c r="B1038" s="1" t="n">
        <v>45726.40868055556</v>
      </c>
      <c r="C1038" s="1" t="n">
        <v>46134</v>
      </c>
      <c r="D1038" t="inlineStr">
        <is>
          <t>JÄMTLANDS LÄN</t>
        </is>
      </c>
      <c r="E1038" t="inlineStr">
        <is>
          <t>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16553-2025</t>
        </is>
      </c>
      <c r="B1039" s="1" t="n">
        <v>45751.69967592593</v>
      </c>
      <c r="C1039" s="1" t="n">
        <v>46134</v>
      </c>
      <c r="D1039" t="inlineStr">
        <is>
          <t>JÄMTLANDS LÄN</t>
        </is>
      </c>
      <c r="E1039" t="inlineStr">
        <is>
          <t>BERG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50172-2023</t>
        </is>
      </c>
      <c r="B1040" s="1" t="n">
        <v>45208</v>
      </c>
      <c r="C1040" s="1" t="n">
        <v>46134</v>
      </c>
      <c r="D1040" t="inlineStr">
        <is>
          <t>JÄMTLANDS LÄN</t>
        </is>
      </c>
      <c r="E1040" t="inlineStr">
        <is>
          <t>BERG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59498-2024</t>
        </is>
      </c>
      <c r="B1041" s="1" t="n">
        <v>45638.54635416667</v>
      </c>
      <c r="C1041" s="1" t="n">
        <v>46134</v>
      </c>
      <c r="D1041" t="inlineStr">
        <is>
          <t>JÄMTLANDS LÄN</t>
        </is>
      </c>
      <c r="E1041" t="inlineStr">
        <is>
          <t>BERG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14834-2025</t>
        </is>
      </c>
      <c r="B1042" s="1" t="n">
        <v>45743.38224537037</v>
      </c>
      <c r="C1042" s="1" t="n">
        <v>46134</v>
      </c>
      <c r="D1042" t="inlineStr">
        <is>
          <t>JÄMTLANDS LÄN</t>
        </is>
      </c>
      <c r="E1042" t="inlineStr">
        <is>
          <t>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4246-2025</t>
        </is>
      </c>
      <c r="B1043" s="1" t="n">
        <v>45685.59083333334</v>
      </c>
      <c r="C1043" s="1" t="n">
        <v>46134</v>
      </c>
      <c r="D1043" t="inlineStr">
        <is>
          <t>JÄMTLANDS LÄN</t>
        </is>
      </c>
      <c r="E1043" t="inlineStr">
        <is>
          <t>BERG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47674-2024</t>
        </is>
      </c>
      <c r="B1044" s="1" t="n">
        <v>45588.40413194444</v>
      </c>
      <c r="C1044" s="1" t="n">
        <v>46134</v>
      </c>
      <c r="D1044" t="inlineStr">
        <is>
          <t>JÄMTLANDS LÄN</t>
        </is>
      </c>
      <c r="E1044" t="inlineStr">
        <is>
          <t>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32711-2024</t>
        </is>
      </c>
      <c r="B1045" s="1" t="n">
        <v>45516</v>
      </c>
      <c r="C1045" s="1" t="n">
        <v>46134</v>
      </c>
      <c r="D1045" t="inlineStr">
        <is>
          <t>JÄMTLANDS LÄN</t>
        </is>
      </c>
      <c r="E1045" t="inlineStr">
        <is>
          <t>BERG</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14672-2025</t>
        </is>
      </c>
      <c r="B1046" s="1" t="n">
        <v>45742.55269675926</v>
      </c>
      <c r="C1046" s="1" t="n">
        <v>46134</v>
      </c>
      <c r="D1046" t="inlineStr">
        <is>
          <t>JÄMTLANDS LÄN</t>
        </is>
      </c>
      <c r="E1046" t="inlineStr">
        <is>
          <t>BERG</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51201-2023</t>
        </is>
      </c>
      <c r="B1047" s="1" t="n">
        <v>45219.42320601852</v>
      </c>
      <c r="C1047" s="1" t="n">
        <v>46134</v>
      </c>
      <c r="D1047" t="inlineStr">
        <is>
          <t>JÄMTLANDS LÄN</t>
        </is>
      </c>
      <c r="E1047" t="inlineStr">
        <is>
          <t>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21472-2025</t>
        </is>
      </c>
      <c r="B1048" s="1" t="n">
        <v>45782.59024305556</v>
      </c>
      <c r="C1048" s="1" t="n">
        <v>46134</v>
      </c>
      <c r="D1048" t="inlineStr">
        <is>
          <t>JÄMTLANDS LÄN</t>
        </is>
      </c>
      <c r="E1048" t="inlineStr">
        <is>
          <t>BERG</t>
        </is>
      </c>
      <c r="G1048" t="n">
        <v>21.9</v>
      </c>
      <c r="H1048" t="n">
        <v>0</v>
      </c>
      <c r="I1048" t="n">
        <v>0</v>
      </c>
      <c r="J1048" t="n">
        <v>0</v>
      </c>
      <c r="K1048" t="n">
        <v>0</v>
      </c>
      <c r="L1048" t="n">
        <v>0</v>
      </c>
      <c r="M1048" t="n">
        <v>0</v>
      </c>
      <c r="N1048" t="n">
        <v>0</v>
      </c>
      <c r="O1048" t="n">
        <v>0</v>
      </c>
      <c r="P1048" t="n">
        <v>0</v>
      </c>
      <c r="Q1048" t="n">
        <v>0</v>
      </c>
      <c r="R1048" s="2" t="inlineStr"/>
    </row>
    <row r="1049" ht="15" customHeight="1">
      <c r="A1049" t="inlineStr">
        <is>
          <t>A 9478-2024</t>
        </is>
      </c>
      <c r="B1049" s="1" t="n">
        <v>45359.5732175926</v>
      </c>
      <c r="C1049" s="1" t="n">
        <v>46134</v>
      </c>
      <c r="D1049" t="inlineStr">
        <is>
          <t>JÄMTLANDS LÄN</t>
        </is>
      </c>
      <c r="E1049" t="inlineStr">
        <is>
          <t>BERG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21292-2025</t>
        </is>
      </c>
      <c r="B1050" s="1" t="n">
        <v>45780.39354166666</v>
      </c>
      <c r="C1050" s="1" t="n">
        <v>46134</v>
      </c>
      <c r="D1050" t="inlineStr">
        <is>
          <t>JÄMTLANDS LÄN</t>
        </is>
      </c>
      <c r="E1050" t="inlineStr">
        <is>
          <t>BERG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21156-2025</t>
        </is>
      </c>
      <c r="B1051" s="1" t="n">
        <v>45779.37599537037</v>
      </c>
      <c r="C1051" s="1" t="n">
        <v>46134</v>
      </c>
      <c r="D1051" t="inlineStr">
        <is>
          <t>JÄMTLANDS LÄN</t>
        </is>
      </c>
      <c r="E1051" t="inlineStr">
        <is>
          <t>BERG</t>
        </is>
      </c>
      <c r="F1051" t="inlineStr">
        <is>
          <t>Holmen skog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60847-2023</t>
        </is>
      </c>
      <c r="B1052" s="1" t="n">
        <v>45260</v>
      </c>
      <c r="C1052" s="1" t="n">
        <v>46134</v>
      </c>
      <c r="D1052" t="inlineStr">
        <is>
          <t>JÄMTLANDS LÄN</t>
        </is>
      </c>
      <c r="E1052" t="inlineStr">
        <is>
          <t>BERG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21851-2025</t>
        </is>
      </c>
      <c r="B1053" s="1" t="n">
        <v>45784.34417824074</v>
      </c>
      <c r="C1053" s="1" t="n">
        <v>46134</v>
      </c>
      <c r="D1053" t="inlineStr">
        <is>
          <t>JÄMTLANDS LÄN</t>
        </is>
      </c>
      <c r="E1053" t="inlineStr">
        <is>
          <t>BERG</t>
        </is>
      </c>
      <c r="F1053" t="inlineStr">
        <is>
          <t>SCA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32020-2023</t>
        </is>
      </c>
      <c r="B1054" s="1" t="n">
        <v>45119.49261574074</v>
      </c>
      <c r="C1054" s="1" t="n">
        <v>46134</v>
      </c>
      <c r="D1054" t="inlineStr">
        <is>
          <t>JÄMTLANDS LÄN</t>
        </is>
      </c>
      <c r="E1054" t="inlineStr">
        <is>
          <t>BERG</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22180-2025</t>
        </is>
      </c>
      <c r="B1055" s="1" t="n">
        <v>45785</v>
      </c>
      <c r="C1055" s="1" t="n">
        <v>46134</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22478-2025</t>
        </is>
      </c>
      <c r="B1056" s="1" t="n">
        <v>45786.6349537037</v>
      </c>
      <c r="C1056" s="1" t="n">
        <v>46134</v>
      </c>
      <c r="D1056" t="inlineStr">
        <is>
          <t>JÄMTLANDS LÄN</t>
        </is>
      </c>
      <c r="E1056" t="inlineStr">
        <is>
          <t>BERG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46366-2024</t>
        </is>
      </c>
      <c r="B1057" s="1" t="n">
        <v>45582.36490740741</v>
      </c>
      <c r="C1057" s="1" t="n">
        <v>46134</v>
      </c>
      <c r="D1057" t="inlineStr">
        <is>
          <t>JÄMTLANDS LÄN</t>
        </is>
      </c>
      <c r="E1057" t="inlineStr">
        <is>
          <t>BERG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22724-2025</t>
        </is>
      </c>
      <c r="B1058" s="1" t="n">
        <v>45789.57361111111</v>
      </c>
      <c r="C1058" s="1" t="n">
        <v>46134</v>
      </c>
      <c r="D1058" t="inlineStr">
        <is>
          <t>JÄMTLANDS LÄN</t>
        </is>
      </c>
      <c r="E1058" t="inlineStr">
        <is>
          <t>BERG</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22672-2025</t>
        </is>
      </c>
      <c r="B1059" s="1" t="n">
        <v>45789.4903587963</v>
      </c>
      <c r="C1059" s="1" t="n">
        <v>46134</v>
      </c>
      <c r="D1059" t="inlineStr">
        <is>
          <t>JÄMTLANDS LÄN</t>
        </is>
      </c>
      <c r="E1059" t="inlineStr">
        <is>
          <t>BERG</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22653-2025</t>
        </is>
      </c>
      <c r="B1060" s="1" t="n">
        <v>45789.46931712963</v>
      </c>
      <c r="C1060" s="1" t="n">
        <v>46134</v>
      </c>
      <c r="D1060" t="inlineStr">
        <is>
          <t>JÄMTLANDS LÄN</t>
        </is>
      </c>
      <c r="E1060" t="inlineStr">
        <is>
          <t>BERG</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22995-2025</t>
        </is>
      </c>
      <c r="B1061" s="1" t="n">
        <v>45790.58265046297</v>
      </c>
      <c r="C1061" s="1" t="n">
        <v>46134</v>
      </c>
      <c r="D1061" t="inlineStr">
        <is>
          <t>JÄMTLANDS LÄN</t>
        </is>
      </c>
      <c r="E1061" t="inlineStr">
        <is>
          <t>BERG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23026-2025</t>
        </is>
      </c>
      <c r="B1062" s="1" t="n">
        <v>45790.65690972222</v>
      </c>
      <c r="C1062" s="1" t="n">
        <v>46134</v>
      </c>
      <c r="D1062" t="inlineStr">
        <is>
          <t>JÄMTLANDS LÄN</t>
        </is>
      </c>
      <c r="E1062" t="inlineStr">
        <is>
          <t>BERG</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22991-2025</t>
        </is>
      </c>
      <c r="B1063" s="1" t="n">
        <v>45790.57836805555</v>
      </c>
      <c r="C1063" s="1" t="n">
        <v>46134</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34650-2024</t>
        </is>
      </c>
      <c r="B1064" s="1" t="n">
        <v>45526.48329861111</v>
      </c>
      <c r="C1064" s="1" t="n">
        <v>46134</v>
      </c>
      <c r="D1064" t="inlineStr">
        <is>
          <t>JÄMTLANDS LÄN</t>
        </is>
      </c>
      <c r="E1064" t="inlineStr">
        <is>
          <t>BERG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23902-2025</t>
        </is>
      </c>
      <c r="B1065" s="1" t="n">
        <v>45794.34447916667</v>
      </c>
      <c r="C1065" s="1" t="n">
        <v>46134</v>
      </c>
      <c r="D1065" t="inlineStr">
        <is>
          <t>JÄMTLANDS LÄN</t>
        </is>
      </c>
      <c r="E1065" t="inlineStr">
        <is>
          <t>BERG</t>
        </is>
      </c>
      <c r="F1065" t="inlineStr">
        <is>
          <t>SCA</t>
        </is>
      </c>
      <c r="G1065" t="n">
        <v>14.3</v>
      </c>
      <c r="H1065" t="n">
        <v>0</v>
      </c>
      <c r="I1065" t="n">
        <v>0</v>
      </c>
      <c r="J1065" t="n">
        <v>0</v>
      </c>
      <c r="K1065" t="n">
        <v>0</v>
      </c>
      <c r="L1065" t="n">
        <v>0</v>
      </c>
      <c r="M1065" t="n">
        <v>0</v>
      </c>
      <c r="N1065" t="n">
        <v>0</v>
      </c>
      <c r="O1065" t="n">
        <v>0</v>
      </c>
      <c r="P1065" t="n">
        <v>0</v>
      </c>
      <c r="Q1065" t="n">
        <v>0</v>
      </c>
      <c r="R1065" s="2" t="inlineStr"/>
    </row>
    <row r="1066">
      <c r="A1066" t="inlineStr">
        <is>
          <t>A 23913-2025</t>
        </is>
      </c>
      <c r="B1066" s="1" t="n">
        <v>45795.34442129629</v>
      </c>
      <c r="C1066" s="1" t="n">
        <v>46134</v>
      </c>
      <c r="D1066" t="inlineStr">
        <is>
          <t>JÄMTLANDS LÄN</t>
        </is>
      </c>
      <c r="E1066" t="inlineStr">
        <is>
          <t>BERG</t>
        </is>
      </c>
      <c r="F1066" t="inlineStr">
        <is>
          <t>SCA</t>
        </is>
      </c>
      <c r="G1066" t="n">
        <v>1.9</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2026-04-22T10:50:23Z</dcterms:created>
  <dcterms:modified xmlns:dcterms="http://purl.org/dc/terms/" xmlns:xsi="http://www.w3.org/2001/XMLSchema-instance" xsi:type="dcterms:W3CDTF">2026-04-22T10:50:24Z</dcterms:modified>
</cp:coreProperties>
</file>