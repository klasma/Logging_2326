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45564</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45564</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45564</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45564</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45564</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45564</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45564</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45564</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45564</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45564</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45564</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45564</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45564</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45564</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45564</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45564</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45564</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45564</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45564</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45564</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45564</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45564</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45564</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51812-2023</t>
        </is>
      </c>
      <c r="B29" s="1" t="n">
        <v>45222</v>
      </c>
      <c r="C29" s="1" t="n">
        <v>45564</v>
      </c>
      <c r="D29" t="inlineStr">
        <is>
          <t>JÄMTLANDS LÄN</t>
        </is>
      </c>
      <c r="E29" t="inlineStr">
        <is>
          <t>BERG</t>
        </is>
      </c>
      <c r="F29" t="inlineStr">
        <is>
          <t>SCA</t>
        </is>
      </c>
      <c r="G29" t="n">
        <v>19.1</v>
      </c>
      <c r="H29" t="n">
        <v>0</v>
      </c>
      <c r="I29" t="n">
        <v>3</v>
      </c>
      <c r="J29" t="n">
        <v>7</v>
      </c>
      <c r="K29" t="n">
        <v>0</v>
      </c>
      <c r="L29" t="n">
        <v>0</v>
      </c>
      <c r="M29" t="n">
        <v>0</v>
      </c>
      <c r="N29" t="n">
        <v>0</v>
      </c>
      <c r="O29" t="n">
        <v>7</v>
      </c>
      <c r="P29" t="n">
        <v>0</v>
      </c>
      <c r="Q29" t="n">
        <v>10</v>
      </c>
      <c r="R29" s="2" t="inlineStr">
        <is>
          <t>Dvärgbägarlav
Kolflarnlav
Lunglav
Skrovellav
Vedflamlav
Vedskivlav
Vedtrappmossa
Kransrams
Stuplav
Tibast</t>
        </is>
      </c>
      <c r="S29">
        <f>HYPERLINK("https://klasma.github.io/Logging_2326/artfynd/A 51812-2023 artfynd.xlsx", "A 51812-2023")</f>
        <v/>
      </c>
      <c r="T29">
        <f>HYPERLINK("https://klasma.github.io/Logging_2326/kartor/A 51812-2023 karta.png", "A 51812-2023")</f>
        <v/>
      </c>
      <c r="V29">
        <f>HYPERLINK("https://klasma.github.io/Logging_2326/klagomål/A 51812-2023 FSC-klagomål.docx", "A 51812-2023")</f>
        <v/>
      </c>
      <c r="W29">
        <f>HYPERLINK("https://klasma.github.io/Logging_2326/klagomålsmail/A 51812-2023 FSC-klagomål mail.docx", "A 51812-2023")</f>
        <v/>
      </c>
      <c r="X29">
        <f>HYPERLINK("https://klasma.github.io/Logging_2326/tillsyn/A 51812-2023 tillsynsbegäran.docx", "A 51812-2023")</f>
        <v/>
      </c>
      <c r="Y29">
        <f>HYPERLINK("https://klasma.github.io/Logging_2326/tillsynsmail/A 51812-2023 tillsynsbegäran mail.docx", "A 51812-2023")</f>
        <v/>
      </c>
    </row>
    <row r="30" ht="15" customHeight="1">
      <c r="A30" t="inlineStr">
        <is>
          <t>A 17952-2024</t>
        </is>
      </c>
      <c r="B30" s="1" t="n">
        <v>45419</v>
      </c>
      <c r="C30" s="1" t="n">
        <v>45564</v>
      </c>
      <c r="D30" t="inlineStr">
        <is>
          <t>JÄMTLANDS LÄN</t>
        </is>
      </c>
      <c r="E30" t="inlineStr">
        <is>
          <t>BERG</t>
        </is>
      </c>
      <c r="G30" t="n">
        <v>15.5</v>
      </c>
      <c r="H30" t="n">
        <v>3</v>
      </c>
      <c r="I30" t="n">
        <v>2</v>
      </c>
      <c r="J30" t="n">
        <v>7</v>
      </c>
      <c r="K30" t="n">
        <v>0</v>
      </c>
      <c r="L30" t="n">
        <v>0</v>
      </c>
      <c r="M30" t="n">
        <v>0</v>
      </c>
      <c r="N30" t="n">
        <v>0</v>
      </c>
      <c r="O30" t="n">
        <v>7</v>
      </c>
      <c r="P30" t="n">
        <v>0</v>
      </c>
      <c r="Q30" t="n">
        <v>10</v>
      </c>
      <c r="R30" s="2" t="inlineStr">
        <is>
          <t>Garnlav
Granticka
Liten svartspik
Lunglav
Skrovellav
Tretåig hackspett
Vitgrynig nållav
Spindelblomster
Stuplav
Lavskrika</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54020-2020</t>
        </is>
      </c>
      <c r="B31" s="1" t="n">
        <v>44123</v>
      </c>
      <c r="C31" s="1" t="n">
        <v>45564</v>
      </c>
      <c r="D31" t="inlineStr">
        <is>
          <t>JÄMTLANDS LÄN</t>
        </is>
      </c>
      <c r="E31" t="inlineStr">
        <is>
          <t>BERG</t>
        </is>
      </c>
      <c r="G31" t="n">
        <v>42.9</v>
      </c>
      <c r="H31" t="n">
        <v>0</v>
      </c>
      <c r="I31" t="n">
        <v>2</v>
      </c>
      <c r="J31" t="n">
        <v>7</v>
      </c>
      <c r="K31" t="n">
        <v>0</v>
      </c>
      <c r="L31" t="n">
        <v>0</v>
      </c>
      <c r="M31" t="n">
        <v>0</v>
      </c>
      <c r="N31" t="n">
        <v>0</v>
      </c>
      <c r="O31" t="n">
        <v>7</v>
      </c>
      <c r="P31" t="n">
        <v>0</v>
      </c>
      <c r="Q31" t="n">
        <v>9</v>
      </c>
      <c r="R31" s="2" t="inlineStr">
        <is>
          <t>Gammelgransskål
Garnlav
Granticka
Gränsticka
Knottrig blåslav
Rosenticka
Rödbrun blekspik
Trådticka
Vedticka</t>
        </is>
      </c>
      <c r="S31">
        <f>HYPERLINK("https://klasma.github.io/Logging_2326/artfynd/A 54020-2020 artfynd.xlsx", "A 54020-2020")</f>
        <v/>
      </c>
      <c r="T31">
        <f>HYPERLINK("https://klasma.github.io/Logging_2326/kartor/A 54020-2020 karta.png", "A 54020-2020")</f>
        <v/>
      </c>
      <c r="V31">
        <f>HYPERLINK("https://klasma.github.io/Logging_2326/klagomål/A 54020-2020 FSC-klagomål.docx", "A 54020-2020")</f>
        <v/>
      </c>
      <c r="W31">
        <f>HYPERLINK("https://klasma.github.io/Logging_2326/klagomålsmail/A 54020-2020 FSC-klagomål mail.docx", "A 54020-2020")</f>
        <v/>
      </c>
      <c r="X31">
        <f>HYPERLINK("https://klasma.github.io/Logging_2326/tillsyn/A 54020-2020 tillsynsbegäran.docx", "A 54020-2020")</f>
        <v/>
      </c>
      <c r="Y31">
        <f>HYPERLINK("https://klasma.github.io/Logging_2326/tillsynsmail/A 54020-2020 tillsynsbegäran mail.docx", "A 54020-2020")</f>
        <v/>
      </c>
    </row>
    <row r="32" ht="15" customHeight="1">
      <c r="A32" t="inlineStr">
        <is>
          <t>A 34383-2023</t>
        </is>
      </c>
      <c r="B32" s="1" t="n">
        <v>45132</v>
      </c>
      <c r="C32" s="1" t="n">
        <v>45564</v>
      </c>
      <c r="D32" t="inlineStr">
        <is>
          <t>JÄMTLANDS LÄN</t>
        </is>
      </c>
      <c r="E32" t="inlineStr">
        <is>
          <t>BERG</t>
        </is>
      </c>
      <c r="G32" t="n">
        <v>11</v>
      </c>
      <c r="H32" t="n">
        <v>2</v>
      </c>
      <c r="I32" t="n">
        <v>1</v>
      </c>
      <c r="J32" t="n">
        <v>5</v>
      </c>
      <c r="K32" t="n">
        <v>2</v>
      </c>
      <c r="L32" t="n">
        <v>1</v>
      </c>
      <c r="M32" t="n">
        <v>0</v>
      </c>
      <c r="N32" t="n">
        <v>0</v>
      </c>
      <c r="O32" t="n">
        <v>8</v>
      </c>
      <c r="P32" t="n">
        <v>3</v>
      </c>
      <c r="Q32" t="n">
        <v>9</v>
      </c>
      <c r="R32" s="2" t="inlineStr">
        <is>
          <t>Urskogsporing
Doftticka
Ulltickeporing
Garnlav
Lunglav
Rosenticka
Tretåig hackspett
Ullticka
Dropptaggsvamp</t>
        </is>
      </c>
      <c r="S32">
        <f>HYPERLINK("https://klasma.github.io/Logging_2326/artfynd/A 34383-2023 artfynd.xlsx", "A 34383-2023")</f>
        <v/>
      </c>
      <c r="T32">
        <f>HYPERLINK("https://klasma.github.io/Logging_2326/kartor/A 34383-2023 karta.png", "A 34383-2023")</f>
        <v/>
      </c>
      <c r="V32">
        <f>HYPERLINK("https://klasma.github.io/Logging_2326/klagomål/A 34383-2023 FSC-klagomål.docx", "A 34383-2023")</f>
        <v/>
      </c>
      <c r="W32">
        <f>HYPERLINK("https://klasma.github.io/Logging_2326/klagomålsmail/A 34383-2023 FSC-klagomål mail.docx", "A 34383-2023")</f>
        <v/>
      </c>
      <c r="X32">
        <f>HYPERLINK("https://klasma.github.io/Logging_2326/tillsyn/A 34383-2023 tillsynsbegäran.docx", "A 34383-2023")</f>
        <v/>
      </c>
      <c r="Y32">
        <f>HYPERLINK("https://klasma.github.io/Logging_2326/tillsynsmail/A 34383-2023 tillsynsbegäran mail.docx", "A 34383-2023")</f>
        <v/>
      </c>
      <c r="Z32">
        <f>HYPERLINK("https://klasma.github.io/Logging_2326/fåglar/A 34383-2023 prioriterade fågelarter.docx", "A 34383-2023")</f>
        <v/>
      </c>
    </row>
    <row r="33" ht="15" customHeight="1">
      <c r="A33" t="inlineStr">
        <is>
          <t>A 18647-2024</t>
        </is>
      </c>
      <c r="B33" s="1" t="n">
        <v>45426</v>
      </c>
      <c r="C33" s="1" t="n">
        <v>45564</v>
      </c>
      <c r="D33" t="inlineStr">
        <is>
          <t>JÄMTLANDS LÄN</t>
        </is>
      </c>
      <c r="E33" t="inlineStr">
        <is>
          <t>BERG</t>
        </is>
      </c>
      <c r="F33" t="inlineStr">
        <is>
          <t>SCA</t>
        </is>
      </c>
      <c r="G33" t="n">
        <v>17</v>
      </c>
      <c r="H33" t="n">
        <v>1</v>
      </c>
      <c r="I33" t="n">
        <v>1</v>
      </c>
      <c r="J33" t="n">
        <v>7</v>
      </c>
      <c r="K33" t="n">
        <v>0</v>
      </c>
      <c r="L33" t="n">
        <v>0</v>
      </c>
      <c r="M33" t="n">
        <v>0</v>
      </c>
      <c r="N33" t="n">
        <v>0</v>
      </c>
      <c r="O33" t="n">
        <v>7</v>
      </c>
      <c r="P33" t="n">
        <v>0</v>
      </c>
      <c r="Q33" t="n">
        <v>9</v>
      </c>
      <c r="R33" s="2" t="inlineStr">
        <is>
          <t>Dvärgbägarlav
Garnlav
Gränsticka
Kolflarnlav
Mörk kolflarnlav
Skrovlig taggsvamp
Vedskivlav
Dropptaggsvamp
Tjäder</t>
        </is>
      </c>
      <c r="S33">
        <f>HYPERLINK("https://klasma.github.io/Logging_2326/artfynd/A 18647-2024 artfynd.xlsx", "A 18647-2024")</f>
        <v/>
      </c>
      <c r="T33">
        <f>HYPERLINK("https://klasma.github.io/Logging_2326/kartor/A 18647-2024 karta.png", "A 18647-2024")</f>
        <v/>
      </c>
      <c r="V33">
        <f>HYPERLINK("https://klasma.github.io/Logging_2326/klagomål/A 18647-2024 FSC-klagomål.docx", "A 18647-2024")</f>
        <v/>
      </c>
      <c r="W33">
        <f>HYPERLINK("https://klasma.github.io/Logging_2326/klagomålsmail/A 18647-2024 FSC-klagomål mail.docx", "A 18647-2024")</f>
        <v/>
      </c>
      <c r="X33">
        <f>HYPERLINK("https://klasma.github.io/Logging_2326/tillsyn/A 18647-2024 tillsynsbegäran.docx", "A 18647-2024")</f>
        <v/>
      </c>
      <c r="Y33">
        <f>HYPERLINK("https://klasma.github.io/Logging_2326/tillsynsmail/A 18647-2024 tillsynsbegäran mail.docx", "A 18647-2024")</f>
        <v/>
      </c>
      <c r="Z33">
        <f>HYPERLINK("https://klasma.github.io/Logging_2326/fåglar/A 18647-2024 prioriterade fågelarter.docx", "A 18647-2024")</f>
        <v/>
      </c>
    </row>
    <row r="34" ht="15" customHeight="1">
      <c r="A34" t="inlineStr">
        <is>
          <t>A 43991-2023</t>
        </is>
      </c>
      <c r="B34" s="1" t="n">
        <v>45187</v>
      </c>
      <c r="C34" s="1" t="n">
        <v>45564</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14981-2024</t>
        </is>
      </c>
      <c r="B35" s="1" t="n">
        <v>45399</v>
      </c>
      <c r="C35" s="1" t="n">
        <v>45564</v>
      </c>
      <c r="D35" t="inlineStr">
        <is>
          <t>JÄMTLANDS LÄN</t>
        </is>
      </c>
      <c r="E35" t="inlineStr">
        <is>
          <t>BERG</t>
        </is>
      </c>
      <c r="F35" t="inlineStr">
        <is>
          <t>SCA</t>
        </is>
      </c>
      <c r="G35" t="n">
        <v>4.4</v>
      </c>
      <c r="H35" t="n">
        <v>2</v>
      </c>
      <c r="I35" t="n">
        <v>1</v>
      </c>
      <c r="J35" t="n">
        <v>6</v>
      </c>
      <c r="K35" t="n">
        <v>1</v>
      </c>
      <c r="L35" t="n">
        <v>0</v>
      </c>
      <c r="M35" t="n">
        <v>0</v>
      </c>
      <c r="N35" t="n">
        <v>0</v>
      </c>
      <c r="O35" t="n">
        <v>7</v>
      </c>
      <c r="P35" t="n">
        <v>1</v>
      </c>
      <c r="Q35" t="n">
        <v>8</v>
      </c>
      <c r="R35" s="2" t="inlineStr">
        <is>
          <t>Knärot
Garnlav
Granticka
Harticka
Lunglav
Tretåig hackspett
Ullticka
Luddlav</t>
        </is>
      </c>
      <c r="S35">
        <f>HYPERLINK("https://klasma.github.io/Logging_2326/artfynd/A 14981-2024 artfynd.xlsx", "A 14981-2024")</f>
        <v/>
      </c>
      <c r="T35">
        <f>HYPERLINK("https://klasma.github.io/Logging_2326/kartor/A 14981-2024 karta.png", "A 14981-2024")</f>
        <v/>
      </c>
      <c r="U35">
        <f>HYPERLINK("https://klasma.github.io/Logging_2326/knärot/A 14981-2024 karta knärot.png", "A 14981-2024")</f>
        <v/>
      </c>
      <c r="V35">
        <f>HYPERLINK("https://klasma.github.io/Logging_2326/klagomål/A 14981-2024 FSC-klagomål.docx", "A 14981-2024")</f>
        <v/>
      </c>
      <c r="W35">
        <f>HYPERLINK("https://klasma.github.io/Logging_2326/klagomålsmail/A 14981-2024 FSC-klagomål mail.docx", "A 14981-2024")</f>
        <v/>
      </c>
      <c r="X35">
        <f>HYPERLINK("https://klasma.github.io/Logging_2326/tillsyn/A 14981-2024 tillsynsbegäran.docx", "A 14981-2024")</f>
        <v/>
      </c>
      <c r="Y35">
        <f>HYPERLINK("https://klasma.github.io/Logging_2326/tillsynsmail/A 14981-2024 tillsynsbegäran mail.docx", "A 14981-2024")</f>
        <v/>
      </c>
      <c r="Z35">
        <f>HYPERLINK("https://klasma.github.io/Logging_2326/fåglar/A 14981-2024 prioriterade fågelarter.docx", "A 14981-2024")</f>
        <v/>
      </c>
    </row>
    <row r="36" ht="15" customHeight="1">
      <c r="A36" t="inlineStr">
        <is>
          <t>A 9174-2020</t>
        </is>
      </c>
      <c r="B36" s="1" t="n">
        <v>43879</v>
      </c>
      <c r="C36" s="1" t="n">
        <v>45564</v>
      </c>
      <c r="D36" t="inlineStr">
        <is>
          <t>JÄMTLANDS LÄN</t>
        </is>
      </c>
      <c r="E36" t="inlineStr">
        <is>
          <t>BERG</t>
        </is>
      </c>
      <c r="G36" t="n">
        <v>18.5</v>
      </c>
      <c r="H36" t="n">
        <v>0</v>
      </c>
      <c r="I36" t="n">
        <v>1</v>
      </c>
      <c r="J36" t="n">
        <v>6</v>
      </c>
      <c r="K36" t="n">
        <v>0</v>
      </c>
      <c r="L36" t="n">
        <v>0</v>
      </c>
      <c r="M36" t="n">
        <v>0</v>
      </c>
      <c r="N36" t="n">
        <v>0</v>
      </c>
      <c r="O36" t="n">
        <v>6</v>
      </c>
      <c r="P36" t="n">
        <v>0</v>
      </c>
      <c r="Q36" t="n">
        <v>7</v>
      </c>
      <c r="R36" s="2" t="inlineStr">
        <is>
          <t>Garnlav
Harticka
Knottrig blåslav
Rödbrun blekspik
Skrovellav
Ullticka
Stuplav</t>
        </is>
      </c>
      <c r="S36">
        <f>HYPERLINK("https://klasma.github.io/Logging_2326/artfynd/A 9174-2020 artfynd.xlsx", "A 9174-2020")</f>
        <v/>
      </c>
      <c r="T36">
        <f>HYPERLINK("https://klasma.github.io/Logging_2326/kartor/A 9174-2020 karta.png", "A 9174-2020")</f>
        <v/>
      </c>
      <c r="V36">
        <f>HYPERLINK("https://klasma.github.io/Logging_2326/klagomål/A 9174-2020 FSC-klagomål.docx", "A 9174-2020")</f>
        <v/>
      </c>
      <c r="W36">
        <f>HYPERLINK("https://klasma.github.io/Logging_2326/klagomålsmail/A 9174-2020 FSC-klagomål mail.docx", "A 9174-2020")</f>
        <v/>
      </c>
      <c r="X36">
        <f>HYPERLINK("https://klasma.github.io/Logging_2326/tillsyn/A 9174-2020 tillsynsbegäran.docx", "A 9174-2020")</f>
        <v/>
      </c>
      <c r="Y36">
        <f>HYPERLINK("https://klasma.github.io/Logging_2326/tillsynsmail/A 9174-2020 tillsynsbegäran mail.docx", "A 9174-2020")</f>
        <v/>
      </c>
    </row>
    <row r="37" ht="15" customHeight="1">
      <c r="A37" t="inlineStr">
        <is>
          <t>A 16811-2021</t>
        </is>
      </c>
      <c r="B37" s="1" t="n">
        <v>44293</v>
      </c>
      <c r="C37" s="1" t="n">
        <v>45564</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33196-2021</t>
        </is>
      </c>
      <c r="B38" s="1" t="n">
        <v>44376</v>
      </c>
      <c r="C38" s="1" t="n">
        <v>45564</v>
      </c>
      <c r="D38" t="inlineStr">
        <is>
          <t>JÄMTLANDS LÄN</t>
        </is>
      </c>
      <c r="E38" t="inlineStr">
        <is>
          <t>BERG</t>
        </is>
      </c>
      <c r="G38" t="n">
        <v>1</v>
      </c>
      <c r="H38" t="n">
        <v>2</v>
      </c>
      <c r="I38" t="n">
        <v>2</v>
      </c>
      <c r="J38" t="n">
        <v>4</v>
      </c>
      <c r="K38" t="n">
        <v>0</v>
      </c>
      <c r="L38" t="n">
        <v>0</v>
      </c>
      <c r="M38" t="n">
        <v>0</v>
      </c>
      <c r="N38" t="n">
        <v>0</v>
      </c>
      <c r="O38" t="n">
        <v>4</v>
      </c>
      <c r="P38" t="n">
        <v>0</v>
      </c>
      <c r="Q38" t="n">
        <v>7</v>
      </c>
      <c r="R38" s="2" t="inlineStr">
        <is>
          <t>Garnlav
Granticka
Knottrig blåslav
Tretåig hackspett
Norrlandslav
Ögonpyrola
Fläcknycklar</t>
        </is>
      </c>
      <c r="S38">
        <f>HYPERLINK("https://klasma.github.io/Logging_2326/artfynd/A 33196-2021 artfynd.xlsx", "A 33196-2021")</f>
        <v/>
      </c>
      <c r="T38">
        <f>HYPERLINK("https://klasma.github.io/Logging_2326/kartor/A 33196-2021 karta.png", "A 33196-2021")</f>
        <v/>
      </c>
      <c r="V38">
        <f>HYPERLINK("https://klasma.github.io/Logging_2326/klagomål/A 33196-2021 FSC-klagomål.docx", "A 33196-2021")</f>
        <v/>
      </c>
      <c r="W38">
        <f>HYPERLINK("https://klasma.github.io/Logging_2326/klagomålsmail/A 33196-2021 FSC-klagomål mail.docx", "A 33196-2021")</f>
        <v/>
      </c>
      <c r="X38">
        <f>HYPERLINK("https://klasma.github.io/Logging_2326/tillsyn/A 33196-2021 tillsynsbegäran.docx", "A 33196-2021")</f>
        <v/>
      </c>
      <c r="Y38">
        <f>HYPERLINK("https://klasma.github.io/Logging_2326/tillsynsmail/A 33196-2021 tillsynsbegäran mail.docx", "A 33196-2021")</f>
        <v/>
      </c>
      <c r="Z38">
        <f>HYPERLINK("https://klasma.github.io/Logging_2326/fåglar/A 33196-2021 prioriterade fågelarter.docx", "A 33196-2021")</f>
        <v/>
      </c>
    </row>
    <row r="39" ht="15" customHeight="1">
      <c r="A39" t="inlineStr">
        <is>
          <t>A 37406-2022</t>
        </is>
      </c>
      <c r="B39" s="1" t="n">
        <v>44806</v>
      </c>
      <c r="C39" s="1" t="n">
        <v>45564</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26369-2023</t>
        </is>
      </c>
      <c r="B40" s="1" t="n">
        <v>45091</v>
      </c>
      <c r="C40" s="1" t="n">
        <v>45564</v>
      </c>
      <c r="D40" t="inlineStr">
        <is>
          <t>JÄMTLANDS LÄN</t>
        </is>
      </c>
      <c r="E40" t="inlineStr">
        <is>
          <t>BERG</t>
        </is>
      </c>
      <c r="F40" t="inlineStr">
        <is>
          <t>SCA</t>
        </is>
      </c>
      <c r="G40" t="n">
        <v>34</v>
      </c>
      <c r="H40" t="n">
        <v>0</v>
      </c>
      <c r="I40" t="n">
        <v>1</v>
      </c>
      <c r="J40" t="n">
        <v>5</v>
      </c>
      <c r="K40" t="n">
        <v>1</v>
      </c>
      <c r="L40" t="n">
        <v>0</v>
      </c>
      <c r="M40" t="n">
        <v>0</v>
      </c>
      <c r="N40" t="n">
        <v>0</v>
      </c>
      <c r="O40" t="n">
        <v>6</v>
      </c>
      <c r="P40" t="n">
        <v>1</v>
      </c>
      <c r="Q40" t="n">
        <v>7</v>
      </c>
      <c r="R40" s="2" t="inlineStr">
        <is>
          <t>Gräddporing
Garnlav
Mörk kolflarnlav
Reliktbock
Vedflamlav
Vedskivlav
Dropptaggsvamp</t>
        </is>
      </c>
      <c r="S40">
        <f>HYPERLINK("https://klasma.github.io/Logging_2326/artfynd/A 26369-2023 artfynd.xlsx", "A 26369-2023")</f>
        <v/>
      </c>
      <c r="T40">
        <f>HYPERLINK("https://klasma.github.io/Logging_2326/kartor/A 26369-2023 karta.png", "A 26369-2023")</f>
        <v/>
      </c>
      <c r="V40">
        <f>HYPERLINK("https://klasma.github.io/Logging_2326/klagomål/A 26369-2023 FSC-klagomål.docx", "A 26369-2023")</f>
        <v/>
      </c>
      <c r="W40">
        <f>HYPERLINK("https://klasma.github.io/Logging_2326/klagomålsmail/A 26369-2023 FSC-klagomål mail.docx", "A 26369-2023")</f>
        <v/>
      </c>
      <c r="X40">
        <f>HYPERLINK("https://klasma.github.io/Logging_2326/tillsyn/A 26369-2023 tillsynsbegäran.docx", "A 26369-2023")</f>
        <v/>
      </c>
      <c r="Y40">
        <f>HYPERLINK("https://klasma.github.io/Logging_2326/tillsynsmail/A 26369-2023 tillsynsbegäran mail.docx", "A 26369-2023")</f>
        <v/>
      </c>
    </row>
    <row r="41" ht="15" customHeight="1">
      <c r="A41" t="inlineStr">
        <is>
          <t>A 48437-2023</t>
        </is>
      </c>
      <c r="B41" s="1" t="n">
        <v>45205</v>
      </c>
      <c r="C41" s="1" t="n">
        <v>45564</v>
      </c>
      <c r="D41" t="inlineStr">
        <is>
          <t>JÄMTLANDS LÄN</t>
        </is>
      </c>
      <c r="E41" t="inlineStr">
        <is>
          <t>BERG</t>
        </is>
      </c>
      <c r="F41" t="inlineStr">
        <is>
          <t>SCA</t>
        </is>
      </c>
      <c r="G41" t="n">
        <v>25.8</v>
      </c>
      <c r="H41" t="n">
        <v>1</v>
      </c>
      <c r="I41" t="n">
        <v>0</v>
      </c>
      <c r="J41" t="n">
        <v>7</v>
      </c>
      <c r="K41" t="n">
        <v>0</v>
      </c>
      <c r="L41" t="n">
        <v>0</v>
      </c>
      <c r="M41" t="n">
        <v>0</v>
      </c>
      <c r="N41" t="n">
        <v>0</v>
      </c>
      <c r="O41" t="n">
        <v>7</v>
      </c>
      <c r="P41" t="n">
        <v>0</v>
      </c>
      <c r="Q41" t="n">
        <v>7</v>
      </c>
      <c r="R41" s="2" t="inlineStr">
        <is>
          <t>Blanksvart spiklav
Garnlav
Kortskaftad ärgspik
Reliktbock
Tretåig hackspett
Vedflamlav
Vedskivlav</t>
        </is>
      </c>
      <c r="S41">
        <f>HYPERLINK("https://klasma.github.io/Logging_2326/artfynd/A 48437-2023 artfynd.xlsx", "A 48437-2023")</f>
        <v/>
      </c>
      <c r="T41">
        <f>HYPERLINK("https://klasma.github.io/Logging_2326/kartor/A 48437-2023 karta.png", "A 48437-2023")</f>
        <v/>
      </c>
      <c r="V41">
        <f>HYPERLINK("https://klasma.github.io/Logging_2326/klagomål/A 48437-2023 FSC-klagomål.docx", "A 48437-2023")</f>
        <v/>
      </c>
      <c r="W41">
        <f>HYPERLINK("https://klasma.github.io/Logging_2326/klagomålsmail/A 48437-2023 FSC-klagomål mail.docx", "A 48437-2023")</f>
        <v/>
      </c>
      <c r="X41">
        <f>HYPERLINK("https://klasma.github.io/Logging_2326/tillsyn/A 48437-2023 tillsynsbegäran.docx", "A 48437-2023")</f>
        <v/>
      </c>
      <c r="Y41">
        <f>HYPERLINK("https://klasma.github.io/Logging_2326/tillsynsmail/A 48437-2023 tillsynsbegäran mail.docx", "A 48437-2023")</f>
        <v/>
      </c>
      <c r="Z41">
        <f>HYPERLINK("https://klasma.github.io/Logging_2326/fåglar/A 48437-2023 prioriterade fågelarter.docx", "A 48437-2023")</f>
        <v/>
      </c>
    </row>
    <row r="42" ht="15" customHeight="1">
      <c r="A42" t="inlineStr">
        <is>
          <t>A 48484-2023</t>
        </is>
      </c>
      <c r="B42" s="1" t="n">
        <v>45206</v>
      </c>
      <c r="C42" s="1" t="n">
        <v>45564</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48484-2023 artfynd.xlsx", "A 48484-2023")</f>
        <v/>
      </c>
      <c r="T42">
        <f>HYPERLINK("https://klasma.github.io/Logging_2326/kartor/A 48484-2023 karta.png", "A 48484-2023")</f>
        <v/>
      </c>
      <c r="V42">
        <f>HYPERLINK("https://klasma.github.io/Logging_2326/klagomål/A 48484-2023 FSC-klagomål.docx", "A 48484-2023")</f>
        <v/>
      </c>
      <c r="W42">
        <f>HYPERLINK("https://klasma.github.io/Logging_2326/klagomålsmail/A 48484-2023 FSC-klagomål mail.docx", "A 48484-2023")</f>
        <v/>
      </c>
      <c r="X42">
        <f>HYPERLINK("https://klasma.github.io/Logging_2326/tillsyn/A 48484-2023 tillsynsbegäran.docx", "A 48484-2023")</f>
        <v/>
      </c>
      <c r="Y42">
        <f>HYPERLINK("https://klasma.github.io/Logging_2326/tillsynsmail/A 48484-2023 tillsynsbegäran mail.docx", "A 48484-2023")</f>
        <v/>
      </c>
      <c r="Z42">
        <f>HYPERLINK("https://klasma.github.io/Logging_2326/fåglar/A 48484-2023 prioriterade fågelarter.docx", "A 48484-2023")</f>
        <v/>
      </c>
    </row>
    <row r="43" ht="15" customHeight="1">
      <c r="A43" t="inlineStr">
        <is>
          <t>A 12752-2024</t>
        </is>
      </c>
      <c r="B43" s="1" t="n">
        <v>45384</v>
      </c>
      <c r="C43" s="1" t="n">
        <v>45564</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33044-2024</t>
        </is>
      </c>
      <c r="B44" s="1" t="n">
        <v>45517</v>
      </c>
      <c r="C44" s="1" t="n">
        <v>45564</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16508-2021</t>
        </is>
      </c>
      <c r="B45" s="1" t="n">
        <v>44293</v>
      </c>
      <c r="C45" s="1" t="n">
        <v>45564</v>
      </c>
      <c r="D45" t="inlineStr">
        <is>
          <t>JÄMTLANDS LÄN</t>
        </is>
      </c>
      <c r="E45" t="inlineStr">
        <is>
          <t>BERG</t>
        </is>
      </c>
      <c r="G45" t="n">
        <v>18.9</v>
      </c>
      <c r="H45" t="n">
        <v>0</v>
      </c>
      <c r="I45" t="n">
        <v>1</v>
      </c>
      <c r="J45" t="n">
        <v>5</v>
      </c>
      <c r="K45" t="n">
        <v>0</v>
      </c>
      <c r="L45" t="n">
        <v>0</v>
      </c>
      <c r="M45" t="n">
        <v>0</v>
      </c>
      <c r="N45" t="n">
        <v>0</v>
      </c>
      <c r="O45" t="n">
        <v>5</v>
      </c>
      <c r="P45" t="n">
        <v>0</v>
      </c>
      <c r="Q45" t="n">
        <v>6</v>
      </c>
      <c r="R45" s="2" t="inlineStr">
        <is>
          <t>Gammelgransskål
Garnlav
Granticka
Knottrig blåslav
Rödbrun blekspik
Vedticka</t>
        </is>
      </c>
      <c r="S45">
        <f>HYPERLINK("https://klasma.github.io/Logging_2326/artfynd/A 16508-2021 artfynd.xlsx", "A 16508-2021")</f>
        <v/>
      </c>
      <c r="T45">
        <f>HYPERLINK("https://klasma.github.io/Logging_2326/kartor/A 16508-2021 karta.png", "A 16508-2021")</f>
        <v/>
      </c>
      <c r="V45">
        <f>HYPERLINK("https://klasma.github.io/Logging_2326/klagomål/A 16508-2021 FSC-klagomål.docx", "A 16508-2021")</f>
        <v/>
      </c>
      <c r="W45">
        <f>HYPERLINK("https://klasma.github.io/Logging_2326/klagomålsmail/A 16508-2021 FSC-klagomål mail.docx", "A 16508-2021")</f>
        <v/>
      </c>
      <c r="X45">
        <f>HYPERLINK("https://klasma.github.io/Logging_2326/tillsyn/A 16508-2021 tillsynsbegäran.docx", "A 16508-2021")</f>
        <v/>
      </c>
      <c r="Y45">
        <f>HYPERLINK("https://klasma.github.io/Logging_2326/tillsynsmail/A 16508-2021 tillsynsbegäran mail.docx", "A 16508-2021")</f>
        <v/>
      </c>
    </row>
    <row r="46" ht="15" customHeight="1">
      <c r="A46" t="inlineStr">
        <is>
          <t>A 31719-2022</t>
        </is>
      </c>
      <c r="B46" s="1" t="n">
        <v>44776</v>
      </c>
      <c r="C46" s="1" t="n">
        <v>45564</v>
      </c>
      <c r="D46" t="inlineStr">
        <is>
          <t>JÄMTLANDS LÄN</t>
        </is>
      </c>
      <c r="E46" t="inlineStr">
        <is>
          <t>BERG</t>
        </is>
      </c>
      <c r="G46" t="n">
        <v>4.2</v>
      </c>
      <c r="H46" t="n">
        <v>1</v>
      </c>
      <c r="I46" t="n">
        <v>0</v>
      </c>
      <c r="J46" t="n">
        <v>5</v>
      </c>
      <c r="K46" t="n">
        <v>1</v>
      </c>
      <c r="L46" t="n">
        <v>0</v>
      </c>
      <c r="M46" t="n">
        <v>0</v>
      </c>
      <c r="N46" t="n">
        <v>0</v>
      </c>
      <c r="O46" t="n">
        <v>6</v>
      </c>
      <c r="P46" t="n">
        <v>1</v>
      </c>
      <c r="Q46" t="n">
        <v>6</v>
      </c>
      <c r="R46" s="2" t="inlineStr">
        <is>
          <t>Knärot
Garnlav
Lunglav
Rosenticka
Ullticka
Vedtrappmossa</t>
        </is>
      </c>
      <c r="S46">
        <f>HYPERLINK("https://klasma.github.io/Logging_2326/artfynd/A 31719-2022 artfynd.xlsx", "A 31719-2022")</f>
        <v/>
      </c>
      <c r="T46">
        <f>HYPERLINK("https://klasma.github.io/Logging_2326/kartor/A 31719-2022 karta.png", "A 31719-2022")</f>
        <v/>
      </c>
      <c r="U46">
        <f>HYPERLINK("https://klasma.github.io/Logging_2326/knärot/A 31719-2022 karta knärot.png", "A 31719-2022")</f>
        <v/>
      </c>
      <c r="V46">
        <f>HYPERLINK("https://klasma.github.io/Logging_2326/klagomål/A 31719-2022 FSC-klagomål.docx", "A 31719-2022")</f>
        <v/>
      </c>
      <c r="W46">
        <f>HYPERLINK("https://klasma.github.io/Logging_2326/klagomålsmail/A 31719-2022 FSC-klagomål mail.docx", "A 31719-2022")</f>
        <v/>
      </c>
      <c r="X46">
        <f>HYPERLINK("https://klasma.github.io/Logging_2326/tillsyn/A 31719-2022 tillsynsbegäran.docx", "A 31719-2022")</f>
        <v/>
      </c>
      <c r="Y46">
        <f>HYPERLINK("https://klasma.github.io/Logging_2326/tillsynsmail/A 31719-2022 tillsynsbegäran mail.docx", "A 31719-2022")</f>
        <v/>
      </c>
    </row>
    <row r="47" ht="15" customHeight="1">
      <c r="A47" t="inlineStr">
        <is>
          <t>A 37398-2022</t>
        </is>
      </c>
      <c r="B47" s="1" t="n">
        <v>44806</v>
      </c>
      <c r="C47" s="1" t="n">
        <v>45564</v>
      </c>
      <c r="D47" t="inlineStr">
        <is>
          <t>JÄMTLANDS LÄN</t>
        </is>
      </c>
      <c r="E47" t="inlineStr">
        <is>
          <t>BERG</t>
        </is>
      </c>
      <c r="G47" t="n">
        <v>29.6</v>
      </c>
      <c r="H47" t="n">
        <v>3</v>
      </c>
      <c r="I47" t="n">
        <v>1</v>
      </c>
      <c r="J47" t="n">
        <v>5</v>
      </c>
      <c r="K47" t="n">
        <v>0</v>
      </c>
      <c r="L47" t="n">
        <v>0</v>
      </c>
      <c r="M47" t="n">
        <v>0</v>
      </c>
      <c r="N47" t="n">
        <v>0</v>
      </c>
      <c r="O47" t="n">
        <v>5</v>
      </c>
      <c r="P47" t="n">
        <v>0</v>
      </c>
      <c r="Q47" t="n">
        <v>6</v>
      </c>
      <c r="R47" s="2" t="inlineStr">
        <is>
          <t>Gränsticka
Harticka
Spillkråka
Stjärntagging
Tretåig hackspett
Spindelblomster</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29383-2023</t>
        </is>
      </c>
      <c r="B48" s="1" t="n">
        <v>45098</v>
      </c>
      <c r="C48" s="1" t="n">
        <v>45564</v>
      </c>
      <c r="D48" t="inlineStr">
        <is>
          <t>JÄMTLANDS LÄN</t>
        </is>
      </c>
      <c r="E48" t="inlineStr">
        <is>
          <t>BERG</t>
        </is>
      </c>
      <c r="G48" t="n">
        <v>6.1</v>
      </c>
      <c r="H48" t="n">
        <v>1</v>
      </c>
      <c r="I48" t="n">
        <v>3</v>
      </c>
      <c r="J48" t="n">
        <v>2</v>
      </c>
      <c r="K48" t="n">
        <v>1</v>
      </c>
      <c r="L48" t="n">
        <v>0</v>
      </c>
      <c r="M48" t="n">
        <v>0</v>
      </c>
      <c r="N48" t="n">
        <v>0</v>
      </c>
      <c r="O48" t="n">
        <v>3</v>
      </c>
      <c r="P48" t="n">
        <v>1</v>
      </c>
      <c r="Q48" t="n">
        <v>6</v>
      </c>
      <c r="R48" s="2" t="inlineStr">
        <is>
          <t>Knärot
Garnlav
Ullticka
Norrlandslav
Svavelriska
Trådticka</t>
        </is>
      </c>
      <c r="S48">
        <f>HYPERLINK("https://klasma.github.io/Logging_2326/artfynd/A 29383-2023 artfynd.xlsx", "A 29383-2023")</f>
        <v/>
      </c>
      <c r="T48">
        <f>HYPERLINK("https://klasma.github.io/Logging_2326/kartor/A 29383-2023 karta.png", "A 29383-2023")</f>
        <v/>
      </c>
      <c r="U48">
        <f>HYPERLINK("https://klasma.github.io/Logging_2326/knärot/A 29383-2023 karta knärot.png", "A 29383-2023")</f>
        <v/>
      </c>
      <c r="V48">
        <f>HYPERLINK("https://klasma.github.io/Logging_2326/klagomål/A 29383-2023 FSC-klagomål.docx", "A 29383-2023")</f>
        <v/>
      </c>
      <c r="W48">
        <f>HYPERLINK("https://klasma.github.io/Logging_2326/klagomålsmail/A 29383-2023 FSC-klagomål mail.docx", "A 29383-2023")</f>
        <v/>
      </c>
      <c r="X48">
        <f>HYPERLINK("https://klasma.github.io/Logging_2326/tillsyn/A 29383-2023 tillsynsbegäran.docx", "A 29383-2023")</f>
        <v/>
      </c>
      <c r="Y48">
        <f>HYPERLINK("https://klasma.github.io/Logging_2326/tillsynsmail/A 29383-2023 tillsynsbegäran mail.docx", "A 29383-2023")</f>
        <v/>
      </c>
    </row>
    <row r="49" ht="15" customHeight="1">
      <c r="A49" t="inlineStr">
        <is>
          <t>A 39021-2020</t>
        </is>
      </c>
      <c r="B49" s="1" t="n">
        <v>44062</v>
      </c>
      <c r="C49" s="1" t="n">
        <v>45564</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45564</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45564</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45564</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45564</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45564</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45564</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45564</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45564</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45564</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45564</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45564</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45564</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45564</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45564</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45564</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45564</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45564</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45564</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45564</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45564</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45564</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45564</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45564</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45564</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45564</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45564</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45564</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45564</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45564</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45564</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45564</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45564</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45564</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45564</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45564</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45564</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45564</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45564</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45564</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45564</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45564</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45564</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45564</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45564</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45564</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45564</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45564</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45564</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45564</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45564</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45564</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45564</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45564</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45564</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45564</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45564</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45564</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45564</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45564</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45564</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45564</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45564</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45564</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45564</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45564</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45564</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45564</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45564</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45564</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45564</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45564</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45564</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45564</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45564</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45564</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45564</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45564</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45564</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45564</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45564</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45564</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45564</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45564</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45564</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45564</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45564</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45564</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45564</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45564</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45564</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45564</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45564</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45564</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45564</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45564</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45564</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45564</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45564</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45564</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45564</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45564</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45564</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45564</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45564</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45564</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45564</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45564</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45564</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45564</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45564</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45564</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45564</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45564</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45564</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45564</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40215-2024</t>
        </is>
      </c>
      <c r="B165" s="1" t="n">
        <v>45554</v>
      </c>
      <c r="C165" s="1" t="n">
        <v>45564</v>
      </c>
      <c r="D165" t="inlineStr">
        <is>
          <t>JÄMTLANDS LÄN</t>
        </is>
      </c>
      <c r="E165" t="inlineStr">
        <is>
          <t>BERG</t>
        </is>
      </c>
      <c r="F165" t="inlineStr">
        <is>
          <t>SCA</t>
        </is>
      </c>
      <c r="G165" t="n">
        <v>18.6</v>
      </c>
      <c r="H165" t="n">
        <v>0</v>
      </c>
      <c r="I165" t="n">
        <v>1</v>
      </c>
      <c r="J165" t="n">
        <v>0</v>
      </c>
      <c r="K165" t="n">
        <v>0</v>
      </c>
      <c r="L165" t="n">
        <v>0</v>
      </c>
      <c r="M165" t="n">
        <v>0</v>
      </c>
      <c r="N165" t="n">
        <v>0</v>
      </c>
      <c r="O165" t="n">
        <v>0</v>
      </c>
      <c r="P165" t="n">
        <v>0</v>
      </c>
      <c r="Q165" t="n">
        <v>1</v>
      </c>
      <c r="R165" s="2" t="inlineStr">
        <is>
          <t>Dropptaggsvamp</t>
        </is>
      </c>
      <c r="S165">
        <f>HYPERLINK("https://klasma.github.io/Logging_2326/artfynd/A 40215-2024 artfynd.xlsx", "A 40215-2024")</f>
        <v/>
      </c>
      <c r="T165">
        <f>HYPERLINK("https://klasma.github.io/Logging_2326/kartor/A 40215-2024 karta.png", "A 40215-2024")</f>
        <v/>
      </c>
      <c r="V165">
        <f>HYPERLINK("https://klasma.github.io/Logging_2326/klagomål/A 40215-2024 FSC-klagomål.docx", "A 40215-2024")</f>
        <v/>
      </c>
      <c r="W165">
        <f>HYPERLINK("https://klasma.github.io/Logging_2326/klagomålsmail/A 40215-2024 FSC-klagomål mail.docx", "A 40215-2024")</f>
        <v/>
      </c>
      <c r="X165">
        <f>HYPERLINK("https://klasma.github.io/Logging_2326/tillsyn/A 40215-2024 tillsynsbegäran.docx", "A 40215-2024")</f>
        <v/>
      </c>
      <c r="Y165">
        <f>HYPERLINK("https://klasma.github.io/Logging_2326/tillsynsmail/A 40215-2024 tillsynsbegäran mail.docx", "A 40215-2024")</f>
        <v/>
      </c>
    </row>
    <row r="166" ht="15" customHeight="1">
      <c r="A166" t="inlineStr">
        <is>
          <t>A 40210-2024</t>
        </is>
      </c>
      <c r="B166" s="1" t="n">
        <v>45554</v>
      </c>
      <c r="C166" s="1" t="n">
        <v>45564</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40440-2024</t>
        </is>
      </c>
      <c r="B167" s="1" t="n">
        <v>45555</v>
      </c>
      <c r="C167" s="1" t="n">
        <v>45564</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45564</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45564</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45564</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45564</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45564</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45564</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45564</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45564</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45564</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45564</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45564</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45564</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45564</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45564</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45564</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45564</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45564</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45564</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45564</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45564</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45564</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45564</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45564</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45564</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45564</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45564</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45564</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45564</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45564</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45564</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45564</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45564</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45564</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45564</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45564</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45564</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45564</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45564</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45564</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45564</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45564</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45564</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45564</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45564</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45564</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45564</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45564</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45564</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45564</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45564</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45564</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45564</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45564</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45564</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45564</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45564</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45564</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45564</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45564</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45564</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45564</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45564</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45564</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45564</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45564</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45564</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45564</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45564</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45564</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45564</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45564</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45564</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45564</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45564</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45564</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45564</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45564</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45564</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45564</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45564</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45564</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45564</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45564</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45564</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45564</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45564</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45564</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45564</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45564</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45564</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45564</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45564</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45564</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45564</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45564</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45564</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45564</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45564</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45564</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45564</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45564</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45564</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45564</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45564</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45564</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45564</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45564</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45564</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45564</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45564</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45564</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45564</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45564</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45564</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45564</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45564</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45564</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45564</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45564</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45564</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45564</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45564</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45564</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45564</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45564</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45564</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45564</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45564</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45564</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45564</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45564</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45564</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45564</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45564</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45564</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45564</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45564</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45564</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45564</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45564</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45564</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45564</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45564</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45564</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45564</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45564</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45564</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45564</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45564</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45564</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45564</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45564</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45564</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45564</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45564</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45564</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45564</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45564</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45564</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45564</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45564</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45564</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45564</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45564</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45564</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45564</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45564</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45564</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45564</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45564</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45564</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45564</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45564</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45564</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45564</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45564</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45564</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45564</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45564</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45564</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45564</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45564</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45564</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45564</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45564</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45564</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45564</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45564</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45564</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45564</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45564</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45564</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45564</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45564</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45564</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45564</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45564</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45564</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45564</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45564</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45564</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45564</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45564</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45564</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45564</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45564</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45564</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45564</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45564</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45564</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45564</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45564</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45564</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45564</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45564</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45564</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45564</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45564</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45564</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45564</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45564</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45564</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45564</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45564</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45564</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45564</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45564</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45564</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45564</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45564</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45564</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45564</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45564</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45564</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45564</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45564</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45564</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45564</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45564</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45564</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45564</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45564</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45564</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45564</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45564</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45564</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45564</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45564</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45564</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45564</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45564</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45564</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45564</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45564</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45564</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45564</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45564</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45564</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45564</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45564</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45564</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45564</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45564</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45564</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45564</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45564</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45564</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45564</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45564</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45564</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45564</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45564</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45564</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45564</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45564</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45564</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45564</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45564</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45564</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45564</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45564</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45564</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45564</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45564</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45564</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45564</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45564</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45564</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45564</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45564</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45564</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45564</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45564</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45564</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45564</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45564</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45564</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45564</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45564</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45564</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45564</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45564</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45564</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45564</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45564</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45564</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45564</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45564</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45564</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45564</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45564</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45564</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45564</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45564</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45564</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45564</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45564</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45564</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45564</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45564</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45564</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45564</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45564</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45564</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45564</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45564</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45564</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45564</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45564</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45564</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45564</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45564</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45564</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45564</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45564</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45564</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45564</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45564</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45564</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45564</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45564</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45564</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45564</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45564</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45564</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45564</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45564</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45564</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45564</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45564</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45564</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45564</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45564</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45564</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45564</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45564</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45564</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45564</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45564</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45564</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45564</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45564</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45564</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45564</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45564</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45564</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45564</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45564</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45564</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45564</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45564</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45564</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45564</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45564</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45564</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45564</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45564</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45564</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45564</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45564</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45564</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45564</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45564</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45564</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45564</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45564</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45564</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45564</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45564</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45564</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45564</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45564</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45564</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45564</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45564</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45564</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45564</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45564</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45564</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45564</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45564</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45564</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45564</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45564</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45564</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45564</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45564</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45564</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45564</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45564</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45564</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45564</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45564</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45564</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45564</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45564</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45564</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45564</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45564</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45564</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45564</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45564</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45564</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45564</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45564</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45564</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45564</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45564</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45564</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45564</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45564</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45564</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45564</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45564</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45564</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45564</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45564</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45564</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45564</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45564</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45564</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45564</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45564</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45564</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45564</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45564</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45564</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45564</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45564</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45564</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45564</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45564</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45564</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45564</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45564</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45564</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45564</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45564</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45564</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45564</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45564</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45564</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45564</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45564</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45564</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45564</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45564</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45564</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45564</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45564</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45564</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45564</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45564</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45564</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45564</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45564</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45564</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45564</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45564</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45564</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45564</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45564</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45564</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45564</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45564</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45564</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45564</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45564</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45564</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45564</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45564</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45564</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45564</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45564</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45564</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45564</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45564</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45564</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45564</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45564</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45564</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45564</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45564</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45564</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45564</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45564</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45564</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45564</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45564</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45564</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45564</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45564</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45564</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45564</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45564</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45564</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45564</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45564</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45564</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45564</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45564</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45564</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45564</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45564</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45564</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45564</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45564</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45564</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45564</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45564</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45564</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45564</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45564</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45564</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45564</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45564</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45564</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45564</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45564</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45564</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45564</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45564</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45564</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45564</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45564</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45564</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45564</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45564</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45564</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45564</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45564</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45564</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45564</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45564</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45564</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45564</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45564</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45564</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45564</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45564</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45564</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45564</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45564</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45564</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45564</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45564</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45564</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45564</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45564</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45564</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45564</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45564</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45564</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45564</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45564</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45564</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45564</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45564</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45564</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45564</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45564</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45564</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45564</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45564</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45564</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45564</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45564</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45564</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45564</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45564</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45564</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45564</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45564</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45564</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45564</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45564</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45564</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45564</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45564</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45564</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45564</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45564</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45564</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45564</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45564</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45564</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45564</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45564</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45564</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45564</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45564</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45564</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45564</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45564</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45564</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45564</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45564</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45564</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45564</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45564</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45564</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45564</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45564</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45564</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45564</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45564</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45564</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45564</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45564</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45564</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45564</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45564</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45564</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45564</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45564</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45564</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45564</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45564</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45564</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45564</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45564</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45564</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45564</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45564</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45564</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45564</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45564</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45564</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45564</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45564</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45564</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45564</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45564</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45564</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45564</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45564</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45564</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45564</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45564</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45564</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45564</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45564</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45564</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45564</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45564</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45564</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45564</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45564</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45564</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45564</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45564</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45564</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45564</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45564</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45564</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45564</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45564</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45564</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45564</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45564</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45564</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45564</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45564</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45564</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45564</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45564</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45564</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45564</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45564</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45564</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45564</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45564</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45564</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45564</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45564</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45564</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45564</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45564</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45564</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45564</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45564</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45564</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45564</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45564</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45564</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45564</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45564</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45564</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45564</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45564</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45564</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45564</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45564</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45564</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45564</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45564</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45564</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45564</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45564</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45564</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45564</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45564</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45564</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45564</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45564</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45564</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45564</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45564</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45564</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45564</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45564</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45564</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45564</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45564</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45564</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45564</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45564</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45564</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45564</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45564</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45564</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45564</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45564</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45564</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45564</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45564</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45564</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45564</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45564</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45564</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45564</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45564</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45564</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45564</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45564</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45564</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45564</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45564</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45564</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45564</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45564</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45564</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45564</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45564</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45564</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45564</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45564</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45564</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45564</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45564</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45564</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45564</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45564</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45564</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45564</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45564</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45564</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45564</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45564</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45564</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45564</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45564</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45564</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45564</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45564</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45564</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45564</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45564</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45564</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45564</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45564</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45564</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45564</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45564</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45564</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45564</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45564</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45564</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45564</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45564</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45564</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45564</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45564</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45564</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45564</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45564</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45564</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45564</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45564</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45564</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45564</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45564</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45564</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45564</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45564</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45564</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45564</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45564</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45564</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45564</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45564</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45564</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45564</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45564</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45564</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45564</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45564</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45564</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45564</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45564</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45564</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45564</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45564</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45564</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45564</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45564</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45564</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45564</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45564</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45564</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45564</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45564</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45564</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45564</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45564</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45564</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45564</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45564</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45564</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45564</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45564</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45564</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45564</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45564</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45564</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45564</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45564</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45564</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45564</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45564</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45564</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45564</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45564</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45564</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45564</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45564</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45564</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45564</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45564</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45564</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45564</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45564</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45564</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45564</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45564</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45564</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45564</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45564</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45564</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45564</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45564</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45564</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45564</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45564</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45564</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45564</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45564</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45564</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45564</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45564</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45564</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45564</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45564</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45564</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45564</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45564</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45564</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45564</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45564</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45564</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45564</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45564</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45564</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45564</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45564</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45564</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45564</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45564</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45564</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45564</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45564</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45564</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45564</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45564</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45564</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45564</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45564</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45564</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45564</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45564</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45564</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45564</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45564</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45564</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45564</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45564</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45564</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45564</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45564</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45564</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45564</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45564</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45564</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45564</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45564</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45564</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45564</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37087-2024</t>
        </is>
      </c>
      <c r="B1107" s="1" t="n">
        <v>45539</v>
      </c>
      <c r="C1107" s="1" t="n">
        <v>45564</v>
      </c>
      <c r="D1107" t="inlineStr">
        <is>
          <t>JÄMTLANDS LÄN</t>
        </is>
      </c>
      <c r="E1107" t="inlineStr">
        <is>
          <t>BERG</t>
        </is>
      </c>
      <c r="F1107" t="inlineStr">
        <is>
          <t>Övriga Aktiebolag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37091-2024</t>
        </is>
      </c>
      <c r="B1108" s="1" t="n">
        <v>45539</v>
      </c>
      <c r="C1108" s="1" t="n">
        <v>45564</v>
      </c>
      <c r="D1108" t="inlineStr">
        <is>
          <t>JÄMTLANDS LÄN</t>
        </is>
      </c>
      <c r="E1108" t="inlineStr">
        <is>
          <t>BERG</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37095-2024</t>
        </is>
      </c>
      <c r="B1109" s="1" t="n">
        <v>45539</v>
      </c>
      <c r="C1109" s="1" t="n">
        <v>45564</v>
      </c>
      <c r="D1109" t="inlineStr">
        <is>
          <t>JÄMTLANDS LÄN</t>
        </is>
      </c>
      <c r="E1109" t="inlineStr">
        <is>
          <t>BERG</t>
        </is>
      </c>
      <c r="F1109" t="inlineStr">
        <is>
          <t>Övriga Aktiebolag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45564</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45564</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45564</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45564</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37096-2024</t>
        </is>
      </c>
      <c r="B1114" s="1" t="n">
        <v>45539</v>
      </c>
      <c r="C1114" s="1" t="n">
        <v>45564</v>
      </c>
      <c r="D1114" t="inlineStr">
        <is>
          <t>JÄMTLANDS LÄN</t>
        </is>
      </c>
      <c r="E1114" t="inlineStr">
        <is>
          <t>BERG</t>
        </is>
      </c>
      <c r="F1114" t="inlineStr">
        <is>
          <t>Övriga Aktiebolag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37086-2024</t>
        </is>
      </c>
      <c r="B1115" s="1" t="n">
        <v>45539</v>
      </c>
      <c r="C1115" s="1" t="n">
        <v>45564</v>
      </c>
      <c r="D1115" t="inlineStr">
        <is>
          <t>JÄMTLANDS LÄN</t>
        </is>
      </c>
      <c r="E1115" t="inlineStr">
        <is>
          <t>BERG</t>
        </is>
      </c>
      <c r="F1115" t="inlineStr">
        <is>
          <t>Övriga Aktiebolag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37098-2024</t>
        </is>
      </c>
      <c r="B1116" s="1" t="n">
        <v>45539</v>
      </c>
      <c r="C1116" s="1" t="n">
        <v>45564</v>
      </c>
      <c r="D1116" t="inlineStr">
        <is>
          <t>JÄMTLANDS LÄN</t>
        </is>
      </c>
      <c r="E1116" t="inlineStr">
        <is>
          <t>BERG</t>
        </is>
      </c>
      <c r="F1116" t="inlineStr">
        <is>
          <t>Övriga Aktiebolag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45564</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39186-2024</t>
        </is>
      </c>
      <c r="B1118" s="1" t="n">
        <v>45548</v>
      </c>
      <c r="C1118" s="1" t="n">
        <v>45564</v>
      </c>
      <c r="D1118" t="inlineStr">
        <is>
          <t>JÄMTLANDS LÄN</t>
        </is>
      </c>
      <c r="E1118" t="inlineStr">
        <is>
          <t>BERG</t>
        </is>
      </c>
      <c r="G1118" t="n">
        <v>38.4</v>
      </c>
      <c r="H1118" t="n">
        <v>0</v>
      </c>
      <c r="I1118" t="n">
        <v>0</v>
      </c>
      <c r="J1118" t="n">
        <v>0</v>
      </c>
      <c r="K1118" t="n">
        <v>0</v>
      </c>
      <c r="L1118" t="n">
        <v>0</v>
      </c>
      <c r="M1118" t="n">
        <v>0</v>
      </c>
      <c r="N1118" t="n">
        <v>0</v>
      </c>
      <c r="O1118" t="n">
        <v>0</v>
      </c>
      <c r="P1118" t="n">
        <v>0</v>
      </c>
      <c r="Q1118" t="n">
        <v>0</v>
      </c>
      <c r="R1118" s="2" t="inlineStr"/>
    </row>
    <row r="1119" ht="15" customHeight="1">
      <c r="A1119" t="inlineStr">
        <is>
          <t>A 38962-2024</t>
        </is>
      </c>
      <c r="B1119" s="1" t="n">
        <v>45548</v>
      </c>
      <c r="C1119" s="1" t="n">
        <v>45564</v>
      </c>
      <c r="D1119" t="inlineStr">
        <is>
          <t>JÄMTLANDS LÄN</t>
        </is>
      </c>
      <c r="E1119" t="inlineStr">
        <is>
          <t>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39102-2024</t>
        </is>
      </c>
      <c r="B1120" s="1" t="n">
        <v>45548</v>
      </c>
      <c r="C1120" s="1" t="n">
        <v>45564</v>
      </c>
      <c r="D1120" t="inlineStr">
        <is>
          <t>JÄMTLANDS LÄN</t>
        </is>
      </c>
      <c r="E1120" t="inlineStr">
        <is>
          <t>BERG</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39103-2024</t>
        </is>
      </c>
      <c r="B1121" s="1" t="n">
        <v>45548</v>
      </c>
      <c r="C1121" s="1" t="n">
        <v>45564</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45564</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45564</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45564</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45564</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39993-2024</t>
        </is>
      </c>
      <c r="B1126" s="1" t="n">
        <v>45553</v>
      </c>
      <c r="C1126" s="1" t="n">
        <v>45564</v>
      </c>
      <c r="D1126" t="inlineStr">
        <is>
          <t>JÄMTLANDS LÄN</t>
        </is>
      </c>
      <c r="E1126" t="inlineStr">
        <is>
          <t>BERG</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39785-2024</t>
        </is>
      </c>
      <c r="B1127" s="1" t="n">
        <v>45553</v>
      </c>
      <c r="C1127" s="1" t="n">
        <v>45564</v>
      </c>
      <c r="D1127" t="inlineStr">
        <is>
          <t>JÄMTLANDS LÄN</t>
        </is>
      </c>
      <c r="E1127" t="inlineStr">
        <is>
          <t>BERG</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45564</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45564</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45564</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45564</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41634-2024</t>
        </is>
      </c>
      <c r="B1132" s="1" t="n">
        <v>45560</v>
      </c>
      <c r="C1132" s="1" t="n">
        <v>45564</v>
      </c>
      <c r="D1132" t="inlineStr">
        <is>
          <t>JÄMTLANDS LÄN</t>
        </is>
      </c>
      <c r="E1132" t="inlineStr">
        <is>
          <t>BERG</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41638-2024</t>
        </is>
      </c>
      <c r="B1133" s="1" t="n">
        <v>45560</v>
      </c>
      <c r="C1133" s="1" t="n">
        <v>45564</v>
      </c>
      <c r="D1133" t="inlineStr">
        <is>
          <t>JÄMTLANDS LÄN</t>
        </is>
      </c>
      <c r="E1133" t="inlineStr">
        <is>
          <t>BERG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41636-2024</t>
        </is>
      </c>
      <c r="B1134" s="1" t="n">
        <v>45560</v>
      </c>
      <c r="C1134" s="1" t="n">
        <v>45564</v>
      </c>
      <c r="D1134" t="inlineStr">
        <is>
          <t>JÄMTLANDS LÄN</t>
        </is>
      </c>
      <c r="E1134" t="inlineStr">
        <is>
          <t>BERG</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41875-2024</t>
        </is>
      </c>
      <c r="B1135" s="1" t="n">
        <v>45561</v>
      </c>
      <c r="C1135" s="1" t="n">
        <v>45564</v>
      </c>
      <c r="D1135" t="inlineStr">
        <is>
          <t>JÄMTLANDS LÄN</t>
        </is>
      </c>
      <c r="E1135" t="inlineStr">
        <is>
          <t>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41866-2024</t>
        </is>
      </c>
      <c r="B1136" s="1" t="n">
        <v>45561</v>
      </c>
      <c r="C1136" s="1" t="n">
        <v>45564</v>
      </c>
      <c r="D1136" t="inlineStr">
        <is>
          <t>JÄMTLANDS LÄN</t>
        </is>
      </c>
      <c r="E1136" t="inlineStr">
        <is>
          <t>BERG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41886-2024</t>
        </is>
      </c>
      <c r="B1137" s="1" t="n">
        <v>45561</v>
      </c>
      <c r="C1137" s="1" t="n">
        <v>45564</v>
      </c>
      <c r="D1137" t="inlineStr">
        <is>
          <t>JÄMTLANDS LÄN</t>
        </is>
      </c>
      <c r="E1137" t="inlineStr">
        <is>
          <t>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45564</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c r="A1139" t="inlineStr">
        <is>
          <t>A 42365-2024</t>
        </is>
      </c>
      <c r="B1139" s="1" t="n">
        <v>45563</v>
      </c>
      <c r="C1139" s="1" t="n">
        <v>45564</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2024-09-29T12:00:29Z</dcterms:created>
  <dcterms:modified xmlns:dcterms="http://purl.org/dc/terms/" xmlns:xsi="http://www.w3.org/2001/XMLSchema-instance" xsi:type="dcterms:W3CDTF">2024-09-29T12:00:30Z</dcterms:modified>
</cp:coreProperties>
</file>