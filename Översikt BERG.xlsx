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45923</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45923</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45923</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45923</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45923</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18411-2024</t>
        </is>
      </c>
      <c r="B10" s="1" t="n">
        <v>45425</v>
      </c>
      <c r="C10" s="1" t="n">
        <v>45923</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29383-2023</t>
        </is>
      </c>
      <c r="B11" s="1" t="n">
        <v>45098</v>
      </c>
      <c r="C11" s="1" t="n">
        <v>45923</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45923</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45923</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45923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45923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45923</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45923</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45923</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45923</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45923</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45923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45923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45923</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45923</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45923</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45923</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45923</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37754-2025</t>
        </is>
      </c>
      <c r="B29" s="1" t="n">
        <v>45880.67747685185</v>
      </c>
      <c r="C29" s="1" t="n">
        <v>45923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53455-2024</t>
        </is>
      </c>
      <c r="B30" s="1" t="n">
        <v>45614.54873842592</v>
      </c>
      <c r="C30" s="1" t="n">
        <v>45923</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45923</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39282-2025</t>
        </is>
      </c>
      <c r="B32" s="1" t="n">
        <v>45889.40362268518</v>
      </c>
      <c r="C32" s="1" t="n">
        <v>45923</v>
      </c>
      <c r="D32" t="inlineStr">
        <is>
          <t>JÄMTLANDS LÄN</t>
        </is>
      </c>
      <c r="E32" t="inlineStr">
        <is>
          <t>BERG</t>
        </is>
      </c>
      <c r="G32" t="n">
        <v>12.9</v>
      </c>
      <c r="H32" t="n">
        <v>2</v>
      </c>
      <c r="I32" t="n">
        <v>1</v>
      </c>
      <c r="J32" t="n">
        <v>9</v>
      </c>
      <c r="K32" t="n">
        <v>1</v>
      </c>
      <c r="L32" t="n">
        <v>0</v>
      </c>
      <c r="M32" t="n">
        <v>0</v>
      </c>
      <c r="N32" t="n">
        <v>0</v>
      </c>
      <c r="O32" t="n">
        <v>10</v>
      </c>
      <c r="P32" t="n">
        <v>1</v>
      </c>
      <c r="Q32" t="n">
        <v>11</v>
      </c>
      <c r="R32" s="2" t="inlineStr">
        <is>
          <t>Smalskaftslav
Gammelgransskål
Garnlav
Granticka
Lunglav
Rosenticka
Talltita
Tretåig hackspett
Ullticka
Vitgrynig nållav
Gulnål</t>
        </is>
      </c>
      <c r="S32">
        <f>HYPERLINK("https://klasma.github.io/Logging_2326/artfynd/A 39282-2025 artfynd.xlsx", "A 39282-2025")</f>
        <v/>
      </c>
      <c r="T32">
        <f>HYPERLINK("https://klasma.github.io/Logging_2326/kartor/A 39282-2025 karta.png", "A 39282-2025")</f>
        <v/>
      </c>
      <c r="U32">
        <f>HYPERLINK("https://klasma.github.io/Logging_2326/knärot/A 39282-2025 karta knärot.png", "A 39282-2025")</f>
        <v/>
      </c>
      <c r="V32">
        <f>HYPERLINK("https://klasma.github.io/Logging_2326/klagomål/A 39282-2025 FSC-klagomål.docx", "A 39282-2025")</f>
        <v/>
      </c>
      <c r="W32">
        <f>HYPERLINK("https://klasma.github.io/Logging_2326/klagomålsmail/A 39282-2025 FSC-klagomål mail.docx", "A 39282-2025")</f>
        <v/>
      </c>
      <c r="X32">
        <f>HYPERLINK("https://klasma.github.io/Logging_2326/tillsyn/A 39282-2025 tillsynsbegäran.docx", "A 39282-2025")</f>
        <v/>
      </c>
      <c r="Y32">
        <f>HYPERLINK("https://klasma.github.io/Logging_2326/tillsynsmail/A 39282-2025 tillsynsbegäran mail.docx", "A 39282-2025")</f>
        <v/>
      </c>
      <c r="Z32">
        <f>HYPERLINK("https://klasma.github.io/Logging_2326/fåglar/A 39282-2025 prioriterade fågelarter.docx", "A 39282-2025")</f>
        <v/>
      </c>
    </row>
    <row r="33" ht="15" customHeight="1">
      <c r="A33" t="inlineStr">
        <is>
          <t>A 9919-2021</t>
        </is>
      </c>
      <c r="B33" s="1" t="n">
        <v>44253</v>
      </c>
      <c r="C33" s="1" t="n">
        <v>45923</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45923</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45923</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45923</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45923</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45923</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16246-2024</t>
        </is>
      </c>
      <c r="B39" s="1" t="n">
        <v>45407.05788194444</v>
      </c>
      <c r="C39" s="1" t="n">
        <v>45923</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45923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7473-2023</t>
        </is>
      </c>
      <c r="B41" s="1" t="n">
        <v>44966</v>
      </c>
      <c r="C41" s="1" t="n">
        <v>45923</v>
      </c>
      <c r="D41" t="inlineStr">
        <is>
          <t>JÄMTLANDS LÄN</t>
        </is>
      </c>
      <c r="E41" t="inlineStr">
        <is>
          <t>BERG</t>
        </is>
      </c>
      <c r="G41" t="n">
        <v>26.8</v>
      </c>
      <c r="H41" t="n">
        <v>1</v>
      </c>
      <c r="I41" t="n">
        <v>3</v>
      </c>
      <c r="J41" t="n">
        <v>5</v>
      </c>
      <c r="K41" t="n">
        <v>0</v>
      </c>
      <c r="L41" t="n">
        <v>0</v>
      </c>
      <c r="M41" t="n">
        <v>0</v>
      </c>
      <c r="N41" t="n">
        <v>0</v>
      </c>
      <c r="O41" t="n">
        <v>5</v>
      </c>
      <c r="P41" t="n">
        <v>0</v>
      </c>
      <c r="Q41" t="n">
        <v>8</v>
      </c>
      <c r="R41" s="2" t="inlineStr">
        <is>
          <t>Blågrå svartspik
Reliktbock
Stiftgelélav
Tretåig hackspett
Vedflamlav
Dropptaggsvamp
Mindre märgborre
Stuplav</t>
        </is>
      </c>
      <c r="S41">
        <f>HYPERLINK("https://klasma.github.io/Logging_2326/artfynd/A 7473-2023 artfynd.xlsx", "A 7473-2023")</f>
        <v/>
      </c>
      <c r="T41">
        <f>HYPERLINK("https://klasma.github.io/Logging_2326/kartor/A 7473-2023 karta.png", "A 7473-2023")</f>
        <v/>
      </c>
      <c r="V41">
        <f>HYPERLINK("https://klasma.github.io/Logging_2326/klagomål/A 7473-2023 FSC-klagomål.docx", "A 7473-2023")</f>
        <v/>
      </c>
      <c r="W41">
        <f>HYPERLINK("https://klasma.github.io/Logging_2326/klagomålsmail/A 7473-2023 FSC-klagomål mail.docx", "A 7473-2023")</f>
        <v/>
      </c>
      <c r="X41">
        <f>HYPERLINK("https://klasma.github.io/Logging_2326/tillsyn/A 7473-2023 tillsynsbegäran.docx", "A 7473-2023")</f>
        <v/>
      </c>
      <c r="Y41">
        <f>HYPERLINK("https://klasma.github.io/Logging_2326/tillsynsmail/A 7473-2023 tillsynsbegäran mail.docx", "A 7473-2023")</f>
        <v/>
      </c>
      <c r="Z41">
        <f>HYPERLINK("https://klasma.github.io/Logging_2326/fåglar/A 7473-2023 prioriterade fågelarter.docx", "A 7473-2023")</f>
        <v/>
      </c>
    </row>
    <row r="42" ht="15" customHeight="1">
      <c r="A42" t="inlineStr">
        <is>
          <t>A 16811-2021</t>
        </is>
      </c>
      <c r="B42" s="1" t="n">
        <v>44293</v>
      </c>
      <c r="C42" s="1" t="n">
        <v>45923</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37406-2022</t>
        </is>
      </c>
      <c r="B43" s="1" t="n">
        <v>44806</v>
      </c>
      <c r="C43" s="1" t="n">
        <v>45923</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33044-2024</t>
        </is>
      </c>
      <c r="B44" s="1" t="n">
        <v>45517</v>
      </c>
      <c r="C44" s="1" t="n">
        <v>45923</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12752-2024</t>
        </is>
      </c>
      <c r="B45" s="1" t="n">
        <v>45384</v>
      </c>
      <c r="C45" s="1" t="n">
        <v>45923</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45923</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45923</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52190-2020</t>
        </is>
      </c>
      <c r="B48" s="1" t="n">
        <v>44111</v>
      </c>
      <c r="C48" s="1" t="n">
        <v>45923</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27571-2025</t>
        </is>
      </c>
      <c r="B49" s="1" t="n">
        <v>45813.49040509259</v>
      </c>
      <c r="C49" s="1" t="n">
        <v>45923</v>
      </c>
      <c r="D49" t="inlineStr">
        <is>
          <t>JÄMTLANDS LÄN</t>
        </is>
      </c>
      <c r="E49" t="inlineStr">
        <is>
          <t>BERG</t>
        </is>
      </c>
      <c r="F49" t="inlineStr">
        <is>
          <t>SCA</t>
        </is>
      </c>
      <c r="G49" t="n">
        <v>20.7</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31719-2022</t>
        </is>
      </c>
      <c r="B50" s="1" t="n">
        <v>44776</v>
      </c>
      <c r="C50" s="1" t="n">
        <v>45923</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37398-2022</t>
        </is>
      </c>
      <c r="B51" s="1" t="n">
        <v>44806</v>
      </c>
      <c r="C51" s="1" t="n">
        <v>45923</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49626-2024</t>
        </is>
      </c>
      <c r="B52" s="1" t="n">
        <v>45596.59109953704</v>
      </c>
      <c r="C52" s="1" t="n">
        <v>45923</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17078-2024</t>
        </is>
      </c>
      <c r="B53" s="1" t="n">
        <v>45412</v>
      </c>
      <c r="C53" s="1" t="n">
        <v>45923</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16508-2021</t>
        </is>
      </c>
      <c r="B54" s="1" t="n">
        <v>44293</v>
      </c>
      <c r="C54" s="1" t="n">
        <v>45923</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24670-2025</t>
        </is>
      </c>
      <c r="B55" s="1" t="n">
        <v>45798.64947916667</v>
      </c>
      <c r="C55" s="1" t="n">
        <v>45923</v>
      </c>
      <c r="D55" t="inlineStr">
        <is>
          <t>JÄMTLANDS LÄN</t>
        </is>
      </c>
      <c r="E55" t="inlineStr">
        <is>
          <t>BERG</t>
        </is>
      </c>
      <c r="G55" t="n">
        <v>8.800000000000001</v>
      </c>
      <c r="H55" t="n">
        <v>1</v>
      </c>
      <c r="I55" t="n">
        <v>2</v>
      </c>
      <c r="J55" t="n">
        <v>2</v>
      </c>
      <c r="K55" t="n">
        <v>1</v>
      </c>
      <c r="L55" t="n">
        <v>0</v>
      </c>
      <c r="M55" t="n">
        <v>0</v>
      </c>
      <c r="N55" t="n">
        <v>0</v>
      </c>
      <c r="O55" t="n">
        <v>3</v>
      </c>
      <c r="P55" t="n">
        <v>1</v>
      </c>
      <c r="Q55" t="n">
        <v>6</v>
      </c>
      <c r="R55" s="2" t="inlineStr">
        <is>
          <t>Rynkskinn
Garnlav
Lunglav
Flagellkvastmossa
Vågbandad barkbock
Revlummer</t>
        </is>
      </c>
      <c r="S55">
        <f>HYPERLINK("https://klasma.github.io/Logging_2326/artfynd/A 24670-2025 artfynd.xlsx", "A 24670-2025")</f>
        <v/>
      </c>
      <c r="T55">
        <f>HYPERLINK("https://klasma.github.io/Logging_2326/kartor/A 24670-2025 karta.png", "A 24670-2025")</f>
        <v/>
      </c>
      <c r="V55">
        <f>HYPERLINK("https://klasma.github.io/Logging_2326/klagomål/A 24670-2025 FSC-klagomål.docx", "A 24670-2025")</f>
        <v/>
      </c>
      <c r="W55">
        <f>HYPERLINK("https://klasma.github.io/Logging_2326/klagomålsmail/A 24670-2025 FSC-klagomål mail.docx", "A 24670-2025")</f>
        <v/>
      </c>
      <c r="X55">
        <f>HYPERLINK("https://klasma.github.io/Logging_2326/tillsyn/A 24670-2025 tillsynsbegäran.docx", "A 24670-2025")</f>
        <v/>
      </c>
      <c r="Y55">
        <f>HYPERLINK("https://klasma.github.io/Logging_2326/tillsynsmail/A 24670-2025 tillsynsbegäran mail.docx", "A 24670-2025")</f>
        <v/>
      </c>
    </row>
    <row r="56" ht="15" customHeight="1">
      <c r="A56" t="inlineStr">
        <is>
          <t>A 27957-2025</t>
        </is>
      </c>
      <c r="B56" s="1" t="n">
        <v>45817.53871527778</v>
      </c>
      <c r="C56" s="1" t="n">
        <v>45923</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54406-2023</t>
        </is>
      </c>
      <c r="B57" s="1" t="n">
        <v>45233.38612268519</v>
      </c>
      <c r="C57" s="1" t="n">
        <v>45923</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12431-2025</t>
        </is>
      </c>
      <c r="B58" s="1" t="n">
        <v>45730</v>
      </c>
      <c r="C58" s="1" t="n">
        <v>45923</v>
      </c>
      <c r="D58" t="inlineStr">
        <is>
          <t>JÄMTLANDS LÄN</t>
        </is>
      </c>
      <c r="E58" t="inlineStr">
        <is>
          <t>BERG</t>
        </is>
      </c>
      <c r="G58" t="n">
        <v>21.9</v>
      </c>
      <c r="H58" t="n">
        <v>1</v>
      </c>
      <c r="I58" t="n">
        <v>0</v>
      </c>
      <c r="J58" t="n">
        <v>5</v>
      </c>
      <c r="K58" t="n">
        <v>1</v>
      </c>
      <c r="L58" t="n">
        <v>0</v>
      </c>
      <c r="M58" t="n">
        <v>0</v>
      </c>
      <c r="N58" t="n">
        <v>0</v>
      </c>
      <c r="O58" t="n">
        <v>6</v>
      </c>
      <c r="P58" t="n">
        <v>1</v>
      </c>
      <c r="Q58" t="n">
        <v>6</v>
      </c>
      <c r="R58" s="2" t="inlineStr">
        <is>
          <t>Sprickporing
Doftskinn
Garnlav
Knottrig blåslav
Tretåig hackspett
Ullticka</t>
        </is>
      </c>
      <c r="S58">
        <f>HYPERLINK("https://klasma.github.io/Logging_2326/artfynd/A 12431-2025 artfynd.xlsx", "A 12431-2025")</f>
        <v/>
      </c>
      <c r="T58">
        <f>HYPERLINK("https://klasma.github.io/Logging_2326/kartor/A 12431-2025 karta.png", "A 12431-2025")</f>
        <v/>
      </c>
      <c r="V58">
        <f>HYPERLINK("https://klasma.github.io/Logging_2326/klagomål/A 12431-2025 FSC-klagomål.docx", "A 12431-2025")</f>
        <v/>
      </c>
      <c r="W58">
        <f>HYPERLINK("https://klasma.github.io/Logging_2326/klagomålsmail/A 12431-2025 FSC-klagomål mail.docx", "A 12431-2025")</f>
        <v/>
      </c>
      <c r="X58">
        <f>HYPERLINK("https://klasma.github.io/Logging_2326/tillsyn/A 12431-2025 tillsynsbegäran.docx", "A 12431-2025")</f>
        <v/>
      </c>
      <c r="Y58">
        <f>HYPERLINK("https://klasma.github.io/Logging_2326/tillsynsmail/A 12431-2025 tillsynsbegäran mail.docx", "A 12431-2025")</f>
        <v/>
      </c>
      <c r="Z58">
        <f>HYPERLINK("https://klasma.github.io/Logging_2326/fåglar/A 12431-2025 prioriterade fågelarter.docx", "A 12431-2025")</f>
        <v/>
      </c>
    </row>
    <row r="59" ht="15" customHeight="1">
      <c r="A59" t="inlineStr">
        <is>
          <t>A 12973-2024</t>
        </is>
      </c>
      <c r="B59" s="1" t="n">
        <v>45385.51104166666</v>
      </c>
      <c r="C59" s="1" t="n">
        <v>45923</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40860-2025</t>
        </is>
      </c>
      <c r="B60" s="1" t="n">
        <v>45897.56300925926</v>
      </c>
      <c r="C60" s="1" t="n">
        <v>45923</v>
      </c>
      <c r="D60" t="inlineStr">
        <is>
          <t>JÄMTLANDS LÄN</t>
        </is>
      </c>
      <c r="E60" t="inlineStr">
        <is>
          <t>BERG</t>
        </is>
      </c>
      <c r="G60" t="n">
        <v>1.6</v>
      </c>
      <c r="H60" t="n">
        <v>0</v>
      </c>
      <c r="I60" t="n">
        <v>2</v>
      </c>
      <c r="J60" t="n">
        <v>3</v>
      </c>
      <c r="K60" t="n">
        <v>0</v>
      </c>
      <c r="L60" t="n">
        <v>0</v>
      </c>
      <c r="M60" t="n">
        <v>0</v>
      </c>
      <c r="N60" t="n">
        <v>0</v>
      </c>
      <c r="O60" t="n">
        <v>3</v>
      </c>
      <c r="P60" t="n">
        <v>0</v>
      </c>
      <c r="Q60" t="n">
        <v>5</v>
      </c>
      <c r="R60" s="2" t="inlineStr">
        <is>
          <t>Garnlav
Lunglav
Skrovellav
Luddlav
Stuplav</t>
        </is>
      </c>
      <c r="S60">
        <f>HYPERLINK("https://klasma.github.io/Logging_2326/artfynd/A 40860-2025 artfynd.xlsx", "A 40860-2025")</f>
        <v/>
      </c>
      <c r="T60">
        <f>HYPERLINK("https://klasma.github.io/Logging_2326/kartor/A 40860-2025 karta.png", "A 40860-2025")</f>
        <v/>
      </c>
      <c r="V60">
        <f>HYPERLINK("https://klasma.github.io/Logging_2326/klagomål/A 40860-2025 FSC-klagomål.docx", "A 40860-2025")</f>
        <v/>
      </c>
      <c r="W60">
        <f>HYPERLINK("https://klasma.github.io/Logging_2326/klagomålsmail/A 40860-2025 FSC-klagomål mail.docx", "A 40860-2025")</f>
        <v/>
      </c>
      <c r="X60">
        <f>HYPERLINK("https://klasma.github.io/Logging_2326/tillsyn/A 40860-2025 tillsynsbegäran.docx", "A 40860-2025")</f>
        <v/>
      </c>
      <c r="Y60">
        <f>HYPERLINK("https://klasma.github.io/Logging_2326/tillsynsmail/A 40860-2025 tillsynsbegäran mail.docx", "A 40860-2025")</f>
        <v/>
      </c>
    </row>
    <row r="61" ht="15" customHeight="1">
      <c r="A61" t="inlineStr">
        <is>
          <t>A 24204-2024</t>
        </is>
      </c>
      <c r="B61" s="1" t="n">
        <v>45456</v>
      </c>
      <c r="C61" s="1" t="n">
        <v>45923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12966-2024</t>
        </is>
      </c>
      <c r="B62" s="1" t="n">
        <v>45385.50025462963</v>
      </c>
      <c r="C62" s="1" t="n">
        <v>45923</v>
      </c>
      <c r="D62" t="inlineStr">
        <is>
          <t>JÄMTLANDS LÄN</t>
        </is>
      </c>
      <c r="E62" t="inlineStr">
        <is>
          <t>BERG</t>
        </is>
      </c>
      <c r="G62" t="n">
        <v>6.3</v>
      </c>
      <c r="H62" t="n">
        <v>1</v>
      </c>
      <c r="I62" t="n">
        <v>0</v>
      </c>
      <c r="J62" t="n">
        <v>5</v>
      </c>
      <c r="K62" t="n">
        <v>0</v>
      </c>
      <c r="L62" t="n">
        <v>0</v>
      </c>
      <c r="M62" t="n">
        <v>0</v>
      </c>
      <c r="N62" t="n">
        <v>0</v>
      </c>
      <c r="O62" t="n">
        <v>5</v>
      </c>
      <c r="P62" t="n">
        <v>0</v>
      </c>
      <c r="Q62" t="n">
        <v>5</v>
      </c>
      <c r="R62" s="2" t="inlineStr">
        <is>
          <t>Garnlav
Granticka
Lunglav
Skrovellav
Tretåig hackspett</t>
        </is>
      </c>
      <c r="S62">
        <f>HYPERLINK("https://klasma.github.io/Logging_2326/artfynd/A 12966-2024 artfynd.xlsx", "A 12966-2024")</f>
        <v/>
      </c>
      <c r="T62">
        <f>HYPERLINK("https://klasma.github.io/Logging_2326/kartor/A 12966-2024 karta.png", "A 12966-2024")</f>
        <v/>
      </c>
      <c r="V62">
        <f>HYPERLINK("https://klasma.github.io/Logging_2326/klagomål/A 12966-2024 FSC-klagomål.docx", "A 12966-2024")</f>
        <v/>
      </c>
      <c r="W62">
        <f>HYPERLINK("https://klasma.github.io/Logging_2326/klagomålsmail/A 12966-2024 FSC-klagomål mail.docx", "A 12966-2024")</f>
        <v/>
      </c>
      <c r="X62">
        <f>HYPERLINK("https://klasma.github.io/Logging_2326/tillsyn/A 12966-2024 tillsynsbegäran.docx", "A 12966-2024")</f>
        <v/>
      </c>
      <c r="Y62">
        <f>HYPERLINK("https://klasma.github.io/Logging_2326/tillsynsmail/A 12966-2024 tillsynsbegäran mail.docx", "A 12966-2024")</f>
        <v/>
      </c>
      <c r="Z62">
        <f>HYPERLINK("https://klasma.github.io/Logging_2326/fåglar/A 12966-2024 prioriterade fågelarter.docx", "A 12966-2024")</f>
        <v/>
      </c>
    </row>
    <row r="63" ht="15" customHeight="1">
      <c r="A63" t="inlineStr">
        <is>
          <t>A 54841-2022</t>
        </is>
      </c>
      <c r="B63" s="1" t="n">
        <v>44883</v>
      </c>
      <c r="C63" s="1" t="n">
        <v>45923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56203-2021</t>
        </is>
      </c>
      <c r="B64" s="1" t="n">
        <v>44477</v>
      </c>
      <c r="C64" s="1" t="n">
        <v>45923</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45923</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19530-2025</t>
        </is>
      </c>
      <c r="B66" s="1" t="n">
        <v>45770.46903935185</v>
      </c>
      <c r="C66" s="1" t="n">
        <v>45923</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28659-2025</t>
        </is>
      </c>
      <c r="B67" s="1" t="n">
        <v>45819.65783564815</v>
      </c>
      <c r="C67" s="1" t="n">
        <v>45923</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39288-2025</t>
        </is>
      </c>
      <c r="B68" s="1" t="n">
        <v>45889.40723379629</v>
      </c>
      <c r="C68" s="1" t="n">
        <v>45923</v>
      </c>
      <c r="D68" t="inlineStr">
        <is>
          <t>JÄMTLANDS LÄN</t>
        </is>
      </c>
      <c r="E68" t="inlineStr">
        <is>
          <t>BERG</t>
        </is>
      </c>
      <c r="G68" t="n">
        <v>10.3</v>
      </c>
      <c r="H68" t="n">
        <v>1</v>
      </c>
      <c r="I68" t="n">
        <v>0</v>
      </c>
      <c r="J68" t="n">
        <v>4</v>
      </c>
      <c r="K68" t="n">
        <v>1</v>
      </c>
      <c r="L68" t="n">
        <v>0</v>
      </c>
      <c r="M68" t="n">
        <v>0</v>
      </c>
      <c r="N68" t="n">
        <v>0</v>
      </c>
      <c r="O68" t="n">
        <v>5</v>
      </c>
      <c r="P68" t="n">
        <v>1</v>
      </c>
      <c r="Q68" t="n">
        <v>5</v>
      </c>
      <c r="R68" s="2" t="inlineStr">
        <is>
          <t>Smalskaftslav
Brunpudrad nållav
Granticka
Spillkråka
Ullticka</t>
        </is>
      </c>
      <c r="S68">
        <f>HYPERLINK("https://klasma.github.io/Logging_2326/artfynd/A 39288-2025 artfynd.xlsx", "A 39288-2025")</f>
        <v/>
      </c>
      <c r="T68">
        <f>HYPERLINK("https://klasma.github.io/Logging_2326/kartor/A 39288-2025 karta.png", "A 39288-2025")</f>
        <v/>
      </c>
      <c r="U68">
        <f>HYPERLINK("https://klasma.github.io/Logging_2326/knärot/A 39288-2025 karta knärot.png", "A 39288-2025")</f>
        <v/>
      </c>
      <c r="V68">
        <f>HYPERLINK("https://klasma.github.io/Logging_2326/klagomål/A 39288-2025 FSC-klagomål.docx", "A 39288-2025")</f>
        <v/>
      </c>
      <c r="W68">
        <f>HYPERLINK("https://klasma.github.io/Logging_2326/klagomålsmail/A 39288-2025 FSC-klagomål mail.docx", "A 39288-2025")</f>
        <v/>
      </c>
      <c r="X68">
        <f>HYPERLINK("https://klasma.github.io/Logging_2326/tillsyn/A 39288-2025 tillsynsbegäran.docx", "A 39288-2025")</f>
        <v/>
      </c>
      <c r="Y68">
        <f>HYPERLINK("https://klasma.github.io/Logging_2326/tillsynsmail/A 39288-2025 tillsynsbegäran mail.docx", "A 39288-2025")</f>
        <v/>
      </c>
      <c r="Z68">
        <f>HYPERLINK("https://klasma.github.io/Logging_2326/fåglar/A 39288-2025 prioriterade fågelarter.docx", "A 39288-2025")</f>
        <v/>
      </c>
    </row>
    <row r="69" ht="15" customHeight="1">
      <c r="A69" t="inlineStr">
        <is>
          <t>A 39281-2025</t>
        </is>
      </c>
      <c r="B69" s="1" t="n">
        <v>45889.40315972222</v>
      </c>
      <c r="C69" s="1" t="n">
        <v>45923</v>
      </c>
      <c r="D69" t="inlineStr">
        <is>
          <t>JÄMTLANDS LÄN</t>
        </is>
      </c>
      <c r="E69" t="inlineStr">
        <is>
          <t>BERG</t>
        </is>
      </c>
      <c r="G69" t="n">
        <v>4.1</v>
      </c>
      <c r="H69" t="n">
        <v>1</v>
      </c>
      <c r="I69" t="n">
        <v>1</v>
      </c>
      <c r="J69" t="n">
        <v>3</v>
      </c>
      <c r="K69" t="n">
        <v>0</v>
      </c>
      <c r="L69" t="n">
        <v>0</v>
      </c>
      <c r="M69" t="n">
        <v>0</v>
      </c>
      <c r="N69" t="n">
        <v>0</v>
      </c>
      <c r="O69" t="n">
        <v>3</v>
      </c>
      <c r="P69" t="n">
        <v>0</v>
      </c>
      <c r="Q69" t="n">
        <v>5</v>
      </c>
      <c r="R69" s="2" t="inlineStr">
        <is>
          <t>Garnlav
Lunglav
Ullticka
Stuplav
Lavskrika</t>
        </is>
      </c>
      <c r="S69">
        <f>HYPERLINK("https://klasma.github.io/Logging_2326/artfynd/A 39281-2025 artfynd.xlsx", "A 39281-2025")</f>
        <v/>
      </c>
      <c r="T69">
        <f>HYPERLINK("https://klasma.github.io/Logging_2326/kartor/A 39281-2025 karta.png", "A 39281-2025")</f>
        <v/>
      </c>
      <c r="U69">
        <f>HYPERLINK("https://klasma.github.io/Logging_2326/knärot/A 39281-2025 karta knärot.png", "A 39281-2025")</f>
        <v/>
      </c>
      <c r="V69">
        <f>HYPERLINK("https://klasma.github.io/Logging_2326/klagomål/A 39281-2025 FSC-klagomål.docx", "A 39281-2025")</f>
        <v/>
      </c>
      <c r="W69">
        <f>HYPERLINK("https://klasma.github.io/Logging_2326/klagomålsmail/A 39281-2025 FSC-klagomål mail.docx", "A 39281-2025")</f>
        <v/>
      </c>
      <c r="X69">
        <f>HYPERLINK("https://klasma.github.io/Logging_2326/tillsyn/A 39281-2025 tillsynsbegäran.docx", "A 39281-2025")</f>
        <v/>
      </c>
      <c r="Y69">
        <f>HYPERLINK("https://klasma.github.io/Logging_2326/tillsynsmail/A 39281-2025 tillsynsbegäran mail.docx", "A 39281-2025")</f>
        <v/>
      </c>
      <c r="Z69">
        <f>HYPERLINK("https://klasma.github.io/Logging_2326/fåglar/A 39281-2025 prioriterade fågelarter.docx", "A 39281-2025")</f>
        <v/>
      </c>
    </row>
    <row r="70" ht="15" customHeight="1">
      <c r="A70" t="inlineStr">
        <is>
          <t>A 54979-2021</t>
        </is>
      </c>
      <c r="B70" s="1" t="n">
        <v>44474.53888888889</v>
      </c>
      <c r="C70" s="1" t="n">
        <v>45923</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45923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45923</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45424-2024</t>
        </is>
      </c>
      <c r="B73" s="1" t="n">
        <v>45576.60398148148</v>
      </c>
      <c r="C73" s="1" t="n">
        <v>45923</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27100-2025</t>
        </is>
      </c>
      <c r="B74" s="1" t="n">
        <v>45811.67803240741</v>
      </c>
      <c r="C74" s="1" t="n">
        <v>45923</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38156-2024</t>
        </is>
      </c>
      <c r="B75" s="1" t="n">
        <v>45545</v>
      </c>
      <c r="C75" s="1" t="n">
        <v>45923</v>
      </c>
      <c r="D75" t="inlineStr">
        <is>
          <t>JÄMTLANDS LÄN</t>
        </is>
      </c>
      <c r="E75" t="inlineStr">
        <is>
          <t>BERG</t>
        </is>
      </c>
      <c r="G75" t="n">
        <v>0.4</v>
      </c>
      <c r="H75" t="n">
        <v>1</v>
      </c>
      <c r="I75" t="n">
        <v>1</v>
      </c>
      <c r="J75" t="n">
        <v>2</v>
      </c>
      <c r="K75" t="n">
        <v>1</v>
      </c>
      <c r="L75" t="n">
        <v>0</v>
      </c>
      <c r="M75" t="n">
        <v>0</v>
      </c>
      <c r="N75" t="n">
        <v>0</v>
      </c>
      <c r="O75" t="n">
        <v>3</v>
      </c>
      <c r="P75" t="n">
        <v>1</v>
      </c>
      <c r="Q75" t="n">
        <v>4</v>
      </c>
      <c r="R75" s="2" t="inlineStr">
        <is>
          <t>Knärot
Garnlav
Tallticka
Vedticka</t>
        </is>
      </c>
      <c r="S75">
        <f>HYPERLINK("https://klasma.github.io/Logging_2326/artfynd/A 38156-2024 artfynd.xlsx", "A 38156-2024")</f>
        <v/>
      </c>
      <c r="T75">
        <f>HYPERLINK("https://klasma.github.io/Logging_2326/kartor/A 38156-2024 karta.png", "A 38156-2024")</f>
        <v/>
      </c>
      <c r="U75">
        <f>HYPERLINK("https://klasma.github.io/Logging_2326/knärot/A 38156-2024 karta knärot.png", "A 38156-2024")</f>
        <v/>
      </c>
      <c r="V75">
        <f>HYPERLINK("https://klasma.github.io/Logging_2326/klagomål/A 38156-2024 FSC-klagomål.docx", "A 38156-2024")</f>
        <v/>
      </c>
      <c r="W75">
        <f>HYPERLINK("https://klasma.github.io/Logging_2326/klagomålsmail/A 38156-2024 FSC-klagomål mail.docx", "A 38156-2024")</f>
        <v/>
      </c>
      <c r="X75">
        <f>HYPERLINK("https://klasma.github.io/Logging_2326/tillsyn/A 38156-2024 tillsynsbegäran.docx", "A 38156-2024")</f>
        <v/>
      </c>
      <c r="Y75">
        <f>HYPERLINK("https://klasma.github.io/Logging_2326/tillsynsmail/A 38156-2024 tillsynsbegäran mail.docx", "A 38156-2024")</f>
        <v/>
      </c>
    </row>
    <row r="76" ht="15" customHeight="1">
      <c r="A76" t="inlineStr">
        <is>
          <t>A 40913-2025</t>
        </is>
      </c>
      <c r="B76" s="1" t="n">
        <v>45897.61719907408</v>
      </c>
      <c r="C76" s="1" t="n">
        <v>45923</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56224-2024</t>
        </is>
      </c>
      <c r="B77" s="1" t="n">
        <v>45624.61491898148</v>
      </c>
      <c r="C77" s="1" t="n">
        <v>45923</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12962-2024</t>
        </is>
      </c>
      <c r="B78" s="1" t="n">
        <v>45385.49314814815</v>
      </c>
      <c r="C78" s="1" t="n">
        <v>45923</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7891-2022</t>
        </is>
      </c>
      <c r="B79" s="1" t="n">
        <v>44607</v>
      </c>
      <c r="C79" s="1" t="n">
        <v>45923</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37381-2022</t>
        </is>
      </c>
      <c r="B80" s="1" t="n">
        <v>44806</v>
      </c>
      <c r="C80" s="1" t="n">
        <v>45923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59823-2022</t>
        </is>
      </c>
      <c r="B81" s="1" t="n">
        <v>44900</v>
      </c>
      <c r="C81" s="1" t="n">
        <v>45923</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25871-2025</t>
        </is>
      </c>
      <c r="B82" s="1" t="n">
        <v>45804.4903125</v>
      </c>
      <c r="C82" s="1" t="n">
        <v>45923</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45923</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13487-2024</t>
        </is>
      </c>
      <c r="B84" s="1" t="n">
        <v>45387</v>
      </c>
      <c r="C84" s="1" t="n">
        <v>45923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31715-2025</t>
        </is>
      </c>
      <c r="B85" s="1" t="n">
        <v>45834.45671296296</v>
      </c>
      <c r="C85" s="1" t="n">
        <v>45923</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45923</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16830-2021</t>
        </is>
      </c>
      <c r="B87" s="1" t="n">
        <v>44293</v>
      </c>
      <c r="C87" s="1" t="n">
        <v>45923</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45923</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35925-2024</t>
        </is>
      </c>
      <c r="B89" s="1" t="n">
        <v>45533.43868055556</v>
      </c>
      <c r="C89" s="1" t="n">
        <v>45923</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47122-2024</t>
        </is>
      </c>
      <c r="B90" s="1" t="n">
        <v>45586.5674074074</v>
      </c>
      <c r="C90" s="1" t="n">
        <v>45923</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12995-2024</t>
        </is>
      </c>
      <c r="B91" s="1" t="n">
        <v>45385.56458333333</v>
      </c>
      <c r="C91" s="1" t="n">
        <v>45923</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54802-2021</t>
        </is>
      </c>
      <c r="B92" s="1" t="n">
        <v>44473</v>
      </c>
      <c r="C92" s="1" t="n">
        <v>45923</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14599-2021</t>
        </is>
      </c>
      <c r="B93" s="1" t="n">
        <v>44279</v>
      </c>
      <c r="C93" s="1" t="n">
        <v>45923</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14218-2021</t>
        </is>
      </c>
      <c r="B94" s="1" t="n">
        <v>44277</v>
      </c>
      <c r="C94" s="1" t="n">
        <v>45923</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37063-2025</t>
        </is>
      </c>
      <c r="B95" s="1" t="n">
        <v>45875.38596064815</v>
      </c>
      <c r="C95" s="1" t="n">
        <v>45923</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68433-2021</t>
        </is>
      </c>
      <c r="B96" s="1" t="n">
        <v>44529</v>
      </c>
      <c r="C96" s="1" t="n">
        <v>45923</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19848-2025</t>
        </is>
      </c>
      <c r="B97" s="1" t="n">
        <v>45771.49020833334</v>
      </c>
      <c r="C97" s="1" t="n">
        <v>45923</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52189-2024</t>
        </is>
      </c>
      <c r="B98" s="1" t="n">
        <v>45608</v>
      </c>
      <c r="C98" s="1" t="n">
        <v>45923</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6784-2022</t>
        </is>
      </c>
      <c r="B99" s="1" t="n">
        <v>44602</v>
      </c>
      <c r="C99" s="1" t="n">
        <v>45923</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3062-2025</t>
        </is>
      </c>
      <c r="B100" s="1" t="n">
        <v>45678</v>
      </c>
      <c r="C100" s="1" t="n">
        <v>45923</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56368-2024</t>
        </is>
      </c>
      <c r="B101" s="1" t="n">
        <v>45625.32978009259</v>
      </c>
      <c r="C101" s="1" t="n">
        <v>45923</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54999-2023</t>
        </is>
      </c>
      <c r="B102" s="1" t="n">
        <v>45236</v>
      </c>
      <c r="C102" s="1" t="n">
        <v>45923</v>
      </c>
      <c r="D102" t="inlineStr">
        <is>
          <t>JÄMTLANDS LÄN</t>
        </is>
      </c>
      <c r="E102" t="inlineStr">
        <is>
          <t>BERG</t>
        </is>
      </c>
      <c r="F102" t="inlineStr">
        <is>
          <t>SCA</t>
        </is>
      </c>
      <c r="G102" t="n">
        <v>2.6</v>
      </c>
      <c r="H102" t="n">
        <v>0</v>
      </c>
      <c r="I102" t="n">
        <v>0</v>
      </c>
      <c r="J102" t="n">
        <v>2</v>
      </c>
      <c r="K102" t="n">
        <v>1</v>
      </c>
      <c r="L102" t="n">
        <v>0</v>
      </c>
      <c r="M102" t="n">
        <v>0</v>
      </c>
      <c r="N102" t="n">
        <v>0</v>
      </c>
      <c r="O102" t="n">
        <v>3</v>
      </c>
      <c r="P102" t="n">
        <v>1</v>
      </c>
      <c r="Q102" t="n">
        <v>3</v>
      </c>
      <c r="R102" s="2" t="inlineStr">
        <is>
          <t>Gräddporing
Blågrå svartspik
Dvärgbägarlav</t>
        </is>
      </c>
      <c r="S102">
        <f>HYPERLINK("https://klasma.github.io/Logging_2326/artfynd/A 54999-2023 artfynd.xlsx", "A 54999-2023")</f>
        <v/>
      </c>
      <c r="T102">
        <f>HYPERLINK("https://klasma.github.io/Logging_2326/kartor/A 54999-2023 karta.png", "A 54999-2023")</f>
        <v/>
      </c>
      <c r="V102">
        <f>HYPERLINK("https://klasma.github.io/Logging_2326/klagomål/A 54999-2023 FSC-klagomål.docx", "A 54999-2023")</f>
        <v/>
      </c>
      <c r="W102">
        <f>HYPERLINK("https://klasma.github.io/Logging_2326/klagomålsmail/A 54999-2023 FSC-klagomål mail.docx", "A 54999-2023")</f>
        <v/>
      </c>
      <c r="X102">
        <f>HYPERLINK("https://klasma.github.io/Logging_2326/tillsyn/A 54999-2023 tillsynsbegäran.docx", "A 54999-2023")</f>
        <v/>
      </c>
      <c r="Y102">
        <f>HYPERLINK("https://klasma.github.io/Logging_2326/tillsynsmail/A 54999-2023 tillsynsbegäran mail.docx", "A 54999-2023")</f>
        <v/>
      </c>
    </row>
    <row r="103" ht="15" customHeight="1">
      <c r="A103" t="inlineStr">
        <is>
          <t>A 20242-2025</t>
        </is>
      </c>
      <c r="B103" s="1" t="n">
        <v>45772.69864583333</v>
      </c>
      <c r="C103" s="1" t="n">
        <v>45923</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51950-2021</t>
        </is>
      </c>
      <c r="B104" s="1" t="n">
        <v>44462.9562037037</v>
      </c>
      <c r="C104" s="1" t="n">
        <v>45923</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45923</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14588-2021</t>
        </is>
      </c>
      <c r="B106" s="1" t="n">
        <v>44279</v>
      </c>
      <c r="C106" s="1" t="n">
        <v>45923</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55331-2023</t>
        </is>
      </c>
      <c r="B107" s="1" t="n">
        <v>45237</v>
      </c>
      <c r="C107" s="1" t="n">
        <v>45923</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42120-2025</t>
        </is>
      </c>
      <c r="B108" s="1" t="n">
        <v>45904.34236111111</v>
      </c>
      <c r="C108" s="1" t="n">
        <v>45923</v>
      </c>
      <c r="D108" t="inlineStr">
        <is>
          <t>JÄMTLANDS LÄN</t>
        </is>
      </c>
      <c r="E108" t="inlineStr">
        <is>
          <t>BERG</t>
        </is>
      </c>
      <c r="F108" t="inlineStr">
        <is>
          <t>Sveaskog</t>
        </is>
      </c>
      <c r="G108" t="n">
        <v>4.5</v>
      </c>
      <c r="H108" t="n">
        <v>0</v>
      </c>
      <c r="I108" t="n">
        <v>0</v>
      </c>
      <c r="J108" t="n">
        <v>2</v>
      </c>
      <c r="K108" t="n">
        <v>0</v>
      </c>
      <c r="L108" t="n">
        <v>0</v>
      </c>
      <c r="M108" t="n">
        <v>0</v>
      </c>
      <c r="N108" t="n">
        <v>0</v>
      </c>
      <c r="O108" t="n">
        <v>2</v>
      </c>
      <c r="P108" t="n">
        <v>0</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8734-2025</t>
        </is>
      </c>
      <c r="B109" s="1" t="n">
        <v>45712.53209490741</v>
      </c>
      <c r="C109" s="1" t="n">
        <v>45923</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10133-2023</t>
        </is>
      </c>
      <c r="B110" s="1" t="n">
        <v>44986</v>
      </c>
      <c r="C110" s="1" t="n">
        <v>45923</v>
      </c>
      <c r="D110" t="inlineStr">
        <is>
          <t>JÄMTLANDS LÄN</t>
        </is>
      </c>
      <c r="E110" t="inlineStr">
        <is>
          <t>BERG</t>
        </is>
      </c>
      <c r="F110" t="inlineStr">
        <is>
          <t>Holmen skog AB</t>
        </is>
      </c>
      <c r="G110" t="n">
        <v>3</v>
      </c>
      <c r="H110" t="n">
        <v>0</v>
      </c>
      <c r="I110" t="n">
        <v>0</v>
      </c>
      <c r="J110" t="n">
        <v>2</v>
      </c>
      <c r="K110" t="n">
        <v>0</v>
      </c>
      <c r="L110" t="n">
        <v>0</v>
      </c>
      <c r="M110" t="n">
        <v>0</v>
      </c>
      <c r="N110" t="n">
        <v>0</v>
      </c>
      <c r="O110" t="n">
        <v>2</v>
      </c>
      <c r="P110" t="n">
        <v>0</v>
      </c>
      <c r="Q110" t="n">
        <v>2</v>
      </c>
      <c r="R110" s="2" t="inlineStr">
        <is>
          <t>Garnlav
Vitgrynig nållav</t>
        </is>
      </c>
      <c r="S110">
        <f>HYPERLINK("https://klasma.github.io/Logging_2326/artfynd/A 10133-2023 artfynd.xlsx", "A 10133-2023")</f>
        <v/>
      </c>
      <c r="T110">
        <f>HYPERLINK("https://klasma.github.io/Logging_2326/kartor/A 10133-2023 karta.png", "A 10133-2023")</f>
        <v/>
      </c>
      <c r="V110">
        <f>HYPERLINK("https://klasma.github.io/Logging_2326/klagomål/A 10133-2023 FSC-klagomål.docx", "A 10133-2023")</f>
        <v/>
      </c>
      <c r="W110">
        <f>HYPERLINK("https://klasma.github.io/Logging_2326/klagomålsmail/A 10133-2023 FSC-klagomål mail.docx", "A 10133-2023")</f>
        <v/>
      </c>
      <c r="X110">
        <f>HYPERLINK("https://klasma.github.io/Logging_2326/tillsyn/A 10133-2023 tillsynsbegäran.docx", "A 10133-2023")</f>
        <v/>
      </c>
      <c r="Y110">
        <f>HYPERLINK("https://klasma.github.io/Logging_2326/tillsynsmail/A 10133-2023 tillsynsbegäran mail.docx", "A 10133-2023")</f>
        <v/>
      </c>
    </row>
    <row r="111" ht="15" customHeight="1">
      <c r="A111" t="inlineStr">
        <is>
          <t>A 59786-2020</t>
        </is>
      </c>
      <c r="B111" s="1" t="n">
        <v>44148</v>
      </c>
      <c r="C111" s="1" t="n">
        <v>45923</v>
      </c>
      <c r="D111" t="inlineStr">
        <is>
          <t>JÄMTLANDS LÄN</t>
        </is>
      </c>
      <c r="E111" t="inlineStr">
        <is>
          <t>BERG</t>
        </is>
      </c>
      <c r="F111" t="inlineStr">
        <is>
          <t>Kommuner</t>
        </is>
      </c>
      <c r="G111" t="n">
        <v>9.1</v>
      </c>
      <c r="H111" t="n">
        <v>0</v>
      </c>
      <c r="I111" t="n">
        <v>0</v>
      </c>
      <c r="J111" t="n">
        <v>2</v>
      </c>
      <c r="K111" t="n">
        <v>0</v>
      </c>
      <c r="L111" t="n">
        <v>0</v>
      </c>
      <c r="M111" t="n">
        <v>0</v>
      </c>
      <c r="N111" t="n">
        <v>0</v>
      </c>
      <c r="O111" t="n">
        <v>2</v>
      </c>
      <c r="P111" t="n">
        <v>0</v>
      </c>
      <c r="Q111" t="n">
        <v>2</v>
      </c>
      <c r="R111" s="2" t="inlineStr">
        <is>
          <t>Gränsticka
Rosenticka</t>
        </is>
      </c>
      <c r="S111">
        <f>HYPERLINK("https://klasma.github.io/Logging_2326/artfynd/A 59786-2020 artfynd.xlsx", "A 59786-2020")</f>
        <v/>
      </c>
      <c r="T111">
        <f>HYPERLINK("https://klasma.github.io/Logging_2326/kartor/A 59786-2020 karta.png", "A 59786-2020")</f>
        <v/>
      </c>
      <c r="V111">
        <f>HYPERLINK("https://klasma.github.io/Logging_2326/klagomål/A 59786-2020 FSC-klagomål.docx", "A 59786-2020")</f>
        <v/>
      </c>
      <c r="W111">
        <f>HYPERLINK("https://klasma.github.io/Logging_2326/klagomålsmail/A 59786-2020 FSC-klagomål mail.docx", "A 59786-2020")</f>
        <v/>
      </c>
      <c r="X111">
        <f>HYPERLINK("https://klasma.github.io/Logging_2326/tillsyn/A 59786-2020 tillsynsbegäran.docx", "A 59786-2020")</f>
        <v/>
      </c>
      <c r="Y111">
        <f>HYPERLINK("https://klasma.github.io/Logging_2326/tillsynsmail/A 59786-2020 tillsynsbegäran mail.docx", "A 59786-2020")</f>
        <v/>
      </c>
    </row>
    <row r="112" ht="15" customHeight="1">
      <c r="A112" t="inlineStr">
        <is>
          <t>A 33009-2024</t>
        </is>
      </c>
      <c r="B112" s="1" t="n">
        <v>45517.50332175926</v>
      </c>
      <c r="C112" s="1" t="n">
        <v>45923</v>
      </c>
      <c r="D112" t="inlineStr">
        <is>
          <t>JÄMTLANDS LÄN</t>
        </is>
      </c>
      <c r="E112" t="inlineStr">
        <is>
          <t>BERG</t>
        </is>
      </c>
      <c r="G112" t="n">
        <v>2.7</v>
      </c>
      <c r="H112" t="n">
        <v>1</v>
      </c>
      <c r="I112" t="n">
        <v>0</v>
      </c>
      <c r="J112" t="n">
        <v>2</v>
      </c>
      <c r="K112" t="n">
        <v>0</v>
      </c>
      <c r="L112" t="n">
        <v>0</v>
      </c>
      <c r="M112" t="n">
        <v>0</v>
      </c>
      <c r="N112" t="n">
        <v>0</v>
      </c>
      <c r="O112" t="n">
        <v>2</v>
      </c>
      <c r="P112" t="n">
        <v>0</v>
      </c>
      <c r="Q112" t="n">
        <v>2</v>
      </c>
      <c r="R112" s="2" t="inlineStr">
        <is>
          <t>Garnlav
Talltita</t>
        </is>
      </c>
      <c r="S112">
        <f>HYPERLINK("https://klasma.github.io/Logging_2326/artfynd/A 33009-2024 artfynd.xlsx", "A 33009-2024")</f>
        <v/>
      </c>
      <c r="T112">
        <f>HYPERLINK("https://klasma.github.io/Logging_2326/kartor/A 33009-2024 karta.png", "A 33009-2024")</f>
        <v/>
      </c>
      <c r="V112">
        <f>HYPERLINK("https://klasma.github.io/Logging_2326/klagomål/A 33009-2024 FSC-klagomål.docx", "A 33009-2024")</f>
        <v/>
      </c>
      <c r="W112">
        <f>HYPERLINK("https://klasma.github.io/Logging_2326/klagomålsmail/A 33009-2024 FSC-klagomål mail.docx", "A 33009-2024")</f>
        <v/>
      </c>
      <c r="X112">
        <f>HYPERLINK("https://klasma.github.io/Logging_2326/tillsyn/A 33009-2024 tillsynsbegäran.docx", "A 33009-2024")</f>
        <v/>
      </c>
      <c r="Y112">
        <f>HYPERLINK("https://klasma.github.io/Logging_2326/tillsynsmail/A 33009-2024 tillsynsbegäran mail.docx", "A 33009-2024")</f>
        <v/>
      </c>
      <c r="Z112">
        <f>HYPERLINK("https://klasma.github.io/Logging_2326/fåglar/A 33009-2024 prioriterade fågelarter.docx", "A 33009-2024")</f>
        <v/>
      </c>
    </row>
    <row r="113" ht="15" customHeight="1">
      <c r="A113" t="inlineStr">
        <is>
          <t>A 37387-2022</t>
        </is>
      </c>
      <c r="B113" s="1" t="n">
        <v>44806</v>
      </c>
      <c r="C113" s="1" t="n">
        <v>45923</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48880-2023</t>
        </is>
      </c>
      <c r="B114" s="1" t="n">
        <v>45209</v>
      </c>
      <c r="C114" s="1" t="n">
        <v>45923</v>
      </c>
      <c r="D114" t="inlineStr">
        <is>
          <t>JÄMTLANDS LÄN</t>
        </is>
      </c>
      <c r="E114" t="inlineStr">
        <is>
          <t>BERG</t>
        </is>
      </c>
      <c r="F114" t="inlineStr">
        <is>
          <t>Naturvårdsverket</t>
        </is>
      </c>
      <c r="G114" t="n">
        <v>5.5</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27919-2024</t>
        </is>
      </c>
      <c r="B115" s="1" t="n">
        <v>45475.94865740741</v>
      </c>
      <c r="C115" s="1" t="n">
        <v>45923</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14344-2025</t>
        </is>
      </c>
      <c r="B116" s="1" t="n">
        <v>45741</v>
      </c>
      <c r="C116" s="1" t="n">
        <v>45923</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21518-2025</t>
        </is>
      </c>
      <c r="B117" s="1" t="n">
        <v>45782</v>
      </c>
      <c r="C117" s="1" t="n">
        <v>45923</v>
      </c>
      <c r="D117" t="inlineStr">
        <is>
          <t>JÄMTLANDS LÄN</t>
        </is>
      </c>
      <c r="E117" t="inlineStr">
        <is>
          <t>BERG</t>
        </is>
      </c>
      <c r="F117" t="inlineStr">
        <is>
          <t>SCA</t>
        </is>
      </c>
      <c r="G117" t="n">
        <v>3.6</v>
      </c>
      <c r="H117" t="n">
        <v>0</v>
      </c>
      <c r="I117" t="n">
        <v>1</v>
      </c>
      <c r="J117" t="n">
        <v>1</v>
      </c>
      <c r="K117" t="n">
        <v>0</v>
      </c>
      <c r="L117" t="n">
        <v>0</v>
      </c>
      <c r="M117" t="n">
        <v>0</v>
      </c>
      <c r="N117" t="n">
        <v>0</v>
      </c>
      <c r="O117" t="n">
        <v>1</v>
      </c>
      <c r="P117" t="n">
        <v>0</v>
      </c>
      <c r="Q117" t="n">
        <v>2</v>
      </c>
      <c r="R117" s="2" t="inlineStr">
        <is>
          <t>Dvärgbägarlav
Skarp dropptaggsvamp</t>
        </is>
      </c>
      <c r="S117">
        <f>HYPERLINK("https://klasma.github.io/Logging_2326/artfynd/A 21518-2025 artfynd.xlsx", "A 21518-2025")</f>
        <v/>
      </c>
      <c r="T117">
        <f>HYPERLINK("https://klasma.github.io/Logging_2326/kartor/A 21518-2025 karta.png", "A 21518-2025")</f>
        <v/>
      </c>
      <c r="V117">
        <f>HYPERLINK("https://klasma.github.io/Logging_2326/klagomål/A 21518-2025 FSC-klagomål.docx", "A 21518-2025")</f>
        <v/>
      </c>
      <c r="W117">
        <f>HYPERLINK("https://klasma.github.io/Logging_2326/klagomålsmail/A 21518-2025 FSC-klagomål mail.docx", "A 21518-2025")</f>
        <v/>
      </c>
      <c r="X117">
        <f>HYPERLINK("https://klasma.github.io/Logging_2326/tillsyn/A 21518-2025 tillsynsbegäran.docx", "A 21518-2025")</f>
        <v/>
      </c>
      <c r="Y117">
        <f>HYPERLINK("https://klasma.github.io/Logging_2326/tillsynsmail/A 21518-2025 tillsynsbegäran mail.docx", "A 21518-2025")</f>
        <v/>
      </c>
    </row>
    <row r="118" ht="15" customHeight="1">
      <c r="A118" t="inlineStr">
        <is>
          <t>A 60333-2024</t>
        </is>
      </c>
      <c r="B118" s="1" t="n">
        <v>45643</v>
      </c>
      <c r="C118" s="1" t="n">
        <v>45923</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12734-2024</t>
        </is>
      </c>
      <c r="B119" s="1" t="n">
        <v>45384</v>
      </c>
      <c r="C119" s="1" t="n">
        <v>45923</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12745-2024</t>
        </is>
      </c>
      <c r="B120" s="1" t="n">
        <v>45384</v>
      </c>
      <c r="C120" s="1" t="n">
        <v>45923</v>
      </c>
      <c r="D120" t="inlineStr">
        <is>
          <t>JÄMTLANDS LÄN</t>
        </is>
      </c>
      <c r="E120" t="inlineStr">
        <is>
          <t>BERG</t>
        </is>
      </c>
      <c r="G120" t="n">
        <v>8.5</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12745-2024 artfynd.xlsx", "A 12745-2024")</f>
        <v/>
      </c>
      <c r="T120">
        <f>HYPERLINK("https://klasma.github.io/Logging_2326/kartor/A 12745-2024 karta.png", "A 12745-2024")</f>
        <v/>
      </c>
      <c r="V120">
        <f>HYPERLINK("https://klasma.github.io/Logging_2326/klagomål/A 12745-2024 FSC-klagomål.docx", "A 12745-2024")</f>
        <v/>
      </c>
      <c r="W120">
        <f>HYPERLINK("https://klasma.github.io/Logging_2326/klagomålsmail/A 12745-2024 FSC-klagomål mail.docx", "A 12745-2024")</f>
        <v/>
      </c>
      <c r="X120">
        <f>HYPERLINK("https://klasma.github.io/Logging_2326/tillsyn/A 12745-2024 tillsynsbegäran.docx", "A 12745-2024")</f>
        <v/>
      </c>
      <c r="Y120">
        <f>HYPERLINK("https://klasma.github.io/Logging_2326/tillsynsmail/A 12745-2024 tillsynsbegäran mail.docx", "A 12745-2024")</f>
        <v/>
      </c>
      <c r="Z120">
        <f>HYPERLINK("https://klasma.github.io/Logging_2326/fåglar/A 12745-2024 prioriterade fågelarter.docx", "A 12745-2024")</f>
        <v/>
      </c>
    </row>
    <row r="121" ht="15" customHeight="1">
      <c r="A121" t="inlineStr">
        <is>
          <t>A 26944-2024</t>
        </is>
      </c>
      <c r="B121" s="1" t="n">
        <v>45470.96880787037</v>
      </c>
      <c r="C121" s="1" t="n">
        <v>45923</v>
      </c>
      <c r="D121" t="inlineStr">
        <is>
          <t>JÄMTLANDS LÄN</t>
        </is>
      </c>
      <c r="E121" t="inlineStr">
        <is>
          <t>BERG</t>
        </is>
      </c>
      <c r="F121" t="inlineStr">
        <is>
          <t>SCA</t>
        </is>
      </c>
      <c r="G121" t="n">
        <v>5.7</v>
      </c>
      <c r="H121" t="n">
        <v>0</v>
      </c>
      <c r="I121" t="n">
        <v>0</v>
      </c>
      <c r="J121" t="n">
        <v>2</v>
      </c>
      <c r="K121" t="n">
        <v>0</v>
      </c>
      <c r="L121" t="n">
        <v>0</v>
      </c>
      <c r="M121" t="n">
        <v>0</v>
      </c>
      <c r="N121" t="n">
        <v>0</v>
      </c>
      <c r="O121" t="n">
        <v>2</v>
      </c>
      <c r="P121" t="n">
        <v>0</v>
      </c>
      <c r="Q121" t="n">
        <v>2</v>
      </c>
      <c r="R121" s="2" t="inlineStr">
        <is>
          <t>Blå taggsvamp
Gammelgransskål</t>
        </is>
      </c>
      <c r="S121">
        <f>HYPERLINK("https://klasma.github.io/Logging_2326/artfynd/A 26944-2024 artfynd.xlsx", "A 26944-2024")</f>
        <v/>
      </c>
      <c r="T121">
        <f>HYPERLINK("https://klasma.github.io/Logging_2326/kartor/A 26944-2024 karta.png", "A 26944-2024")</f>
        <v/>
      </c>
      <c r="V121">
        <f>HYPERLINK("https://klasma.github.io/Logging_2326/klagomål/A 26944-2024 FSC-klagomål.docx", "A 26944-2024")</f>
        <v/>
      </c>
      <c r="W121">
        <f>HYPERLINK("https://klasma.github.io/Logging_2326/klagomålsmail/A 26944-2024 FSC-klagomål mail.docx", "A 26944-2024")</f>
        <v/>
      </c>
      <c r="X121">
        <f>HYPERLINK("https://klasma.github.io/Logging_2326/tillsyn/A 26944-2024 tillsynsbegäran.docx", "A 26944-2024")</f>
        <v/>
      </c>
      <c r="Y121">
        <f>HYPERLINK("https://klasma.github.io/Logging_2326/tillsynsmail/A 26944-2024 tillsynsbegäran mail.docx", "A 26944-2024")</f>
        <v/>
      </c>
    </row>
    <row r="122" ht="15" customHeight="1">
      <c r="A122" t="inlineStr">
        <is>
          <t>A 28769-2024</t>
        </is>
      </c>
      <c r="B122" s="1" t="n">
        <v>45478</v>
      </c>
      <c r="C122" s="1" t="n">
        <v>45923</v>
      </c>
      <c r="D122" t="inlineStr">
        <is>
          <t>JÄMTLANDS LÄN</t>
        </is>
      </c>
      <c r="E122" t="inlineStr">
        <is>
          <t>BERG</t>
        </is>
      </c>
      <c r="F122" t="inlineStr">
        <is>
          <t>Sveaskog</t>
        </is>
      </c>
      <c r="G122" t="n">
        <v>2.2</v>
      </c>
      <c r="H122" t="n">
        <v>1</v>
      </c>
      <c r="I122" t="n">
        <v>0</v>
      </c>
      <c r="J122" t="n">
        <v>1</v>
      </c>
      <c r="K122" t="n">
        <v>0</v>
      </c>
      <c r="L122" t="n">
        <v>0</v>
      </c>
      <c r="M122" t="n">
        <v>0</v>
      </c>
      <c r="N122" t="n">
        <v>0</v>
      </c>
      <c r="O122" t="n">
        <v>1</v>
      </c>
      <c r="P122" t="n">
        <v>0</v>
      </c>
      <c r="Q122" t="n">
        <v>2</v>
      </c>
      <c r="R122" s="2" t="inlineStr">
        <is>
          <t>Lunglav
Fläcknycklar</t>
        </is>
      </c>
      <c r="S122">
        <f>HYPERLINK("https://klasma.github.io/Logging_2326/artfynd/A 28769-2024 artfynd.xlsx", "A 28769-2024")</f>
        <v/>
      </c>
      <c r="T122">
        <f>HYPERLINK("https://klasma.github.io/Logging_2326/kartor/A 28769-2024 karta.png", "A 28769-2024")</f>
        <v/>
      </c>
      <c r="V122">
        <f>HYPERLINK("https://klasma.github.io/Logging_2326/klagomål/A 28769-2024 FSC-klagomål.docx", "A 28769-2024")</f>
        <v/>
      </c>
      <c r="W122">
        <f>HYPERLINK("https://klasma.github.io/Logging_2326/klagomålsmail/A 28769-2024 FSC-klagomål mail.docx", "A 28769-2024")</f>
        <v/>
      </c>
      <c r="X122">
        <f>HYPERLINK("https://klasma.github.io/Logging_2326/tillsyn/A 28769-2024 tillsynsbegäran.docx", "A 28769-2024")</f>
        <v/>
      </c>
      <c r="Y122">
        <f>HYPERLINK("https://klasma.github.io/Logging_2326/tillsynsmail/A 28769-2024 tillsynsbegäran mail.docx", "A 28769-2024")</f>
        <v/>
      </c>
    </row>
    <row r="123" ht="15" customHeight="1">
      <c r="A123" t="inlineStr">
        <is>
          <t>A 26748-2025</t>
        </is>
      </c>
      <c r="B123" s="1" t="n">
        <v>45810.53988425926</v>
      </c>
      <c r="C123" s="1" t="n">
        <v>45923</v>
      </c>
      <c r="D123" t="inlineStr">
        <is>
          <t>JÄMTLANDS LÄN</t>
        </is>
      </c>
      <c r="E123" t="inlineStr">
        <is>
          <t>BERG</t>
        </is>
      </c>
      <c r="G123" t="n">
        <v>17.4</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26748-2025 artfynd.xlsx", "A 26748-2025")</f>
        <v/>
      </c>
      <c r="T123">
        <f>HYPERLINK("https://klasma.github.io/Logging_2326/kartor/A 26748-2025 karta.png", "A 26748-2025")</f>
        <v/>
      </c>
      <c r="V123">
        <f>HYPERLINK("https://klasma.github.io/Logging_2326/klagomål/A 26748-2025 FSC-klagomål.docx", "A 26748-2025")</f>
        <v/>
      </c>
      <c r="W123">
        <f>HYPERLINK("https://klasma.github.io/Logging_2326/klagomålsmail/A 26748-2025 FSC-klagomål mail.docx", "A 26748-2025")</f>
        <v/>
      </c>
      <c r="X123">
        <f>HYPERLINK("https://klasma.github.io/Logging_2326/tillsyn/A 26748-2025 tillsynsbegäran.docx", "A 26748-2025")</f>
        <v/>
      </c>
      <c r="Y123">
        <f>HYPERLINK("https://klasma.github.io/Logging_2326/tillsynsmail/A 26748-2025 tillsynsbegäran mail.docx", "A 26748-2025")</f>
        <v/>
      </c>
      <c r="Z123">
        <f>HYPERLINK("https://klasma.github.io/Logging_2326/fåglar/A 26748-2025 prioriterade fågelarter.docx", "A 26748-2025")</f>
        <v/>
      </c>
    </row>
    <row r="124" ht="15" customHeight="1">
      <c r="A124" t="inlineStr">
        <is>
          <t>A 27647-2025</t>
        </is>
      </c>
      <c r="B124" s="1" t="n">
        <v>45813.59454861111</v>
      </c>
      <c r="C124" s="1" t="n">
        <v>45923</v>
      </c>
      <c r="D124" t="inlineStr">
        <is>
          <t>JÄMTLANDS LÄN</t>
        </is>
      </c>
      <c r="E124" t="inlineStr">
        <is>
          <t>BERG</t>
        </is>
      </c>
      <c r="F124" t="inlineStr">
        <is>
          <t>SCA</t>
        </is>
      </c>
      <c r="G124" t="n">
        <v>3.1</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27647-2025 artfynd.xlsx", "A 27647-2025")</f>
        <v/>
      </c>
      <c r="T124">
        <f>HYPERLINK("https://klasma.github.io/Logging_2326/kartor/A 27647-2025 karta.png", "A 27647-2025")</f>
        <v/>
      </c>
      <c r="V124">
        <f>HYPERLINK("https://klasma.github.io/Logging_2326/klagomål/A 27647-2025 FSC-klagomål.docx", "A 27647-2025")</f>
        <v/>
      </c>
      <c r="W124">
        <f>HYPERLINK("https://klasma.github.io/Logging_2326/klagomålsmail/A 27647-2025 FSC-klagomål mail.docx", "A 27647-2025")</f>
        <v/>
      </c>
      <c r="X124">
        <f>HYPERLINK("https://klasma.github.io/Logging_2326/tillsyn/A 27647-2025 tillsynsbegäran.docx", "A 27647-2025")</f>
        <v/>
      </c>
      <c r="Y124">
        <f>HYPERLINK("https://klasma.github.io/Logging_2326/tillsynsmail/A 27647-2025 tillsynsbegäran mail.docx", "A 27647-2025")</f>
        <v/>
      </c>
    </row>
    <row r="125" ht="15" customHeight="1">
      <c r="A125" t="inlineStr">
        <is>
          <t>A 30334-2024</t>
        </is>
      </c>
      <c r="B125" s="1" t="n">
        <v>45490.95396990741</v>
      </c>
      <c r="C125" s="1" t="n">
        <v>45923</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31709-2025</t>
        </is>
      </c>
      <c r="B126" s="1" t="n">
        <v>45834.42543981481</v>
      </c>
      <c r="C126" s="1" t="n">
        <v>45923</v>
      </c>
      <c r="D126" t="inlineStr">
        <is>
          <t>JÄMTLANDS LÄN</t>
        </is>
      </c>
      <c r="E126" t="inlineStr">
        <is>
          <t>BERG</t>
        </is>
      </c>
      <c r="G126" t="n">
        <v>22.2</v>
      </c>
      <c r="H126" t="n">
        <v>1</v>
      </c>
      <c r="I126" t="n">
        <v>0</v>
      </c>
      <c r="J126" t="n">
        <v>1</v>
      </c>
      <c r="K126" t="n">
        <v>0</v>
      </c>
      <c r="L126" t="n">
        <v>1</v>
      </c>
      <c r="M126" t="n">
        <v>0</v>
      </c>
      <c r="N126" t="n">
        <v>0</v>
      </c>
      <c r="O126" t="n">
        <v>2</v>
      </c>
      <c r="P126" t="n">
        <v>1</v>
      </c>
      <c r="Q126" t="n">
        <v>2</v>
      </c>
      <c r="R126" s="2" t="inlineStr">
        <is>
          <t>Mikroskapania
Platt spretmossa</t>
        </is>
      </c>
      <c r="S126">
        <f>HYPERLINK("https://klasma.github.io/Logging_2326/artfynd/A 31709-2025 artfynd.xlsx", "A 31709-2025")</f>
        <v/>
      </c>
      <c r="T126">
        <f>HYPERLINK("https://klasma.github.io/Logging_2326/kartor/A 31709-2025 karta.png", "A 31709-2025")</f>
        <v/>
      </c>
      <c r="V126">
        <f>HYPERLINK("https://klasma.github.io/Logging_2326/klagomål/A 31709-2025 FSC-klagomål.docx", "A 31709-2025")</f>
        <v/>
      </c>
      <c r="W126">
        <f>HYPERLINK("https://klasma.github.io/Logging_2326/klagomålsmail/A 31709-2025 FSC-klagomål mail.docx", "A 31709-2025")</f>
        <v/>
      </c>
      <c r="X126">
        <f>HYPERLINK("https://klasma.github.io/Logging_2326/tillsyn/A 31709-2025 tillsynsbegäran.docx", "A 31709-2025")</f>
        <v/>
      </c>
      <c r="Y126">
        <f>HYPERLINK("https://klasma.github.io/Logging_2326/tillsynsmail/A 31709-2025 tillsynsbegäran mail.docx", "A 31709-2025")</f>
        <v/>
      </c>
    </row>
    <row r="127" ht="15" customHeight="1">
      <c r="A127" t="inlineStr">
        <is>
          <t>A 19948-2025</t>
        </is>
      </c>
      <c r="B127" s="1" t="n">
        <v>45771.65668981482</v>
      </c>
      <c r="C127" s="1" t="n">
        <v>45923</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16834-2021</t>
        </is>
      </c>
      <c r="B128" s="1" t="n">
        <v>44293</v>
      </c>
      <c r="C128" s="1" t="n">
        <v>45923</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20444-2025</t>
        </is>
      </c>
      <c r="B129" s="1" t="n">
        <v>45775.48989583334</v>
      </c>
      <c r="C129" s="1" t="n">
        <v>45923</v>
      </c>
      <c r="D129" t="inlineStr">
        <is>
          <t>JÄMTLANDS LÄN</t>
        </is>
      </c>
      <c r="E129" t="inlineStr">
        <is>
          <t>BERG</t>
        </is>
      </c>
      <c r="F129" t="inlineStr">
        <is>
          <t>SCA</t>
        </is>
      </c>
      <c r="G129" t="n">
        <v>2.3</v>
      </c>
      <c r="H129" t="n">
        <v>0</v>
      </c>
      <c r="I129" t="n">
        <v>0</v>
      </c>
      <c r="J129" t="n">
        <v>0</v>
      </c>
      <c r="K129" t="n">
        <v>1</v>
      </c>
      <c r="L129" t="n">
        <v>0</v>
      </c>
      <c r="M129" t="n">
        <v>0</v>
      </c>
      <c r="N129" t="n">
        <v>0</v>
      </c>
      <c r="O129" t="n">
        <v>1</v>
      </c>
      <c r="P129" t="n">
        <v>1</v>
      </c>
      <c r="Q129" t="n">
        <v>1</v>
      </c>
      <c r="R129" s="2" t="inlineStr">
        <is>
          <t>Gräddporing</t>
        </is>
      </c>
      <c r="S129">
        <f>HYPERLINK("https://klasma.github.io/Logging_2326/artfynd/A 20444-2025 artfynd.xlsx", "A 20444-2025")</f>
        <v/>
      </c>
      <c r="T129">
        <f>HYPERLINK("https://klasma.github.io/Logging_2326/kartor/A 20444-2025 karta.png", "A 20444-2025")</f>
        <v/>
      </c>
      <c r="V129">
        <f>HYPERLINK("https://klasma.github.io/Logging_2326/klagomål/A 20444-2025 FSC-klagomål.docx", "A 20444-2025")</f>
        <v/>
      </c>
      <c r="W129">
        <f>HYPERLINK("https://klasma.github.io/Logging_2326/klagomålsmail/A 20444-2025 FSC-klagomål mail.docx", "A 20444-2025")</f>
        <v/>
      </c>
      <c r="X129">
        <f>HYPERLINK("https://klasma.github.io/Logging_2326/tillsyn/A 20444-2025 tillsynsbegäran.docx", "A 20444-2025")</f>
        <v/>
      </c>
      <c r="Y129">
        <f>HYPERLINK("https://klasma.github.io/Logging_2326/tillsynsmail/A 20444-2025 tillsynsbegäran mail.docx", "A 20444-2025")</f>
        <v/>
      </c>
    </row>
    <row r="130" ht="15" customHeight="1">
      <c r="A130" t="inlineStr">
        <is>
          <t>A 32686-2022</t>
        </is>
      </c>
      <c r="B130" s="1" t="n">
        <v>44776</v>
      </c>
      <c r="C130" s="1" t="n">
        <v>45923</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41317-2022</t>
        </is>
      </c>
      <c r="B131" s="1" t="n">
        <v>44826</v>
      </c>
      <c r="C131" s="1" t="n">
        <v>45923</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54595-2024</t>
        </is>
      </c>
      <c r="B132" s="1" t="n">
        <v>45617.67353009259</v>
      </c>
      <c r="C132" s="1" t="n">
        <v>45923</v>
      </c>
      <c r="D132" t="inlineStr">
        <is>
          <t>JÄMTLANDS LÄN</t>
        </is>
      </c>
      <c r="E132" t="inlineStr">
        <is>
          <t>BERG</t>
        </is>
      </c>
      <c r="G132" t="n">
        <v>4.4</v>
      </c>
      <c r="H132" t="n">
        <v>1</v>
      </c>
      <c r="I132" t="n">
        <v>0</v>
      </c>
      <c r="J132" t="n">
        <v>0</v>
      </c>
      <c r="K132" t="n">
        <v>0</v>
      </c>
      <c r="L132" t="n">
        <v>0</v>
      </c>
      <c r="M132" t="n">
        <v>0</v>
      </c>
      <c r="N132" t="n">
        <v>0</v>
      </c>
      <c r="O132" t="n">
        <v>0</v>
      </c>
      <c r="P132" t="n">
        <v>0</v>
      </c>
      <c r="Q132" t="n">
        <v>1</v>
      </c>
      <c r="R132" s="2" t="inlineStr">
        <is>
          <t>Tjäder</t>
        </is>
      </c>
      <c r="S132">
        <f>HYPERLINK("https://klasma.github.io/Logging_2326/artfynd/A 54595-2024 artfynd.xlsx", "A 54595-2024")</f>
        <v/>
      </c>
      <c r="T132">
        <f>HYPERLINK("https://klasma.github.io/Logging_2326/kartor/A 54595-2024 karta.png", "A 54595-2024")</f>
        <v/>
      </c>
      <c r="V132">
        <f>HYPERLINK("https://klasma.github.io/Logging_2326/klagomål/A 54595-2024 FSC-klagomål.docx", "A 54595-2024")</f>
        <v/>
      </c>
      <c r="W132">
        <f>HYPERLINK("https://klasma.github.io/Logging_2326/klagomålsmail/A 54595-2024 FSC-klagomål mail.docx", "A 54595-2024")</f>
        <v/>
      </c>
      <c r="X132">
        <f>HYPERLINK("https://klasma.github.io/Logging_2326/tillsyn/A 54595-2024 tillsynsbegäran.docx", "A 54595-2024")</f>
        <v/>
      </c>
      <c r="Y132">
        <f>HYPERLINK("https://klasma.github.io/Logging_2326/tillsynsmail/A 54595-2024 tillsynsbegäran mail.docx", "A 54595-2024")</f>
        <v/>
      </c>
      <c r="Z132">
        <f>HYPERLINK("https://klasma.github.io/Logging_2326/fåglar/A 54595-2024 prioriterade fågelarter.docx", "A 54595-2024")</f>
        <v/>
      </c>
    </row>
    <row r="133" ht="15" customHeight="1">
      <c r="A133" t="inlineStr">
        <is>
          <t>A 49276-2024</t>
        </is>
      </c>
      <c r="B133" s="1" t="n">
        <v>45595.50819444445</v>
      </c>
      <c r="C133" s="1" t="n">
        <v>45923</v>
      </c>
      <c r="D133" t="inlineStr">
        <is>
          <t>JÄMTLANDS LÄN</t>
        </is>
      </c>
      <c r="E133" t="inlineStr">
        <is>
          <t>BERG</t>
        </is>
      </c>
      <c r="G133" t="n">
        <v>0.8</v>
      </c>
      <c r="H133" t="n">
        <v>1</v>
      </c>
      <c r="I133" t="n">
        <v>1</v>
      </c>
      <c r="J133" t="n">
        <v>0</v>
      </c>
      <c r="K133" t="n">
        <v>0</v>
      </c>
      <c r="L133" t="n">
        <v>0</v>
      </c>
      <c r="M133" t="n">
        <v>0</v>
      </c>
      <c r="N133" t="n">
        <v>0</v>
      </c>
      <c r="O133" t="n">
        <v>0</v>
      </c>
      <c r="P133" t="n">
        <v>0</v>
      </c>
      <c r="Q133" t="n">
        <v>1</v>
      </c>
      <c r="R133" s="2" t="inlineStr">
        <is>
          <t>Korallrot</t>
        </is>
      </c>
      <c r="S133">
        <f>HYPERLINK("https://klasma.github.io/Logging_2326/artfynd/A 49276-2024 artfynd.xlsx", "A 49276-2024")</f>
        <v/>
      </c>
      <c r="T133">
        <f>HYPERLINK("https://klasma.github.io/Logging_2326/kartor/A 49276-2024 karta.png", "A 49276-2024")</f>
        <v/>
      </c>
      <c r="V133">
        <f>HYPERLINK("https://klasma.github.io/Logging_2326/klagomål/A 49276-2024 FSC-klagomål.docx", "A 49276-2024")</f>
        <v/>
      </c>
      <c r="W133">
        <f>HYPERLINK("https://klasma.github.io/Logging_2326/klagomålsmail/A 49276-2024 FSC-klagomål mail.docx", "A 49276-2024")</f>
        <v/>
      </c>
      <c r="X133">
        <f>HYPERLINK("https://klasma.github.io/Logging_2326/tillsyn/A 49276-2024 tillsynsbegäran.docx", "A 49276-2024")</f>
        <v/>
      </c>
      <c r="Y133">
        <f>HYPERLINK("https://klasma.github.io/Logging_2326/tillsynsmail/A 49276-2024 tillsynsbegäran mail.docx", "A 49276-2024")</f>
        <v/>
      </c>
    </row>
    <row r="134" ht="15" customHeight="1">
      <c r="A134" t="inlineStr">
        <is>
          <t>A 35211-2025</t>
        </is>
      </c>
      <c r="B134" s="1" t="n">
        <v>45853.45060185185</v>
      </c>
      <c r="C134" s="1" t="n">
        <v>45923</v>
      </c>
      <c r="D134" t="inlineStr">
        <is>
          <t>JÄMTLANDS LÄN</t>
        </is>
      </c>
      <c r="E134" t="inlineStr">
        <is>
          <t>BERG</t>
        </is>
      </c>
      <c r="G134" t="n">
        <v>0.8</v>
      </c>
      <c r="H134" t="n">
        <v>1</v>
      </c>
      <c r="I134" t="n">
        <v>0</v>
      </c>
      <c r="J134" t="n">
        <v>0</v>
      </c>
      <c r="K134" t="n">
        <v>1</v>
      </c>
      <c r="L134" t="n">
        <v>0</v>
      </c>
      <c r="M134" t="n">
        <v>0</v>
      </c>
      <c r="N134" t="n">
        <v>0</v>
      </c>
      <c r="O134" t="n">
        <v>1</v>
      </c>
      <c r="P134" t="n">
        <v>1</v>
      </c>
      <c r="Q134" t="n">
        <v>1</v>
      </c>
      <c r="R134" s="2" t="inlineStr">
        <is>
          <t>Knärot</t>
        </is>
      </c>
      <c r="S134">
        <f>HYPERLINK("https://klasma.github.io/Logging_2326/artfynd/A 35211-2025 artfynd.xlsx", "A 35211-2025")</f>
        <v/>
      </c>
      <c r="T134">
        <f>HYPERLINK("https://klasma.github.io/Logging_2326/kartor/A 35211-2025 karta.png", "A 35211-2025")</f>
        <v/>
      </c>
      <c r="U134">
        <f>HYPERLINK("https://klasma.github.io/Logging_2326/knärot/A 35211-2025 karta knärot.png", "A 35211-2025")</f>
        <v/>
      </c>
      <c r="V134">
        <f>HYPERLINK("https://klasma.github.io/Logging_2326/klagomål/A 35211-2025 FSC-klagomål.docx", "A 35211-2025")</f>
        <v/>
      </c>
      <c r="W134">
        <f>HYPERLINK("https://klasma.github.io/Logging_2326/klagomålsmail/A 35211-2025 FSC-klagomål mail.docx", "A 35211-2025")</f>
        <v/>
      </c>
      <c r="X134">
        <f>HYPERLINK("https://klasma.github.io/Logging_2326/tillsyn/A 35211-2025 tillsynsbegäran.docx", "A 35211-2025")</f>
        <v/>
      </c>
      <c r="Y134">
        <f>HYPERLINK("https://klasma.github.io/Logging_2326/tillsynsmail/A 35211-2025 tillsynsbegäran mail.docx", "A 35211-2025")</f>
        <v/>
      </c>
    </row>
    <row r="135" ht="15" customHeight="1">
      <c r="A135" t="inlineStr">
        <is>
          <t>A 25853-2025</t>
        </is>
      </c>
      <c r="B135" s="1" t="n">
        <v>45804.46908564815</v>
      </c>
      <c r="C135" s="1" t="n">
        <v>45923</v>
      </c>
      <c r="D135" t="inlineStr">
        <is>
          <t>JÄMTLANDS LÄN</t>
        </is>
      </c>
      <c r="E135" t="inlineStr">
        <is>
          <t>BERG</t>
        </is>
      </c>
      <c r="F135" t="inlineStr">
        <is>
          <t>SCA</t>
        </is>
      </c>
      <c r="G135" t="n">
        <v>24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25853-2025 artfynd.xlsx", "A 25853-2025")</f>
        <v/>
      </c>
      <c r="T135">
        <f>HYPERLINK("https://klasma.github.io/Logging_2326/kartor/A 25853-2025 karta.png", "A 25853-2025")</f>
        <v/>
      </c>
      <c r="V135">
        <f>HYPERLINK("https://klasma.github.io/Logging_2326/klagomål/A 25853-2025 FSC-klagomål.docx", "A 25853-2025")</f>
        <v/>
      </c>
      <c r="W135">
        <f>HYPERLINK("https://klasma.github.io/Logging_2326/klagomålsmail/A 25853-2025 FSC-klagomål mail.docx", "A 25853-2025")</f>
        <v/>
      </c>
      <c r="X135">
        <f>HYPERLINK("https://klasma.github.io/Logging_2326/tillsyn/A 25853-2025 tillsynsbegäran.docx", "A 25853-2025")</f>
        <v/>
      </c>
      <c r="Y135">
        <f>HYPERLINK("https://klasma.github.io/Logging_2326/tillsynsmail/A 25853-2025 tillsynsbegäran mail.docx", "A 25853-2025")</f>
        <v/>
      </c>
      <c r="Z135">
        <f>HYPERLINK("https://klasma.github.io/Logging_2326/fåglar/A 25853-2025 prioriterade fågelarter.docx", "A 25853-2025")</f>
        <v/>
      </c>
    </row>
    <row r="136" ht="15" customHeight="1">
      <c r="A136" t="inlineStr">
        <is>
          <t>A 47-2023</t>
        </is>
      </c>
      <c r="B136" s="1" t="n">
        <v>44928</v>
      </c>
      <c r="C136" s="1" t="n">
        <v>45923</v>
      </c>
      <c r="D136" t="inlineStr">
        <is>
          <t>JÄMTLANDS LÄN</t>
        </is>
      </c>
      <c r="E136" t="inlineStr">
        <is>
          <t>BERG</t>
        </is>
      </c>
      <c r="F136" t="inlineStr">
        <is>
          <t>Naturvårdsverket</t>
        </is>
      </c>
      <c r="G136" t="n">
        <v>1.5</v>
      </c>
      <c r="H136" t="n">
        <v>0</v>
      </c>
      <c r="I136" t="n">
        <v>0</v>
      </c>
      <c r="J136" t="n">
        <v>1</v>
      </c>
      <c r="K136" t="n">
        <v>0</v>
      </c>
      <c r="L136" t="n">
        <v>0</v>
      </c>
      <c r="M136" t="n">
        <v>0</v>
      </c>
      <c r="N136" t="n">
        <v>0</v>
      </c>
      <c r="O136" t="n">
        <v>1</v>
      </c>
      <c r="P136" t="n">
        <v>0</v>
      </c>
      <c r="Q136" t="n">
        <v>1</v>
      </c>
      <c r="R136" s="2" t="inlineStr">
        <is>
          <t>Violettgrå tagellav</t>
        </is>
      </c>
      <c r="S136">
        <f>HYPERLINK("https://klasma.github.io/Logging_2326/artfynd/A 47-2023 artfynd.xlsx", "A 47-2023")</f>
        <v/>
      </c>
      <c r="T136">
        <f>HYPERLINK("https://klasma.github.io/Logging_2326/kartor/A 47-2023 karta.png", "A 47-2023")</f>
        <v/>
      </c>
      <c r="U136">
        <f>HYPERLINK("https://klasma.github.io/Logging_2326/knärot/A 47-2023 karta knärot.png", "A 47-2023")</f>
        <v/>
      </c>
      <c r="V136">
        <f>HYPERLINK("https://klasma.github.io/Logging_2326/klagomål/A 47-2023 FSC-klagomål.docx", "A 47-2023")</f>
        <v/>
      </c>
      <c r="W136">
        <f>HYPERLINK("https://klasma.github.io/Logging_2326/klagomålsmail/A 47-2023 FSC-klagomål mail.docx", "A 47-2023")</f>
        <v/>
      </c>
      <c r="X136">
        <f>HYPERLINK("https://klasma.github.io/Logging_2326/tillsyn/A 47-2023 tillsynsbegäran.docx", "A 47-2023")</f>
        <v/>
      </c>
      <c r="Y136">
        <f>HYPERLINK("https://klasma.github.io/Logging_2326/tillsynsmail/A 47-2023 tillsynsbegäran mail.docx", "A 47-2023")</f>
        <v/>
      </c>
    </row>
    <row r="137" ht="15" customHeight="1">
      <c r="A137" t="inlineStr">
        <is>
          <t>A 35535-2025</t>
        </is>
      </c>
      <c r="B137" s="1" t="n">
        <v>45856.45047453704</v>
      </c>
      <c r="C137" s="1" t="n">
        <v>45923</v>
      </c>
      <c r="D137" t="inlineStr">
        <is>
          <t>JÄMTLANDS LÄN</t>
        </is>
      </c>
      <c r="E137" t="inlineStr">
        <is>
          <t>BERG</t>
        </is>
      </c>
      <c r="F137" t="inlineStr">
        <is>
          <t>Sveaskog</t>
        </is>
      </c>
      <c r="G137" t="n">
        <v>2.4</v>
      </c>
      <c r="H137" t="n">
        <v>0</v>
      </c>
      <c r="I137" t="n">
        <v>0</v>
      </c>
      <c r="J137" t="n">
        <v>1</v>
      </c>
      <c r="K137" t="n">
        <v>0</v>
      </c>
      <c r="L137" t="n">
        <v>0</v>
      </c>
      <c r="M137" t="n">
        <v>0</v>
      </c>
      <c r="N137" t="n">
        <v>0</v>
      </c>
      <c r="O137" t="n">
        <v>1</v>
      </c>
      <c r="P137" t="n">
        <v>0</v>
      </c>
      <c r="Q137" t="n">
        <v>1</v>
      </c>
      <c r="R137" s="2" t="inlineStr">
        <is>
          <t>Lunglav</t>
        </is>
      </c>
      <c r="S137">
        <f>HYPERLINK("https://klasma.github.io/Logging_2326/artfynd/A 35535-2025 artfynd.xlsx", "A 35535-2025")</f>
        <v/>
      </c>
      <c r="T137">
        <f>HYPERLINK("https://klasma.github.io/Logging_2326/kartor/A 35535-2025 karta.png", "A 35535-2025")</f>
        <v/>
      </c>
      <c r="V137">
        <f>HYPERLINK("https://klasma.github.io/Logging_2326/klagomål/A 35535-2025 FSC-klagomål.docx", "A 35535-2025")</f>
        <v/>
      </c>
      <c r="W137">
        <f>HYPERLINK("https://klasma.github.io/Logging_2326/klagomålsmail/A 35535-2025 FSC-klagomål mail.docx", "A 35535-2025")</f>
        <v/>
      </c>
      <c r="X137">
        <f>HYPERLINK("https://klasma.github.io/Logging_2326/tillsyn/A 35535-2025 tillsynsbegäran.docx", "A 35535-2025")</f>
        <v/>
      </c>
      <c r="Y137">
        <f>HYPERLINK("https://klasma.github.io/Logging_2326/tillsynsmail/A 35535-2025 tillsynsbegäran mail.docx", "A 35535-2025")</f>
        <v/>
      </c>
    </row>
    <row r="138" ht="15" customHeight="1">
      <c r="A138" t="inlineStr">
        <is>
          <t>A 56202-2021</t>
        </is>
      </c>
      <c r="B138" s="1" t="n">
        <v>44477</v>
      </c>
      <c r="C138" s="1" t="n">
        <v>45923</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12733-2024</t>
        </is>
      </c>
      <c r="B139" s="1" t="n">
        <v>45384</v>
      </c>
      <c r="C139" s="1" t="n">
        <v>45923</v>
      </c>
      <c r="D139" t="inlineStr">
        <is>
          <t>JÄMTLANDS LÄN</t>
        </is>
      </c>
      <c r="E139" t="inlineStr">
        <is>
          <t>BERG</t>
        </is>
      </c>
      <c r="G139" t="n">
        <v>9.9</v>
      </c>
      <c r="H139" t="n">
        <v>0</v>
      </c>
      <c r="I139" t="n">
        <v>0</v>
      </c>
      <c r="J139" t="n">
        <v>1</v>
      </c>
      <c r="K139" t="n">
        <v>0</v>
      </c>
      <c r="L139" t="n">
        <v>0</v>
      </c>
      <c r="M139" t="n">
        <v>0</v>
      </c>
      <c r="N139" t="n">
        <v>0</v>
      </c>
      <c r="O139" t="n">
        <v>1</v>
      </c>
      <c r="P139" t="n">
        <v>0</v>
      </c>
      <c r="Q139" t="n">
        <v>1</v>
      </c>
      <c r="R139" s="2" t="inlineStr">
        <is>
          <t>Lunglav</t>
        </is>
      </c>
      <c r="S139">
        <f>HYPERLINK("https://klasma.github.io/Logging_2326/artfynd/A 12733-2024 artfynd.xlsx", "A 12733-2024")</f>
        <v/>
      </c>
      <c r="T139">
        <f>HYPERLINK("https://klasma.github.io/Logging_2326/kartor/A 12733-2024 karta.png", "A 12733-2024")</f>
        <v/>
      </c>
      <c r="V139">
        <f>HYPERLINK("https://klasma.github.io/Logging_2326/klagomål/A 12733-2024 FSC-klagomål.docx", "A 12733-2024")</f>
        <v/>
      </c>
      <c r="W139">
        <f>HYPERLINK("https://klasma.github.io/Logging_2326/klagomålsmail/A 12733-2024 FSC-klagomål mail.docx", "A 12733-2024")</f>
        <v/>
      </c>
      <c r="X139">
        <f>HYPERLINK("https://klasma.github.io/Logging_2326/tillsyn/A 12733-2024 tillsynsbegäran.docx", "A 12733-2024")</f>
        <v/>
      </c>
      <c r="Y139">
        <f>HYPERLINK("https://klasma.github.io/Logging_2326/tillsynsmail/A 12733-2024 tillsynsbegäran mail.docx", "A 12733-2024")</f>
        <v/>
      </c>
    </row>
    <row r="140" ht="15" customHeight="1">
      <c r="A140" t="inlineStr">
        <is>
          <t>A 53086-2024</t>
        </is>
      </c>
      <c r="B140" s="1" t="n">
        <v>45611.51084490741</v>
      </c>
      <c r="C140" s="1" t="n">
        <v>45923</v>
      </c>
      <c r="D140" t="inlineStr">
        <is>
          <t>JÄMTLANDS LÄN</t>
        </is>
      </c>
      <c r="E140" t="inlineStr">
        <is>
          <t>BERG</t>
        </is>
      </c>
      <c r="F140" t="inlineStr">
        <is>
          <t>SCA</t>
        </is>
      </c>
      <c r="G140" t="n">
        <v>7.7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53086-2024 artfynd.xlsx", "A 53086-2024")</f>
        <v/>
      </c>
      <c r="T140">
        <f>HYPERLINK("https://klasma.github.io/Logging_2326/kartor/A 53086-2024 karta.png", "A 53086-2024")</f>
        <v/>
      </c>
      <c r="V140">
        <f>HYPERLINK("https://klasma.github.io/Logging_2326/klagomål/A 53086-2024 FSC-klagomål.docx", "A 53086-2024")</f>
        <v/>
      </c>
      <c r="W140">
        <f>HYPERLINK("https://klasma.github.io/Logging_2326/klagomålsmail/A 53086-2024 FSC-klagomål mail.docx", "A 53086-2024")</f>
        <v/>
      </c>
      <c r="X140">
        <f>HYPERLINK("https://klasma.github.io/Logging_2326/tillsyn/A 53086-2024 tillsynsbegäran.docx", "A 53086-2024")</f>
        <v/>
      </c>
      <c r="Y140">
        <f>HYPERLINK("https://klasma.github.io/Logging_2326/tillsynsmail/A 53086-2024 tillsynsbegäran mail.docx", "A 53086-2024")</f>
        <v/>
      </c>
    </row>
    <row r="141" ht="15" customHeight="1">
      <c r="A141" t="inlineStr">
        <is>
          <t>A 40382-2024</t>
        </is>
      </c>
      <c r="B141" s="1" t="n">
        <v>45555.42225694445</v>
      </c>
      <c r="C141" s="1" t="n">
        <v>45923</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33083-2024</t>
        </is>
      </c>
      <c r="B142" s="1" t="n">
        <v>45517.675</v>
      </c>
      <c r="C142" s="1" t="n">
        <v>45923</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37513-2025</t>
        </is>
      </c>
      <c r="B143" s="1" t="n">
        <v>45877.69828703703</v>
      </c>
      <c r="C143" s="1" t="n">
        <v>45923</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37651-2025</t>
        </is>
      </c>
      <c r="B144" s="1" t="n">
        <v>45880.49006944444</v>
      </c>
      <c r="C144" s="1" t="n">
        <v>45923</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Vedflamlav</t>
        </is>
      </c>
      <c r="S144">
        <f>HYPERLINK("https://klasma.github.io/Logging_2326/artfynd/A 37651-2025 artfynd.xlsx", "A 37651-2025")</f>
        <v/>
      </c>
      <c r="T144">
        <f>HYPERLINK("https://klasma.github.io/Logging_2326/kartor/A 37651-2025 karta.png", "A 37651-2025")</f>
        <v/>
      </c>
      <c r="V144">
        <f>HYPERLINK("https://klasma.github.io/Logging_2326/klagomål/A 37651-2025 FSC-klagomål.docx", "A 37651-2025")</f>
        <v/>
      </c>
      <c r="W144">
        <f>HYPERLINK("https://klasma.github.io/Logging_2326/klagomålsmail/A 37651-2025 FSC-klagomål mail.docx", "A 37651-2025")</f>
        <v/>
      </c>
      <c r="X144">
        <f>HYPERLINK("https://klasma.github.io/Logging_2326/tillsyn/A 37651-2025 tillsynsbegäran.docx", "A 37651-2025")</f>
        <v/>
      </c>
      <c r="Y144">
        <f>HYPERLINK("https://klasma.github.io/Logging_2326/tillsynsmail/A 37651-2025 tillsynsbegäran mail.docx", "A 37651-2025")</f>
        <v/>
      </c>
    </row>
    <row r="145" ht="15" customHeight="1">
      <c r="A145" t="inlineStr">
        <is>
          <t>A 40440-2024</t>
        </is>
      </c>
      <c r="B145" s="1" t="n">
        <v>45555.48267361111</v>
      </c>
      <c r="C145" s="1" t="n">
        <v>45923</v>
      </c>
      <c r="D145" t="inlineStr">
        <is>
          <t>JÄMTLANDS LÄN</t>
        </is>
      </c>
      <c r="E145" t="inlineStr">
        <is>
          <t>BERG</t>
        </is>
      </c>
      <c r="G145" t="n">
        <v>3.6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40440-2024 artfynd.xlsx", "A 40440-2024")</f>
        <v/>
      </c>
      <c r="T145">
        <f>HYPERLINK("https://klasma.github.io/Logging_2326/kartor/A 40440-2024 karta.png", "A 40440-2024")</f>
        <v/>
      </c>
      <c r="V145">
        <f>HYPERLINK("https://klasma.github.io/Logging_2326/klagomål/A 40440-2024 FSC-klagomål.docx", "A 40440-2024")</f>
        <v/>
      </c>
      <c r="W145">
        <f>HYPERLINK("https://klasma.github.io/Logging_2326/klagomålsmail/A 40440-2024 FSC-klagomål mail.docx", "A 40440-2024")</f>
        <v/>
      </c>
      <c r="X145">
        <f>HYPERLINK("https://klasma.github.io/Logging_2326/tillsyn/A 40440-2024 tillsynsbegäran.docx", "A 40440-2024")</f>
        <v/>
      </c>
      <c r="Y145">
        <f>HYPERLINK("https://klasma.github.io/Logging_2326/tillsynsmail/A 40440-2024 tillsynsbegäran mail.docx", "A 40440-2024")</f>
        <v/>
      </c>
    </row>
    <row r="146" ht="15" customHeight="1">
      <c r="A146" t="inlineStr">
        <is>
          <t>A 41635-2024</t>
        </is>
      </c>
      <c r="B146" s="1" t="n">
        <v>45560.61601851852</v>
      </c>
      <c r="C146" s="1" t="n">
        <v>45923</v>
      </c>
      <c r="D146" t="inlineStr">
        <is>
          <t>JÄMTLANDS LÄN</t>
        </is>
      </c>
      <c r="E146" t="inlineStr">
        <is>
          <t>BERG</t>
        </is>
      </c>
      <c r="F146" t="inlineStr">
        <is>
          <t>SCA</t>
        </is>
      </c>
      <c r="G146" t="n">
        <v>4.2</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41635-2024 artfynd.xlsx", "A 41635-2024")</f>
        <v/>
      </c>
      <c r="T146">
        <f>HYPERLINK("https://klasma.github.io/Logging_2326/kartor/A 41635-2024 karta.png", "A 41635-2024")</f>
        <v/>
      </c>
      <c r="V146">
        <f>HYPERLINK("https://klasma.github.io/Logging_2326/klagomål/A 41635-2024 FSC-klagomål.docx", "A 41635-2024")</f>
        <v/>
      </c>
      <c r="W146">
        <f>HYPERLINK("https://klasma.github.io/Logging_2326/klagomålsmail/A 41635-2024 FSC-klagomål mail.docx", "A 41635-2024")</f>
        <v/>
      </c>
      <c r="X146">
        <f>HYPERLINK("https://klasma.github.io/Logging_2326/tillsyn/A 41635-2024 tillsynsbegäran.docx", "A 41635-2024")</f>
        <v/>
      </c>
      <c r="Y146">
        <f>HYPERLINK("https://klasma.github.io/Logging_2326/tillsynsmail/A 41635-2024 tillsynsbegäran mail.docx", "A 41635-2024")</f>
        <v/>
      </c>
    </row>
    <row r="147" ht="15" customHeight="1">
      <c r="A147" t="inlineStr">
        <is>
          <t>A 68434-2021</t>
        </is>
      </c>
      <c r="B147" s="1" t="n">
        <v>44529</v>
      </c>
      <c r="C147" s="1" t="n">
        <v>45923</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45923</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9657-2023</t>
        </is>
      </c>
      <c r="B149" s="1" t="n">
        <v>44978</v>
      </c>
      <c r="C149" s="1" t="n">
        <v>45923</v>
      </c>
      <c r="D149" t="inlineStr">
        <is>
          <t>JÄMTLANDS LÄN</t>
        </is>
      </c>
      <c r="E149" t="inlineStr">
        <is>
          <t>BERG</t>
        </is>
      </c>
      <c r="G149" t="n">
        <v>2.7</v>
      </c>
      <c r="H149" t="n">
        <v>0</v>
      </c>
      <c r="I149" t="n">
        <v>0</v>
      </c>
      <c r="J149" t="n">
        <v>1</v>
      </c>
      <c r="K149" t="n">
        <v>0</v>
      </c>
      <c r="L149" t="n">
        <v>0</v>
      </c>
      <c r="M149" t="n">
        <v>0</v>
      </c>
      <c r="N149" t="n">
        <v>0</v>
      </c>
      <c r="O149" t="n">
        <v>1</v>
      </c>
      <c r="P149" t="n">
        <v>0</v>
      </c>
      <c r="Q149" t="n">
        <v>1</v>
      </c>
      <c r="R149" s="2" t="inlineStr">
        <is>
          <t>Garnlav</t>
        </is>
      </c>
      <c r="S149">
        <f>HYPERLINK("https://klasma.github.io/Logging_2326/artfynd/A 9657-2023 artfynd.xlsx", "A 9657-2023")</f>
        <v/>
      </c>
      <c r="T149">
        <f>HYPERLINK("https://klasma.github.io/Logging_2326/kartor/A 9657-2023 karta.png", "A 9657-2023")</f>
        <v/>
      </c>
      <c r="V149">
        <f>HYPERLINK("https://klasma.github.io/Logging_2326/klagomål/A 9657-2023 FSC-klagomål.docx", "A 9657-2023")</f>
        <v/>
      </c>
      <c r="W149">
        <f>HYPERLINK("https://klasma.github.io/Logging_2326/klagomålsmail/A 9657-2023 FSC-klagomål mail.docx", "A 9657-2023")</f>
        <v/>
      </c>
      <c r="X149">
        <f>HYPERLINK("https://klasma.github.io/Logging_2326/tillsyn/A 9657-2023 tillsynsbegäran.docx", "A 9657-2023")</f>
        <v/>
      </c>
      <c r="Y149">
        <f>HYPERLINK("https://klasma.github.io/Logging_2326/tillsynsmail/A 9657-2023 tillsynsbegäran mail.docx", "A 9657-2023")</f>
        <v/>
      </c>
    </row>
    <row r="150" ht="15" customHeight="1">
      <c r="A150" t="inlineStr">
        <is>
          <t>A 50224-2023</t>
        </is>
      </c>
      <c r="B150" s="1" t="n">
        <v>45215</v>
      </c>
      <c r="C150" s="1" t="n">
        <v>45923</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21681-2025</t>
        </is>
      </c>
      <c r="B151" s="1" t="n">
        <v>45783.49015046296</v>
      </c>
      <c r="C151" s="1" t="n">
        <v>45923</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20808-2024</t>
        </is>
      </c>
      <c r="B152" s="1" t="n">
        <v>45439</v>
      </c>
      <c r="C152" s="1" t="n">
        <v>45923</v>
      </c>
      <c r="D152" t="inlineStr">
        <is>
          <t>JÄMTLANDS LÄN</t>
        </is>
      </c>
      <c r="E152" t="inlineStr">
        <is>
          <t>BERG</t>
        </is>
      </c>
      <c r="G152" t="n">
        <v>1.4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20808-2024 artfynd.xlsx", "A 20808-2024")</f>
        <v/>
      </c>
      <c r="T152">
        <f>HYPERLINK("https://klasma.github.io/Logging_2326/kartor/A 20808-2024 karta.png", "A 20808-2024")</f>
        <v/>
      </c>
      <c r="V152">
        <f>HYPERLINK("https://klasma.github.io/Logging_2326/klagomål/A 20808-2024 FSC-klagomål.docx", "A 20808-2024")</f>
        <v/>
      </c>
      <c r="W152">
        <f>HYPERLINK("https://klasma.github.io/Logging_2326/klagomålsmail/A 20808-2024 FSC-klagomål mail.docx", "A 20808-2024")</f>
        <v/>
      </c>
      <c r="X152">
        <f>HYPERLINK("https://klasma.github.io/Logging_2326/tillsyn/A 20808-2024 tillsynsbegäran.docx", "A 20808-2024")</f>
        <v/>
      </c>
      <c r="Y152">
        <f>HYPERLINK("https://klasma.github.io/Logging_2326/tillsynsmail/A 20808-2024 tillsynsbegäran mail.docx", "A 20808-2024")</f>
        <v/>
      </c>
      <c r="Z152">
        <f>HYPERLINK("https://klasma.github.io/Logging_2326/fåglar/A 20808-2024 prioriterade fågelarter.docx", "A 20808-2024")</f>
        <v/>
      </c>
    </row>
    <row r="153" ht="15" customHeight="1">
      <c r="A153" t="inlineStr">
        <is>
          <t>A 53708-2024</t>
        </is>
      </c>
      <c r="B153" s="1" t="n">
        <v>45615.40983796296</v>
      </c>
      <c r="C153" s="1" t="n">
        <v>45923</v>
      </c>
      <c r="D153" t="inlineStr">
        <is>
          <t>JÄMTLANDS LÄN</t>
        </is>
      </c>
      <c r="E153" t="inlineStr">
        <is>
          <t>BERG</t>
        </is>
      </c>
      <c r="G153" t="n">
        <v>8.199999999999999</v>
      </c>
      <c r="H153" t="n">
        <v>0</v>
      </c>
      <c r="I153" t="n">
        <v>0</v>
      </c>
      <c r="J153" t="n">
        <v>1</v>
      </c>
      <c r="K153" t="n">
        <v>0</v>
      </c>
      <c r="L153" t="n">
        <v>0</v>
      </c>
      <c r="M153" t="n">
        <v>0</v>
      </c>
      <c r="N153" t="n">
        <v>0</v>
      </c>
      <c r="O153" t="n">
        <v>1</v>
      </c>
      <c r="P153" t="n">
        <v>0</v>
      </c>
      <c r="Q153" t="n">
        <v>1</v>
      </c>
      <c r="R153" s="2" t="inlineStr">
        <is>
          <t>Lunglav</t>
        </is>
      </c>
      <c r="S153">
        <f>HYPERLINK("https://klasma.github.io/Logging_2326/artfynd/A 53708-2024 artfynd.xlsx", "A 53708-2024")</f>
        <v/>
      </c>
      <c r="T153">
        <f>HYPERLINK("https://klasma.github.io/Logging_2326/kartor/A 53708-2024 karta.png", "A 53708-2024")</f>
        <v/>
      </c>
      <c r="V153">
        <f>HYPERLINK("https://klasma.github.io/Logging_2326/klagomål/A 53708-2024 FSC-klagomål.docx", "A 53708-2024")</f>
        <v/>
      </c>
      <c r="W153">
        <f>HYPERLINK("https://klasma.github.io/Logging_2326/klagomålsmail/A 53708-2024 FSC-klagomål mail.docx", "A 53708-2024")</f>
        <v/>
      </c>
      <c r="X153">
        <f>HYPERLINK("https://klasma.github.io/Logging_2326/tillsyn/A 53708-2024 tillsynsbegäran.docx", "A 53708-2024")</f>
        <v/>
      </c>
      <c r="Y153">
        <f>HYPERLINK("https://klasma.github.io/Logging_2326/tillsynsmail/A 53708-2024 tillsynsbegäran mail.docx", "A 53708-2024")</f>
        <v/>
      </c>
    </row>
    <row r="154" ht="15" customHeight="1">
      <c r="A154" t="inlineStr">
        <is>
          <t>A 49049-2024</t>
        </is>
      </c>
      <c r="B154" s="1" t="n">
        <v>45594.5742824074</v>
      </c>
      <c r="C154" s="1" t="n">
        <v>45923</v>
      </c>
      <c r="D154" t="inlineStr">
        <is>
          <t>JÄMTLANDS LÄN</t>
        </is>
      </c>
      <c r="E154" t="inlineStr">
        <is>
          <t>BERG</t>
        </is>
      </c>
      <c r="G154" t="n">
        <v>0.8</v>
      </c>
      <c r="H154" t="n">
        <v>1</v>
      </c>
      <c r="I154" t="n">
        <v>1</v>
      </c>
      <c r="J154" t="n">
        <v>0</v>
      </c>
      <c r="K154" t="n">
        <v>0</v>
      </c>
      <c r="L154" t="n">
        <v>0</v>
      </c>
      <c r="M154" t="n">
        <v>0</v>
      </c>
      <c r="N154" t="n">
        <v>0</v>
      </c>
      <c r="O154" t="n">
        <v>0</v>
      </c>
      <c r="P154" t="n">
        <v>0</v>
      </c>
      <c r="Q154" t="n">
        <v>1</v>
      </c>
      <c r="R154" s="2" t="inlineStr">
        <is>
          <t>Korallrot</t>
        </is>
      </c>
      <c r="S154">
        <f>HYPERLINK("https://klasma.github.io/Logging_2326/artfynd/A 49049-2024 artfynd.xlsx", "A 49049-2024")</f>
        <v/>
      </c>
      <c r="T154">
        <f>HYPERLINK("https://klasma.github.io/Logging_2326/kartor/A 49049-2024 karta.png", "A 49049-2024")</f>
        <v/>
      </c>
      <c r="V154">
        <f>HYPERLINK("https://klasma.github.io/Logging_2326/klagomål/A 49049-2024 FSC-klagomål.docx", "A 49049-2024")</f>
        <v/>
      </c>
      <c r="W154">
        <f>HYPERLINK("https://klasma.github.io/Logging_2326/klagomålsmail/A 49049-2024 FSC-klagomål mail.docx", "A 49049-2024")</f>
        <v/>
      </c>
      <c r="X154">
        <f>HYPERLINK("https://klasma.github.io/Logging_2326/tillsyn/A 49049-2024 tillsynsbegäran.docx", "A 49049-2024")</f>
        <v/>
      </c>
      <c r="Y154">
        <f>HYPERLINK("https://klasma.github.io/Logging_2326/tillsynsmail/A 49049-2024 tillsynsbegäran mail.docx", "A 49049-2024")</f>
        <v/>
      </c>
    </row>
    <row r="155" ht="15" customHeight="1">
      <c r="A155" t="inlineStr">
        <is>
          <t>A 33126-2024</t>
        </is>
      </c>
      <c r="B155" s="1" t="n">
        <v>45517.9575462963</v>
      </c>
      <c r="C155" s="1" t="n">
        <v>45923</v>
      </c>
      <c r="D155" t="inlineStr">
        <is>
          <t>JÄMTLANDS LÄN</t>
        </is>
      </c>
      <c r="E155" t="inlineStr">
        <is>
          <t>BERG</t>
        </is>
      </c>
      <c r="F155" t="inlineStr">
        <is>
          <t>SCA</t>
        </is>
      </c>
      <c r="G155" t="n">
        <v>4.2</v>
      </c>
      <c r="H155" t="n">
        <v>0</v>
      </c>
      <c r="I155" t="n">
        <v>0</v>
      </c>
      <c r="J155" t="n">
        <v>0</v>
      </c>
      <c r="K155" t="n">
        <v>1</v>
      </c>
      <c r="L155" t="n">
        <v>0</v>
      </c>
      <c r="M155" t="n">
        <v>0</v>
      </c>
      <c r="N155" t="n">
        <v>0</v>
      </c>
      <c r="O155" t="n">
        <v>1</v>
      </c>
      <c r="P155" t="n">
        <v>1</v>
      </c>
      <c r="Q155" t="n">
        <v>1</v>
      </c>
      <c r="R155" s="2" t="inlineStr">
        <is>
          <t>Gräddporing</t>
        </is>
      </c>
      <c r="S155">
        <f>HYPERLINK("https://klasma.github.io/Logging_2326/artfynd/A 33126-2024 artfynd.xlsx", "A 33126-2024")</f>
        <v/>
      </c>
      <c r="T155">
        <f>HYPERLINK("https://klasma.github.io/Logging_2326/kartor/A 33126-2024 karta.png", "A 33126-2024")</f>
        <v/>
      </c>
      <c r="V155">
        <f>HYPERLINK("https://klasma.github.io/Logging_2326/klagomål/A 33126-2024 FSC-klagomål.docx", "A 33126-2024")</f>
        <v/>
      </c>
      <c r="W155">
        <f>HYPERLINK("https://klasma.github.io/Logging_2326/klagomålsmail/A 33126-2024 FSC-klagomål mail.docx", "A 33126-2024")</f>
        <v/>
      </c>
      <c r="X155">
        <f>HYPERLINK("https://klasma.github.io/Logging_2326/tillsyn/A 33126-2024 tillsynsbegäran.docx", "A 33126-2024")</f>
        <v/>
      </c>
      <c r="Y155">
        <f>HYPERLINK("https://klasma.github.io/Logging_2326/tillsynsmail/A 33126-2024 tillsynsbegäran mail.docx", "A 33126-2024")</f>
        <v/>
      </c>
    </row>
    <row r="156" ht="15" customHeight="1">
      <c r="A156" t="inlineStr">
        <is>
          <t>A 23177-2024</t>
        </is>
      </c>
      <c r="B156" s="1" t="n">
        <v>45450</v>
      </c>
      <c r="C156" s="1" t="n">
        <v>45923</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50556-2024</t>
        </is>
      </c>
      <c r="B157" s="1" t="n">
        <v>45601.59604166666</v>
      </c>
      <c r="C157" s="1" t="n">
        <v>45923</v>
      </c>
      <c r="D157" t="inlineStr">
        <is>
          <t>JÄMTLANDS LÄN</t>
        </is>
      </c>
      <c r="E157" t="inlineStr">
        <is>
          <t>BERG</t>
        </is>
      </c>
      <c r="G157" t="n">
        <v>5.7</v>
      </c>
      <c r="H157" t="n">
        <v>0</v>
      </c>
      <c r="I157" t="n">
        <v>0</v>
      </c>
      <c r="J157" t="n">
        <v>1</v>
      </c>
      <c r="K157" t="n">
        <v>0</v>
      </c>
      <c r="L157" t="n">
        <v>0</v>
      </c>
      <c r="M157" t="n">
        <v>0</v>
      </c>
      <c r="N157" t="n">
        <v>0</v>
      </c>
      <c r="O157" t="n">
        <v>1</v>
      </c>
      <c r="P157" t="n">
        <v>0</v>
      </c>
      <c r="Q157" t="n">
        <v>1</v>
      </c>
      <c r="R157" s="2" t="inlineStr">
        <is>
          <t>Kalkbräken</t>
        </is>
      </c>
      <c r="S157">
        <f>HYPERLINK("https://klasma.github.io/Logging_2326/artfynd/A 50556-2024 artfynd.xlsx", "A 50556-2024")</f>
        <v/>
      </c>
      <c r="T157">
        <f>HYPERLINK("https://klasma.github.io/Logging_2326/kartor/A 50556-2024 karta.png", "A 50556-2024")</f>
        <v/>
      </c>
      <c r="V157">
        <f>HYPERLINK("https://klasma.github.io/Logging_2326/klagomål/A 50556-2024 FSC-klagomål.docx", "A 50556-2024")</f>
        <v/>
      </c>
      <c r="W157">
        <f>HYPERLINK("https://klasma.github.io/Logging_2326/klagomålsmail/A 50556-2024 FSC-klagomål mail.docx", "A 50556-2024")</f>
        <v/>
      </c>
      <c r="X157">
        <f>HYPERLINK("https://klasma.github.io/Logging_2326/tillsyn/A 50556-2024 tillsynsbegäran.docx", "A 50556-2024")</f>
        <v/>
      </c>
      <c r="Y157">
        <f>HYPERLINK("https://klasma.github.io/Logging_2326/tillsynsmail/A 50556-2024 tillsynsbegäran mail.docx", "A 50556-2024")</f>
        <v/>
      </c>
    </row>
    <row r="158" ht="15" customHeight="1">
      <c r="A158" t="inlineStr">
        <is>
          <t>A 24331-2025</t>
        </is>
      </c>
      <c r="B158" s="1" t="n">
        <v>45797</v>
      </c>
      <c r="C158" s="1" t="n">
        <v>45923</v>
      </c>
      <c r="D158" t="inlineStr">
        <is>
          <t>JÄMTLANDS LÄN</t>
        </is>
      </c>
      <c r="E158" t="inlineStr">
        <is>
          <t>BERG</t>
        </is>
      </c>
      <c r="G158" t="n">
        <v>9</v>
      </c>
      <c r="H158" t="n">
        <v>1</v>
      </c>
      <c r="I158" t="n">
        <v>0</v>
      </c>
      <c r="J158" t="n">
        <v>0</v>
      </c>
      <c r="K158" t="n">
        <v>0</v>
      </c>
      <c r="L158" t="n">
        <v>0</v>
      </c>
      <c r="M158" t="n">
        <v>0</v>
      </c>
      <c r="N158" t="n">
        <v>0</v>
      </c>
      <c r="O158" t="n">
        <v>0</v>
      </c>
      <c r="P158" t="n">
        <v>0</v>
      </c>
      <c r="Q158" t="n">
        <v>1</v>
      </c>
      <c r="R158" s="2" t="inlineStr">
        <is>
          <t>Blåsippa</t>
        </is>
      </c>
      <c r="S158">
        <f>HYPERLINK("https://klasma.github.io/Logging_2326/artfynd/A 24331-2025 artfynd.xlsx", "A 24331-2025")</f>
        <v/>
      </c>
      <c r="T158">
        <f>HYPERLINK("https://klasma.github.io/Logging_2326/kartor/A 24331-2025 karta.png", "A 24331-2025")</f>
        <v/>
      </c>
      <c r="V158">
        <f>HYPERLINK("https://klasma.github.io/Logging_2326/klagomål/A 24331-2025 FSC-klagomål.docx", "A 24331-2025")</f>
        <v/>
      </c>
      <c r="W158">
        <f>HYPERLINK("https://klasma.github.io/Logging_2326/klagomålsmail/A 24331-2025 FSC-klagomål mail.docx", "A 24331-2025")</f>
        <v/>
      </c>
      <c r="X158">
        <f>HYPERLINK("https://klasma.github.io/Logging_2326/tillsyn/A 24331-2025 tillsynsbegäran.docx", "A 24331-2025")</f>
        <v/>
      </c>
      <c r="Y158">
        <f>HYPERLINK("https://klasma.github.io/Logging_2326/tillsynsmail/A 24331-2025 tillsynsbegäran mail.docx", "A 24331-2025")</f>
        <v/>
      </c>
    </row>
    <row r="159" ht="15" customHeight="1">
      <c r="A159" t="inlineStr">
        <is>
          <t>A 25556-2025</t>
        </is>
      </c>
      <c r="B159" s="1" t="n">
        <v>45803.45106481481</v>
      </c>
      <c r="C159" s="1" t="n">
        <v>45923</v>
      </c>
      <c r="D159" t="inlineStr">
        <is>
          <t>JÄMTLANDS LÄN</t>
        </is>
      </c>
      <c r="E159" t="inlineStr">
        <is>
          <t>BERG</t>
        </is>
      </c>
      <c r="G159" t="n">
        <v>6.2</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25556-2025 artfynd.xlsx", "A 25556-2025")</f>
        <v/>
      </c>
      <c r="T159">
        <f>HYPERLINK("https://klasma.github.io/Logging_2326/kartor/A 25556-2025 karta.png", "A 25556-2025")</f>
        <v/>
      </c>
      <c r="V159">
        <f>HYPERLINK("https://klasma.github.io/Logging_2326/klagomål/A 25556-2025 FSC-klagomål.docx", "A 25556-2025")</f>
        <v/>
      </c>
      <c r="W159">
        <f>HYPERLINK("https://klasma.github.io/Logging_2326/klagomålsmail/A 25556-2025 FSC-klagomål mail.docx", "A 25556-2025")</f>
        <v/>
      </c>
      <c r="X159">
        <f>HYPERLINK("https://klasma.github.io/Logging_2326/tillsyn/A 25556-2025 tillsynsbegäran.docx", "A 25556-2025")</f>
        <v/>
      </c>
      <c r="Y159">
        <f>HYPERLINK("https://klasma.github.io/Logging_2326/tillsynsmail/A 25556-2025 tillsynsbegäran mail.docx", "A 25556-2025")</f>
        <v/>
      </c>
      <c r="Z159">
        <f>HYPERLINK("https://klasma.github.io/Logging_2326/fåglar/A 25556-2025 prioriterade fågelarter.docx", "A 25556-2025")</f>
        <v/>
      </c>
    </row>
    <row r="160" ht="15" customHeight="1">
      <c r="A160" t="inlineStr">
        <is>
          <t>A 24309-2023</t>
        </is>
      </c>
      <c r="B160" s="1" t="n">
        <v>45079</v>
      </c>
      <c r="C160" s="1" t="n">
        <v>45923</v>
      </c>
      <c r="D160" t="inlineStr">
        <is>
          <t>JÄMTLANDS LÄN</t>
        </is>
      </c>
      <c r="E160" t="inlineStr">
        <is>
          <t>BERG</t>
        </is>
      </c>
      <c r="F160" t="inlineStr">
        <is>
          <t>SCA</t>
        </is>
      </c>
      <c r="G160" t="n">
        <v>3.3</v>
      </c>
      <c r="H160" t="n">
        <v>1</v>
      </c>
      <c r="I160" t="n">
        <v>0</v>
      </c>
      <c r="J160" t="n">
        <v>0</v>
      </c>
      <c r="K160" t="n">
        <v>0</v>
      </c>
      <c r="L160" t="n">
        <v>0</v>
      </c>
      <c r="M160" t="n">
        <v>0</v>
      </c>
      <c r="N160" t="n">
        <v>0</v>
      </c>
      <c r="O160" t="n">
        <v>0</v>
      </c>
      <c r="P160" t="n">
        <v>0</v>
      </c>
      <c r="Q160" t="n">
        <v>1</v>
      </c>
      <c r="R160" s="2" t="inlineStr">
        <is>
          <t>Vanlig groda</t>
        </is>
      </c>
      <c r="S160">
        <f>HYPERLINK("https://klasma.github.io/Logging_2326/artfynd/A 24309-2023 artfynd.xlsx", "A 24309-2023")</f>
        <v/>
      </c>
      <c r="T160">
        <f>HYPERLINK("https://klasma.github.io/Logging_2326/kartor/A 24309-2023 karta.png", "A 24309-2023")</f>
        <v/>
      </c>
      <c r="V160">
        <f>HYPERLINK("https://klasma.github.io/Logging_2326/klagomål/A 24309-2023 FSC-klagomål.docx", "A 24309-2023")</f>
        <v/>
      </c>
      <c r="W160">
        <f>HYPERLINK("https://klasma.github.io/Logging_2326/klagomålsmail/A 24309-2023 FSC-klagomål mail.docx", "A 24309-2023")</f>
        <v/>
      </c>
      <c r="X160">
        <f>HYPERLINK("https://klasma.github.io/Logging_2326/tillsyn/A 24309-2023 tillsynsbegäran.docx", "A 24309-2023")</f>
        <v/>
      </c>
      <c r="Y160">
        <f>HYPERLINK("https://klasma.github.io/Logging_2326/tillsynsmail/A 24309-2023 tillsynsbegäran mail.docx", "A 24309-2023")</f>
        <v/>
      </c>
    </row>
    <row r="161" ht="15" customHeight="1">
      <c r="A161" t="inlineStr">
        <is>
          <t>A 32171-2024</t>
        </is>
      </c>
      <c r="B161" s="1" t="n">
        <v>45511</v>
      </c>
      <c r="C161" s="1" t="n">
        <v>45923</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52193-2024</t>
        </is>
      </c>
      <c r="B162" s="1" t="n">
        <v>45608</v>
      </c>
      <c r="C162" s="1" t="n">
        <v>45923</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45923</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31837-2025</t>
        </is>
      </c>
      <c r="B164" s="1" t="n">
        <v>45834.59467592592</v>
      </c>
      <c r="C164" s="1" t="n">
        <v>45923</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31837-2025 artfynd.xlsx", "A 31837-2025")</f>
        <v/>
      </c>
      <c r="T164">
        <f>HYPERLINK("https://klasma.github.io/Logging_2326/kartor/A 31837-2025 karta.png", "A 31837-2025")</f>
        <v/>
      </c>
      <c r="V164">
        <f>HYPERLINK("https://klasma.github.io/Logging_2326/klagomål/A 31837-2025 FSC-klagomål.docx", "A 31837-2025")</f>
        <v/>
      </c>
      <c r="W164">
        <f>HYPERLINK("https://klasma.github.io/Logging_2326/klagomålsmail/A 31837-2025 FSC-klagomål mail.docx", "A 31837-2025")</f>
        <v/>
      </c>
      <c r="X164">
        <f>HYPERLINK("https://klasma.github.io/Logging_2326/tillsyn/A 31837-2025 tillsynsbegäran.docx", "A 31837-2025")</f>
        <v/>
      </c>
      <c r="Y164">
        <f>HYPERLINK("https://klasma.github.io/Logging_2326/tillsynsmail/A 31837-2025 tillsynsbegäran mail.docx", "A 31837-2025")</f>
        <v/>
      </c>
    </row>
    <row r="165" ht="15" customHeight="1">
      <c r="A165" t="inlineStr">
        <is>
          <t>A 21632-2025</t>
        </is>
      </c>
      <c r="B165" s="1" t="n">
        <v>45783.42753472222</v>
      </c>
      <c r="C165" s="1" t="n">
        <v>45923</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33501-2025</t>
        </is>
      </c>
      <c r="B166" s="1" t="n">
        <v>45841</v>
      </c>
      <c r="C166" s="1" t="n">
        <v>45923</v>
      </c>
      <c r="D166" t="inlineStr">
        <is>
          <t>JÄMTLANDS LÄN</t>
        </is>
      </c>
      <c r="E166" t="inlineStr">
        <is>
          <t>BERG</t>
        </is>
      </c>
      <c r="G166" t="n">
        <v>6.9</v>
      </c>
      <c r="H166" t="n">
        <v>1</v>
      </c>
      <c r="I166" t="n">
        <v>1</v>
      </c>
      <c r="J166" t="n">
        <v>0</v>
      </c>
      <c r="K166" t="n">
        <v>0</v>
      </c>
      <c r="L166" t="n">
        <v>0</v>
      </c>
      <c r="M166" t="n">
        <v>0</v>
      </c>
      <c r="N166" t="n">
        <v>0</v>
      </c>
      <c r="O166" t="n">
        <v>0</v>
      </c>
      <c r="P166" t="n">
        <v>0</v>
      </c>
      <c r="Q166" t="n">
        <v>1</v>
      </c>
      <c r="R166" s="2" t="inlineStr">
        <is>
          <t>Korallrot</t>
        </is>
      </c>
      <c r="S166">
        <f>HYPERLINK("https://klasma.github.io/Logging_2326/artfynd/A 33501-2025 artfynd.xlsx", "A 33501-2025")</f>
        <v/>
      </c>
      <c r="T166">
        <f>HYPERLINK("https://klasma.github.io/Logging_2326/kartor/A 33501-2025 karta.png", "A 33501-2025")</f>
        <v/>
      </c>
      <c r="V166">
        <f>HYPERLINK("https://klasma.github.io/Logging_2326/klagomål/A 33501-2025 FSC-klagomål.docx", "A 33501-2025")</f>
        <v/>
      </c>
      <c r="W166">
        <f>HYPERLINK("https://klasma.github.io/Logging_2326/klagomålsmail/A 33501-2025 FSC-klagomål mail.docx", "A 33501-2025")</f>
        <v/>
      </c>
      <c r="X166">
        <f>HYPERLINK("https://klasma.github.io/Logging_2326/tillsyn/A 33501-2025 tillsynsbegäran.docx", "A 33501-2025")</f>
        <v/>
      </c>
      <c r="Y166">
        <f>HYPERLINK("https://klasma.github.io/Logging_2326/tillsynsmail/A 33501-2025 tillsynsbegäran mail.docx", "A 33501-2025")</f>
        <v/>
      </c>
    </row>
    <row r="167" ht="15" customHeight="1">
      <c r="A167" t="inlineStr">
        <is>
          <t>A 21370-2025</t>
        </is>
      </c>
      <c r="B167" s="1" t="n">
        <v>45782.4484375</v>
      </c>
      <c r="C167" s="1" t="n">
        <v>45923</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39001-2025</t>
        </is>
      </c>
      <c r="B168" s="1" t="n">
        <v>45888.344375</v>
      </c>
      <c r="C168" s="1" t="n">
        <v>45923</v>
      </c>
      <c r="D168" t="inlineStr">
        <is>
          <t>JÄMTLANDS LÄN</t>
        </is>
      </c>
      <c r="E168" t="inlineStr">
        <is>
          <t>BERG</t>
        </is>
      </c>
      <c r="F168" t="inlineStr">
        <is>
          <t>SCA</t>
        </is>
      </c>
      <c r="G168" t="n">
        <v>4.4</v>
      </c>
      <c r="H168" t="n">
        <v>0</v>
      </c>
      <c r="I168" t="n">
        <v>0</v>
      </c>
      <c r="J168" t="n">
        <v>1</v>
      </c>
      <c r="K168" t="n">
        <v>0</v>
      </c>
      <c r="L168" t="n">
        <v>0</v>
      </c>
      <c r="M168" t="n">
        <v>0</v>
      </c>
      <c r="N168" t="n">
        <v>0</v>
      </c>
      <c r="O168" t="n">
        <v>1</v>
      </c>
      <c r="P168" t="n">
        <v>0</v>
      </c>
      <c r="Q168" t="n">
        <v>1</v>
      </c>
      <c r="R168" s="2" t="inlineStr">
        <is>
          <t>Vedflamlav</t>
        </is>
      </c>
      <c r="S168">
        <f>HYPERLINK("https://klasma.github.io/Logging_2326/artfynd/A 39001-2025 artfynd.xlsx", "A 39001-2025")</f>
        <v/>
      </c>
      <c r="T168">
        <f>HYPERLINK("https://klasma.github.io/Logging_2326/kartor/A 39001-2025 karta.png", "A 39001-2025")</f>
        <v/>
      </c>
      <c r="V168">
        <f>HYPERLINK("https://klasma.github.io/Logging_2326/klagomål/A 39001-2025 FSC-klagomål.docx", "A 39001-2025")</f>
        <v/>
      </c>
      <c r="W168">
        <f>HYPERLINK("https://klasma.github.io/Logging_2326/klagomålsmail/A 39001-2025 FSC-klagomål mail.docx", "A 39001-2025")</f>
        <v/>
      </c>
      <c r="X168">
        <f>HYPERLINK("https://klasma.github.io/Logging_2326/tillsyn/A 39001-2025 tillsynsbegäran.docx", "A 39001-2025")</f>
        <v/>
      </c>
      <c r="Y168">
        <f>HYPERLINK("https://klasma.github.io/Logging_2326/tillsynsmail/A 39001-2025 tillsynsbegäran mail.docx", "A 39001-2025")</f>
        <v/>
      </c>
    </row>
    <row r="169" ht="15" customHeight="1">
      <c r="A169" t="inlineStr">
        <is>
          <t>A 49196-2022</t>
        </is>
      </c>
      <c r="B169" s="1" t="n">
        <v>44860.95508101852</v>
      </c>
      <c r="C169" s="1" t="n">
        <v>45923</v>
      </c>
      <c r="D169" t="inlineStr">
        <is>
          <t>JÄMTLANDS LÄN</t>
        </is>
      </c>
      <c r="E169" t="inlineStr">
        <is>
          <t>BERG</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54511-2020</t>
        </is>
      </c>
      <c r="B170" s="1" t="n">
        <v>44126</v>
      </c>
      <c r="C170" s="1" t="n">
        <v>45923</v>
      </c>
      <c r="D170" t="inlineStr">
        <is>
          <t>JÄMTLANDS LÄN</t>
        </is>
      </c>
      <c r="E170" t="inlineStr">
        <is>
          <t>BERG</t>
        </is>
      </c>
      <c r="G170" t="n">
        <v>0.8</v>
      </c>
      <c r="H170" t="n">
        <v>0</v>
      </c>
      <c r="I170" t="n">
        <v>0</v>
      </c>
      <c r="J170" t="n">
        <v>0</v>
      </c>
      <c r="K170" t="n">
        <v>0</v>
      </c>
      <c r="L170" t="n">
        <v>0</v>
      </c>
      <c r="M170" t="n">
        <v>0</v>
      </c>
      <c r="N170" t="n">
        <v>0</v>
      </c>
      <c r="O170" t="n">
        <v>0</v>
      </c>
      <c r="P170" t="n">
        <v>0</v>
      </c>
      <c r="Q170" t="n">
        <v>0</v>
      </c>
      <c r="R170" s="2" t="inlineStr"/>
    </row>
    <row r="171" ht="15" customHeight="1">
      <c r="A171" t="inlineStr">
        <is>
          <t>A 72926-2021</t>
        </is>
      </c>
      <c r="B171" s="1" t="n">
        <v>44546</v>
      </c>
      <c r="C171" s="1" t="n">
        <v>45923</v>
      </c>
      <c r="D171" t="inlineStr">
        <is>
          <t>JÄMTLANDS LÄN</t>
        </is>
      </c>
      <c r="E171" t="inlineStr">
        <is>
          <t>BERG</t>
        </is>
      </c>
      <c r="G171" t="n">
        <v>4.6</v>
      </c>
      <c r="H171" t="n">
        <v>0</v>
      </c>
      <c r="I171" t="n">
        <v>0</v>
      </c>
      <c r="J171" t="n">
        <v>0</v>
      </c>
      <c r="K171" t="n">
        <v>0</v>
      </c>
      <c r="L171" t="n">
        <v>0</v>
      </c>
      <c r="M171" t="n">
        <v>0</v>
      </c>
      <c r="N171" t="n">
        <v>0</v>
      </c>
      <c r="O171" t="n">
        <v>0</v>
      </c>
      <c r="P171" t="n">
        <v>0</v>
      </c>
      <c r="Q171" t="n">
        <v>0</v>
      </c>
      <c r="R171" s="2" t="inlineStr"/>
    </row>
    <row r="172" ht="15" customHeight="1">
      <c r="A172" t="inlineStr">
        <is>
          <t>A 62490-2020</t>
        </is>
      </c>
      <c r="B172" s="1" t="n">
        <v>44160</v>
      </c>
      <c r="C172" s="1" t="n">
        <v>45923</v>
      </c>
      <c r="D172" t="inlineStr">
        <is>
          <t>JÄMTLANDS LÄN</t>
        </is>
      </c>
      <c r="E172" t="inlineStr">
        <is>
          <t>BERG</t>
        </is>
      </c>
      <c r="G172" t="n">
        <v>18</v>
      </c>
      <c r="H172" t="n">
        <v>0</v>
      </c>
      <c r="I172" t="n">
        <v>0</v>
      </c>
      <c r="J172" t="n">
        <v>0</v>
      </c>
      <c r="K172" t="n">
        <v>0</v>
      </c>
      <c r="L172" t="n">
        <v>0</v>
      </c>
      <c r="M172" t="n">
        <v>0</v>
      </c>
      <c r="N172" t="n">
        <v>0</v>
      </c>
      <c r="O172" t="n">
        <v>0</v>
      </c>
      <c r="P172" t="n">
        <v>0</v>
      </c>
      <c r="Q172" t="n">
        <v>0</v>
      </c>
      <c r="R172" s="2" t="inlineStr"/>
    </row>
    <row r="173" ht="15" customHeight="1">
      <c r="A173" t="inlineStr">
        <is>
          <t>A 3801-2022</t>
        </is>
      </c>
      <c r="B173" s="1" t="n">
        <v>44586.93952546296</v>
      </c>
      <c r="C173" s="1" t="n">
        <v>45923</v>
      </c>
      <c r="D173" t="inlineStr">
        <is>
          <t>JÄMTLANDS LÄN</t>
        </is>
      </c>
      <c r="E173" t="inlineStr">
        <is>
          <t>BERG</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35867-2021</t>
        </is>
      </c>
      <c r="B174" s="1" t="n">
        <v>44386.93510416667</v>
      </c>
      <c r="C174" s="1" t="n">
        <v>45923</v>
      </c>
      <c r="D174" t="inlineStr">
        <is>
          <t>JÄMTLANDS LÄN</t>
        </is>
      </c>
      <c r="E174" t="inlineStr">
        <is>
          <t>BERG</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15277-2021</t>
        </is>
      </c>
      <c r="B175" s="1" t="n">
        <v>44284.57520833334</v>
      </c>
      <c r="C175" s="1" t="n">
        <v>45923</v>
      </c>
      <c r="D175" t="inlineStr">
        <is>
          <t>JÄMTLANDS LÄN</t>
        </is>
      </c>
      <c r="E175" t="inlineStr">
        <is>
          <t>BERG</t>
        </is>
      </c>
      <c r="G175" t="n">
        <v>1</v>
      </c>
      <c r="H175" t="n">
        <v>0</v>
      </c>
      <c r="I175" t="n">
        <v>0</v>
      </c>
      <c r="J175" t="n">
        <v>0</v>
      </c>
      <c r="K175" t="n">
        <v>0</v>
      </c>
      <c r="L175" t="n">
        <v>0</v>
      </c>
      <c r="M175" t="n">
        <v>0</v>
      </c>
      <c r="N175" t="n">
        <v>0</v>
      </c>
      <c r="O175" t="n">
        <v>0</v>
      </c>
      <c r="P175" t="n">
        <v>0</v>
      </c>
      <c r="Q175" t="n">
        <v>0</v>
      </c>
      <c r="R175" s="2" t="inlineStr"/>
    </row>
    <row r="176" ht="15" customHeight="1">
      <c r="A176" t="inlineStr">
        <is>
          <t>A 2010-2022</t>
        </is>
      </c>
      <c r="B176" s="1" t="n">
        <v>44575.5847337963</v>
      </c>
      <c r="C176" s="1" t="n">
        <v>45923</v>
      </c>
      <c r="D176" t="inlineStr">
        <is>
          <t>JÄMTLANDS LÄN</t>
        </is>
      </c>
      <c r="E176" t="inlineStr">
        <is>
          <t>BERG</t>
        </is>
      </c>
      <c r="G176" t="n">
        <v>1.6</v>
      </c>
      <c r="H176" t="n">
        <v>0</v>
      </c>
      <c r="I176" t="n">
        <v>0</v>
      </c>
      <c r="J176" t="n">
        <v>0</v>
      </c>
      <c r="K176" t="n">
        <v>0</v>
      </c>
      <c r="L176" t="n">
        <v>0</v>
      </c>
      <c r="M176" t="n">
        <v>0</v>
      </c>
      <c r="N176" t="n">
        <v>0</v>
      </c>
      <c r="O176" t="n">
        <v>0</v>
      </c>
      <c r="P176" t="n">
        <v>0</v>
      </c>
      <c r="Q176" t="n">
        <v>0</v>
      </c>
      <c r="R176" s="2" t="inlineStr"/>
    </row>
    <row r="177" ht="15" customHeight="1">
      <c r="A177" t="inlineStr">
        <is>
          <t>A 24843-2021</t>
        </is>
      </c>
      <c r="B177" s="1" t="n">
        <v>44340.82405092593</v>
      </c>
      <c r="C177" s="1" t="n">
        <v>45923</v>
      </c>
      <c r="D177" t="inlineStr">
        <is>
          <t>JÄMTLANDS LÄN</t>
        </is>
      </c>
      <c r="E177" t="inlineStr">
        <is>
          <t>BERG</t>
        </is>
      </c>
      <c r="G177" t="n">
        <v>3.8</v>
      </c>
      <c r="H177" t="n">
        <v>0</v>
      </c>
      <c r="I177" t="n">
        <v>0</v>
      </c>
      <c r="J177" t="n">
        <v>0</v>
      </c>
      <c r="K177" t="n">
        <v>0</v>
      </c>
      <c r="L177" t="n">
        <v>0</v>
      </c>
      <c r="M177" t="n">
        <v>0</v>
      </c>
      <c r="N177" t="n">
        <v>0</v>
      </c>
      <c r="O177" t="n">
        <v>0</v>
      </c>
      <c r="P177" t="n">
        <v>0</v>
      </c>
      <c r="Q177" t="n">
        <v>0</v>
      </c>
      <c r="R177" s="2" t="inlineStr"/>
    </row>
    <row r="178" ht="15" customHeight="1">
      <c r="A178" t="inlineStr">
        <is>
          <t>A 70463-2021</t>
        </is>
      </c>
      <c r="B178" s="1" t="n">
        <v>44536.65293981481</v>
      </c>
      <c r="C178" s="1" t="n">
        <v>45923</v>
      </c>
      <c r="D178" t="inlineStr">
        <is>
          <t>JÄMTLANDS LÄN</t>
        </is>
      </c>
      <c r="E178" t="inlineStr">
        <is>
          <t>BERG</t>
        </is>
      </c>
      <c r="G178" t="n">
        <v>10.8</v>
      </c>
      <c r="H178" t="n">
        <v>0</v>
      </c>
      <c r="I178" t="n">
        <v>0</v>
      </c>
      <c r="J178" t="n">
        <v>0</v>
      </c>
      <c r="K178" t="n">
        <v>0</v>
      </c>
      <c r="L178" t="n">
        <v>0</v>
      </c>
      <c r="M178" t="n">
        <v>0</v>
      </c>
      <c r="N178" t="n">
        <v>0</v>
      </c>
      <c r="O178" t="n">
        <v>0</v>
      </c>
      <c r="P178" t="n">
        <v>0</v>
      </c>
      <c r="Q178" t="n">
        <v>0</v>
      </c>
      <c r="R178" s="2" t="inlineStr"/>
    </row>
    <row r="179" ht="15" customHeight="1">
      <c r="A179" t="inlineStr">
        <is>
          <t>A 28883-2021</t>
        </is>
      </c>
      <c r="B179" s="1" t="n">
        <v>44357</v>
      </c>
      <c r="C179" s="1" t="n">
        <v>45923</v>
      </c>
      <c r="D179" t="inlineStr">
        <is>
          <t>JÄMTLANDS LÄN</t>
        </is>
      </c>
      <c r="E179" t="inlineStr">
        <is>
          <t>BERG</t>
        </is>
      </c>
      <c r="F179" t="inlineStr">
        <is>
          <t>Kyrkan</t>
        </is>
      </c>
      <c r="G179" t="n">
        <v>7.3</v>
      </c>
      <c r="H179" t="n">
        <v>0</v>
      </c>
      <c r="I179" t="n">
        <v>0</v>
      </c>
      <c r="J179" t="n">
        <v>0</v>
      </c>
      <c r="K179" t="n">
        <v>0</v>
      </c>
      <c r="L179" t="n">
        <v>0</v>
      </c>
      <c r="M179" t="n">
        <v>0</v>
      </c>
      <c r="N179" t="n">
        <v>0</v>
      </c>
      <c r="O179" t="n">
        <v>0</v>
      </c>
      <c r="P179" t="n">
        <v>0</v>
      </c>
      <c r="Q179" t="n">
        <v>0</v>
      </c>
      <c r="R179" s="2" t="inlineStr"/>
    </row>
    <row r="180" ht="15" customHeight="1">
      <c r="A180" t="inlineStr">
        <is>
          <t>A 37591-2021</t>
        </is>
      </c>
      <c r="B180" s="1" t="n">
        <v>44399</v>
      </c>
      <c r="C180" s="1" t="n">
        <v>45923</v>
      </c>
      <c r="D180" t="inlineStr">
        <is>
          <t>JÄMTLANDS LÄN</t>
        </is>
      </c>
      <c r="E180" t="inlineStr">
        <is>
          <t>BERG</t>
        </is>
      </c>
      <c r="G180" t="n">
        <v>1.9</v>
      </c>
      <c r="H180" t="n">
        <v>0</v>
      </c>
      <c r="I180" t="n">
        <v>0</v>
      </c>
      <c r="J180" t="n">
        <v>0</v>
      </c>
      <c r="K180" t="n">
        <v>0</v>
      </c>
      <c r="L180" t="n">
        <v>0</v>
      </c>
      <c r="M180" t="n">
        <v>0</v>
      </c>
      <c r="N180" t="n">
        <v>0</v>
      </c>
      <c r="O180" t="n">
        <v>0</v>
      </c>
      <c r="P180" t="n">
        <v>0</v>
      </c>
      <c r="Q180" t="n">
        <v>0</v>
      </c>
      <c r="R180" s="2" t="inlineStr"/>
    </row>
    <row r="181" ht="15" customHeight="1">
      <c r="A181" t="inlineStr">
        <is>
          <t>A 2544-2022</t>
        </is>
      </c>
      <c r="B181" s="1" t="n">
        <v>44579.9719212963</v>
      </c>
      <c r="C181" s="1" t="n">
        <v>45923</v>
      </c>
      <c r="D181" t="inlineStr">
        <is>
          <t>JÄMTLANDS LÄN</t>
        </is>
      </c>
      <c r="E181" t="inlineStr">
        <is>
          <t>BERG</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45923</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16828-2021</t>
        </is>
      </c>
      <c r="B183" s="1" t="n">
        <v>44293</v>
      </c>
      <c r="C183" s="1" t="n">
        <v>45923</v>
      </c>
      <c r="D183" t="inlineStr">
        <is>
          <t>JÄMTLANDS LÄN</t>
        </is>
      </c>
      <c r="E183" t="inlineStr">
        <is>
          <t>BERG</t>
        </is>
      </c>
      <c r="G183" t="n">
        <v>2.2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45923</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3870-2022</t>
        </is>
      </c>
      <c r="B185" s="1" t="n">
        <v>44587</v>
      </c>
      <c r="C185" s="1" t="n">
        <v>45923</v>
      </c>
      <c r="D185" t="inlineStr">
        <is>
          <t>JÄMTLANDS LÄN</t>
        </is>
      </c>
      <c r="E185" t="inlineStr">
        <is>
          <t>BERG</t>
        </is>
      </c>
      <c r="G185" t="n">
        <v>2</v>
      </c>
      <c r="H185" t="n">
        <v>0</v>
      </c>
      <c r="I185" t="n">
        <v>0</v>
      </c>
      <c r="J185" t="n">
        <v>0</v>
      </c>
      <c r="K185" t="n">
        <v>0</v>
      </c>
      <c r="L185" t="n">
        <v>0</v>
      </c>
      <c r="M185" t="n">
        <v>0</v>
      </c>
      <c r="N185" t="n">
        <v>0</v>
      </c>
      <c r="O185" t="n">
        <v>0</v>
      </c>
      <c r="P185" t="n">
        <v>0</v>
      </c>
      <c r="Q185" t="n">
        <v>0</v>
      </c>
      <c r="R185" s="2" t="inlineStr"/>
    </row>
    <row r="186" ht="15" customHeight="1">
      <c r="A186" t="inlineStr">
        <is>
          <t>A 3511-2021</t>
        </is>
      </c>
      <c r="B186" s="1" t="n">
        <v>44218</v>
      </c>
      <c r="C186" s="1" t="n">
        <v>45923</v>
      </c>
      <c r="D186" t="inlineStr">
        <is>
          <t>JÄMTLANDS LÄN</t>
        </is>
      </c>
      <c r="E186" t="inlineStr">
        <is>
          <t>BERG</t>
        </is>
      </c>
      <c r="G186" t="n">
        <v>3.9</v>
      </c>
      <c r="H186" t="n">
        <v>0</v>
      </c>
      <c r="I186" t="n">
        <v>0</v>
      </c>
      <c r="J186" t="n">
        <v>0</v>
      </c>
      <c r="K186" t="n">
        <v>0</v>
      </c>
      <c r="L186" t="n">
        <v>0</v>
      </c>
      <c r="M186" t="n">
        <v>0</v>
      </c>
      <c r="N186" t="n">
        <v>0</v>
      </c>
      <c r="O186" t="n">
        <v>0</v>
      </c>
      <c r="P186" t="n">
        <v>0</v>
      </c>
      <c r="Q186" t="n">
        <v>0</v>
      </c>
      <c r="R186" s="2" t="inlineStr"/>
    </row>
    <row r="187" ht="15" customHeight="1">
      <c r="A187" t="inlineStr">
        <is>
          <t>A 68450-2021</t>
        </is>
      </c>
      <c r="B187" s="1" t="n">
        <v>44529</v>
      </c>
      <c r="C187" s="1" t="n">
        <v>45923</v>
      </c>
      <c r="D187" t="inlineStr">
        <is>
          <t>JÄMTLANDS LÄN</t>
        </is>
      </c>
      <c r="E187" t="inlineStr">
        <is>
          <t>BERG</t>
        </is>
      </c>
      <c r="G187" t="n">
        <v>7.3</v>
      </c>
      <c r="H187" t="n">
        <v>0</v>
      </c>
      <c r="I187" t="n">
        <v>0</v>
      </c>
      <c r="J187" t="n">
        <v>0</v>
      </c>
      <c r="K187" t="n">
        <v>0</v>
      </c>
      <c r="L187" t="n">
        <v>0</v>
      </c>
      <c r="M187" t="n">
        <v>0</v>
      </c>
      <c r="N187" t="n">
        <v>0</v>
      </c>
      <c r="O187" t="n">
        <v>0</v>
      </c>
      <c r="P187" t="n">
        <v>0</v>
      </c>
      <c r="Q187" t="n">
        <v>0</v>
      </c>
      <c r="R187" s="2" t="inlineStr"/>
    </row>
    <row r="188" ht="15" customHeight="1">
      <c r="A188" t="inlineStr">
        <is>
          <t>A 44443-2022</t>
        </is>
      </c>
      <c r="B188" s="1" t="n">
        <v>44839.95467592592</v>
      </c>
      <c r="C188" s="1" t="n">
        <v>45923</v>
      </c>
      <c r="D188" t="inlineStr">
        <is>
          <t>JÄMTLANDS LÄN</t>
        </is>
      </c>
      <c r="E188" t="inlineStr">
        <is>
          <t>BERG</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25265-2022</t>
        </is>
      </c>
      <c r="B189" s="1" t="n">
        <v>44729.94224537037</v>
      </c>
      <c r="C189" s="1" t="n">
        <v>45923</v>
      </c>
      <c r="D189" t="inlineStr">
        <is>
          <t>JÄMTLANDS LÄN</t>
        </is>
      </c>
      <c r="E189" t="inlineStr">
        <is>
          <t>BERG</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36720-2021</t>
        </is>
      </c>
      <c r="B190" s="1" t="n">
        <v>44392</v>
      </c>
      <c r="C190" s="1" t="n">
        <v>45923</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16822-2021</t>
        </is>
      </c>
      <c r="B191" s="1" t="n">
        <v>44293</v>
      </c>
      <c r="C191" s="1" t="n">
        <v>45923</v>
      </c>
      <c r="D191" t="inlineStr">
        <is>
          <t>JÄMTLANDS LÄN</t>
        </is>
      </c>
      <c r="E191" t="inlineStr">
        <is>
          <t>BERG</t>
        </is>
      </c>
      <c r="G191" t="n">
        <v>4.5</v>
      </c>
      <c r="H191" t="n">
        <v>0</v>
      </c>
      <c r="I191" t="n">
        <v>0</v>
      </c>
      <c r="J191" t="n">
        <v>0</v>
      </c>
      <c r="K191" t="n">
        <v>0</v>
      </c>
      <c r="L191" t="n">
        <v>0</v>
      </c>
      <c r="M191" t="n">
        <v>0</v>
      </c>
      <c r="N191" t="n">
        <v>0</v>
      </c>
      <c r="O191" t="n">
        <v>0</v>
      </c>
      <c r="P191" t="n">
        <v>0</v>
      </c>
      <c r="Q191" t="n">
        <v>0</v>
      </c>
      <c r="R191" s="2" t="inlineStr"/>
    </row>
    <row r="192" ht="15" customHeight="1">
      <c r="A192" t="inlineStr">
        <is>
          <t>A 16825-2021</t>
        </is>
      </c>
      <c r="B192" s="1" t="n">
        <v>44293</v>
      </c>
      <c r="C192" s="1" t="n">
        <v>45923</v>
      </c>
      <c r="D192" t="inlineStr">
        <is>
          <t>JÄMTLANDS LÄN</t>
        </is>
      </c>
      <c r="E192" t="inlineStr">
        <is>
          <t>BERG</t>
        </is>
      </c>
      <c r="G192" t="n">
        <v>20</v>
      </c>
      <c r="H192" t="n">
        <v>0</v>
      </c>
      <c r="I192" t="n">
        <v>0</v>
      </c>
      <c r="J192" t="n">
        <v>0</v>
      </c>
      <c r="K192" t="n">
        <v>0</v>
      </c>
      <c r="L192" t="n">
        <v>0</v>
      </c>
      <c r="M192" t="n">
        <v>0</v>
      </c>
      <c r="N192" t="n">
        <v>0</v>
      </c>
      <c r="O192" t="n">
        <v>0</v>
      </c>
      <c r="P192" t="n">
        <v>0</v>
      </c>
      <c r="Q192" t="n">
        <v>0</v>
      </c>
      <c r="R192" s="2" t="inlineStr"/>
    </row>
    <row r="193" ht="15" customHeight="1">
      <c r="A193" t="inlineStr">
        <is>
          <t>A 55311-2020</t>
        </is>
      </c>
      <c r="B193" s="1" t="n">
        <v>44130</v>
      </c>
      <c r="C193" s="1" t="n">
        <v>45923</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46937-2021</t>
        </is>
      </c>
      <c r="B194" s="1" t="n">
        <v>44446</v>
      </c>
      <c r="C194" s="1" t="n">
        <v>45923</v>
      </c>
      <c r="D194" t="inlineStr">
        <is>
          <t>JÄMTLANDS LÄN</t>
        </is>
      </c>
      <c r="E194" t="inlineStr">
        <is>
          <t>BERG</t>
        </is>
      </c>
      <c r="G194" t="n">
        <v>3</v>
      </c>
      <c r="H194" t="n">
        <v>0</v>
      </c>
      <c r="I194" t="n">
        <v>0</v>
      </c>
      <c r="J194" t="n">
        <v>0</v>
      </c>
      <c r="K194" t="n">
        <v>0</v>
      </c>
      <c r="L194" t="n">
        <v>0</v>
      </c>
      <c r="M194" t="n">
        <v>0</v>
      </c>
      <c r="N194" t="n">
        <v>0</v>
      </c>
      <c r="O194" t="n">
        <v>0</v>
      </c>
      <c r="P194" t="n">
        <v>0</v>
      </c>
      <c r="Q194" t="n">
        <v>0</v>
      </c>
      <c r="R194" s="2" t="inlineStr"/>
    </row>
    <row r="195" ht="15" customHeight="1">
      <c r="A195" t="inlineStr">
        <is>
          <t>A 14163-2021</t>
        </is>
      </c>
      <c r="B195" s="1" t="n">
        <v>44277</v>
      </c>
      <c r="C195" s="1" t="n">
        <v>45923</v>
      </c>
      <c r="D195" t="inlineStr">
        <is>
          <t>JÄMTLANDS LÄN</t>
        </is>
      </c>
      <c r="E195" t="inlineStr">
        <is>
          <t>BERG</t>
        </is>
      </c>
      <c r="G195" t="n">
        <v>8.1</v>
      </c>
      <c r="H195" t="n">
        <v>0</v>
      </c>
      <c r="I195" t="n">
        <v>0</v>
      </c>
      <c r="J195" t="n">
        <v>0</v>
      </c>
      <c r="K195" t="n">
        <v>0</v>
      </c>
      <c r="L195" t="n">
        <v>0</v>
      </c>
      <c r="M195" t="n">
        <v>0</v>
      </c>
      <c r="N195" t="n">
        <v>0</v>
      </c>
      <c r="O195" t="n">
        <v>0</v>
      </c>
      <c r="P195" t="n">
        <v>0</v>
      </c>
      <c r="Q195" t="n">
        <v>0</v>
      </c>
      <c r="R195" s="2" t="inlineStr"/>
    </row>
    <row r="196" ht="15" customHeight="1">
      <c r="A196" t="inlineStr">
        <is>
          <t>A 14224-2021</t>
        </is>
      </c>
      <c r="B196" s="1" t="n">
        <v>44277</v>
      </c>
      <c r="C196" s="1" t="n">
        <v>45923</v>
      </c>
      <c r="D196" t="inlineStr">
        <is>
          <t>JÄMTLANDS LÄN</t>
        </is>
      </c>
      <c r="E196" t="inlineStr">
        <is>
          <t>BERG</t>
        </is>
      </c>
      <c r="G196" t="n">
        <v>24.9</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45923</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45923</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45923</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45923</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45923</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45923</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45923</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45923</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58088-2021</t>
        </is>
      </c>
      <c r="B205" s="1" t="n">
        <v>44487.50133101852</v>
      </c>
      <c r="C205" s="1" t="n">
        <v>45923</v>
      </c>
      <c r="D205" t="inlineStr">
        <is>
          <t>JÄMTLANDS LÄN</t>
        </is>
      </c>
      <c r="E205" t="inlineStr">
        <is>
          <t>BERG</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5221-2022</t>
        </is>
      </c>
      <c r="B206" s="1" t="n">
        <v>44594.48864583333</v>
      </c>
      <c r="C206" s="1" t="n">
        <v>45923</v>
      </c>
      <c r="D206" t="inlineStr">
        <is>
          <t>JÄMTLANDS LÄN</t>
        </is>
      </c>
      <c r="E206" t="inlineStr">
        <is>
          <t>BERG</t>
        </is>
      </c>
      <c r="G206" t="n">
        <v>4.9</v>
      </c>
      <c r="H206" t="n">
        <v>0</v>
      </c>
      <c r="I206" t="n">
        <v>0</v>
      </c>
      <c r="J206" t="n">
        <v>0</v>
      </c>
      <c r="K206" t="n">
        <v>0</v>
      </c>
      <c r="L206" t="n">
        <v>0</v>
      </c>
      <c r="M206" t="n">
        <v>0</v>
      </c>
      <c r="N206" t="n">
        <v>0</v>
      </c>
      <c r="O206" t="n">
        <v>0</v>
      </c>
      <c r="P206" t="n">
        <v>0</v>
      </c>
      <c r="Q206" t="n">
        <v>0</v>
      </c>
      <c r="R206" s="2" t="inlineStr"/>
    </row>
    <row r="207" ht="15" customHeight="1">
      <c r="A207" t="inlineStr">
        <is>
          <t>A 5222-2022</t>
        </is>
      </c>
      <c r="B207" s="1" t="n">
        <v>44594.4892824074</v>
      </c>
      <c r="C207" s="1" t="n">
        <v>45923</v>
      </c>
      <c r="D207" t="inlineStr">
        <is>
          <t>JÄMTLANDS LÄN</t>
        </is>
      </c>
      <c r="E207" t="inlineStr">
        <is>
          <t>BERG</t>
        </is>
      </c>
      <c r="G207" t="n">
        <v>12.3</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45923</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9920-2021</t>
        </is>
      </c>
      <c r="B209" s="1" t="n">
        <v>44253</v>
      </c>
      <c r="C209" s="1" t="n">
        <v>45923</v>
      </c>
      <c r="D209" t="inlineStr">
        <is>
          <t>JÄMTLANDS LÄN</t>
        </is>
      </c>
      <c r="E209" t="inlineStr">
        <is>
          <t>BERG</t>
        </is>
      </c>
      <c r="G209" t="n">
        <v>3.5</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45923</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2009-2022</t>
        </is>
      </c>
      <c r="B211" s="1" t="n">
        <v>44575</v>
      </c>
      <c r="C211" s="1" t="n">
        <v>45923</v>
      </c>
      <c r="D211" t="inlineStr">
        <is>
          <t>JÄMTLANDS LÄN</t>
        </is>
      </c>
      <c r="E211" t="inlineStr">
        <is>
          <t>BERG</t>
        </is>
      </c>
      <c r="G211" t="n">
        <v>11.9</v>
      </c>
      <c r="H211" t="n">
        <v>0</v>
      </c>
      <c r="I211" t="n">
        <v>0</v>
      </c>
      <c r="J211" t="n">
        <v>0</v>
      </c>
      <c r="K211" t="n">
        <v>0</v>
      </c>
      <c r="L211" t="n">
        <v>0</v>
      </c>
      <c r="M211" t="n">
        <v>0</v>
      </c>
      <c r="N211" t="n">
        <v>0</v>
      </c>
      <c r="O211" t="n">
        <v>0</v>
      </c>
      <c r="P211" t="n">
        <v>0</v>
      </c>
      <c r="Q211" t="n">
        <v>0</v>
      </c>
      <c r="R211" s="2" t="inlineStr"/>
    </row>
    <row r="212" ht="15" customHeight="1">
      <c r="A212" t="inlineStr">
        <is>
          <t>A 33878-2021</t>
        </is>
      </c>
      <c r="B212" s="1" t="n">
        <v>44378.64378472222</v>
      </c>
      <c r="C212" s="1" t="n">
        <v>45923</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45923</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8639-2021</t>
        </is>
      </c>
      <c r="B214" s="1" t="n">
        <v>44245</v>
      </c>
      <c r="C214" s="1" t="n">
        <v>45923</v>
      </c>
      <c r="D214" t="inlineStr">
        <is>
          <t>JÄMTLANDS LÄN</t>
        </is>
      </c>
      <c r="E214" t="inlineStr">
        <is>
          <t>BERG</t>
        </is>
      </c>
      <c r="F214" t="inlineStr">
        <is>
          <t>Naturvårdsverket</t>
        </is>
      </c>
      <c r="G214" t="n">
        <v>1.5</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45923</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46515-2021</t>
        </is>
      </c>
      <c r="B216" s="1" t="n">
        <v>44445</v>
      </c>
      <c r="C216" s="1" t="n">
        <v>45923</v>
      </c>
      <c r="D216" t="inlineStr">
        <is>
          <t>JÄMTLANDS LÄN</t>
        </is>
      </c>
      <c r="E216" t="inlineStr">
        <is>
          <t>BERG</t>
        </is>
      </c>
      <c r="G216" t="n">
        <v>1.1</v>
      </c>
      <c r="H216" t="n">
        <v>0</v>
      </c>
      <c r="I216" t="n">
        <v>0</v>
      </c>
      <c r="J216" t="n">
        <v>0</v>
      </c>
      <c r="K216" t="n">
        <v>0</v>
      </c>
      <c r="L216" t="n">
        <v>0</v>
      </c>
      <c r="M216" t="n">
        <v>0</v>
      </c>
      <c r="N216" t="n">
        <v>0</v>
      </c>
      <c r="O216" t="n">
        <v>0</v>
      </c>
      <c r="P216" t="n">
        <v>0</v>
      </c>
      <c r="Q216" t="n">
        <v>0</v>
      </c>
      <c r="R216" s="2" t="inlineStr"/>
    </row>
    <row r="217" ht="15" customHeight="1">
      <c r="A217" t="inlineStr">
        <is>
          <t>A 68896-2020</t>
        </is>
      </c>
      <c r="B217" s="1" t="n">
        <v>44187</v>
      </c>
      <c r="C217" s="1" t="n">
        <v>45923</v>
      </c>
      <c r="D217" t="inlineStr">
        <is>
          <t>JÄMTLANDS LÄN</t>
        </is>
      </c>
      <c r="E217" t="inlineStr">
        <is>
          <t>BERG</t>
        </is>
      </c>
      <c r="G217" t="n">
        <v>9.6</v>
      </c>
      <c r="H217" t="n">
        <v>0</v>
      </c>
      <c r="I217" t="n">
        <v>0</v>
      </c>
      <c r="J217" t="n">
        <v>0</v>
      </c>
      <c r="K217" t="n">
        <v>0</v>
      </c>
      <c r="L217" t="n">
        <v>0</v>
      </c>
      <c r="M217" t="n">
        <v>0</v>
      </c>
      <c r="N217" t="n">
        <v>0</v>
      </c>
      <c r="O217" t="n">
        <v>0</v>
      </c>
      <c r="P217" t="n">
        <v>0</v>
      </c>
      <c r="Q217" t="n">
        <v>0</v>
      </c>
      <c r="R217" s="2" t="inlineStr"/>
    </row>
    <row r="218" ht="15" customHeight="1">
      <c r="A218" t="inlineStr">
        <is>
          <t>A 63002-2020</t>
        </is>
      </c>
      <c r="B218" s="1" t="n">
        <v>44162.47145833333</v>
      </c>
      <c r="C218" s="1" t="n">
        <v>45923</v>
      </c>
      <c r="D218" t="inlineStr">
        <is>
          <t>JÄMTLANDS LÄN</t>
        </is>
      </c>
      <c r="E218" t="inlineStr">
        <is>
          <t>BERG</t>
        </is>
      </c>
      <c r="G218" t="n">
        <v>6.6</v>
      </c>
      <c r="H218" t="n">
        <v>0</v>
      </c>
      <c r="I218" t="n">
        <v>0</v>
      </c>
      <c r="J218" t="n">
        <v>0</v>
      </c>
      <c r="K218" t="n">
        <v>0</v>
      </c>
      <c r="L218" t="n">
        <v>0</v>
      </c>
      <c r="M218" t="n">
        <v>0</v>
      </c>
      <c r="N218" t="n">
        <v>0</v>
      </c>
      <c r="O218" t="n">
        <v>0</v>
      </c>
      <c r="P218" t="n">
        <v>0</v>
      </c>
      <c r="Q218" t="n">
        <v>0</v>
      </c>
      <c r="R218" s="2" t="inlineStr"/>
    </row>
    <row r="219" ht="15" customHeight="1">
      <c r="A219" t="inlineStr">
        <is>
          <t>A 63009-2020</t>
        </is>
      </c>
      <c r="B219" s="1" t="n">
        <v>44162.48234953704</v>
      </c>
      <c r="C219" s="1" t="n">
        <v>45923</v>
      </c>
      <c r="D219" t="inlineStr">
        <is>
          <t>JÄMTLANDS LÄN</t>
        </is>
      </c>
      <c r="E219" t="inlineStr">
        <is>
          <t>BERG</t>
        </is>
      </c>
      <c r="G219" t="n">
        <v>4.9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45923</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34803-2022</t>
        </is>
      </c>
      <c r="B221" s="1" t="n">
        <v>44795.94754629629</v>
      </c>
      <c r="C221" s="1" t="n">
        <v>45923</v>
      </c>
      <c r="D221" t="inlineStr">
        <is>
          <t>JÄMTLANDS LÄN</t>
        </is>
      </c>
      <c r="E221" t="inlineStr">
        <is>
          <t>BERG</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45923</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68483-2021</t>
        </is>
      </c>
      <c r="B223" s="1" t="n">
        <v>44529</v>
      </c>
      <c r="C223" s="1" t="n">
        <v>45923</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18567-2021</t>
        </is>
      </c>
      <c r="B224" s="1" t="n">
        <v>44306.55199074074</v>
      </c>
      <c r="C224" s="1" t="n">
        <v>45923</v>
      </c>
      <c r="D224" t="inlineStr">
        <is>
          <t>JÄMTLANDS LÄN</t>
        </is>
      </c>
      <c r="E224" t="inlineStr">
        <is>
          <t>BERG</t>
        </is>
      </c>
      <c r="G224" t="n">
        <v>3</v>
      </c>
      <c r="H224" t="n">
        <v>0</v>
      </c>
      <c r="I224" t="n">
        <v>0</v>
      </c>
      <c r="J224" t="n">
        <v>0</v>
      </c>
      <c r="K224" t="n">
        <v>0</v>
      </c>
      <c r="L224" t="n">
        <v>0</v>
      </c>
      <c r="M224" t="n">
        <v>0</v>
      </c>
      <c r="N224" t="n">
        <v>0</v>
      </c>
      <c r="O224" t="n">
        <v>0</v>
      </c>
      <c r="P224" t="n">
        <v>0</v>
      </c>
      <c r="Q224" t="n">
        <v>0</v>
      </c>
      <c r="R224" s="2" t="inlineStr"/>
    </row>
    <row r="225" ht="15" customHeight="1">
      <c r="A225" t="inlineStr">
        <is>
          <t>A 18569-2021</t>
        </is>
      </c>
      <c r="B225" s="1" t="n">
        <v>44306.55394675926</v>
      </c>
      <c r="C225" s="1" t="n">
        <v>45923</v>
      </c>
      <c r="D225" t="inlineStr">
        <is>
          <t>JÄMTLANDS LÄN</t>
        </is>
      </c>
      <c r="E225" t="inlineStr">
        <is>
          <t>BERG</t>
        </is>
      </c>
      <c r="G225" t="n">
        <v>0.7</v>
      </c>
      <c r="H225" t="n">
        <v>0</v>
      </c>
      <c r="I225" t="n">
        <v>0</v>
      </c>
      <c r="J225" t="n">
        <v>0</v>
      </c>
      <c r="K225" t="n">
        <v>0</v>
      </c>
      <c r="L225" t="n">
        <v>0</v>
      </c>
      <c r="M225" t="n">
        <v>0</v>
      </c>
      <c r="N225" t="n">
        <v>0</v>
      </c>
      <c r="O225" t="n">
        <v>0</v>
      </c>
      <c r="P225" t="n">
        <v>0</v>
      </c>
      <c r="Q225" t="n">
        <v>0</v>
      </c>
      <c r="R225" s="2" t="inlineStr"/>
    </row>
    <row r="226" ht="15" customHeight="1">
      <c r="A226" t="inlineStr">
        <is>
          <t>A 20179-2021</t>
        </is>
      </c>
      <c r="B226" s="1" t="n">
        <v>44314.56744212963</v>
      </c>
      <c r="C226" s="1" t="n">
        <v>45923</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63522-2020</t>
        </is>
      </c>
      <c r="B227" s="1" t="n">
        <v>44165</v>
      </c>
      <c r="C227" s="1" t="n">
        <v>45923</v>
      </c>
      <c r="D227" t="inlineStr">
        <is>
          <t>JÄMTLANDS LÄN</t>
        </is>
      </c>
      <c r="E227" t="inlineStr">
        <is>
          <t>BERG</t>
        </is>
      </c>
      <c r="G227" t="n">
        <v>2.4</v>
      </c>
      <c r="H227" t="n">
        <v>0</v>
      </c>
      <c r="I227" t="n">
        <v>0</v>
      </c>
      <c r="J227" t="n">
        <v>0</v>
      </c>
      <c r="K227" t="n">
        <v>0</v>
      </c>
      <c r="L227" t="n">
        <v>0</v>
      </c>
      <c r="M227" t="n">
        <v>0</v>
      </c>
      <c r="N227" t="n">
        <v>0</v>
      </c>
      <c r="O227" t="n">
        <v>0</v>
      </c>
      <c r="P227" t="n">
        <v>0</v>
      </c>
      <c r="Q227" t="n">
        <v>0</v>
      </c>
      <c r="R227" s="2" t="inlineStr"/>
    </row>
    <row r="228" ht="15" customHeight="1">
      <c r="A228" t="inlineStr">
        <is>
          <t>A 21403-2022</t>
        </is>
      </c>
      <c r="B228" s="1" t="n">
        <v>44705.9403125</v>
      </c>
      <c r="C228" s="1" t="n">
        <v>45923</v>
      </c>
      <c r="D228" t="inlineStr">
        <is>
          <t>JÄMTLANDS LÄN</t>
        </is>
      </c>
      <c r="E228" t="inlineStr">
        <is>
          <t>BERG</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45923</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45923</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45923</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6090-2022</t>
        </is>
      </c>
      <c r="B232" s="1" t="n">
        <v>44599</v>
      </c>
      <c r="C232" s="1" t="n">
        <v>45923</v>
      </c>
      <c r="D232" t="inlineStr">
        <is>
          <t>JÄMTLANDS LÄN</t>
        </is>
      </c>
      <c r="E232" t="inlineStr">
        <is>
          <t>BERG</t>
        </is>
      </c>
      <c r="G232" t="n">
        <v>1.3</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45923</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45923</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45923</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64490-2023</t>
        </is>
      </c>
      <c r="B236" s="1" t="n">
        <v>45280</v>
      </c>
      <c r="C236" s="1" t="n">
        <v>45923</v>
      </c>
      <c r="D236" t="inlineStr">
        <is>
          <t>JÄMTLANDS LÄN</t>
        </is>
      </c>
      <c r="E236" t="inlineStr">
        <is>
          <t>BERG</t>
        </is>
      </c>
      <c r="F236" t="inlineStr">
        <is>
          <t>Övriga Aktiebolag</t>
        </is>
      </c>
      <c r="G236" t="n">
        <v>7.7</v>
      </c>
      <c r="H236" t="n">
        <v>0</v>
      </c>
      <c r="I236" t="n">
        <v>0</v>
      </c>
      <c r="J236" t="n">
        <v>0</v>
      </c>
      <c r="K236" t="n">
        <v>0</v>
      </c>
      <c r="L236" t="n">
        <v>0</v>
      </c>
      <c r="M236" t="n">
        <v>0</v>
      </c>
      <c r="N236" t="n">
        <v>0</v>
      </c>
      <c r="O236" t="n">
        <v>0</v>
      </c>
      <c r="P236" t="n">
        <v>0</v>
      </c>
      <c r="Q236" t="n">
        <v>0</v>
      </c>
      <c r="R236" s="2" t="inlineStr"/>
    </row>
    <row r="237" ht="15" customHeight="1">
      <c r="A237" t="inlineStr">
        <is>
          <t>A 4522-2024</t>
        </is>
      </c>
      <c r="B237" s="1" t="n">
        <v>45327</v>
      </c>
      <c r="C237" s="1" t="n">
        <v>45923</v>
      </c>
      <c r="D237" t="inlineStr">
        <is>
          <t>JÄMTLANDS LÄN</t>
        </is>
      </c>
      <c r="E237" t="inlineStr">
        <is>
          <t>BERG</t>
        </is>
      </c>
      <c r="G237" t="n">
        <v>0.6</v>
      </c>
      <c r="H237" t="n">
        <v>0</v>
      </c>
      <c r="I237" t="n">
        <v>0</v>
      </c>
      <c r="J237" t="n">
        <v>0</v>
      </c>
      <c r="K237" t="n">
        <v>0</v>
      </c>
      <c r="L237" t="n">
        <v>0</v>
      </c>
      <c r="M237" t="n">
        <v>0</v>
      </c>
      <c r="N237" t="n">
        <v>0</v>
      </c>
      <c r="O237" t="n">
        <v>0</v>
      </c>
      <c r="P237" t="n">
        <v>0</v>
      </c>
      <c r="Q237" t="n">
        <v>0</v>
      </c>
      <c r="R237" s="2" t="inlineStr"/>
    </row>
    <row r="238" ht="15" customHeight="1">
      <c r="A238" t="inlineStr">
        <is>
          <t>A 35308-2021</t>
        </is>
      </c>
      <c r="B238" s="1" t="n">
        <v>44384</v>
      </c>
      <c r="C238" s="1" t="n">
        <v>45923</v>
      </c>
      <c r="D238" t="inlineStr">
        <is>
          <t>JÄMTLANDS LÄN</t>
        </is>
      </c>
      <c r="E238" t="inlineStr">
        <is>
          <t>BERG</t>
        </is>
      </c>
      <c r="G238" t="n">
        <v>2.9</v>
      </c>
      <c r="H238" t="n">
        <v>0</v>
      </c>
      <c r="I238" t="n">
        <v>0</v>
      </c>
      <c r="J238" t="n">
        <v>0</v>
      </c>
      <c r="K238" t="n">
        <v>0</v>
      </c>
      <c r="L238" t="n">
        <v>0</v>
      </c>
      <c r="M238" t="n">
        <v>0</v>
      </c>
      <c r="N238" t="n">
        <v>0</v>
      </c>
      <c r="O238" t="n">
        <v>0</v>
      </c>
      <c r="P238" t="n">
        <v>0</v>
      </c>
      <c r="Q238" t="n">
        <v>0</v>
      </c>
      <c r="R238" s="2" t="inlineStr"/>
      <c r="U238">
        <f>HYPERLINK("https://klasma.github.io/Logging_2326/knärot/A 35308-2021 karta knärot.png", "A 35308-2021")</f>
        <v/>
      </c>
      <c r="V238">
        <f>HYPERLINK("https://klasma.github.io/Logging_2326/klagomål/A 35308-2021 FSC-klagomål.docx", "A 35308-2021")</f>
        <v/>
      </c>
      <c r="W238">
        <f>HYPERLINK("https://klasma.github.io/Logging_2326/klagomålsmail/A 35308-2021 FSC-klagomål mail.docx", "A 35308-2021")</f>
        <v/>
      </c>
      <c r="X238">
        <f>HYPERLINK("https://klasma.github.io/Logging_2326/tillsyn/A 35308-2021 tillsynsbegäran.docx", "A 35308-2021")</f>
        <v/>
      </c>
      <c r="Y238">
        <f>HYPERLINK("https://klasma.github.io/Logging_2326/tillsynsmail/A 35308-2021 tillsynsbegäran mail.docx", "A 35308-2021")</f>
        <v/>
      </c>
    </row>
    <row r="239" ht="15" customHeight="1">
      <c r="A239" t="inlineStr">
        <is>
          <t>A 46199-2022</t>
        </is>
      </c>
      <c r="B239" s="1" t="n">
        <v>44847.53822916667</v>
      </c>
      <c r="C239" s="1" t="n">
        <v>45923</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47304-2023</t>
        </is>
      </c>
      <c r="B240" s="1" t="n">
        <v>45202.48180555556</v>
      </c>
      <c r="C240" s="1" t="n">
        <v>45923</v>
      </c>
      <c r="D240" t="inlineStr">
        <is>
          <t>JÄMTLANDS LÄN</t>
        </is>
      </c>
      <c r="E240" t="inlineStr">
        <is>
          <t>BERG</t>
        </is>
      </c>
      <c r="G240" t="n">
        <v>3.4</v>
      </c>
      <c r="H240" t="n">
        <v>0</v>
      </c>
      <c r="I240" t="n">
        <v>0</v>
      </c>
      <c r="J240" t="n">
        <v>0</v>
      </c>
      <c r="K240" t="n">
        <v>0</v>
      </c>
      <c r="L240" t="n">
        <v>0</v>
      </c>
      <c r="M240" t="n">
        <v>0</v>
      </c>
      <c r="N240" t="n">
        <v>0</v>
      </c>
      <c r="O240" t="n">
        <v>0</v>
      </c>
      <c r="P240" t="n">
        <v>0</v>
      </c>
      <c r="Q240" t="n">
        <v>0</v>
      </c>
      <c r="R240" s="2" t="inlineStr"/>
    </row>
    <row r="241" ht="15" customHeight="1">
      <c r="A241" t="inlineStr">
        <is>
          <t>A 62299-2023</t>
        </is>
      </c>
      <c r="B241" s="1" t="n">
        <v>45266</v>
      </c>
      <c r="C241" s="1" t="n">
        <v>45923</v>
      </c>
      <c r="D241" t="inlineStr">
        <is>
          <t>JÄMTLANDS LÄN</t>
        </is>
      </c>
      <c r="E241" t="inlineStr">
        <is>
          <t>BERG</t>
        </is>
      </c>
      <c r="G241" t="n">
        <v>2.6</v>
      </c>
      <c r="H241" t="n">
        <v>0</v>
      </c>
      <c r="I241" t="n">
        <v>0</v>
      </c>
      <c r="J241" t="n">
        <v>0</v>
      </c>
      <c r="K241" t="n">
        <v>0</v>
      </c>
      <c r="L241" t="n">
        <v>0</v>
      </c>
      <c r="M241" t="n">
        <v>0</v>
      </c>
      <c r="N241" t="n">
        <v>0</v>
      </c>
      <c r="O241" t="n">
        <v>0</v>
      </c>
      <c r="P241" t="n">
        <v>0</v>
      </c>
      <c r="Q241" t="n">
        <v>0</v>
      </c>
      <c r="R241" s="2" t="inlineStr"/>
    </row>
    <row r="242" ht="15" customHeight="1">
      <c r="A242" t="inlineStr">
        <is>
          <t>A 13636-2022</t>
        </is>
      </c>
      <c r="B242" s="1" t="n">
        <v>44648</v>
      </c>
      <c r="C242" s="1" t="n">
        <v>45923</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10861-2024</t>
        </is>
      </c>
      <c r="B243" s="1" t="n">
        <v>45370.01967592593</v>
      </c>
      <c r="C243" s="1" t="n">
        <v>45923</v>
      </c>
      <c r="D243" t="inlineStr">
        <is>
          <t>JÄMTLANDS LÄN</t>
        </is>
      </c>
      <c r="E243" t="inlineStr">
        <is>
          <t>BERG</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44442-2022</t>
        </is>
      </c>
      <c r="B244" s="1" t="n">
        <v>44839</v>
      </c>
      <c r="C244" s="1" t="n">
        <v>45923</v>
      </c>
      <c r="D244" t="inlineStr">
        <is>
          <t>JÄMTLANDS LÄN</t>
        </is>
      </c>
      <c r="E244" t="inlineStr">
        <is>
          <t>BERG</t>
        </is>
      </c>
      <c r="F244" t="inlineStr">
        <is>
          <t>SCA</t>
        </is>
      </c>
      <c r="G244" t="n">
        <v>3.5</v>
      </c>
      <c r="H244" t="n">
        <v>0</v>
      </c>
      <c r="I244" t="n">
        <v>0</v>
      </c>
      <c r="J244" t="n">
        <v>0</v>
      </c>
      <c r="K244" t="n">
        <v>0</v>
      </c>
      <c r="L244" t="n">
        <v>0</v>
      </c>
      <c r="M244" t="n">
        <v>0</v>
      </c>
      <c r="N244" t="n">
        <v>0</v>
      </c>
      <c r="O244" t="n">
        <v>0</v>
      </c>
      <c r="P244" t="n">
        <v>0</v>
      </c>
      <c r="Q244" t="n">
        <v>0</v>
      </c>
      <c r="R244" s="2" t="inlineStr"/>
    </row>
    <row r="245" ht="15" customHeight="1">
      <c r="A245" t="inlineStr">
        <is>
          <t>A 50612-2023</t>
        </is>
      </c>
      <c r="B245" s="1" t="n">
        <v>45217.444375</v>
      </c>
      <c r="C245" s="1" t="n">
        <v>45923</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37726-2022</t>
        </is>
      </c>
      <c r="B246" s="1" t="n">
        <v>44810.56636574074</v>
      </c>
      <c r="C246" s="1" t="n">
        <v>45923</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54071-2023</t>
        </is>
      </c>
      <c r="B247" s="1" t="n">
        <v>45231</v>
      </c>
      <c r="C247" s="1" t="n">
        <v>45923</v>
      </c>
      <c r="D247" t="inlineStr">
        <is>
          <t>JÄMTLANDS LÄN</t>
        </is>
      </c>
      <c r="E247" t="inlineStr">
        <is>
          <t>BERG</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47407-2024</t>
        </is>
      </c>
      <c r="B248" s="1" t="n">
        <v>45587.47828703704</v>
      </c>
      <c r="C248" s="1" t="n">
        <v>45923</v>
      </c>
      <c r="D248" t="inlineStr">
        <is>
          <t>JÄMTLANDS LÄN</t>
        </is>
      </c>
      <c r="E248" t="inlineStr">
        <is>
          <t>BERG</t>
        </is>
      </c>
      <c r="G248" t="n">
        <v>2.7</v>
      </c>
      <c r="H248" t="n">
        <v>0</v>
      </c>
      <c r="I248" t="n">
        <v>0</v>
      </c>
      <c r="J248" t="n">
        <v>0</v>
      </c>
      <c r="K248" t="n">
        <v>0</v>
      </c>
      <c r="L248" t="n">
        <v>0</v>
      </c>
      <c r="M248" t="n">
        <v>0</v>
      </c>
      <c r="N248" t="n">
        <v>0</v>
      </c>
      <c r="O248" t="n">
        <v>0</v>
      </c>
      <c r="P248" t="n">
        <v>0</v>
      </c>
      <c r="Q248" t="n">
        <v>0</v>
      </c>
      <c r="R248" s="2" t="inlineStr"/>
    </row>
    <row r="249" ht="15" customHeight="1">
      <c r="A249" t="inlineStr">
        <is>
          <t>A 47083-2024</t>
        </is>
      </c>
      <c r="B249" s="1" t="n">
        <v>45586.50625</v>
      </c>
      <c r="C249" s="1" t="n">
        <v>45923</v>
      </c>
      <c r="D249" t="inlineStr">
        <is>
          <t>JÄMTLANDS LÄN</t>
        </is>
      </c>
      <c r="E249" t="inlineStr">
        <is>
          <t>BERG</t>
        </is>
      </c>
      <c r="G249" t="n">
        <v>1.9</v>
      </c>
      <c r="H249" t="n">
        <v>0</v>
      </c>
      <c r="I249" t="n">
        <v>0</v>
      </c>
      <c r="J249" t="n">
        <v>0</v>
      </c>
      <c r="K249" t="n">
        <v>0</v>
      </c>
      <c r="L249" t="n">
        <v>0</v>
      </c>
      <c r="M249" t="n">
        <v>0</v>
      </c>
      <c r="N249" t="n">
        <v>0</v>
      </c>
      <c r="O249" t="n">
        <v>0</v>
      </c>
      <c r="P249" t="n">
        <v>0</v>
      </c>
      <c r="Q249" t="n">
        <v>0</v>
      </c>
      <c r="R249" s="2" t="inlineStr"/>
    </row>
    <row r="250" ht="15" customHeight="1">
      <c r="A250" t="inlineStr">
        <is>
          <t>A 47099-2024</t>
        </is>
      </c>
      <c r="B250" s="1" t="n">
        <v>45586.53743055555</v>
      </c>
      <c r="C250" s="1" t="n">
        <v>45923</v>
      </c>
      <c r="D250" t="inlineStr">
        <is>
          <t>JÄMTLANDS LÄN</t>
        </is>
      </c>
      <c r="E250" t="inlineStr">
        <is>
          <t>BERG</t>
        </is>
      </c>
      <c r="G250" t="n">
        <v>5.9</v>
      </c>
      <c r="H250" t="n">
        <v>0</v>
      </c>
      <c r="I250" t="n">
        <v>0</v>
      </c>
      <c r="J250" t="n">
        <v>0</v>
      </c>
      <c r="K250" t="n">
        <v>0</v>
      </c>
      <c r="L250" t="n">
        <v>0</v>
      </c>
      <c r="M250" t="n">
        <v>0</v>
      </c>
      <c r="N250" t="n">
        <v>0</v>
      </c>
      <c r="O250" t="n">
        <v>0</v>
      </c>
      <c r="P250" t="n">
        <v>0</v>
      </c>
      <c r="Q250" t="n">
        <v>0</v>
      </c>
      <c r="R250" s="2" t="inlineStr"/>
    </row>
    <row r="251" ht="15" customHeight="1">
      <c r="A251" t="inlineStr">
        <is>
          <t>A 9114-2022</t>
        </is>
      </c>
      <c r="B251" s="1" t="n">
        <v>44615</v>
      </c>
      <c r="C251" s="1" t="n">
        <v>45923</v>
      </c>
      <c r="D251" t="inlineStr">
        <is>
          <t>JÄMTLANDS LÄN</t>
        </is>
      </c>
      <c r="E251" t="inlineStr">
        <is>
          <t>BERG</t>
        </is>
      </c>
      <c r="G251" t="n">
        <v>2.9</v>
      </c>
      <c r="H251" t="n">
        <v>0</v>
      </c>
      <c r="I251" t="n">
        <v>0</v>
      </c>
      <c r="J251" t="n">
        <v>0</v>
      </c>
      <c r="K251" t="n">
        <v>0</v>
      </c>
      <c r="L251" t="n">
        <v>0</v>
      </c>
      <c r="M251" t="n">
        <v>0</v>
      </c>
      <c r="N251" t="n">
        <v>0</v>
      </c>
      <c r="O251" t="n">
        <v>0</v>
      </c>
      <c r="P251" t="n">
        <v>0</v>
      </c>
      <c r="Q251" t="n">
        <v>0</v>
      </c>
      <c r="R251" s="2" t="inlineStr"/>
    </row>
    <row r="252" ht="15" customHeight="1">
      <c r="A252" t="inlineStr">
        <is>
          <t>A 29511-2021</t>
        </is>
      </c>
      <c r="B252" s="1" t="n">
        <v>44361</v>
      </c>
      <c r="C252" s="1" t="n">
        <v>45923</v>
      </c>
      <c r="D252" t="inlineStr">
        <is>
          <t>JÄMTLANDS LÄN</t>
        </is>
      </c>
      <c r="E252" t="inlineStr">
        <is>
          <t>BERG</t>
        </is>
      </c>
      <c r="G252" t="n">
        <v>5.6</v>
      </c>
      <c r="H252" t="n">
        <v>0</v>
      </c>
      <c r="I252" t="n">
        <v>0</v>
      </c>
      <c r="J252" t="n">
        <v>0</v>
      </c>
      <c r="K252" t="n">
        <v>0</v>
      </c>
      <c r="L252" t="n">
        <v>0</v>
      </c>
      <c r="M252" t="n">
        <v>0</v>
      </c>
      <c r="N252" t="n">
        <v>0</v>
      </c>
      <c r="O252" t="n">
        <v>0</v>
      </c>
      <c r="P252" t="n">
        <v>0</v>
      </c>
      <c r="Q252" t="n">
        <v>0</v>
      </c>
      <c r="R252" s="2" t="inlineStr"/>
    </row>
    <row r="253" ht="15" customHeight="1">
      <c r="A253" t="inlineStr">
        <is>
          <t>A 46115-2021</t>
        </is>
      </c>
      <c r="B253" s="1" t="n">
        <v>44441</v>
      </c>
      <c r="C253" s="1" t="n">
        <v>45923</v>
      </c>
      <c r="D253" t="inlineStr">
        <is>
          <t>JÄMTLANDS LÄN</t>
        </is>
      </c>
      <c r="E253" t="inlineStr">
        <is>
          <t>BERG</t>
        </is>
      </c>
      <c r="G253" t="n">
        <v>15.1</v>
      </c>
      <c r="H253" t="n">
        <v>0</v>
      </c>
      <c r="I253" t="n">
        <v>0</v>
      </c>
      <c r="J253" t="n">
        <v>0</v>
      </c>
      <c r="K253" t="n">
        <v>0</v>
      </c>
      <c r="L253" t="n">
        <v>0</v>
      </c>
      <c r="M253" t="n">
        <v>0</v>
      </c>
      <c r="N253" t="n">
        <v>0</v>
      </c>
      <c r="O253" t="n">
        <v>0</v>
      </c>
      <c r="P253" t="n">
        <v>0</v>
      </c>
      <c r="Q253" t="n">
        <v>0</v>
      </c>
      <c r="R253" s="2" t="inlineStr"/>
    </row>
    <row r="254" ht="15" customHeight="1">
      <c r="A254" t="inlineStr">
        <is>
          <t>A 19809-2022</t>
        </is>
      </c>
      <c r="B254" s="1" t="n">
        <v>44694</v>
      </c>
      <c r="C254" s="1" t="n">
        <v>45923</v>
      </c>
      <c r="D254" t="inlineStr">
        <is>
          <t>JÄMTLANDS LÄN</t>
        </is>
      </c>
      <c r="E254" t="inlineStr">
        <is>
          <t>BERG</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17929-2024</t>
        </is>
      </c>
      <c r="B255" s="1" t="n">
        <v>45419.60266203704</v>
      </c>
      <c r="C255" s="1" t="n">
        <v>45923</v>
      </c>
      <c r="D255" t="inlineStr">
        <is>
          <t>JÄMTLANDS LÄN</t>
        </is>
      </c>
      <c r="E255" t="inlineStr">
        <is>
          <t>BERG</t>
        </is>
      </c>
      <c r="F255" t="inlineStr">
        <is>
          <t>Holmen skog AB</t>
        </is>
      </c>
      <c r="G255" t="n">
        <v>3</v>
      </c>
      <c r="H255" t="n">
        <v>0</v>
      </c>
      <c r="I255" t="n">
        <v>0</v>
      </c>
      <c r="J255" t="n">
        <v>0</v>
      </c>
      <c r="K255" t="n">
        <v>0</v>
      </c>
      <c r="L255" t="n">
        <v>0</v>
      </c>
      <c r="M255" t="n">
        <v>0</v>
      </c>
      <c r="N255" t="n">
        <v>0</v>
      </c>
      <c r="O255" t="n">
        <v>0</v>
      </c>
      <c r="P255" t="n">
        <v>0</v>
      </c>
      <c r="Q255" t="n">
        <v>0</v>
      </c>
      <c r="R255" s="2" t="inlineStr"/>
    </row>
    <row r="256" ht="15" customHeight="1">
      <c r="A256" t="inlineStr">
        <is>
          <t>A 20268-2024</t>
        </is>
      </c>
      <c r="B256" s="1" t="n">
        <v>45434.94887731481</v>
      </c>
      <c r="C256" s="1" t="n">
        <v>45923</v>
      </c>
      <c r="D256" t="inlineStr">
        <is>
          <t>JÄMTLANDS LÄN</t>
        </is>
      </c>
      <c r="E256" t="inlineStr">
        <is>
          <t>BERG</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46167-2022</t>
        </is>
      </c>
      <c r="B257" s="1" t="n">
        <v>44845</v>
      </c>
      <c r="C257" s="1" t="n">
        <v>45923</v>
      </c>
      <c r="D257" t="inlineStr">
        <is>
          <t>JÄMTLANDS LÄN</t>
        </is>
      </c>
      <c r="E257" t="inlineStr">
        <is>
          <t>BERG</t>
        </is>
      </c>
      <c r="G257" t="n">
        <v>35.2</v>
      </c>
      <c r="H257" t="n">
        <v>0</v>
      </c>
      <c r="I257" t="n">
        <v>0</v>
      </c>
      <c r="J257" t="n">
        <v>0</v>
      </c>
      <c r="K257" t="n">
        <v>0</v>
      </c>
      <c r="L257" t="n">
        <v>0</v>
      </c>
      <c r="M257" t="n">
        <v>0</v>
      </c>
      <c r="N257" t="n">
        <v>0</v>
      </c>
      <c r="O257" t="n">
        <v>0</v>
      </c>
      <c r="P257" t="n">
        <v>0</v>
      </c>
      <c r="Q257" t="n">
        <v>0</v>
      </c>
      <c r="R257" s="2" t="inlineStr"/>
    </row>
    <row r="258" ht="15" customHeight="1">
      <c r="A258" t="inlineStr">
        <is>
          <t>A 59634-2022</t>
        </is>
      </c>
      <c r="B258" s="1" t="n">
        <v>44907.9645949074</v>
      </c>
      <c r="C258" s="1" t="n">
        <v>45923</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15156-2024</t>
        </is>
      </c>
      <c r="B259" s="1" t="n">
        <v>45399.94496527778</v>
      </c>
      <c r="C259" s="1" t="n">
        <v>45923</v>
      </c>
      <c r="D259" t="inlineStr">
        <is>
          <t>JÄMTLANDS LÄN</t>
        </is>
      </c>
      <c r="E259" t="inlineStr">
        <is>
          <t>BERG</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9482-2024</t>
        </is>
      </c>
      <c r="B260" s="1" t="n">
        <v>45359.57847222222</v>
      </c>
      <c r="C260" s="1" t="n">
        <v>45923</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26959-2022</t>
        </is>
      </c>
      <c r="B261" s="1" t="n">
        <v>44740.66048611111</v>
      </c>
      <c r="C261" s="1" t="n">
        <v>45923</v>
      </c>
      <c r="D261" t="inlineStr">
        <is>
          <t>JÄMTLANDS LÄN</t>
        </is>
      </c>
      <c r="E261" t="inlineStr">
        <is>
          <t>BERG</t>
        </is>
      </c>
      <c r="G261" t="n">
        <v>2.8</v>
      </c>
      <c r="H261" t="n">
        <v>0</v>
      </c>
      <c r="I261" t="n">
        <v>0</v>
      </c>
      <c r="J261" t="n">
        <v>0</v>
      </c>
      <c r="K261" t="n">
        <v>0</v>
      </c>
      <c r="L261" t="n">
        <v>0</v>
      </c>
      <c r="M261" t="n">
        <v>0</v>
      </c>
      <c r="N261" t="n">
        <v>0</v>
      </c>
      <c r="O261" t="n">
        <v>0</v>
      </c>
      <c r="P261" t="n">
        <v>0</v>
      </c>
      <c r="Q261" t="n">
        <v>0</v>
      </c>
      <c r="R261" s="2" t="inlineStr"/>
    </row>
    <row r="262" ht="15" customHeight="1">
      <c r="A262" t="inlineStr">
        <is>
          <t>A 3173-2025</t>
        </is>
      </c>
      <c r="B262" s="1" t="n">
        <v>45679.38309027778</v>
      </c>
      <c r="C262" s="1" t="n">
        <v>45923</v>
      </c>
      <c r="D262" t="inlineStr">
        <is>
          <t>JÄMTLANDS LÄN</t>
        </is>
      </c>
      <c r="E262" t="inlineStr">
        <is>
          <t>BERG</t>
        </is>
      </c>
      <c r="G262" t="n">
        <v>8.9</v>
      </c>
      <c r="H262" t="n">
        <v>0</v>
      </c>
      <c r="I262" t="n">
        <v>0</v>
      </c>
      <c r="J262" t="n">
        <v>0</v>
      </c>
      <c r="K262" t="n">
        <v>0</v>
      </c>
      <c r="L262" t="n">
        <v>0</v>
      </c>
      <c r="M262" t="n">
        <v>0</v>
      </c>
      <c r="N262" t="n">
        <v>0</v>
      </c>
      <c r="O262" t="n">
        <v>0</v>
      </c>
      <c r="P262" t="n">
        <v>0</v>
      </c>
      <c r="Q262" t="n">
        <v>0</v>
      </c>
      <c r="R262" s="2" t="inlineStr"/>
    </row>
    <row r="263" ht="15" customHeight="1">
      <c r="A263" t="inlineStr">
        <is>
          <t>A 44997-2021</t>
        </is>
      </c>
      <c r="B263" s="1" t="n">
        <v>44438</v>
      </c>
      <c r="C263" s="1" t="n">
        <v>45923</v>
      </c>
      <c r="D263" t="inlineStr">
        <is>
          <t>JÄMTLANDS LÄN</t>
        </is>
      </c>
      <c r="E263" t="inlineStr">
        <is>
          <t>BERG</t>
        </is>
      </c>
      <c r="G263" t="n">
        <v>3.8</v>
      </c>
      <c r="H263" t="n">
        <v>0</v>
      </c>
      <c r="I263" t="n">
        <v>0</v>
      </c>
      <c r="J263" t="n">
        <v>0</v>
      </c>
      <c r="K263" t="n">
        <v>0</v>
      </c>
      <c r="L263" t="n">
        <v>0</v>
      </c>
      <c r="M263" t="n">
        <v>0</v>
      </c>
      <c r="N263" t="n">
        <v>0</v>
      </c>
      <c r="O263" t="n">
        <v>0</v>
      </c>
      <c r="P263" t="n">
        <v>0</v>
      </c>
      <c r="Q263" t="n">
        <v>0</v>
      </c>
      <c r="R263" s="2" t="inlineStr"/>
    </row>
    <row r="264" ht="15" customHeight="1">
      <c r="A264" t="inlineStr">
        <is>
          <t>A 19429-2025</t>
        </is>
      </c>
      <c r="B264" s="1" t="n">
        <v>45769.8025462963</v>
      </c>
      <c r="C264" s="1" t="n">
        <v>45923</v>
      </c>
      <c r="D264" t="inlineStr">
        <is>
          <t>JÄMTLANDS LÄN</t>
        </is>
      </c>
      <c r="E264" t="inlineStr">
        <is>
          <t>BERG</t>
        </is>
      </c>
      <c r="G264" t="n">
        <v>2</v>
      </c>
      <c r="H264" t="n">
        <v>0</v>
      </c>
      <c r="I264" t="n">
        <v>0</v>
      </c>
      <c r="J264" t="n">
        <v>0</v>
      </c>
      <c r="K264" t="n">
        <v>0</v>
      </c>
      <c r="L264" t="n">
        <v>0</v>
      </c>
      <c r="M264" t="n">
        <v>0</v>
      </c>
      <c r="N264" t="n">
        <v>0</v>
      </c>
      <c r="O264" t="n">
        <v>0</v>
      </c>
      <c r="P264" t="n">
        <v>0</v>
      </c>
      <c r="Q264" t="n">
        <v>0</v>
      </c>
      <c r="R264" s="2" t="inlineStr"/>
    </row>
    <row r="265" ht="15" customHeight="1">
      <c r="A265" t="inlineStr">
        <is>
          <t>A 34892-2025</t>
        </is>
      </c>
      <c r="B265" s="1" t="n">
        <v>45849.49047453704</v>
      </c>
      <c r="C265" s="1" t="n">
        <v>45923</v>
      </c>
      <c r="D265" t="inlineStr">
        <is>
          <t>JÄMTLANDS LÄN</t>
        </is>
      </c>
      <c r="E265" t="inlineStr">
        <is>
          <t>BERG</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23165-2024</t>
        </is>
      </c>
      <c r="B266" s="1" t="n">
        <v>45450</v>
      </c>
      <c r="C266" s="1" t="n">
        <v>45923</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8251-2023</t>
        </is>
      </c>
      <c r="B267" s="1" t="n">
        <v>44974</v>
      </c>
      <c r="C267" s="1" t="n">
        <v>45923</v>
      </c>
      <c r="D267" t="inlineStr">
        <is>
          <t>JÄMTLANDS LÄN</t>
        </is>
      </c>
      <c r="E267" t="inlineStr">
        <is>
          <t>BERG</t>
        </is>
      </c>
      <c r="G267" t="n">
        <v>1.7</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45923</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37589-2021</t>
        </is>
      </c>
      <c r="B269" s="1" t="n">
        <v>44399</v>
      </c>
      <c r="C269" s="1" t="n">
        <v>45923</v>
      </c>
      <c r="D269" t="inlineStr">
        <is>
          <t>JÄMTLANDS LÄN</t>
        </is>
      </c>
      <c r="E269" t="inlineStr">
        <is>
          <t>BERG</t>
        </is>
      </c>
      <c r="G269" t="n">
        <v>8.6</v>
      </c>
      <c r="H269" t="n">
        <v>0</v>
      </c>
      <c r="I269" t="n">
        <v>0</v>
      </c>
      <c r="J269" t="n">
        <v>0</v>
      </c>
      <c r="K269" t="n">
        <v>0</v>
      </c>
      <c r="L269" t="n">
        <v>0</v>
      </c>
      <c r="M269" t="n">
        <v>0</v>
      </c>
      <c r="N269" t="n">
        <v>0</v>
      </c>
      <c r="O269" t="n">
        <v>0</v>
      </c>
      <c r="P269" t="n">
        <v>0</v>
      </c>
      <c r="Q269" t="n">
        <v>0</v>
      </c>
      <c r="R269" s="2" t="inlineStr"/>
    </row>
    <row r="270" ht="15" customHeight="1">
      <c r="A270" t="inlineStr">
        <is>
          <t>A 40060-2025</t>
        </is>
      </c>
      <c r="B270" s="1" t="n">
        <v>45894.42746527777</v>
      </c>
      <c r="C270" s="1" t="n">
        <v>45923</v>
      </c>
      <c r="D270" t="inlineStr">
        <is>
          <t>JÄMTLANDS LÄN</t>
        </is>
      </c>
      <c r="E270" t="inlineStr">
        <is>
          <t>BERG</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57905-2024</t>
        </is>
      </c>
      <c r="B271" s="1" t="n">
        <v>45631.48989583334</v>
      </c>
      <c r="C271" s="1" t="n">
        <v>45923</v>
      </c>
      <c r="D271" t="inlineStr">
        <is>
          <t>JÄMTLANDS LÄN</t>
        </is>
      </c>
      <c r="E271" t="inlineStr">
        <is>
          <t>BERG</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62360-2023</t>
        </is>
      </c>
      <c r="B272" s="1" t="n">
        <v>45267</v>
      </c>
      <c r="C272" s="1" t="n">
        <v>45923</v>
      </c>
      <c r="D272" t="inlineStr">
        <is>
          <t>JÄMTLANDS LÄN</t>
        </is>
      </c>
      <c r="E272" t="inlineStr">
        <is>
          <t>BERG</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18685-2024</t>
        </is>
      </c>
      <c r="B273" s="1" t="n">
        <v>45426.38322916667</v>
      </c>
      <c r="C273" s="1" t="n">
        <v>45923</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65207-2023</t>
        </is>
      </c>
      <c r="B274" s="1" t="n">
        <v>45289</v>
      </c>
      <c r="C274" s="1" t="n">
        <v>45923</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39785-2024</t>
        </is>
      </c>
      <c r="B275" s="1" t="n">
        <v>45553.29927083333</v>
      </c>
      <c r="C275" s="1" t="n">
        <v>45923</v>
      </c>
      <c r="D275" t="inlineStr">
        <is>
          <t>JÄMTLANDS LÄN</t>
        </is>
      </c>
      <c r="E275" t="inlineStr">
        <is>
          <t>BERG</t>
        </is>
      </c>
      <c r="G275" t="n">
        <v>16.1</v>
      </c>
      <c r="H275" t="n">
        <v>0</v>
      </c>
      <c r="I275" t="n">
        <v>0</v>
      </c>
      <c r="J275" t="n">
        <v>0</v>
      </c>
      <c r="K275" t="n">
        <v>0</v>
      </c>
      <c r="L275" t="n">
        <v>0</v>
      </c>
      <c r="M275" t="n">
        <v>0</v>
      </c>
      <c r="N275" t="n">
        <v>0</v>
      </c>
      <c r="O275" t="n">
        <v>0</v>
      </c>
      <c r="P275" t="n">
        <v>0</v>
      </c>
      <c r="Q275" t="n">
        <v>0</v>
      </c>
      <c r="R275" s="2" t="inlineStr"/>
    </row>
    <row r="276" ht="15" customHeight="1">
      <c r="A276" t="inlineStr">
        <is>
          <t>A 26918-2024</t>
        </is>
      </c>
      <c r="B276" s="1" t="n">
        <v>45470</v>
      </c>
      <c r="C276" s="1" t="n">
        <v>45923</v>
      </c>
      <c r="D276" t="inlineStr">
        <is>
          <t>JÄMTLANDS LÄN</t>
        </is>
      </c>
      <c r="E276" t="inlineStr">
        <is>
          <t>BERG</t>
        </is>
      </c>
      <c r="G276" t="n">
        <v>0.4</v>
      </c>
      <c r="H276" t="n">
        <v>0</v>
      </c>
      <c r="I276" t="n">
        <v>0</v>
      </c>
      <c r="J276" t="n">
        <v>0</v>
      </c>
      <c r="K276" t="n">
        <v>0</v>
      </c>
      <c r="L276" t="n">
        <v>0</v>
      </c>
      <c r="M276" t="n">
        <v>0</v>
      </c>
      <c r="N276" t="n">
        <v>0</v>
      </c>
      <c r="O276" t="n">
        <v>0</v>
      </c>
      <c r="P276" t="n">
        <v>0</v>
      </c>
      <c r="Q276" t="n">
        <v>0</v>
      </c>
      <c r="R276" s="2" t="inlineStr"/>
    </row>
    <row r="277" ht="15" customHeight="1">
      <c r="A277" t="inlineStr">
        <is>
          <t>A 22020-2024</t>
        </is>
      </c>
      <c r="B277" s="1" t="n">
        <v>45443.5894675926</v>
      </c>
      <c r="C277" s="1" t="n">
        <v>45923</v>
      </c>
      <c r="D277" t="inlineStr">
        <is>
          <t>JÄMTLANDS LÄN</t>
        </is>
      </c>
      <c r="E277" t="inlineStr">
        <is>
          <t>BERG</t>
        </is>
      </c>
      <c r="G277" t="n">
        <v>4.9</v>
      </c>
      <c r="H277" t="n">
        <v>0</v>
      </c>
      <c r="I277" t="n">
        <v>0</v>
      </c>
      <c r="J277" t="n">
        <v>0</v>
      </c>
      <c r="K277" t="n">
        <v>0</v>
      </c>
      <c r="L277" t="n">
        <v>0</v>
      </c>
      <c r="M277" t="n">
        <v>0</v>
      </c>
      <c r="N277" t="n">
        <v>0</v>
      </c>
      <c r="O277" t="n">
        <v>0</v>
      </c>
      <c r="P277" t="n">
        <v>0</v>
      </c>
      <c r="Q277" t="n">
        <v>0</v>
      </c>
      <c r="R277" s="2" t="inlineStr"/>
    </row>
    <row r="278" ht="15" customHeight="1">
      <c r="A278" t="inlineStr">
        <is>
          <t>A 11704-2023</t>
        </is>
      </c>
      <c r="B278" s="1" t="n">
        <v>44994.54274305556</v>
      </c>
      <c r="C278" s="1" t="n">
        <v>45923</v>
      </c>
      <c r="D278" t="inlineStr">
        <is>
          <t>JÄMTLANDS LÄN</t>
        </is>
      </c>
      <c r="E278" t="inlineStr">
        <is>
          <t>BERG</t>
        </is>
      </c>
      <c r="G278" t="n">
        <v>1</v>
      </c>
      <c r="H278" t="n">
        <v>0</v>
      </c>
      <c r="I278" t="n">
        <v>0</v>
      </c>
      <c r="J278" t="n">
        <v>0</v>
      </c>
      <c r="K278" t="n">
        <v>0</v>
      </c>
      <c r="L278" t="n">
        <v>0</v>
      </c>
      <c r="M278" t="n">
        <v>0</v>
      </c>
      <c r="N278" t="n">
        <v>0</v>
      </c>
      <c r="O278" t="n">
        <v>0</v>
      </c>
      <c r="P278" t="n">
        <v>0</v>
      </c>
      <c r="Q278" t="n">
        <v>0</v>
      </c>
      <c r="R278" s="2" t="inlineStr"/>
    </row>
    <row r="279" ht="15" customHeight="1">
      <c r="A279" t="inlineStr">
        <is>
          <t>A 62153-2022</t>
        </is>
      </c>
      <c r="B279" s="1" t="n">
        <v>44914</v>
      </c>
      <c r="C279" s="1" t="n">
        <v>45923</v>
      </c>
      <c r="D279" t="inlineStr">
        <is>
          <t>JÄMTLANDS LÄN</t>
        </is>
      </c>
      <c r="E279" t="inlineStr">
        <is>
          <t>BERG</t>
        </is>
      </c>
      <c r="G279" t="n">
        <v>1</v>
      </c>
      <c r="H279" t="n">
        <v>0</v>
      </c>
      <c r="I279" t="n">
        <v>0</v>
      </c>
      <c r="J279" t="n">
        <v>0</v>
      </c>
      <c r="K279" t="n">
        <v>0</v>
      </c>
      <c r="L279" t="n">
        <v>0</v>
      </c>
      <c r="M279" t="n">
        <v>0</v>
      </c>
      <c r="N279" t="n">
        <v>0</v>
      </c>
      <c r="O279" t="n">
        <v>0</v>
      </c>
      <c r="P279" t="n">
        <v>0</v>
      </c>
      <c r="Q279" t="n">
        <v>0</v>
      </c>
      <c r="R279" s="2" t="inlineStr"/>
    </row>
    <row r="280" ht="15" customHeight="1">
      <c r="A280" t="inlineStr">
        <is>
          <t>A 18153-2024</t>
        </is>
      </c>
      <c r="B280" s="1" t="n">
        <v>45420</v>
      </c>
      <c r="C280" s="1" t="n">
        <v>45923</v>
      </c>
      <c r="D280" t="inlineStr">
        <is>
          <t>JÄMTLANDS LÄN</t>
        </is>
      </c>
      <c r="E280" t="inlineStr">
        <is>
          <t>BERG</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35183-2025</t>
        </is>
      </c>
      <c r="B281" s="1" t="n">
        <v>45853.29931712963</v>
      </c>
      <c r="C281" s="1" t="n">
        <v>45923</v>
      </c>
      <c r="D281" t="inlineStr">
        <is>
          <t>JÄMTLANDS LÄN</t>
        </is>
      </c>
      <c r="E281" t="inlineStr">
        <is>
          <t>BERG</t>
        </is>
      </c>
      <c r="G281" t="n">
        <v>2.8</v>
      </c>
      <c r="H281" t="n">
        <v>0</v>
      </c>
      <c r="I281" t="n">
        <v>0</v>
      </c>
      <c r="J281" t="n">
        <v>0</v>
      </c>
      <c r="K281" t="n">
        <v>0</v>
      </c>
      <c r="L281" t="n">
        <v>0</v>
      </c>
      <c r="M281" t="n">
        <v>0</v>
      </c>
      <c r="N281" t="n">
        <v>0</v>
      </c>
      <c r="O281" t="n">
        <v>0</v>
      </c>
      <c r="P281" t="n">
        <v>0</v>
      </c>
      <c r="Q281" t="n">
        <v>0</v>
      </c>
      <c r="R281" s="2" t="inlineStr"/>
    </row>
    <row r="282" ht="15" customHeight="1">
      <c r="A282" t="inlineStr">
        <is>
          <t>A 13805-2024</t>
        </is>
      </c>
      <c r="B282" s="1" t="n">
        <v>45390</v>
      </c>
      <c r="C282" s="1" t="n">
        <v>45923</v>
      </c>
      <c r="D282" t="inlineStr">
        <is>
          <t>JÄMTLANDS LÄN</t>
        </is>
      </c>
      <c r="E282" t="inlineStr">
        <is>
          <t>BERG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40410-2025</t>
        </is>
      </c>
      <c r="B283" s="1" t="n">
        <v>45895.57349537037</v>
      </c>
      <c r="C283" s="1" t="n">
        <v>45923</v>
      </c>
      <c r="D283" t="inlineStr">
        <is>
          <t>JÄMTLANDS LÄN</t>
        </is>
      </c>
      <c r="E283" t="inlineStr">
        <is>
          <t>BERG</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35363-2025</t>
        </is>
      </c>
      <c r="B284" s="1" t="n">
        <v>45854.67538194444</v>
      </c>
      <c r="C284" s="1" t="n">
        <v>45923</v>
      </c>
      <c r="D284" t="inlineStr">
        <is>
          <t>JÄMTLANDS LÄN</t>
        </is>
      </c>
      <c r="E284" t="inlineStr">
        <is>
          <t>BERG</t>
        </is>
      </c>
      <c r="G284" t="n">
        <v>9.5</v>
      </c>
      <c r="H284" t="n">
        <v>0</v>
      </c>
      <c r="I284" t="n">
        <v>0</v>
      </c>
      <c r="J284" t="n">
        <v>0</v>
      </c>
      <c r="K284" t="n">
        <v>0</v>
      </c>
      <c r="L284" t="n">
        <v>0</v>
      </c>
      <c r="M284" t="n">
        <v>0</v>
      </c>
      <c r="N284" t="n">
        <v>0</v>
      </c>
      <c r="O284" t="n">
        <v>0</v>
      </c>
      <c r="P284" t="n">
        <v>0</v>
      </c>
      <c r="Q284" t="n">
        <v>0</v>
      </c>
      <c r="R284" s="2" t="inlineStr"/>
    </row>
    <row r="285" ht="15" customHeight="1">
      <c r="A285" t="inlineStr">
        <is>
          <t>A 62104-2023</t>
        </is>
      </c>
      <c r="B285" s="1" t="n">
        <v>45266.95052083334</v>
      </c>
      <c r="C285" s="1" t="n">
        <v>45923</v>
      </c>
      <c r="D285" t="inlineStr">
        <is>
          <t>JÄMTLANDS LÄN</t>
        </is>
      </c>
      <c r="E285" t="inlineStr">
        <is>
          <t>BERG</t>
        </is>
      </c>
      <c r="G285" t="n">
        <v>1.5</v>
      </c>
      <c r="H285" t="n">
        <v>0</v>
      </c>
      <c r="I285" t="n">
        <v>0</v>
      </c>
      <c r="J285" t="n">
        <v>0</v>
      </c>
      <c r="K285" t="n">
        <v>0</v>
      </c>
      <c r="L285" t="n">
        <v>0</v>
      </c>
      <c r="M285" t="n">
        <v>0</v>
      </c>
      <c r="N285" t="n">
        <v>0</v>
      </c>
      <c r="O285" t="n">
        <v>0</v>
      </c>
      <c r="P285" t="n">
        <v>0</v>
      </c>
      <c r="Q285" t="n">
        <v>0</v>
      </c>
      <c r="R285" s="2" t="inlineStr"/>
    </row>
    <row r="286" ht="15" customHeight="1">
      <c r="A286" t="inlineStr">
        <is>
          <t>A 62105-2023</t>
        </is>
      </c>
      <c r="B286" s="1" t="n">
        <v>45266.95074074074</v>
      </c>
      <c r="C286" s="1" t="n">
        <v>45923</v>
      </c>
      <c r="D286" t="inlineStr">
        <is>
          <t>JÄMTLANDS LÄN</t>
        </is>
      </c>
      <c r="E286" t="inlineStr">
        <is>
          <t>BERG</t>
        </is>
      </c>
      <c r="F286" t="inlineStr">
        <is>
          <t>SCA</t>
        </is>
      </c>
      <c r="G286" t="n">
        <v>13.1</v>
      </c>
      <c r="H286" t="n">
        <v>0</v>
      </c>
      <c r="I286" t="n">
        <v>0</v>
      </c>
      <c r="J286" t="n">
        <v>0</v>
      </c>
      <c r="K286" t="n">
        <v>0</v>
      </c>
      <c r="L286" t="n">
        <v>0</v>
      </c>
      <c r="M286" t="n">
        <v>0</v>
      </c>
      <c r="N286" t="n">
        <v>0</v>
      </c>
      <c r="O286" t="n">
        <v>0</v>
      </c>
      <c r="P286" t="n">
        <v>0</v>
      </c>
      <c r="Q286" t="n">
        <v>0</v>
      </c>
      <c r="R286" s="2" t="inlineStr"/>
    </row>
    <row r="287" ht="15" customHeight="1">
      <c r="A287" t="inlineStr">
        <is>
          <t>A 1657-2021</t>
        </is>
      </c>
      <c r="B287" s="1" t="n">
        <v>44209</v>
      </c>
      <c r="C287" s="1" t="n">
        <v>45923</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13373-2024</t>
        </is>
      </c>
      <c r="B288" s="1" t="n">
        <v>45387.37010416666</v>
      </c>
      <c r="C288" s="1" t="n">
        <v>45923</v>
      </c>
      <c r="D288" t="inlineStr">
        <is>
          <t>JÄMTLANDS LÄN</t>
        </is>
      </c>
      <c r="E288" t="inlineStr">
        <is>
          <t>BERG</t>
        </is>
      </c>
      <c r="G288" t="n">
        <v>3.8</v>
      </c>
      <c r="H288" t="n">
        <v>0</v>
      </c>
      <c r="I288" t="n">
        <v>0</v>
      </c>
      <c r="J288" t="n">
        <v>0</v>
      </c>
      <c r="K288" t="n">
        <v>0</v>
      </c>
      <c r="L288" t="n">
        <v>0</v>
      </c>
      <c r="M288" t="n">
        <v>0</v>
      </c>
      <c r="N288" t="n">
        <v>0</v>
      </c>
      <c r="O288" t="n">
        <v>0</v>
      </c>
      <c r="P288" t="n">
        <v>0</v>
      </c>
      <c r="Q288" t="n">
        <v>0</v>
      </c>
      <c r="R288" s="2" t="inlineStr"/>
    </row>
    <row r="289" ht="15" customHeight="1">
      <c r="A289" t="inlineStr">
        <is>
          <t>A 35213-2025</t>
        </is>
      </c>
      <c r="B289" s="1" t="n">
        <v>45853.46494212963</v>
      </c>
      <c r="C289" s="1" t="n">
        <v>45923</v>
      </c>
      <c r="D289" t="inlineStr">
        <is>
          <t>JÄMTLANDS LÄN</t>
        </is>
      </c>
      <c r="E289" t="inlineStr">
        <is>
          <t>BERG</t>
        </is>
      </c>
      <c r="G289" t="n">
        <v>0.6</v>
      </c>
      <c r="H289" t="n">
        <v>0</v>
      </c>
      <c r="I289" t="n">
        <v>0</v>
      </c>
      <c r="J289" t="n">
        <v>0</v>
      </c>
      <c r="K289" t="n">
        <v>0</v>
      </c>
      <c r="L289" t="n">
        <v>0</v>
      </c>
      <c r="M289" t="n">
        <v>0</v>
      </c>
      <c r="N289" t="n">
        <v>0</v>
      </c>
      <c r="O289" t="n">
        <v>0</v>
      </c>
      <c r="P289" t="n">
        <v>0</v>
      </c>
      <c r="Q289" t="n">
        <v>0</v>
      </c>
      <c r="R289" s="2" t="inlineStr"/>
    </row>
    <row r="290" ht="15" customHeight="1">
      <c r="A290" t="inlineStr">
        <is>
          <t>A 40617-2025</t>
        </is>
      </c>
      <c r="B290" s="1" t="n">
        <v>45896.58326388889</v>
      </c>
      <c r="C290" s="1" t="n">
        <v>45923</v>
      </c>
      <c r="D290" t="inlineStr">
        <is>
          <t>JÄMTLANDS LÄN</t>
        </is>
      </c>
      <c r="E290" t="inlineStr">
        <is>
          <t>BERG</t>
        </is>
      </c>
      <c r="G290" t="n">
        <v>3.5</v>
      </c>
      <c r="H290" t="n">
        <v>0</v>
      </c>
      <c r="I290" t="n">
        <v>0</v>
      </c>
      <c r="J290" t="n">
        <v>0</v>
      </c>
      <c r="K290" t="n">
        <v>0</v>
      </c>
      <c r="L290" t="n">
        <v>0</v>
      </c>
      <c r="M290" t="n">
        <v>0</v>
      </c>
      <c r="N290" t="n">
        <v>0</v>
      </c>
      <c r="O290" t="n">
        <v>0</v>
      </c>
      <c r="P290" t="n">
        <v>0</v>
      </c>
      <c r="Q290" t="n">
        <v>0</v>
      </c>
      <c r="R290" s="2" t="inlineStr"/>
    </row>
    <row r="291" ht="15" customHeight="1">
      <c r="A291" t="inlineStr">
        <is>
          <t>A 12611-2025</t>
        </is>
      </c>
      <c r="B291" s="1" t="n">
        <v>45733.33921296296</v>
      </c>
      <c r="C291" s="1" t="n">
        <v>45923</v>
      </c>
      <c r="D291" t="inlineStr">
        <is>
          <t>JÄMTLANDS LÄN</t>
        </is>
      </c>
      <c r="E291" t="inlineStr">
        <is>
          <t>BERG</t>
        </is>
      </c>
      <c r="G291" t="n">
        <v>7.7</v>
      </c>
      <c r="H291" t="n">
        <v>0</v>
      </c>
      <c r="I291" t="n">
        <v>0</v>
      </c>
      <c r="J291" t="n">
        <v>0</v>
      </c>
      <c r="K291" t="n">
        <v>0</v>
      </c>
      <c r="L291" t="n">
        <v>0</v>
      </c>
      <c r="M291" t="n">
        <v>0</v>
      </c>
      <c r="N291" t="n">
        <v>0</v>
      </c>
      <c r="O291" t="n">
        <v>0</v>
      </c>
      <c r="P291" t="n">
        <v>0</v>
      </c>
      <c r="Q291" t="n">
        <v>0</v>
      </c>
      <c r="R291" s="2" t="inlineStr"/>
    </row>
    <row r="292" ht="15" customHeight="1">
      <c r="A292" t="inlineStr">
        <is>
          <t>A 35184-2025</t>
        </is>
      </c>
      <c r="B292" s="1" t="n">
        <v>45853.30270833334</v>
      </c>
      <c r="C292" s="1" t="n">
        <v>45923</v>
      </c>
      <c r="D292" t="inlineStr">
        <is>
          <t>JÄMTLANDS LÄN</t>
        </is>
      </c>
      <c r="E292" t="inlineStr">
        <is>
          <t>BERG</t>
        </is>
      </c>
      <c r="G292" t="n">
        <v>1.4</v>
      </c>
      <c r="H292" t="n">
        <v>0</v>
      </c>
      <c r="I292" t="n">
        <v>0</v>
      </c>
      <c r="J292" t="n">
        <v>0</v>
      </c>
      <c r="K292" t="n">
        <v>0</v>
      </c>
      <c r="L292" t="n">
        <v>0</v>
      </c>
      <c r="M292" t="n">
        <v>0</v>
      </c>
      <c r="N292" t="n">
        <v>0</v>
      </c>
      <c r="O292" t="n">
        <v>0</v>
      </c>
      <c r="P292" t="n">
        <v>0</v>
      </c>
      <c r="Q292" t="n">
        <v>0</v>
      </c>
      <c r="R292" s="2" t="inlineStr"/>
    </row>
    <row r="293" ht="15" customHeight="1">
      <c r="A293" t="inlineStr">
        <is>
          <t>A 35360-2025</t>
        </is>
      </c>
      <c r="B293" s="1" t="n">
        <v>45854.66877314815</v>
      </c>
      <c r="C293" s="1" t="n">
        <v>45923</v>
      </c>
      <c r="D293" t="inlineStr">
        <is>
          <t>JÄMTLANDS LÄN</t>
        </is>
      </c>
      <c r="E293" t="inlineStr">
        <is>
          <t>BERG</t>
        </is>
      </c>
      <c r="G293" t="n">
        <v>3.7</v>
      </c>
      <c r="H293" t="n">
        <v>0</v>
      </c>
      <c r="I293" t="n">
        <v>0</v>
      </c>
      <c r="J293" t="n">
        <v>0</v>
      </c>
      <c r="K293" t="n">
        <v>0</v>
      </c>
      <c r="L293" t="n">
        <v>0</v>
      </c>
      <c r="M293" t="n">
        <v>0</v>
      </c>
      <c r="N293" t="n">
        <v>0</v>
      </c>
      <c r="O293" t="n">
        <v>0</v>
      </c>
      <c r="P293" t="n">
        <v>0</v>
      </c>
      <c r="Q293" t="n">
        <v>0</v>
      </c>
      <c r="R293" s="2" t="inlineStr"/>
    </row>
    <row r="294" ht="15" customHeight="1">
      <c r="A294" t="inlineStr">
        <is>
          <t>A 32147-2024</t>
        </is>
      </c>
      <c r="B294" s="1" t="n">
        <v>45511.55600694445</v>
      </c>
      <c r="C294" s="1" t="n">
        <v>45923</v>
      </c>
      <c r="D294" t="inlineStr">
        <is>
          <t>JÄMTLANDS LÄN</t>
        </is>
      </c>
      <c r="E294" t="inlineStr">
        <is>
          <t>BERG</t>
        </is>
      </c>
      <c r="G294" t="n">
        <v>2.3</v>
      </c>
      <c r="H294" t="n">
        <v>0</v>
      </c>
      <c r="I294" t="n">
        <v>0</v>
      </c>
      <c r="J294" t="n">
        <v>0</v>
      </c>
      <c r="K294" t="n">
        <v>0</v>
      </c>
      <c r="L294" t="n">
        <v>0</v>
      </c>
      <c r="M294" t="n">
        <v>0</v>
      </c>
      <c r="N294" t="n">
        <v>0</v>
      </c>
      <c r="O294" t="n">
        <v>0</v>
      </c>
      <c r="P294" t="n">
        <v>0</v>
      </c>
      <c r="Q294" t="n">
        <v>0</v>
      </c>
      <c r="R294" s="2" t="inlineStr"/>
    </row>
    <row r="295" ht="15" customHeight="1">
      <c r="A295" t="inlineStr">
        <is>
          <t>A 32156-2024</t>
        </is>
      </c>
      <c r="B295" s="1" t="n">
        <v>45511</v>
      </c>
      <c r="C295" s="1" t="n">
        <v>45923</v>
      </c>
      <c r="D295" t="inlineStr">
        <is>
          <t>JÄMTLANDS LÄN</t>
        </is>
      </c>
      <c r="E295" t="inlineStr">
        <is>
          <t>BERG</t>
        </is>
      </c>
      <c r="G295" t="n">
        <v>3.4</v>
      </c>
      <c r="H295" t="n">
        <v>0</v>
      </c>
      <c r="I295" t="n">
        <v>0</v>
      </c>
      <c r="J295" t="n">
        <v>0</v>
      </c>
      <c r="K295" t="n">
        <v>0</v>
      </c>
      <c r="L295" t="n">
        <v>0</v>
      </c>
      <c r="M295" t="n">
        <v>0</v>
      </c>
      <c r="N295" t="n">
        <v>0</v>
      </c>
      <c r="O295" t="n">
        <v>0</v>
      </c>
      <c r="P295" t="n">
        <v>0</v>
      </c>
      <c r="Q295" t="n">
        <v>0</v>
      </c>
      <c r="R295" s="2" t="inlineStr"/>
    </row>
    <row r="296" ht="15" customHeight="1">
      <c r="A296" t="inlineStr">
        <is>
          <t>A 40737-2025</t>
        </is>
      </c>
      <c r="B296" s="1" t="n">
        <v>45897.36572916667</v>
      </c>
      <c r="C296" s="1" t="n">
        <v>45923</v>
      </c>
      <c r="D296" t="inlineStr">
        <is>
          <t>JÄMTLANDS LÄN</t>
        </is>
      </c>
      <c r="E296" t="inlineStr">
        <is>
          <t>BERG</t>
        </is>
      </c>
      <c r="G296" t="n">
        <v>2.8</v>
      </c>
      <c r="H296" t="n">
        <v>0</v>
      </c>
      <c r="I296" t="n">
        <v>0</v>
      </c>
      <c r="J296" t="n">
        <v>0</v>
      </c>
      <c r="K296" t="n">
        <v>0</v>
      </c>
      <c r="L296" t="n">
        <v>0</v>
      </c>
      <c r="M296" t="n">
        <v>0</v>
      </c>
      <c r="N296" t="n">
        <v>0</v>
      </c>
      <c r="O296" t="n">
        <v>0</v>
      </c>
      <c r="P296" t="n">
        <v>0</v>
      </c>
      <c r="Q296" t="n">
        <v>0</v>
      </c>
      <c r="R296" s="2" t="inlineStr"/>
    </row>
    <row r="297" ht="15" customHeight="1">
      <c r="A297" t="inlineStr">
        <is>
          <t>A 41247-2025</t>
        </is>
      </c>
      <c r="B297" s="1" t="n">
        <v>45898.60109953704</v>
      </c>
      <c r="C297" s="1" t="n">
        <v>45923</v>
      </c>
      <c r="D297" t="inlineStr">
        <is>
          <t>JÄMTLANDS LÄN</t>
        </is>
      </c>
      <c r="E297" t="inlineStr">
        <is>
          <t>BERG</t>
        </is>
      </c>
      <c r="G297" t="n">
        <v>17.5</v>
      </c>
      <c r="H297" t="n">
        <v>0</v>
      </c>
      <c r="I297" t="n">
        <v>0</v>
      </c>
      <c r="J297" t="n">
        <v>0</v>
      </c>
      <c r="K297" t="n">
        <v>0</v>
      </c>
      <c r="L297" t="n">
        <v>0</v>
      </c>
      <c r="M297" t="n">
        <v>0</v>
      </c>
      <c r="N297" t="n">
        <v>0</v>
      </c>
      <c r="O297" t="n">
        <v>0</v>
      </c>
      <c r="P297" t="n">
        <v>0</v>
      </c>
      <c r="Q297" t="n">
        <v>0</v>
      </c>
      <c r="R297" s="2" t="inlineStr"/>
    </row>
    <row r="298" ht="15" customHeight="1">
      <c r="A298" t="inlineStr">
        <is>
          <t>A 41263-2025</t>
        </is>
      </c>
      <c r="B298" s="1" t="n">
        <v>45898.61517361111</v>
      </c>
      <c r="C298" s="1" t="n">
        <v>45923</v>
      </c>
      <c r="D298" t="inlineStr">
        <is>
          <t>JÄMTLANDS LÄN</t>
        </is>
      </c>
      <c r="E298" t="inlineStr">
        <is>
          <t>BERG</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45206-2024</t>
        </is>
      </c>
      <c r="B299" s="1" t="n">
        <v>45575.69966435185</v>
      </c>
      <c r="C299" s="1" t="n">
        <v>45923</v>
      </c>
      <c r="D299" t="inlineStr">
        <is>
          <t>JÄMTLANDS LÄN</t>
        </is>
      </c>
      <c r="E299" t="inlineStr">
        <is>
          <t>BERG</t>
        </is>
      </c>
      <c r="G299" t="n">
        <v>2.3</v>
      </c>
      <c r="H299" t="n">
        <v>0</v>
      </c>
      <c r="I299" t="n">
        <v>0</v>
      </c>
      <c r="J299" t="n">
        <v>0</v>
      </c>
      <c r="K299" t="n">
        <v>0</v>
      </c>
      <c r="L299" t="n">
        <v>0</v>
      </c>
      <c r="M299" t="n">
        <v>0</v>
      </c>
      <c r="N299" t="n">
        <v>0</v>
      </c>
      <c r="O299" t="n">
        <v>0</v>
      </c>
      <c r="P299" t="n">
        <v>0</v>
      </c>
      <c r="Q299" t="n">
        <v>0</v>
      </c>
      <c r="R299" s="2" t="inlineStr"/>
    </row>
    <row r="300" ht="15" customHeight="1">
      <c r="A300" t="inlineStr">
        <is>
          <t>A 40873-2025</t>
        </is>
      </c>
      <c r="B300" s="1" t="n">
        <v>45897.5744675926</v>
      </c>
      <c r="C300" s="1" t="n">
        <v>45923</v>
      </c>
      <c r="D300" t="inlineStr">
        <is>
          <t>JÄMTLANDS LÄN</t>
        </is>
      </c>
      <c r="E300" t="inlineStr">
        <is>
          <t>BERG</t>
        </is>
      </c>
      <c r="G300" t="n">
        <v>0.6</v>
      </c>
      <c r="H300" t="n">
        <v>0</v>
      </c>
      <c r="I300" t="n">
        <v>0</v>
      </c>
      <c r="J300" t="n">
        <v>0</v>
      </c>
      <c r="K300" t="n">
        <v>0</v>
      </c>
      <c r="L300" t="n">
        <v>0</v>
      </c>
      <c r="M300" t="n">
        <v>0</v>
      </c>
      <c r="N300" t="n">
        <v>0</v>
      </c>
      <c r="O300" t="n">
        <v>0</v>
      </c>
      <c r="P300" t="n">
        <v>0</v>
      </c>
      <c r="Q300" t="n">
        <v>0</v>
      </c>
      <c r="R300" s="2" t="inlineStr"/>
    </row>
    <row r="301" ht="15" customHeight="1">
      <c r="A301" t="inlineStr">
        <is>
          <t>A 39103-2024</t>
        </is>
      </c>
      <c r="B301" s="1" t="n">
        <v>45548.57025462963</v>
      </c>
      <c r="C301" s="1" t="n">
        <v>45923</v>
      </c>
      <c r="D301" t="inlineStr">
        <is>
          <t>JÄMTLANDS LÄN</t>
        </is>
      </c>
      <c r="E301" t="inlineStr">
        <is>
          <t>BERG</t>
        </is>
      </c>
      <c r="G301" t="n">
        <v>38.4</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45923</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41782-2024</t>
        </is>
      </c>
      <c r="B303" s="1" t="n">
        <v>45561</v>
      </c>
      <c r="C303" s="1" t="n">
        <v>45923</v>
      </c>
      <c r="D303" t="inlineStr">
        <is>
          <t>JÄMTLANDS LÄN</t>
        </is>
      </c>
      <c r="E303" t="inlineStr">
        <is>
          <t>BERG</t>
        </is>
      </c>
      <c r="F303" t="inlineStr">
        <is>
          <t>SCA</t>
        </is>
      </c>
      <c r="G303" t="n">
        <v>0.1</v>
      </c>
      <c r="H303" t="n">
        <v>0</v>
      </c>
      <c r="I303" t="n">
        <v>0</v>
      </c>
      <c r="J303" t="n">
        <v>0</v>
      </c>
      <c r="K303" t="n">
        <v>0</v>
      </c>
      <c r="L303" t="n">
        <v>0</v>
      </c>
      <c r="M303" t="n">
        <v>0</v>
      </c>
      <c r="N303" t="n">
        <v>0</v>
      </c>
      <c r="O303" t="n">
        <v>0</v>
      </c>
      <c r="P303" t="n">
        <v>0</v>
      </c>
      <c r="Q303" t="n">
        <v>0</v>
      </c>
      <c r="R303" s="2" t="inlineStr"/>
    </row>
    <row r="304" ht="15" customHeight="1">
      <c r="A304" t="inlineStr">
        <is>
          <t>A 14153-2023</t>
        </is>
      </c>
      <c r="B304" s="1" t="n">
        <v>45008</v>
      </c>
      <c r="C304" s="1" t="n">
        <v>45923</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35576-2025</t>
        </is>
      </c>
      <c r="B305" s="1" t="n">
        <v>45856.63608796296</v>
      </c>
      <c r="C305" s="1" t="n">
        <v>45923</v>
      </c>
      <c r="D305" t="inlineStr">
        <is>
          <t>JÄMTLANDS LÄN</t>
        </is>
      </c>
      <c r="E305" t="inlineStr">
        <is>
          <t>BERG</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40708-2025</t>
        </is>
      </c>
      <c r="B306" s="1" t="n">
        <v>45897</v>
      </c>
      <c r="C306" s="1" t="n">
        <v>45923</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35538-2025</t>
        </is>
      </c>
      <c r="B307" s="1" t="n">
        <v>45856.4552662037</v>
      </c>
      <c r="C307" s="1" t="n">
        <v>45923</v>
      </c>
      <c r="D307" t="inlineStr">
        <is>
          <t>JÄMTLANDS LÄN</t>
        </is>
      </c>
      <c r="E307" t="inlineStr">
        <is>
          <t>BERG</t>
        </is>
      </c>
      <c r="F307" t="inlineStr">
        <is>
          <t>Sveaskog</t>
        </is>
      </c>
      <c r="G307" t="n">
        <v>9.6</v>
      </c>
      <c r="H307" t="n">
        <v>0</v>
      </c>
      <c r="I307" t="n">
        <v>0</v>
      </c>
      <c r="J307" t="n">
        <v>0</v>
      </c>
      <c r="K307" t="n">
        <v>0</v>
      </c>
      <c r="L307" t="n">
        <v>0</v>
      </c>
      <c r="M307" t="n">
        <v>0</v>
      </c>
      <c r="N307" t="n">
        <v>0</v>
      </c>
      <c r="O307" t="n">
        <v>0</v>
      </c>
      <c r="P307" t="n">
        <v>0</v>
      </c>
      <c r="Q307" t="n">
        <v>0</v>
      </c>
      <c r="R307" s="2" t="inlineStr"/>
    </row>
    <row r="308" ht="15" customHeight="1">
      <c r="A308" t="inlineStr">
        <is>
          <t>A 41265-2025</t>
        </is>
      </c>
      <c r="B308" s="1" t="n">
        <v>45898.6153587963</v>
      </c>
      <c r="C308" s="1" t="n">
        <v>45923</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14728-2025</t>
        </is>
      </c>
      <c r="B309" s="1" t="n">
        <v>45742.63574074074</v>
      </c>
      <c r="C309" s="1" t="n">
        <v>45923</v>
      </c>
      <c r="D309" t="inlineStr">
        <is>
          <t>JÄMTLANDS LÄN</t>
        </is>
      </c>
      <c r="E309" t="inlineStr">
        <is>
          <t>BERG</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40918-2025</t>
        </is>
      </c>
      <c r="B310" s="1" t="n">
        <v>45897.6292824074</v>
      </c>
      <c r="C310" s="1" t="n">
        <v>45923</v>
      </c>
      <c r="D310" t="inlineStr">
        <is>
          <t>JÄMTLANDS LÄN</t>
        </is>
      </c>
      <c r="E310" t="inlineStr">
        <is>
          <t>BERG</t>
        </is>
      </c>
      <c r="G310" t="n">
        <v>1.7</v>
      </c>
      <c r="H310" t="n">
        <v>0</v>
      </c>
      <c r="I310" t="n">
        <v>0</v>
      </c>
      <c r="J310" t="n">
        <v>0</v>
      </c>
      <c r="K310" t="n">
        <v>0</v>
      </c>
      <c r="L310" t="n">
        <v>0</v>
      </c>
      <c r="M310" t="n">
        <v>0</v>
      </c>
      <c r="N310" t="n">
        <v>0</v>
      </c>
      <c r="O310" t="n">
        <v>0</v>
      </c>
      <c r="P310" t="n">
        <v>0</v>
      </c>
      <c r="Q310" t="n">
        <v>0</v>
      </c>
      <c r="R310" s="2" t="inlineStr"/>
    </row>
    <row r="311" ht="15" customHeight="1">
      <c r="A311" t="inlineStr">
        <is>
          <t>A 41295-2025</t>
        </is>
      </c>
      <c r="B311" s="1" t="n">
        <v>45898.65660879629</v>
      </c>
      <c r="C311" s="1" t="n">
        <v>45923</v>
      </c>
      <c r="D311" t="inlineStr">
        <is>
          <t>JÄMTLANDS LÄN</t>
        </is>
      </c>
      <c r="E311" t="inlineStr">
        <is>
          <t>BERG</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45923</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35911-2024</t>
        </is>
      </c>
      <c r="B313" s="1" t="n">
        <v>45533.41498842592</v>
      </c>
      <c r="C313" s="1" t="n">
        <v>45923</v>
      </c>
      <c r="D313" t="inlineStr">
        <is>
          <t>JÄMTLANDS LÄN</t>
        </is>
      </c>
      <c r="E313" t="inlineStr">
        <is>
          <t>BERG</t>
        </is>
      </c>
      <c r="G313" t="n">
        <v>4.1</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45923</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149-2024</t>
        </is>
      </c>
      <c r="B315" s="1" t="n">
        <v>45294</v>
      </c>
      <c r="C315" s="1" t="n">
        <v>45923</v>
      </c>
      <c r="D315" t="inlineStr">
        <is>
          <t>JÄMTLANDS LÄN</t>
        </is>
      </c>
      <c r="E315" t="inlineStr">
        <is>
          <t>BERG</t>
        </is>
      </c>
      <c r="F315" t="inlineStr">
        <is>
          <t>Kyrkan</t>
        </is>
      </c>
      <c r="G315" t="n">
        <v>3.7</v>
      </c>
      <c r="H315" t="n">
        <v>0</v>
      </c>
      <c r="I315" t="n">
        <v>0</v>
      </c>
      <c r="J315" t="n">
        <v>0</v>
      </c>
      <c r="K315" t="n">
        <v>0</v>
      </c>
      <c r="L315" t="n">
        <v>0</v>
      </c>
      <c r="M315" t="n">
        <v>0</v>
      </c>
      <c r="N315" t="n">
        <v>0</v>
      </c>
      <c r="O315" t="n">
        <v>0</v>
      </c>
      <c r="P315" t="n">
        <v>0</v>
      </c>
      <c r="Q315" t="n">
        <v>0</v>
      </c>
      <c r="R315" s="2" t="inlineStr"/>
    </row>
    <row r="316" ht="15" customHeight="1">
      <c r="A316" t="inlineStr">
        <is>
          <t>A 52774-2023</t>
        </is>
      </c>
      <c r="B316" s="1" t="n">
        <v>45219</v>
      </c>
      <c r="C316" s="1" t="n">
        <v>45923</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47982-2022</t>
        </is>
      </c>
      <c r="B317" s="1" t="n">
        <v>44853</v>
      </c>
      <c r="C317" s="1" t="n">
        <v>45923</v>
      </c>
      <c r="D317" t="inlineStr">
        <is>
          <t>JÄMTLANDS LÄN</t>
        </is>
      </c>
      <c r="E317" t="inlineStr">
        <is>
          <t>BERG</t>
        </is>
      </c>
      <c r="G317" t="n">
        <v>5.1</v>
      </c>
      <c r="H317" t="n">
        <v>0</v>
      </c>
      <c r="I317" t="n">
        <v>0</v>
      </c>
      <c r="J317" t="n">
        <v>0</v>
      </c>
      <c r="K317" t="n">
        <v>0</v>
      </c>
      <c r="L317" t="n">
        <v>0</v>
      </c>
      <c r="M317" t="n">
        <v>0</v>
      </c>
      <c r="N317" t="n">
        <v>0</v>
      </c>
      <c r="O317" t="n">
        <v>0</v>
      </c>
      <c r="P317" t="n">
        <v>0</v>
      </c>
      <c r="Q317" t="n">
        <v>0</v>
      </c>
      <c r="R317" s="2" t="inlineStr"/>
    </row>
    <row r="318" ht="15" customHeight="1">
      <c r="A318" t="inlineStr">
        <is>
          <t>A 58157-2021</t>
        </is>
      </c>
      <c r="B318" s="1" t="n">
        <v>44487.60703703704</v>
      </c>
      <c r="C318" s="1" t="n">
        <v>45923</v>
      </c>
      <c r="D318" t="inlineStr">
        <is>
          <t>JÄMTLANDS LÄN</t>
        </is>
      </c>
      <c r="E318" t="inlineStr">
        <is>
          <t>BERG</t>
        </is>
      </c>
      <c r="G318" t="n">
        <v>4.5</v>
      </c>
      <c r="H318" t="n">
        <v>0</v>
      </c>
      <c r="I318" t="n">
        <v>0</v>
      </c>
      <c r="J318" t="n">
        <v>0</v>
      </c>
      <c r="K318" t="n">
        <v>0</v>
      </c>
      <c r="L318" t="n">
        <v>0</v>
      </c>
      <c r="M318" t="n">
        <v>0</v>
      </c>
      <c r="N318" t="n">
        <v>0</v>
      </c>
      <c r="O318" t="n">
        <v>0</v>
      </c>
      <c r="P318" t="n">
        <v>0</v>
      </c>
      <c r="Q318" t="n">
        <v>0</v>
      </c>
      <c r="R318" s="2" t="inlineStr"/>
    </row>
    <row r="319" ht="15" customHeight="1">
      <c r="A319" t="inlineStr">
        <is>
          <t>A 35691-2025</t>
        </is>
      </c>
      <c r="B319" s="1" t="n">
        <v>45860.344375</v>
      </c>
      <c r="C319" s="1" t="n">
        <v>45923</v>
      </c>
      <c r="D319" t="inlineStr">
        <is>
          <t>JÄMTLANDS LÄN</t>
        </is>
      </c>
      <c r="E319" t="inlineStr">
        <is>
          <t>BERG</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35681-2025</t>
        </is>
      </c>
      <c r="B320" s="1" t="n">
        <v>45859.77703703703</v>
      </c>
      <c r="C320" s="1" t="n">
        <v>45923</v>
      </c>
      <c r="D320" t="inlineStr">
        <is>
          <t>JÄMTLANDS LÄN</t>
        </is>
      </c>
      <c r="E320" t="inlineStr">
        <is>
          <t>BERG</t>
        </is>
      </c>
      <c r="G320" t="n">
        <v>27</v>
      </c>
      <c r="H320" t="n">
        <v>0</v>
      </c>
      <c r="I320" t="n">
        <v>0</v>
      </c>
      <c r="J320" t="n">
        <v>0</v>
      </c>
      <c r="K320" t="n">
        <v>0</v>
      </c>
      <c r="L320" t="n">
        <v>0</v>
      </c>
      <c r="M320" t="n">
        <v>0</v>
      </c>
      <c r="N320" t="n">
        <v>0</v>
      </c>
      <c r="O320" t="n">
        <v>0</v>
      </c>
      <c r="P320" t="n">
        <v>0</v>
      </c>
      <c r="Q320" t="n">
        <v>0</v>
      </c>
      <c r="R320" s="2" t="inlineStr"/>
    </row>
    <row r="321" ht="15" customHeight="1">
      <c r="A321" t="inlineStr">
        <is>
          <t>A 35684-2025</t>
        </is>
      </c>
      <c r="B321" s="1" t="n">
        <v>45859.88079861111</v>
      </c>
      <c r="C321" s="1" t="n">
        <v>45923</v>
      </c>
      <c r="D321" t="inlineStr">
        <is>
          <t>JÄMTLANDS LÄN</t>
        </is>
      </c>
      <c r="E321" t="inlineStr">
        <is>
          <t>BERG</t>
        </is>
      </c>
      <c r="G321" t="n">
        <v>6.1</v>
      </c>
      <c r="H321" t="n">
        <v>0</v>
      </c>
      <c r="I321" t="n">
        <v>0</v>
      </c>
      <c r="J321" t="n">
        <v>0</v>
      </c>
      <c r="K321" t="n">
        <v>0</v>
      </c>
      <c r="L321" t="n">
        <v>0</v>
      </c>
      <c r="M321" t="n">
        <v>0</v>
      </c>
      <c r="N321" t="n">
        <v>0</v>
      </c>
      <c r="O321" t="n">
        <v>0</v>
      </c>
      <c r="P321" t="n">
        <v>0</v>
      </c>
      <c r="Q321" t="n">
        <v>0</v>
      </c>
      <c r="R321" s="2" t="inlineStr"/>
    </row>
    <row r="322" ht="15" customHeight="1">
      <c r="A322" t="inlineStr">
        <is>
          <t>A 51172-2024</t>
        </is>
      </c>
      <c r="B322" s="1" t="n">
        <v>45603.59056712963</v>
      </c>
      <c r="C322" s="1" t="n">
        <v>45923</v>
      </c>
      <c r="D322" t="inlineStr">
        <is>
          <t>JÄMTLANDS LÄN</t>
        </is>
      </c>
      <c r="E322" t="inlineStr">
        <is>
          <t>BERG</t>
        </is>
      </c>
      <c r="G322" t="n">
        <v>12.2</v>
      </c>
      <c r="H322" t="n">
        <v>0</v>
      </c>
      <c r="I322" t="n">
        <v>0</v>
      </c>
      <c r="J322" t="n">
        <v>0</v>
      </c>
      <c r="K322" t="n">
        <v>0</v>
      </c>
      <c r="L322" t="n">
        <v>0</v>
      </c>
      <c r="M322" t="n">
        <v>0</v>
      </c>
      <c r="N322" t="n">
        <v>0</v>
      </c>
      <c r="O322" t="n">
        <v>0</v>
      </c>
      <c r="P322" t="n">
        <v>0</v>
      </c>
      <c r="Q322" t="n">
        <v>0</v>
      </c>
      <c r="R322" s="2" t="inlineStr"/>
    </row>
    <row r="323" ht="15" customHeight="1">
      <c r="A323" t="inlineStr">
        <is>
          <t>A 9077-2023</t>
        </is>
      </c>
      <c r="B323" s="1" t="n">
        <v>44979</v>
      </c>
      <c r="C323" s="1" t="n">
        <v>45923</v>
      </c>
      <c r="D323" t="inlineStr">
        <is>
          <t>JÄMTLANDS LÄN</t>
        </is>
      </c>
      <c r="E323" t="inlineStr">
        <is>
          <t>BERG</t>
        </is>
      </c>
      <c r="G323" t="n">
        <v>3.6</v>
      </c>
      <c r="H323" t="n">
        <v>0</v>
      </c>
      <c r="I323" t="n">
        <v>0</v>
      </c>
      <c r="J323" t="n">
        <v>0</v>
      </c>
      <c r="K323" t="n">
        <v>0</v>
      </c>
      <c r="L323" t="n">
        <v>0</v>
      </c>
      <c r="M323" t="n">
        <v>0</v>
      </c>
      <c r="N323" t="n">
        <v>0</v>
      </c>
      <c r="O323" t="n">
        <v>0</v>
      </c>
      <c r="P323" t="n">
        <v>0</v>
      </c>
      <c r="Q323" t="n">
        <v>0</v>
      </c>
      <c r="R323" s="2" t="inlineStr"/>
    </row>
    <row r="324" ht="15" customHeight="1">
      <c r="A324" t="inlineStr">
        <is>
          <t>A 60028-2022</t>
        </is>
      </c>
      <c r="B324" s="1" t="n">
        <v>44902</v>
      </c>
      <c r="C324" s="1" t="n">
        <v>45923</v>
      </c>
      <c r="D324" t="inlineStr">
        <is>
          <t>JÄMTLANDS LÄN</t>
        </is>
      </c>
      <c r="E324" t="inlineStr">
        <is>
          <t>BERG</t>
        </is>
      </c>
      <c r="G324" t="n">
        <v>20</v>
      </c>
      <c r="H324" t="n">
        <v>0</v>
      </c>
      <c r="I324" t="n">
        <v>0</v>
      </c>
      <c r="J324" t="n">
        <v>0</v>
      </c>
      <c r="K324" t="n">
        <v>0</v>
      </c>
      <c r="L324" t="n">
        <v>0</v>
      </c>
      <c r="M324" t="n">
        <v>0</v>
      </c>
      <c r="N324" t="n">
        <v>0</v>
      </c>
      <c r="O324" t="n">
        <v>0</v>
      </c>
      <c r="P324" t="n">
        <v>0</v>
      </c>
      <c r="Q324" t="n">
        <v>0</v>
      </c>
      <c r="R324" s="2" t="inlineStr"/>
    </row>
    <row r="325" ht="15" customHeight="1">
      <c r="A325" t="inlineStr">
        <is>
          <t>A 34225-2024</t>
        </is>
      </c>
      <c r="B325" s="1" t="n">
        <v>45524.55398148148</v>
      </c>
      <c r="C325" s="1" t="n">
        <v>45923</v>
      </c>
      <c r="D325" t="inlineStr">
        <is>
          <t>JÄMTLANDS LÄN</t>
        </is>
      </c>
      <c r="E325" t="inlineStr">
        <is>
          <t>BERG</t>
        </is>
      </c>
      <c r="G325" t="n">
        <v>1.3</v>
      </c>
      <c r="H325" t="n">
        <v>0</v>
      </c>
      <c r="I325" t="n">
        <v>0</v>
      </c>
      <c r="J325" t="n">
        <v>0</v>
      </c>
      <c r="K325" t="n">
        <v>0</v>
      </c>
      <c r="L325" t="n">
        <v>0</v>
      </c>
      <c r="M325" t="n">
        <v>0</v>
      </c>
      <c r="N325" t="n">
        <v>0</v>
      </c>
      <c r="O325" t="n">
        <v>0</v>
      </c>
      <c r="P325" t="n">
        <v>0</v>
      </c>
      <c r="Q325" t="n">
        <v>0</v>
      </c>
      <c r="R325" s="2" t="inlineStr"/>
    </row>
    <row r="326" ht="15" customHeight="1">
      <c r="A326" t="inlineStr">
        <is>
          <t>A 44911-2021</t>
        </is>
      </c>
      <c r="B326" s="1" t="n">
        <v>44435</v>
      </c>
      <c r="C326" s="1" t="n">
        <v>45923</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41636-2024</t>
        </is>
      </c>
      <c r="B327" s="1" t="n">
        <v>45560.61606481481</v>
      </c>
      <c r="C327" s="1" t="n">
        <v>45923</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18032-2024</t>
        </is>
      </c>
      <c r="B328" s="1" t="n">
        <v>45420.34979166667</v>
      </c>
      <c r="C328" s="1" t="n">
        <v>45923</v>
      </c>
      <c r="D328" t="inlineStr">
        <is>
          <t>JÄMTLANDS LÄN</t>
        </is>
      </c>
      <c r="E328" t="inlineStr">
        <is>
          <t>BERG</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39809-2025</t>
        </is>
      </c>
      <c r="B329" s="1" t="n">
        <v>45891</v>
      </c>
      <c r="C329" s="1" t="n">
        <v>45923</v>
      </c>
      <c r="D329" t="inlineStr">
        <is>
          <t>JÄMTLANDS LÄN</t>
        </is>
      </c>
      <c r="E329" t="inlineStr">
        <is>
          <t>BERG</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41997-2025</t>
        </is>
      </c>
      <c r="B330" s="1" t="n">
        <v>45903.55162037037</v>
      </c>
      <c r="C330" s="1" t="n">
        <v>45923</v>
      </c>
      <c r="D330" t="inlineStr">
        <is>
          <t>JÄMTLANDS LÄN</t>
        </is>
      </c>
      <c r="E330" t="inlineStr">
        <is>
          <t>BERG</t>
        </is>
      </c>
      <c r="F330" t="inlineStr">
        <is>
          <t>Övriga statliga verk och myndigheter</t>
        </is>
      </c>
      <c r="G330" t="n">
        <v>2.2</v>
      </c>
      <c r="H330" t="n">
        <v>0</v>
      </c>
      <c r="I330" t="n">
        <v>0</v>
      </c>
      <c r="J330" t="n">
        <v>0</v>
      </c>
      <c r="K330" t="n">
        <v>0</v>
      </c>
      <c r="L330" t="n">
        <v>0</v>
      </c>
      <c r="M330" t="n">
        <v>0</v>
      </c>
      <c r="N330" t="n">
        <v>0</v>
      </c>
      <c r="O330" t="n">
        <v>0</v>
      </c>
      <c r="P330" t="n">
        <v>0</v>
      </c>
      <c r="Q330" t="n">
        <v>0</v>
      </c>
      <c r="R330" s="2" t="inlineStr"/>
    </row>
    <row r="331" ht="15" customHeight="1">
      <c r="A331" t="inlineStr">
        <is>
          <t>A 53883-2023</t>
        </is>
      </c>
      <c r="B331" s="1" t="n">
        <v>45231.5221875</v>
      </c>
      <c r="C331" s="1" t="n">
        <v>45923</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12342-2023</t>
        </is>
      </c>
      <c r="B332" s="1" t="n">
        <v>44998</v>
      </c>
      <c r="C332" s="1" t="n">
        <v>45923</v>
      </c>
      <c r="D332" t="inlineStr">
        <is>
          <t>JÄMTLANDS LÄN</t>
        </is>
      </c>
      <c r="E332" t="inlineStr">
        <is>
          <t>BERG</t>
        </is>
      </c>
      <c r="G332" t="n">
        <v>11</v>
      </c>
      <c r="H332" t="n">
        <v>0</v>
      </c>
      <c r="I332" t="n">
        <v>0</v>
      </c>
      <c r="J332" t="n">
        <v>0</v>
      </c>
      <c r="K332" t="n">
        <v>0</v>
      </c>
      <c r="L332" t="n">
        <v>0</v>
      </c>
      <c r="M332" t="n">
        <v>0</v>
      </c>
      <c r="N332" t="n">
        <v>0</v>
      </c>
      <c r="O332" t="n">
        <v>0</v>
      </c>
      <c r="P332" t="n">
        <v>0</v>
      </c>
      <c r="Q332" t="n">
        <v>0</v>
      </c>
      <c r="R332" s="2" t="inlineStr"/>
    </row>
    <row r="333" ht="15" customHeight="1">
      <c r="A333" t="inlineStr">
        <is>
          <t>A 42003-2025</t>
        </is>
      </c>
      <c r="B333" s="1" t="n">
        <v>45903.55403935185</v>
      </c>
      <c r="C333" s="1" t="n">
        <v>45923</v>
      </c>
      <c r="D333" t="inlineStr">
        <is>
          <t>JÄMTLANDS LÄN</t>
        </is>
      </c>
      <c r="E333" t="inlineStr">
        <is>
          <t>BERG</t>
        </is>
      </c>
      <c r="F333" t="inlineStr">
        <is>
          <t>Övriga statliga verk och myndigheter</t>
        </is>
      </c>
      <c r="G333" t="n">
        <v>10.5</v>
      </c>
      <c r="H333" t="n">
        <v>0</v>
      </c>
      <c r="I333" t="n">
        <v>0</v>
      </c>
      <c r="J333" t="n">
        <v>0</v>
      </c>
      <c r="K333" t="n">
        <v>0</v>
      </c>
      <c r="L333" t="n">
        <v>0</v>
      </c>
      <c r="M333" t="n">
        <v>0</v>
      </c>
      <c r="N333" t="n">
        <v>0</v>
      </c>
      <c r="O333" t="n">
        <v>0</v>
      </c>
      <c r="P333" t="n">
        <v>0</v>
      </c>
      <c r="Q333" t="n">
        <v>0</v>
      </c>
      <c r="R333" s="2" t="inlineStr"/>
    </row>
    <row r="334" ht="15" customHeight="1">
      <c r="A334" t="inlineStr">
        <is>
          <t>A 42101-2025</t>
        </is>
      </c>
      <c r="B334" s="1" t="n">
        <v>45903.80413194445</v>
      </c>
      <c r="C334" s="1" t="n">
        <v>45923</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14772-2021</t>
        </is>
      </c>
      <c r="B335" s="1" t="n">
        <v>44280.62068287037</v>
      </c>
      <c r="C335" s="1" t="n">
        <v>45923</v>
      </c>
      <c r="D335" t="inlineStr">
        <is>
          <t>JÄMTLANDS LÄN</t>
        </is>
      </c>
      <c r="E335" t="inlineStr">
        <is>
          <t>BERG</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45923</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22947-2022</t>
        </is>
      </c>
      <c r="B337" s="1" t="n">
        <v>44715.92443287037</v>
      </c>
      <c r="C337" s="1" t="n">
        <v>45923</v>
      </c>
      <c r="D337" t="inlineStr">
        <is>
          <t>JÄMTLANDS LÄN</t>
        </is>
      </c>
      <c r="E337" t="inlineStr">
        <is>
          <t>BERG</t>
        </is>
      </c>
      <c r="G337" t="n">
        <v>1</v>
      </c>
      <c r="H337" t="n">
        <v>0</v>
      </c>
      <c r="I337" t="n">
        <v>0</v>
      </c>
      <c r="J337" t="n">
        <v>0</v>
      </c>
      <c r="K337" t="n">
        <v>0</v>
      </c>
      <c r="L337" t="n">
        <v>0</v>
      </c>
      <c r="M337" t="n">
        <v>0</v>
      </c>
      <c r="N337" t="n">
        <v>0</v>
      </c>
      <c r="O337" t="n">
        <v>0</v>
      </c>
      <c r="P337" t="n">
        <v>0</v>
      </c>
      <c r="Q337" t="n">
        <v>0</v>
      </c>
      <c r="R337" s="2" t="inlineStr"/>
    </row>
    <row r="338" ht="15" customHeight="1">
      <c r="A338" t="inlineStr">
        <is>
          <t>A 46298-2024</t>
        </is>
      </c>
      <c r="B338" s="1" t="n">
        <v>45581.67739583334</v>
      </c>
      <c r="C338" s="1" t="n">
        <v>45923</v>
      </c>
      <c r="D338" t="inlineStr">
        <is>
          <t>JÄMTLANDS LÄN</t>
        </is>
      </c>
      <c r="E338" t="inlineStr">
        <is>
          <t>BERG</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41930-2025</t>
        </is>
      </c>
      <c r="B339" s="1" t="n">
        <v>45903.43454861111</v>
      </c>
      <c r="C339" s="1" t="n">
        <v>45923</v>
      </c>
      <c r="D339" t="inlineStr">
        <is>
          <t>JÄMTLANDS LÄN</t>
        </is>
      </c>
      <c r="E339" t="inlineStr">
        <is>
          <t>BERG</t>
        </is>
      </c>
      <c r="F339" t="inlineStr">
        <is>
          <t>Övriga statliga verk och myndigheter</t>
        </is>
      </c>
      <c r="G339" t="n">
        <v>2.4</v>
      </c>
      <c r="H339" t="n">
        <v>0</v>
      </c>
      <c r="I339" t="n">
        <v>0</v>
      </c>
      <c r="J339" t="n">
        <v>0</v>
      </c>
      <c r="K339" t="n">
        <v>0</v>
      </c>
      <c r="L339" t="n">
        <v>0</v>
      </c>
      <c r="M339" t="n">
        <v>0</v>
      </c>
      <c r="N339" t="n">
        <v>0</v>
      </c>
      <c r="O339" t="n">
        <v>0</v>
      </c>
      <c r="P339" t="n">
        <v>0</v>
      </c>
      <c r="Q339" t="n">
        <v>0</v>
      </c>
      <c r="R339" s="2" t="inlineStr"/>
    </row>
    <row r="340" ht="15" customHeight="1">
      <c r="A340" t="inlineStr">
        <is>
          <t>A 35683-2025</t>
        </is>
      </c>
      <c r="B340" s="1" t="n">
        <v>45859</v>
      </c>
      <c r="C340" s="1" t="n">
        <v>45923</v>
      </c>
      <c r="D340" t="inlineStr">
        <is>
          <t>JÄMTLANDS LÄN</t>
        </is>
      </c>
      <c r="E340" t="inlineStr">
        <is>
          <t>BERG</t>
        </is>
      </c>
      <c r="G340" t="n">
        <v>3.4</v>
      </c>
      <c r="H340" t="n">
        <v>0</v>
      </c>
      <c r="I340" t="n">
        <v>0</v>
      </c>
      <c r="J340" t="n">
        <v>0</v>
      </c>
      <c r="K340" t="n">
        <v>0</v>
      </c>
      <c r="L340" t="n">
        <v>0</v>
      </c>
      <c r="M340" t="n">
        <v>0</v>
      </c>
      <c r="N340" t="n">
        <v>0</v>
      </c>
      <c r="O340" t="n">
        <v>0</v>
      </c>
      <c r="P340" t="n">
        <v>0</v>
      </c>
      <c r="Q340" t="n">
        <v>0</v>
      </c>
      <c r="R340" s="2" t="inlineStr"/>
    </row>
    <row r="341" ht="15" customHeight="1">
      <c r="A341" t="inlineStr">
        <is>
          <t>A 40339-2025</t>
        </is>
      </c>
      <c r="B341" s="1" t="n">
        <v>45895</v>
      </c>
      <c r="C341" s="1" t="n">
        <v>45923</v>
      </c>
      <c r="D341" t="inlineStr">
        <is>
          <t>JÄMTLANDS LÄN</t>
        </is>
      </c>
      <c r="E341" t="inlineStr">
        <is>
          <t>BERG</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42378-2025</t>
        </is>
      </c>
      <c r="B342" s="1" t="n">
        <v>45905.34423611111</v>
      </c>
      <c r="C342" s="1" t="n">
        <v>45923</v>
      </c>
      <c r="D342" t="inlineStr">
        <is>
          <t>JÄMTLANDS LÄN</t>
        </is>
      </c>
      <c r="E342" t="inlineStr">
        <is>
          <t>BERG</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42415-2025</t>
        </is>
      </c>
      <c r="B343" s="1" t="n">
        <v>45905.39195601852</v>
      </c>
      <c r="C343" s="1" t="n">
        <v>45923</v>
      </c>
      <c r="D343" t="inlineStr">
        <is>
          <t>JÄMTLANDS LÄN</t>
        </is>
      </c>
      <c r="E343" t="inlineStr">
        <is>
          <t>BERG</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12774-2023</t>
        </is>
      </c>
      <c r="B344" s="1" t="n">
        <v>45001</v>
      </c>
      <c r="C344" s="1" t="n">
        <v>45923</v>
      </c>
      <c r="D344" t="inlineStr">
        <is>
          <t>JÄMTLANDS LÄN</t>
        </is>
      </c>
      <c r="E344" t="inlineStr">
        <is>
          <t>BERG</t>
        </is>
      </c>
      <c r="G344" t="n">
        <v>0.7</v>
      </c>
      <c r="H344" t="n">
        <v>0</v>
      </c>
      <c r="I344" t="n">
        <v>0</v>
      </c>
      <c r="J344" t="n">
        <v>0</v>
      </c>
      <c r="K344" t="n">
        <v>0</v>
      </c>
      <c r="L344" t="n">
        <v>0</v>
      </c>
      <c r="M344" t="n">
        <v>0</v>
      </c>
      <c r="N344" t="n">
        <v>0</v>
      </c>
      <c r="O344" t="n">
        <v>0</v>
      </c>
      <c r="P344" t="n">
        <v>0</v>
      </c>
      <c r="Q344" t="n">
        <v>0</v>
      </c>
      <c r="R344" s="2" t="inlineStr"/>
    </row>
    <row r="345" ht="15" customHeight="1">
      <c r="A345" t="inlineStr">
        <is>
          <t>A 64251-2023</t>
        </is>
      </c>
      <c r="B345" s="1" t="n">
        <v>45279.92756944444</v>
      </c>
      <c r="C345" s="1" t="n">
        <v>45923</v>
      </c>
      <c r="D345" t="inlineStr">
        <is>
          <t>JÄMTLANDS LÄN</t>
        </is>
      </c>
      <c r="E345" t="inlineStr">
        <is>
          <t>BERG</t>
        </is>
      </c>
      <c r="G345" t="n">
        <v>0.4</v>
      </c>
      <c r="H345" t="n">
        <v>0</v>
      </c>
      <c r="I345" t="n">
        <v>0</v>
      </c>
      <c r="J345" t="n">
        <v>0</v>
      </c>
      <c r="K345" t="n">
        <v>0</v>
      </c>
      <c r="L345" t="n">
        <v>0</v>
      </c>
      <c r="M345" t="n">
        <v>0</v>
      </c>
      <c r="N345" t="n">
        <v>0</v>
      </c>
      <c r="O345" t="n">
        <v>0</v>
      </c>
      <c r="P345" t="n">
        <v>0</v>
      </c>
      <c r="Q345" t="n">
        <v>0</v>
      </c>
      <c r="R345" s="2" t="inlineStr"/>
    </row>
    <row r="346" ht="15" customHeight="1">
      <c r="A346" t="inlineStr">
        <is>
          <t>A 46902-2024</t>
        </is>
      </c>
      <c r="B346" s="1" t="n">
        <v>45583.69847222222</v>
      </c>
      <c r="C346" s="1" t="n">
        <v>45923</v>
      </c>
      <c r="D346" t="inlineStr">
        <is>
          <t>JÄMTLANDS LÄN</t>
        </is>
      </c>
      <c r="E346" t="inlineStr">
        <is>
          <t>BERG</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40266-2025</t>
        </is>
      </c>
      <c r="B347" s="1" t="n">
        <v>45895.34478009259</v>
      </c>
      <c r="C347" s="1" t="n">
        <v>45923</v>
      </c>
      <c r="D347" t="inlineStr">
        <is>
          <t>JÄMTLANDS LÄN</t>
        </is>
      </c>
      <c r="E347" t="inlineStr">
        <is>
          <t>BERG</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42862-2025</t>
        </is>
      </c>
      <c r="B348" s="1" t="n">
        <v>45908.61515046296</v>
      </c>
      <c r="C348" s="1" t="n">
        <v>45923</v>
      </c>
      <c r="D348" t="inlineStr">
        <is>
          <t>JÄMTLANDS LÄN</t>
        </is>
      </c>
      <c r="E348" t="inlineStr">
        <is>
          <t>BERG</t>
        </is>
      </c>
      <c r="G348" t="n">
        <v>1.8</v>
      </c>
      <c r="H348" t="n">
        <v>0</v>
      </c>
      <c r="I348" t="n">
        <v>0</v>
      </c>
      <c r="J348" t="n">
        <v>0</v>
      </c>
      <c r="K348" t="n">
        <v>0</v>
      </c>
      <c r="L348" t="n">
        <v>0</v>
      </c>
      <c r="M348" t="n">
        <v>0</v>
      </c>
      <c r="N348" t="n">
        <v>0</v>
      </c>
      <c r="O348" t="n">
        <v>0</v>
      </c>
      <c r="P348" t="n">
        <v>0</v>
      </c>
      <c r="Q348" t="n">
        <v>0</v>
      </c>
      <c r="R348" s="2" t="inlineStr"/>
    </row>
    <row r="349" ht="15" customHeight="1">
      <c r="A349" t="inlineStr">
        <is>
          <t>A 36142-2025</t>
        </is>
      </c>
      <c r="B349" s="1" t="n">
        <v>45866</v>
      </c>
      <c r="C349" s="1" t="n">
        <v>45923</v>
      </c>
      <c r="D349" t="inlineStr">
        <is>
          <t>JÄMTLANDS LÄN</t>
        </is>
      </c>
      <c r="E349" t="inlineStr">
        <is>
          <t>BERG</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40340-2025</t>
        </is>
      </c>
      <c r="B350" s="1" t="n">
        <v>45895.46922453704</v>
      </c>
      <c r="C350" s="1" t="n">
        <v>45923</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42439-2025</t>
        </is>
      </c>
      <c r="B351" s="1" t="n">
        <v>45905.42969907408</v>
      </c>
      <c r="C351" s="1" t="n">
        <v>45923</v>
      </c>
      <c r="D351" t="inlineStr">
        <is>
          <t>JÄMTLANDS LÄN</t>
        </is>
      </c>
      <c r="E351" t="inlineStr">
        <is>
          <t>BERG</t>
        </is>
      </c>
      <c r="G351" t="n">
        <v>2</v>
      </c>
      <c r="H351" t="n">
        <v>0</v>
      </c>
      <c r="I351" t="n">
        <v>0</v>
      </c>
      <c r="J351" t="n">
        <v>0</v>
      </c>
      <c r="K351" t="n">
        <v>0</v>
      </c>
      <c r="L351" t="n">
        <v>0</v>
      </c>
      <c r="M351" t="n">
        <v>0</v>
      </c>
      <c r="N351" t="n">
        <v>0</v>
      </c>
      <c r="O351" t="n">
        <v>0</v>
      </c>
      <c r="P351" t="n">
        <v>0</v>
      </c>
      <c r="Q351" t="n">
        <v>0</v>
      </c>
      <c r="R351" s="2" t="inlineStr"/>
    </row>
    <row r="352" ht="15" customHeight="1">
      <c r="A352" t="inlineStr">
        <is>
          <t>A 43137-2025</t>
        </is>
      </c>
      <c r="B352" s="1" t="n">
        <v>45909.85438657407</v>
      </c>
      <c r="C352" s="1" t="n">
        <v>45923</v>
      </c>
      <c r="D352" t="inlineStr">
        <is>
          <t>JÄMTLANDS LÄN</t>
        </is>
      </c>
      <c r="E352" t="inlineStr">
        <is>
          <t>BERG</t>
        </is>
      </c>
      <c r="F352" t="inlineStr">
        <is>
          <t>Övriga statliga verk och myndigheter</t>
        </is>
      </c>
      <c r="G352" t="n">
        <v>11.6</v>
      </c>
      <c r="H352" t="n">
        <v>0</v>
      </c>
      <c r="I352" t="n">
        <v>0</v>
      </c>
      <c r="J352" t="n">
        <v>0</v>
      </c>
      <c r="K352" t="n">
        <v>0</v>
      </c>
      <c r="L352" t="n">
        <v>0</v>
      </c>
      <c r="M352" t="n">
        <v>0</v>
      </c>
      <c r="N352" t="n">
        <v>0</v>
      </c>
      <c r="O352" t="n">
        <v>0</v>
      </c>
      <c r="P352" t="n">
        <v>0</v>
      </c>
      <c r="Q352" t="n">
        <v>0</v>
      </c>
      <c r="R352" s="2" t="inlineStr"/>
    </row>
    <row r="353" ht="15" customHeight="1">
      <c r="A353" t="inlineStr">
        <is>
          <t>A 43015-2025</t>
        </is>
      </c>
      <c r="B353" s="1" t="n">
        <v>45909.49278935185</v>
      </c>
      <c r="C353" s="1" t="n">
        <v>45923</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36377-2025</t>
        </is>
      </c>
      <c r="B354" s="1" t="n">
        <v>45868.57342592593</v>
      </c>
      <c r="C354" s="1" t="n">
        <v>45923</v>
      </c>
      <c r="D354" t="inlineStr">
        <is>
          <t>JÄMTLANDS LÄN</t>
        </is>
      </c>
      <c r="E354" t="inlineStr">
        <is>
          <t>BERG</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57226-2022</t>
        </is>
      </c>
      <c r="B355" s="1" t="n">
        <v>44895.66629629629</v>
      </c>
      <c r="C355" s="1" t="n">
        <v>45923</v>
      </c>
      <c r="D355" t="inlineStr">
        <is>
          <t>JÄMTLANDS LÄN</t>
        </is>
      </c>
      <c r="E355" t="inlineStr">
        <is>
          <t>BERG</t>
        </is>
      </c>
      <c r="G355" t="n">
        <v>4.6</v>
      </c>
      <c r="H355" t="n">
        <v>0</v>
      </c>
      <c r="I355" t="n">
        <v>0</v>
      </c>
      <c r="J355" t="n">
        <v>0</v>
      </c>
      <c r="K355" t="n">
        <v>0</v>
      </c>
      <c r="L355" t="n">
        <v>0</v>
      </c>
      <c r="M355" t="n">
        <v>0</v>
      </c>
      <c r="N355" t="n">
        <v>0</v>
      </c>
      <c r="O355" t="n">
        <v>0</v>
      </c>
      <c r="P355" t="n">
        <v>0</v>
      </c>
      <c r="Q355" t="n">
        <v>0</v>
      </c>
      <c r="R355" s="2" t="inlineStr"/>
    </row>
    <row r="356" ht="15" customHeight="1">
      <c r="A356" t="inlineStr">
        <is>
          <t>A 23560-2024</t>
        </is>
      </c>
      <c r="B356" s="1" t="n">
        <v>45453.95467592592</v>
      </c>
      <c r="C356" s="1" t="n">
        <v>45923</v>
      </c>
      <c r="D356" t="inlineStr">
        <is>
          <t>JÄMTLANDS LÄN</t>
        </is>
      </c>
      <c r="E356" t="inlineStr">
        <is>
          <t>BERG</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35866-2024</t>
        </is>
      </c>
      <c r="B357" s="1" t="n">
        <v>45533.3422337963</v>
      </c>
      <c r="C357" s="1" t="n">
        <v>45923</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47289-2023</t>
        </is>
      </c>
      <c r="B358" s="1" t="n">
        <v>45202.46581018518</v>
      </c>
      <c r="C358" s="1" t="n">
        <v>45923</v>
      </c>
      <c r="D358" t="inlineStr">
        <is>
          <t>JÄMTLANDS LÄN</t>
        </is>
      </c>
      <c r="E358" t="inlineStr">
        <is>
          <t>BERG</t>
        </is>
      </c>
      <c r="G358" t="n">
        <v>1.8</v>
      </c>
      <c r="H358" t="n">
        <v>0</v>
      </c>
      <c r="I358" t="n">
        <v>0</v>
      </c>
      <c r="J358" t="n">
        <v>0</v>
      </c>
      <c r="K358" t="n">
        <v>0</v>
      </c>
      <c r="L358" t="n">
        <v>0</v>
      </c>
      <c r="M358" t="n">
        <v>0</v>
      </c>
      <c r="N358" t="n">
        <v>0</v>
      </c>
      <c r="O358" t="n">
        <v>0</v>
      </c>
      <c r="P358" t="n">
        <v>0</v>
      </c>
      <c r="Q358" t="n">
        <v>0</v>
      </c>
      <c r="R358" s="2" t="inlineStr"/>
    </row>
    <row r="359" ht="15" customHeight="1">
      <c r="A359" t="inlineStr">
        <is>
          <t>A 22030-2025</t>
        </is>
      </c>
      <c r="B359" s="1" t="n">
        <v>45785.25814814815</v>
      </c>
      <c r="C359" s="1" t="n">
        <v>45923</v>
      </c>
      <c r="D359" t="inlineStr">
        <is>
          <t>JÄMTLANDS LÄN</t>
        </is>
      </c>
      <c r="E359" t="inlineStr">
        <is>
          <t>BERG</t>
        </is>
      </c>
      <c r="G359" t="n">
        <v>5</v>
      </c>
      <c r="H359" t="n">
        <v>0</v>
      </c>
      <c r="I359" t="n">
        <v>0</v>
      </c>
      <c r="J359" t="n">
        <v>0</v>
      </c>
      <c r="K359" t="n">
        <v>0</v>
      </c>
      <c r="L359" t="n">
        <v>0</v>
      </c>
      <c r="M359" t="n">
        <v>0</v>
      </c>
      <c r="N359" t="n">
        <v>0</v>
      </c>
      <c r="O359" t="n">
        <v>0</v>
      </c>
      <c r="P359" t="n">
        <v>0</v>
      </c>
      <c r="Q359" t="n">
        <v>0</v>
      </c>
      <c r="R359" s="2" t="inlineStr"/>
    </row>
    <row r="360" ht="15" customHeight="1">
      <c r="A360" t="inlineStr">
        <is>
          <t>A 43441-2025</t>
        </is>
      </c>
      <c r="B360" s="1" t="n">
        <v>45911.44184027778</v>
      </c>
      <c r="C360" s="1" t="n">
        <v>45923</v>
      </c>
      <c r="D360" t="inlineStr">
        <is>
          <t>JÄMTLANDS LÄN</t>
        </is>
      </c>
      <c r="E360" t="inlineStr">
        <is>
          <t>BERG</t>
        </is>
      </c>
      <c r="G360" t="n">
        <v>2</v>
      </c>
      <c r="H360" t="n">
        <v>0</v>
      </c>
      <c r="I360" t="n">
        <v>0</v>
      </c>
      <c r="J360" t="n">
        <v>0</v>
      </c>
      <c r="K360" t="n">
        <v>0</v>
      </c>
      <c r="L360" t="n">
        <v>0</v>
      </c>
      <c r="M360" t="n">
        <v>0</v>
      </c>
      <c r="N360" t="n">
        <v>0</v>
      </c>
      <c r="O360" t="n">
        <v>0</v>
      </c>
      <c r="P360" t="n">
        <v>0</v>
      </c>
      <c r="Q360" t="n">
        <v>0</v>
      </c>
      <c r="R360" s="2" t="inlineStr"/>
    </row>
    <row r="361" ht="15" customHeight="1">
      <c r="A361" t="inlineStr">
        <is>
          <t>A 43442-2025</t>
        </is>
      </c>
      <c r="B361" s="1" t="n">
        <v>45911.44244212963</v>
      </c>
      <c r="C361" s="1" t="n">
        <v>45923</v>
      </c>
      <c r="D361" t="inlineStr">
        <is>
          <t>JÄMTLANDS LÄN</t>
        </is>
      </c>
      <c r="E361" t="inlineStr">
        <is>
          <t>BERG</t>
        </is>
      </c>
      <c r="G361" t="n">
        <v>3.8</v>
      </c>
      <c r="H361" t="n">
        <v>0</v>
      </c>
      <c r="I361" t="n">
        <v>0</v>
      </c>
      <c r="J361" t="n">
        <v>0</v>
      </c>
      <c r="K361" t="n">
        <v>0</v>
      </c>
      <c r="L361" t="n">
        <v>0</v>
      </c>
      <c r="M361" t="n">
        <v>0</v>
      </c>
      <c r="N361" t="n">
        <v>0</v>
      </c>
      <c r="O361" t="n">
        <v>0</v>
      </c>
      <c r="P361" t="n">
        <v>0</v>
      </c>
      <c r="Q361" t="n">
        <v>0</v>
      </c>
      <c r="R361" s="2" t="inlineStr"/>
    </row>
    <row r="362" ht="15" customHeight="1">
      <c r="A362" t="inlineStr">
        <is>
          <t>A 43443-2025</t>
        </is>
      </c>
      <c r="B362" s="1" t="n">
        <v>45911.44350694444</v>
      </c>
      <c r="C362" s="1" t="n">
        <v>45923</v>
      </c>
      <c r="D362" t="inlineStr">
        <is>
          <t>JÄMTLANDS LÄN</t>
        </is>
      </c>
      <c r="E362" t="inlineStr">
        <is>
          <t>BERG</t>
        </is>
      </c>
      <c r="G362" t="n">
        <v>2.7</v>
      </c>
      <c r="H362" t="n">
        <v>0</v>
      </c>
      <c r="I362" t="n">
        <v>0</v>
      </c>
      <c r="J362" t="n">
        <v>0</v>
      </c>
      <c r="K362" t="n">
        <v>0</v>
      </c>
      <c r="L362" t="n">
        <v>0</v>
      </c>
      <c r="M362" t="n">
        <v>0</v>
      </c>
      <c r="N362" t="n">
        <v>0</v>
      </c>
      <c r="O362" t="n">
        <v>0</v>
      </c>
      <c r="P362" t="n">
        <v>0</v>
      </c>
      <c r="Q362" t="n">
        <v>0</v>
      </c>
      <c r="R362" s="2" t="inlineStr"/>
    </row>
    <row r="363" ht="15" customHeight="1">
      <c r="A363" t="inlineStr">
        <is>
          <t>A 45347-2023</t>
        </is>
      </c>
      <c r="B363" s="1" t="n">
        <v>45191</v>
      </c>
      <c r="C363" s="1" t="n">
        <v>45923</v>
      </c>
      <c r="D363" t="inlineStr">
        <is>
          <t>JÄMTLANDS LÄN</t>
        </is>
      </c>
      <c r="E363" t="inlineStr">
        <is>
          <t>BERG</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17922-2024</t>
        </is>
      </c>
      <c r="B364" s="1" t="n">
        <v>45419.5853587963</v>
      </c>
      <c r="C364" s="1" t="n">
        <v>45923</v>
      </c>
      <c r="D364" t="inlineStr">
        <is>
          <t>JÄMTLANDS LÄN</t>
        </is>
      </c>
      <c r="E364" t="inlineStr">
        <is>
          <t>BERG</t>
        </is>
      </c>
      <c r="F364" t="inlineStr">
        <is>
          <t>Holmen skog AB</t>
        </is>
      </c>
      <c r="G364" t="n">
        <v>6.8</v>
      </c>
      <c r="H364" t="n">
        <v>0</v>
      </c>
      <c r="I364" t="n">
        <v>0</v>
      </c>
      <c r="J364" t="n">
        <v>0</v>
      </c>
      <c r="K364" t="n">
        <v>0</v>
      </c>
      <c r="L364" t="n">
        <v>0</v>
      </c>
      <c r="M364" t="n">
        <v>0</v>
      </c>
      <c r="N364" t="n">
        <v>0</v>
      </c>
      <c r="O364" t="n">
        <v>0</v>
      </c>
      <c r="P364" t="n">
        <v>0</v>
      </c>
      <c r="Q364" t="n">
        <v>0</v>
      </c>
      <c r="R364" s="2" t="inlineStr"/>
    </row>
    <row r="365" ht="15" customHeight="1">
      <c r="A365" t="inlineStr">
        <is>
          <t>A 41264-2025</t>
        </is>
      </c>
      <c r="B365" s="1" t="n">
        <v>45898</v>
      </c>
      <c r="C365" s="1" t="n">
        <v>45923</v>
      </c>
      <c r="D365" t="inlineStr">
        <is>
          <t>JÄMTLANDS LÄN</t>
        </is>
      </c>
      <c r="E365" t="inlineStr">
        <is>
          <t>BERG</t>
        </is>
      </c>
      <c r="G365" t="n">
        <v>17.4</v>
      </c>
      <c r="H365" t="n">
        <v>0</v>
      </c>
      <c r="I365" t="n">
        <v>0</v>
      </c>
      <c r="J365" t="n">
        <v>0</v>
      </c>
      <c r="K365" t="n">
        <v>0</v>
      </c>
      <c r="L365" t="n">
        <v>0</v>
      </c>
      <c r="M365" t="n">
        <v>0</v>
      </c>
      <c r="N365" t="n">
        <v>0</v>
      </c>
      <c r="O365" t="n">
        <v>0</v>
      </c>
      <c r="P365" t="n">
        <v>0</v>
      </c>
      <c r="Q365" t="n">
        <v>0</v>
      </c>
      <c r="R365" s="2" t="inlineStr"/>
    </row>
    <row r="366" ht="15" customHeight="1">
      <c r="A366" t="inlineStr">
        <is>
          <t>A 36079-2024</t>
        </is>
      </c>
      <c r="B366" s="1" t="n">
        <v>45533.66685185185</v>
      </c>
      <c r="C366" s="1" t="n">
        <v>45923</v>
      </c>
      <c r="D366" t="inlineStr">
        <is>
          <t>JÄMTLANDS LÄN</t>
        </is>
      </c>
      <c r="E366" t="inlineStr">
        <is>
          <t>BERG</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43458-2025</t>
        </is>
      </c>
      <c r="B367" s="1" t="n">
        <v>45911.46315972223</v>
      </c>
      <c r="C367" s="1" t="n">
        <v>45923</v>
      </c>
      <c r="D367" t="inlineStr">
        <is>
          <t>JÄMTLANDS LÄN</t>
        </is>
      </c>
      <c r="E367" t="inlineStr">
        <is>
          <t>BERG</t>
        </is>
      </c>
      <c r="G367" t="n">
        <v>11.2</v>
      </c>
      <c r="H367" t="n">
        <v>0</v>
      </c>
      <c r="I367" t="n">
        <v>0</v>
      </c>
      <c r="J367" t="n">
        <v>0</v>
      </c>
      <c r="K367" t="n">
        <v>0</v>
      </c>
      <c r="L367" t="n">
        <v>0</v>
      </c>
      <c r="M367" t="n">
        <v>0</v>
      </c>
      <c r="N367" t="n">
        <v>0</v>
      </c>
      <c r="O367" t="n">
        <v>0</v>
      </c>
      <c r="P367" t="n">
        <v>0</v>
      </c>
      <c r="Q367" t="n">
        <v>0</v>
      </c>
      <c r="R367" s="2" t="inlineStr"/>
    </row>
    <row r="368" ht="15" customHeight="1">
      <c r="A368" t="inlineStr">
        <is>
          <t>A 43560-2025</t>
        </is>
      </c>
      <c r="B368" s="1" t="n">
        <v>45911.62758101852</v>
      </c>
      <c r="C368" s="1" t="n">
        <v>45923</v>
      </c>
      <c r="D368" t="inlineStr">
        <is>
          <t>JÄMTLANDS LÄN</t>
        </is>
      </c>
      <c r="E368" t="inlineStr">
        <is>
          <t>BERG</t>
        </is>
      </c>
      <c r="G368" t="n">
        <v>10</v>
      </c>
      <c r="H368" t="n">
        <v>0</v>
      </c>
      <c r="I368" t="n">
        <v>0</v>
      </c>
      <c r="J368" t="n">
        <v>0</v>
      </c>
      <c r="K368" t="n">
        <v>0</v>
      </c>
      <c r="L368" t="n">
        <v>0</v>
      </c>
      <c r="M368" t="n">
        <v>0</v>
      </c>
      <c r="N368" t="n">
        <v>0</v>
      </c>
      <c r="O368" t="n">
        <v>0</v>
      </c>
      <c r="P368" t="n">
        <v>0</v>
      </c>
      <c r="Q368" t="n">
        <v>0</v>
      </c>
      <c r="R368" s="2" t="inlineStr"/>
    </row>
    <row r="369" ht="15" customHeight="1">
      <c r="A369" t="inlineStr">
        <is>
          <t>A 43567-2025</t>
        </is>
      </c>
      <c r="B369" s="1" t="n">
        <v>45911.6327662037</v>
      </c>
      <c r="C369" s="1" t="n">
        <v>45923</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43364-2025</t>
        </is>
      </c>
      <c r="B370" s="1" t="n">
        <v>45911.34483796296</v>
      </c>
      <c r="C370" s="1" t="n">
        <v>45923</v>
      </c>
      <c r="D370" t="inlineStr">
        <is>
          <t>JÄMTLANDS LÄN</t>
        </is>
      </c>
      <c r="E370" t="inlineStr">
        <is>
          <t>BERG</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38080-2025</t>
        </is>
      </c>
      <c r="B371" s="1" t="n">
        <v>45882</v>
      </c>
      <c r="C371" s="1" t="n">
        <v>45923</v>
      </c>
      <c r="D371" t="inlineStr">
        <is>
          <t>JÄMTLANDS LÄN</t>
        </is>
      </c>
      <c r="E371" t="inlineStr">
        <is>
          <t>BERG</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43456-2025</t>
        </is>
      </c>
      <c r="B372" s="1" t="n">
        <v>45911.46148148148</v>
      </c>
      <c r="C372" s="1" t="n">
        <v>45923</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8711-2024</t>
        </is>
      </c>
      <c r="B373" s="1" t="n">
        <v>45356</v>
      </c>
      <c r="C373" s="1" t="n">
        <v>45923</v>
      </c>
      <c r="D373" t="inlineStr">
        <is>
          <t>JÄMTLANDS LÄN</t>
        </is>
      </c>
      <c r="E373" t="inlineStr">
        <is>
          <t>BERG</t>
        </is>
      </c>
      <c r="G373" t="n">
        <v>5.2</v>
      </c>
      <c r="H373" t="n">
        <v>0</v>
      </c>
      <c r="I373" t="n">
        <v>0</v>
      </c>
      <c r="J373" t="n">
        <v>0</v>
      </c>
      <c r="K373" t="n">
        <v>0</v>
      </c>
      <c r="L373" t="n">
        <v>0</v>
      </c>
      <c r="M373" t="n">
        <v>0</v>
      </c>
      <c r="N373" t="n">
        <v>0</v>
      </c>
      <c r="O373" t="n">
        <v>0</v>
      </c>
      <c r="P373" t="n">
        <v>0</v>
      </c>
      <c r="Q373" t="n">
        <v>0</v>
      </c>
      <c r="R373" s="2" t="inlineStr"/>
    </row>
    <row r="374" ht="15" customHeight="1">
      <c r="A374" t="inlineStr">
        <is>
          <t>A 54799-2021</t>
        </is>
      </c>
      <c r="B374" s="1" t="n">
        <v>44473</v>
      </c>
      <c r="C374" s="1" t="n">
        <v>45923</v>
      </c>
      <c r="D374" t="inlineStr">
        <is>
          <t>JÄMTLANDS LÄN</t>
        </is>
      </c>
      <c r="E374" t="inlineStr">
        <is>
          <t>BERG</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15624-2023</t>
        </is>
      </c>
      <c r="B375" s="1" t="n">
        <v>45020.94496527778</v>
      </c>
      <c r="C375" s="1" t="n">
        <v>45923</v>
      </c>
      <c r="D375" t="inlineStr">
        <is>
          <t>JÄMTLANDS LÄN</t>
        </is>
      </c>
      <c r="E375" t="inlineStr">
        <is>
          <t>BERG</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35636-2023</t>
        </is>
      </c>
      <c r="B376" s="1" t="n">
        <v>45147</v>
      </c>
      <c r="C376" s="1" t="n">
        <v>45923</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38082-2025</t>
        </is>
      </c>
      <c r="B377" s="1" t="n">
        <v>45882</v>
      </c>
      <c r="C377" s="1" t="n">
        <v>45923</v>
      </c>
      <c r="D377" t="inlineStr">
        <is>
          <t>JÄMTLANDS LÄN</t>
        </is>
      </c>
      <c r="E377" t="inlineStr">
        <is>
          <t>BERG</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53958-2020</t>
        </is>
      </c>
      <c r="B378" s="1" t="n">
        <v>44123</v>
      </c>
      <c r="C378" s="1" t="n">
        <v>45923</v>
      </c>
      <c r="D378" t="inlineStr">
        <is>
          <t>JÄMTLANDS LÄN</t>
        </is>
      </c>
      <c r="E378" t="inlineStr">
        <is>
          <t>BERG</t>
        </is>
      </c>
      <c r="G378" t="n">
        <v>27.9</v>
      </c>
      <c r="H378" t="n">
        <v>0</v>
      </c>
      <c r="I378" t="n">
        <v>0</v>
      </c>
      <c r="J378" t="n">
        <v>0</v>
      </c>
      <c r="K378" t="n">
        <v>0</v>
      </c>
      <c r="L378" t="n">
        <v>0</v>
      </c>
      <c r="M378" t="n">
        <v>0</v>
      </c>
      <c r="N378" t="n">
        <v>0</v>
      </c>
      <c r="O378" t="n">
        <v>0</v>
      </c>
      <c r="P378" t="n">
        <v>0</v>
      </c>
      <c r="Q378" t="n">
        <v>0</v>
      </c>
      <c r="R378" s="2" t="inlineStr"/>
    </row>
    <row r="379" ht="15" customHeight="1">
      <c r="A379" t="inlineStr">
        <is>
          <t>A 39418-2025</t>
        </is>
      </c>
      <c r="B379" s="1" t="n">
        <v>45889</v>
      </c>
      <c r="C379" s="1" t="n">
        <v>45923</v>
      </c>
      <c r="D379" t="inlineStr">
        <is>
          <t>JÄMTLANDS LÄN</t>
        </is>
      </c>
      <c r="E379" t="inlineStr">
        <is>
          <t>BERG</t>
        </is>
      </c>
      <c r="G379" t="n">
        <v>19.8</v>
      </c>
      <c r="H379" t="n">
        <v>0</v>
      </c>
      <c r="I379" t="n">
        <v>0</v>
      </c>
      <c r="J379" t="n">
        <v>0</v>
      </c>
      <c r="K379" t="n">
        <v>0</v>
      </c>
      <c r="L379" t="n">
        <v>0</v>
      </c>
      <c r="M379" t="n">
        <v>0</v>
      </c>
      <c r="N379" t="n">
        <v>0</v>
      </c>
      <c r="O379" t="n">
        <v>0</v>
      </c>
      <c r="P379" t="n">
        <v>0</v>
      </c>
      <c r="Q379" t="n">
        <v>0</v>
      </c>
      <c r="R379" s="2" t="inlineStr"/>
    </row>
    <row r="380" ht="15" customHeight="1">
      <c r="A380" t="inlineStr">
        <is>
          <t>A 461-2023</t>
        </is>
      </c>
      <c r="B380" s="1" t="n">
        <v>44929</v>
      </c>
      <c r="C380" s="1" t="n">
        <v>45923</v>
      </c>
      <c r="D380" t="inlineStr">
        <is>
          <t>JÄMTLANDS LÄN</t>
        </is>
      </c>
      <c r="E380" t="inlineStr">
        <is>
          <t>BERG</t>
        </is>
      </c>
      <c r="G380" t="n">
        <v>5.8</v>
      </c>
      <c r="H380" t="n">
        <v>0</v>
      </c>
      <c r="I380" t="n">
        <v>0</v>
      </c>
      <c r="J380" t="n">
        <v>0</v>
      </c>
      <c r="K380" t="n">
        <v>0</v>
      </c>
      <c r="L380" t="n">
        <v>0</v>
      </c>
      <c r="M380" t="n">
        <v>0</v>
      </c>
      <c r="N380" t="n">
        <v>0</v>
      </c>
      <c r="O380" t="n">
        <v>0</v>
      </c>
      <c r="P380" t="n">
        <v>0</v>
      </c>
      <c r="Q380" t="n">
        <v>0</v>
      </c>
      <c r="R380" s="2" t="inlineStr"/>
    </row>
    <row r="381" ht="15" customHeight="1">
      <c r="A381" t="inlineStr">
        <is>
          <t>A 40341-2025</t>
        </is>
      </c>
      <c r="B381" s="1" t="n">
        <v>45895</v>
      </c>
      <c r="C381" s="1" t="n">
        <v>45923</v>
      </c>
      <c r="D381" t="inlineStr">
        <is>
          <t>JÄMTLANDS LÄN</t>
        </is>
      </c>
      <c r="E381" t="inlineStr">
        <is>
          <t>BERG</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40630-2025</t>
        </is>
      </c>
      <c r="B382" s="1" t="n">
        <v>45896</v>
      </c>
      <c r="C382" s="1" t="n">
        <v>45923</v>
      </c>
      <c r="D382" t="inlineStr">
        <is>
          <t>JÄMTLANDS LÄN</t>
        </is>
      </c>
      <c r="E382" t="inlineStr">
        <is>
          <t>BERG</t>
        </is>
      </c>
      <c r="G382" t="n">
        <v>2.1</v>
      </c>
      <c r="H382" t="n">
        <v>0</v>
      </c>
      <c r="I382" t="n">
        <v>0</v>
      </c>
      <c r="J382" t="n">
        <v>0</v>
      </c>
      <c r="K382" t="n">
        <v>0</v>
      </c>
      <c r="L382" t="n">
        <v>0</v>
      </c>
      <c r="M382" t="n">
        <v>0</v>
      </c>
      <c r="N382" t="n">
        <v>0</v>
      </c>
      <c r="O382" t="n">
        <v>0</v>
      </c>
      <c r="P382" t="n">
        <v>0</v>
      </c>
      <c r="Q382" t="n">
        <v>0</v>
      </c>
      <c r="R382" s="2" t="inlineStr"/>
    </row>
    <row r="383" ht="15" customHeight="1">
      <c r="A383" t="inlineStr">
        <is>
          <t>A 29540-2024</t>
        </is>
      </c>
      <c r="B383" s="1" t="n">
        <v>45484</v>
      </c>
      <c r="C383" s="1" t="n">
        <v>45923</v>
      </c>
      <c r="D383" t="inlineStr">
        <is>
          <t>JÄMTLANDS LÄN</t>
        </is>
      </c>
      <c r="E383" t="inlineStr">
        <is>
          <t>BERG</t>
        </is>
      </c>
      <c r="F383" t="inlineStr">
        <is>
          <t>Sveaskog</t>
        </is>
      </c>
      <c r="G383" t="n">
        <v>3.6</v>
      </c>
      <c r="H383" t="n">
        <v>0</v>
      </c>
      <c r="I383" t="n">
        <v>0</v>
      </c>
      <c r="J383" t="n">
        <v>0</v>
      </c>
      <c r="K383" t="n">
        <v>0</v>
      </c>
      <c r="L383" t="n">
        <v>0</v>
      </c>
      <c r="M383" t="n">
        <v>0</v>
      </c>
      <c r="N383" t="n">
        <v>0</v>
      </c>
      <c r="O383" t="n">
        <v>0</v>
      </c>
      <c r="P383" t="n">
        <v>0</v>
      </c>
      <c r="Q383" t="n">
        <v>0</v>
      </c>
      <c r="R383" s="2" t="inlineStr"/>
    </row>
    <row r="384" ht="15" customHeight="1">
      <c r="A384" t="inlineStr">
        <is>
          <t>A 64487-2023</t>
        </is>
      </c>
      <c r="B384" s="1" t="n">
        <v>45280.92613425926</v>
      </c>
      <c r="C384" s="1" t="n">
        <v>45923</v>
      </c>
      <c r="D384" t="inlineStr">
        <is>
          <t>JÄMTLANDS LÄN</t>
        </is>
      </c>
      <c r="E384" t="inlineStr">
        <is>
          <t>BERG</t>
        </is>
      </c>
      <c r="F384" t="inlineStr">
        <is>
          <t>Övriga Aktiebolag</t>
        </is>
      </c>
      <c r="G384" t="n">
        <v>7.6</v>
      </c>
      <c r="H384" t="n">
        <v>0</v>
      </c>
      <c r="I384" t="n">
        <v>0</v>
      </c>
      <c r="J384" t="n">
        <v>0</v>
      </c>
      <c r="K384" t="n">
        <v>0</v>
      </c>
      <c r="L384" t="n">
        <v>0</v>
      </c>
      <c r="M384" t="n">
        <v>0</v>
      </c>
      <c r="N384" t="n">
        <v>0</v>
      </c>
      <c r="O384" t="n">
        <v>0</v>
      </c>
      <c r="P384" t="n">
        <v>0</v>
      </c>
      <c r="Q384" t="n">
        <v>0</v>
      </c>
      <c r="R384" s="2" t="inlineStr"/>
    </row>
    <row r="385" ht="15" customHeight="1">
      <c r="A385" t="inlineStr">
        <is>
          <t>A 64489-2023</t>
        </is>
      </c>
      <c r="B385" s="1" t="n">
        <v>45280</v>
      </c>
      <c r="C385" s="1" t="n">
        <v>45923</v>
      </c>
      <c r="D385" t="inlineStr">
        <is>
          <t>JÄMTLANDS LÄN</t>
        </is>
      </c>
      <c r="E385" t="inlineStr">
        <is>
          <t>BERG</t>
        </is>
      </c>
      <c r="F385" t="inlineStr">
        <is>
          <t>Övriga Aktiebolag</t>
        </is>
      </c>
      <c r="G385" t="n">
        <v>14.1</v>
      </c>
      <c r="H385" t="n">
        <v>0</v>
      </c>
      <c r="I385" t="n">
        <v>0</v>
      </c>
      <c r="J385" t="n">
        <v>0</v>
      </c>
      <c r="K385" t="n">
        <v>0</v>
      </c>
      <c r="L385" t="n">
        <v>0</v>
      </c>
      <c r="M385" t="n">
        <v>0</v>
      </c>
      <c r="N385" t="n">
        <v>0</v>
      </c>
      <c r="O385" t="n">
        <v>0</v>
      </c>
      <c r="P385" t="n">
        <v>0</v>
      </c>
      <c r="Q385" t="n">
        <v>0</v>
      </c>
      <c r="R385" s="2" t="inlineStr"/>
    </row>
    <row r="386" ht="15" customHeight="1">
      <c r="A386" t="inlineStr">
        <is>
          <t>A 28098-2024</t>
        </is>
      </c>
      <c r="B386" s="1" t="n">
        <v>45476.61347222222</v>
      </c>
      <c r="C386" s="1" t="n">
        <v>45923</v>
      </c>
      <c r="D386" t="inlineStr">
        <is>
          <t>JÄMTLANDS LÄN</t>
        </is>
      </c>
      <c r="E386" t="inlineStr">
        <is>
          <t>BERG</t>
        </is>
      </c>
      <c r="G386" t="n">
        <v>0.4</v>
      </c>
      <c r="H386" t="n">
        <v>0</v>
      </c>
      <c r="I386" t="n">
        <v>0</v>
      </c>
      <c r="J386" t="n">
        <v>0</v>
      </c>
      <c r="K386" t="n">
        <v>0</v>
      </c>
      <c r="L386" t="n">
        <v>0</v>
      </c>
      <c r="M386" t="n">
        <v>0</v>
      </c>
      <c r="N386" t="n">
        <v>0</v>
      </c>
      <c r="O386" t="n">
        <v>0</v>
      </c>
      <c r="P386" t="n">
        <v>0</v>
      </c>
      <c r="Q386" t="n">
        <v>0</v>
      </c>
      <c r="R386" s="2" t="inlineStr"/>
    </row>
    <row r="387" ht="15" customHeight="1">
      <c r="A387" t="inlineStr">
        <is>
          <t>A 27395-2021</t>
        </is>
      </c>
      <c r="B387" s="1" t="n">
        <v>44350</v>
      </c>
      <c r="C387" s="1" t="n">
        <v>45923</v>
      </c>
      <c r="D387" t="inlineStr">
        <is>
          <t>JÄMTLANDS LÄN</t>
        </is>
      </c>
      <c r="E387" t="inlineStr">
        <is>
          <t>BERG</t>
        </is>
      </c>
      <c r="G387" t="n">
        <v>4.4</v>
      </c>
      <c r="H387" t="n">
        <v>0</v>
      </c>
      <c r="I387" t="n">
        <v>0</v>
      </c>
      <c r="J387" t="n">
        <v>0</v>
      </c>
      <c r="K387" t="n">
        <v>0</v>
      </c>
      <c r="L387" t="n">
        <v>0</v>
      </c>
      <c r="M387" t="n">
        <v>0</v>
      </c>
      <c r="N387" t="n">
        <v>0</v>
      </c>
      <c r="O387" t="n">
        <v>0</v>
      </c>
      <c r="P387" t="n">
        <v>0</v>
      </c>
      <c r="Q387" t="n">
        <v>0</v>
      </c>
      <c r="R387" s="2" t="inlineStr"/>
    </row>
    <row r="388" ht="15" customHeight="1">
      <c r="A388" t="inlineStr">
        <is>
          <t>A 38682-2023</t>
        </is>
      </c>
      <c r="B388" s="1" t="n">
        <v>45162</v>
      </c>
      <c r="C388" s="1" t="n">
        <v>45923</v>
      </c>
      <c r="D388" t="inlineStr">
        <is>
          <t>JÄMTLANDS LÄN</t>
        </is>
      </c>
      <c r="E388" t="inlineStr">
        <is>
          <t>BERG</t>
        </is>
      </c>
      <c r="F388" t="inlineStr">
        <is>
          <t>SCA</t>
        </is>
      </c>
      <c r="G388" t="n">
        <v>21.3</v>
      </c>
      <c r="H388" t="n">
        <v>0</v>
      </c>
      <c r="I388" t="n">
        <v>0</v>
      </c>
      <c r="J388" t="n">
        <v>0</v>
      </c>
      <c r="K388" t="n">
        <v>0</v>
      </c>
      <c r="L388" t="n">
        <v>0</v>
      </c>
      <c r="M388" t="n">
        <v>0</v>
      </c>
      <c r="N388" t="n">
        <v>0</v>
      </c>
      <c r="O388" t="n">
        <v>0</v>
      </c>
      <c r="P388" t="n">
        <v>0</v>
      </c>
      <c r="Q388" t="n">
        <v>0</v>
      </c>
      <c r="R388" s="2" t="inlineStr"/>
    </row>
    <row r="389" ht="15" customHeight="1">
      <c r="A389" t="inlineStr">
        <is>
          <t>A 36896-2025</t>
        </is>
      </c>
      <c r="B389" s="1" t="n">
        <v>45874.4740625</v>
      </c>
      <c r="C389" s="1" t="n">
        <v>45923</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32248-2024</t>
        </is>
      </c>
      <c r="B390" s="1" t="n">
        <v>45511.95144675926</v>
      </c>
      <c r="C390" s="1" t="n">
        <v>45923</v>
      </c>
      <c r="D390" t="inlineStr">
        <is>
          <t>JÄMTLANDS LÄN</t>
        </is>
      </c>
      <c r="E390" t="inlineStr">
        <is>
          <t>BERG</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692-2021</t>
        </is>
      </c>
      <c r="B391" s="1" t="n">
        <v>44203</v>
      </c>
      <c r="C391" s="1" t="n">
        <v>45923</v>
      </c>
      <c r="D391" t="inlineStr">
        <is>
          <t>JÄMTLANDS LÄN</t>
        </is>
      </c>
      <c r="E391" t="inlineStr">
        <is>
          <t>BERG</t>
        </is>
      </c>
      <c r="G391" t="n">
        <v>0.7</v>
      </c>
      <c r="H391" t="n">
        <v>0</v>
      </c>
      <c r="I391" t="n">
        <v>0</v>
      </c>
      <c r="J391" t="n">
        <v>0</v>
      </c>
      <c r="K391" t="n">
        <v>0</v>
      </c>
      <c r="L391" t="n">
        <v>0</v>
      </c>
      <c r="M391" t="n">
        <v>0</v>
      </c>
      <c r="N391" t="n">
        <v>0</v>
      </c>
      <c r="O391" t="n">
        <v>0</v>
      </c>
      <c r="P391" t="n">
        <v>0</v>
      </c>
      <c r="Q391" t="n">
        <v>0</v>
      </c>
      <c r="R391" s="2" t="inlineStr"/>
    </row>
    <row r="392" ht="15" customHeight="1">
      <c r="A392" t="inlineStr">
        <is>
          <t>A 60068-2022</t>
        </is>
      </c>
      <c r="B392" s="1" t="n">
        <v>44902</v>
      </c>
      <c r="C392" s="1" t="n">
        <v>45923</v>
      </c>
      <c r="D392" t="inlineStr">
        <is>
          <t>JÄMTLANDS LÄN</t>
        </is>
      </c>
      <c r="E392" t="inlineStr">
        <is>
          <t>BERG</t>
        </is>
      </c>
      <c r="G392" t="n">
        <v>5.2</v>
      </c>
      <c r="H392" t="n">
        <v>0</v>
      </c>
      <c r="I392" t="n">
        <v>0</v>
      </c>
      <c r="J392" t="n">
        <v>0</v>
      </c>
      <c r="K392" t="n">
        <v>0</v>
      </c>
      <c r="L392" t="n">
        <v>0</v>
      </c>
      <c r="M392" t="n">
        <v>0</v>
      </c>
      <c r="N392" t="n">
        <v>0</v>
      </c>
      <c r="O392" t="n">
        <v>0</v>
      </c>
      <c r="P392" t="n">
        <v>0</v>
      </c>
      <c r="Q392" t="n">
        <v>0</v>
      </c>
      <c r="R392" s="2" t="inlineStr"/>
    </row>
    <row r="393" ht="15" customHeight="1">
      <c r="A393" t="inlineStr">
        <is>
          <t>A 43968-2025</t>
        </is>
      </c>
      <c r="B393" s="1" t="n">
        <v>45915</v>
      </c>
      <c r="C393" s="1" t="n">
        <v>45923</v>
      </c>
      <c r="D393" t="inlineStr">
        <is>
          <t>JÄMTLANDS LÄN</t>
        </is>
      </c>
      <c r="E393" t="inlineStr">
        <is>
          <t>BERG</t>
        </is>
      </c>
      <c r="G393" t="n">
        <v>2</v>
      </c>
      <c r="H393" t="n">
        <v>0</v>
      </c>
      <c r="I393" t="n">
        <v>0</v>
      </c>
      <c r="J393" t="n">
        <v>0</v>
      </c>
      <c r="K393" t="n">
        <v>0</v>
      </c>
      <c r="L393" t="n">
        <v>0</v>
      </c>
      <c r="M393" t="n">
        <v>0</v>
      </c>
      <c r="N393" t="n">
        <v>0</v>
      </c>
      <c r="O393" t="n">
        <v>0</v>
      </c>
      <c r="P393" t="n">
        <v>0</v>
      </c>
      <c r="Q393" t="n">
        <v>0</v>
      </c>
      <c r="R393" s="2" t="inlineStr"/>
    </row>
    <row r="394" ht="15" customHeight="1">
      <c r="A394" t="inlineStr">
        <is>
          <t>A 32178-2024</t>
        </is>
      </c>
      <c r="B394" s="1" t="n">
        <v>45511</v>
      </c>
      <c r="C394" s="1" t="n">
        <v>45923</v>
      </c>
      <c r="D394" t="inlineStr">
        <is>
          <t>JÄMTLANDS LÄN</t>
        </is>
      </c>
      <c r="E394" t="inlineStr">
        <is>
          <t>BERG</t>
        </is>
      </c>
      <c r="G394" t="n">
        <v>11.4</v>
      </c>
      <c r="H394" t="n">
        <v>0</v>
      </c>
      <c r="I394" t="n">
        <v>0</v>
      </c>
      <c r="J394" t="n">
        <v>0</v>
      </c>
      <c r="K394" t="n">
        <v>0</v>
      </c>
      <c r="L394" t="n">
        <v>0</v>
      </c>
      <c r="M394" t="n">
        <v>0</v>
      </c>
      <c r="N394" t="n">
        <v>0</v>
      </c>
      <c r="O394" t="n">
        <v>0</v>
      </c>
      <c r="P394" t="n">
        <v>0</v>
      </c>
      <c r="Q394" t="n">
        <v>0</v>
      </c>
      <c r="R394" s="2" t="inlineStr"/>
    </row>
    <row r="395" ht="15" customHeight="1">
      <c r="A395" t="inlineStr">
        <is>
          <t>A 8733-2025</t>
        </is>
      </c>
      <c r="B395" s="1" t="n">
        <v>45712.53197916667</v>
      </c>
      <c r="C395" s="1" t="n">
        <v>45923</v>
      </c>
      <c r="D395" t="inlineStr">
        <is>
          <t>JÄMTLANDS LÄN</t>
        </is>
      </c>
      <c r="E395" t="inlineStr">
        <is>
          <t>BERG</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29424-2024</t>
        </is>
      </c>
      <c r="B396" s="1" t="n">
        <v>45483.71451388889</v>
      </c>
      <c r="C396" s="1" t="n">
        <v>45923</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30917-2024</t>
        </is>
      </c>
      <c r="B397" s="1" t="n">
        <v>45498.66611111111</v>
      </c>
      <c r="C397" s="1" t="n">
        <v>45923</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30992-2024</t>
        </is>
      </c>
      <c r="B398" s="1" t="n">
        <v>45499</v>
      </c>
      <c r="C398" s="1" t="n">
        <v>45923</v>
      </c>
      <c r="D398" t="inlineStr">
        <is>
          <t>JÄMTLANDS LÄN</t>
        </is>
      </c>
      <c r="E398" t="inlineStr">
        <is>
          <t>BERG</t>
        </is>
      </c>
      <c r="F398" t="inlineStr">
        <is>
          <t>Sveaskog</t>
        </is>
      </c>
      <c r="G398" t="n">
        <v>5.1</v>
      </c>
      <c r="H398" t="n">
        <v>0</v>
      </c>
      <c r="I398" t="n">
        <v>0</v>
      </c>
      <c r="J398" t="n">
        <v>0</v>
      </c>
      <c r="K398" t="n">
        <v>0</v>
      </c>
      <c r="L398" t="n">
        <v>0</v>
      </c>
      <c r="M398" t="n">
        <v>0</v>
      </c>
      <c r="N398" t="n">
        <v>0</v>
      </c>
      <c r="O398" t="n">
        <v>0</v>
      </c>
      <c r="P398" t="n">
        <v>0</v>
      </c>
      <c r="Q398" t="n">
        <v>0</v>
      </c>
      <c r="R398" s="2" t="inlineStr"/>
    </row>
    <row r="399" ht="15" customHeight="1">
      <c r="A399" t="inlineStr">
        <is>
          <t>A 45081-2022</t>
        </is>
      </c>
      <c r="B399" s="1" t="n">
        <v>44841</v>
      </c>
      <c r="C399" s="1" t="n">
        <v>45923</v>
      </c>
      <c r="D399" t="inlineStr">
        <is>
          <t>JÄMTLANDS LÄN</t>
        </is>
      </c>
      <c r="E399" t="inlineStr">
        <is>
          <t>BERG</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44302-2025</t>
        </is>
      </c>
      <c r="B400" s="1" t="n">
        <v>45915</v>
      </c>
      <c r="C400" s="1" t="n">
        <v>45923</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44031-2025</t>
        </is>
      </c>
      <c r="B401" s="1" t="n">
        <v>45915.49019675926</v>
      </c>
      <c r="C401" s="1" t="n">
        <v>45923</v>
      </c>
      <c r="D401" t="inlineStr">
        <is>
          <t>JÄMTLANDS LÄN</t>
        </is>
      </c>
      <c r="E401" t="inlineStr">
        <is>
          <t>BERG</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44051-2025</t>
        </is>
      </c>
      <c r="B402" s="1" t="n">
        <v>45915.51079861111</v>
      </c>
      <c r="C402" s="1" t="n">
        <v>45923</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36714-2025</t>
        </is>
      </c>
      <c r="B403" s="1" t="n">
        <v>45873.46881944445</v>
      </c>
      <c r="C403" s="1" t="n">
        <v>45923</v>
      </c>
      <c r="D403" t="inlineStr">
        <is>
          <t>JÄMTLANDS LÄN</t>
        </is>
      </c>
      <c r="E403" t="inlineStr">
        <is>
          <t>BERG</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5911-2024</t>
        </is>
      </c>
      <c r="B404" s="1" t="n">
        <v>45335</v>
      </c>
      <c r="C404" s="1" t="n">
        <v>45923</v>
      </c>
      <c r="D404" t="inlineStr">
        <is>
          <t>JÄMTLANDS LÄN</t>
        </is>
      </c>
      <c r="E404" t="inlineStr">
        <is>
          <t>BERG</t>
        </is>
      </c>
      <c r="F404" t="inlineStr">
        <is>
          <t>SCA</t>
        </is>
      </c>
      <c r="G404" t="n">
        <v>28.6</v>
      </c>
      <c r="H404" t="n">
        <v>0</v>
      </c>
      <c r="I404" t="n">
        <v>0</v>
      </c>
      <c r="J404" t="n">
        <v>0</v>
      </c>
      <c r="K404" t="n">
        <v>0</v>
      </c>
      <c r="L404" t="n">
        <v>0</v>
      </c>
      <c r="M404" t="n">
        <v>0</v>
      </c>
      <c r="N404" t="n">
        <v>0</v>
      </c>
      <c r="O404" t="n">
        <v>0</v>
      </c>
      <c r="P404" t="n">
        <v>0</v>
      </c>
      <c r="Q404" t="n">
        <v>0</v>
      </c>
      <c r="R404" s="2" t="inlineStr"/>
    </row>
    <row r="405" ht="15" customHeight="1">
      <c r="A405" t="inlineStr">
        <is>
          <t>A 1983-2022</t>
        </is>
      </c>
      <c r="B405" s="1" t="n">
        <v>44575</v>
      </c>
      <c r="C405" s="1" t="n">
        <v>45923</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2002-2022</t>
        </is>
      </c>
      <c r="B406" s="1" t="n">
        <v>44575</v>
      </c>
      <c r="C406" s="1" t="n">
        <v>45923</v>
      </c>
      <c r="D406" t="inlineStr">
        <is>
          <t>JÄMTLANDS LÄN</t>
        </is>
      </c>
      <c r="E406" t="inlineStr">
        <is>
          <t>BERG</t>
        </is>
      </c>
      <c r="G406" t="n">
        <v>11.3</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45923</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39186-2024</t>
        </is>
      </c>
      <c r="B408" s="1" t="n">
        <v>45548.66489583333</v>
      </c>
      <c r="C408" s="1" t="n">
        <v>45923</v>
      </c>
      <c r="D408" t="inlineStr">
        <is>
          <t>JÄMTLANDS LÄN</t>
        </is>
      </c>
      <c r="E408" t="inlineStr">
        <is>
          <t>BERG</t>
        </is>
      </c>
      <c r="G408" t="n">
        <v>38.4</v>
      </c>
      <c r="H408" t="n">
        <v>0</v>
      </c>
      <c r="I408" t="n">
        <v>0</v>
      </c>
      <c r="J408" t="n">
        <v>0</v>
      </c>
      <c r="K408" t="n">
        <v>0</v>
      </c>
      <c r="L408" t="n">
        <v>0</v>
      </c>
      <c r="M408" t="n">
        <v>0</v>
      </c>
      <c r="N408" t="n">
        <v>0</v>
      </c>
      <c r="O408" t="n">
        <v>0</v>
      </c>
      <c r="P408" t="n">
        <v>0</v>
      </c>
      <c r="Q408" t="n">
        <v>0</v>
      </c>
      <c r="R408" s="2" t="inlineStr"/>
    </row>
    <row r="409" ht="15" customHeight="1">
      <c r="A409" t="inlineStr">
        <is>
          <t>A 22297-2022</t>
        </is>
      </c>
      <c r="B409" s="1" t="n">
        <v>44712</v>
      </c>
      <c r="C409" s="1" t="n">
        <v>45923</v>
      </c>
      <c r="D409" t="inlineStr">
        <is>
          <t>JÄMTLANDS LÄN</t>
        </is>
      </c>
      <c r="E409" t="inlineStr">
        <is>
          <t>BERG</t>
        </is>
      </c>
      <c r="G409" t="n">
        <v>1</v>
      </c>
      <c r="H409" t="n">
        <v>0</v>
      </c>
      <c r="I409" t="n">
        <v>0</v>
      </c>
      <c r="J409" t="n">
        <v>0</v>
      </c>
      <c r="K409" t="n">
        <v>0</v>
      </c>
      <c r="L409" t="n">
        <v>0</v>
      </c>
      <c r="M409" t="n">
        <v>0</v>
      </c>
      <c r="N409" t="n">
        <v>0</v>
      </c>
      <c r="O409" t="n">
        <v>0</v>
      </c>
      <c r="P409" t="n">
        <v>0</v>
      </c>
      <c r="Q409" t="n">
        <v>0</v>
      </c>
      <c r="R409" s="2" t="inlineStr"/>
    </row>
    <row r="410" ht="15" customHeight="1">
      <c r="A410" t="inlineStr">
        <is>
          <t>A 23877-2024</t>
        </is>
      </c>
      <c r="B410" s="1" t="n">
        <v>45455.63024305556</v>
      </c>
      <c r="C410" s="1" t="n">
        <v>45923</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23880-2024</t>
        </is>
      </c>
      <c r="B411" s="1" t="n">
        <v>45455.63731481481</v>
      </c>
      <c r="C411" s="1" t="n">
        <v>45923</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17056-2025</t>
        </is>
      </c>
      <c r="B412" s="1" t="n">
        <v>45755.60469907407</v>
      </c>
      <c r="C412" s="1" t="n">
        <v>45923</v>
      </c>
      <c r="D412" t="inlineStr">
        <is>
          <t>JÄMTLANDS LÄN</t>
        </is>
      </c>
      <c r="E412" t="inlineStr">
        <is>
          <t>BERG</t>
        </is>
      </c>
      <c r="G412" t="n">
        <v>13.9</v>
      </c>
      <c r="H412" t="n">
        <v>0</v>
      </c>
      <c r="I412" t="n">
        <v>0</v>
      </c>
      <c r="J412" t="n">
        <v>0</v>
      </c>
      <c r="K412" t="n">
        <v>0</v>
      </c>
      <c r="L412" t="n">
        <v>0</v>
      </c>
      <c r="M412" t="n">
        <v>0</v>
      </c>
      <c r="N412" t="n">
        <v>0</v>
      </c>
      <c r="O412" t="n">
        <v>0</v>
      </c>
      <c r="P412" t="n">
        <v>0</v>
      </c>
      <c r="Q412" t="n">
        <v>0</v>
      </c>
      <c r="R412" s="2" t="inlineStr"/>
    </row>
    <row r="413" ht="15" customHeight="1">
      <c r="A413" t="inlineStr">
        <is>
          <t>A 14431-2025</t>
        </is>
      </c>
      <c r="B413" s="1" t="n">
        <v>45741</v>
      </c>
      <c r="C413" s="1" t="n">
        <v>45923</v>
      </c>
      <c r="D413" t="inlineStr">
        <is>
          <t>JÄMTLANDS LÄN</t>
        </is>
      </c>
      <c r="E413" t="inlineStr">
        <is>
          <t>BERG</t>
        </is>
      </c>
      <c r="G413" t="n">
        <v>1.7</v>
      </c>
      <c r="H413" t="n">
        <v>0</v>
      </c>
      <c r="I413" t="n">
        <v>0</v>
      </c>
      <c r="J413" t="n">
        <v>0</v>
      </c>
      <c r="K413" t="n">
        <v>0</v>
      </c>
      <c r="L413" t="n">
        <v>0</v>
      </c>
      <c r="M413" t="n">
        <v>0</v>
      </c>
      <c r="N413" t="n">
        <v>0</v>
      </c>
      <c r="O413" t="n">
        <v>0</v>
      </c>
      <c r="P413" t="n">
        <v>0</v>
      </c>
      <c r="Q413" t="n">
        <v>0</v>
      </c>
      <c r="R413" s="2" t="inlineStr"/>
    </row>
    <row r="414" ht="15" customHeight="1">
      <c r="A414" t="inlineStr">
        <is>
          <t>A 13540-2024</t>
        </is>
      </c>
      <c r="B414" s="1" t="n">
        <v>45387.92591435185</v>
      </c>
      <c r="C414" s="1" t="n">
        <v>45923</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44043-2025</t>
        </is>
      </c>
      <c r="B415" s="1" t="n">
        <v>45915.49266203704</v>
      </c>
      <c r="C415" s="1" t="n">
        <v>45923</v>
      </c>
      <c r="D415" t="inlineStr">
        <is>
          <t>JÄMTLANDS LÄN</t>
        </is>
      </c>
      <c r="E415" t="inlineStr">
        <is>
          <t>BERG</t>
        </is>
      </c>
      <c r="G415" t="n">
        <v>3.4</v>
      </c>
      <c r="H415" t="n">
        <v>0</v>
      </c>
      <c r="I415" t="n">
        <v>0</v>
      </c>
      <c r="J415" t="n">
        <v>0</v>
      </c>
      <c r="K415" t="n">
        <v>0</v>
      </c>
      <c r="L415" t="n">
        <v>0</v>
      </c>
      <c r="M415" t="n">
        <v>0</v>
      </c>
      <c r="N415" t="n">
        <v>0</v>
      </c>
      <c r="O415" t="n">
        <v>0</v>
      </c>
      <c r="P415" t="n">
        <v>0</v>
      </c>
      <c r="Q415" t="n">
        <v>0</v>
      </c>
      <c r="R415" s="2" t="inlineStr"/>
    </row>
    <row r="416" ht="15" customHeight="1">
      <c r="A416" t="inlineStr">
        <is>
          <t>A 54992-2023</t>
        </is>
      </c>
      <c r="B416" s="1" t="n">
        <v>45236.96789351852</v>
      </c>
      <c r="C416" s="1" t="n">
        <v>45923</v>
      </c>
      <c r="D416" t="inlineStr">
        <is>
          <t>JÄMTLANDS LÄN</t>
        </is>
      </c>
      <c r="E416" t="inlineStr">
        <is>
          <t>BERG</t>
        </is>
      </c>
      <c r="F416" t="inlineStr">
        <is>
          <t>SCA</t>
        </is>
      </c>
      <c r="G416" t="n">
        <v>2.9</v>
      </c>
      <c r="H416" t="n">
        <v>0</v>
      </c>
      <c r="I416" t="n">
        <v>0</v>
      </c>
      <c r="J416" t="n">
        <v>0</v>
      </c>
      <c r="K416" t="n">
        <v>0</v>
      </c>
      <c r="L416" t="n">
        <v>0</v>
      </c>
      <c r="M416" t="n">
        <v>0</v>
      </c>
      <c r="N416" t="n">
        <v>0</v>
      </c>
      <c r="O416" t="n">
        <v>0</v>
      </c>
      <c r="P416" t="n">
        <v>0</v>
      </c>
      <c r="Q416" t="n">
        <v>0</v>
      </c>
      <c r="R416" s="2" t="inlineStr"/>
    </row>
    <row r="417" ht="15" customHeight="1">
      <c r="A417" t="inlineStr">
        <is>
          <t>A 54994-2023</t>
        </is>
      </c>
      <c r="B417" s="1" t="n">
        <v>45236</v>
      </c>
      <c r="C417" s="1" t="n">
        <v>45923</v>
      </c>
      <c r="D417" t="inlineStr">
        <is>
          <t>JÄMTLANDS LÄN</t>
        </is>
      </c>
      <c r="E417" t="inlineStr">
        <is>
          <t>BERG</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32879-2024</t>
        </is>
      </c>
      <c r="B418" s="1" t="n">
        <v>45516.68450231481</v>
      </c>
      <c r="C418" s="1" t="n">
        <v>45923</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19345-2024</t>
        </is>
      </c>
      <c r="B419" s="1" t="n">
        <v>45428.97185185185</v>
      </c>
      <c r="C419" s="1" t="n">
        <v>45923</v>
      </c>
      <c r="D419" t="inlineStr">
        <is>
          <t>JÄMTLANDS LÄN</t>
        </is>
      </c>
      <c r="E419" t="inlineStr">
        <is>
          <t>BERG</t>
        </is>
      </c>
      <c r="F419" t="inlineStr">
        <is>
          <t>SCA</t>
        </is>
      </c>
      <c r="G419" t="n">
        <v>14.7</v>
      </c>
      <c r="H419" t="n">
        <v>0</v>
      </c>
      <c r="I419" t="n">
        <v>0</v>
      </c>
      <c r="J419" t="n">
        <v>0</v>
      </c>
      <c r="K419" t="n">
        <v>0</v>
      </c>
      <c r="L419" t="n">
        <v>0</v>
      </c>
      <c r="M419" t="n">
        <v>0</v>
      </c>
      <c r="N419" t="n">
        <v>0</v>
      </c>
      <c r="O419" t="n">
        <v>0</v>
      </c>
      <c r="P419" t="n">
        <v>0</v>
      </c>
      <c r="Q419" t="n">
        <v>0</v>
      </c>
      <c r="R419" s="2" t="inlineStr"/>
    </row>
    <row r="420" ht="15" customHeight="1">
      <c r="A420" t="inlineStr">
        <is>
          <t>A 53456-2022</t>
        </is>
      </c>
      <c r="B420" s="1" t="n">
        <v>44874</v>
      </c>
      <c r="C420" s="1" t="n">
        <v>45923</v>
      </c>
      <c r="D420" t="inlineStr">
        <is>
          <t>JÄMTLANDS LÄN</t>
        </is>
      </c>
      <c r="E420" t="inlineStr">
        <is>
          <t>BERG</t>
        </is>
      </c>
      <c r="G420" t="n">
        <v>13.3</v>
      </c>
      <c r="H420" t="n">
        <v>0</v>
      </c>
      <c r="I420" t="n">
        <v>0</v>
      </c>
      <c r="J420" t="n">
        <v>0</v>
      </c>
      <c r="K420" t="n">
        <v>0</v>
      </c>
      <c r="L420" t="n">
        <v>0</v>
      </c>
      <c r="M420" t="n">
        <v>0</v>
      </c>
      <c r="N420" t="n">
        <v>0</v>
      </c>
      <c r="O420" t="n">
        <v>0</v>
      </c>
      <c r="P420" t="n">
        <v>0</v>
      </c>
      <c r="Q420" t="n">
        <v>0</v>
      </c>
      <c r="R420" s="2" t="inlineStr"/>
    </row>
    <row r="421" ht="15" customHeight="1">
      <c r="A421" t="inlineStr">
        <is>
          <t>A 43982-2025</t>
        </is>
      </c>
      <c r="B421" s="1" t="n">
        <v>45915.42771990741</v>
      </c>
      <c r="C421" s="1" t="n">
        <v>45923</v>
      </c>
      <c r="D421" t="inlineStr">
        <is>
          <t>JÄMTLANDS LÄN</t>
        </is>
      </c>
      <c r="E421" t="inlineStr">
        <is>
          <t>BERG</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36668-2025</t>
        </is>
      </c>
      <c r="B422" s="1" t="n">
        <v>45873.38351851852</v>
      </c>
      <c r="C422" s="1" t="n">
        <v>45923</v>
      </c>
      <c r="D422" t="inlineStr">
        <is>
          <t>JÄMTLANDS LÄN</t>
        </is>
      </c>
      <c r="E422" t="inlineStr">
        <is>
          <t>BERG</t>
        </is>
      </c>
      <c r="G422" t="n">
        <v>6.7</v>
      </c>
      <c r="H422" t="n">
        <v>0</v>
      </c>
      <c r="I422" t="n">
        <v>0</v>
      </c>
      <c r="J422" t="n">
        <v>0</v>
      </c>
      <c r="K422" t="n">
        <v>0</v>
      </c>
      <c r="L422" t="n">
        <v>0</v>
      </c>
      <c r="M422" t="n">
        <v>0</v>
      </c>
      <c r="N422" t="n">
        <v>0</v>
      </c>
      <c r="O422" t="n">
        <v>0</v>
      </c>
      <c r="P422" t="n">
        <v>0</v>
      </c>
      <c r="Q422" t="n">
        <v>0</v>
      </c>
      <c r="R422" s="2" t="inlineStr"/>
    </row>
    <row r="423" ht="15" customHeight="1">
      <c r="A423" t="inlineStr">
        <is>
          <t>A 36718-2025</t>
        </is>
      </c>
      <c r="B423" s="1" t="n">
        <v>45873.47069444445</v>
      </c>
      <c r="C423" s="1" t="n">
        <v>45923</v>
      </c>
      <c r="D423" t="inlineStr">
        <is>
          <t>JÄMTLANDS LÄN</t>
        </is>
      </c>
      <c r="E423" t="inlineStr">
        <is>
          <t>BERG</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171-2022</t>
        </is>
      </c>
      <c r="B424" s="1" t="n">
        <v>44564</v>
      </c>
      <c r="C424" s="1" t="n">
        <v>45923</v>
      </c>
      <c r="D424" t="inlineStr">
        <is>
          <t>JÄMTLANDS LÄN</t>
        </is>
      </c>
      <c r="E424" t="inlineStr">
        <is>
          <t>BERG</t>
        </is>
      </c>
      <c r="G424" t="n">
        <v>2.3</v>
      </c>
      <c r="H424" t="n">
        <v>0</v>
      </c>
      <c r="I424" t="n">
        <v>0</v>
      </c>
      <c r="J424" t="n">
        <v>0</v>
      </c>
      <c r="K424" t="n">
        <v>0</v>
      </c>
      <c r="L424" t="n">
        <v>0</v>
      </c>
      <c r="M424" t="n">
        <v>0</v>
      </c>
      <c r="N424" t="n">
        <v>0</v>
      </c>
      <c r="O424" t="n">
        <v>0</v>
      </c>
      <c r="P424" t="n">
        <v>0</v>
      </c>
      <c r="Q424" t="n">
        <v>0</v>
      </c>
      <c r="R424" s="2" t="inlineStr"/>
    </row>
    <row r="425" ht="15" customHeight="1">
      <c r="A425" t="inlineStr">
        <is>
          <t>A 38962-2024</t>
        </is>
      </c>
      <c r="B425" s="1" t="n">
        <v>45548.36175925926</v>
      </c>
      <c r="C425" s="1" t="n">
        <v>45923</v>
      </c>
      <c r="D425" t="inlineStr">
        <is>
          <t>JÄMTLANDS LÄN</t>
        </is>
      </c>
      <c r="E425" t="inlineStr">
        <is>
          <t>BERG</t>
        </is>
      </c>
      <c r="G425" t="n">
        <v>2.2</v>
      </c>
      <c r="H425" t="n">
        <v>0</v>
      </c>
      <c r="I425" t="n">
        <v>0</v>
      </c>
      <c r="J425" t="n">
        <v>0</v>
      </c>
      <c r="K425" t="n">
        <v>0</v>
      </c>
      <c r="L425" t="n">
        <v>0</v>
      </c>
      <c r="M425" t="n">
        <v>0</v>
      </c>
      <c r="N425" t="n">
        <v>0</v>
      </c>
      <c r="O425" t="n">
        <v>0</v>
      </c>
      <c r="P425" t="n">
        <v>0</v>
      </c>
      <c r="Q425" t="n">
        <v>0</v>
      </c>
      <c r="R425" s="2" t="inlineStr"/>
    </row>
    <row r="426" ht="15" customHeight="1">
      <c r="A426" t="inlineStr">
        <is>
          <t>A 59968-2024</t>
        </is>
      </c>
      <c r="B426" s="1" t="n">
        <v>45642</v>
      </c>
      <c r="C426" s="1" t="n">
        <v>45923</v>
      </c>
      <c r="D426" t="inlineStr">
        <is>
          <t>JÄMTLANDS LÄN</t>
        </is>
      </c>
      <c r="E426" t="inlineStr">
        <is>
          <t>BERG</t>
        </is>
      </c>
      <c r="G426" t="n">
        <v>4.7</v>
      </c>
      <c r="H426" t="n">
        <v>0</v>
      </c>
      <c r="I426" t="n">
        <v>0</v>
      </c>
      <c r="J426" t="n">
        <v>0</v>
      </c>
      <c r="K426" t="n">
        <v>0</v>
      </c>
      <c r="L426" t="n">
        <v>0</v>
      </c>
      <c r="M426" t="n">
        <v>0</v>
      </c>
      <c r="N426" t="n">
        <v>0</v>
      </c>
      <c r="O426" t="n">
        <v>0</v>
      </c>
      <c r="P426" t="n">
        <v>0</v>
      </c>
      <c r="Q426" t="n">
        <v>0</v>
      </c>
      <c r="R426" s="2" t="inlineStr"/>
    </row>
    <row r="427" ht="15" customHeight="1">
      <c r="A427" t="inlineStr">
        <is>
          <t>A 44303-2025</t>
        </is>
      </c>
      <c r="B427" s="1" t="n">
        <v>45915</v>
      </c>
      <c r="C427" s="1" t="n">
        <v>45923</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162-2024</t>
        </is>
      </c>
      <c r="B428" s="1" t="n">
        <v>45294</v>
      </c>
      <c r="C428" s="1" t="n">
        <v>45923</v>
      </c>
      <c r="D428" t="inlineStr">
        <is>
          <t>JÄMTLANDS LÄN</t>
        </is>
      </c>
      <c r="E428" t="inlineStr">
        <is>
          <t>BERG</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15785-2021</t>
        </is>
      </c>
      <c r="B429" s="1" t="n">
        <v>44286.58679398148</v>
      </c>
      <c r="C429" s="1" t="n">
        <v>45923</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525-2023</t>
        </is>
      </c>
      <c r="B430" s="1" t="n">
        <v>44924</v>
      </c>
      <c r="C430" s="1" t="n">
        <v>45923</v>
      </c>
      <c r="D430" t="inlineStr">
        <is>
          <t>JÄMTLANDS LÄN</t>
        </is>
      </c>
      <c r="E430" t="inlineStr">
        <is>
          <t>BERG</t>
        </is>
      </c>
      <c r="G430" t="n">
        <v>4</v>
      </c>
      <c r="H430" t="n">
        <v>0</v>
      </c>
      <c r="I430" t="n">
        <v>0</v>
      </c>
      <c r="J430" t="n">
        <v>0</v>
      </c>
      <c r="K430" t="n">
        <v>0</v>
      </c>
      <c r="L430" t="n">
        <v>0</v>
      </c>
      <c r="M430" t="n">
        <v>0</v>
      </c>
      <c r="N430" t="n">
        <v>0</v>
      </c>
      <c r="O430" t="n">
        <v>0</v>
      </c>
      <c r="P430" t="n">
        <v>0</v>
      </c>
      <c r="Q430" t="n">
        <v>0</v>
      </c>
      <c r="R430" s="2" t="inlineStr"/>
    </row>
    <row r="431" ht="15" customHeight="1">
      <c r="A431" t="inlineStr">
        <is>
          <t>A 12254-2025</t>
        </is>
      </c>
      <c r="B431" s="1" t="n">
        <v>45729</v>
      </c>
      <c r="C431" s="1" t="n">
        <v>45923</v>
      </c>
      <c r="D431" t="inlineStr">
        <is>
          <t>JÄMTLANDS LÄN</t>
        </is>
      </c>
      <c r="E431" t="inlineStr">
        <is>
          <t>BERG</t>
        </is>
      </c>
      <c r="G431" t="n">
        <v>26.3</v>
      </c>
      <c r="H431" t="n">
        <v>0</v>
      </c>
      <c r="I431" t="n">
        <v>0</v>
      </c>
      <c r="J431" t="n">
        <v>0</v>
      </c>
      <c r="K431" t="n">
        <v>0</v>
      </c>
      <c r="L431" t="n">
        <v>0</v>
      </c>
      <c r="M431" t="n">
        <v>0</v>
      </c>
      <c r="N431" t="n">
        <v>0</v>
      </c>
      <c r="O431" t="n">
        <v>0</v>
      </c>
      <c r="P431" t="n">
        <v>0</v>
      </c>
      <c r="Q431" t="n">
        <v>0</v>
      </c>
      <c r="R431" s="2" t="inlineStr"/>
    </row>
    <row r="432" ht="15" customHeight="1">
      <c r="A432" t="inlineStr">
        <is>
          <t>A 37066-2025</t>
        </is>
      </c>
      <c r="B432" s="1" t="n">
        <v>45875.3862962963</v>
      </c>
      <c r="C432" s="1" t="n">
        <v>45923</v>
      </c>
      <c r="D432" t="inlineStr">
        <is>
          <t>JÄMTLANDS LÄN</t>
        </is>
      </c>
      <c r="E432" t="inlineStr">
        <is>
          <t>BERG</t>
        </is>
      </c>
      <c r="F432" t="inlineStr">
        <is>
          <t>SCA</t>
        </is>
      </c>
      <c r="G432" t="n">
        <v>9.6</v>
      </c>
      <c r="H432" t="n">
        <v>0</v>
      </c>
      <c r="I432" t="n">
        <v>0</v>
      </c>
      <c r="J432" t="n">
        <v>0</v>
      </c>
      <c r="K432" t="n">
        <v>0</v>
      </c>
      <c r="L432" t="n">
        <v>0</v>
      </c>
      <c r="M432" t="n">
        <v>0</v>
      </c>
      <c r="N432" t="n">
        <v>0</v>
      </c>
      <c r="O432" t="n">
        <v>0</v>
      </c>
      <c r="P432" t="n">
        <v>0</v>
      </c>
      <c r="Q432" t="n">
        <v>0</v>
      </c>
      <c r="R432" s="2" t="inlineStr"/>
    </row>
    <row r="433" ht="15" customHeight="1">
      <c r="A433" t="inlineStr">
        <is>
          <t>A 61239-2022</t>
        </is>
      </c>
      <c r="B433" s="1" t="n">
        <v>44909</v>
      </c>
      <c r="C433" s="1" t="n">
        <v>45923</v>
      </c>
      <c r="D433" t="inlineStr">
        <is>
          <t>JÄMTLANDS LÄN</t>
        </is>
      </c>
      <c r="E433" t="inlineStr">
        <is>
          <t>BERG</t>
        </is>
      </c>
      <c r="G433" t="n">
        <v>13.5</v>
      </c>
      <c r="H433" t="n">
        <v>0</v>
      </c>
      <c r="I433" t="n">
        <v>0</v>
      </c>
      <c r="J433" t="n">
        <v>0</v>
      </c>
      <c r="K433" t="n">
        <v>0</v>
      </c>
      <c r="L433" t="n">
        <v>0</v>
      </c>
      <c r="M433" t="n">
        <v>0</v>
      </c>
      <c r="N433" t="n">
        <v>0</v>
      </c>
      <c r="O433" t="n">
        <v>0</v>
      </c>
      <c r="P433" t="n">
        <v>0</v>
      </c>
      <c r="Q433" t="n">
        <v>0</v>
      </c>
      <c r="R433" s="2" t="inlineStr"/>
    </row>
    <row r="434" ht="15" customHeight="1">
      <c r="A434" t="inlineStr">
        <is>
          <t>A 61251-2022</t>
        </is>
      </c>
      <c r="B434" s="1" t="n">
        <v>44909</v>
      </c>
      <c r="C434" s="1" t="n">
        <v>45923</v>
      </c>
      <c r="D434" t="inlineStr">
        <is>
          <t>JÄMTLANDS LÄN</t>
        </is>
      </c>
      <c r="E434" t="inlineStr">
        <is>
          <t>BERG</t>
        </is>
      </c>
      <c r="G434" t="n">
        <v>3</v>
      </c>
      <c r="H434" t="n">
        <v>0</v>
      </c>
      <c r="I434" t="n">
        <v>0</v>
      </c>
      <c r="J434" t="n">
        <v>0</v>
      </c>
      <c r="K434" t="n">
        <v>0</v>
      </c>
      <c r="L434" t="n">
        <v>0</v>
      </c>
      <c r="M434" t="n">
        <v>0</v>
      </c>
      <c r="N434" t="n">
        <v>0</v>
      </c>
      <c r="O434" t="n">
        <v>0</v>
      </c>
      <c r="P434" t="n">
        <v>0</v>
      </c>
      <c r="Q434" t="n">
        <v>0</v>
      </c>
      <c r="R434" s="2" t="inlineStr"/>
    </row>
    <row r="435" ht="15" customHeight="1">
      <c r="A435" t="inlineStr">
        <is>
          <t>A 61255-2022</t>
        </is>
      </c>
      <c r="B435" s="1" t="n">
        <v>44909</v>
      </c>
      <c r="C435" s="1" t="n">
        <v>45923</v>
      </c>
      <c r="D435" t="inlineStr">
        <is>
          <t>JÄMTLANDS LÄN</t>
        </is>
      </c>
      <c r="E435" t="inlineStr">
        <is>
          <t>BERG</t>
        </is>
      </c>
      <c r="G435" t="n">
        <v>12</v>
      </c>
      <c r="H435" t="n">
        <v>0</v>
      </c>
      <c r="I435" t="n">
        <v>0</v>
      </c>
      <c r="J435" t="n">
        <v>0</v>
      </c>
      <c r="K435" t="n">
        <v>0</v>
      </c>
      <c r="L435" t="n">
        <v>0</v>
      </c>
      <c r="M435" t="n">
        <v>0</v>
      </c>
      <c r="N435" t="n">
        <v>0</v>
      </c>
      <c r="O435" t="n">
        <v>0</v>
      </c>
      <c r="P435" t="n">
        <v>0</v>
      </c>
      <c r="Q435" t="n">
        <v>0</v>
      </c>
      <c r="R435" s="2" t="inlineStr"/>
    </row>
    <row r="436" ht="15" customHeight="1">
      <c r="A436" t="inlineStr">
        <is>
          <t>A 51548-2023</t>
        </is>
      </c>
      <c r="B436" s="1" t="n">
        <v>45215</v>
      </c>
      <c r="C436" s="1" t="n">
        <v>45923</v>
      </c>
      <c r="D436" t="inlineStr">
        <is>
          <t>JÄMTLANDS LÄN</t>
        </is>
      </c>
      <c r="E436" t="inlineStr">
        <is>
          <t>BERG</t>
        </is>
      </c>
      <c r="G436" t="n">
        <v>4.8</v>
      </c>
      <c r="H436" t="n">
        <v>0</v>
      </c>
      <c r="I436" t="n">
        <v>0</v>
      </c>
      <c r="J436" t="n">
        <v>0</v>
      </c>
      <c r="K436" t="n">
        <v>0</v>
      </c>
      <c r="L436" t="n">
        <v>0</v>
      </c>
      <c r="M436" t="n">
        <v>0</v>
      </c>
      <c r="N436" t="n">
        <v>0</v>
      </c>
      <c r="O436" t="n">
        <v>0</v>
      </c>
      <c r="P436" t="n">
        <v>0</v>
      </c>
      <c r="Q436" t="n">
        <v>0</v>
      </c>
      <c r="R436" s="2" t="inlineStr"/>
    </row>
    <row r="437" ht="15" customHeight="1">
      <c r="A437" t="inlineStr">
        <is>
          <t>A 44811-2025</t>
        </is>
      </c>
      <c r="B437" s="1" t="n">
        <v>45918.37195601852</v>
      </c>
      <c r="C437" s="1" t="n">
        <v>45923</v>
      </c>
      <c r="D437" t="inlineStr">
        <is>
          <t>JÄMTLANDS LÄN</t>
        </is>
      </c>
      <c r="E437" t="inlineStr">
        <is>
          <t>BERG</t>
        </is>
      </c>
      <c r="G437" t="n">
        <v>1.4</v>
      </c>
      <c r="H437" t="n">
        <v>0</v>
      </c>
      <c r="I437" t="n">
        <v>0</v>
      </c>
      <c r="J437" t="n">
        <v>0</v>
      </c>
      <c r="K437" t="n">
        <v>0</v>
      </c>
      <c r="L437" t="n">
        <v>0</v>
      </c>
      <c r="M437" t="n">
        <v>0</v>
      </c>
      <c r="N437" t="n">
        <v>0</v>
      </c>
      <c r="O437" t="n">
        <v>0</v>
      </c>
      <c r="P437" t="n">
        <v>0</v>
      </c>
      <c r="Q437" t="n">
        <v>0</v>
      </c>
      <c r="R437" s="2" t="inlineStr"/>
    </row>
    <row r="438" ht="15" customHeight="1">
      <c r="A438" t="inlineStr">
        <is>
          <t>A 61652-2024</t>
        </is>
      </c>
      <c r="B438" s="1" t="n">
        <v>45646.72293981481</v>
      </c>
      <c r="C438" s="1" t="n">
        <v>45923</v>
      </c>
      <c r="D438" t="inlineStr">
        <is>
          <t>JÄMTLANDS LÄN</t>
        </is>
      </c>
      <c r="E438" t="inlineStr">
        <is>
          <t>BERG</t>
        </is>
      </c>
      <c r="G438" t="n">
        <v>6.4</v>
      </c>
      <c r="H438" t="n">
        <v>0</v>
      </c>
      <c r="I438" t="n">
        <v>0</v>
      </c>
      <c r="J438" t="n">
        <v>0</v>
      </c>
      <c r="K438" t="n">
        <v>0</v>
      </c>
      <c r="L438" t="n">
        <v>0</v>
      </c>
      <c r="M438" t="n">
        <v>0</v>
      </c>
      <c r="N438" t="n">
        <v>0</v>
      </c>
      <c r="O438" t="n">
        <v>0</v>
      </c>
      <c r="P438" t="n">
        <v>0</v>
      </c>
      <c r="Q438" t="n">
        <v>0</v>
      </c>
      <c r="R438" s="2" t="inlineStr"/>
    </row>
    <row r="439" ht="15" customHeight="1">
      <c r="A439" t="inlineStr">
        <is>
          <t>A 8388-2022</t>
        </is>
      </c>
      <c r="B439" s="1" t="n">
        <v>44610</v>
      </c>
      <c r="C439" s="1" t="n">
        <v>45923</v>
      </c>
      <c r="D439" t="inlineStr">
        <is>
          <t>JÄMTLANDS LÄN</t>
        </is>
      </c>
      <c r="E439" t="inlineStr">
        <is>
          <t>BERG</t>
        </is>
      </c>
      <c r="G439" t="n">
        <v>2.6</v>
      </c>
      <c r="H439" t="n">
        <v>0</v>
      </c>
      <c r="I439" t="n">
        <v>0</v>
      </c>
      <c r="J439" t="n">
        <v>0</v>
      </c>
      <c r="K439" t="n">
        <v>0</v>
      </c>
      <c r="L439" t="n">
        <v>0</v>
      </c>
      <c r="M439" t="n">
        <v>0</v>
      </c>
      <c r="N439" t="n">
        <v>0</v>
      </c>
      <c r="O439" t="n">
        <v>0</v>
      </c>
      <c r="P439" t="n">
        <v>0</v>
      </c>
      <c r="Q439" t="n">
        <v>0</v>
      </c>
      <c r="R439" s="2" t="inlineStr"/>
    </row>
    <row r="440" ht="15" customHeight="1">
      <c r="A440" t="inlineStr">
        <is>
          <t>A 2472-2025</t>
        </is>
      </c>
      <c r="B440" s="1" t="n">
        <v>45674.47341435185</v>
      </c>
      <c r="C440" s="1" t="n">
        <v>45923</v>
      </c>
      <c r="D440" t="inlineStr">
        <is>
          <t>JÄMTLANDS LÄN</t>
        </is>
      </c>
      <c r="E440" t="inlineStr">
        <is>
          <t>BERG</t>
        </is>
      </c>
      <c r="G440" t="n">
        <v>2.6</v>
      </c>
      <c r="H440" t="n">
        <v>0</v>
      </c>
      <c r="I440" t="n">
        <v>0</v>
      </c>
      <c r="J440" t="n">
        <v>0</v>
      </c>
      <c r="K440" t="n">
        <v>0</v>
      </c>
      <c r="L440" t="n">
        <v>0</v>
      </c>
      <c r="M440" t="n">
        <v>0</v>
      </c>
      <c r="N440" t="n">
        <v>0</v>
      </c>
      <c r="O440" t="n">
        <v>0</v>
      </c>
      <c r="P440" t="n">
        <v>0</v>
      </c>
      <c r="Q440" t="n">
        <v>0</v>
      </c>
      <c r="R440" s="2" t="inlineStr"/>
    </row>
    <row r="441" ht="15" customHeight="1">
      <c r="A441" t="inlineStr">
        <is>
          <t>A 2474-2025</t>
        </is>
      </c>
      <c r="B441" s="1" t="n">
        <v>45674.47496527778</v>
      </c>
      <c r="C441" s="1" t="n">
        <v>45923</v>
      </c>
      <c r="D441" t="inlineStr">
        <is>
          <t>JÄMTLANDS LÄN</t>
        </is>
      </c>
      <c r="E441" t="inlineStr">
        <is>
          <t>BERG</t>
        </is>
      </c>
      <c r="G441" t="n">
        <v>1.2</v>
      </c>
      <c r="H441" t="n">
        <v>0</v>
      </c>
      <c r="I441" t="n">
        <v>0</v>
      </c>
      <c r="J441" t="n">
        <v>0</v>
      </c>
      <c r="K441" t="n">
        <v>0</v>
      </c>
      <c r="L441" t="n">
        <v>0</v>
      </c>
      <c r="M441" t="n">
        <v>0</v>
      </c>
      <c r="N441" t="n">
        <v>0</v>
      </c>
      <c r="O441" t="n">
        <v>0</v>
      </c>
      <c r="P441" t="n">
        <v>0</v>
      </c>
      <c r="Q441" t="n">
        <v>0</v>
      </c>
      <c r="R441" s="2" t="inlineStr"/>
    </row>
    <row r="442" ht="15" customHeight="1">
      <c r="A442" t="inlineStr">
        <is>
          <t>A 21679-2023</t>
        </is>
      </c>
      <c r="B442" s="1" t="n">
        <v>45063.94199074074</v>
      </c>
      <c r="C442" s="1" t="n">
        <v>45923</v>
      </c>
      <c r="D442" t="inlineStr">
        <is>
          <t>JÄMTLANDS LÄN</t>
        </is>
      </c>
      <c r="E442" t="inlineStr">
        <is>
          <t>BERG</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39269-2024</t>
        </is>
      </c>
      <c r="B443" s="1" t="n">
        <v>45551.34488425926</v>
      </c>
      <c r="C443" s="1" t="n">
        <v>45923</v>
      </c>
      <c r="D443" t="inlineStr">
        <is>
          <t>JÄMTLANDS LÄN</t>
        </is>
      </c>
      <c r="E443" t="inlineStr">
        <is>
          <t>BERG</t>
        </is>
      </c>
      <c r="G443" t="n">
        <v>3.1</v>
      </c>
      <c r="H443" t="n">
        <v>0</v>
      </c>
      <c r="I443" t="n">
        <v>0</v>
      </c>
      <c r="J443" t="n">
        <v>0</v>
      </c>
      <c r="K443" t="n">
        <v>0</v>
      </c>
      <c r="L443" t="n">
        <v>0</v>
      </c>
      <c r="M443" t="n">
        <v>0</v>
      </c>
      <c r="N443" t="n">
        <v>0</v>
      </c>
      <c r="O443" t="n">
        <v>0</v>
      </c>
      <c r="P443" t="n">
        <v>0</v>
      </c>
      <c r="Q443" t="n">
        <v>0</v>
      </c>
      <c r="R443" s="2" t="inlineStr"/>
    </row>
    <row r="444" ht="15" customHeight="1">
      <c r="A444" t="inlineStr">
        <is>
          <t>A 37201-2025</t>
        </is>
      </c>
      <c r="B444" s="1" t="n">
        <v>45875.67797453704</v>
      </c>
      <c r="C444" s="1" t="n">
        <v>45923</v>
      </c>
      <c r="D444" t="inlineStr">
        <is>
          <t>JÄMTLANDS LÄN</t>
        </is>
      </c>
      <c r="E444" t="inlineStr">
        <is>
          <t>BERG</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37062-2025</t>
        </is>
      </c>
      <c r="B445" s="1" t="n">
        <v>45875.38579861111</v>
      </c>
      <c r="C445" s="1" t="n">
        <v>45923</v>
      </c>
      <c r="D445" t="inlineStr">
        <is>
          <t>JÄMTLANDS LÄN</t>
        </is>
      </c>
      <c r="E445" t="inlineStr">
        <is>
          <t>BERG</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18872-2023</t>
        </is>
      </c>
      <c r="B446" s="1" t="n">
        <v>45042</v>
      </c>
      <c r="C446" s="1" t="n">
        <v>45923</v>
      </c>
      <c r="D446" t="inlineStr">
        <is>
          <t>JÄMTLANDS LÄN</t>
        </is>
      </c>
      <c r="E446" t="inlineStr">
        <is>
          <t>BERG</t>
        </is>
      </c>
      <c r="G446" t="n">
        <v>13.2</v>
      </c>
      <c r="H446" t="n">
        <v>0</v>
      </c>
      <c r="I446" t="n">
        <v>0</v>
      </c>
      <c r="J446" t="n">
        <v>0</v>
      </c>
      <c r="K446" t="n">
        <v>0</v>
      </c>
      <c r="L446" t="n">
        <v>0</v>
      </c>
      <c r="M446" t="n">
        <v>0</v>
      </c>
      <c r="N446" t="n">
        <v>0</v>
      </c>
      <c r="O446" t="n">
        <v>0</v>
      </c>
      <c r="P446" t="n">
        <v>0</v>
      </c>
      <c r="Q446" t="n">
        <v>0</v>
      </c>
      <c r="R446" s="2" t="inlineStr"/>
    </row>
    <row r="447" ht="15" customHeight="1">
      <c r="A447" t="inlineStr">
        <is>
          <t>A 36341-2025</t>
        </is>
      </c>
      <c r="B447" s="1" t="n">
        <v>45868</v>
      </c>
      <c r="C447" s="1" t="n">
        <v>45923</v>
      </c>
      <c r="D447" t="inlineStr">
        <is>
          <t>JÄMTLANDS LÄN</t>
        </is>
      </c>
      <c r="E447" t="inlineStr">
        <is>
          <t>BERG</t>
        </is>
      </c>
      <c r="G447" t="n">
        <v>3.1</v>
      </c>
      <c r="H447" t="n">
        <v>0</v>
      </c>
      <c r="I447" t="n">
        <v>0</v>
      </c>
      <c r="J447" t="n">
        <v>0</v>
      </c>
      <c r="K447" t="n">
        <v>0</v>
      </c>
      <c r="L447" t="n">
        <v>0</v>
      </c>
      <c r="M447" t="n">
        <v>0</v>
      </c>
      <c r="N447" t="n">
        <v>0</v>
      </c>
      <c r="O447" t="n">
        <v>0</v>
      </c>
      <c r="P447" t="n">
        <v>0</v>
      </c>
      <c r="Q447" t="n">
        <v>0</v>
      </c>
      <c r="R447" s="2" t="inlineStr"/>
    </row>
    <row r="448" ht="15" customHeight="1">
      <c r="A448" t="inlineStr">
        <is>
          <t>A 41105-2023</t>
        </is>
      </c>
      <c r="B448" s="1" t="n">
        <v>45170</v>
      </c>
      <c r="C448" s="1" t="n">
        <v>45923</v>
      </c>
      <c r="D448" t="inlineStr">
        <is>
          <t>JÄMTLANDS LÄN</t>
        </is>
      </c>
      <c r="E448" t="inlineStr">
        <is>
          <t>BERG</t>
        </is>
      </c>
      <c r="G448" t="n">
        <v>0.9</v>
      </c>
      <c r="H448" t="n">
        <v>0</v>
      </c>
      <c r="I448" t="n">
        <v>0</v>
      </c>
      <c r="J448" t="n">
        <v>0</v>
      </c>
      <c r="K448" t="n">
        <v>0</v>
      </c>
      <c r="L448" t="n">
        <v>0</v>
      </c>
      <c r="M448" t="n">
        <v>0</v>
      </c>
      <c r="N448" t="n">
        <v>0</v>
      </c>
      <c r="O448" t="n">
        <v>0</v>
      </c>
      <c r="P448" t="n">
        <v>0</v>
      </c>
      <c r="Q448" t="n">
        <v>0</v>
      </c>
      <c r="R448" s="2" t="inlineStr"/>
    </row>
    <row r="449" ht="15" customHeight="1">
      <c r="A449" t="inlineStr">
        <is>
          <t>A 43403-2023</t>
        </is>
      </c>
      <c r="B449" s="1" t="n">
        <v>45183</v>
      </c>
      <c r="C449" s="1" t="n">
        <v>45923</v>
      </c>
      <c r="D449" t="inlineStr">
        <is>
          <t>JÄMTLANDS LÄN</t>
        </is>
      </c>
      <c r="E449" t="inlineStr">
        <is>
          <t>BERG</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45923</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40824-2023</t>
        </is>
      </c>
      <c r="B451" s="1" t="n">
        <v>45171</v>
      </c>
      <c r="C451" s="1" t="n">
        <v>45923</v>
      </c>
      <c r="D451" t="inlineStr">
        <is>
          <t>JÄMTLANDS LÄN</t>
        </is>
      </c>
      <c r="E451" t="inlineStr">
        <is>
          <t>BERG</t>
        </is>
      </c>
      <c r="G451" t="n">
        <v>0.5</v>
      </c>
      <c r="H451" t="n">
        <v>0</v>
      </c>
      <c r="I451" t="n">
        <v>0</v>
      </c>
      <c r="J451" t="n">
        <v>0</v>
      </c>
      <c r="K451" t="n">
        <v>0</v>
      </c>
      <c r="L451" t="n">
        <v>0</v>
      </c>
      <c r="M451" t="n">
        <v>0</v>
      </c>
      <c r="N451" t="n">
        <v>0</v>
      </c>
      <c r="O451" t="n">
        <v>0</v>
      </c>
      <c r="P451" t="n">
        <v>0</v>
      </c>
      <c r="Q451" t="n">
        <v>0</v>
      </c>
      <c r="R451" s="2" t="inlineStr"/>
    </row>
    <row r="452" ht="15" customHeight="1">
      <c r="A452" t="inlineStr">
        <is>
          <t>A 6982-2025</t>
        </is>
      </c>
      <c r="B452" s="1" t="n">
        <v>45701.55769675926</v>
      </c>
      <c r="C452" s="1" t="n">
        <v>45923</v>
      </c>
      <c r="D452" t="inlineStr">
        <is>
          <t>JÄMTLANDS LÄN</t>
        </is>
      </c>
      <c r="E452" t="inlineStr">
        <is>
          <t>BERG</t>
        </is>
      </c>
      <c r="G452" t="n">
        <v>6.8</v>
      </c>
      <c r="H452" t="n">
        <v>0</v>
      </c>
      <c r="I452" t="n">
        <v>0</v>
      </c>
      <c r="J452" t="n">
        <v>0</v>
      </c>
      <c r="K452" t="n">
        <v>0</v>
      </c>
      <c r="L452" t="n">
        <v>0</v>
      </c>
      <c r="M452" t="n">
        <v>0</v>
      </c>
      <c r="N452" t="n">
        <v>0</v>
      </c>
      <c r="O452" t="n">
        <v>0</v>
      </c>
      <c r="P452" t="n">
        <v>0</v>
      </c>
      <c r="Q452" t="n">
        <v>0</v>
      </c>
      <c r="R452" s="2" t="inlineStr"/>
    </row>
    <row r="453" ht="15" customHeight="1">
      <c r="A453" t="inlineStr">
        <is>
          <t>A 37098-2024</t>
        </is>
      </c>
      <c r="B453" s="1" t="n">
        <v>45539.50243055556</v>
      </c>
      <c r="C453" s="1" t="n">
        <v>45923</v>
      </c>
      <c r="D453" t="inlineStr">
        <is>
          <t>JÄMTLANDS LÄN</t>
        </is>
      </c>
      <c r="E453" t="inlineStr">
        <is>
          <t>BERG</t>
        </is>
      </c>
      <c r="F453" t="inlineStr">
        <is>
          <t>Övriga Aktiebolag</t>
        </is>
      </c>
      <c r="G453" t="n">
        <v>4.5</v>
      </c>
      <c r="H453" t="n">
        <v>0</v>
      </c>
      <c r="I453" t="n">
        <v>0</v>
      </c>
      <c r="J453" t="n">
        <v>0</v>
      </c>
      <c r="K453" t="n">
        <v>0</v>
      </c>
      <c r="L453" t="n">
        <v>0</v>
      </c>
      <c r="M453" t="n">
        <v>0</v>
      </c>
      <c r="N453" t="n">
        <v>0</v>
      </c>
      <c r="O453" t="n">
        <v>0</v>
      </c>
      <c r="P453" t="n">
        <v>0</v>
      </c>
      <c r="Q453" t="n">
        <v>0</v>
      </c>
      <c r="R453" s="2" t="inlineStr"/>
    </row>
    <row r="454" ht="15" customHeight="1">
      <c r="A454" t="inlineStr">
        <is>
          <t>A 37101-2024</t>
        </is>
      </c>
      <c r="B454" s="1" t="n">
        <v>45539.5029050926</v>
      </c>
      <c r="C454" s="1" t="n">
        <v>45923</v>
      </c>
      <c r="D454" t="inlineStr">
        <is>
          <t>JÄMTLANDS LÄN</t>
        </is>
      </c>
      <c r="E454" t="inlineStr">
        <is>
          <t>BERG</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44697-2025</t>
        </is>
      </c>
      <c r="B455" s="1" t="n">
        <v>45917.59888888889</v>
      </c>
      <c r="C455" s="1" t="n">
        <v>45923</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4561-2024</t>
        </is>
      </c>
      <c r="B456" s="1" t="n">
        <v>45327</v>
      </c>
      <c r="C456" s="1" t="n">
        <v>45923</v>
      </c>
      <c r="D456" t="inlineStr">
        <is>
          <t>JÄMTLANDS LÄN</t>
        </is>
      </c>
      <c r="E456" t="inlineStr">
        <is>
          <t>BERG</t>
        </is>
      </c>
      <c r="G456" t="n">
        <v>7.4</v>
      </c>
      <c r="H456" t="n">
        <v>0</v>
      </c>
      <c r="I456" t="n">
        <v>0</v>
      </c>
      <c r="J456" t="n">
        <v>0</v>
      </c>
      <c r="K456" t="n">
        <v>0</v>
      </c>
      <c r="L456" t="n">
        <v>0</v>
      </c>
      <c r="M456" t="n">
        <v>0</v>
      </c>
      <c r="N456" t="n">
        <v>0</v>
      </c>
      <c r="O456" t="n">
        <v>0</v>
      </c>
      <c r="P456" t="n">
        <v>0</v>
      </c>
      <c r="Q456" t="n">
        <v>0</v>
      </c>
      <c r="R456" s="2" t="inlineStr"/>
    </row>
    <row r="457" ht="15" customHeight="1">
      <c r="A457" t="inlineStr">
        <is>
          <t>A 47119-2024</t>
        </is>
      </c>
      <c r="B457" s="1" t="n">
        <v>45586.56431712963</v>
      </c>
      <c r="C457" s="1" t="n">
        <v>45923</v>
      </c>
      <c r="D457" t="inlineStr">
        <is>
          <t>JÄMTLANDS LÄN</t>
        </is>
      </c>
      <c r="E457" t="inlineStr">
        <is>
          <t>BERG</t>
        </is>
      </c>
      <c r="G457" t="n">
        <v>5</v>
      </c>
      <c r="H457" t="n">
        <v>0</v>
      </c>
      <c r="I457" t="n">
        <v>0</v>
      </c>
      <c r="J457" t="n">
        <v>0</v>
      </c>
      <c r="K457" t="n">
        <v>0</v>
      </c>
      <c r="L457" t="n">
        <v>0</v>
      </c>
      <c r="M457" t="n">
        <v>0</v>
      </c>
      <c r="N457" t="n">
        <v>0</v>
      </c>
      <c r="O457" t="n">
        <v>0</v>
      </c>
      <c r="P457" t="n">
        <v>0</v>
      </c>
      <c r="Q457" t="n">
        <v>0</v>
      </c>
      <c r="R457" s="2" t="inlineStr"/>
    </row>
    <row r="458" ht="15" customHeight="1">
      <c r="A458" t="inlineStr">
        <is>
          <t>A 49174-2020</t>
        </is>
      </c>
      <c r="B458" s="1" t="n">
        <v>44104</v>
      </c>
      <c r="C458" s="1" t="n">
        <v>45923</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45109-2025</t>
        </is>
      </c>
      <c r="B459" s="1" t="n">
        <v>45919.41850694444</v>
      </c>
      <c r="C459" s="1" t="n">
        <v>45923</v>
      </c>
      <c r="D459" t="inlineStr">
        <is>
          <t>JÄMTLANDS LÄN</t>
        </is>
      </c>
      <c r="E459" t="inlineStr">
        <is>
          <t>BERG</t>
        </is>
      </c>
      <c r="F459" t="inlineStr">
        <is>
          <t>Övriga Aktiebolag</t>
        </is>
      </c>
      <c r="G459" t="n">
        <v>1.7</v>
      </c>
      <c r="H459" t="n">
        <v>0</v>
      </c>
      <c r="I459" t="n">
        <v>0</v>
      </c>
      <c r="J459" t="n">
        <v>0</v>
      </c>
      <c r="K459" t="n">
        <v>0</v>
      </c>
      <c r="L459" t="n">
        <v>0</v>
      </c>
      <c r="M459" t="n">
        <v>0</v>
      </c>
      <c r="N459" t="n">
        <v>0</v>
      </c>
      <c r="O459" t="n">
        <v>0</v>
      </c>
      <c r="P459" t="n">
        <v>0</v>
      </c>
      <c r="Q459" t="n">
        <v>0</v>
      </c>
      <c r="R459" s="2" t="inlineStr"/>
    </row>
    <row r="460" ht="15" customHeight="1">
      <c r="A460" t="inlineStr">
        <is>
          <t>A 45254-2025</t>
        </is>
      </c>
      <c r="B460" s="1" t="n">
        <v>45919.61523148148</v>
      </c>
      <c r="C460" s="1" t="n">
        <v>45923</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37455-2025</t>
        </is>
      </c>
      <c r="B461" s="1" t="n">
        <v>45877.56710648148</v>
      </c>
      <c r="C461" s="1" t="n">
        <v>45923</v>
      </c>
      <c r="D461" t="inlineStr">
        <is>
          <t>JÄMTLANDS LÄN</t>
        </is>
      </c>
      <c r="E461" t="inlineStr">
        <is>
          <t>BERG</t>
        </is>
      </c>
      <c r="G461" t="n">
        <v>5.6</v>
      </c>
      <c r="H461" t="n">
        <v>0</v>
      </c>
      <c r="I461" t="n">
        <v>0</v>
      </c>
      <c r="J461" t="n">
        <v>0</v>
      </c>
      <c r="K461" t="n">
        <v>0</v>
      </c>
      <c r="L461" t="n">
        <v>0</v>
      </c>
      <c r="M461" t="n">
        <v>0</v>
      </c>
      <c r="N461" t="n">
        <v>0</v>
      </c>
      <c r="O461" t="n">
        <v>0</v>
      </c>
      <c r="P461" t="n">
        <v>0</v>
      </c>
      <c r="Q461" t="n">
        <v>0</v>
      </c>
      <c r="R461" s="2" t="inlineStr"/>
    </row>
    <row r="462" ht="15" customHeight="1">
      <c r="A462" t="inlineStr">
        <is>
          <t>A 1982-2022</t>
        </is>
      </c>
      <c r="B462" s="1" t="n">
        <v>44575</v>
      </c>
      <c r="C462" s="1" t="n">
        <v>45923</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1989-2022</t>
        </is>
      </c>
      <c r="B463" s="1" t="n">
        <v>44575.55935185185</v>
      </c>
      <c r="C463" s="1" t="n">
        <v>45923</v>
      </c>
      <c r="D463" t="inlineStr">
        <is>
          <t>JÄMTLANDS LÄN</t>
        </is>
      </c>
      <c r="E463" t="inlineStr">
        <is>
          <t>BERG</t>
        </is>
      </c>
      <c r="G463" t="n">
        <v>0.7</v>
      </c>
      <c r="H463" t="n">
        <v>0</v>
      </c>
      <c r="I463" t="n">
        <v>0</v>
      </c>
      <c r="J463" t="n">
        <v>0</v>
      </c>
      <c r="K463" t="n">
        <v>0</v>
      </c>
      <c r="L463" t="n">
        <v>0</v>
      </c>
      <c r="M463" t="n">
        <v>0</v>
      </c>
      <c r="N463" t="n">
        <v>0</v>
      </c>
      <c r="O463" t="n">
        <v>0</v>
      </c>
      <c r="P463" t="n">
        <v>0</v>
      </c>
      <c r="Q463" t="n">
        <v>0</v>
      </c>
      <c r="R463" s="2" t="inlineStr"/>
    </row>
    <row r="464" ht="15" customHeight="1">
      <c r="A464" t="inlineStr">
        <is>
          <t>A 511-2025</t>
        </is>
      </c>
      <c r="B464" s="1" t="n">
        <v>45664.47284722222</v>
      </c>
      <c r="C464" s="1" t="n">
        <v>45923</v>
      </c>
      <c r="D464" t="inlineStr">
        <is>
          <t>JÄMTLANDS LÄN</t>
        </is>
      </c>
      <c r="E464" t="inlineStr">
        <is>
          <t>BERG</t>
        </is>
      </c>
      <c r="G464" t="n">
        <v>4.5</v>
      </c>
      <c r="H464" t="n">
        <v>0</v>
      </c>
      <c r="I464" t="n">
        <v>0</v>
      </c>
      <c r="J464" t="n">
        <v>0</v>
      </c>
      <c r="K464" t="n">
        <v>0</v>
      </c>
      <c r="L464" t="n">
        <v>0</v>
      </c>
      <c r="M464" t="n">
        <v>0</v>
      </c>
      <c r="N464" t="n">
        <v>0</v>
      </c>
      <c r="O464" t="n">
        <v>0</v>
      </c>
      <c r="P464" t="n">
        <v>0</v>
      </c>
      <c r="Q464" t="n">
        <v>0</v>
      </c>
      <c r="R464" s="2" t="inlineStr"/>
    </row>
    <row r="465" ht="15" customHeight="1">
      <c r="A465" t="inlineStr">
        <is>
          <t>A 53877-2020</t>
        </is>
      </c>
      <c r="B465" s="1" t="n">
        <v>44123</v>
      </c>
      <c r="C465" s="1" t="n">
        <v>45923</v>
      </c>
      <c r="D465" t="inlineStr">
        <is>
          <t>JÄMTLANDS LÄN</t>
        </is>
      </c>
      <c r="E465" t="inlineStr">
        <is>
          <t>BERG</t>
        </is>
      </c>
      <c r="G465" t="n">
        <v>32.8</v>
      </c>
      <c r="H465" t="n">
        <v>0</v>
      </c>
      <c r="I465" t="n">
        <v>0</v>
      </c>
      <c r="J465" t="n">
        <v>0</v>
      </c>
      <c r="K465" t="n">
        <v>0</v>
      </c>
      <c r="L465" t="n">
        <v>0</v>
      </c>
      <c r="M465" t="n">
        <v>0</v>
      </c>
      <c r="N465" t="n">
        <v>0</v>
      </c>
      <c r="O465" t="n">
        <v>0</v>
      </c>
      <c r="P465" t="n">
        <v>0</v>
      </c>
      <c r="Q465" t="n">
        <v>0</v>
      </c>
      <c r="R465" s="2" t="inlineStr"/>
    </row>
    <row r="466" ht="15" customHeight="1">
      <c r="A466" t="inlineStr">
        <is>
          <t>A 53950-2020</t>
        </is>
      </c>
      <c r="B466" s="1" t="n">
        <v>44123</v>
      </c>
      <c r="C466" s="1" t="n">
        <v>45923</v>
      </c>
      <c r="D466" t="inlineStr">
        <is>
          <t>JÄMTLANDS LÄN</t>
        </is>
      </c>
      <c r="E466" t="inlineStr">
        <is>
          <t>BERG</t>
        </is>
      </c>
      <c r="G466" t="n">
        <v>11.8</v>
      </c>
      <c r="H466" t="n">
        <v>0</v>
      </c>
      <c r="I466" t="n">
        <v>0</v>
      </c>
      <c r="J466" t="n">
        <v>0</v>
      </c>
      <c r="K466" t="n">
        <v>0</v>
      </c>
      <c r="L466" t="n">
        <v>0</v>
      </c>
      <c r="M466" t="n">
        <v>0</v>
      </c>
      <c r="N466" t="n">
        <v>0</v>
      </c>
      <c r="O466" t="n">
        <v>0</v>
      </c>
      <c r="P466" t="n">
        <v>0</v>
      </c>
      <c r="Q466" t="n">
        <v>0</v>
      </c>
      <c r="R466" s="2" t="inlineStr"/>
    </row>
    <row r="467" ht="15" customHeight="1">
      <c r="A467" t="inlineStr">
        <is>
          <t>A 45249-2025</t>
        </is>
      </c>
      <c r="B467" s="1" t="n">
        <v>45919.61225694444</v>
      </c>
      <c r="C467" s="1" t="n">
        <v>45923</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433-2023</t>
        </is>
      </c>
      <c r="B468" s="1" t="n">
        <v>44923</v>
      </c>
      <c r="C468" s="1" t="n">
        <v>45923</v>
      </c>
      <c r="D468" t="inlineStr">
        <is>
          <t>JÄMTLANDS LÄN</t>
        </is>
      </c>
      <c r="E468" t="inlineStr">
        <is>
          <t>BERG</t>
        </is>
      </c>
      <c r="G468" t="n">
        <v>1.5</v>
      </c>
      <c r="H468" t="n">
        <v>0</v>
      </c>
      <c r="I468" t="n">
        <v>0</v>
      </c>
      <c r="J468" t="n">
        <v>0</v>
      </c>
      <c r="K468" t="n">
        <v>0</v>
      </c>
      <c r="L468" t="n">
        <v>0</v>
      </c>
      <c r="M468" t="n">
        <v>0</v>
      </c>
      <c r="N468" t="n">
        <v>0</v>
      </c>
      <c r="O468" t="n">
        <v>0</v>
      </c>
      <c r="P468" t="n">
        <v>0</v>
      </c>
      <c r="Q468" t="n">
        <v>0</v>
      </c>
      <c r="R468" s="2" t="inlineStr"/>
    </row>
    <row r="469" ht="15" customHeight="1">
      <c r="A469" t="inlineStr">
        <is>
          <t>A 61980-2024</t>
        </is>
      </c>
      <c r="B469" s="1" t="n">
        <v>45653.66269675926</v>
      </c>
      <c r="C469" s="1" t="n">
        <v>45923</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45150-2025</t>
        </is>
      </c>
      <c r="B470" s="1" t="n">
        <v>45919.47131944444</v>
      </c>
      <c r="C470" s="1" t="n">
        <v>45923</v>
      </c>
      <c r="D470" t="inlineStr">
        <is>
          <t>JÄMTLANDS LÄN</t>
        </is>
      </c>
      <c r="E470" t="inlineStr">
        <is>
          <t>BERG</t>
        </is>
      </c>
      <c r="F470" t="inlineStr">
        <is>
          <t>Övriga Aktiebolag</t>
        </is>
      </c>
      <c r="G470" t="n">
        <v>9.6</v>
      </c>
      <c r="H470" t="n">
        <v>0</v>
      </c>
      <c r="I470" t="n">
        <v>0</v>
      </c>
      <c r="J470" t="n">
        <v>0</v>
      </c>
      <c r="K470" t="n">
        <v>0</v>
      </c>
      <c r="L470" t="n">
        <v>0</v>
      </c>
      <c r="M470" t="n">
        <v>0</v>
      </c>
      <c r="N470" t="n">
        <v>0</v>
      </c>
      <c r="O470" t="n">
        <v>0</v>
      </c>
      <c r="P470" t="n">
        <v>0</v>
      </c>
      <c r="Q470" t="n">
        <v>0</v>
      </c>
      <c r="R470" s="2" t="inlineStr"/>
    </row>
    <row r="471" ht="15" customHeight="1">
      <c r="A471" t="inlineStr">
        <is>
          <t>A 45171-2025</t>
        </is>
      </c>
      <c r="B471" s="1" t="n">
        <v>45919.50256944444</v>
      </c>
      <c r="C471" s="1" t="n">
        <v>45923</v>
      </c>
      <c r="D471" t="inlineStr">
        <is>
          <t>JÄMTLANDS LÄN</t>
        </is>
      </c>
      <c r="E471" t="inlineStr">
        <is>
          <t>BERG</t>
        </is>
      </c>
      <c r="F471" t="inlineStr">
        <is>
          <t>Övriga Aktiebolag</t>
        </is>
      </c>
      <c r="G471" t="n">
        <v>10.7</v>
      </c>
      <c r="H471" t="n">
        <v>0</v>
      </c>
      <c r="I471" t="n">
        <v>0</v>
      </c>
      <c r="J471" t="n">
        <v>0</v>
      </c>
      <c r="K471" t="n">
        <v>0</v>
      </c>
      <c r="L471" t="n">
        <v>0</v>
      </c>
      <c r="M471" t="n">
        <v>0</v>
      </c>
      <c r="N471" t="n">
        <v>0</v>
      </c>
      <c r="O471" t="n">
        <v>0</v>
      </c>
      <c r="P471" t="n">
        <v>0</v>
      </c>
      <c r="Q471" t="n">
        <v>0</v>
      </c>
      <c r="R471" s="2" t="inlineStr"/>
    </row>
    <row r="472" ht="15" customHeight="1">
      <c r="A472" t="inlineStr">
        <is>
          <t>A 41866-2024</t>
        </is>
      </c>
      <c r="B472" s="1" t="n">
        <v>45561.46454861111</v>
      </c>
      <c r="C472" s="1" t="n">
        <v>45923</v>
      </c>
      <c r="D472" t="inlineStr">
        <is>
          <t>JÄMTLANDS LÄN</t>
        </is>
      </c>
      <c r="E472" t="inlineStr">
        <is>
          <t>BERG</t>
        </is>
      </c>
      <c r="G472" t="n">
        <v>2.8</v>
      </c>
      <c r="H472" t="n">
        <v>0</v>
      </c>
      <c r="I472" t="n">
        <v>0</v>
      </c>
      <c r="J472" t="n">
        <v>0</v>
      </c>
      <c r="K472" t="n">
        <v>0</v>
      </c>
      <c r="L472" t="n">
        <v>0</v>
      </c>
      <c r="M472" t="n">
        <v>0</v>
      </c>
      <c r="N472" t="n">
        <v>0</v>
      </c>
      <c r="O472" t="n">
        <v>0</v>
      </c>
      <c r="P472" t="n">
        <v>0</v>
      </c>
      <c r="Q472" t="n">
        <v>0</v>
      </c>
      <c r="R472" s="2" t="inlineStr"/>
    </row>
    <row r="473" ht="15" customHeight="1">
      <c r="A473" t="inlineStr">
        <is>
          <t>A 34891-2024</t>
        </is>
      </c>
      <c r="B473" s="1" t="n">
        <v>45527.36498842593</v>
      </c>
      <c r="C473" s="1" t="n">
        <v>45923</v>
      </c>
      <c r="D473" t="inlineStr">
        <is>
          <t>JÄMTLANDS LÄN</t>
        </is>
      </c>
      <c r="E473" t="inlineStr">
        <is>
          <t>BERG</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37431-2025</t>
        </is>
      </c>
      <c r="B474" s="1" t="n">
        <v>45877.51092592593</v>
      </c>
      <c r="C474" s="1" t="n">
        <v>45923</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14198-2023</t>
        </is>
      </c>
      <c r="B475" s="1" t="n">
        <v>45009.57518518518</v>
      </c>
      <c r="C475" s="1" t="n">
        <v>45923</v>
      </c>
      <c r="D475" t="inlineStr">
        <is>
          <t>JÄMTLANDS LÄN</t>
        </is>
      </c>
      <c r="E475" t="inlineStr">
        <is>
          <t>BERG</t>
        </is>
      </c>
      <c r="G475" t="n">
        <v>2.3</v>
      </c>
      <c r="H475" t="n">
        <v>0</v>
      </c>
      <c r="I475" t="n">
        <v>0</v>
      </c>
      <c r="J475" t="n">
        <v>0</v>
      </c>
      <c r="K475" t="n">
        <v>0</v>
      </c>
      <c r="L475" t="n">
        <v>0</v>
      </c>
      <c r="M475" t="n">
        <v>0</v>
      </c>
      <c r="N475" t="n">
        <v>0</v>
      </c>
      <c r="O475" t="n">
        <v>0</v>
      </c>
      <c r="P475" t="n">
        <v>0</v>
      </c>
      <c r="Q475" t="n">
        <v>0</v>
      </c>
      <c r="R475" s="2" t="inlineStr"/>
    </row>
    <row r="476" ht="15" customHeight="1">
      <c r="A476" t="inlineStr">
        <is>
          <t>A 58817-2024</t>
        </is>
      </c>
      <c r="B476" s="1" t="n">
        <v>45636.35909722222</v>
      </c>
      <c r="C476" s="1" t="n">
        <v>45923</v>
      </c>
      <c r="D476" t="inlineStr">
        <is>
          <t>JÄMTLANDS LÄN</t>
        </is>
      </c>
      <c r="E476" t="inlineStr">
        <is>
          <t>BERG</t>
        </is>
      </c>
      <c r="G476" t="n">
        <v>1.5</v>
      </c>
      <c r="H476" t="n">
        <v>0</v>
      </c>
      <c r="I476" t="n">
        <v>0</v>
      </c>
      <c r="J476" t="n">
        <v>0</v>
      </c>
      <c r="K476" t="n">
        <v>0</v>
      </c>
      <c r="L476" t="n">
        <v>0</v>
      </c>
      <c r="M476" t="n">
        <v>0</v>
      </c>
      <c r="N476" t="n">
        <v>0</v>
      </c>
      <c r="O476" t="n">
        <v>0</v>
      </c>
      <c r="P476" t="n">
        <v>0</v>
      </c>
      <c r="Q476" t="n">
        <v>0</v>
      </c>
      <c r="R476" s="2" t="inlineStr"/>
    </row>
    <row r="477" ht="15" customHeight="1">
      <c r="A477" t="inlineStr">
        <is>
          <t>A 8191-2025</t>
        </is>
      </c>
      <c r="B477" s="1" t="n">
        <v>45708.40821759259</v>
      </c>
      <c r="C477" s="1" t="n">
        <v>45923</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45459-2025</t>
        </is>
      </c>
      <c r="B478" s="1" t="n">
        <v>45922.49230324074</v>
      </c>
      <c r="C478" s="1" t="n">
        <v>45923</v>
      </c>
      <c r="D478" t="inlineStr">
        <is>
          <t>JÄMTLANDS LÄN</t>
        </is>
      </c>
      <c r="E478" t="inlineStr">
        <is>
          <t>BERG</t>
        </is>
      </c>
      <c r="F478" t="inlineStr">
        <is>
          <t>Kyrkan</t>
        </is>
      </c>
      <c r="G478" t="n">
        <v>8</v>
      </c>
      <c r="H478" t="n">
        <v>0</v>
      </c>
      <c r="I478" t="n">
        <v>0</v>
      </c>
      <c r="J478" t="n">
        <v>0</v>
      </c>
      <c r="K478" t="n">
        <v>0</v>
      </c>
      <c r="L478" t="n">
        <v>0</v>
      </c>
      <c r="M478" t="n">
        <v>0</v>
      </c>
      <c r="N478" t="n">
        <v>0</v>
      </c>
      <c r="O478" t="n">
        <v>0</v>
      </c>
      <c r="P478" t="n">
        <v>0</v>
      </c>
      <c r="Q478" t="n">
        <v>0</v>
      </c>
      <c r="R478" s="2" t="inlineStr"/>
    </row>
    <row r="479" ht="15" customHeight="1">
      <c r="A479" t="inlineStr">
        <is>
          <t>A 14697-2025</t>
        </is>
      </c>
      <c r="B479" s="1" t="n">
        <v>45742.59415509259</v>
      </c>
      <c r="C479" s="1" t="n">
        <v>45923</v>
      </c>
      <c r="D479" t="inlineStr">
        <is>
          <t>JÄMTLANDS LÄN</t>
        </is>
      </c>
      <c r="E479" t="inlineStr">
        <is>
          <t>BERG</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56490-2024</t>
        </is>
      </c>
      <c r="B480" s="1" t="n">
        <v>45625.48765046296</v>
      </c>
      <c r="C480" s="1" t="n">
        <v>45923</v>
      </c>
      <c r="D480" t="inlineStr">
        <is>
          <t>JÄMTLANDS LÄN</t>
        </is>
      </c>
      <c r="E480" t="inlineStr">
        <is>
          <t>BERG</t>
        </is>
      </c>
      <c r="G480" t="n">
        <v>5.9</v>
      </c>
      <c r="H480" t="n">
        <v>0</v>
      </c>
      <c r="I480" t="n">
        <v>0</v>
      </c>
      <c r="J480" t="n">
        <v>0</v>
      </c>
      <c r="K480" t="n">
        <v>0</v>
      </c>
      <c r="L480" t="n">
        <v>0</v>
      </c>
      <c r="M480" t="n">
        <v>0</v>
      </c>
      <c r="N480" t="n">
        <v>0</v>
      </c>
      <c r="O480" t="n">
        <v>0</v>
      </c>
      <c r="P480" t="n">
        <v>0</v>
      </c>
      <c r="Q480" t="n">
        <v>0</v>
      </c>
      <c r="R480" s="2" t="inlineStr"/>
    </row>
    <row r="481" ht="15" customHeight="1">
      <c r="A481" t="inlineStr">
        <is>
          <t>A 24011-2023</t>
        </is>
      </c>
      <c r="B481" s="1" t="n">
        <v>45078</v>
      </c>
      <c r="C481" s="1" t="n">
        <v>45923</v>
      </c>
      <c r="D481" t="inlineStr">
        <is>
          <t>JÄMTLANDS LÄN</t>
        </is>
      </c>
      <c r="E481" t="inlineStr">
        <is>
          <t>BERG</t>
        </is>
      </c>
      <c r="G481" t="n">
        <v>1.4</v>
      </c>
      <c r="H481" t="n">
        <v>0</v>
      </c>
      <c r="I481" t="n">
        <v>0</v>
      </c>
      <c r="J481" t="n">
        <v>0</v>
      </c>
      <c r="K481" t="n">
        <v>0</v>
      </c>
      <c r="L481" t="n">
        <v>0</v>
      </c>
      <c r="M481" t="n">
        <v>0</v>
      </c>
      <c r="N481" t="n">
        <v>0</v>
      </c>
      <c r="O481" t="n">
        <v>0</v>
      </c>
      <c r="P481" t="n">
        <v>0</v>
      </c>
      <c r="Q481" t="n">
        <v>0</v>
      </c>
      <c r="R481" s="2" t="inlineStr"/>
    </row>
    <row r="482" ht="15" customHeight="1">
      <c r="A482" t="inlineStr">
        <is>
          <t>A 14930-2025</t>
        </is>
      </c>
      <c r="B482" s="1" t="n">
        <v>45743</v>
      </c>
      <c r="C482" s="1" t="n">
        <v>45923</v>
      </c>
      <c r="D482" t="inlineStr">
        <is>
          <t>JÄMTLANDS LÄN</t>
        </is>
      </c>
      <c r="E482" t="inlineStr">
        <is>
          <t>BERG</t>
        </is>
      </c>
      <c r="F482" t="inlineStr">
        <is>
          <t>SCA</t>
        </is>
      </c>
      <c r="G482" t="n">
        <v>27.8</v>
      </c>
      <c r="H482" t="n">
        <v>0</v>
      </c>
      <c r="I482" t="n">
        <v>0</v>
      </c>
      <c r="J482" t="n">
        <v>0</v>
      </c>
      <c r="K482" t="n">
        <v>0</v>
      </c>
      <c r="L482" t="n">
        <v>0</v>
      </c>
      <c r="M482" t="n">
        <v>0</v>
      </c>
      <c r="N482" t="n">
        <v>0</v>
      </c>
      <c r="O482" t="n">
        <v>0</v>
      </c>
      <c r="P482" t="n">
        <v>0</v>
      </c>
      <c r="Q482" t="n">
        <v>0</v>
      </c>
      <c r="R482" s="2" t="inlineStr"/>
    </row>
    <row r="483" ht="15" customHeight="1">
      <c r="A483" t="inlineStr">
        <is>
          <t>A 32064-2023</t>
        </is>
      </c>
      <c r="B483" s="1" t="n">
        <v>45119.57108796296</v>
      </c>
      <c r="C483" s="1" t="n">
        <v>45923</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37463-2025</t>
        </is>
      </c>
      <c r="B484" s="1" t="n">
        <v>45877.5738425926</v>
      </c>
      <c r="C484" s="1" t="n">
        <v>45923</v>
      </c>
      <c r="D484" t="inlineStr">
        <is>
          <t>JÄMTLANDS LÄN</t>
        </is>
      </c>
      <c r="E484" t="inlineStr">
        <is>
          <t>BERG</t>
        </is>
      </c>
      <c r="F484" t="inlineStr">
        <is>
          <t>SCA</t>
        </is>
      </c>
      <c r="G484" t="n">
        <v>13.3</v>
      </c>
      <c r="H484" t="n">
        <v>0</v>
      </c>
      <c r="I484" t="n">
        <v>0</v>
      </c>
      <c r="J484" t="n">
        <v>0</v>
      </c>
      <c r="K484" t="n">
        <v>0</v>
      </c>
      <c r="L484" t="n">
        <v>0</v>
      </c>
      <c r="M484" t="n">
        <v>0</v>
      </c>
      <c r="N484" t="n">
        <v>0</v>
      </c>
      <c r="O484" t="n">
        <v>0</v>
      </c>
      <c r="P484" t="n">
        <v>0</v>
      </c>
      <c r="Q484" t="n">
        <v>0</v>
      </c>
      <c r="R484" s="2" t="inlineStr"/>
    </row>
    <row r="485" ht="15" customHeight="1">
      <c r="A485" t="inlineStr">
        <is>
          <t>A 45568-2025</t>
        </is>
      </c>
      <c r="B485" s="1" t="n">
        <v>45922.65672453704</v>
      </c>
      <c r="C485" s="1" t="n">
        <v>45923</v>
      </c>
      <c r="D485" t="inlineStr">
        <is>
          <t>JÄMTLANDS LÄN</t>
        </is>
      </c>
      <c r="E485" t="inlineStr">
        <is>
          <t>BERG</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41886-2024</t>
        </is>
      </c>
      <c r="B486" s="1" t="n">
        <v>45561.48825231481</v>
      </c>
      <c r="C486" s="1" t="n">
        <v>45923</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13672-2024</t>
        </is>
      </c>
      <c r="B487" s="1" t="n">
        <v>45390</v>
      </c>
      <c r="C487" s="1" t="n">
        <v>45923</v>
      </c>
      <c r="D487" t="inlineStr">
        <is>
          <t>JÄMTLANDS LÄN</t>
        </is>
      </c>
      <c r="E487" t="inlineStr">
        <is>
          <t>BERG</t>
        </is>
      </c>
      <c r="G487" t="n">
        <v>0.3</v>
      </c>
      <c r="H487" t="n">
        <v>0</v>
      </c>
      <c r="I487" t="n">
        <v>0</v>
      </c>
      <c r="J487" t="n">
        <v>0</v>
      </c>
      <c r="K487" t="n">
        <v>0</v>
      </c>
      <c r="L487" t="n">
        <v>0</v>
      </c>
      <c r="M487" t="n">
        <v>0</v>
      </c>
      <c r="N487" t="n">
        <v>0</v>
      </c>
      <c r="O487" t="n">
        <v>0</v>
      </c>
      <c r="P487" t="n">
        <v>0</v>
      </c>
      <c r="Q487" t="n">
        <v>0</v>
      </c>
      <c r="R487" s="2" t="inlineStr"/>
    </row>
    <row r="488" ht="15" customHeight="1">
      <c r="A488" t="inlineStr">
        <is>
          <t>A 15013-2025</t>
        </is>
      </c>
      <c r="B488" s="1" t="n">
        <v>45743.62734953704</v>
      </c>
      <c r="C488" s="1" t="n">
        <v>45923</v>
      </c>
      <c r="D488" t="inlineStr">
        <is>
          <t>JÄMTLANDS LÄN</t>
        </is>
      </c>
      <c r="E488" t="inlineStr">
        <is>
          <t>BERG</t>
        </is>
      </c>
      <c r="G488" t="n">
        <v>4.6</v>
      </c>
      <c r="H488" t="n">
        <v>0</v>
      </c>
      <c r="I488" t="n">
        <v>0</v>
      </c>
      <c r="J488" t="n">
        <v>0</v>
      </c>
      <c r="K488" t="n">
        <v>0</v>
      </c>
      <c r="L488" t="n">
        <v>0</v>
      </c>
      <c r="M488" t="n">
        <v>0</v>
      </c>
      <c r="N488" t="n">
        <v>0</v>
      </c>
      <c r="O488" t="n">
        <v>0</v>
      </c>
      <c r="P488" t="n">
        <v>0</v>
      </c>
      <c r="Q488" t="n">
        <v>0</v>
      </c>
      <c r="R488" s="2" t="inlineStr"/>
    </row>
    <row r="489" ht="15" customHeight="1">
      <c r="A489" t="inlineStr">
        <is>
          <t>A 45570-2025</t>
        </is>
      </c>
      <c r="B489" s="1" t="n">
        <v>45922.65715277778</v>
      </c>
      <c r="C489" s="1" t="n">
        <v>45923</v>
      </c>
      <c r="D489" t="inlineStr">
        <is>
          <t>JÄMTLANDS LÄN</t>
        </is>
      </c>
      <c r="E489" t="inlineStr">
        <is>
          <t>BERG</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45129-2025</t>
        </is>
      </c>
      <c r="B490" s="1" t="n">
        <v>45919.43584490741</v>
      </c>
      <c r="C490" s="1" t="n">
        <v>45923</v>
      </c>
      <c r="D490" t="inlineStr">
        <is>
          <t>JÄMTLANDS LÄN</t>
        </is>
      </c>
      <c r="E490" t="inlineStr">
        <is>
          <t>BERG</t>
        </is>
      </c>
      <c r="F490" t="inlineStr">
        <is>
          <t>Övriga Aktiebolag</t>
        </is>
      </c>
      <c r="G490" t="n">
        <v>3.3</v>
      </c>
      <c r="H490" t="n">
        <v>0</v>
      </c>
      <c r="I490" t="n">
        <v>0</v>
      </c>
      <c r="J490" t="n">
        <v>0</v>
      </c>
      <c r="K490" t="n">
        <v>0</v>
      </c>
      <c r="L490" t="n">
        <v>0</v>
      </c>
      <c r="M490" t="n">
        <v>0</v>
      </c>
      <c r="N490" t="n">
        <v>0</v>
      </c>
      <c r="O490" t="n">
        <v>0</v>
      </c>
      <c r="P490" t="n">
        <v>0</v>
      </c>
      <c r="Q490" t="n">
        <v>0</v>
      </c>
      <c r="R490" s="2" t="inlineStr"/>
    </row>
    <row r="491" ht="15" customHeight="1">
      <c r="A491" t="inlineStr">
        <is>
          <t>A 29087-2024</t>
        </is>
      </c>
      <c r="B491" s="1" t="n">
        <v>45481.92946759259</v>
      </c>
      <c r="C491" s="1" t="n">
        <v>45923</v>
      </c>
      <c r="D491" t="inlineStr">
        <is>
          <t>JÄMTLANDS LÄN</t>
        </is>
      </c>
      <c r="E491" t="inlineStr">
        <is>
          <t>BERG</t>
        </is>
      </c>
      <c r="G491" t="n">
        <v>10.7</v>
      </c>
      <c r="H491" t="n">
        <v>0</v>
      </c>
      <c r="I491" t="n">
        <v>0</v>
      </c>
      <c r="J491" t="n">
        <v>0</v>
      </c>
      <c r="K491" t="n">
        <v>0</v>
      </c>
      <c r="L491" t="n">
        <v>0</v>
      </c>
      <c r="M491" t="n">
        <v>0</v>
      </c>
      <c r="N491" t="n">
        <v>0</v>
      </c>
      <c r="O491" t="n">
        <v>0</v>
      </c>
      <c r="P491" t="n">
        <v>0</v>
      </c>
      <c r="Q491" t="n">
        <v>0</v>
      </c>
      <c r="R491" s="2" t="inlineStr"/>
    </row>
    <row r="492" ht="15" customHeight="1">
      <c r="A492" t="inlineStr">
        <is>
          <t>A 45390-2025</t>
        </is>
      </c>
      <c r="B492" s="1" t="n">
        <v>45922.40762731482</v>
      </c>
      <c r="C492" s="1" t="n">
        <v>45923</v>
      </c>
      <c r="D492" t="inlineStr">
        <is>
          <t>JÄMTLANDS LÄN</t>
        </is>
      </c>
      <c r="E492" t="inlineStr">
        <is>
          <t>BERG</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37488-2025</t>
        </is>
      </c>
      <c r="B493" s="1" t="n">
        <v>45877.63582175926</v>
      </c>
      <c r="C493" s="1" t="n">
        <v>45923</v>
      </c>
      <c r="D493" t="inlineStr">
        <is>
          <t>JÄMTLANDS LÄN</t>
        </is>
      </c>
      <c r="E493" t="inlineStr">
        <is>
          <t>BERG</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45640-2025</t>
        </is>
      </c>
      <c r="B494" s="1" t="n">
        <v>45922.961875</v>
      </c>
      <c r="C494" s="1" t="n">
        <v>45923</v>
      </c>
      <c r="D494" t="inlineStr">
        <is>
          <t>JÄMTLANDS LÄN</t>
        </is>
      </c>
      <c r="E494" t="inlineStr">
        <is>
          <t>BERG</t>
        </is>
      </c>
      <c r="G494" t="n">
        <v>2.3</v>
      </c>
      <c r="H494" t="n">
        <v>0</v>
      </c>
      <c r="I494" t="n">
        <v>0</v>
      </c>
      <c r="J494" t="n">
        <v>0</v>
      </c>
      <c r="K494" t="n">
        <v>0</v>
      </c>
      <c r="L494" t="n">
        <v>0</v>
      </c>
      <c r="M494" t="n">
        <v>0</v>
      </c>
      <c r="N494" t="n">
        <v>0</v>
      </c>
      <c r="O494" t="n">
        <v>0</v>
      </c>
      <c r="P494" t="n">
        <v>0</v>
      </c>
      <c r="Q494" t="n">
        <v>0</v>
      </c>
      <c r="R494" s="2" t="inlineStr"/>
    </row>
    <row r="495" ht="15" customHeight="1">
      <c r="A495" t="inlineStr">
        <is>
          <t>A 3419-2025</t>
        </is>
      </c>
      <c r="B495" s="1" t="n">
        <v>45680.4165625</v>
      </c>
      <c r="C495" s="1" t="n">
        <v>45923</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59526-2024</t>
        </is>
      </c>
      <c r="B496" s="1" t="n">
        <v>45638.58019675926</v>
      </c>
      <c r="C496" s="1" t="n">
        <v>45923</v>
      </c>
      <c r="D496" t="inlineStr">
        <is>
          <t>JÄMTLANDS LÄN</t>
        </is>
      </c>
      <c r="E496" t="inlineStr">
        <is>
          <t>BERG</t>
        </is>
      </c>
      <c r="G496" t="n">
        <v>1</v>
      </c>
      <c r="H496" t="n">
        <v>0</v>
      </c>
      <c r="I496" t="n">
        <v>0</v>
      </c>
      <c r="J496" t="n">
        <v>0</v>
      </c>
      <c r="K496" t="n">
        <v>0</v>
      </c>
      <c r="L496" t="n">
        <v>0</v>
      </c>
      <c r="M496" t="n">
        <v>0</v>
      </c>
      <c r="N496" t="n">
        <v>0</v>
      </c>
      <c r="O496" t="n">
        <v>0</v>
      </c>
      <c r="P496" t="n">
        <v>0</v>
      </c>
      <c r="Q496" t="n">
        <v>0</v>
      </c>
      <c r="R496" s="2" t="inlineStr"/>
    </row>
    <row r="497" ht="15" customHeight="1">
      <c r="A497" t="inlineStr">
        <is>
          <t>A 41875-2024</t>
        </is>
      </c>
      <c r="B497" s="1" t="n">
        <v>45561.47431712963</v>
      </c>
      <c r="C497" s="1" t="n">
        <v>45923</v>
      </c>
      <c r="D497" t="inlineStr">
        <is>
          <t>JÄMTLANDS LÄN</t>
        </is>
      </c>
      <c r="E497" t="inlineStr">
        <is>
          <t>BERG</t>
        </is>
      </c>
      <c r="G497" t="n">
        <v>1.3</v>
      </c>
      <c r="H497" t="n">
        <v>0</v>
      </c>
      <c r="I497" t="n">
        <v>0</v>
      </c>
      <c r="J497" t="n">
        <v>0</v>
      </c>
      <c r="K497" t="n">
        <v>0</v>
      </c>
      <c r="L497" t="n">
        <v>0</v>
      </c>
      <c r="M497" t="n">
        <v>0</v>
      </c>
      <c r="N497" t="n">
        <v>0</v>
      </c>
      <c r="O497" t="n">
        <v>0</v>
      </c>
      <c r="P497" t="n">
        <v>0</v>
      </c>
      <c r="Q497" t="n">
        <v>0</v>
      </c>
      <c r="R497" s="2" t="inlineStr"/>
    </row>
    <row r="498" ht="15" customHeight="1">
      <c r="A498" t="inlineStr">
        <is>
          <t>A 64752-2023</t>
        </is>
      </c>
      <c r="B498" s="1" t="n">
        <v>45281.92891203704</v>
      </c>
      <c r="C498" s="1" t="n">
        <v>45923</v>
      </c>
      <c r="D498" t="inlineStr">
        <is>
          <t>JÄMTLANDS LÄN</t>
        </is>
      </c>
      <c r="E498" t="inlineStr">
        <is>
          <t>BERG</t>
        </is>
      </c>
      <c r="F498" t="inlineStr">
        <is>
          <t>Övriga Aktiebolag</t>
        </is>
      </c>
      <c r="G498" t="n">
        <v>3.4</v>
      </c>
      <c r="H498" t="n">
        <v>0</v>
      </c>
      <c r="I498" t="n">
        <v>0</v>
      </c>
      <c r="J498" t="n">
        <v>0</v>
      </c>
      <c r="K498" t="n">
        <v>0</v>
      </c>
      <c r="L498" t="n">
        <v>0</v>
      </c>
      <c r="M498" t="n">
        <v>0</v>
      </c>
      <c r="N498" t="n">
        <v>0</v>
      </c>
      <c r="O498" t="n">
        <v>0</v>
      </c>
      <c r="P498" t="n">
        <v>0</v>
      </c>
      <c r="Q498" t="n">
        <v>0</v>
      </c>
      <c r="R498" s="2" t="inlineStr"/>
    </row>
    <row r="499" ht="15" customHeight="1">
      <c r="A499" t="inlineStr">
        <is>
          <t>A 41927-2023</t>
        </is>
      </c>
      <c r="B499" s="1" t="n">
        <v>45176</v>
      </c>
      <c r="C499" s="1" t="n">
        <v>45923</v>
      </c>
      <c r="D499" t="inlineStr">
        <is>
          <t>JÄMTLANDS LÄN</t>
        </is>
      </c>
      <c r="E499" t="inlineStr">
        <is>
          <t>BERG</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18408-2025</t>
        </is>
      </c>
      <c r="B500" s="1" t="n">
        <v>45762.61128472222</v>
      </c>
      <c r="C500" s="1" t="n">
        <v>45923</v>
      </c>
      <c r="D500" t="inlineStr">
        <is>
          <t>JÄMTLANDS LÄN</t>
        </is>
      </c>
      <c r="E500" t="inlineStr">
        <is>
          <t>BERG</t>
        </is>
      </c>
      <c r="G500" t="n">
        <v>5.1</v>
      </c>
      <c r="H500" t="n">
        <v>0</v>
      </c>
      <c r="I500" t="n">
        <v>0</v>
      </c>
      <c r="J500" t="n">
        <v>0</v>
      </c>
      <c r="K500" t="n">
        <v>0</v>
      </c>
      <c r="L500" t="n">
        <v>0</v>
      </c>
      <c r="M500" t="n">
        <v>0</v>
      </c>
      <c r="N500" t="n">
        <v>0</v>
      </c>
      <c r="O500" t="n">
        <v>0</v>
      </c>
      <c r="P500" t="n">
        <v>0</v>
      </c>
      <c r="Q500" t="n">
        <v>0</v>
      </c>
      <c r="R500" s="2" t="inlineStr"/>
    </row>
    <row r="501" ht="15" customHeight="1">
      <c r="A501" t="inlineStr">
        <is>
          <t>A 8069-2024</t>
        </is>
      </c>
      <c r="B501" s="1" t="n">
        <v>45351.41600694445</v>
      </c>
      <c r="C501" s="1" t="n">
        <v>45923</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5219-2022</t>
        </is>
      </c>
      <c r="B502" s="1" t="n">
        <v>44594.48569444445</v>
      </c>
      <c r="C502" s="1" t="n">
        <v>45923</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5187-2025</t>
        </is>
      </c>
      <c r="B503" s="1" t="n">
        <v>45691.64266203704</v>
      </c>
      <c r="C503" s="1" t="n">
        <v>45923</v>
      </c>
      <c r="D503" t="inlineStr">
        <is>
          <t>JÄMTLANDS LÄN</t>
        </is>
      </c>
      <c r="E503" t="inlineStr">
        <is>
          <t>BERG</t>
        </is>
      </c>
      <c r="G503" t="n">
        <v>2.5</v>
      </c>
      <c r="H503" t="n">
        <v>0</v>
      </c>
      <c r="I503" t="n">
        <v>0</v>
      </c>
      <c r="J503" t="n">
        <v>0</v>
      </c>
      <c r="K503" t="n">
        <v>0</v>
      </c>
      <c r="L503" t="n">
        <v>0</v>
      </c>
      <c r="M503" t="n">
        <v>0</v>
      </c>
      <c r="N503" t="n">
        <v>0</v>
      </c>
      <c r="O503" t="n">
        <v>0</v>
      </c>
      <c r="P503" t="n">
        <v>0</v>
      </c>
      <c r="Q503" t="n">
        <v>0</v>
      </c>
      <c r="R503" s="2" t="inlineStr"/>
    </row>
    <row r="504" ht="15" customHeight="1">
      <c r="A504" t="inlineStr">
        <is>
          <t>A 19891-2025</t>
        </is>
      </c>
      <c r="B504" s="1" t="n">
        <v>45771.5743287037</v>
      </c>
      <c r="C504" s="1" t="n">
        <v>45923</v>
      </c>
      <c r="D504" t="inlineStr">
        <is>
          <t>JÄMTLANDS LÄN</t>
        </is>
      </c>
      <c r="E504" t="inlineStr">
        <is>
          <t>BERG</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18217-2023</t>
        </is>
      </c>
      <c r="B505" s="1" t="n">
        <v>45040</v>
      </c>
      <c r="C505" s="1" t="n">
        <v>45923</v>
      </c>
      <c r="D505" t="inlineStr">
        <is>
          <t>JÄMTLANDS LÄN</t>
        </is>
      </c>
      <c r="E505" t="inlineStr">
        <is>
          <t>BERG</t>
        </is>
      </c>
      <c r="G505" t="n">
        <v>4.5</v>
      </c>
      <c r="H505" t="n">
        <v>0</v>
      </c>
      <c r="I505" t="n">
        <v>0</v>
      </c>
      <c r="J505" t="n">
        <v>0</v>
      </c>
      <c r="K505" t="n">
        <v>0</v>
      </c>
      <c r="L505" t="n">
        <v>0</v>
      </c>
      <c r="M505" t="n">
        <v>0</v>
      </c>
      <c r="N505" t="n">
        <v>0</v>
      </c>
      <c r="O505" t="n">
        <v>0</v>
      </c>
      <c r="P505" t="n">
        <v>0</v>
      </c>
      <c r="Q505" t="n">
        <v>0</v>
      </c>
      <c r="R505" s="2" t="inlineStr"/>
    </row>
    <row r="506" ht="15" customHeight="1">
      <c r="A506" t="inlineStr">
        <is>
          <t>A 18112-2024</t>
        </is>
      </c>
      <c r="B506" s="1" t="n">
        <v>45420.49851851852</v>
      </c>
      <c r="C506" s="1" t="n">
        <v>45923</v>
      </c>
      <c r="D506" t="inlineStr">
        <is>
          <t>JÄMTLANDS LÄN</t>
        </is>
      </c>
      <c r="E506" t="inlineStr">
        <is>
          <t>BERG</t>
        </is>
      </c>
      <c r="F506" t="inlineStr">
        <is>
          <t>Holmen skog AB</t>
        </is>
      </c>
      <c r="G506" t="n">
        <v>16.6</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45923</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3842-2023</t>
        </is>
      </c>
      <c r="B508" s="1" t="n">
        <v>44951</v>
      </c>
      <c r="C508" s="1" t="n">
        <v>45923</v>
      </c>
      <c r="D508" t="inlineStr">
        <is>
          <t>JÄMTLANDS LÄN</t>
        </is>
      </c>
      <c r="E508" t="inlineStr">
        <is>
          <t>BERG</t>
        </is>
      </c>
      <c r="G508" t="n">
        <v>0.3</v>
      </c>
      <c r="H508" t="n">
        <v>0</v>
      </c>
      <c r="I508" t="n">
        <v>0</v>
      </c>
      <c r="J508" t="n">
        <v>0</v>
      </c>
      <c r="K508" t="n">
        <v>0</v>
      </c>
      <c r="L508" t="n">
        <v>0</v>
      </c>
      <c r="M508" t="n">
        <v>0</v>
      </c>
      <c r="N508" t="n">
        <v>0</v>
      </c>
      <c r="O508" t="n">
        <v>0</v>
      </c>
      <c r="P508" t="n">
        <v>0</v>
      </c>
      <c r="Q508" t="n">
        <v>0</v>
      </c>
      <c r="R508" s="2" t="inlineStr"/>
    </row>
    <row r="509" ht="15" customHeight="1">
      <c r="A509" t="inlineStr">
        <is>
          <t>A 14190-2023</t>
        </is>
      </c>
      <c r="B509" s="1" t="n">
        <v>45009.56106481481</v>
      </c>
      <c r="C509" s="1" t="n">
        <v>45923</v>
      </c>
      <c r="D509" t="inlineStr">
        <is>
          <t>JÄMTLANDS LÄN</t>
        </is>
      </c>
      <c r="E509" t="inlineStr">
        <is>
          <t>BERG</t>
        </is>
      </c>
      <c r="G509" t="n">
        <v>3.8</v>
      </c>
      <c r="H509" t="n">
        <v>0</v>
      </c>
      <c r="I509" t="n">
        <v>0</v>
      </c>
      <c r="J509" t="n">
        <v>0</v>
      </c>
      <c r="K509" t="n">
        <v>0</v>
      </c>
      <c r="L509" t="n">
        <v>0</v>
      </c>
      <c r="M509" t="n">
        <v>0</v>
      </c>
      <c r="N509" t="n">
        <v>0</v>
      </c>
      <c r="O509" t="n">
        <v>0</v>
      </c>
      <c r="P509" t="n">
        <v>0</v>
      </c>
      <c r="Q509" t="n">
        <v>0</v>
      </c>
      <c r="R509" s="2" t="inlineStr"/>
    </row>
    <row r="510" ht="15" customHeight="1">
      <c r="A510" t="inlineStr">
        <is>
          <t>A 46268-2023</t>
        </is>
      </c>
      <c r="B510" s="1" t="n">
        <v>45196</v>
      </c>
      <c r="C510" s="1" t="n">
        <v>45923</v>
      </c>
      <c r="D510" t="inlineStr">
        <is>
          <t>JÄMTLANDS LÄN</t>
        </is>
      </c>
      <c r="E510" t="inlineStr">
        <is>
          <t>BERG</t>
        </is>
      </c>
      <c r="F510" t="inlineStr">
        <is>
          <t>SCA</t>
        </is>
      </c>
      <c r="G510" t="n">
        <v>0.4</v>
      </c>
      <c r="H510" t="n">
        <v>0</v>
      </c>
      <c r="I510" t="n">
        <v>0</v>
      </c>
      <c r="J510" t="n">
        <v>0</v>
      </c>
      <c r="K510" t="n">
        <v>0</v>
      </c>
      <c r="L510" t="n">
        <v>0</v>
      </c>
      <c r="M510" t="n">
        <v>0</v>
      </c>
      <c r="N510" t="n">
        <v>0</v>
      </c>
      <c r="O510" t="n">
        <v>0</v>
      </c>
      <c r="P510" t="n">
        <v>0</v>
      </c>
      <c r="Q510" t="n">
        <v>0</v>
      </c>
      <c r="R510" s="2" t="inlineStr"/>
    </row>
    <row r="511" ht="15" customHeight="1">
      <c r="A511" t="inlineStr">
        <is>
          <t>A 45208-2024</t>
        </is>
      </c>
      <c r="B511" s="1" t="n">
        <v>45575.7077662037</v>
      </c>
      <c r="C511" s="1" t="n">
        <v>45923</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41634-2024</t>
        </is>
      </c>
      <c r="B512" s="1" t="n">
        <v>45560.61496527777</v>
      </c>
      <c r="C512" s="1" t="n">
        <v>45923</v>
      </c>
      <c r="D512" t="inlineStr">
        <is>
          <t>JÄMTLANDS LÄN</t>
        </is>
      </c>
      <c r="E512" t="inlineStr">
        <is>
          <t>BERG</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14820-2025</t>
        </is>
      </c>
      <c r="B513" s="1" t="n">
        <v>45743.35984953704</v>
      </c>
      <c r="C513" s="1" t="n">
        <v>45923</v>
      </c>
      <c r="D513" t="inlineStr">
        <is>
          <t>JÄMTLANDS LÄN</t>
        </is>
      </c>
      <c r="E513" t="inlineStr">
        <is>
          <t>BERG</t>
        </is>
      </c>
      <c r="G513" t="n">
        <v>1.3</v>
      </c>
      <c r="H513" t="n">
        <v>0</v>
      </c>
      <c r="I513" t="n">
        <v>0</v>
      </c>
      <c r="J513" t="n">
        <v>0</v>
      </c>
      <c r="K513" t="n">
        <v>0</v>
      </c>
      <c r="L513" t="n">
        <v>0</v>
      </c>
      <c r="M513" t="n">
        <v>0</v>
      </c>
      <c r="N513" t="n">
        <v>0</v>
      </c>
      <c r="O513" t="n">
        <v>0</v>
      </c>
      <c r="P513" t="n">
        <v>0</v>
      </c>
      <c r="Q513" t="n">
        <v>0</v>
      </c>
      <c r="R513" s="2" t="inlineStr"/>
    </row>
    <row r="514" ht="15" customHeight="1">
      <c r="A514" t="inlineStr">
        <is>
          <t>A 32465-2024</t>
        </is>
      </c>
      <c r="B514" s="1" t="n">
        <v>45512.96096064815</v>
      </c>
      <c r="C514" s="1" t="n">
        <v>45923</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44313-2023</t>
        </is>
      </c>
      <c r="B515" s="1" t="n">
        <v>45188.6505787037</v>
      </c>
      <c r="C515" s="1" t="n">
        <v>45923</v>
      </c>
      <c r="D515" t="inlineStr">
        <is>
          <t>JÄMTLANDS LÄN</t>
        </is>
      </c>
      <c r="E515" t="inlineStr">
        <is>
          <t>BERG</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592-2021</t>
        </is>
      </c>
      <c r="B516" s="1" t="n">
        <v>44201</v>
      </c>
      <c r="C516" s="1" t="n">
        <v>45923</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38-2024</t>
        </is>
      </c>
      <c r="B517" s="1" t="n">
        <v>45293</v>
      </c>
      <c r="C517" s="1" t="n">
        <v>45923</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49555-2023</t>
        </is>
      </c>
      <c r="B518" s="1" t="n">
        <v>45205</v>
      </c>
      <c r="C518" s="1" t="n">
        <v>45923</v>
      </c>
      <c r="D518" t="inlineStr">
        <is>
          <t>JÄMTLANDS LÄN</t>
        </is>
      </c>
      <c r="E518" t="inlineStr">
        <is>
          <t>BERG</t>
        </is>
      </c>
      <c r="G518" t="n">
        <v>0.6</v>
      </c>
      <c r="H518" t="n">
        <v>0</v>
      </c>
      <c r="I518" t="n">
        <v>0</v>
      </c>
      <c r="J518" t="n">
        <v>0</v>
      </c>
      <c r="K518" t="n">
        <v>0</v>
      </c>
      <c r="L518" t="n">
        <v>0</v>
      </c>
      <c r="M518" t="n">
        <v>0</v>
      </c>
      <c r="N518" t="n">
        <v>0</v>
      </c>
      <c r="O518" t="n">
        <v>0</v>
      </c>
      <c r="P518" t="n">
        <v>0</v>
      </c>
      <c r="Q518" t="n">
        <v>0</v>
      </c>
      <c r="R518" s="2" t="inlineStr"/>
    </row>
    <row r="519" ht="15" customHeight="1">
      <c r="A519" t="inlineStr">
        <is>
          <t>A 1499-2025</t>
        </is>
      </c>
      <c r="B519" s="1" t="n">
        <v>45670.41112268518</v>
      </c>
      <c r="C519" s="1" t="n">
        <v>45923</v>
      </c>
      <c r="D519" t="inlineStr">
        <is>
          <t>JÄMTLANDS LÄN</t>
        </is>
      </c>
      <c r="E519" t="inlineStr">
        <is>
          <t>BERG</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46991-2024</t>
        </is>
      </c>
      <c r="B520" s="1" t="n">
        <v>45586.365625</v>
      </c>
      <c r="C520" s="1" t="n">
        <v>45923</v>
      </c>
      <c r="D520" t="inlineStr">
        <is>
          <t>JÄMTLANDS LÄN</t>
        </is>
      </c>
      <c r="E520" t="inlineStr">
        <is>
          <t>BERG</t>
        </is>
      </c>
      <c r="G520" t="n">
        <v>2.9</v>
      </c>
      <c r="H520" t="n">
        <v>0</v>
      </c>
      <c r="I520" t="n">
        <v>0</v>
      </c>
      <c r="J520" t="n">
        <v>0</v>
      </c>
      <c r="K520" t="n">
        <v>0</v>
      </c>
      <c r="L520" t="n">
        <v>0</v>
      </c>
      <c r="M520" t="n">
        <v>0</v>
      </c>
      <c r="N520" t="n">
        <v>0</v>
      </c>
      <c r="O520" t="n">
        <v>0</v>
      </c>
      <c r="P520" t="n">
        <v>0</v>
      </c>
      <c r="Q520" t="n">
        <v>0</v>
      </c>
      <c r="R520" s="2" t="inlineStr"/>
    </row>
    <row r="521" ht="15" customHeight="1">
      <c r="A521" t="inlineStr">
        <is>
          <t>A 53886-2020</t>
        </is>
      </c>
      <c r="B521" s="1" t="n">
        <v>44123</v>
      </c>
      <c r="C521" s="1" t="n">
        <v>45923</v>
      </c>
      <c r="D521" t="inlineStr">
        <is>
          <t>JÄMTLANDS LÄN</t>
        </is>
      </c>
      <c r="E521" t="inlineStr">
        <is>
          <t>BERG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50169-2023</t>
        </is>
      </c>
      <c r="B522" s="1" t="n">
        <v>45208</v>
      </c>
      <c r="C522" s="1" t="n">
        <v>45923</v>
      </c>
      <c r="D522" t="inlineStr">
        <is>
          <t>JÄMTLANDS LÄN</t>
        </is>
      </c>
      <c r="E522" t="inlineStr">
        <is>
          <t>BERG</t>
        </is>
      </c>
      <c r="G522" t="n">
        <v>3.9</v>
      </c>
      <c r="H522" t="n">
        <v>0</v>
      </c>
      <c r="I522" t="n">
        <v>0</v>
      </c>
      <c r="J522" t="n">
        <v>0</v>
      </c>
      <c r="K522" t="n">
        <v>0</v>
      </c>
      <c r="L522" t="n">
        <v>0</v>
      </c>
      <c r="M522" t="n">
        <v>0</v>
      </c>
      <c r="N522" t="n">
        <v>0</v>
      </c>
      <c r="O522" t="n">
        <v>0</v>
      </c>
      <c r="P522" t="n">
        <v>0</v>
      </c>
      <c r="Q522" t="n">
        <v>0</v>
      </c>
      <c r="R522" s="2" t="inlineStr"/>
    </row>
    <row r="523" ht="15" customHeight="1">
      <c r="A523" t="inlineStr">
        <is>
          <t>A 31129-2024</t>
        </is>
      </c>
      <c r="B523" s="1" t="n">
        <v>45502</v>
      </c>
      <c r="C523" s="1" t="n">
        <v>45923</v>
      </c>
      <c r="D523" t="inlineStr">
        <is>
          <t>JÄMTLANDS LÄN</t>
        </is>
      </c>
      <c r="E523" t="inlineStr">
        <is>
          <t>BERG</t>
        </is>
      </c>
      <c r="G523" t="n">
        <v>1.3</v>
      </c>
      <c r="H523" t="n">
        <v>0</v>
      </c>
      <c r="I523" t="n">
        <v>0</v>
      </c>
      <c r="J523" t="n">
        <v>0</v>
      </c>
      <c r="K523" t="n">
        <v>0</v>
      </c>
      <c r="L523" t="n">
        <v>0</v>
      </c>
      <c r="M523" t="n">
        <v>0</v>
      </c>
      <c r="N523" t="n">
        <v>0</v>
      </c>
      <c r="O523" t="n">
        <v>0</v>
      </c>
      <c r="P523" t="n">
        <v>0</v>
      </c>
      <c r="Q523" t="n">
        <v>0</v>
      </c>
      <c r="R523" s="2" t="inlineStr"/>
    </row>
    <row r="524" ht="15" customHeight="1">
      <c r="A524" t="inlineStr">
        <is>
          <t>A 24307-2023</t>
        </is>
      </c>
      <c r="B524" s="1" t="n">
        <v>45079.94229166667</v>
      </c>
      <c r="C524" s="1" t="n">
        <v>45923</v>
      </c>
      <c r="D524" t="inlineStr">
        <is>
          <t>JÄMTLANDS LÄN</t>
        </is>
      </c>
      <c r="E524" t="inlineStr">
        <is>
          <t>BERG</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12392-2025</t>
        </is>
      </c>
      <c r="B525" s="1" t="n">
        <v>45730.40104166666</v>
      </c>
      <c r="C525" s="1" t="n">
        <v>45923</v>
      </c>
      <c r="D525" t="inlineStr">
        <is>
          <t>JÄMTLANDS LÄN</t>
        </is>
      </c>
      <c r="E525" t="inlineStr">
        <is>
          <t>BERG</t>
        </is>
      </c>
      <c r="G525" t="n">
        <v>5.1</v>
      </c>
      <c r="H525" t="n">
        <v>0</v>
      </c>
      <c r="I525" t="n">
        <v>0</v>
      </c>
      <c r="J525" t="n">
        <v>0</v>
      </c>
      <c r="K525" t="n">
        <v>0</v>
      </c>
      <c r="L525" t="n">
        <v>0</v>
      </c>
      <c r="M525" t="n">
        <v>0</v>
      </c>
      <c r="N525" t="n">
        <v>0</v>
      </c>
      <c r="O525" t="n">
        <v>0</v>
      </c>
      <c r="P525" t="n">
        <v>0</v>
      </c>
      <c r="Q525" t="n">
        <v>0</v>
      </c>
      <c r="R525" s="2" t="inlineStr"/>
    </row>
    <row r="526" ht="15" customHeight="1">
      <c r="A526" t="inlineStr">
        <is>
          <t>A 37093-2024</t>
        </is>
      </c>
      <c r="B526" s="1" t="n">
        <v>45539.50018518518</v>
      </c>
      <c r="C526" s="1" t="n">
        <v>45923</v>
      </c>
      <c r="D526" t="inlineStr">
        <is>
          <t>JÄMTLANDS LÄN</t>
        </is>
      </c>
      <c r="E526" t="inlineStr">
        <is>
          <t>BERG</t>
        </is>
      </c>
      <c r="F526" t="inlineStr">
        <is>
          <t>Övriga Aktiebolag</t>
        </is>
      </c>
      <c r="G526" t="n">
        <v>15.4</v>
      </c>
      <c r="H526" t="n">
        <v>0</v>
      </c>
      <c r="I526" t="n">
        <v>0</v>
      </c>
      <c r="J526" t="n">
        <v>0</v>
      </c>
      <c r="K526" t="n">
        <v>0</v>
      </c>
      <c r="L526" t="n">
        <v>0</v>
      </c>
      <c r="M526" t="n">
        <v>0</v>
      </c>
      <c r="N526" t="n">
        <v>0</v>
      </c>
      <c r="O526" t="n">
        <v>0</v>
      </c>
      <c r="P526" t="n">
        <v>0</v>
      </c>
      <c r="Q526" t="n">
        <v>0</v>
      </c>
      <c r="R526" s="2" t="inlineStr"/>
    </row>
    <row r="527" ht="15" customHeight="1">
      <c r="A527" t="inlineStr">
        <is>
          <t>A 18007-2024</t>
        </is>
      </c>
      <c r="B527" s="1" t="n">
        <v>45419.94912037037</v>
      </c>
      <c r="C527" s="1" t="n">
        <v>45923</v>
      </c>
      <c r="D527" t="inlineStr">
        <is>
          <t>JÄMTLANDS LÄN</t>
        </is>
      </c>
      <c r="E527" t="inlineStr">
        <is>
          <t>BERG</t>
        </is>
      </c>
      <c r="G527" t="n">
        <v>0.7</v>
      </c>
      <c r="H527" t="n">
        <v>0</v>
      </c>
      <c r="I527" t="n">
        <v>0</v>
      </c>
      <c r="J527" t="n">
        <v>0</v>
      </c>
      <c r="K527" t="n">
        <v>0</v>
      </c>
      <c r="L527" t="n">
        <v>0</v>
      </c>
      <c r="M527" t="n">
        <v>0</v>
      </c>
      <c r="N527" t="n">
        <v>0</v>
      </c>
      <c r="O527" t="n">
        <v>0</v>
      </c>
      <c r="P527" t="n">
        <v>0</v>
      </c>
      <c r="Q527" t="n">
        <v>0</v>
      </c>
      <c r="R527" s="2" t="inlineStr"/>
    </row>
    <row r="528" ht="15" customHeight="1">
      <c r="A528" t="inlineStr">
        <is>
          <t>A 27579-2024</t>
        </is>
      </c>
      <c r="B528" s="1" t="n">
        <v>45474.65244212963</v>
      </c>
      <c r="C528" s="1" t="n">
        <v>45923</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17748-2024</t>
        </is>
      </c>
      <c r="B529" s="1" t="n">
        <v>45418</v>
      </c>
      <c r="C529" s="1" t="n">
        <v>45923</v>
      </c>
      <c r="D529" t="inlineStr">
        <is>
          <t>JÄMTLANDS LÄN</t>
        </is>
      </c>
      <c r="E529" t="inlineStr">
        <is>
          <t>BERG</t>
        </is>
      </c>
      <c r="G529" t="n">
        <v>0.9</v>
      </c>
      <c r="H529" t="n">
        <v>0</v>
      </c>
      <c r="I529" t="n">
        <v>0</v>
      </c>
      <c r="J529" t="n">
        <v>0</v>
      </c>
      <c r="K529" t="n">
        <v>0</v>
      </c>
      <c r="L529" t="n">
        <v>0</v>
      </c>
      <c r="M529" t="n">
        <v>0</v>
      </c>
      <c r="N529" t="n">
        <v>0</v>
      </c>
      <c r="O529" t="n">
        <v>0</v>
      </c>
      <c r="P529" t="n">
        <v>0</v>
      </c>
      <c r="Q529" t="n">
        <v>0</v>
      </c>
      <c r="R529" s="2" t="inlineStr"/>
    </row>
    <row r="530" ht="15" customHeight="1">
      <c r="A530" t="inlineStr">
        <is>
          <t>A 47626-2023</t>
        </is>
      </c>
      <c r="B530" s="1" t="n">
        <v>45203</v>
      </c>
      <c r="C530" s="1" t="n">
        <v>45923</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53894-2023</t>
        </is>
      </c>
      <c r="B531" s="1" t="n">
        <v>45231.53321759259</v>
      </c>
      <c r="C531" s="1" t="n">
        <v>45923</v>
      </c>
      <c r="D531" t="inlineStr">
        <is>
          <t>JÄMTLANDS LÄN</t>
        </is>
      </c>
      <c r="E531" t="inlineStr">
        <is>
          <t>BERG</t>
        </is>
      </c>
      <c r="G531" t="n">
        <v>0.5</v>
      </c>
      <c r="H531" t="n">
        <v>0</v>
      </c>
      <c r="I531" t="n">
        <v>0</v>
      </c>
      <c r="J531" t="n">
        <v>0</v>
      </c>
      <c r="K531" t="n">
        <v>0</v>
      </c>
      <c r="L531" t="n">
        <v>0</v>
      </c>
      <c r="M531" t="n">
        <v>0</v>
      </c>
      <c r="N531" t="n">
        <v>0</v>
      </c>
      <c r="O531" t="n">
        <v>0</v>
      </c>
      <c r="P531" t="n">
        <v>0</v>
      </c>
      <c r="Q531" t="n">
        <v>0</v>
      </c>
      <c r="R531" s="2" t="inlineStr"/>
    </row>
    <row r="532" ht="15" customHeight="1">
      <c r="A532" t="inlineStr">
        <is>
          <t>A 6645-2025</t>
        </is>
      </c>
      <c r="B532" s="1" t="n">
        <v>45700.39645833334</v>
      </c>
      <c r="C532" s="1" t="n">
        <v>45923</v>
      </c>
      <c r="D532" t="inlineStr">
        <is>
          <t>JÄMTLANDS LÄN</t>
        </is>
      </c>
      <c r="E532" t="inlineStr">
        <is>
          <t>BERG</t>
        </is>
      </c>
      <c r="G532" t="n">
        <v>2.6</v>
      </c>
      <c r="H532" t="n">
        <v>0</v>
      </c>
      <c r="I532" t="n">
        <v>0</v>
      </c>
      <c r="J532" t="n">
        <v>0</v>
      </c>
      <c r="K532" t="n">
        <v>0</v>
      </c>
      <c r="L532" t="n">
        <v>0</v>
      </c>
      <c r="M532" t="n">
        <v>0</v>
      </c>
      <c r="N532" t="n">
        <v>0</v>
      </c>
      <c r="O532" t="n">
        <v>0</v>
      </c>
      <c r="P532" t="n">
        <v>0</v>
      </c>
      <c r="Q532" t="n">
        <v>0</v>
      </c>
      <c r="R532" s="2" t="inlineStr"/>
    </row>
    <row r="533" ht="15" customHeight="1">
      <c r="A533" t="inlineStr">
        <is>
          <t>A 19258-2025</t>
        </is>
      </c>
      <c r="B533" s="1" t="n">
        <v>45769.49987268518</v>
      </c>
      <c r="C533" s="1" t="n">
        <v>45923</v>
      </c>
      <c r="D533" t="inlineStr">
        <is>
          <t>JÄMTLANDS LÄN</t>
        </is>
      </c>
      <c r="E533" t="inlineStr">
        <is>
          <t>BERG</t>
        </is>
      </c>
      <c r="G533" t="n">
        <v>10.9</v>
      </c>
      <c r="H533" t="n">
        <v>0</v>
      </c>
      <c r="I533" t="n">
        <v>0</v>
      </c>
      <c r="J533" t="n">
        <v>0</v>
      </c>
      <c r="K533" t="n">
        <v>0</v>
      </c>
      <c r="L533" t="n">
        <v>0</v>
      </c>
      <c r="M533" t="n">
        <v>0</v>
      </c>
      <c r="N533" t="n">
        <v>0</v>
      </c>
      <c r="O533" t="n">
        <v>0</v>
      </c>
      <c r="P533" t="n">
        <v>0</v>
      </c>
      <c r="Q533" t="n">
        <v>0</v>
      </c>
      <c r="R533" s="2" t="inlineStr"/>
    </row>
    <row r="534" ht="15" customHeight="1">
      <c r="A534" t="inlineStr">
        <is>
          <t>A 9252-2025</t>
        </is>
      </c>
      <c r="B534" s="1" t="n">
        <v>45714.59415509259</v>
      </c>
      <c r="C534" s="1" t="n">
        <v>45923</v>
      </c>
      <c r="D534" t="inlineStr">
        <is>
          <t>JÄMTLANDS LÄN</t>
        </is>
      </c>
      <c r="E534" t="inlineStr">
        <is>
          <t>BERG</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21717-2023</t>
        </is>
      </c>
      <c r="B535" s="1" t="n">
        <v>45063</v>
      </c>
      <c r="C535" s="1" t="n">
        <v>45923</v>
      </c>
      <c r="D535" t="inlineStr">
        <is>
          <t>JÄMTLANDS LÄN</t>
        </is>
      </c>
      <c r="E535" t="inlineStr">
        <is>
          <t>BERG</t>
        </is>
      </c>
      <c r="G535" t="n">
        <v>6</v>
      </c>
      <c r="H535" t="n">
        <v>0</v>
      </c>
      <c r="I535" t="n">
        <v>0</v>
      </c>
      <c r="J535" t="n">
        <v>0</v>
      </c>
      <c r="K535" t="n">
        <v>0</v>
      </c>
      <c r="L535" t="n">
        <v>0</v>
      </c>
      <c r="M535" t="n">
        <v>0</v>
      </c>
      <c r="N535" t="n">
        <v>0</v>
      </c>
      <c r="O535" t="n">
        <v>0</v>
      </c>
      <c r="P535" t="n">
        <v>0</v>
      </c>
      <c r="Q535" t="n">
        <v>0</v>
      </c>
      <c r="R535" s="2" t="inlineStr"/>
    </row>
    <row r="536" ht="15" customHeight="1">
      <c r="A536" t="inlineStr">
        <is>
          <t>A 10957-2025</t>
        </is>
      </c>
      <c r="B536" s="1" t="n">
        <v>45723.3624537037</v>
      </c>
      <c r="C536" s="1" t="n">
        <v>45923</v>
      </c>
      <c r="D536" t="inlineStr">
        <is>
          <t>JÄMTLANDS LÄN</t>
        </is>
      </c>
      <c r="E536" t="inlineStr">
        <is>
          <t>BERG</t>
        </is>
      </c>
      <c r="G536" t="n">
        <v>5.6</v>
      </c>
      <c r="H536" t="n">
        <v>0</v>
      </c>
      <c r="I536" t="n">
        <v>0</v>
      </c>
      <c r="J536" t="n">
        <v>0</v>
      </c>
      <c r="K536" t="n">
        <v>0</v>
      </c>
      <c r="L536" t="n">
        <v>0</v>
      </c>
      <c r="M536" t="n">
        <v>0</v>
      </c>
      <c r="N536" t="n">
        <v>0</v>
      </c>
      <c r="O536" t="n">
        <v>0</v>
      </c>
      <c r="P536" t="n">
        <v>0</v>
      </c>
      <c r="Q536" t="n">
        <v>0</v>
      </c>
      <c r="R536" s="2" t="inlineStr"/>
    </row>
    <row r="537" ht="15" customHeight="1">
      <c r="A537" t="inlineStr">
        <is>
          <t>A 10974-2025</t>
        </is>
      </c>
      <c r="B537" s="1" t="n">
        <v>45723.38790509259</v>
      </c>
      <c r="C537" s="1" t="n">
        <v>45923</v>
      </c>
      <c r="D537" t="inlineStr">
        <is>
          <t>JÄMTLANDS LÄN</t>
        </is>
      </c>
      <c r="E537" t="inlineStr">
        <is>
          <t>BERG</t>
        </is>
      </c>
      <c r="G537" t="n">
        <v>6.9</v>
      </c>
      <c r="H537" t="n">
        <v>0</v>
      </c>
      <c r="I537" t="n">
        <v>0</v>
      </c>
      <c r="J537" t="n">
        <v>0</v>
      </c>
      <c r="K537" t="n">
        <v>0</v>
      </c>
      <c r="L537" t="n">
        <v>0</v>
      </c>
      <c r="M537" t="n">
        <v>0</v>
      </c>
      <c r="N537" t="n">
        <v>0</v>
      </c>
      <c r="O537" t="n">
        <v>0</v>
      </c>
      <c r="P537" t="n">
        <v>0</v>
      </c>
      <c r="Q537" t="n">
        <v>0</v>
      </c>
      <c r="R537" s="2" t="inlineStr"/>
    </row>
    <row r="538" ht="15" customHeight="1">
      <c r="A538" t="inlineStr">
        <is>
          <t>A 46858-2023</t>
        </is>
      </c>
      <c r="B538" s="1" t="n">
        <v>45199.97042824074</v>
      </c>
      <c r="C538" s="1" t="n">
        <v>45923</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44825.60015046296</v>
      </c>
      <c r="C539" s="1" t="n">
        <v>45923</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53902-2020</t>
        </is>
      </c>
      <c r="B540" s="1" t="n">
        <v>44123</v>
      </c>
      <c r="C540" s="1" t="n">
        <v>45923</v>
      </c>
      <c r="D540" t="inlineStr">
        <is>
          <t>JÄMTLANDS LÄN</t>
        </is>
      </c>
      <c r="E540" t="inlineStr">
        <is>
          <t>BERG</t>
        </is>
      </c>
      <c r="G540" t="n">
        <v>22.5</v>
      </c>
      <c r="H540" t="n">
        <v>0</v>
      </c>
      <c r="I540" t="n">
        <v>0</v>
      </c>
      <c r="J540" t="n">
        <v>0</v>
      </c>
      <c r="K540" t="n">
        <v>0</v>
      </c>
      <c r="L540" t="n">
        <v>0</v>
      </c>
      <c r="M540" t="n">
        <v>0</v>
      </c>
      <c r="N540" t="n">
        <v>0</v>
      </c>
      <c r="O540" t="n">
        <v>0</v>
      </c>
      <c r="P540" t="n">
        <v>0</v>
      </c>
      <c r="Q540" t="n">
        <v>0</v>
      </c>
      <c r="R540" s="2" t="inlineStr"/>
    </row>
    <row r="541" ht="15" customHeight="1">
      <c r="A541" t="inlineStr">
        <is>
          <t>A 49225-2024</t>
        </is>
      </c>
      <c r="B541" s="1" t="n">
        <v>45595.4177662037</v>
      </c>
      <c r="C541" s="1" t="n">
        <v>45923</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25565-2023</t>
        </is>
      </c>
      <c r="B542" s="1" t="n">
        <v>45082</v>
      </c>
      <c r="C542" s="1" t="n">
        <v>45923</v>
      </c>
      <c r="D542" t="inlineStr">
        <is>
          <t>JÄMTLANDS LÄN</t>
        </is>
      </c>
      <c r="E542" t="inlineStr">
        <is>
          <t>BERG</t>
        </is>
      </c>
      <c r="G542" t="n">
        <v>3.1</v>
      </c>
      <c r="H542" t="n">
        <v>0</v>
      </c>
      <c r="I542" t="n">
        <v>0</v>
      </c>
      <c r="J542" t="n">
        <v>0</v>
      </c>
      <c r="K542" t="n">
        <v>0</v>
      </c>
      <c r="L542" t="n">
        <v>0</v>
      </c>
      <c r="M542" t="n">
        <v>0</v>
      </c>
      <c r="N542" t="n">
        <v>0</v>
      </c>
      <c r="O542" t="n">
        <v>0</v>
      </c>
      <c r="P542" t="n">
        <v>0</v>
      </c>
      <c r="Q542" t="n">
        <v>0</v>
      </c>
      <c r="R542" s="2" t="inlineStr"/>
    </row>
    <row r="543" ht="15" customHeight="1">
      <c r="A543" t="inlineStr">
        <is>
          <t>A 51951-2021</t>
        </is>
      </c>
      <c r="B543" s="1" t="n">
        <v>44462</v>
      </c>
      <c r="C543" s="1" t="n">
        <v>45923</v>
      </c>
      <c r="D543" t="inlineStr">
        <is>
          <t>JÄMTLANDS LÄN</t>
        </is>
      </c>
      <c r="E543" t="inlineStr">
        <is>
          <t>BERG</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18261-2022</t>
        </is>
      </c>
      <c r="B544" s="1" t="n">
        <v>44685.45633101852</v>
      </c>
      <c r="C544" s="1" t="n">
        <v>45923</v>
      </c>
      <c r="D544" t="inlineStr">
        <is>
          <t>JÄMTLANDS LÄN</t>
        </is>
      </c>
      <c r="E544" t="inlineStr">
        <is>
          <t>BERG</t>
        </is>
      </c>
      <c r="G544" t="n">
        <v>3</v>
      </c>
      <c r="H544" t="n">
        <v>0</v>
      </c>
      <c r="I544" t="n">
        <v>0</v>
      </c>
      <c r="J544" t="n">
        <v>0</v>
      </c>
      <c r="K544" t="n">
        <v>0</v>
      </c>
      <c r="L544" t="n">
        <v>0</v>
      </c>
      <c r="M544" t="n">
        <v>0</v>
      </c>
      <c r="N544" t="n">
        <v>0</v>
      </c>
      <c r="O544" t="n">
        <v>0</v>
      </c>
      <c r="P544" t="n">
        <v>0</v>
      </c>
      <c r="Q544" t="n">
        <v>0</v>
      </c>
      <c r="R544" s="2" t="inlineStr"/>
    </row>
    <row r="545" ht="15" customHeight="1">
      <c r="A545" t="inlineStr">
        <is>
          <t>A 16022-2025</t>
        </is>
      </c>
      <c r="B545" s="1" t="n">
        <v>45749.60973379629</v>
      </c>
      <c r="C545" s="1" t="n">
        <v>45923</v>
      </c>
      <c r="D545" t="inlineStr">
        <is>
          <t>JÄMTLANDS LÄN</t>
        </is>
      </c>
      <c r="E545" t="inlineStr">
        <is>
          <t>BERG</t>
        </is>
      </c>
      <c r="G545" t="n">
        <v>2</v>
      </c>
      <c r="H545" t="n">
        <v>0</v>
      </c>
      <c r="I545" t="n">
        <v>0</v>
      </c>
      <c r="J545" t="n">
        <v>0</v>
      </c>
      <c r="K545" t="n">
        <v>0</v>
      </c>
      <c r="L545" t="n">
        <v>0</v>
      </c>
      <c r="M545" t="n">
        <v>0</v>
      </c>
      <c r="N545" t="n">
        <v>0</v>
      </c>
      <c r="O545" t="n">
        <v>0</v>
      </c>
      <c r="P545" t="n">
        <v>0</v>
      </c>
      <c r="Q545" t="n">
        <v>0</v>
      </c>
      <c r="R545" s="2" t="inlineStr"/>
    </row>
    <row r="546" ht="15" customHeight="1">
      <c r="A546" t="inlineStr">
        <is>
          <t>A 61837-2023</t>
        </is>
      </c>
      <c r="B546" s="1" t="n">
        <v>45264</v>
      </c>
      <c r="C546" s="1" t="n">
        <v>45923</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56226-2024</t>
        </is>
      </c>
      <c r="B547" s="1" t="n">
        <v>45624.61572916667</v>
      </c>
      <c r="C547" s="1" t="n">
        <v>45923</v>
      </c>
      <c r="D547" t="inlineStr">
        <is>
          <t>JÄMTLANDS LÄN</t>
        </is>
      </c>
      <c r="E547" t="inlineStr">
        <is>
          <t>BERG</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54863-2023</t>
        </is>
      </c>
      <c r="B548" s="1" t="n">
        <v>45236</v>
      </c>
      <c r="C548" s="1" t="n">
        <v>45923</v>
      </c>
      <c r="D548" t="inlineStr">
        <is>
          <t>JÄMTLANDS LÄN</t>
        </is>
      </c>
      <c r="E548" t="inlineStr">
        <is>
          <t>BERG</t>
        </is>
      </c>
      <c r="G548" t="n">
        <v>3.3</v>
      </c>
      <c r="H548" t="n">
        <v>0</v>
      </c>
      <c r="I548" t="n">
        <v>0</v>
      </c>
      <c r="J548" t="n">
        <v>0</v>
      </c>
      <c r="K548" t="n">
        <v>0</v>
      </c>
      <c r="L548" t="n">
        <v>0</v>
      </c>
      <c r="M548" t="n">
        <v>0</v>
      </c>
      <c r="N548" t="n">
        <v>0</v>
      </c>
      <c r="O548" t="n">
        <v>0</v>
      </c>
      <c r="P548" t="n">
        <v>0</v>
      </c>
      <c r="Q548" t="n">
        <v>0</v>
      </c>
      <c r="R548" s="2" t="inlineStr"/>
    </row>
    <row r="549" ht="15" customHeight="1">
      <c r="A549" t="inlineStr">
        <is>
          <t>A 48663-2023</t>
        </is>
      </c>
      <c r="B549" s="1" t="n">
        <v>45202</v>
      </c>
      <c r="C549" s="1" t="n">
        <v>45923</v>
      </c>
      <c r="D549" t="inlineStr">
        <is>
          <t>JÄMTLANDS LÄN</t>
        </is>
      </c>
      <c r="E549" t="inlineStr">
        <is>
          <t>BERG</t>
        </is>
      </c>
      <c r="G549" t="n">
        <v>1.6</v>
      </c>
      <c r="H549" t="n">
        <v>0</v>
      </c>
      <c r="I549" t="n">
        <v>0</v>
      </c>
      <c r="J549" t="n">
        <v>0</v>
      </c>
      <c r="K549" t="n">
        <v>0</v>
      </c>
      <c r="L549" t="n">
        <v>0</v>
      </c>
      <c r="M549" t="n">
        <v>0</v>
      </c>
      <c r="N549" t="n">
        <v>0</v>
      </c>
      <c r="O549" t="n">
        <v>0</v>
      </c>
      <c r="P549" t="n">
        <v>0</v>
      </c>
      <c r="Q549" t="n">
        <v>0</v>
      </c>
      <c r="R549" s="2" t="inlineStr"/>
    </row>
    <row r="550" ht="15" customHeight="1">
      <c r="A550" t="inlineStr">
        <is>
          <t>A 20899-2023</t>
        </is>
      </c>
      <c r="B550" s="1" t="n">
        <v>45060</v>
      </c>
      <c r="C550" s="1" t="n">
        <v>45923</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4476-2025</t>
        </is>
      </c>
      <c r="B551" s="1" t="n">
        <v>45686.62828703703</v>
      </c>
      <c r="C551" s="1" t="n">
        <v>45923</v>
      </c>
      <c r="D551" t="inlineStr">
        <is>
          <t>JÄMTLANDS LÄN</t>
        </is>
      </c>
      <c r="E551" t="inlineStr">
        <is>
          <t>BERG</t>
        </is>
      </c>
      <c r="G551" t="n">
        <v>1.3</v>
      </c>
      <c r="H551" t="n">
        <v>0</v>
      </c>
      <c r="I551" t="n">
        <v>0</v>
      </c>
      <c r="J551" t="n">
        <v>0</v>
      </c>
      <c r="K551" t="n">
        <v>0</v>
      </c>
      <c r="L551" t="n">
        <v>0</v>
      </c>
      <c r="M551" t="n">
        <v>0</v>
      </c>
      <c r="N551" t="n">
        <v>0</v>
      </c>
      <c r="O551" t="n">
        <v>0</v>
      </c>
      <c r="P551" t="n">
        <v>0</v>
      </c>
      <c r="Q551" t="n">
        <v>0</v>
      </c>
      <c r="R551" s="2" t="inlineStr"/>
    </row>
    <row r="552" ht="15" customHeight="1">
      <c r="A552" t="inlineStr">
        <is>
          <t>A 35792-2024</t>
        </is>
      </c>
      <c r="B552" s="1" t="n">
        <v>45532.62950231481</v>
      </c>
      <c r="C552" s="1" t="n">
        <v>45923</v>
      </c>
      <c r="D552" t="inlineStr">
        <is>
          <t>JÄMTLANDS LÄN</t>
        </is>
      </c>
      <c r="E552" t="inlineStr">
        <is>
          <t>BERG</t>
        </is>
      </c>
      <c r="F552" t="inlineStr">
        <is>
          <t>SCA</t>
        </is>
      </c>
      <c r="G552" t="n">
        <v>6.7</v>
      </c>
      <c r="H552" t="n">
        <v>0</v>
      </c>
      <c r="I552" t="n">
        <v>0</v>
      </c>
      <c r="J552" t="n">
        <v>0</v>
      </c>
      <c r="K552" t="n">
        <v>0</v>
      </c>
      <c r="L552" t="n">
        <v>0</v>
      </c>
      <c r="M552" t="n">
        <v>0</v>
      </c>
      <c r="N552" t="n">
        <v>0</v>
      </c>
      <c r="O552" t="n">
        <v>0</v>
      </c>
      <c r="P552" t="n">
        <v>0</v>
      </c>
      <c r="Q552" t="n">
        <v>0</v>
      </c>
      <c r="R552" s="2" t="inlineStr"/>
    </row>
    <row r="553" ht="15" customHeight="1">
      <c r="A553" t="inlineStr">
        <is>
          <t>A 7744-2024</t>
        </is>
      </c>
      <c r="B553" s="1" t="n">
        <v>45349</v>
      </c>
      <c r="C553" s="1" t="n">
        <v>45923</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21521-2024</t>
        </is>
      </c>
      <c r="B554" s="1" t="n">
        <v>45441.58313657407</v>
      </c>
      <c r="C554" s="1" t="n">
        <v>45923</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40990-2022</t>
        </is>
      </c>
      <c r="B555" s="1" t="n">
        <v>44823</v>
      </c>
      <c r="C555" s="1" t="n">
        <v>45923</v>
      </c>
      <c r="D555" t="inlineStr">
        <is>
          <t>JÄMTLANDS LÄN</t>
        </is>
      </c>
      <c r="E555" t="inlineStr">
        <is>
          <t>BERG</t>
        </is>
      </c>
      <c r="G555" t="n">
        <v>11.7</v>
      </c>
      <c r="H555" t="n">
        <v>0</v>
      </c>
      <c r="I555" t="n">
        <v>0</v>
      </c>
      <c r="J555" t="n">
        <v>0</v>
      </c>
      <c r="K555" t="n">
        <v>0</v>
      </c>
      <c r="L555" t="n">
        <v>0</v>
      </c>
      <c r="M555" t="n">
        <v>0</v>
      </c>
      <c r="N555" t="n">
        <v>0</v>
      </c>
      <c r="O555" t="n">
        <v>0</v>
      </c>
      <c r="P555" t="n">
        <v>0</v>
      </c>
      <c r="Q555" t="n">
        <v>0</v>
      </c>
      <c r="R555" s="2" t="inlineStr"/>
    </row>
    <row r="556" ht="15" customHeight="1">
      <c r="A556" t="inlineStr">
        <is>
          <t>A 44110-2022</t>
        </is>
      </c>
      <c r="B556" s="1" t="n">
        <v>44837</v>
      </c>
      <c r="C556" s="1" t="n">
        <v>45923</v>
      </c>
      <c r="D556" t="inlineStr">
        <is>
          <t>JÄMTLANDS LÄN</t>
        </is>
      </c>
      <c r="E556" t="inlineStr">
        <is>
          <t>BERG</t>
        </is>
      </c>
      <c r="G556" t="n">
        <v>1.9</v>
      </c>
      <c r="H556" t="n">
        <v>0</v>
      </c>
      <c r="I556" t="n">
        <v>0</v>
      </c>
      <c r="J556" t="n">
        <v>0</v>
      </c>
      <c r="K556" t="n">
        <v>0</v>
      </c>
      <c r="L556" t="n">
        <v>0</v>
      </c>
      <c r="M556" t="n">
        <v>0</v>
      </c>
      <c r="N556" t="n">
        <v>0</v>
      </c>
      <c r="O556" t="n">
        <v>0</v>
      </c>
      <c r="P556" t="n">
        <v>0</v>
      </c>
      <c r="Q556" t="n">
        <v>0</v>
      </c>
      <c r="R556" s="2" t="inlineStr"/>
    </row>
    <row r="557" ht="15" customHeight="1">
      <c r="A557" t="inlineStr">
        <is>
          <t>A 8733-2024</t>
        </is>
      </c>
      <c r="B557" s="1" t="n">
        <v>45355</v>
      </c>
      <c r="C557" s="1" t="n">
        <v>45923</v>
      </c>
      <c r="D557" t="inlineStr">
        <is>
          <t>JÄMTLANDS LÄN</t>
        </is>
      </c>
      <c r="E557" t="inlineStr">
        <is>
          <t>BERG</t>
        </is>
      </c>
      <c r="G557" t="n">
        <v>1.9</v>
      </c>
      <c r="H557" t="n">
        <v>0</v>
      </c>
      <c r="I557" t="n">
        <v>0</v>
      </c>
      <c r="J557" t="n">
        <v>0</v>
      </c>
      <c r="K557" t="n">
        <v>0</v>
      </c>
      <c r="L557" t="n">
        <v>0</v>
      </c>
      <c r="M557" t="n">
        <v>0</v>
      </c>
      <c r="N557" t="n">
        <v>0</v>
      </c>
      <c r="O557" t="n">
        <v>0</v>
      </c>
      <c r="P557" t="n">
        <v>0</v>
      </c>
      <c r="Q557" t="n">
        <v>0</v>
      </c>
      <c r="R557" s="2" t="inlineStr"/>
    </row>
    <row r="558" ht="15" customHeight="1">
      <c r="A558" t="inlineStr">
        <is>
          <t>A 10230-2024</t>
        </is>
      </c>
      <c r="B558" s="1" t="n">
        <v>45365.31883101852</v>
      </c>
      <c r="C558" s="1" t="n">
        <v>45923</v>
      </c>
      <c r="D558" t="inlineStr">
        <is>
          <t>JÄMTLANDS LÄN</t>
        </is>
      </c>
      <c r="E558" t="inlineStr">
        <is>
          <t>BERG</t>
        </is>
      </c>
      <c r="G558" t="n">
        <v>6.3</v>
      </c>
      <c r="H558" t="n">
        <v>0</v>
      </c>
      <c r="I558" t="n">
        <v>0</v>
      </c>
      <c r="J558" t="n">
        <v>0</v>
      </c>
      <c r="K558" t="n">
        <v>0</v>
      </c>
      <c r="L558" t="n">
        <v>0</v>
      </c>
      <c r="M558" t="n">
        <v>0</v>
      </c>
      <c r="N558" t="n">
        <v>0</v>
      </c>
      <c r="O558" t="n">
        <v>0</v>
      </c>
      <c r="P558" t="n">
        <v>0</v>
      </c>
      <c r="Q558" t="n">
        <v>0</v>
      </c>
      <c r="R558" s="2" t="inlineStr"/>
    </row>
    <row r="559" ht="15" customHeight="1">
      <c r="A559" t="inlineStr">
        <is>
          <t>A 49277-2024</t>
        </is>
      </c>
      <c r="B559" s="1" t="n">
        <v>45595.50820601852</v>
      </c>
      <c r="C559" s="1" t="n">
        <v>45923</v>
      </c>
      <c r="D559" t="inlineStr">
        <is>
          <t>JÄMTLANDS LÄN</t>
        </is>
      </c>
      <c r="E559" t="inlineStr">
        <is>
          <t>BERG</t>
        </is>
      </c>
      <c r="G559" t="n">
        <v>1.3</v>
      </c>
      <c r="H559" t="n">
        <v>0</v>
      </c>
      <c r="I559" t="n">
        <v>0</v>
      </c>
      <c r="J559" t="n">
        <v>0</v>
      </c>
      <c r="K559" t="n">
        <v>0</v>
      </c>
      <c r="L559" t="n">
        <v>0</v>
      </c>
      <c r="M559" t="n">
        <v>0</v>
      </c>
      <c r="N559" t="n">
        <v>0</v>
      </c>
      <c r="O559" t="n">
        <v>0</v>
      </c>
      <c r="P559" t="n">
        <v>0</v>
      </c>
      <c r="Q559" t="n">
        <v>0</v>
      </c>
      <c r="R559" s="2" t="inlineStr"/>
    </row>
    <row r="560" ht="15" customHeight="1">
      <c r="A560" t="inlineStr">
        <is>
          <t>A 60331-2023</t>
        </is>
      </c>
      <c r="B560" s="1" t="n">
        <v>45258</v>
      </c>
      <c r="C560" s="1" t="n">
        <v>45923</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18752-2024</t>
        </is>
      </c>
      <c r="B561" s="1" t="n">
        <v>45426.54224537037</v>
      </c>
      <c r="C561" s="1" t="n">
        <v>45923</v>
      </c>
      <c r="D561" t="inlineStr">
        <is>
          <t>JÄMTLANDS LÄN</t>
        </is>
      </c>
      <c r="E561" t="inlineStr">
        <is>
          <t>BERG</t>
        </is>
      </c>
      <c r="G561" t="n">
        <v>0.7</v>
      </c>
      <c r="H561" t="n">
        <v>0</v>
      </c>
      <c r="I561" t="n">
        <v>0</v>
      </c>
      <c r="J561" t="n">
        <v>0</v>
      </c>
      <c r="K561" t="n">
        <v>0</v>
      </c>
      <c r="L561" t="n">
        <v>0</v>
      </c>
      <c r="M561" t="n">
        <v>0</v>
      </c>
      <c r="N561" t="n">
        <v>0</v>
      </c>
      <c r="O561" t="n">
        <v>0</v>
      </c>
      <c r="P561" t="n">
        <v>0</v>
      </c>
      <c r="Q561" t="n">
        <v>0</v>
      </c>
      <c r="R561" s="2" t="inlineStr"/>
    </row>
    <row r="562" ht="15" customHeight="1">
      <c r="A562" t="inlineStr">
        <is>
          <t>A 34601-2024</t>
        </is>
      </c>
      <c r="B562" s="1" t="n">
        <v>45526.4034375</v>
      </c>
      <c r="C562" s="1" t="n">
        <v>45923</v>
      </c>
      <c r="D562" t="inlineStr">
        <is>
          <t>JÄMTLANDS LÄN</t>
        </is>
      </c>
      <c r="E562" t="inlineStr">
        <is>
          <t>BERG</t>
        </is>
      </c>
      <c r="G562" t="n">
        <v>0.6</v>
      </c>
      <c r="H562" t="n">
        <v>0</v>
      </c>
      <c r="I562" t="n">
        <v>0</v>
      </c>
      <c r="J562" t="n">
        <v>0</v>
      </c>
      <c r="K562" t="n">
        <v>0</v>
      </c>
      <c r="L562" t="n">
        <v>0</v>
      </c>
      <c r="M562" t="n">
        <v>0</v>
      </c>
      <c r="N562" t="n">
        <v>0</v>
      </c>
      <c r="O562" t="n">
        <v>0</v>
      </c>
      <c r="P562" t="n">
        <v>0</v>
      </c>
      <c r="Q562" t="n">
        <v>0</v>
      </c>
      <c r="R562" s="2" t="inlineStr"/>
    </row>
    <row r="563" ht="15" customHeight="1">
      <c r="A563" t="inlineStr">
        <is>
          <t>A 36287-2024</t>
        </is>
      </c>
      <c r="B563" s="1" t="n">
        <v>45534</v>
      </c>
      <c r="C563" s="1" t="n">
        <v>45923</v>
      </c>
      <c r="D563" t="inlineStr">
        <is>
          <t>JÄMTLANDS LÄN</t>
        </is>
      </c>
      <c r="E563" t="inlineStr">
        <is>
          <t>BERG</t>
        </is>
      </c>
      <c r="F563" t="inlineStr">
        <is>
          <t>Kyrkan</t>
        </is>
      </c>
      <c r="G563" t="n">
        <v>0.8</v>
      </c>
      <c r="H563" t="n">
        <v>0</v>
      </c>
      <c r="I563" t="n">
        <v>0</v>
      </c>
      <c r="J563" t="n">
        <v>0</v>
      </c>
      <c r="K563" t="n">
        <v>0</v>
      </c>
      <c r="L563" t="n">
        <v>0</v>
      </c>
      <c r="M563" t="n">
        <v>0</v>
      </c>
      <c r="N563" t="n">
        <v>0</v>
      </c>
      <c r="O563" t="n">
        <v>0</v>
      </c>
      <c r="P563" t="n">
        <v>0</v>
      </c>
      <c r="Q563" t="n">
        <v>0</v>
      </c>
      <c r="R563" s="2" t="inlineStr"/>
    </row>
    <row r="564" ht="15" customHeight="1">
      <c r="A564" t="inlineStr">
        <is>
          <t>A 33481-2023</t>
        </is>
      </c>
      <c r="B564" s="1" t="n">
        <v>45131</v>
      </c>
      <c r="C564" s="1" t="n">
        <v>45923</v>
      </c>
      <c r="D564" t="inlineStr">
        <is>
          <t>JÄMTLANDS LÄN</t>
        </is>
      </c>
      <c r="E564" t="inlineStr">
        <is>
          <t>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64486-2023</t>
        </is>
      </c>
      <c r="B565" s="1" t="n">
        <v>45280</v>
      </c>
      <c r="C565" s="1" t="n">
        <v>45923</v>
      </c>
      <c r="D565" t="inlineStr">
        <is>
          <t>JÄMTLANDS LÄN</t>
        </is>
      </c>
      <c r="E565" t="inlineStr">
        <is>
          <t>BERG</t>
        </is>
      </c>
      <c r="G565" t="n">
        <v>2</v>
      </c>
      <c r="H565" t="n">
        <v>0</v>
      </c>
      <c r="I565" t="n">
        <v>0</v>
      </c>
      <c r="J565" t="n">
        <v>0</v>
      </c>
      <c r="K565" t="n">
        <v>0</v>
      </c>
      <c r="L565" t="n">
        <v>0</v>
      </c>
      <c r="M565" t="n">
        <v>0</v>
      </c>
      <c r="N565" t="n">
        <v>0</v>
      </c>
      <c r="O565" t="n">
        <v>0</v>
      </c>
      <c r="P565" t="n">
        <v>0</v>
      </c>
      <c r="Q565" t="n">
        <v>0</v>
      </c>
      <c r="R565" s="2" t="inlineStr"/>
    </row>
    <row r="566" ht="15" customHeight="1">
      <c r="A566" t="inlineStr">
        <is>
          <t>A 64488-2023</t>
        </is>
      </c>
      <c r="B566" s="1" t="n">
        <v>45280.92618055556</v>
      </c>
      <c r="C566" s="1" t="n">
        <v>45923</v>
      </c>
      <c r="D566" t="inlineStr">
        <is>
          <t>JÄMTLANDS LÄN</t>
        </is>
      </c>
      <c r="E566" t="inlineStr">
        <is>
          <t>BERG</t>
        </is>
      </c>
      <c r="F566" t="inlineStr">
        <is>
          <t>Övriga Aktiebolag</t>
        </is>
      </c>
      <c r="G566" t="n">
        <v>7.1</v>
      </c>
      <c r="H566" t="n">
        <v>0</v>
      </c>
      <c r="I566" t="n">
        <v>0</v>
      </c>
      <c r="J566" t="n">
        <v>0</v>
      </c>
      <c r="K566" t="n">
        <v>0</v>
      </c>
      <c r="L566" t="n">
        <v>0</v>
      </c>
      <c r="M566" t="n">
        <v>0</v>
      </c>
      <c r="N566" t="n">
        <v>0</v>
      </c>
      <c r="O566" t="n">
        <v>0</v>
      </c>
      <c r="P566" t="n">
        <v>0</v>
      </c>
      <c r="Q566" t="n">
        <v>0</v>
      </c>
      <c r="R566" s="2" t="inlineStr"/>
    </row>
    <row r="567" ht="15" customHeight="1">
      <c r="A567" t="inlineStr">
        <is>
          <t>A 13524-2024</t>
        </is>
      </c>
      <c r="B567" s="1" t="n">
        <v>45387.78174768519</v>
      </c>
      <c r="C567" s="1" t="n">
        <v>45923</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8065-2024</t>
        </is>
      </c>
      <c r="B568" s="1" t="n">
        <v>45351.40697916667</v>
      </c>
      <c r="C568" s="1" t="n">
        <v>45923</v>
      </c>
      <c r="D568" t="inlineStr">
        <is>
          <t>JÄMTLANDS LÄN</t>
        </is>
      </c>
      <c r="E568" t="inlineStr">
        <is>
          <t>BERG</t>
        </is>
      </c>
      <c r="G568" t="n">
        <v>6.9</v>
      </c>
      <c r="H568" t="n">
        <v>0</v>
      </c>
      <c r="I568" t="n">
        <v>0</v>
      </c>
      <c r="J568" t="n">
        <v>0</v>
      </c>
      <c r="K568" t="n">
        <v>0</v>
      </c>
      <c r="L568" t="n">
        <v>0</v>
      </c>
      <c r="M568" t="n">
        <v>0</v>
      </c>
      <c r="N568" t="n">
        <v>0</v>
      </c>
      <c r="O568" t="n">
        <v>0</v>
      </c>
      <c r="P568" t="n">
        <v>0</v>
      </c>
      <c r="Q568" t="n">
        <v>0</v>
      </c>
      <c r="R568" s="2" t="inlineStr"/>
    </row>
    <row r="569" ht="15" customHeight="1">
      <c r="A569" t="inlineStr">
        <is>
          <t>A 16247-2024</t>
        </is>
      </c>
      <c r="B569" s="1" t="n">
        <v>45407.05797453703</v>
      </c>
      <c r="C569" s="1" t="n">
        <v>45923</v>
      </c>
      <c r="D569" t="inlineStr">
        <is>
          <t>JÄMTLANDS LÄN</t>
        </is>
      </c>
      <c r="E569" t="inlineStr">
        <is>
          <t>BERG</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25306-2023</t>
        </is>
      </c>
      <c r="B570" s="1" t="n">
        <v>45086</v>
      </c>
      <c r="C570" s="1" t="n">
        <v>45923</v>
      </c>
      <c r="D570" t="inlineStr">
        <is>
          <t>JÄMTLANDS LÄN</t>
        </is>
      </c>
      <c r="E570" t="inlineStr">
        <is>
          <t>BERG</t>
        </is>
      </c>
      <c r="G570" t="n">
        <v>23.3</v>
      </c>
      <c r="H570" t="n">
        <v>0</v>
      </c>
      <c r="I570" t="n">
        <v>0</v>
      </c>
      <c r="J570" t="n">
        <v>0</v>
      </c>
      <c r="K570" t="n">
        <v>0</v>
      </c>
      <c r="L570" t="n">
        <v>0</v>
      </c>
      <c r="M570" t="n">
        <v>0</v>
      </c>
      <c r="N570" t="n">
        <v>0</v>
      </c>
      <c r="O570" t="n">
        <v>0</v>
      </c>
      <c r="P570" t="n">
        <v>0</v>
      </c>
      <c r="Q570" t="n">
        <v>0</v>
      </c>
      <c r="R570" s="2" t="inlineStr"/>
    </row>
    <row r="571" ht="15" customHeight="1">
      <c r="A571" t="inlineStr">
        <is>
          <t>A 29581-2024</t>
        </is>
      </c>
      <c r="B571" s="1" t="n">
        <v>45484.5740162037</v>
      </c>
      <c r="C571" s="1" t="n">
        <v>45923</v>
      </c>
      <c r="D571" t="inlineStr">
        <is>
          <t>JÄMTLANDS LÄN</t>
        </is>
      </c>
      <c r="E571" t="inlineStr">
        <is>
          <t>BERG</t>
        </is>
      </c>
      <c r="G571" t="n">
        <v>16.7</v>
      </c>
      <c r="H571" t="n">
        <v>0</v>
      </c>
      <c r="I571" t="n">
        <v>0</v>
      </c>
      <c r="J571" t="n">
        <v>0</v>
      </c>
      <c r="K571" t="n">
        <v>0</v>
      </c>
      <c r="L571" t="n">
        <v>0</v>
      </c>
      <c r="M571" t="n">
        <v>0</v>
      </c>
      <c r="N571" t="n">
        <v>0</v>
      </c>
      <c r="O571" t="n">
        <v>0</v>
      </c>
      <c r="P571" t="n">
        <v>0</v>
      </c>
      <c r="Q571" t="n">
        <v>0</v>
      </c>
      <c r="R571" s="2" t="inlineStr"/>
    </row>
    <row r="572" ht="15" customHeight="1">
      <c r="A572" t="inlineStr">
        <is>
          <t>A 14594-2025</t>
        </is>
      </c>
      <c r="B572" s="1" t="n">
        <v>45742.34414351852</v>
      </c>
      <c r="C572" s="1" t="n">
        <v>45923</v>
      </c>
      <c r="D572" t="inlineStr">
        <is>
          <t>JÄMTLANDS LÄN</t>
        </is>
      </c>
      <c r="E572" t="inlineStr">
        <is>
          <t>BERG</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14596-2025</t>
        </is>
      </c>
      <c r="B573" s="1" t="n">
        <v>45742.34449074074</v>
      </c>
      <c r="C573" s="1" t="n">
        <v>45923</v>
      </c>
      <c r="D573" t="inlineStr">
        <is>
          <t>JÄMTLANDS LÄN</t>
        </is>
      </c>
      <c r="E573" t="inlineStr">
        <is>
          <t>BERG</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5644-2025</t>
        </is>
      </c>
      <c r="B574" s="1" t="n">
        <v>45693.6833449074</v>
      </c>
      <c r="C574" s="1" t="n">
        <v>45923</v>
      </c>
      <c r="D574" t="inlineStr">
        <is>
          <t>JÄMTLANDS LÄN</t>
        </is>
      </c>
      <c r="E574" t="inlineStr">
        <is>
          <t>BERG</t>
        </is>
      </c>
      <c r="G574" t="n">
        <v>2.1</v>
      </c>
      <c r="H574" t="n">
        <v>0</v>
      </c>
      <c r="I574" t="n">
        <v>0</v>
      </c>
      <c r="J574" t="n">
        <v>0</v>
      </c>
      <c r="K574" t="n">
        <v>0</v>
      </c>
      <c r="L574" t="n">
        <v>0</v>
      </c>
      <c r="M574" t="n">
        <v>0</v>
      </c>
      <c r="N574" t="n">
        <v>0</v>
      </c>
      <c r="O574" t="n">
        <v>0</v>
      </c>
      <c r="P574" t="n">
        <v>0</v>
      </c>
      <c r="Q574" t="n">
        <v>0</v>
      </c>
      <c r="R574" s="2" t="inlineStr"/>
    </row>
    <row r="575" ht="15" customHeight="1">
      <c r="A575" t="inlineStr">
        <is>
          <t>A 60076-2024</t>
        </is>
      </c>
      <c r="B575" s="1" t="n">
        <v>45642.53166666667</v>
      </c>
      <c r="C575" s="1" t="n">
        <v>45923</v>
      </c>
      <c r="D575" t="inlineStr">
        <is>
          <t>JÄMTLANDS LÄN</t>
        </is>
      </c>
      <c r="E575" t="inlineStr">
        <is>
          <t>BERG</t>
        </is>
      </c>
      <c r="G575" t="n">
        <v>1.1</v>
      </c>
      <c r="H575" t="n">
        <v>0</v>
      </c>
      <c r="I575" t="n">
        <v>0</v>
      </c>
      <c r="J575" t="n">
        <v>0</v>
      </c>
      <c r="K575" t="n">
        <v>0</v>
      </c>
      <c r="L575" t="n">
        <v>0</v>
      </c>
      <c r="M575" t="n">
        <v>0</v>
      </c>
      <c r="N575" t="n">
        <v>0</v>
      </c>
      <c r="O575" t="n">
        <v>0</v>
      </c>
      <c r="P575" t="n">
        <v>0</v>
      </c>
      <c r="Q575" t="n">
        <v>0</v>
      </c>
      <c r="R575" s="2" t="inlineStr"/>
    </row>
    <row r="576" ht="15" customHeight="1">
      <c r="A576" t="inlineStr">
        <is>
          <t>A 8238-2024</t>
        </is>
      </c>
      <c r="B576" s="1" t="n">
        <v>45351.98450231482</v>
      </c>
      <c r="C576" s="1" t="n">
        <v>45923</v>
      </c>
      <c r="D576" t="inlineStr">
        <is>
          <t>JÄMTLANDS LÄN</t>
        </is>
      </c>
      <c r="E576" t="inlineStr">
        <is>
          <t>BERG</t>
        </is>
      </c>
      <c r="F576" t="inlineStr">
        <is>
          <t>SCA</t>
        </is>
      </c>
      <c r="G576" t="n">
        <v>5.6</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44987.60319444445</v>
      </c>
      <c r="C577" s="1" t="n">
        <v>45923</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3625-2024</t>
        </is>
      </c>
      <c r="B578" s="1" t="n">
        <v>45320</v>
      </c>
      <c r="C578" s="1" t="n">
        <v>45923</v>
      </c>
      <c r="D578" t="inlineStr">
        <is>
          <t>JÄMTLANDS LÄN</t>
        </is>
      </c>
      <c r="E578" t="inlineStr">
        <is>
          <t>BERG</t>
        </is>
      </c>
      <c r="F578" t="inlineStr">
        <is>
          <t>SCA</t>
        </is>
      </c>
      <c r="G578" t="n">
        <v>23.7</v>
      </c>
      <c r="H578" t="n">
        <v>0</v>
      </c>
      <c r="I578" t="n">
        <v>0</v>
      </c>
      <c r="J578" t="n">
        <v>0</v>
      </c>
      <c r="K578" t="n">
        <v>0</v>
      </c>
      <c r="L578" t="n">
        <v>0</v>
      </c>
      <c r="M578" t="n">
        <v>0</v>
      </c>
      <c r="N578" t="n">
        <v>0</v>
      </c>
      <c r="O578" t="n">
        <v>0</v>
      </c>
      <c r="P578" t="n">
        <v>0</v>
      </c>
      <c r="Q578" t="n">
        <v>0</v>
      </c>
      <c r="R578" s="2" t="inlineStr"/>
    </row>
    <row r="579" ht="15" customHeight="1">
      <c r="A579" t="inlineStr">
        <is>
          <t>A 43279-2024</t>
        </is>
      </c>
      <c r="B579" s="1" t="n">
        <v>45568.3975462963</v>
      </c>
      <c r="C579" s="1" t="n">
        <v>45923</v>
      </c>
      <c r="D579" t="inlineStr">
        <is>
          <t>JÄMTLANDS LÄN</t>
        </is>
      </c>
      <c r="E579" t="inlineStr">
        <is>
          <t>BERG</t>
        </is>
      </c>
      <c r="G579" t="n">
        <v>7.6</v>
      </c>
      <c r="H579" t="n">
        <v>0</v>
      </c>
      <c r="I579" t="n">
        <v>0</v>
      </c>
      <c r="J579" t="n">
        <v>0</v>
      </c>
      <c r="K579" t="n">
        <v>0</v>
      </c>
      <c r="L579" t="n">
        <v>0</v>
      </c>
      <c r="M579" t="n">
        <v>0</v>
      </c>
      <c r="N579" t="n">
        <v>0</v>
      </c>
      <c r="O579" t="n">
        <v>0</v>
      </c>
      <c r="P579" t="n">
        <v>0</v>
      </c>
      <c r="Q579" t="n">
        <v>0</v>
      </c>
      <c r="R579" s="2" t="inlineStr"/>
    </row>
    <row r="580" ht="15" customHeight="1">
      <c r="A580" t="inlineStr">
        <is>
          <t>A 37067-2023</t>
        </is>
      </c>
      <c r="B580" s="1" t="n">
        <v>45154</v>
      </c>
      <c r="C580" s="1" t="n">
        <v>45923</v>
      </c>
      <c r="D580" t="inlineStr">
        <is>
          <t>JÄMTLANDS LÄN</t>
        </is>
      </c>
      <c r="E580" t="inlineStr">
        <is>
          <t>BERG</t>
        </is>
      </c>
      <c r="G580" t="n">
        <v>7.4</v>
      </c>
      <c r="H580" t="n">
        <v>0</v>
      </c>
      <c r="I580" t="n">
        <v>0</v>
      </c>
      <c r="J580" t="n">
        <v>0</v>
      </c>
      <c r="K580" t="n">
        <v>0</v>
      </c>
      <c r="L580" t="n">
        <v>0</v>
      </c>
      <c r="M580" t="n">
        <v>0</v>
      </c>
      <c r="N580" t="n">
        <v>0</v>
      </c>
      <c r="O580" t="n">
        <v>0</v>
      </c>
      <c r="P580" t="n">
        <v>0</v>
      </c>
      <c r="Q580" t="n">
        <v>0</v>
      </c>
      <c r="R580" s="2" t="inlineStr"/>
    </row>
    <row r="581" ht="15" customHeight="1">
      <c r="A581" t="inlineStr">
        <is>
          <t>A 15992-2025</t>
        </is>
      </c>
      <c r="B581" s="1" t="n">
        <v>45749.58319444444</v>
      </c>
      <c r="C581" s="1" t="n">
        <v>45923</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13436-2024</t>
        </is>
      </c>
      <c r="B582" s="1" t="n">
        <v>45387.4865625</v>
      </c>
      <c r="C582" s="1" t="n">
        <v>45923</v>
      </c>
      <c r="D582" t="inlineStr">
        <is>
          <t>JÄMTLANDS LÄN</t>
        </is>
      </c>
      <c r="E582" t="inlineStr">
        <is>
          <t>BERG</t>
        </is>
      </c>
      <c r="G582" t="n">
        <v>28.9</v>
      </c>
      <c r="H582" t="n">
        <v>0</v>
      </c>
      <c r="I582" t="n">
        <v>0</v>
      </c>
      <c r="J582" t="n">
        <v>0</v>
      </c>
      <c r="K582" t="n">
        <v>0</v>
      </c>
      <c r="L582" t="n">
        <v>0</v>
      </c>
      <c r="M582" t="n">
        <v>0</v>
      </c>
      <c r="N582" t="n">
        <v>0</v>
      </c>
      <c r="O582" t="n">
        <v>0</v>
      </c>
      <c r="P582" t="n">
        <v>0</v>
      </c>
      <c r="Q582" t="n">
        <v>0</v>
      </c>
      <c r="R582" s="2" t="inlineStr"/>
    </row>
    <row r="583" ht="15" customHeight="1">
      <c r="A583" t="inlineStr">
        <is>
          <t>A 60404-2023</t>
        </is>
      </c>
      <c r="B583" s="1" t="n">
        <v>45259.46332175926</v>
      </c>
      <c r="C583" s="1" t="n">
        <v>45923</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60587-2022</t>
        </is>
      </c>
      <c r="B584" s="1" t="n">
        <v>44911.58445601852</v>
      </c>
      <c r="C584" s="1" t="n">
        <v>45923</v>
      </c>
      <c r="D584" t="inlineStr">
        <is>
          <t>JÄMTLANDS LÄN</t>
        </is>
      </c>
      <c r="E584" t="inlineStr">
        <is>
          <t>BERG</t>
        </is>
      </c>
      <c r="G584" t="n">
        <v>4.8</v>
      </c>
      <c r="H584" t="n">
        <v>0</v>
      </c>
      <c r="I584" t="n">
        <v>0</v>
      </c>
      <c r="J584" t="n">
        <v>0</v>
      </c>
      <c r="K584" t="n">
        <v>0</v>
      </c>
      <c r="L584" t="n">
        <v>0</v>
      </c>
      <c r="M584" t="n">
        <v>0</v>
      </c>
      <c r="N584" t="n">
        <v>0</v>
      </c>
      <c r="O584" t="n">
        <v>0</v>
      </c>
      <c r="P584" t="n">
        <v>0</v>
      </c>
      <c r="Q584" t="n">
        <v>0</v>
      </c>
      <c r="R584" s="2" t="inlineStr"/>
    </row>
    <row r="585" ht="15" customHeight="1">
      <c r="A585" t="inlineStr">
        <is>
          <t>A 60249-2022</t>
        </is>
      </c>
      <c r="B585" s="1" t="n">
        <v>44903</v>
      </c>
      <c r="C585" s="1" t="n">
        <v>45923</v>
      </c>
      <c r="D585" t="inlineStr">
        <is>
          <t>JÄMTLANDS LÄN</t>
        </is>
      </c>
      <c r="E585" t="inlineStr">
        <is>
          <t>BERG</t>
        </is>
      </c>
      <c r="G585" t="n">
        <v>6</v>
      </c>
      <c r="H585" t="n">
        <v>0</v>
      </c>
      <c r="I585" t="n">
        <v>0</v>
      </c>
      <c r="J585" t="n">
        <v>0</v>
      </c>
      <c r="K585" t="n">
        <v>0</v>
      </c>
      <c r="L585" t="n">
        <v>0</v>
      </c>
      <c r="M585" t="n">
        <v>0</v>
      </c>
      <c r="N585" t="n">
        <v>0</v>
      </c>
      <c r="O585" t="n">
        <v>0</v>
      </c>
      <c r="P585" t="n">
        <v>0</v>
      </c>
      <c r="Q585" t="n">
        <v>0</v>
      </c>
      <c r="R585" s="2" t="inlineStr"/>
    </row>
    <row r="586" ht="15" customHeight="1">
      <c r="A586" t="inlineStr">
        <is>
          <t>A 11274-2025</t>
        </is>
      </c>
      <c r="B586" s="1" t="n">
        <v>45726.40868055556</v>
      </c>
      <c r="C586" s="1" t="n">
        <v>45923</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65209-2023</t>
        </is>
      </c>
      <c r="B587" s="1" t="n">
        <v>45289</v>
      </c>
      <c r="C587" s="1" t="n">
        <v>45923</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16553-2025</t>
        </is>
      </c>
      <c r="B588" s="1" t="n">
        <v>45751.69967592593</v>
      </c>
      <c r="C588" s="1" t="n">
        <v>45923</v>
      </c>
      <c r="D588" t="inlineStr">
        <is>
          <t>JÄMTLANDS LÄN</t>
        </is>
      </c>
      <c r="E588" t="inlineStr">
        <is>
          <t>BERG</t>
        </is>
      </c>
      <c r="G588" t="n">
        <v>2</v>
      </c>
      <c r="H588" t="n">
        <v>0</v>
      </c>
      <c r="I588" t="n">
        <v>0</v>
      </c>
      <c r="J588" t="n">
        <v>0</v>
      </c>
      <c r="K588" t="n">
        <v>0</v>
      </c>
      <c r="L588" t="n">
        <v>0</v>
      </c>
      <c r="M588" t="n">
        <v>0</v>
      </c>
      <c r="N588" t="n">
        <v>0</v>
      </c>
      <c r="O588" t="n">
        <v>0</v>
      </c>
      <c r="P588" t="n">
        <v>0</v>
      </c>
      <c r="Q588" t="n">
        <v>0</v>
      </c>
      <c r="R588" s="2" t="inlineStr"/>
    </row>
    <row r="589" ht="15" customHeight="1">
      <c r="A589" t="inlineStr">
        <is>
          <t>A 17899-2024</t>
        </is>
      </c>
      <c r="B589" s="1" t="n">
        <v>45419.49334490741</v>
      </c>
      <c r="C589" s="1" t="n">
        <v>45923</v>
      </c>
      <c r="D589" t="inlineStr">
        <is>
          <t>JÄMTLANDS LÄN</t>
        </is>
      </c>
      <c r="E589" t="inlineStr">
        <is>
          <t>BERG</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19181-2025</t>
        </is>
      </c>
      <c r="B590" s="1" t="n">
        <v>45769.40174768519</v>
      </c>
      <c r="C590" s="1" t="n">
        <v>45923</v>
      </c>
      <c r="D590" t="inlineStr">
        <is>
          <t>JÄMTLANDS LÄN</t>
        </is>
      </c>
      <c r="E590" t="inlineStr">
        <is>
          <t>BERG</t>
        </is>
      </c>
      <c r="G590" t="n">
        <v>4.4</v>
      </c>
      <c r="H590" t="n">
        <v>0</v>
      </c>
      <c r="I590" t="n">
        <v>0</v>
      </c>
      <c r="J590" t="n">
        <v>0</v>
      </c>
      <c r="K590" t="n">
        <v>0</v>
      </c>
      <c r="L590" t="n">
        <v>0</v>
      </c>
      <c r="M590" t="n">
        <v>0</v>
      </c>
      <c r="N590" t="n">
        <v>0</v>
      </c>
      <c r="O590" t="n">
        <v>0</v>
      </c>
      <c r="P590" t="n">
        <v>0</v>
      </c>
      <c r="Q590" t="n">
        <v>0</v>
      </c>
      <c r="R590" s="2" t="inlineStr"/>
    </row>
    <row r="591" ht="15" customHeight="1">
      <c r="A591" t="inlineStr">
        <is>
          <t>A 50172-2023</t>
        </is>
      </c>
      <c r="B591" s="1" t="n">
        <v>45208</v>
      </c>
      <c r="C591" s="1" t="n">
        <v>45923</v>
      </c>
      <c r="D591" t="inlineStr">
        <is>
          <t>JÄMTLANDS LÄN</t>
        </is>
      </c>
      <c r="E591" t="inlineStr">
        <is>
          <t>BERG</t>
        </is>
      </c>
      <c r="G591" t="n">
        <v>0.9</v>
      </c>
      <c r="H591" t="n">
        <v>0</v>
      </c>
      <c r="I591" t="n">
        <v>0</v>
      </c>
      <c r="J591" t="n">
        <v>0</v>
      </c>
      <c r="K591" t="n">
        <v>0</v>
      </c>
      <c r="L591" t="n">
        <v>0</v>
      </c>
      <c r="M591" t="n">
        <v>0</v>
      </c>
      <c r="N591" t="n">
        <v>0</v>
      </c>
      <c r="O591" t="n">
        <v>0</v>
      </c>
      <c r="P591" t="n">
        <v>0</v>
      </c>
      <c r="Q591" t="n">
        <v>0</v>
      </c>
      <c r="R591" s="2" t="inlineStr"/>
    </row>
    <row r="592" ht="15" customHeight="1">
      <c r="A592" t="inlineStr">
        <is>
          <t>A 59498-2024</t>
        </is>
      </c>
      <c r="B592" s="1" t="n">
        <v>45638.54635416667</v>
      </c>
      <c r="C592" s="1" t="n">
        <v>45923</v>
      </c>
      <c r="D592" t="inlineStr">
        <is>
          <t>JÄMTLANDS LÄN</t>
        </is>
      </c>
      <c r="E592" t="inlineStr">
        <is>
          <t>BERG</t>
        </is>
      </c>
      <c r="G592" t="n">
        <v>2.4</v>
      </c>
      <c r="H592" t="n">
        <v>0</v>
      </c>
      <c r="I592" t="n">
        <v>0</v>
      </c>
      <c r="J592" t="n">
        <v>0</v>
      </c>
      <c r="K592" t="n">
        <v>0</v>
      </c>
      <c r="L592" t="n">
        <v>0</v>
      </c>
      <c r="M592" t="n">
        <v>0</v>
      </c>
      <c r="N592" t="n">
        <v>0</v>
      </c>
      <c r="O592" t="n">
        <v>0</v>
      </c>
      <c r="P592" t="n">
        <v>0</v>
      </c>
      <c r="Q592" t="n">
        <v>0</v>
      </c>
      <c r="R592" s="2" t="inlineStr"/>
    </row>
    <row r="593" ht="15" customHeight="1">
      <c r="A593" t="inlineStr">
        <is>
          <t>A 14834-2025</t>
        </is>
      </c>
      <c r="B593" s="1" t="n">
        <v>45743.38224537037</v>
      </c>
      <c r="C593" s="1" t="n">
        <v>45923</v>
      </c>
      <c r="D593" t="inlineStr">
        <is>
          <t>JÄMTLANDS LÄN</t>
        </is>
      </c>
      <c r="E593" t="inlineStr">
        <is>
          <t>BERG</t>
        </is>
      </c>
      <c r="G593" t="n">
        <v>3.8</v>
      </c>
      <c r="H593" t="n">
        <v>0</v>
      </c>
      <c r="I593" t="n">
        <v>0</v>
      </c>
      <c r="J593" t="n">
        <v>0</v>
      </c>
      <c r="K593" t="n">
        <v>0</v>
      </c>
      <c r="L593" t="n">
        <v>0</v>
      </c>
      <c r="M593" t="n">
        <v>0</v>
      </c>
      <c r="N593" t="n">
        <v>0</v>
      </c>
      <c r="O593" t="n">
        <v>0</v>
      </c>
      <c r="P593" t="n">
        <v>0</v>
      </c>
      <c r="Q593" t="n">
        <v>0</v>
      </c>
      <c r="R593" s="2" t="inlineStr"/>
    </row>
    <row r="594" ht="15" customHeight="1">
      <c r="A594" t="inlineStr">
        <is>
          <t>A 41868-2024</t>
        </is>
      </c>
      <c r="B594" s="1" t="n">
        <v>45561.46900462963</v>
      </c>
      <c r="C594" s="1" t="n">
        <v>45923</v>
      </c>
      <c r="D594" t="inlineStr">
        <is>
          <t>JÄMTLANDS LÄN</t>
        </is>
      </c>
      <c r="E594" t="inlineStr">
        <is>
          <t>BERG</t>
        </is>
      </c>
      <c r="G594" t="n">
        <v>2.3</v>
      </c>
      <c r="H594" t="n">
        <v>0</v>
      </c>
      <c r="I594" t="n">
        <v>0</v>
      </c>
      <c r="J594" t="n">
        <v>0</v>
      </c>
      <c r="K594" t="n">
        <v>0</v>
      </c>
      <c r="L594" t="n">
        <v>0</v>
      </c>
      <c r="M594" t="n">
        <v>0</v>
      </c>
      <c r="N594" t="n">
        <v>0</v>
      </c>
      <c r="O594" t="n">
        <v>0</v>
      </c>
      <c r="P594" t="n">
        <v>0</v>
      </c>
      <c r="Q594" t="n">
        <v>0</v>
      </c>
      <c r="R594" s="2" t="inlineStr"/>
    </row>
    <row r="595" ht="15" customHeight="1">
      <c r="A595" t="inlineStr">
        <is>
          <t>A 34845-2023</t>
        </is>
      </c>
      <c r="B595" s="1" t="n">
        <v>45141.95964120371</v>
      </c>
      <c r="C595" s="1" t="n">
        <v>45923</v>
      </c>
      <c r="D595" t="inlineStr">
        <is>
          <t>JÄMTLANDS LÄN</t>
        </is>
      </c>
      <c r="E595" t="inlineStr">
        <is>
          <t>BERG</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31330-2024</t>
        </is>
      </c>
      <c r="B596" s="1" t="n">
        <v>45504</v>
      </c>
      <c r="C596" s="1" t="n">
        <v>45923</v>
      </c>
      <c r="D596" t="inlineStr">
        <is>
          <t>JÄMTLANDS LÄN</t>
        </is>
      </c>
      <c r="E596" t="inlineStr">
        <is>
          <t>BERG</t>
        </is>
      </c>
      <c r="G596" t="n">
        <v>30.5</v>
      </c>
      <c r="H596" t="n">
        <v>0</v>
      </c>
      <c r="I596" t="n">
        <v>0</v>
      </c>
      <c r="J596" t="n">
        <v>0</v>
      </c>
      <c r="K596" t="n">
        <v>0</v>
      </c>
      <c r="L596" t="n">
        <v>0</v>
      </c>
      <c r="M596" t="n">
        <v>0</v>
      </c>
      <c r="N596" t="n">
        <v>0</v>
      </c>
      <c r="O596" t="n">
        <v>0</v>
      </c>
      <c r="P596" t="n">
        <v>0</v>
      </c>
      <c r="Q596" t="n">
        <v>0</v>
      </c>
      <c r="R596" s="2" t="inlineStr"/>
    </row>
    <row r="597" ht="15" customHeight="1">
      <c r="A597" t="inlineStr">
        <is>
          <t>A 4246-2025</t>
        </is>
      </c>
      <c r="B597" s="1" t="n">
        <v>45685.59083333334</v>
      </c>
      <c r="C597" s="1" t="n">
        <v>45923</v>
      </c>
      <c r="D597" t="inlineStr">
        <is>
          <t>JÄMTLANDS LÄN</t>
        </is>
      </c>
      <c r="E597" t="inlineStr">
        <is>
          <t>BERG</t>
        </is>
      </c>
      <c r="G597" t="n">
        <v>2.4</v>
      </c>
      <c r="H597" t="n">
        <v>0</v>
      </c>
      <c r="I597" t="n">
        <v>0</v>
      </c>
      <c r="J597" t="n">
        <v>0</v>
      </c>
      <c r="K597" t="n">
        <v>0</v>
      </c>
      <c r="L597" t="n">
        <v>0</v>
      </c>
      <c r="M597" t="n">
        <v>0</v>
      </c>
      <c r="N597" t="n">
        <v>0</v>
      </c>
      <c r="O597" t="n">
        <v>0</v>
      </c>
      <c r="P597" t="n">
        <v>0</v>
      </c>
      <c r="Q597" t="n">
        <v>0</v>
      </c>
      <c r="R597" s="2" t="inlineStr"/>
    </row>
    <row r="598" ht="15" customHeight="1">
      <c r="A598" t="inlineStr">
        <is>
          <t>A 47674-2024</t>
        </is>
      </c>
      <c r="B598" s="1" t="n">
        <v>45588.40413194444</v>
      </c>
      <c r="C598" s="1" t="n">
        <v>45923</v>
      </c>
      <c r="D598" t="inlineStr">
        <is>
          <t>JÄMTLANDS LÄN</t>
        </is>
      </c>
      <c r="E598" t="inlineStr">
        <is>
          <t>BERG</t>
        </is>
      </c>
      <c r="G598" t="n">
        <v>0.5</v>
      </c>
      <c r="H598" t="n">
        <v>0</v>
      </c>
      <c r="I598" t="n">
        <v>0</v>
      </c>
      <c r="J598" t="n">
        <v>0</v>
      </c>
      <c r="K598" t="n">
        <v>0</v>
      </c>
      <c r="L598" t="n">
        <v>0</v>
      </c>
      <c r="M598" t="n">
        <v>0</v>
      </c>
      <c r="N598" t="n">
        <v>0</v>
      </c>
      <c r="O598" t="n">
        <v>0</v>
      </c>
      <c r="P598" t="n">
        <v>0</v>
      </c>
      <c r="Q598" t="n">
        <v>0</v>
      </c>
      <c r="R598" s="2" t="inlineStr"/>
    </row>
    <row r="599" ht="15" customHeight="1">
      <c r="A599" t="inlineStr">
        <is>
          <t>A 32711-2024</t>
        </is>
      </c>
      <c r="B599" s="1" t="n">
        <v>45516</v>
      </c>
      <c r="C599" s="1" t="n">
        <v>45923</v>
      </c>
      <c r="D599" t="inlineStr">
        <is>
          <t>JÄMTLANDS LÄN</t>
        </is>
      </c>
      <c r="E599" t="inlineStr">
        <is>
          <t>BERG</t>
        </is>
      </c>
      <c r="G599" t="n">
        <v>0</v>
      </c>
      <c r="H599" t="n">
        <v>0</v>
      </c>
      <c r="I599" t="n">
        <v>0</v>
      </c>
      <c r="J599" t="n">
        <v>0</v>
      </c>
      <c r="K599" t="n">
        <v>0</v>
      </c>
      <c r="L599" t="n">
        <v>0</v>
      </c>
      <c r="M599" t="n">
        <v>0</v>
      </c>
      <c r="N599" t="n">
        <v>0</v>
      </c>
      <c r="O599" t="n">
        <v>0</v>
      </c>
      <c r="P599" t="n">
        <v>0</v>
      </c>
      <c r="Q599" t="n">
        <v>0</v>
      </c>
      <c r="R599" s="2" t="inlineStr"/>
    </row>
    <row r="600" ht="15" customHeight="1">
      <c r="A600" t="inlineStr">
        <is>
          <t>A 14672-2025</t>
        </is>
      </c>
      <c r="B600" s="1" t="n">
        <v>45742.55269675926</v>
      </c>
      <c r="C600" s="1" t="n">
        <v>45923</v>
      </c>
      <c r="D600" t="inlineStr">
        <is>
          <t>JÄMTLANDS LÄN</t>
        </is>
      </c>
      <c r="E600" t="inlineStr">
        <is>
          <t>BERG</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34367-2024</t>
        </is>
      </c>
      <c r="B601" s="1" t="n">
        <v>45525.38040509259</v>
      </c>
      <c r="C601" s="1" t="n">
        <v>45923</v>
      </c>
      <c r="D601" t="inlineStr">
        <is>
          <t>JÄMTLANDS LÄN</t>
        </is>
      </c>
      <c r="E601" t="inlineStr">
        <is>
          <t>BERG</t>
        </is>
      </c>
      <c r="G601" t="n">
        <v>0.4</v>
      </c>
      <c r="H601" t="n">
        <v>0</v>
      </c>
      <c r="I601" t="n">
        <v>0</v>
      </c>
      <c r="J601" t="n">
        <v>0</v>
      </c>
      <c r="K601" t="n">
        <v>0</v>
      </c>
      <c r="L601" t="n">
        <v>0</v>
      </c>
      <c r="M601" t="n">
        <v>0</v>
      </c>
      <c r="N601" t="n">
        <v>0</v>
      </c>
      <c r="O601" t="n">
        <v>0</v>
      </c>
      <c r="P601" t="n">
        <v>0</v>
      </c>
      <c r="Q601" t="n">
        <v>0</v>
      </c>
      <c r="R601" s="2" t="inlineStr"/>
    </row>
    <row r="602" ht="15" customHeight="1">
      <c r="A602" t="inlineStr">
        <is>
          <t>A 34369-2024</t>
        </is>
      </c>
      <c r="B602" s="1" t="n">
        <v>45525.38228009259</v>
      </c>
      <c r="C602" s="1" t="n">
        <v>45923</v>
      </c>
      <c r="D602" t="inlineStr">
        <is>
          <t>JÄMTLANDS LÄN</t>
        </is>
      </c>
      <c r="E602" t="inlineStr">
        <is>
          <t>BERG</t>
        </is>
      </c>
      <c r="G602" t="n">
        <v>0.6</v>
      </c>
      <c r="H602" t="n">
        <v>0</v>
      </c>
      <c r="I602" t="n">
        <v>0</v>
      </c>
      <c r="J602" t="n">
        <v>0</v>
      </c>
      <c r="K602" t="n">
        <v>0</v>
      </c>
      <c r="L602" t="n">
        <v>0</v>
      </c>
      <c r="M602" t="n">
        <v>0</v>
      </c>
      <c r="N602" t="n">
        <v>0</v>
      </c>
      <c r="O602" t="n">
        <v>0</v>
      </c>
      <c r="P602" t="n">
        <v>0</v>
      </c>
      <c r="Q602" t="n">
        <v>0</v>
      </c>
      <c r="R602" s="2" t="inlineStr"/>
    </row>
    <row r="603" ht="15" customHeight="1">
      <c r="A603" t="inlineStr">
        <is>
          <t>A 51201-2023</t>
        </is>
      </c>
      <c r="B603" s="1" t="n">
        <v>45219.42320601852</v>
      </c>
      <c r="C603" s="1" t="n">
        <v>45923</v>
      </c>
      <c r="D603" t="inlineStr">
        <is>
          <t>JÄMTLANDS LÄN</t>
        </is>
      </c>
      <c r="E603" t="inlineStr">
        <is>
          <t>BERG</t>
        </is>
      </c>
      <c r="G603" t="n">
        <v>1.2</v>
      </c>
      <c r="H603" t="n">
        <v>0</v>
      </c>
      <c r="I603" t="n">
        <v>0</v>
      </c>
      <c r="J603" t="n">
        <v>0</v>
      </c>
      <c r="K603" t="n">
        <v>0</v>
      </c>
      <c r="L603" t="n">
        <v>0</v>
      </c>
      <c r="M603" t="n">
        <v>0</v>
      </c>
      <c r="N603" t="n">
        <v>0</v>
      </c>
      <c r="O603" t="n">
        <v>0</v>
      </c>
      <c r="P603" t="n">
        <v>0</v>
      </c>
      <c r="Q603" t="n">
        <v>0</v>
      </c>
      <c r="R603" s="2" t="inlineStr"/>
    </row>
    <row r="604" ht="15" customHeight="1">
      <c r="A604" t="inlineStr">
        <is>
          <t>A 13108-2025</t>
        </is>
      </c>
      <c r="B604" s="1" t="n">
        <v>45734</v>
      </c>
      <c r="C604" s="1" t="n">
        <v>45923</v>
      </c>
      <c r="D604" t="inlineStr">
        <is>
          <t>JÄMTLANDS LÄN</t>
        </is>
      </c>
      <c r="E604" t="inlineStr">
        <is>
          <t>BERG</t>
        </is>
      </c>
      <c r="F604" t="inlineStr">
        <is>
          <t>SCA</t>
        </is>
      </c>
      <c r="G604" t="n">
        <v>7.2</v>
      </c>
      <c r="H604" t="n">
        <v>0</v>
      </c>
      <c r="I604" t="n">
        <v>0</v>
      </c>
      <c r="J604" t="n">
        <v>0</v>
      </c>
      <c r="K604" t="n">
        <v>0</v>
      </c>
      <c r="L604" t="n">
        <v>0</v>
      </c>
      <c r="M604" t="n">
        <v>0</v>
      </c>
      <c r="N604" t="n">
        <v>0</v>
      </c>
      <c r="O604" t="n">
        <v>0</v>
      </c>
      <c r="P604" t="n">
        <v>0</v>
      </c>
      <c r="Q604" t="n">
        <v>0</v>
      </c>
      <c r="R604" s="2" t="inlineStr"/>
    </row>
    <row r="605" ht="15" customHeight="1">
      <c r="A605" t="inlineStr">
        <is>
          <t>A 65210-2023</t>
        </is>
      </c>
      <c r="B605" s="1" t="n">
        <v>45289</v>
      </c>
      <c r="C605" s="1" t="n">
        <v>45923</v>
      </c>
      <c r="D605" t="inlineStr">
        <is>
          <t>JÄMTLANDS LÄN</t>
        </is>
      </c>
      <c r="E605" t="inlineStr">
        <is>
          <t>BERG</t>
        </is>
      </c>
      <c r="G605" t="n">
        <v>0.4</v>
      </c>
      <c r="H605" t="n">
        <v>0</v>
      </c>
      <c r="I605" t="n">
        <v>0</v>
      </c>
      <c r="J605" t="n">
        <v>0</v>
      </c>
      <c r="K605" t="n">
        <v>0</v>
      </c>
      <c r="L605" t="n">
        <v>0</v>
      </c>
      <c r="M605" t="n">
        <v>0</v>
      </c>
      <c r="N605" t="n">
        <v>0</v>
      </c>
      <c r="O605" t="n">
        <v>0</v>
      </c>
      <c r="P605" t="n">
        <v>0</v>
      </c>
      <c r="Q605" t="n">
        <v>0</v>
      </c>
      <c r="R605" s="2" t="inlineStr"/>
    </row>
    <row r="606" ht="15" customHeight="1">
      <c r="A606" t="inlineStr">
        <is>
          <t>A 27239-2023</t>
        </is>
      </c>
      <c r="B606" s="1" t="n">
        <v>45092</v>
      </c>
      <c r="C606" s="1" t="n">
        <v>45923</v>
      </c>
      <c r="D606" t="inlineStr">
        <is>
          <t>JÄMTLANDS LÄN</t>
        </is>
      </c>
      <c r="E606" t="inlineStr">
        <is>
          <t>BERG</t>
        </is>
      </c>
      <c r="G606" t="n">
        <v>5.3</v>
      </c>
      <c r="H606" t="n">
        <v>0</v>
      </c>
      <c r="I606" t="n">
        <v>0</v>
      </c>
      <c r="J606" t="n">
        <v>0</v>
      </c>
      <c r="K606" t="n">
        <v>0</v>
      </c>
      <c r="L606" t="n">
        <v>0</v>
      </c>
      <c r="M606" t="n">
        <v>0</v>
      </c>
      <c r="N606" t="n">
        <v>0</v>
      </c>
      <c r="O606" t="n">
        <v>0</v>
      </c>
      <c r="P606" t="n">
        <v>0</v>
      </c>
      <c r="Q606" t="n">
        <v>0</v>
      </c>
      <c r="R606" s="2" t="inlineStr"/>
    </row>
    <row r="607" ht="15" customHeight="1">
      <c r="A607" t="inlineStr">
        <is>
          <t>A 21472-2025</t>
        </is>
      </c>
      <c r="B607" s="1" t="n">
        <v>45782.59024305556</v>
      </c>
      <c r="C607" s="1" t="n">
        <v>45923</v>
      </c>
      <c r="D607" t="inlineStr">
        <is>
          <t>JÄMTLANDS LÄN</t>
        </is>
      </c>
      <c r="E607" t="inlineStr">
        <is>
          <t>BERG</t>
        </is>
      </c>
      <c r="G607" t="n">
        <v>21.9</v>
      </c>
      <c r="H607" t="n">
        <v>0</v>
      </c>
      <c r="I607" t="n">
        <v>0</v>
      </c>
      <c r="J607" t="n">
        <v>0</v>
      </c>
      <c r="K607" t="n">
        <v>0</v>
      </c>
      <c r="L607" t="n">
        <v>0</v>
      </c>
      <c r="M607" t="n">
        <v>0</v>
      </c>
      <c r="N607" t="n">
        <v>0</v>
      </c>
      <c r="O607" t="n">
        <v>0</v>
      </c>
      <c r="P607" t="n">
        <v>0</v>
      </c>
      <c r="Q607" t="n">
        <v>0</v>
      </c>
      <c r="R607" s="2" t="inlineStr"/>
    </row>
    <row r="608" ht="15" customHeight="1">
      <c r="A608" t="inlineStr">
        <is>
          <t>A 9478-2024</t>
        </is>
      </c>
      <c r="B608" s="1" t="n">
        <v>45359.5732175926</v>
      </c>
      <c r="C608" s="1" t="n">
        <v>45923</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21292-2025</t>
        </is>
      </c>
      <c r="B609" s="1" t="n">
        <v>45780.39354166666</v>
      </c>
      <c r="C609" s="1" t="n">
        <v>45923</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59459-2024</t>
        </is>
      </c>
      <c r="B610" s="1" t="n">
        <v>45638</v>
      </c>
      <c r="C610" s="1" t="n">
        <v>45923</v>
      </c>
      <c r="D610" t="inlineStr">
        <is>
          <t>JÄMTLANDS LÄN</t>
        </is>
      </c>
      <c r="E610" t="inlineStr">
        <is>
          <t>BERG</t>
        </is>
      </c>
      <c r="G610" t="n">
        <v>1.1</v>
      </c>
      <c r="H610" t="n">
        <v>0</v>
      </c>
      <c r="I610" t="n">
        <v>0</v>
      </c>
      <c r="J610" t="n">
        <v>0</v>
      </c>
      <c r="K610" t="n">
        <v>0</v>
      </c>
      <c r="L610" t="n">
        <v>0</v>
      </c>
      <c r="M610" t="n">
        <v>0</v>
      </c>
      <c r="N610" t="n">
        <v>0</v>
      </c>
      <c r="O610" t="n">
        <v>0</v>
      </c>
      <c r="P610" t="n">
        <v>0</v>
      </c>
      <c r="Q610" t="n">
        <v>0</v>
      </c>
      <c r="R610" s="2" t="inlineStr"/>
    </row>
    <row r="611" ht="15" customHeight="1">
      <c r="A611" t="inlineStr">
        <is>
          <t>A 21156-2025</t>
        </is>
      </c>
      <c r="B611" s="1" t="n">
        <v>45779.37599537037</v>
      </c>
      <c r="C611" s="1" t="n">
        <v>45923</v>
      </c>
      <c r="D611" t="inlineStr">
        <is>
          <t>JÄMTLANDS LÄN</t>
        </is>
      </c>
      <c r="E611" t="inlineStr">
        <is>
          <t>BERG</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60847-2023</t>
        </is>
      </c>
      <c r="B612" s="1" t="n">
        <v>45260</v>
      </c>
      <c r="C612" s="1" t="n">
        <v>45923</v>
      </c>
      <c r="D612" t="inlineStr">
        <is>
          <t>JÄMTLANDS LÄN</t>
        </is>
      </c>
      <c r="E612" t="inlineStr">
        <is>
          <t>BERG</t>
        </is>
      </c>
      <c r="G612" t="n">
        <v>2.5</v>
      </c>
      <c r="H612" t="n">
        <v>0</v>
      </c>
      <c r="I612" t="n">
        <v>0</v>
      </c>
      <c r="J612" t="n">
        <v>0</v>
      </c>
      <c r="K612" t="n">
        <v>0</v>
      </c>
      <c r="L612" t="n">
        <v>0</v>
      </c>
      <c r="M612" t="n">
        <v>0</v>
      </c>
      <c r="N612" t="n">
        <v>0</v>
      </c>
      <c r="O612" t="n">
        <v>0</v>
      </c>
      <c r="P612" t="n">
        <v>0</v>
      </c>
      <c r="Q612" t="n">
        <v>0</v>
      </c>
      <c r="R612" s="2" t="inlineStr"/>
    </row>
    <row r="613" ht="15" customHeight="1">
      <c r="A613" t="inlineStr">
        <is>
          <t>A 33750-2023</t>
        </is>
      </c>
      <c r="B613" s="1" t="n">
        <v>45120</v>
      </c>
      <c r="C613" s="1" t="n">
        <v>45923</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18775-2024</t>
        </is>
      </c>
      <c r="B614" s="1" t="n">
        <v>45426</v>
      </c>
      <c r="C614" s="1" t="n">
        <v>45923</v>
      </c>
      <c r="D614" t="inlineStr">
        <is>
          <t>JÄMTLANDS LÄN</t>
        </is>
      </c>
      <c r="E614" t="inlineStr">
        <is>
          <t>BERG</t>
        </is>
      </c>
      <c r="G614" t="n">
        <v>13.9</v>
      </c>
      <c r="H614" t="n">
        <v>0</v>
      </c>
      <c r="I614" t="n">
        <v>0</v>
      </c>
      <c r="J614" t="n">
        <v>0</v>
      </c>
      <c r="K614" t="n">
        <v>0</v>
      </c>
      <c r="L614" t="n">
        <v>0</v>
      </c>
      <c r="M614" t="n">
        <v>0</v>
      </c>
      <c r="N614" t="n">
        <v>0</v>
      </c>
      <c r="O614" t="n">
        <v>0</v>
      </c>
      <c r="P614" t="n">
        <v>0</v>
      </c>
      <c r="Q614" t="n">
        <v>0</v>
      </c>
      <c r="R614" s="2" t="inlineStr"/>
    </row>
    <row r="615" ht="15" customHeight="1">
      <c r="A615" t="inlineStr">
        <is>
          <t>A 11599-2025</t>
        </is>
      </c>
      <c r="B615" s="1" t="n">
        <v>45727.4261574074</v>
      </c>
      <c r="C615" s="1" t="n">
        <v>45923</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37086-2024</t>
        </is>
      </c>
      <c r="B616" s="1" t="n">
        <v>45539.49776620371</v>
      </c>
      <c r="C616" s="1" t="n">
        <v>45923</v>
      </c>
      <c r="D616" t="inlineStr">
        <is>
          <t>JÄMTLANDS LÄN</t>
        </is>
      </c>
      <c r="E616" t="inlineStr">
        <is>
          <t>BERG</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43762-2023</t>
        </is>
      </c>
      <c r="B617" s="1" t="n">
        <v>45182</v>
      </c>
      <c r="C617" s="1" t="n">
        <v>45923</v>
      </c>
      <c r="D617" t="inlineStr">
        <is>
          <t>JÄMTLANDS LÄN</t>
        </is>
      </c>
      <c r="E617" t="inlineStr">
        <is>
          <t>BERG</t>
        </is>
      </c>
      <c r="G617" t="n">
        <v>6.4</v>
      </c>
      <c r="H617" t="n">
        <v>0</v>
      </c>
      <c r="I617" t="n">
        <v>0</v>
      </c>
      <c r="J617" t="n">
        <v>0</v>
      </c>
      <c r="K617" t="n">
        <v>0</v>
      </c>
      <c r="L617" t="n">
        <v>0</v>
      </c>
      <c r="M617" t="n">
        <v>0</v>
      </c>
      <c r="N617" t="n">
        <v>0</v>
      </c>
      <c r="O617" t="n">
        <v>0</v>
      </c>
      <c r="P617" t="n">
        <v>0</v>
      </c>
      <c r="Q617" t="n">
        <v>0</v>
      </c>
      <c r="R617" s="2" t="inlineStr"/>
    </row>
    <row r="618" ht="15" customHeight="1">
      <c r="A618" t="inlineStr">
        <is>
          <t>A 21851-2025</t>
        </is>
      </c>
      <c r="B618" s="1" t="n">
        <v>45784.34417824074</v>
      </c>
      <c r="C618" s="1" t="n">
        <v>45923</v>
      </c>
      <c r="D618" t="inlineStr">
        <is>
          <t>JÄMTLANDS LÄN</t>
        </is>
      </c>
      <c r="E618" t="inlineStr">
        <is>
          <t>BERG</t>
        </is>
      </c>
      <c r="F618" t="inlineStr">
        <is>
          <t>SCA</t>
        </is>
      </c>
      <c r="G618" t="n">
        <v>10</v>
      </c>
      <c r="H618" t="n">
        <v>0</v>
      </c>
      <c r="I618" t="n">
        <v>0</v>
      </c>
      <c r="J618" t="n">
        <v>0</v>
      </c>
      <c r="K618" t="n">
        <v>0</v>
      </c>
      <c r="L618" t="n">
        <v>0</v>
      </c>
      <c r="M618" t="n">
        <v>0</v>
      </c>
      <c r="N618" t="n">
        <v>0</v>
      </c>
      <c r="O618" t="n">
        <v>0</v>
      </c>
      <c r="P618" t="n">
        <v>0</v>
      </c>
      <c r="Q618" t="n">
        <v>0</v>
      </c>
      <c r="R618" s="2" t="inlineStr"/>
    </row>
    <row r="619" ht="15" customHeight="1">
      <c r="A619" t="inlineStr">
        <is>
          <t>A 32020-2023</t>
        </is>
      </c>
      <c r="B619" s="1" t="n">
        <v>45119.49261574074</v>
      </c>
      <c r="C619" s="1" t="n">
        <v>45923</v>
      </c>
      <c r="D619" t="inlineStr">
        <is>
          <t>JÄMTLANDS LÄN</t>
        </is>
      </c>
      <c r="E619" t="inlineStr">
        <is>
          <t>BERG</t>
        </is>
      </c>
      <c r="G619" t="n">
        <v>10.3</v>
      </c>
      <c r="H619" t="n">
        <v>0</v>
      </c>
      <c r="I619" t="n">
        <v>0</v>
      </c>
      <c r="J619" t="n">
        <v>0</v>
      </c>
      <c r="K619" t="n">
        <v>0</v>
      </c>
      <c r="L619" t="n">
        <v>0</v>
      </c>
      <c r="M619" t="n">
        <v>0</v>
      </c>
      <c r="N619" t="n">
        <v>0</v>
      </c>
      <c r="O619" t="n">
        <v>0</v>
      </c>
      <c r="P619" t="n">
        <v>0</v>
      </c>
      <c r="Q619" t="n">
        <v>0</v>
      </c>
      <c r="R619" s="2" t="inlineStr"/>
    </row>
    <row r="620" ht="15" customHeight="1">
      <c r="A620" t="inlineStr">
        <is>
          <t>A 31155-2024</t>
        </is>
      </c>
      <c r="B620" s="1" t="n">
        <v>45503</v>
      </c>
      <c r="C620" s="1" t="n">
        <v>45923</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35921-2024</t>
        </is>
      </c>
      <c r="B621" s="1" t="n">
        <v>45533.42659722222</v>
      </c>
      <c r="C621" s="1" t="n">
        <v>45923</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22180-2025</t>
        </is>
      </c>
      <c r="B622" s="1" t="n">
        <v>45785</v>
      </c>
      <c r="C622" s="1" t="n">
        <v>45923</v>
      </c>
      <c r="D622" t="inlineStr">
        <is>
          <t>JÄMTLANDS LÄN</t>
        </is>
      </c>
      <c r="E622" t="inlineStr">
        <is>
          <t>BERG</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22478-2025</t>
        </is>
      </c>
      <c r="B623" s="1" t="n">
        <v>45786.6349537037</v>
      </c>
      <c r="C623" s="1" t="n">
        <v>45923</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46366-2024</t>
        </is>
      </c>
      <c r="B624" s="1" t="n">
        <v>45582.36490740741</v>
      </c>
      <c r="C624" s="1" t="n">
        <v>45923</v>
      </c>
      <c r="D624" t="inlineStr">
        <is>
          <t>JÄMTLANDS LÄN</t>
        </is>
      </c>
      <c r="E624" t="inlineStr">
        <is>
          <t>BERG</t>
        </is>
      </c>
      <c r="G624" t="n">
        <v>5</v>
      </c>
      <c r="H624" t="n">
        <v>0</v>
      </c>
      <c r="I624" t="n">
        <v>0</v>
      </c>
      <c r="J624" t="n">
        <v>0</v>
      </c>
      <c r="K624" t="n">
        <v>0</v>
      </c>
      <c r="L624" t="n">
        <v>0</v>
      </c>
      <c r="M624" t="n">
        <v>0</v>
      </c>
      <c r="N624" t="n">
        <v>0</v>
      </c>
      <c r="O624" t="n">
        <v>0</v>
      </c>
      <c r="P624" t="n">
        <v>0</v>
      </c>
      <c r="Q624" t="n">
        <v>0</v>
      </c>
      <c r="R624" s="2" t="inlineStr"/>
    </row>
    <row r="625" ht="15" customHeight="1">
      <c r="A625" t="inlineStr">
        <is>
          <t>A 5014-2024</t>
        </is>
      </c>
      <c r="B625" s="1" t="n">
        <v>45329</v>
      </c>
      <c r="C625" s="1" t="n">
        <v>45923</v>
      </c>
      <c r="D625" t="inlineStr">
        <is>
          <t>JÄMTLANDS LÄN</t>
        </is>
      </c>
      <c r="E625" t="inlineStr">
        <is>
          <t>BERG</t>
        </is>
      </c>
      <c r="G625" t="n">
        <v>1.1</v>
      </c>
      <c r="H625" t="n">
        <v>0</v>
      </c>
      <c r="I625" t="n">
        <v>0</v>
      </c>
      <c r="J625" t="n">
        <v>0</v>
      </c>
      <c r="K625" t="n">
        <v>0</v>
      </c>
      <c r="L625" t="n">
        <v>0</v>
      </c>
      <c r="M625" t="n">
        <v>0</v>
      </c>
      <c r="N625" t="n">
        <v>0</v>
      </c>
      <c r="O625" t="n">
        <v>0</v>
      </c>
      <c r="P625" t="n">
        <v>0</v>
      </c>
      <c r="Q625" t="n">
        <v>0</v>
      </c>
      <c r="R625" s="2" t="inlineStr"/>
    </row>
    <row r="626" ht="15" customHeight="1">
      <c r="A626" t="inlineStr">
        <is>
          <t>A 22724-2025</t>
        </is>
      </c>
      <c r="B626" s="1" t="n">
        <v>45789.57361111111</v>
      </c>
      <c r="C626" s="1" t="n">
        <v>45923</v>
      </c>
      <c r="D626" t="inlineStr">
        <is>
          <t>JÄMTLANDS LÄN</t>
        </is>
      </c>
      <c r="E626" t="inlineStr">
        <is>
          <t>BERG</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45346-2023</t>
        </is>
      </c>
      <c r="B627" s="1" t="n">
        <v>45191</v>
      </c>
      <c r="C627" s="1" t="n">
        <v>45923</v>
      </c>
      <c r="D627" t="inlineStr">
        <is>
          <t>JÄMTLANDS LÄN</t>
        </is>
      </c>
      <c r="E627" t="inlineStr">
        <is>
          <t>BERG</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51039-2024</t>
        </is>
      </c>
      <c r="B628" s="1" t="n">
        <v>45603.43164351852</v>
      </c>
      <c r="C628" s="1" t="n">
        <v>45923</v>
      </c>
      <c r="D628" t="inlineStr">
        <is>
          <t>JÄMTLANDS LÄN</t>
        </is>
      </c>
      <c r="E628" t="inlineStr">
        <is>
          <t>BERG</t>
        </is>
      </c>
      <c r="G628" t="n">
        <v>14</v>
      </c>
      <c r="H628" t="n">
        <v>0</v>
      </c>
      <c r="I628" t="n">
        <v>0</v>
      </c>
      <c r="J628" t="n">
        <v>0</v>
      </c>
      <c r="K628" t="n">
        <v>0</v>
      </c>
      <c r="L628" t="n">
        <v>0</v>
      </c>
      <c r="M628" t="n">
        <v>0</v>
      </c>
      <c r="N628" t="n">
        <v>0</v>
      </c>
      <c r="O628" t="n">
        <v>0</v>
      </c>
      <c r="P628" t="n">
        <v>0</v>
      </c>
      <c r="Q628" t="n">
        <v>0</v>
      </c>
      <c r="R628" s="2" t="inlineStr"/>
    </row>
    <row r="629" ht="15" customHeight="1">
      <c r="A629" t="inlineStr">
        <is>
          <t>A 20882-2023</t>
        </is>
      </c>
      <c r="B629" s="1" t="n">
        <v>45058</v>
      </c>
      <c r="C629" s="1" t="n">
        <v>45923</v>
      </c>
      <c r="D629" t="inlineStr">
        <is>
          <t>JÄMTLANDS LÄN</t>
        </is>
      </c>
      <c r="E629" t="inlineStr">
        <is>
          <t>BERG</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59521-2024</t>
        </is>
      </c>
      <c r="B630" s="1" t="n">
        <v>45638.57283564815</v>
      </c>
      <c r="C630" s="1" t="n">
        <v>45923</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48307-2024</t>
        </is>
      </c>
      <c r="B631" s="1" t="n">
        <v>45590.47684027778</v>
      </c>
      <c r="C631" s="1" t="n">
        <v>45923</v>
      </c>
      <c r="D631" t="inlineStr">
        <is>
          <t>JÄMTLANDS LÄN</t>
        </is>
      </c>
      <c r="E631" t="inlineStr">
        <is>
          <t>BERG</t>
        </is>
      </c>
      <c r="G631" t="n">
        <v>3.8</v>
      </c>
      <c r="H631" t="n">
        <v>0</v>
      </c>
      <c r="I631" t="n">
        <v>0</v>
      </c>
      <c r="J631" t="n">
        <v>0</v>
      </c>
      <c r="K631" t="n">
        <v>0</v>
      </c>
      <c r="L631" t="n">
        <v>0</v>
      </c>
      <c r="M631" t="n">
        <v>0</v>
      </c>
      <c r="N631" t="n">
        <v>0</v>
      </c>
      <c r="O631" t="n">
        <v>0</v>
      </c>
      <c r="P631" t="n">
        <v>0</v>
      </c>
      <c r="Q631" t="n">
        <v>0</v>
      </c>
      <c r="R631" s="2" t="inlineStr"/>
    </row>
    <row r="632" ht="15" customHeight="1">
      <c r="A632" t="inlineStr">
        <is>
          <t>A 46874-2023</t>
        </is>
      </c>
      <c r="B632" s="1" t="n">
        <v>45200</v>
      </c>
      <c r="C632" s="1" t="n">
        <v>45923</v>
      </c>
      <c r="D632" t="inlineStr">
        <is>
          <t>JÄMTLANDS LÄN</t>
        </is>
      </c>
      <c r="E632" t="inlineStr">
        <is>
          <t>BERG</t>
        </is>
      </c>
      <c r="F632" t="inlineStr">
        <is>
          <t>Naturvårdsverket</t>
        </is>
      </c>
      <c r="G632" t="n">
        <v>1.1</v>
      </c>
      <c r="H632" t="n">
        <v>0</v>
      </c>
      <c r="I632" t="n">
        <v>0</v>
      </c>
      <c r="J632" t="n">
        <v>0</v>
      </c>
      <c r="K632" t="n">
        <v>0</v>
      </c>
      <c r="L632" t="n">
        <v>0</v>
      </c>
      <c r="M632" t="n">
        <v>0</v>
      </c>
      <c r="N632" t="n">
        <v>0</v>
      </c>
      <c r="O632" t="n">
        <v>0</v>
      </c>
      <c r="P632" t="n">
        <v>0</v>
      </c>
      <c r="Q632" t="n">
        <v>0</v>
      </c>
      <c r="R632" s="2" t="inlineStr"/>
    </row>
    <row r="633" ht="15" customHeight="1">
      <c r="A633" t="inlineStr">
        <is>
          <t>A 22672-2025</t>
        </is>
      </c>
      <c r="B633" s="1" t="n">
        <v>45789.4903587963</v>
      </c>
      <c r="C633" s="1" t="n">
        <v>45923</v>
      </c>
      <c r="D633" t="inlineStr">
        <is>
          <t>JÄMTLANDS LÄN</t>
        </is>
      </c>
      <c r="E633" t="inlineStr">
        <is>
          <t>BERG</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1495-2025</t>
        </is>
      </c>
      <c r="B634" s="1" t="n">
        <v>45670.40652777778</v>
      </c>
      <c r="C634" s="1" t="n">
        <v>45923</v>
      </c>
      <c r="D634" t="inlineStr">
        <is>
          <t>JÄMTLANDS LÄN</t>
        </is>
      </c>
      <c r="E634" t="inlineStr">
        <is>
          <t>BERG</t>
        </is>
      </c>
      <c r="G634" t="n">
        <v>0.3</v>
      </c>
      <c r="H634" t="n">
        <v>0</v>
      </c>
      <c r="I634" t="n">
        <v>0</v>
      </c>
      <c r="J634" t="n">
        <v>0</v>
      </c>
      <c r="K634" t="n">
        <v>0</v>
      </c>
      <c r="L634" t="n">
        <v>0</v>
      </c>
      <c r="M634" t="n">
        <v>0</v>
      </c>
      <c r="N634" t="n">
        <v>0</v>
      </c>
      <c r="O634" t="n">
        <v>0</v>
      </c>
      <c r="P634" t="n">
        <v>0</v>
      </c>
      <c r="Q634" t="n">
        <v>0</v>
      </c>
      <c r="R634" s="2" t="inlineStr"/>
    </row>
    <row r="635" ht="15" customHeight="1">
      <c r="A635" t="inlineStr">
        <is>
          <t>A 22653-2025</t>
        </is>
      </c>
      <c r="B635" s="1" t="n">
        <v>45789.46931712963</v>
      </c>
      <c r="C635" s="1" t="n">
        <v>45923</v>
      </c>
      <c r="D635" t="inlineStr">
        <is>
          <t>JÄMTLANDS LÄN</t>
        </is>
      </c>
      <c r="E635" t="inlineStr">
        <is>
          <t>BERG</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35986-2023</t>
        </is>
      </c>
      <c r="B636" s="1" t="n">
        <v>45148</v>
      </c>
      <c r="C636" s="1" t="n">
        <v>45923</v>
      </c>
      <c r="D636" t="inlineStr">
        <is>
          <t>JÄMTLANDS LÄN</t>
        </is>
      </c>
      <c r="E636" t="inlineStr">
        <is>
          <t>BERG</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22995-2025</t>
        </is>
      </c>
      <c r="B637" s="1" t="n">
        <v>45790.58265046297</v>
      </c>
      <c r="C637" s="1" t="n">
        <v>45923</v>
      </c>
      <c r="D637" t="inlineStr">
        <is>
          <t>JÄMTLANDS LÄN</t>
        </is>
      </c>
      <c r="E637" t="inlineStr">
        <is>
          <t>BERG</t>
        </is>
      </c>
      <c r="G637" t="n">
        <v>0.6</v>
      </c>
      <c r="H637" t="n">
        <v>0</v>
      </c>
      <c r="I637" t="n">
        <v>0</v>
      </c>
      <c r="J637" t="n">
        <v>0</v>
      </c>
      <c r="K637" t="n">
        <v>0</v>
      </c>
      <c r="L637" t="n">
        <v>0</v>
      </c>
      <c r="M637" t="n">
        <v>0</v>
      </c>
      <c r="N637" t="n">
        <v>0</v>
      </c>
      <c r="O637" t="n">
        <v>0</v>
      </c>
      <c r="P637" t="n">
        <v>0</v>
      </c>
      <c r="Q637" t="n">
        <v>0</v>
      </c>
      <c r="R637" s="2" t="inlineStr"/>
    </row>
    <row r="638" ht="15" customHeight="1">
      <c r="A638" t="inlineStr">
        <is>
          <t>A 22977-2025</t>
        </is>
      </c>
      <c r="B638" s="1" t="n">
        <v>45790.5657175926</v>
      </c>
      <c r="C638" s="1" t="n">
        <v>45923</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23026-2025</t>
        </is>
      </c>
      <c r="B639" s="1" t="n">
        <v>45790.65690972222</v>
      </c>
      <c r="C639" s="1" t="n">
        <v>45923</v>
      </c>
      <c r="D639" t="inlineStr">
        <is>
          <t>JÄMTLANDS LÄN</t>
        </is>
      </c>
      <c r="E639" t="inlineStr">
        <is>
          <t>BERG</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22991-2025</t>
        </is>
      </c>
      <c r="B640" s="1" t="n">
        <v>45790.57836805555</v>
      </c>
      <c r="C640" s="1" t="n">
        <v>45923</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57661-2024</t>
        </is>
      </c>
      <c r="B641" s="1" t="n">
        <v>45630.6140162037</v>
      </c>
      <c r="C641" s="1" t="n">
        <v>45923</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39102-2024</t>
        </is>
      </c>
      <c r="B642" s="1" t="n">
        <v>45548</v>
      </c>
      <c r="C642" s="1" t="n">
        <v>45923</v>
      </c>
      <c r="D642" t="inlineStr">
        <is>
          <t>JÄMTLANDS LÄN</t>
        </is>
      </c>
      <c r="E642" t="inlineStr">
        <is>
          <t>BERG</t>
        </is>
      </c>
      <c r="G642" t="n">
        <v>193</v>
      </c>
      <c r="H642" t="n">
        <v>0</v>
      </c>
      <c r="I642" t="n">
        <v>0</v>
      </c>
      <c r="J642" t="n">
        <v>0</v>
      </c>
      <c r="K642" t="n">
        <v>0</v>
      </c>
      <c r="L642" t="n">
        <v>0</v>
      </c>
      <c r="M642" t="n">
        <v>0</v>
      </c>
      <c r="N642" t="n">
        <v>0</v>
      </c>
      <c r="O642" t="n">
        <v>0</v>
      </c>
      <c r="P642" t="n">
        <v>0</v>
      </c>
      <c r="Q642" t="n">
        <v>0</v>
      </c>
      <c r="R642" s="2" t="inlineStr"/>
    </row>
    <row r="643" ht="15" customHeight="1">
      <c r="A643" t="inlineStr">
        <is>
          <t>A 58176-2024</t>
        </is>
      </c>
      <c r="B643" s="1" t="n">
        <v>45632.46771990741</v>
      </c>
      <c r="C643" s="1" t="n">
        <v>45923</v>
      </c>
      <c r="D643" t="inlineStr">
        <is>
          <t>JÄMTLANDS LÄN</t>
        </is>
      </c>
      <c r="E643" t="inlineStr">
        <is>
          <t>BERG</t>
        </is>
      </c>
      <c r="G643" t="n">
        <v>14.4</v>
      </c>
      <c r="H643" t="n">
        <v>0</v>
      </c>
      <c r="I643" t="n">
        <v>0</v>
      </c>
      <c r="J643" t="n">
        <v>0</v>
      </c>
      <c r="K643" t="n">
        <v>0</v>
      </c>
      <c r="L643" t="n">
        <v>0</v>
      </c>
      <c r="M643" t="n">
        <v>0</v>
      </c>
      <c r="N643" t="n">
        <v>0</v>
      </c>
      <c r="O643" t="n">
        <v>0</v>
      </c>
      <c r="P643" t="n">
        <v>0</v>
      </c>
      <c r="Q643" t="n">
        <v>0</v>
      </c>
      <c r="R643" s="2" t="inlineStr"/>
    </row>
    <row r="644" ht="15" customHeight="1">
      <c r="A644" t="inlineStr">
        <is>
          <t>A 7021-2025</t>
        </is>
      </c>
      <c r="B644" s="1" t="n">
        <v>45701.61520833334</v>
      </c>
      <c r="C644" s="1" t="n">
        <v>45923</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34650-2024</t>
        </is>
      </c>
      <c r="B645" s="1" t="n">
        <v>45526.48329861111</v>
      </c>
      <c r="C645" s="1" t="n">
        <v>45923</v>
      </c>
      <c r="D645" t="inlineStr">
        <is>
          <t>JÄMTLANDS LÄN</t>
        </is>
      </c>
      <c r="E645" t="inlineStr">
        <is>
          <t>BERG</t>
        </is>
      </c>
      <c r="G645" t="n">
        <v>4.9</v>
      </c>
      <c r="H645" t="n">
        <v>0</v>
      </c>
      <c r="I645" t="n">
        <v>0</v>
      </c>
      <c r="J645" t="n">
        <v>0</v>
      </c>
      <c r="K645" t="n">
        <v>0</v>
      </c>
      <c r="L645" t="n">
        <v>0</v>
      </c>
      <c r="M645" t="n">
        <v>0</v>
      </c>
      <c r="N645" t="n">
        <v>0</v>
      </c>
      <c r="O645" t="n">
        <v>0</v>
      </c>
      <c r="P645" t="n">
        <v>0</v>
      </c>
      <c r="Q645" t="n">
        <v>0</v>
      </c>
      <c r="R645" s="2" t="inlineStr"/>
    </row>
    <row r="646" ht="15" customHeight="1">
      <c r="A646" t="inlineStr">
        <is>
          <t>A 49048-2024</t>
        </is>
      </c>
      <c r="B646" s="1" t="n">
        <v>45594.57427083333</v>
      </c>
      <c r="C646" s="1" t="n">
        <v>45923</v>
      </c>
      <c r="D646" t="inlineStr">
        <is>
          <t>JÄMTLANDS LÄN</t>
        </is>
      </c>
      <c r="E646" t="inlineStr">
        <is>
          <t>BERG</t>
        </is>
      </c>
      <c r="G646" t="n">
        <v>1.3</v>
      </c>
      <c r="H646" t="n">
        <v>0</v>
      </c>
      <c r="I646" t="n">
        <v>0</v>
      </c>
      <c r="J646" t="n">
        <v>0</v>
      </c>
      <c r="K646" t="n">
        <v>0</v>
      </c>
      <c r="L646" t="n">
        <v>0</v>
      </c>
      <c r="M646" t="n">
        <v>0</v>
      </c>
      <c r="N646" t="n">
        <v>0</v>
      </c>
      <c r="O646" t="n">
        <v>0</v>
      </c>
      <c r="P646" t="n">
        <v>0</v>
      </c>
      <c r="Q646" t="n">
        <v>0</v>
      </c>
      <c r="R646" s="2" t="inlineStr"/>
    </row>
    <row r="647" ht="15" customHeight="1">
      <c r="A647" t="inlineStr">
        <is>
          <t>A 23902-2025</t>
        </is>
      </c>
      <c r="B647" s="1" t="n">
        <v>45794.34447916667</v>
      </c>
      <c r="C647" s="1" t="n">
        <v>45923</v>
      </c>
      <c r="D647" t="inlineStr">
        <is>
          <t>JÄMTLANDS LÄN</t>
        </is>
      </c>
      <c r="E647" t="inlineStr">
        <is>
          <t>BERG</t>
        </is>
      </c>
      <c r="F647" t="inlineStr">
        <is>
          <t>SCA</t>
        </is>
      </c>
      <c r="G647" t="n">
        <v>14.3</v>
      </c>
      <c r="H647" t="n">
        <v>0</v>
      </c>
      <c r="I647" t="n">
        <v>0</v>
      </c>
      <c r="J647" t="n">
        <v>0</v>
      </c>
      <c r="K647" t="n">
        <v>0</v>
      </c>
      <c r="L647" t="n">
        <v>0</v>
      </c>
      <c r="M647" t="n">
        <v>0</v>
      </c>
      <c r="N647" t="n">
        <v>0</v>
      </c>
      <c r="O647" t="n">
        <v>0</v>
      </c>
      <c r="P647" t="n">
        <v>0</v>
      </c>
      <c r="Q647" t="n">
        <v>0</v>
      </c>
      <c r="R647" s="2" t="inlineStr"/>
    </row>
    <row r="648" ht="15" customHeight="1">
      <c r="A648" t="inlineStr">
        <is>
          <t>A 23913-2025</t>
        </is>
      </c>
      <c r="B648" s="1" t="n">
        <v>45795.34442129629</v>
      </c>
      <c r="C648" s="1" t="n">
        <v>45923</v>
      </c>
      <c r="D648" t="inlineStr">
        <is>
          <t>JÄMTLANDS LÄN</t>
        </is>
      </c>
      <c r="E648" t="inlineStr">
        <is>
          <t>BERG</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37248-2023</t>
        </is>
      </c>
      <c r="B649" s="1" t="n">
        <v>45155.954375</v>
      </c>
      <c r="C649" s="1" t="n">
        <v>45923</v>
      </c>
      <c r="D649" t="inlineStr">
        <is>
          <t>JÄMTLANDS LÄN</t>
        </is>
      </c>
      <c r="E649" t="inlineStr">
        <is>
          <t>BERG</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23900-2025</t>
        </is>
      </c>
      <c r="B650" s="1" t="n">
        <v>45794.34425925926</v>
      </c>
      <c r="C650" s="1" t="n">
        <v>45923</v>
      </c>
      <c r="D650" t="inlineStr">
        <is>
          <t>JÄMTLANDS LÄN</t>
        </is>
      </c>
      <c r="E650" t="inlineStr">
        <is>
          <t>BERG</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23915-2025</t>
        </is>
      </c>
      <c r="B651" s="1" t="n">
        <v>45795.3446412037</v>
      </c>
      <c r="C651" s="1" t="n">
        <v>45923</v>
      </c>
      <c r="D651" t="inlineStr">
        <is>
          <t>JÄMTLANDS LÄN</t>
        </is>
      </c>
      <c r="E651" t="inlineStr">
        <is>
          <t>BERG</t>
        </is>
      </c>
      <c r="F651" t="inlineStr">
        <is>
          <t>SCA</t>
        </is>
      </c>
      <c r="G651" t="n">
        <v>16.7</v>
      </c>
      <c r="H651" t="n">
        <v>0</v>
      </c>
      <c r="I651" t="n">
        <v>0</v>
      </c>
      <c r="J651" t="n">
        <v>0</v>
      </c>
      <c r="K651" t="n">
        <v>0</v>
      </c>
      <c r="L651" t="n">
        <v>0</v>
      </c>
      <c r="M651" t="n">
        <v>0</v>
      </c>
      <c r="N651" t="n">
        <v>0</v>
      </c>
      <c r="O651" t="n">
        <v>0</v>
      </c>
      <c r="P651" t="n">
        <v>0</v>
      </c>
      <c r="Q651" t="n">
        <v>0</v>
      </c>
      <c r="R651" s="2" t="inlineStr"/>
    </row>
    <row r="652" ht="15" customHeight="1">
      <c r="A652" t="inlineStr">
        <is>
          <t>A 23916-2025</t>
        </is>
      </c>
      <c r="B652" s="1" t="n">
        <v>45795.34472222222</v>
      </c>
      <c r="C652" s="1" t="n">
        <v>45923</v>
      </c>
      <c r="D652" t="inlineStr">
        <is>
          <t>JÄMTLANDS LÄN</t>
        </is>
      </c>
      <c r="E652" t="inlineStr">
        <is>
          <t>BERG</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2855-2025</t>
        </is>
      </c>
      <c r="B653" s="1" t="n">
        <v>45678</v>
      </c>
      <c r="C653" s="1" t="n">
        <v>45923</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23920-2025</t>
        </is>
      </c>
      <c r="B654" s="1" t="n">
        <v>45795.34505787037</v>
      </c>
      <c r="C654" s="1" t="n">
        <v>45923</v>
      </c>
      <c r="D654" t="inlineStr">
        <is>
          <t>JÄMTLANDS LÄN</t>
        </is>
      </c>
      <c r="E654" t="inlineStr">
        <is>
          <t>BERG</t>
        </is>
      </c>
      <c r="F654" t="inlineStr">
        <is>
          <t>SCA</t>
        </is>
      </c>
      <c r="G654" t="n">
        <v>8.5</v>
      </c>
      <c r="H654" t="n">
        <v>0</v>
      </c>
      <c r="I654" t="n">
        <v>0</v>
      </c>
      <c r="J654" t="n">
        <v>0</v>
      </c>
      <c r="K654" t="n">
        <v>0</v>
      </c>
      <c r="L654" t="n">
        <v>0</v>
      </c>
      <c r="M654" t="n">
        <v>0</v>
      </c>
      <c r="N654" t="n">
        <v>0</v>
      </c>
      <c r="O654" t="n">
        <v>0</v>
      </c>
      <c r="P654" t="n">
        <v>0</v>
      </c>
      <c r="Q654" t="n">
        <v>0</v>
      </c>
      <c r="R654" s="2" t="inlineStr"/>
    </row>
    <row r="655" ht="15" customHeight="1">
      <c r="A655" t="inlineStr">
        <is>
          <t>A 23901-2025</t>
        </is>
      </c>
      <c r="B655" s="1" t="n">
        <v>45794.34436342592</v>
      </c>
      <c r="C655" s="1" t="n">
        <v>45923</v>
      </c>
      <c r="D655" t="inlineStr">
        <is>
          <t>JÄMTLANDS LÄN</t>
        </is>
      </c>
      <c r="E655" t="inlineStr">
        <is>
          <t>BERG</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23919-2025</t>
        </is>
      </c>
      <c r="B656" s="1" t="n">
        <v>45795.34497685185</v>
      </c>
      <c r="C656" s="1" t="n">
        <v>45923</v>
      </c>
      <c r="D656" t="inlineStr">
        <is>
          <t>JÄMTLANDS LÄN</t>
        </is>
      </c>
      <c r="E656" t="inlineStr">
        <is>
          <t>BERG</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7482-2022</t>
        </is>
      </c>
      <c r="B657" s="1" t="n">
        <v>44606</v>
      </c>
      <c r="C657" s="1" t="n">
        <v>45923</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61085-2024</t>
        </is>
      </c>
      <c r="B658" s="1" t="n">
        <v>45645.53202546296</v>
      </c>
      <c r="C658" s="1" t="n">
        <v>45923</v>
      </c>
      <c r="D658" t="inlineStr">
        <is>
          <t>JÄMTLANDS LÄN</t>
        </is>
      </c>
      <c r="E658" t="inlineStr">
        <is>
          <t>BERG</t>
        </is>
      </c>
      <c r="F658" t="inlineStr">
        <is>
          <t>SCA</t>
        </is>
      </c>
      <c r="G658" t="n">
        <v>12.2</v>
      </c>
      <c r="H658" t="n">
        <v>0</v>
      </c>
      <c r="I658" t="n">
        <v>0</v>
      </c>
      <c r="J658" t="n">
        <v>0</v>
      </c>
      <c r="K658" t="n">
        <v>0</v>
      </c>
      <c r="L658" t="n">
        <v>0</v>
      </c>
      <c r="M658" t="n">
        <v>0</v>
      </c>
      <c r="N658" t="n">
        <v>0</v>
      </c>
      <c r="O658" t="n">
        <v>0</v>
      </c>
      <c r="P658" t="n">
        <v>0</v>
      </c>
      <c r="Q658" t="n">
        <v>0</v>
      </c>
      <c r="R658" s="2" t="inlineStr"/>
    </row>
    <row r="659" ht="15" customHeight="1">
      <c r="A659" t="inlineStr">
        <is>
          <t>A 24060-2025</t>
        </is>
      </c>
      <c r="B659" s="1" t="n">
        <v>45796.5216087963</v>
      </c>
      <c r="C659" s="1" t="n">
        <v>45923</v>
      </c>
      <c r="D659" t="inlineStr">
        <is>
          <t>JÄMTLANDS LÄN</t>
        </is>
      </c>
      <c r="E659" t="inlineStr">
        <is>
          <t>BERG</t>
        </is>
      </c>
      <c r="G659" t="n">
        <v>4.7</v>
      </c>
      <c r="H659" t="n">
        <v>0</v>
      </c>
      <c r="I659" t="n">
        <v>0</v>
      </c>
      <c r="J659" t="n">
        <v>0</v>
      </c>
      <c r="K659" t="n">
        <v>0</v>
      </c>
      <c r="L659" t="n">
        <v>0</v>
      </c>
      <c r="M659" t="n">
        <v>0</v>
      </c>
      <c r="N659" t="n">
        <v>0</v>
      </c>
      <c r="O659" t="n">
        <v>0</v>
      </c>
      <c r="P659" t="n">
        <v>0</v>
      </c>
      <c r="Q659" t="n">
        <v>0</v>
      </c>
      <c r="R659" s="2" t="inlineStr"/>
    </row>
    <row r="660" ht="15" customHeight="1">
      <c r="A660" t="inlineStr">
        <is>
          <t>A 3961-2025</t>
        </is>
      </c>
      <c r="B660" s="1" t="n">
        <v>45684.50217592593</v>
      </c>
      <c r="C660" s="1" t="n">
        <v>45923</v>
      </c>
      <c r="D660" t="inlineStr">
        <is>
          <t>JÄMTLANDS LÄN</t>
        </is>
      </c>
      <c r="E660" t="inlineStr">
        <is>
          <t>BERG</t>
        </is>
      </c>
      <c r="G660" t="n">
        <v>14.9</v>
      </c>
      <c r="H660" t="n">
        <v>0</v>
      </c>
      <c r="I660" t="n">
        <v>0</v>
      </c>
      <c r="J660" t="n">
        <v>0</v>
      </c>
      <c r="K660" t="n">
        <v>0</v>
      </c>
      <c r="L660" t="n">
        <v>0</v>
      </c>
      <c r="M660" t="n">
        <v>0</v>
      </c>
      <c r="N660" t="n">
        <v>0</v>
      </c>
      <c r="O660" t="n">
        <v>0</v>
      </c>
      <c r="P660" t="n">
        <v>0</v>
      </c>
      <c r="Q660" t="n">
        <v>0</v>
      </c>
      <c r="R660" s="2" t="inlineStr"/>
    </row>
    <row r="661" ht="15" customHeight="1">
      <c r="A661" t="inlineStr">
        <is>
          <t>A 43616-2024</t>
        </is>
      </c>
      <c r="B661" s="1" t="n">
        <v>45569</v>
      </c>
      <c r="C661" s="1" t="n">
        <v>45923</v>
      </c>
      <c r="D661" t="inlineStr">
        <is>
          <t>JÄMTLANDS LÄN</t>
        </is>
      </c>
      <c r="E661" t="inlineStr">
        <is>
          <t>BERG</t>
        </is>
      </c>
      <c r="G661" t="n">
        <v>12.3</v>
      </c>
      <c r="H661" t="n">
        <v>0</v>
      </c>
      <c r="I661" t="n">
        <v>0</v>
      </c>
      <c r="J661" t="n">
        <v>0</v>
      </c>
      <c r="K661" t="n">
        <v>0</v>
      </c>
      <c r="L661" t="n">
        <v>0</v>
      </c>
      <c r="M661" t="n">
        <v>0</v>
      </c>
      <c r="N661" t="n">
        <v>0</v>
      </c>
      <c r="O661" t="n">
        <v>0</v>
      </c>
      <c r="P661" t="n">
        <v>0</v>
      </c>
      <c r="Q661" t="n">
        <v>0</v>
      </c>
      <c r="R661" s="2" t="inlineStr"/>
    </row>
    <row r="662" ht="15" customHeight="1">
      <c r="A662" t="inlineStr">
        <is>
          <t>A 3964-2025</t>
        </is>
      </c>
      <c r="B662" s="1" t="n">
        <v>45684.50761574074</v>
      </c>
      <c r="C662" s="1" t="n">
        <v>45923</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23766-2025</t>
        </is>
      </c>
      <c r="B663" s="1" t="n">
        <v>45793.46954861111</v>
      </c>
      <c r="C663" s="1" t="n">
        <v>45923</v>
      </c>
      <c r="D663" t="inlineStr">
        <is>
          <t>JÄMTLANDS LÄN</t>
        </is>
      </c>
      <c r="E663" t="inlineStr">
        <is>
          <t>BERG</t>
        </is>
      </c>
      <c r="F663" t="inlineStr">
        <is>
          <t>Sveaskog</t>
        </is>
      </c>
      <c r="G663" t="n">
        <v>3.6</v>
      </c>
      <c r="H663" t="n">
        <v>0</v>
      </c>
      <c r="I663" t="n">
        <v>0</v>
      </c>
      <c r="J663" t="n">
        <v>0</v>
      </c>
      <c r="K663" t="n">
        <v>0</v>
      </c>
      <c r="L663" t="n">
        <v>0</v>
      </c>
      <c r="M663" t="n">
        <v>0</v>
      </c>
      <c r="N663" t="n">
        <v>0</v>
      </c>
      <c r="O663" t="n">
        <v>0</v>
      </c>
      <c r="P663" t="n">
        <v>0</v>
      </c>
      <c r="Q663" t="n">
        <v>0</v>
      </c>
      <c r="R663" s="2" t="inlineStr"/>
    </row>
    <row r="664" ht="15" customHeight="1">
      <c r="A664" t="inlineStr">
        <is>
          <t>A 13149-2025</t>
        </is>
      </c>
      <c r="B664" s="1" t="n">
        <v>45735.34424768519</v>
      </c>
      <c r="C664" s="1" t="n">
        <v>45923</v>
      </c>
      <c r="D664" t="inlineStr">
        <is>
          <t>JÄMTLANDS LÄN</t>
        </is>
      </c>
      <c r="E664" t="inlineStr">
        <is>
          <t>BERG</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24360-2025</t>
        </is>
      </c>
      <c r="B665" s="1" t="n">
        <v>45797.59502314815</v>
      </c>
      <c r="C665" s="1" t="n">
        <v>45923</v>
      </c>
      <c r="D665" t="inlineStr">
        <is>
          <t>JÄMTLANDS LÄN</t>
        </is>
      </c>
      <c r="E665" t="inlineStr">
        <is>
          <t>BERG</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24324-2025</t>
        </is>
      </c>
      <c r="B666" s="1" t="n">
        <v>45797.56049768518</v>
      </c>
      <c r="C666" s="1" t="n">
        <v>45923</v>
      </c>
      <c r="D666" t="inlineStr">
        <is>
          <t>JÄMTLANDS LÄN</t>
        </is>
      </c>
      <c r="E666" t="inlineStr">
        <is>
          <t>BERG</t>
        </is>
      </c>
      <c r="G666" t="n">
        <v>1.6</v>
      </c>
      <c r="H666" t="n">
        <v>0</v>
      </c>
      <c r="I666" t="n">
        <v>0</v>
      </c>
      <c r="J666" t="n">
        <v>0</v>
      </c>
      <c r="K666" t="n">
        <v>0</v>
      </c>
      <c r="L666" t="n">
        <v>0</v>
      </c>
      <c r="M666" t="n">
        <v>0</v>
      </c>
      <c r="N666" t="n">
        <v>0</v>
      </c>
      <c r="O666" t="n">
        <v>0</v>
      </c>
      <c r="P666" t="n">
        <v>0</v>
      </c>
      <c r="Q666" t="n">
        <v>0</v>
      </c>
      <c r="R666" s="2" t="inlineStr"/>
    </row>
    <row r="667" ht="15" customHeight="1">
      <c r="A667" t="inlineStr">
        <is>
          <t>A 24390-2025</t>
        </is>
      </c>
      <c r="B667" s="1" t="n">
        <v>45797.63576388889</v>
      </c>
      <c r="C667" s="1" t="n">
        <v>45923</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53085-2024</t>
        </is>
      </c>
      <c r="B668" s="1" t="n">
        <v>45611.51072916666</v>
      </c>
      <c r="C668" s="1" t="n">
        <v>45923</v>
      </c>
      <c r="D668" t="inlineStr">
        <is>
          <t>JÄMTLANDS LÄN</t>
        </is>
      </c>
      <c r="E668" t="inlineStr">
        <is>
          <t>BERG</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24442-2025</t>
        </is>
      </c>
      <c r="B669" s="1" t="n">
        <v>45797.96236111111</v>
      </c>
      <c r="C669" s="1" t="n">
        <v>45923</v>
      </c>
      <c r="D669" t="inlineStr">
        <is>
          <t>JÄMTLANDS LÄN</t>
        </is>
      </c>
      <c r="E669" t="inlineStr">
        <is>
          <t>BERG</t>
        </is>
      </c>
      <c r="G669" t="n">
        <v>9</v>
      </c>
      <c r="H669" t="n">
        <v>0</v>
      </c>
      <c r="I669" t="n">
        <v>0</v>
      </c>
      <c r="J669" t="n">
        <v>0</v>
      </c>
      <c r="K669" t="n">
        <v>0</v>
      </c>
      <c r="L669" t="n">
        <v>0</v>
      </c>
      <c r="M669" t="n">
        <v>0</v>
      </c>
      <c r="N669" t="n">
        <v>0</v>
      </c>
      <c r="O669" t="n">
        <v>0</v>
      </c>
      <c r="P669" t="n">
        <v>0</v>
      </c>
      <c r="Q669" t="n">
        <v>0</v>
      </c>
      <c r="R669" s="2" t="inlineStr"/>
    </row>
    <row r="670" ht="15" customHeight="1">
      <c r="A670" t="inlineStr">
        <is>
          <t>A 24644-2025</t>
        </is>
      </c>
      <c r="B670" s="1" t="n">
        <v>45798.63278935185</v>
      </c>
      <c r="C670" s="1" t="n">
        <v>45923</v>
      </c>
      <c r="D670" t="inlineStr">
        <is>
          <t>JÄMTLANDS LÄN</t>
        </is>
      </c>
      <c r="E670" t="inlineStr">
        <is>
          <t>BERG</t>
        </is>
      </c>
      <c r="G670" t="n">
        <v>24.4</v>
      </c>
      <c r="H670" t="n">
        <v>0</v>
      </c>
      <c r="I670" t="n">
        <v>0</v>
      </c>
      <c r="J670" t="n">
        <v>0</v>
      </c>
      <c r="K670" t="n">
        <v>0</v>
      </c>
      <c r="L670" t="n">
        <v>0</v>
      </c>
      <c r="M670" t="n">
        <v>0</v>
      </c>
      <c r="N670" t="n">
        <v>0</v>
      </c>
      <c r="O670" t="n">
        <v>0</v>
      </c>
      <c r="P670" t="n">
        <v>0</v>
      </c>
      <c r="Q670" t="n">
        <v>0</v>
      </c>
      <c r="R670" s="2" t="inlineStr"/>
    </row>
    <row r="671" ht="15" customHeight="1">
      <c r="A671" t="inlineStr">
        <is>
          <t>A 21508-2024</t>
        </is>
      </c>
      <c r="B671" s="1" t="n">
        <v>45441.56905092593</v>
      </c>
      <c r="C671" s="1" t="n">
        <v>45923</v>
      </c>
      <c r="D671" t="inlineStr">
        <is>
          <t>JÄMTLANDS LÄN</t>
        </is>
      </c>
      <c r="E671" t="inlineStr">
        <is>
          <t>BERG</t>
        </is>
      </c>
      <c r="G671" t="n">
        <v>3.2</v>
      </c>
      <c r="H671" t="n">
        <v>0</v>
      </c>
      <c r="I671" t="n">
        <v>0</v>
      </c>
      <c r="J671" t="n">
        <v>0</v>
      </c>
      <c r="K671" t="n">
        <v>0</v>
      </c>
      <c r="L671" t="n">
        <v>0</v>
      </c>
      <c r="M671" t="n">
        <v>0</v>
      </c>
      <c r="N671" t="n">
        <v>0</v>
      </c>
      <c r="O671" t="n">
        <v>0</v>
      </c>
      <c r="P671" t="n">
        <v>0</v>
      </c>
      <c r="Q671" t="n">
        <v>0</v>
      </c>
      <c r="R671" s="2" t="inlineStr"/>
    </row>
    <row r="672" ht="15" customHeight="1">
      <c r="A672" t="inlineStr">
        <is>
          <t>A 29378-2024</t>
        </is>
      </c>
      <c r="B672" s="1" t="n">
        <v>45483.59328703704</v>
      </c>
      <c r="C672" s="1" t="n">
        <v>45923</v>
      </c>
      <c r="D672" t="inlineStr">
        <is>
          <t>JÄMTLANDS LÄN</t>
        </is>
      </c>
      <c r="E672" t="inlineStr">
        <is>
          <t>BERG</t>
        </is>
      </c>
      <c r="G672" t="n">
        <v>5.6</v>
      </c>
      <c r="H672" t="n">
        <v>0</v>
      </c>
      <c r="I672" t="n">
        <v>0</v>
      </c>
      <c r="J672" t="n">
        <v>0</v>
      </c>
      <c r="K672" t="n">
        <v>0</v>
      </c>
      <c r="L672" t="n">
        <v>0</v>
      </c>
      <c r="M672" t="n">
        <v>0</v>
      </c>
      <c r="N672" t="n">
        <v>0</v>
      </c>
      <c r="O672" t="n">
        <v>0</v>
      </c>
      <c r="P672" t="n">
        <v>0</v>
      </c>
      <c r="Q672" t="n">
        <v>0</v>
      </c>
      <c r="R672" s="2" t="inlineStr"/>
    </row>
    <row r="673" ht="15" customHeight="1">
      <c r="A673" t="inlineStr">
        <is>
          <t>A 24786-2025</t>
        </is>
      </c>
      <c r="B673" s="1" t="n">
        <v>45799.42777777778</v>
      </c>
      <c r="C673" s="1" t="n">
        <v>45923</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33386-2025</t>
        </is>
      </c>
      <c r="B674" s="1" t="n">
        <v>45841.40587962963</v>
      </c>
      <c r="C674" s="1" t="n">
        <v>45923</v>
      </c>
      <c r="D674" t="inlineStr">
        <is>
          <t>JÄMTLANDS LÄN</t>
        </is>
      </c>
      <c r="E674" t="inlineStr">
        <is>
          <t>BERG</t>
        </is>
      </c>
      <c r="G674" t="n">
        <v>37.7</v>
      </c>
      <c r="H674" t="n">
        <v>0</v>
      </c>
      <c r="I674" t="n">
        <v>0</v>
      </c>
      <c r="J674" t="n">
        <v>0</v>
      </c>
      <c r="K674" t="n">
        <v>0</v>
      </c>
      <c r="L674" t="n">
        <v>0</v>
      </c>
      <c r="M674" t="n">
        <v>0</v>
      </c>
      <c r="N674" t="n">
        <v>0</v>
      </c>
      <c r="O674" t="n">
        <v>0</v>
      </c>
      <c r="P674" t="n">
        <v>0</v>
      </c>
      <c r="Q674" t="n">
        <v>0</v>
      </c>
      <c r="R674" s="2" t="inlineStr"/>
    </row>
    <row r="675" ht="15" customHeight="1">
      <c r="A675" t="inlineStr">
        <is>
          <t>A 2247-2025</t>
        </is>
      </c>
      <c r="B675" s="1" t="n">
        <v>45673.49039351852</v>
      </c>
      <c r="C675" s="1" t="n">
        <v>45923</v>
      </c>
      <c r="D675" t="inlineStr">
        <is>
          <t>JÄMTLANDS LÄN</t>
        </is>
      </c>
      <c r="E675" t="inlineStr">
        <is>
          <t>BERG</t>
        </is>
      </c>
      <c r="F675" t="inlineStr">
        <is>
          <t>SCA</t>
        </is>
      </c>
      <c r="G675" t="n">
        <v>13.3</v>
      </c>
      <c r="H675" t="n">
        <v>0</v>
      </c>
      <c r="I675" t="n">
        <v>0</v>
      </c>
      <c r="J675" t="n">
        <v>0</v>
      </c>
      <c r="K675" t="n">
        <v>0</v>
      </c>
      <c r="L675" t="n">
        <v>0</v>
      </c>
      <c r="M675" t="n">
        <v>0</v>
      </c>
      <c r="N675" t="n">
        <v>0</v>
      </c>
      <c r="O675" t="n">
        <v>0</v>
      </c>
      <c r="P675" t="n">
        <v>0</v>
      </c>
      <c r="Q675" t="n">
        <v>0</v>
      </c>
      <c r="R675" s="2" t="inlineStr"/>
    </row>
    <row r="676" ht="15" customHeight="1">
      <c r="A676" t="inlineStr">
        <is>
          <t>A 24849-2025</t>
        </is>
      </c>
      <c r="B676" s="1" t="n">
        <v>45799.46949074074</v>
      </c>
      <c r="C676" s="1" t="n">
        <v>45923</v>
      </c>
      <c r="D676" t="inlineStr">
        <is>
          <t>JÄMTLANDS LÄN</t>
        </is>
      </c>
      <c r="E676" t="inlineStr">
        <is>
          <t>BERG</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24869-2025</t>
        </is>
      </c>
      <c r="B677" s="1" t="n">
        <v>45799.48994212963</v>
      </c>
      <c r="C677" s="1" t="n">
        <v>45923</v>
      </c>
      <c r="D677" t="inlineStr">
        <is>
          <t>JÄMTLANDS LÄN</t>
        </is>
      </c>
      <c r="E677" t="inlineStr">
        <is>
          <t>BERG</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60409-2023</t>
        </is>
      </c>
      <c r="B678" s="1" t="n">
        <v>45259.47972222222</v>
      </c>
      <c r="C678" s="1" t="n">
        <v>45923</v>
      </c>
      <c r="D678" t="inlineStr">
        <is>
          <t>JÄMTLANDS LÄN</t>
        </is>
      </c>
      <c r="E678" t="inlineStr">
        <is>
          <t>BERG</t>
        </is>
      </c>
      <c r="G678" t="n">
        <v>5.8</v>
      </c>
      <c r="H678" t="n">
        <v>0</v>
      </c>
      <c r="I678" t="n">
        <v>0</v>
      </c>
      <c r="J678" t="n">
        <v>0</v>
      </c>
      <c r="K678" t="n">
        <v>0</v>
      </c>
      <c r="L678" t="n">
        <v>0</v>
      </c>
      <c r="M678" t="n">
        <v>0</v>
      </c>
      <c r="N678" t="n">
        <v>0</v>
      </c>
      <c r="O678" t="n">
        <v>0</v>
      </c>
      <c r="P678" t="n">
        <v>0</v>
      </c>
      <c r="Q678" t="n">
        <v>0</v>
      </c>
      <c r="R678" s="2" t="inlineStr"/>
    </row>
    <row r="679" ht="15" customHeight="1">
      <c r="A679" t="inlineStr">
        <is>
          <t>A 24954-2025</t>
        </is>
      </c>
      <c r="B679" s="1" t="n">
        <v>45799.57385416667</v>
      </c>
      <c r="C679" s="1" t="n">
        <v>45923</v>
      </c>
      <c r="D679" t="inlineStr">
        <is>
          <t>JÄMTLANDS LÄN</t>
        </is>
      </c>
      <c r="E679" t="inlineStr">
        <is>
          <t>BERG</t>
        </is>
      </c>
      <c r="F679" t="inlineStr">
        <is>
          <t>SCA</t>
        </is>
      </c>
      <c r="G679" t="n">
        <v>4.5</v>
      </c>
      <c r="H679" t="n">
        <v>0</v>
      </c>
      <c r="I679" t="n">
        <v>0</v>
      </c>
      <c r="J679" t="n">
        <v>0</v>
      </c>
      <c r="K679" t="n">
        <v>0</v>
      </c>
      <c r="L679" t="n">
        <v>0</v>
      </c>
      <c r="M679" t="n">
        <v>0</v>
      </c>
      <c r="N679" t="n">
        <v>0</v>
      </c>
      <c r="O679" t="n">
        <v>0</v>
      </c>
      <c r="P679" t="n">
        <v>0</v>
      </c>
      <c r="Q679" t="n">
        <v>0</v>
      </c>
      <c r="R679" s="2" t="inlineStr"/>
    </row>
    <row r="680" ht="15" customHeight="1">
      <c r="A680" t="inlineStr">
        <is>
          <t>A 4527-2025</t>
        </is>
      </c>
      <c r="B680" s="1" t="n">
        <v>45686</v>
      </c>
      <c r="C680" s="1" t="n">
        <v>45923</v>
      </c>
      <c r="D680" t="inlineStr">
        <is>
          <t>JÄMTLANDS LÄN</t>
        </is>
      </c>
      <c r="E680" t="inlineStr">
        <is>
          <t>BERG</t>
        </is>
      </c>
      <c r="G680" t="n">
        <v>17.8</v>
      </c>
      <c r="H680" t="n">
        <v>0</v>
      </c>
      <c r="I680" t="n">
        <v>0</v>
      </c>
      <c r="J680" t="n">
        <v>0</v>
      </c>
      <c r="K680" t="n">
        <v>0</v>
      </c>
      <c r="L680" t="n">
        <v>0</v>
      </c>
      <c r="M680" t="n">
        <v>0</v>
      </c>
      <c r="N680" t="n">
        <v>0</v>
      </c>
      <c r="O680" t="n">
        <v>0</v>
      </c>
      <c r="P680" t="n">
        <v>0</v>
      </c>
      <c r="Q680" t="n">
        <v>0</v>
      </c>
      <c r="R680" s="2" t="inlineStr"/>
    </row>
    <row r="681" ht="15" customHeight="1">
      <c r="A681" t="inlineStr">
        <is>
          <t>A 64709-2021</t>
        </is>
      </c>
      <c r="B681" s="1" t="n">
        <v>44512</v>
      </c>
      <c r="C681" s="1" t="n">
        <v>45923</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25938-2025</t>
        </is>
      </c>
      <c r="B682" s="1" t="n">
        <v>45804.59414351852</v>
      </c>
      <c r="C682" s="1" t="n">
        <v>45923</v>
      </c>
      <c r="D682" t="inlineStr">
        <is>
          <t>JÄMTLANDS LÄN</t>
        </is>
      </c>
      <c r="E682" t="inlineStr">
        <is>
          <t>BERG</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1646-2021</t>
        </is>
      </c>
      <c r="B683" s="1" t="n">
        <v>44209</v>
      </c>
      <c r="C683" s="1" t="n">
        <v>45923</v>
      </c>
      <c r="D683" t="inlineStr">
        <is>
          <t>JÄMTLANDS LÄN</t>
        </is>
      </c>
      <c r="E683" t="inlineStr">
        <is>
          <t>BERG</t>
        </is>
      </c>
      <c r="G683" t="n">
        <v>0.1</v>
      </c>
      <c r="H683" t="n">
        <v>0</v>
      </c>
      <c r="I683" t="n">
        <v>0</v>
      </c>
      <c r="J683" t="n">
        <v>0</v>
      </c>
      <c r="K683" t="n">
        <v>0</v>
      </c>
      <c r="L683" t="n">
        <v>0</v>
      </c>
      <c r="M683" t="n">
        <v>0</v>
      </c>
      <c r="N683" t="n">
        <v>0</v>
      </c>
      <c r="O683" t="n">
        <v>0</v>
      </c>
      <c r="P683" t="n">
        <v>0</v>
      </c>
      <c r="Q683" t="n">
        <v>0</v>
      </c>
      <c r="R683" s="2" t="inlineStr"/>
    </row>
    <row r="684" ht="15" customHeight="1">
      <c r="A684" t="inlineStr">
        <is>
          <t>A 25960-2025</t>
        </is>
      </c>
      <c r="B684" s="1" t="n">
        <v>45804.60972222222</v>
      </c>
      <c r="C684" s="1" t="n">
        <v>45923</v>
      </c>
      <c r="D684" t="inlineStr">
        <is>
          <t>JÄMTLANDS LÄN</t>
        </is>
      </c>
      <c r="E684" t="inlineStr">
        <is>
          <t>BERG</t>
        </is>
      </c>
      <c r="G684" t="n">
        <v>7.3</v>
      </c>
      <c r="H684" t="n">
        <v>0</v>
      </c>
      <c r="I684" t="n">
        <v>0</v>
      </c>
      <c r="J684" t="n">
        <v>0</v>
      </c>
      <c r="K684" t="n">
        <v>0</v>
      </c>
      <c r="L684" t="n">
        <v>0</v>
      </c>
      <c r="M684" t="n">
        <v>0</v>
      </c>
      <c r="N684" t="n">
        <v>0</v>
      </c>
      <c r="O684" t="n">
        <v>0</v>
      </c>
      <c r="P684" t="n">
        <v>0</v>
      </c>
      <c r="Q684" t="n">
        <v>0</v>
      </c>
      <c r="R684" s="2" t="inlineStr"/>
    </row>
    <row r="685" ht="15" customHeight="1">
      <c r="A685" t="inlineStr">
        <is>
          <t>A 25976-2025</t>
        </is>
      </c>
      <c r="B685" s="1" t="n">
        <v>45804.63596064815</v>
      </c>
      <c r="C685" s="1" t="n">
        <v>45923</v>
      </c>
      <c r="D685" t="inlineStr">
        <is>
          <t>JÄMTLANDS LÄN</t>
        </is>
      </c>
      <c r="E685" t="inlineStr">
        <is>
          <t>BERG</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25979-2025</t>
        </is>
      </c>
      <c r="B686" s="1" t="n">
        <v>45804.63642361111</v>
      </c>
      <c r="C686" s="1" t="n">
        <v>45923</v>
      </c>
      <c r="D686" t="inlineStr">
        <is>
          <t>JÄMTLANDS LÄN</t>
        </is>
      </c>
      <c r="E686" t="inlineStr">
        <is>
          <t>BERG</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25885-2025</t>
        </is>
      </c>
      <c r="B687" s="1" t="n">
        <v>45804.51075231482</v>
      </c>
      <c r="C687" s="1" t="n">
        <v>45923</v>
      </c>
      <c r="D687" t="inlineStr">
        <is>
          <t>JÄMTLANDS LÄN</t>
        </is>
      </c>
      <c r="E687" t="inlineStr">
        <is>
          <t>BERG</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25887-2025</t>
        </is>
      </c>
      <c r="B688" s="1" t="n">
        <v>45804.51104166666</v>
      </c>
      <c r="C688" s="1" t="n">
        <v>45923</v>
      </c>
      <c r="D688" t="inlineStr">
        <is>
          <t>JÄMTLANDS LÄN</t>
        </is>
      </c>
      <c r="E688" t="inlineStr">
        <is>
          <t>BERG</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25886-2025</t>
        </is>
      </c>
      <c r="B689" s="1" t="n">
        <v>45804.51092592593</v>
      </c>
      <c r="C689" s="1" t="n">
        <v>45923</v>
      </c>
      <c r="D689" t="inlineStr">
        <is>
          <t>JÄMTLANDS LÄN</t>
        </is>
      </c>
      <c r="E689" t="inlineStr">
        <is>
          <t>BERG</t>
        </is>
      </c>
      <c r="F689" t="inlineStr">
        <is>
          <t>SCA</t>
        </is>
      </c>
      <c r="G689" t="n">
        <v>18.3</v>
      </c>
      <c r="H689" t="n">
        <v>0</v>
      </c>
      <c r="I689" t="n">
        <v>0</v>
      </c>
      <c r="J689" t="n">
        <v>0</v>
      </c>
      <c r="K689" t="n">
        <v>0</v>
      </c>
      <c r="L689" t="n">
        <v>0</v>
      </c>
      <c r="M689" t="n">
        <v>0</v>
      </c>
      <c r="N689" t="n">
        <v>0</v>
      </c>
      <c r="O689" t="n">
        <v>0</v>
      </c>
      <c r="P689" t="n">
        <v>0</v>
      </c>
      <c r="Q689" t="n">
        <v>0</v>
      </c>
      <c r="R689" s="2" t="inlineStr"/>
    </row>
    <row r="690" ht="15" customHeight="1">
      <c r="A690" t="inlineStr">
        <is>
          <t>A 25951-2025</t>
        </is>
      </c>
      <c r="B690" s="1" t="n">
        <v>45804.5984375</v>
      </c>
      <c r="C690" s="1" t="n">
        <v>45923</v>
      </c>
      <c r="D690" t="inlineStr">
        <is>
          <t>JÄMTLANDS LÄN</t>
        </is>
      </c>
      <c r="E690" t="inlineStr">
        <is>
          <t>BERG</t>
        </is>
      </c>
      <c r="G690" t="n">
        <v>0.9</v>
      </c>
      <c r="H690" t="n">
        <v>0</v>
      </c>
      <c r="I690" t="n">
        <v>0</v>
      </c>
      <c r="J690" t="n">
        <v>0</v>
      </c>
      <c r="K690" t="n">
        <v>0</v>
      </c>
      <c r="L690" t="n">
        <v>0</v>
      </c>
      <c r="M690" t="n">
        <v>0</v>
      </c>
      <c r="N690" t="n">
        <v>0</v>
      </c>
      <c r="O690" t="n">
        <v>0</v>
      </c>
      <c r="P690" t="n">
        <v>0</v>
      </c>
      <c r="Q690" t="n">
        <v>0</v>
      </c>
      <c r="R690" s="2" t="inlineStr"/>
    </row>
    <row r="691" ht="15" customHeight="1">
      <c r="A691" t="inlineStr">
        <is>
          <t>A 25980-2025</t>
        </is>
      </c>
      <c r="B691" s="1" t="n">
        <v>45804.63658564815</v>
      </c>
      <c r="C691" s="1" t="n">
        <v>45923</v>
      </c>
      <c r="D691" t="inlineStr">
        <is>
          <t>JÄMTLANDS LÄN</t>
        </is>
      </c>
      <c r="E691" t="inlineStr">
        <is>
          <t>BERG</t>
        </is>
      </c>
      <c r="F691" t="inlineStr">
        <is>
          <t>SCA</t>
        </is>
      </c>
      <c r="G691" t="n">
        <v>8.9</v>
      </c>
      <c r="H691" t="n">
        <v>0</v>
      </c>
      <c r="I691" t="n">
        <v>0</v>
      </c>
      <c r="J691" t="n">
        <v>0</v>
      </c>
      <c r="K691" t="n">
        <v>0</v>
      </c>
      <c r="L691" t="n">
        <v>0</v>
      </c>
      <c r="M691" t="n">
        <v>0</v>
      </c>
      <c r="N691" t="n">
        <v>0</v>
      </c>
      <c r="O691" t="n">
        <v>0</v>
      </c>
      <c r="P691" t="n">
        <v>0</v>
      </c>
      <c r="Q691" t="n">
        <v>0</v>
      </c>
      <c r="R691" s="2" t="inlineStr"/>
    </row>
    <row r="692" ht="15" customHeight="1">
      <c r="A692" t="inlineStr">
        <is>
          <t>A 25441-2025</t>
        </is>
      </c>
      <c r="B692" s="1" t="n">
        <v>45801.34476851852</v>
      </c>
      <c r="C692" s="1" t="n">
        <v>45923</v>
      </c>
      <c r="D692" t="inlineStr">
        <is>
          <t>JÄMTLANDS LÄN</t>
        </is>
      </c>
      <c r="E692" t="inlineStr">
        <is>
          <t>BERG</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25454-2025</t>
        </is>
      </c>
      <c r="B693" s="1" t="n">
        <v>45802.34460648148</v>
      </c>
      <c r="C693" s="1" t="n">
        <v>45923</v>
      </c>
      <c r="D693" t="inlineStr">
        <is>
          <t>JÄMTLANDS LÄN</t>
        </is>
      </c>
      <c r="E693" t="inlineStr">
        <is>
          <t>BERG</t>
        </is>
      </c>
      <c r="F693" t="inlineStr">
        <is>
          <t>SCA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48069-2023</t>
        </is>
      </c>
      <c r="B694" s="1" t="n">
        <v>45204</v>
      </c>
      <c r="C694" s="1" t="n">
        <v>45923</v>
      </c>
      <c r="D694" t="inlineStr">
        <is>
          <t>JÄMTLANDS LÄN</t>
        </is>
      </c>
      <c r="E694" t="inlineStr">
        <is>
          <t>BERG</t>
        </is>
      </c>
      <c r="F694" t="inlineStr">
        <is>
          <t>SCA</t>
        </is>
      </c>
      <c r="G694" t="n">
        <v>11.2</v>
      </c>
      <c r="H694" t="n">
        <v>0</v>
      </c>
      <c r="I694" t="n">
        <v>0</v>
      </c>
      <c r="J694" t="n">
        <v>0</v>
      </c>
      <c r="K694" t="n">
        <v>0</v>
      </c>
      <c r="L694" t="n">
        <v>0</v>
      </c>
      <c r="M694" t="n">
        <v>0</v>
      </c>
      <c r="N694" t="n">
        <v>0</v>
      </c>
      <c r="O694" t="n">
        <v>0</v>
      </c>
      <c r="P694" t="n">
        <v>0</v>
      </c>
      <c r="Q694" t="n">
        <v>0</v>
      </c>
      <c r="R694" s="2" t="inlineStr"/>
    </row>
    <row r="695" ht="15" customHeight="1">
      <c r="A695" t="inlineStr">
        <is>
          <t>A 26013-2025</t>
        </is>
      </c>
      <c r="B695" s="1" t="n">
        <v>45804.67760416667</v>
      </c>
      <c r="C695" s="1" t="n">
        <v>45923</v>
      </c>
      <c r="D695" t="inlineStr">
        <is>
          <t>JÄMTLANDS LÄN</t>
        </is>
      </c>
      <c r="E695" t="inlineStr">
        <is>
          <t>BERG</t>
        </is>
      </c>
      <c r="F695" t="inlineStr">
        <is>
          <t>SCA</t>
        </is>
      </c>
      <c r="G695" t="n">
        <v>11.7</v>
      </c>
      <c r="H695" t="n">
        <v>0</v>
      </c>
      <c r="I695" t="n">
        <v>0</v>
      </c>
      <c r="J695" t="n">
        <v>0</v>
      </c>
      <c r="K695" t="n">
        <v>0</v>
      </c>
      <c r="L695" t="n">
        <v>0</v>
      </c>
      <c r="M695" t="n">
        <v>0</v>
      </c>
      <c r="N695" t="n">
        <v>0</v>
      </c>
      <c r="O695" t="n">
        <v>0</v>
      </c>
      <c r="P695" t="n">
        <v>0</v>
      </c>
      <c r="Q695" t="n">
        <v>0</v>
      </c>
      <c r="R695" s="2" t="inlineStr"/>
    </row>
    <row r="696" ht="15" customHeight="1">
      <c r="A696" t="inlineStr">
        <is>
          <t>A 25452-2025</t>
        </is>
      </c>
      <c r="B696" s="1" t="n">
        <v>45802.34440972222</v>
      </c>
      <c r="C696" s="1" t="n">
        <v>45923</v>
      </c>
      <c r="D696" t="inlineStr">
        <is>
          <t>JÄMTLANDS LÄN</t>
        </is>
      </c>
      <c r="E696" t="inlineStr">
        <is>
          <t>BERG</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25453-2025</t>
        </is>
      </c>
      <c r="B697" s="1" t="n">
        <v>45802.34451388889</v>
      </c>
      <c r="C697" s="1" t="n">
        <v>45923</v>
      </c>
      <c r="D697" t="inlineStr">
        <is>
          <t>JÄMTLANDS LÄN</t>
        </is>
      </c>
      <c r="E697" t="inlineStr">
        <is>
          <t>BERG</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17266-2025</t>
        </is>
      </c>
      <c r="B698" s="1" t="n">
        <v>45756</v>
      </c>
      <c r="C698" s="1" t="n">
        <v>45923</v>
      </c>
      <c r="D698" t="inlineStr">
        <is>
          <t>JÄMTLANDS LÄN</t>
        </is>
      </c>
      <c r="E698" t="inlineStr">
        <is>
          <t>BERG</t>
        </is>
      </c>
      <c r="G698" t="n">
        <v>20.1</v>
      </c>
      <c r="H698" t="n">
        <v>0</v>
      </c>
      <c r="I698" t="n">
        <v>0</v>
      </c>
      <c r="J698" t="n">
        <v>0</v>
      </c>
      <c r="K698" t="n">
        <v>0</v>
      </c>
      <c r="L698" t="n">
        <v>0</v>
      </c>
      <c r="M698" t="n">
        <v>0</v>
      </c>
      <c r="N698" t="n">
        <v>0</v>
      </c>
      <c r="O698" t="n">
        <v>0</v>
      </c>
      <c r="P698" t="n">
        <v>0</v>
      </c>
      <c r="Q698" t="n">
        <v>0</v>
      </c>
      <c r="R698" s="2" t="inlineStr"/>
    </row>
    <row r="699" ht="15" customHeight="1">
      <c r="A699" t="inlineStr">
        <is>
          <t>A 26378-2025</t>
        </is>
      </c>
      <c r="B699" s="1" t="n">
        <v>45806.48989583334</v>
      </c>
      <c r="C699" s="1" t="n">
        <v>45923</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26275-2025</t>
        </is>
      </c>
      <c r="B700" s="1" t="n">
        <v>45805.60230324074</v>
      </c>
      <c r="C700" s="1" t="n">
        <v>45923</v>
      </c>
      <c r="D700" t="inlineStr">
        <is>
          <t>JÄMTLANDS LÄN</t>
        </is>
      </c>
      <c r="E700" t="inlineStr">
        <is>
          <t>BERG</t>
        </is>
      </c>
      <c r="G700" t="n">
        <v>10.2</v>
      </c>
      <c r="H700" t="n">
        <v>0</v>
      </c>
      <c r="I700" t="n">
        <v>0</v>
      </c>
      <c r="J700" t="n">
        <v>0</v>
      </c>
      <c r="K700" t="n">
        <v>0</v>
      </c>
      <c r="L700" t="n">
        <v>0</v>
      </c>
      <c r="M700" t="n">
        <v>0</v>
      </c>
      <c r="N700" t="n">
        <v>0</v>
      </c>
      <c r="O700" t="n">
        <v>0</v>
      </c>
      <c r="P700" t="n">
        <v>0</v>
      </c>
      <c r="Q700" t="n">
        <v>0</v>
      </c>
      <c r="R700" s="2" t="inlineStr"/>
    </row>
    <row r="701" ht="15" customHeight="1">
      <c r="A701" t="inlineStr">
        <is>
          <t>A 26053-2025</t>
        </is>
      </c>
      <c r="B701" s="1" t="n">
        <v>45804.75445601852</v>
      </c>
      <c r="C701" s="1" t="n">
        <v>45923</v>
      </c>
      <c r="D701" t="inlineStr">
        <is>
          <t>JÄMTLANDS LÄN</t>
        </is>
      </c>
      <c r="E701" t="inlineStr">
        <is>
          <t>BERG</t>
        </is>
      </c>
      <c r="G701" t="n">
        <v>6</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45923</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26374-2025</t>
        </is>
      </c>
      <c r="B703" s="1" t="n">
        <v>45806.42745370371</v>
      </c>
      <c r="C703" s="1" t="n">
        <v>45923</v>
      </c>
      <c r="D703" t="inlineStr">
        <is>
          <t>JÄMTLANDS LÄN</t>
        </is>
      </c>
      <c r="E703" t="inlineStr">
        <is>
          <t>BERG</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45153.65226851852</v>
      </c>
      <c r="C704" s="1" t="n">
        <v>45923</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26186-2025</t>
        </is>
      </c>
      <c r="B705" s="1" t="n">
        <v>45805.47840277778</v>
      </c>
      <c r="C705" s="1" t="n">
        <v>45923</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33962-2024</t>
        </is>
      </c>
      <c r="B706" s="1" t="n">
        <v>45523.48854166667</v>
      </c>
      <c r="C706" s="1" t="n">
        <v>45923</v>
      </c>
      <c r="D706" t="inlineStr">
        <is>
          <t>JÄMTLANDS LÄN</t>
        </is>
      </c>
      <c r="E706" t="inlineStr">
        <is>
          <t>BERG</t>
        </is>
      </c>
      <c r="G706" t="n">
        <v>2.2</v>
      </c>
      <c r="H706" t="n">
        <v>0</v>
      </c>
      <c r="I706" t="n">
        <v>0</v>
      </c>
      <c r="J706" t="n">
        <v>0</v>
      </c>
      <c r="K706" t="n">
        <v>0</v>
      </c>
      <c r="L706" t="n">
        <v>0</v>
      </c>
      <c r="M706" t="n">
        <v>0</v>
      </c>
      <c r="N706" t="n">
        <v>0</v>
      </c>
      <c r="O706" t="n">
        <v>0</v>
      </c>
      <c r="P706" t="n">
        <v>0</v>
      </c>
      <c r="Q706" t="n">
        <v>0</v>
      </c>
      <c r="R706" s="2" t="inlineStr"/>
    </row>
    <row r="707" ht="15" customHeight="1">
      <c r="A707" t="inlineStr">
        <is>
          <t>A 1520-2022</t>
        </is>
      </c>
      <c r="B707" s="1" t="n">
        <v>44572</v>
      </c>
      <c r="C707" s="1" t="n">
        <v>45923</v>
      </c>
      <c r="D707" t="inlineStr">
        <is>
          <t>JÄMTLANDS LÄN</t>
        </is>
      </c>
      <c r="E707" t="inlineStr">
        <is>
          <t>BERG</t>
        </is>
      </c>
      <c r="G707" t="n">
        <v>7.7</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45923</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31641-2022</t>
        </is>
      </c>
      <c r="B709" s="1" t="n">
        <v>44775.94119212963</v>
      </c>
      <c r="C709" s="1" t="n">
        <v>45923</v>
      </c>
      <c r="D709" t="inlineStr">
        <is>
          <t>JÄMTLANDS LÄN</t>
        </is>
      </c>
      <c r="E709" t="inlineStr">
        <is>
          <t>BERG</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26743-2025</t>
        </is>
      </c>
      <c r="B710" s="1" t="n">
        <v>45810.53163194445</v>
      </c>
      <c r="C710" s="1" t="n">
        <v>45923</v>
      </c>
      <c r="D710" t="inlineStr">
        <is>
          <t>JÄMTLANDS LÄN</t>
        </is>
      </c>
      <c r="E710" t="inlineStr">
        <is>
          <t>BERG</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45923</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c r="U711">
        <f>HYPERLINK("https://klasma.github.io/Logging_2326/knärot/A 46872-2023 karta knärot.png", "A 46872-2023")</f>
        <v/>
      </c>
      <c r="V711">
        <f>HYPERLINK("https://klasma.github.io/Logging_2326/klagomål/A 46872-2023 FSC-klagomål.docx", "A 46872-2023")</f>
        <v/>
      </c>
      <c r="W711">
        <f>HYPERLINK("https://klasma.github.io/Logging_2326/klagomålsmail/A 46872-2023 FSC-klagomål mail.docx", "A 46872-2023")</f>
        <v/>
      </c>
      <c r="X711">
        <f>HYPERLINK("https://klasma.github.io/Logging_2326/tillsyn/A 46872-2023 tillsynsbegäran.docx", "A 46872-2023")</f>
        <v/>
      </c>
      <c r="Y711">
        <f>HYPERLINK("https://klasma.github.io/Logging_2326/tillsynsmail/A 46872-2023 tillsynsbegäran mail.docx", "A 46872-2023")</f>
        <v/>
      </c>
    </row>
    <row r="712" ht="15" customHeight="1">
      <c r="A712" t="inlineStr">
        <is>
          <t>A 27312-2025</t>
        </is>
      </c>
      <c r="B712" s="1" t="n">
        <v>45812.58002314815</v>
      </c>
      <c r="C712" s="1" t="n">
        <v>45923</v>
      </c>
      <c r="D712" t="inlineStr">
        <is>
          <t>JÄMTLANDS LÄN</t>
        </is>
      </c>
      <c r="E712" t="inlineStr">
        <is>
          <t>BERG</t>
        </is>
      </c>
      <c r="G712" t="n">
        <v>6</v>
      </c>
      <c r="H712" t="n">
        <v>0</v>
      </c>
      <c r="I712" t="n">
        <v>0</v>
      </c>
      <c r="J712" t="n">
        <v>0</v>
      </c>
      <c r="K712" t="n">
        <v>0</v>
      </c>
      <c r="L712" t="n">
        <v>0</v>
      </c>
      <c r="M712" t="n">
        <v>0</v>
      </c>
      <c r="N712" t="n">
        <v>0</v>
      </c>
      <c r="O712" t="n">
        <v>0</v>
      </c>
      <c r="P712" t="n">
        <v>0</v>
      </c>
      <c r="Q712" t="n">
        <v>0</v>
      </c>
      <c r="R712" s="2" t="inlineStr"/>
    </row>
    <row r="713" ht="15" customHeight="1">
      <c r="A713" t="inlineStr">
        <is>
          <t>A 27317-2025</t>
        </is>
      </c>
      <c r="B713" s="1" t="n">
        <v>45812.59011574074</v>
      </c>
      <c r="C713" s="1" t="n">
        <v>45923</v>
      </c>
      <c r="D713" t="inlineStr">
        <is>
          <t>JÄMTLANDS LÄN</t>
        </is>
      </c>
      <c r="E713" t="inlineStr">
        <is>
          <t>BERG</t>
        </is>
      </c>
      <c r="G713" t="n">
        <v>6.2</v>
      </c>
      <c r="H713" t="n">
        <v>0</v>
      </c>
      <c r="I713" t="n">
        <v>0</v>
      </c>
      <c r="J713" t="n">
        <v>0</v>
      </c>
      <c r="K713" t="n">
        <v>0</v>
      </c>
      <c r="L713" t="n">
        <v>0</v>
      </c>
      <c r="M713" t="n">
        <v>0</v>
      </c>
      <c r="N713" t="n">
        <v>0</v>
      </c>
      <c r="O713" t="n">
        <v>0</v>
      </c>
      <c r="P713" t="n">
        <v>0</v>
      </c>
      <c r="Q713" t="n">
        <v>0</v>
      </c>
      <c r="R713" s="2" t="inlineStr"/>
    </row>
    <row r="714" ht="15" customHeight="1">
      <c r="A714" t="inlineStr">
        <is>
          <t>A 22275-2022</t>
        </is>
      </c>
      <c r="B714" s="1" t="n">
        <v>44712</v>
      </c>
      <c r="C714" s="1" t="n">
        <v>45923</v>
      </c>
      <c r="D714" t="inlineStr">
        <is>
          <t>JÄMTLANDS LÄN</t>
        </is>
      </c>
      <c r="E714" t="inlineStr">
        <is>
          <t>BERG</t>
        </is>
      </c>
      <c r="G714" t="n">
        <v>2.1</v>
      </c>
      <c r="H714" t="n">
        <v>0</v>
      </c>
      <c r="I714" t="n">
        <v>0</v>
      </c>
      <c r="J714" t="n">
        <v>0</v>
      </c>
      <c r="K714" t="n">
        <v>0</v>
      </c>
      <c r="L714" t="n">
        <v>0</v>
      </c>
      <c r="M714" t="n">
        <v>0</v>
      </c>
      <c r="N714" t="n">
        <v>0</v>
      </c>
      <c r="O714" t="n">
        <v>0</v>
      </c>
      <c r="P714" t="n">
        <v>0</v>
      </c>
      <c r="Q714" t="n">
        <v>0</v>
      </c>
      <c r="R714" s="2" t="inlineStr"/>
    </row>
    <row r="715" ht="15" customHeight="1">
      <c r="A715" t="inlineStr">
        <is>
          <t>A 31682-2022</t>
        </is>
      </c>
      <c r="B715" s="1" t="n">
        <v>44776</v>
      </c>
      <c r="C715" s="1" t="n">
        <v>45923</v>
      </c>
      <c r="D715" t="inlineStr">
        <is>
          <t>JÄMTLANDS LÄN</t>
        </is>
      </c>
      <c r="E715" t="inlineStr">
        <is>
          <t>BERG</t>
        </is>
      </c>
      <c r="G715" t="n">
        <v>8</v>
      </c>
      <c r="H715" t="n">
        <v>0</v>
      </c>
      <c r="I715" t="n">
        <v>0</v>
      </c>
      <c r="J715" t="n">
        <v>0</v>
      </c>
      <c r="K715" t="n">
        <v>0</v>
      </c>
      <c r="L715" t="n">
        <v>0</v>
      </c>
      <c r="M715" t="n">
        <v>0</v>
      </c>
      <c r="N715" t="n">
        <v>0</v>
      </c>
      <c r="O715" t="n">
        <v>0</v>
      </c>
      <c r="P715" t="n">
        <v>0</v>
      </c>
      <c r="Q715" t="n">
        <v>0</v>
      </c>
      <c r="R715" s="2" t="inlineStr"/>
    </row>
    <row r="716" ht="15" customHeight="1">
      <c r="A716" t="inlineStr">
        <is>
          <t>A 27063-2025</t>
        </is>
      </c>
      <c r="B716" s="1" t="n">
        <v>45811.63626157407</v>
      </c>
      <c r="C716" s="1" t="n">
        <v>45923</v>
      </c>
      <c r="D716" t="inlineStr">
        <is>
          <t>JÄMTLANDS LÄN</t>
        </is>
      </c>
      <c r="E716" t="inlineStr">
        <is>
          <t>BERG</t>
        </is>
      </c>
      <c r="F716" t="inlineStr">
        <is>
          <t>SCA</t>
        </is>
      </c>
      <c r="G716" t="n">
        <v>18.9</v>
      </c>
      <c r="H716" t="n">
        <v>0</v>
      </c>
      <c r="I716" t="n">
        <v>0</v>
      </c>
      <c r="J716" t="n">
        <v>0</v>
      </c>
      <c r="K716" t="n">
        <v>0</v>
      </c>
      <c r="L716" t="n">
        <v>0</v>
      </c>
      <c r="M716" t="n">
        <v>0</v>
      </c>
      <c r="N716" t="n">
        <v>0</v>
      </c>
      <c r="O716" t="n">
        <v>0</v>
      </c>
      <c r="P716" t="n">
        <v>0</v>
      </c>
      <c r="Q716" t="n">
        <v>0</v>
      </c>
      <c r="R716" s="2" t="inlineStr"/>
    </row>
    <row r="717" ht="15" customHeight="1">
      <c r="A717" t="inlineStr">
        <is>
          <t>A 27044-2025</t>
        </is>
      </c>
      <c r="B717" s="1" t="n">
        <v>45811.61496527777</v>
      </c>
      <c r="C717" s="1" t="n">
        <v>45923</v>
      </c>
      <c r="D717" t="inlineStr">
        <is>
          <t>JÄMTLANDS LÄN</t>
        </is>
      </c>
      <c r="E717" t="inlineStr">
        <is>
          <t>BERG</t>
        </is>
      </c>
      <c r="F717" t="inlineStr">
        <is>
          <t>SCA</t>
        </is>
      </c>
      <c r="G717" t="n">
        <v>26.1</v>
      </c>
      <c r="H717" t="n">
        <v>0</v>
      </c>
      <c r="I717" t="n">
        <v>0</v>
      </c>
      <c r="J717" t="n">
        <v>0</v>
      </c>
      <c r="K717" t="n">
        <v>0</v>
      </c>
      <c r="L717" t="n">
        <v>0</v>
      </c>
      <c r="M717" t="n">
        <v>0</v>
      </c>
      <c r="N717" t="n">
        <v>0</v>
      </c>
      <c r="O717" t="n">
        <v>0</v>
      </c>
      <c r="P717" t="n">
        <v>0</v>
      </c>
      <c r="Q717" t="n">
        <v>0</v>
      </c>
      <c r="R717" s="2" t="inlineStr"/>
    </row>
    <row r="718" ht="15" customHeight="1">
      <c r="A718" t="inlineStr">
        <is>
          <t>A 27575-2025</t>
        </is>
      </c>
      <c r="B718" s="1" t="n">
        <v>45813.49083333334</v>
      </c>
      <c r="C718" s="1" t="n">
        <v>45923</v>
      </c>
      <c r="D718" t="inlineStr">
        <is>
          <t>JÄMTLANDS LÄN</t>
        </is>
      </c>
      <c r="E718" t="inlineStr">
        <is>
          <t>BERG</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27603-2025</t>
        </is>
      </c>
      <c r="B719" s="1" t="n">
        <v>45813.53174768519</v>
      </c>
      <c r="C719" s="1" t="n">
        <v>45923</v>
      </c>
      <c r="D719" t="inlineStr">
        <is>
          <t>JÄMTLANDS LÄN</t>
        </is>
      </c>
      <c r="E719" t="inlineStr">
        <is>
          <t>BERG</t>
        </is>
      </c>
      <c r="F719" t="inlineStr">
        <is>
          <t>SCA</t>
        </is>
      </c>
      <c r="G719" t="n">
        <v>11.3</v>
      </c>
      <c r="H719" t="n">
        <v>0</v>
      </c>
      <c r="I719" t="n">
        <v>0</v>
      </c>
      <c r="J719" t="n">
        <v>0</v>
      </c>
      <c r="K719" t="n">
        <v>0</v>
      </c>
      <c r="L719" t="n">
        <v>0</v>
      </c>
      <c r="M719" t="n">
        <v>0</v>
      </c>
      <c r="N719" t="n">
        <v>0</v>
      </c>
      <c r="O719" t="n">
        <v>0</v>
      </c>
      <c r="P719" t="n">
        <v>0</v>
      </c>
      <c r="Q719" t="n">
        <v>0</v>
      </c>
      <c r="R719" s="2" t="inlineStr"/>
    </row>
    <row r="720" ht="15" customHeight="1">
      <c r="A720" t="inlineStr">
        <is>
          <t>A 27569-2025</t>
        </is>
      </c>
      <c r="B720" s="1" t="n">
        <v>45813.49018518518</v>
      </c>
      <c r="C720" s="1" t="n">
        <v>45923</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27459-2025</t>
        </is>
      </c>
      <c r="B721" s="1" t="n">
        <v>45813.34561342592</v>
      </c>
      <c r="C721" s="1" t="n">
        <v>45923</v>
      </c>
      <c r="D721" t="inlineStr">
        <is>
          <t>JÄMTLANDS LÄN</t>
        </is>
      </c>
      <c r="E721" t="inlineStr">
        <is>
          <t>BERG</t>
        </is>
      </c>
      <c r="F721" t="inlineStr">
        <is>
          <t>SCA</t>
        </is>
      </c>
      <c r="G721" t="n">
        <v>19.2</v>
      </c>
      <c r="H721" t="n">
        <v>0</v>
      </c>
      <c r="I721" t="n">
        <v>0</v>
      </c>
      <c r="J721" t="n">
        <v>0</v>
      </c>
      <c r="K721" t="n">
        <v>0</v>
      </c>
      <c r="L721" t="n">
        <v>0</v>
      </c>
      <c r="M721" t="n">
        <v>0</v>
      </c>
      <c r="N721" t="n">
        <v>0</v>
      </c>
      <c r="O721" t="n">
        <v>0</v>
      </c>
      <c r="P721" t="n">
        <v>0</v>
      </c>
      <c r="Q721" t="n">
        <v>0</v>
      </c>
      <c r="R721" s="2" t="inlineStr"/>
    </row>
    <row r="722" ht="15" customHeight="1">
      <c r="A722" t="inlineStr">
        <is>
          <t>A 27716-2025</t>
        </is>
      </c>
      <c r="B722" s="1" t="n">
        <v>45813.961875</v>
      </c>
      <c r="C722" s="1" t="n">
        <v>45923</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28232-2025</t>
        </is>
      </c>
      <c r="B723" s="1" t="n">
        <v>45818.48989583334</v>
      </c>
      <c r="C723" s="1" t="n">
        <v>45923</v>
      </c>
      <c r="D723" t="inlineStr">
        <is>
          <t>JÄMTLANDS LÄN</t>
        </is>
      </c>
      <c r="E723" t="inlineStr">
        <is>
          <t>BERG</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28157-2025</t>
        </is>
      </c>
      <c r="B724" s="1" t="n">
        <v>45818.36512731481</v>
      </c>
      <c r="C724" s="1" t="n">
        <v>45923</v>
      </c>
      <c r="D724" t="inlineStr">
        <is>
          <t>JÄMTLANDS LÄN</t>
        </is>
      </c>
      <c r="E724" t="inlineStr">
        <is>
          <t>BERG</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28196-2025</t>
        </is>
      </c>
      <c r="B725" s="1" t="n">
        <v>45818.42753472222</v>
      </c>
      <c r="C725" s="1" t="n">
        <v>45923</v>
      </c>
      <c r="D725" t="inlineStr">
        <is>
          <t>JÄMTLANDS LÄN</t>
        </is>
      </c>
      <c r="E725" t="inlineStr">
        <is>
          <t>BERG</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50706-2023</t>
        </is>
      </c>
      <c r="B726" s="1" t="n">
        <v>45217.55832175926</v>
      </c>
      <c r="C726" s="1" t="n">
        <v>45923</v>
      </c>
      <c r="D726" t="inlineStr">
        <is>
          <t>JÄMTLANDS LÄN</t>
        </is>
      </c>
      <c r="E726" t="inlineStr">
        <is>
          <t>BERG</t>
        </is>
      </c>
      <c r="G726" t="n">
        <v>4.1</v>
      </c>
      <c r="H726" t="n">
        <v>0</v>
      </c>
      <c r="I726" t="n">
        <v>0</v>
      </c>
      <c r="J726" t="n">
        <v>0</v>
      </c>
      <c r="K726" t="n">
        <v>0</v>
      </c>
      <c r="L726" t="n">
        <v>0</v>
      </c>
      <c r="M726" t="n">
        <v>0</v>
      </c>
      <c r="N726" t="n">
        <v>0</v>
      </c>
      <c r="O726" t="n">
        <v>0</v>
      </c>
      <c r="P726" t="n">
        <v>0</v>
      </c>
      <c r="Q726" t="n">
        <v>0</v>
      </c>
      <c r="R726" s="2" t="inlineStr"/>
    </row>
    <row r="727" ht="15" customHeight="1">
      <c r="A727" t="inlineStr">
        <is>
          <t>A 28079-2025</t>
        </is>
      </c>
      <c r="B727" s="1" t="n">
        <v>45817.69681712963</v>
      </c>
      <c r="C727" s="1" t="n">
        <v>45923</v>
      </c>
      <c r="D727" t="inlineStr">
        <is>
          <t>JÄMTLANDS LÄN</t>
        </is>
      </c>
      <c r="E727" t="inlineStr">
        <is>
          <t>BERG</t>
        </is>
      </c>
      <c r="G727" t="n">
        <v>3.7</v>
      </c>
      <c r="H727" t="n">
        <v>0</v>
      </c>
      <c r="I727" t="n">
        <v>0</v>
      </c>
      <c r="J727" t="n">
        <v>0</v>
      </c>
      <c r="K727" t="n">
        <v>0</v>
      </c>
      <c r="L727" t="n">
        <v>0</v>
      </c>
      <c r="M727" t="n">
        <v>0</v>
      </c>
      <c r="N727" t="n">
        <v>0</v>
      </c>
      <c r="O727" t="n">
        <v>0</v>
      </c>
      <c r="P727" t="n">
        <v>0</v>
      </c>
      <c r="Q727" t="n">
        <v>0</v>
      </c>
      <c r="R727" s="2" t="inlineStr"/>
    </row>
    <row r="728" ht="15" customHeight="1">
      <c r="A728" t="inlineStr">
        <is>
          <t>A 27750-2025</t>
        </is>
      </c>
      <c r="B728" s="1" t="n">
        <v>45815.68543981481</v>
      </c>
      <c r="C728" s="1" t="n">
        <v>45923</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54415-2023</t>
        </is>
      </c>
      <c r="B729" s="1" t="n">
        <v>45233.40039351852</v>
      </c>
      <c r="C729" s="1" t="n">
        <v>45923</v>
      </c>
      <c r="D729" t="inlineStr">
        <is>
          <t>JÄMTLANDS LÄN</t>
        </is>
      </c>
      <c r="E729" t="inlineStr">
        <is>
          <t>BERG</t>
        </is>
      </c>
      <c r="G729" t="n">
        <v>1.5</v>
      </c>
      <c r="H729" t="n">
        <v>0</v>
      </c>
      <c r="I729" t="n">
        <v>0</v>
      </c>
      <c r="J729" t="n">
        <v>0</v>
      </c>
      <c r="K729" t="n">
        <v>0</v>
      </c>
      <c r="L729" t="n">
        <v>0</v>
      </c>
      <c r="M729" t="n">
        <v>0</v>
      </c>
      <c r="N729" t="n">
        <v>0</v>
      </c>
      <c r="O729" t="n">
        <v>0</v>
      </c>
      <c r="P729" t="n">
        <v>0</v>
      </c>
      <c r="Q729" t="n">
        <v>0</v>
      </c>
      <c r="R729" s="2" t="inlineStr"/>
    </row>
    <row r="730" ht="15" customHeight="1">
      <c r="A730" t="inlineStr">
        <is>
          <t>A 47176-2023</t>
        </is>
      </c>
      <c r="B730" s="1" t="n">
        <v>45201.94844907407</v>
      </c>
      <c r="C730" s="1" t="n">
        <v>45923</v>
      </c>
      <c r="D730" t="inlineStr">
        <is>
          <t>JÄMTLANDS LÄN</t>
        </is>
      </c>
      <c r="E730" t="inlineStr">
        <is>
          <t>BERG</t>
        </is>
      </c>
      <c r="F730" t="inlineStr">
        <is>
          <t>SCA</t>
        </is>
      </c>
      <c r="G730" t="n">
        <v>32.3</v>
      </c>
      <c r="H730" t="n">
        <v>0</v>
      </c>
      <c r="I730" t="n">
        <v>0</v>
      </c>
      <c r="J730" t="n">
        <v>0</v>
      </c>
      <c r="K730" t="n">
        <v>0</v>
      </c>
      <c r="L730" t="n">
        <v>0</v>
      </c>
      <c r="M730" t="n">
        <v>0</v>
      </c>
      <c r="N730" t="n">
        <v>0</v>
      </c>
      <c r="O730" t="n">
        <v>0</v>
      </c>
      <c r="P730" t="n">
        <v>0</v>
      </c>
      <c r="Q730" t="n">
        <v>0</v>
      </c>
      <c r="R730" s="2" t="inlineStr"/>
    </row>
    <row r="731" ht="15" customHeight="1">
      <c r="A731" t="inlineStr">
        <is>
          <t>A 28257-2025</t>
        </is>
      </c>
      <c r="B731" s="1" t="n">
        <v>45818.55263888889</v>
      </c>
      <c r="C731" s="1" t="n">
        <v>45923</v>
      </c>
      <c r="D731" t="inlineStr">
        <is>
          <t>JÄMTLANDS LÄN</t>
        </is>
      </c>
      <c r="E731" t="inlineStr">
        <is>
          <t>BERG</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27737-2025</t>
        </is>
      </c>
      <c r="B732" s="1" t="n">
        <v>45815.34414351852</v>
      </c>
      <c r="C732" s="1" t="n">
        <v>45923</v>
      </c>
      <c r="D732" t="inlineStr">
        <is>
          <t>JÄMTLANDS LÄN</t>
        </is>
      </c>
      <c r="E732" t="inlineStr">
        <is>
          <t>BERG</t>
        </is>
      </c>
      <c r="F732" t="inlineStr">
        <is>
          <t>SCA</t>
        </is>
      </c>
      <c r="G732" t="n">
        <v>10.9</v>
      </c>
      <c r="H732" t="n">
        <v>0</v>
      </c>
      <c r="I732" t="n">
        <v>0</v>
      </c>
      <c r="J732" t="n">
        <v>0</v>
      </c>
      <c r="K732" t="n">
        <v>0</v>
      </c>
      <c r="L732" t="n">
        <v>0</v>
      </c>
      <c r="M732" t="n">
        <v>0</v>
      </c>
      <c r="N732" t="n">
        <v>0</v>
      </c>
      <c r="O732" t="n">
        <v>0</v>
      </c>
      <c r="P732" t="n">
        <v>0</v>
      </c>
      <c r="Q732" t="n">
        <v>0</v>
      </c>
      <c r="R732" s="2" t="inlineStr"/>
    </row>
    <row r="733" ht="15" customHeight="1">
      <c r="A733" t="inlineStr">
        <is>
          <t>A 41098-2023</t>
        </is>
      </c>
      <c r="B733" s="1" t="n">
        <v>45170</v>
      </c>
      <c r="C733" s="1" t="n">
        <v>45923</v>
      </c>
      <c r="D733" t="inlineStr">
        <is>
          <t>JÄMTLANDS LÄN</t>
        </is>
      </c>
      <c r="E733" t="inlineStr">
        <is>
          <t>BERG</t>
        </is>
      </c>
      <c r="G733" t="n">
        <v>3.1</v>
      </c>
      <c r="H733" t="n">
        <v>0</v>
      </c>
      <c r="I733" t="n">
        <v>0</v>
      </c>
      <c r="J733" t="n">
        <v>0</v>
      </c>
      <c r="K733" t="n">
        <v>0</v>
      </c>
      <c r="L733" t="n">
        <v>0</v>
      </c>
      <c r="M733" t="n">
        <v>0</v>
      </c>
      <c r="N733" t="n">
        <v>0</v>
      </c>
      <c r="O733" t="n">
        <v>0</v>
      </c>
      <c r="P733" t="n">
        <v>0</v>
      </c>
      <c r="Q733" t="n">
        <v>0</v>
      </c>
      <c r="R733" s="2" t="inlineStr"/>
    </row>
    <row r="734" ht="15" customHeight="1">
      <c r="A734" t="inlineStr">
        <is>
          <t>A 41106-2023</t>
        </is>
      </c>
      <c r="B734" s="1" t="n">
        <v>45170</v>
      </c>
      <c r="C734" s="1" t="n">
        <v>45923</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40415-2023</t>
        </is>
      </c>
      <c r="B735" s="1" t="n">
        <v>45169.93925925926</v>
      </c>
      <c r="C735" s="1" t="n">
        <v>45923</v>
      </c>
      <c r="D735" t="inlineStr">
        <is>
          <t>JÄMTLANDS LÄN</t>
        </is>
      </c>
      <c r="E735" t="inlineStr">
        <is>
          <t>BERG</t>
        </is>
      </c>
      <c r="F735" t="inlineStr">
        <is>
          <t>SCA</t>
        </is>
      </c>
      <c r="G735" t="n">
        <v>10.2</v>
      </c>
      <c r="H735" t="n">
        <v>0</v>
      </c>
      <c r="I735" t="n">
        <v>0</v>
      </c>
      <c r="J735" t="n">
        <v>0</v>
      </c>
      <c r="K735" t="n">
        <v>0</v>
      </c>
      <c r="L735" t="n">
        <v>0</v>
      </c>
      <c r="M735" t="n">
        <v>0</v>
      </c>
      <c r="N735" t="n">
        <v>0</v>
      </c>
      <c r="O735" t="n">
        <v>0</v>
      </c>
      <c r="P735" t="n">
        <v>0</v>
      </c>
      <c r="Q735" t="n">
        <v>0</v>
      </c>
      <c r="R735" s="2" t="inlineStr"/>
    </row>
    <row r="736" ht="15" customHeight="1">
      <c r="A736" t="inlineStr">
        <is>
          <t>A 54998-2023</t>
        </is>
      </c>
      <c r="B736" s="1" t="n">
        <v>45236</v>
      </c>
      <c r="C736" s="1" t="n">
        <v>45923</v>
      </c>
      <c r="D736" t="inlineStr">
        <is>
          <t>JÄMTLANDS LÄN</t>
        </is>
      </c>
      <c r="E736" t="inlineStr">
        <is>
          <t>BERG</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28077-2025</t>
        </is>
      </c>
      <c r="B737" s="1" t="n">
        <v>45817.68596064814</v>
      </c>
      <c r="C737" s="1" t="n">
        <v>45923</v>
      </c>
      <c r="D737" t="inlineStr">
        <is>
          <t>JÄMTLANDS LÄN</t>
        </is>
      </c>
      <c r="E737" t="inlineStr">
        <is>
          <t>BERG</t>
        </is>
      </c>
      <c r="G737" t="n">
        <v>6</v>
      </c>
      <c r="H737" t="n">
        <v>0</v>
      </c>
      <c r="I737" t="n">
        <v>0</v>
      </c>
      <c r="J737" t="n">
        <v>0</v>
      </c>
      <c r="K737" t="n">
        <v>0</v>
      </c>
      <c r="L737" t="n">
        <v>0</v>
      </c>
      <c r="M737" t="n">
        <v>0</v>
      </c>
      <c r="N737" t="n">
        <v>0</v>
      </c>
      <c r="O737" t="n">
        <v>0</v>
      </c>
      <c r="P737" t="n">
        <v>0</v>
      </c>
      <c r="Q737" t="n">
        <v>0</v>
      </c>
      <c r="R737" s="2" t="inlineStr"/>
    </row>
    <row r="738" ht="15" customHeight="1">
      <c r="A738" t="inlineStr">
        <is>
          <t>A 26944-2022</t>
        </is>
      </c>
      <c r="B738" s="1" t="n">
        <v>44740</v>
      </c>
      <c r="C738" s="1" t="n">
        <v>45923</v>
      </c>
      <c r="D738" t="inlineStr">
        <is>
          <t>JÄMTLANDS LÄN</t>
        </is>
      </c>
      <c r="E738" t="inlineStr">
        <is>
          <t>BERG</t>
        </is>
      </c>
      <c r="G738" t="n">
        <v>3.3</v>
      </c>
      <c r="H738" t="n">
        <v>0</v>
      </c>
      <c r="I738" t="n">
        <v>0</v>
      </c>
      <c r="J738" t="n">
        <v>0</v>
      </c>
      <c r="K738" t="n">
        <v>0</v>
      </c>
      <c r="L738" t="n">
        <v>0</v>
      </c>
      <c r="M738" t="n">
        <v>0</v>
      </c>
      <c r="N738" t="n">
        <v>0</v>
      </c>
      <c r="O738" t="n">
        <v>0</v>
      </c>
      <c r="P738" t="n">
        <v>0</v>
      </c>
      <c r="Q738" t="n">
        <v>0</v>
      </c>
      <c r="R738" s="2" t="inlineStr"/>
    </row>
    <row r="739" ht="15" customHeight="1">
      <c r="A739" t="inlineStr">
        <is>
          <t>A 63819-2023</t>
        </is>
      </c>
      <c r="B739" s="1" t="n">
        <v>45278.44128472222</v>
      </c>
      <c r="C739" s="1" t="n">
        <v>45923</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44088-2021</t>
        </is>
      </c>
      <c r="B740" s="1" t="n">
        <v>44434</v>
      </c>
      <c r="C740" s="1" t="n">
        <v>45923</v>
      </c>
      <c r="D740" t="inlineStr">
        <is>
          <t>JÄMTLANDS LÄN</t>
        </is>
      </c>
      <c r="E740" t="inlineStr">
        <is>
          <t>BERG</t>
        </is>
      </c>
      <c r="G740" t="n">
        <v>1.1</v>
      </c>
      <c r="H740" t="n">
        <v>0</v>
      </c>
      <c r="I740" t="n">
        <v>0</v>
      </c>
      <c r="J740" t="n">
        <v>0</v>
      </c>
      <c r="K740" t="n">
        <v>0</v>
      </c>
      <c r="L740" t="n">
        <v>0</v>
      </c>
      <c r="M740" t="n">
        <v>0</v>
      </c>
      <c r="N740" t="n">
        <v>0</v>
      </c>
      <c r="O740" t="n">
        <v>0</v>
      </c>
      <c r="P740" t="n">
        <v>0</v>
      </c>
      <c r="Q740" t="n">
        <v>0</v>
      </c>
      <c r="R740" s="2" t="inlineStr"/>
    </row>
    <row r="741" ht="15" customHeight="1">
      <c r="A741" t="inlineStr">
        <is>
          <t>A 39510-2023</t>
        </is>
      </c>
      <c r="B741" s="1" t="n">
        <v>45166</v>
      </c>
      <c r="C741" s="1" t="n">
        <v>45923</v>
      </c>
      <c r="D741" t="inlineStr">
        <is>
          <t>JÄMTLANDS LÄN</t>
        </is>
      </c>
      <c r="E741" t="inlineStr">
        <is>
          <t>BERG</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19513-2025</t>
        </is>
      </c>
      <c r="B742" s="1" t="n">
        <v>45770.42762731481</v>
      </c>
      <c r="C742" s="1" t="n">
        <v>45923</v>
      </c>
      <c r="D742" t="inlineStr">
        <is>
          <t>JÄMTLANDS LÄN</t>
        </is>
      </c>
      <c r="E742" t="inlineStr">
        <is>
          <t>BERG</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1596-2024</t>
        </is>
      </c>
      <c r="B743" s="1" t="n">
        <v>45306</v>
      </c>
      <c r="C743" s="1" t="n">
        <v>45923</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36192-2024</t>
        </is>
      </c>
      <c r="B744" s="1" t="n">
        <v>45534.42809027778</v>
      </c>
      <c r="C744" s="1" t="n">
        <v>45923</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166-2024</t>
        </is>
      </c>
      <c r="B745" s="1" t="n">
        <v>45294</v>
      </c>
      <c r="C745" s="1" t="n">
        <v>45923</v>
      </c>
      <c r="D745" t="inlineStr">
        <is>
          <t>JÄMTLANDS LÄN</t>
        </is>
      </c>
      <c r="E745" t="inlineStr">
        <is>
          <t>BERG</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8722-2024</t>
        </is>
      </c>
      <c r="B746" s="1" t="n">
        <v>45355</v>
      </c>
      <c r="C746" s="1" t="n">
        <v>45923</v>
      </c>
      <c r="D746" t="inlineStr">
        <is>
          <t>JÄMTLANDS LÄN</t>
        </is>
      </c>
      <c r="E746" t="inlineStr">
        <is>
          <t>BERG</t>
        </is>
      </c>
      <c r="G746" t="n">
        <v>2.4</v>
      </c>
      <c r="H746" t="n">
        <v>0</v>
      </c>
      <c r="I746" t="n">
        <v>0</v>
      </c>
      <c r="J746" t="n">
        <v>0</v>
      </c>
      <c r="K746" t="n">
        <v>0</v>
      </c>
      <c r="L746" t="n">
        <v>0</v>
      </c>
      <c r="M746" t="n">
        <v>0</v>
      </c>
      <c r="N746" t="n">
        <v>0</v>
      </c>
      <c r="O746" t="n">
        <v>0</v>
      </c>
      <c r="P746" t="n">
        <v>0</v>
      </c>
      <c r="Q746" t="n">
        <v>0</v>
      </c>
      <c r="R746" s="2" t="inlineStr"/>
    </row>
    <row r="747" ht="15" customHeight="1">
      <c r="A747" t="inlineStr">
        <is>
          <t>A 8726-2024</t>
        </is>
      </c>
      <c r="B747" s="1" t="n">
        <v>45355</v>
      </c>
      <c r="C747" s="1" t="n">
        <v>45923</v>
      </c>
      <c r="D747" t="inlineStr">
        <is>
          <t>JÄMTLANDS LÄN</t>
        </is>
      </c>
      <c r="E747" t="inlineStr">
        <is>
          <t>BERG</t>
        </is>
      </c>
      <c r="G747" t="n">
        <v>1.3</v>
      </c>
      <c r="H747" t="n">
        <v>0</v>
      </c>
      <c r="I747" t="n">
        <v>0</v>
      </c>
      <c r="J747" t="n">
        <v>0</v>
      </c>
      <c r="K747" t="n">
        <v>0</v>
      </c>
      <c r="L747" t="n">
        <v>0</v>
      </c>
      <c r="M747" t="n">
        <v>0</v>
      </c>
      <c r="N747" t="n">
        <v>0</v>
      </c>
      <c r="O747" t="n">
        <v>0</v>
      </c>
      <c r="P747" t="n">
        <v>0</v>
      </c>
      <c r="Q747" t="n">
        <v>0</v>
      </c>
      <c r="R747" s="2" t="inlineStr"/>
    </row>
    <row r="748" ht="15" customHeight="1">
      <c r="A748" t="inlineStr">
        <is>
          <t>A 19428-2025</t>
        </is>
      </c>
      <c r="B748" s="1" t="n">
        <v>45769.79763888889</v>
      </c>
      <c r="C748" s="1" t="n">
        <v>45923</v>
      </c>
      <c r="D748" t="inlineStr">
        <is>
          <t>JÄMTLANDS LÄN</t>
        </is>
      </c>
      <c r="E748" t="inlineStr">
        <is>
          <t>BERG</t>
        </is>
      </c>
      <c r="G748" t="n">
        <v>7.1</v>
      </c>
      <c r="H748" t="n">
        <v>0</v>
      </c>
      <c r="I748" t="n">
        <v>0</v>
      </c>
      <c r="J748" t="n">
        <v>0</v>
      </c>
      <c r="K748" t="n">
        <v>0</v>
      </c>
      <c r="L748" t="n">
        <v>0</v>
      </c>
      <c r="M748" t="n">
        <v>0</v>
      </c>
      <c r="N748" t="n">
        <v>0</v>
      </c>
      <c r="O748" t="n">
        <v>0</v>
      </c>
      <c r="P748" t="n">
        <v>0</v>
      </c>
      <c r="Q748" t="n">
        <v>0</v>
      </c>
      <c r="R748" s="2" t="inlineStr"/>
    </row>
    <row r="749" ht="15" customHeight="1">
      <c r="A749" t="inlineStr">
        <is>
          <t>A 28454-2025</t>
        </is>
      </c>
      <c r="B749" s="1" t="n">
        <v>45819.40679398148</v>
      </c>
      <c r="C749" s="1" t="n">
        <v>45923</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28401-2025</t>
        </is>
      </c>
      <c r="B750" s="1" t="n">
        <v>45819.34469907408</v>
      </c>
      <c r="C750" s="1" t="n">
        <v>45923</v>
      </c>
      <c r="D750" t="inlineStr">
        <is>
          <t>JÄMTLANDS LÄN</t>
        </is>
      </c>
      <c r="E750" t="inlineStr">
        <is>
          <t>BERG</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7040-2024</t>
        </is>
      </c>
      <c r="B751" s="1" t="n">
        <v>45343</v>
      </c>
      <c r="C751" s="1" t="n">
        <v>45923</v>
      </c>
      <c r="D751" t="inlineStr">
        <is>
          <t>JÄMTLANDS LÄN</t>
        </is>
      </c>
      <c r="E751" t="inlineStr">
        <is>
          <t>BERG</t>
        </is>
      </c>
      <c r="G751" t="n">
        <v>15.9</v>
      </c>
      <c r="H751" t="n">
        <v>0</v>
      </c>
      <c r="I751" t="n">
        <v>0</v>
      </c>
      <c r="J751" t="n">
        <v>0</v>
      </c>
      <c r="K751" t="n">
        <v>0</v>
      </c>
      <c r="L751" t="n">
        <v>0</v>
      </c>
      <c r="M751" t="n">
        <v>0</v>
      </c>
      <c r="N751" t="n">
        <v>0</v>
      </c>
      <c r="O751" t="n">
        <v>0</v>
      </c>
      <c r="P751" t="n">
        <v>0</v>
      </c>
      <c r="Q751" t="n">
        <v>0</v>
      </c>
      <c r="R751" s="2" t="inlineStr"/>
    </row>
    <row r="752" ht="15" customHeight="1">
      <c r="A752" t="inlineStr">
        <is>
          <t>A 28453-2025</t>
        </is>
      </c>
      <c r="B752" s="1" t="n">
        <v>45819.40668981482</v>
      </c>
      <c r="C752" s="1" t="n">
        <v>45923</v>
      </c>
      <c r="D752" t="inlineStr">
        <is>
          <t>JÄMTLANDS LÄN</t>
        </is>
      </c>
      <c r="E752" t="inlineStr">
        <is>
          <t>BERG</t>
        </is>
      </c>
      <c r="G752" t="n">
        <v>4.1</v>
      </c>
      <c r="H752" t="n">
        <v>0</v>
      </c>
      <c r="I752" t="n">
        <v>0</v>
      </c>
      <c r="J752" t="n">
        <v>0</v>
      </c>
      <c r="K752" t="n">
        <v>0</v>
      </c>
      <c r="L752" t="n">
        <v>0</v>
      </c>
      <c r="M752" t="n">
        <v>0</v>
      </c>
      <c r="N752" t="n">
        <v>0</v>
      </c>
      <c r="O752" t="n">
        <v>0</v>
      </c>
      <c r="P752" t="n">
        <v>0</v>
      </c>
      <c r="Q752" t="n">
        <v>0</v>
      </c>
      <c r="R752" s="2" t="inlineStr"/>
    </row>
    <row r="753" ht="15" customHeight="1">
      <c r="A753" t="inlineStr">
        <is>
          <t>A 28657-2025</t>
        </is>
      </c>
      <c r="B753" s="1" t="n">
        <v>45819.65709490741</v>
      </c>
      <c r="C753" s="1" t="n">
        <v>45923</v>
      </c>
      <c r="D753" t="inlineStr">
        <is>
          <t>JÄMTLANDS LÄN</t>
        </is>
      </c>
      <c r="E753" t="inlineStr">
        <is>
          <t>BERG</t>
        </is>
      </c>
      <c r="G753" t="n">
        <v>2.4</v>
      </c>
      <c r="H753" t="n">
        <v>0</v>
      </c>
      <c r="I753" t="n">
        <v>0</v>
      </c>
      <c r="J753" t="n">
        <v>0</v>
      </c>
      <c r="K753" t="n">
        <v>0</v>
      </c>
      <c r="L753" t="n">
        <v>0</v>
      </c>
      <c r="M753" t="n">
        <v>0</v>
      </c>
      <c r="N753" t="n">
        <v>0</v>
      </c>
      <c r="O753" t="n">
        <v>0</v>
      </c>
      <c r="P753" t="n">
        <v>0</v>
      </c>
      <c r="Q753" t="n">
        <v>0</v>
      </c>
      <c r="R753" s="2" t="inlineStr"/>
    </row>
    <row r="754" ht="15" customHeight="1">
      <c r="A754" t="inlineStr">
        <is>
          <t>A 28538-2025</t>
        </is>
      </c>
      <c r="B754" s="1" t="n">
        <v>45819.51086805556</v>
      </c>
      <c r="C754" s="1" t="n">
        <v>45923</v>
      </c>
      <c r="D754" t="inlineStr">
        <is>
          <t>JÄMTLANDS LÄN</t>
        </is>
      </c>
      <c r="E754" t="inlineStr">
        <is>
          <t>BERG</t>
        </is>
      </c>
      <c r="G754" t="n">
        <v>4.9</v>
      </c>
      <c r="H754" t="n">
        <v>0</v>
      </c>
      <c r="I754" t="n">
        <v>0</v>
      </c>
      <c r="J754" t="n">
        <v>0</v>
      </c>
      <c r="K754" t="n">
        <v>0</v>
      </c>
      <c r="L754" t="n">
        <v>0</v>
      </c>
      <c r="M754" t="n">
        <v>0</v>
      </c>
      <c r="N754" t="n">
        <v>0</v>
      </c>
      <c r="O754" t="n">
        <v>0</v>
      </c>
      <c r="P754" t="n">
        <v>0</v>
      </c>
      <c r="Q754" t="n">
        <v>0</v>
      </c>
      <c r="R754" s="2" t="inlineStr"/>
    </row>
    <row r="755" ht="15" customHeight="1">
      <c r="A755" t="inlineStr">
        <is>
          <t>A 5215-2024</t>
        </is>
      </c>
      <c r="B755" s="1" t="n">
        <v>45330</v>
      </c>
      <c r="C755" s="1" t="n">
        <v>45923</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14341-2025</t>
        </is>
      </c>
      <c r="B756" s="1" t="n">
        <v>45741.26008101852</v>
      </c>
      <c r="C756" s="1" t="n">
        <v>45923</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57669-2024</t>
        </is>
      </c>
      <c r="B757" s="1" t="n">
        <v>45630.62520833333</v>
      </c>
      <c r="C757" s="1" t="n">
        <v>45923</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29197-2025</t>
        </is>
      </c>
      <c r="B758" s="1" t="n">
        <v>45823.34438657408</v>
      </c>
      <c r="C758" s="1" t="n">
        <v>45923</v>
      </c>
      <c r="D758" t="inlineStr">
        <is>
          <t>JÄMTLANDS LÄN</t>
        </is>
      </c>
      <c r="E758" t="inlineStr">
        <is>
          <t>BERG</t>
        </is>
      </c>
      <c r="F758" t="inlineStr">
        <is>
          <t>SCA</t>
        </is>
      </c>
      <c r="G758" t="n">
        <v>10</v>
      </c>
      <c r="H758" t="n">
        <v>0</v>
      </c>
      <c r="I758" t="n">
        <v>0</v>
      </c>
      <c r="J758" t="n">
        <v>0</v>
      </c>
      <c r="K758" t="n">
        <v>0</v>
      </c>
      <c r="L758" t="n">
        <v>0</v>
      </c>
      <c r="M758" t="n">
        <v>0</v>
      </c>
      <c r="N758" t="n">
        <v>0</v>
      </c>
      <c r="O758" t="n">
        <v>0</v>
      </c>
      <c r="P758" t="n">
        <v>0</v>
      </c>
      <c r="Q758" t="n">
        <v>0</v>
      </c>
      <c r="R758" s="2" t="inlineStr"/>
    </row>
    <row r="759" ht="15" customHeight="1">
      <c r="A759" t="inlineStr">
        <is>
          <t>A 29279-2025</t>
        </is>
      </c>
      <c r="B759" s="1" t="n">
        <v>45824.42381944445</v>
      </c>
      <c r="C759" s="1" t="n">
        <v>45923</v>
      </c>
      <c r="D759" t="inlineStr">
        <is>
          <t>JÄMTLANDS LÄN</t>
        </is>
      </c>
      <c r="E759" t="inlineStr">
        <is>
          <t>BERG</t>
        </is>
      </c>
      <c r="G759" t="n">
        <v>3.6</v>
      </c>
      <c r="H759" t="n">
        <v>0</v>
      </c>
      <c r="I759" t="n">
        <v>0</v>
      </c>
      <c r="J759" t="n">
        <v>0</v>
      </c>
      <c r="K759" t="n">
        <v>0</v>
      </c>
      <c r="L759" t="n">
        <v>0</v>
      </c>
      <c r="M759" t="n">
        <v>0</v>
      </c>
      <c r="N759" t="n">
        <v>0</v>
      </c>
      <c r="O759" t="n">
        <v>0</v>
      </c>
      <c r="P759" t="n">
        <v>0</v>
      </c>
      <c r="Q759" t="n">
        <v>0</v>
      </c>
      <c r="R759" s="2" t="inlineStr"/>
    </row>
    <row r="760" ht="15" customHeight="1">
      <c r="A760" t="inlineStr">
        <is>
          <t>A 29310-2025</t>
        </is>
      </c>
      <c r="B760" s="1" t="n">
        <v>45824.46353009259</v>
      </c>
      <c r="C760" s="1" t="n">
        <v>45923</v>
      </c>
      <c r="D760" t="inlineStr">
        <is>
          <t>JÄMTLANDS LÄN</t>
        </is>
      </c>
      <c r="E760" t="inlineStr">
        <is>
          <t>BERG</t>
        </is>
      </c>
      <c r="G760" t="n">
        <v>5.6</v>
      </c>
      <c r="H760" t="n">
        <v>0</v>
      </c>
      <c r="I760" t="n">
        <v>0</v>
      </c>
      <c r="J760" t="n">
        <v>0</v>
      </c>
      <c r="K760" t="n">
        <v>0</v>
      </c>
      <c r="L760" t="n">
        <v>0</v>
      </c>
      <c r="M760" t="n">
        <v>0</v>
      </c>
      <c r="N760" t="n">
        <v>0</v>
      </c>
      <c r="O760" t="n">
        <v>0</v>
      </c>
      <c r="P760" t="n">
        <v>0</v>
      </c>
      <c r="Q760" t="n">
        <v>0</v>
      </c>
      <c r="R760" s="2" t="inlineStr"/>
    </row>
    <row r="761" ht="15" customHeight="1">
      <c r="A761" t="inlineStr">
        <is>
          <t>A 29198-2025</t>
        </is>
      </c>
      <c r="B761" s="1" t="n">
        <v>45823.34451388889</v>
      </c>
      <c r="C761" s="1" t="n">
        <v>45923</v>
      </c>
      <c r="D761" t="inlineStr">
        <is>
          <t>JÄMTLANDS LÄN</t>
        </is>
      </c>
      <c r="E761" t="inlineStr">
        <is>
          <t>BERG</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29199-2025</t>
        </is>
      </c>
      <c r="B762" s="1" t="n">
        <v>45823.34459490741</v>
      </c>
      <c r="C762" s="1" t="n">
        <v>45923</v>
      </c>
      <c r="D762" t="inlineStr">
        <is>
          <t>JÄMTLANDS LÄN</t>
        </is>
      </c>
      <c r="E762" t="inlineStr">
        <is>
          <t>BERG</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29836-2025</t>
        </is>
      </c>
      <c r="B763" s="1" t="n">
        <v>45825.9468287037</v>
      </c>
      <c r="C763" s="1" t="n">
        <v>45923</v>
      </c>
      <c r="D763" t="inlineStr">
        <is>
          <t>JÄMTLANDS LÄN</t>
        </is>
      </c>
      <c r="E763" t="inlineStr">
        <is>
          <t>BERG</t>
        </is>
      </c>
      <c r="G763" t="n">
        <v>12.7</v>
      </c>
      <c r="H763" t="n">
        <v>0</v>
      </c>
      <c r="I763" t="n">
        <v>0</v>
      </c>
      <c r="J763" t="n">
        <v>0</v>
      </c>
      <c r="K763" t="n">
        <v>0</v>
      </c>
      <c r="L763" t="n">
        <v>0</v>
      </c>
      <c r="M763" t="n">
        <v>0</v>
      </c>
      <c r="N763" t="n">
        <v>0</v>
      </c>
      <c r="O763" t="n">
        <v>0</v>
      </c>
      <c r="P763" t="n">
        <v>0</v>
      </c>
      <c r="Q763" t="n">
        <v>0</v>
      </c>
      <c r="R763" s="2" t="inlineStr"/>
    </row>
    <row r="764" ht="15" customHeight="1">
      <c r="A764" t="inlineStr">
        <is>
          <t>A 30017-2025</t>
        </is>
      </c>
      <c r="B764" s="1" t="n">
        <v>45826.55306712963</v>
      </c>
      <c r="C764" s="1" t="n">
        <v>45923</v>
      </c>
      <c r="D764" t="inlineStr">
        <is>
          <t>JÄMTLANDS LÄN</t>
        </is>
      </c>
      <c r="E764" t="inlineStr">
        <is>
          <t>BERG</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29908-2025</t>
        </is>
      </c>
      <c r="B765" s="1" t="n">
        <v>45826</v>
      </c>
      <c r="C765" s="1" t="n">
        <v>45923</v>
      </c>
      <c r="D765" t="inlineStr">
        <is>
          <t>JÄMTLANDS LÄN</t>
        </is>
      </c>
      <c r="E765" t="inlineStr">
        <is>
          <t>BERG</t>
        </is>
      </c>
      <c r="G765" t="n">
        <v>2.2</v>
      </c>
      <c r="H765" t="n">
        <v>0</v>
      </c>
      <c r="I765" t="n">
        <v>0</v>
      </c>
      <c r="J765" t="n">
        <v>0</v>
      </c>
      <c r="K765" t="n">
        <v>0</v>
      </c>
      <c r="L765" t="n">
        <v>0</v>
      </c>
      <c r="M765" t="n">
        <v>0</v>
      </c>
      <c r="N765" t="n">
        <v>0</v>
      </c>
      <c r="O765" t="n">
        <v>0</v>
      </c>
      <c r="P765" t="n">
        <v>0</v>
      </c>
      <c r="Q765" t="n">
        <v>0</v>
      </c>
      <c r="R765" s="2" t="inlineStr"/>
    </row>
    <row r="766" ht="15" customHeight="1">
      <c r="A766" t="inlineStr">
        <is>
          <t>A 31131-2024</t>
        </is>
      </c>
      <c r="B766" s="1" t="n">
        <v>45502</v>
      </c>
      <c r="C766" s="1" t="n">
        <v>45923</v>
      </c>
      <c r="D766" t="inlineStr">
        <is>
          <t>JÄMTLANDS LÄN</t>
        </is>
      </c>
      <c r="E766" t="inlineStr">
        <is>
          <t>BERG</t>
        </is>
      </c>
      <c r="G766" t="n">
        <v>2.1</v>
      </c>
      <c r="H766" t="n">
        <v>0</v>
      </c>
      <c r="I766" t="n">
        <v>0</v>
      </c>
      <c r="J766" t="n">
        <v>0</v>
      </c>
      <c r="K766" t="n">
        <v>0</v>
      </c>
      <c r="L766" t="n">
        <v>0</v>
      </c>
      <c r="M766" t="n">
        <v>0</v>
      </c>
      <c r="N766" t="n">
        <v>0</v>
      </c>
      <c r="O766" t="n">
        <v>0</v>
      </c>
      <c r="P766" t="n">
        <v>0</v>
      </c>
      <c r="Q766" t="n">
        <v>0</v>
      </c>
      <c r="R766" s="2" t="inlineStr"/>
    </row>
    <row r="767" ht="15" customHeight="1">
      <c r="A767" t="inlineStr">
        <is>
          <t>A 31154-2024</t>
        </is>
      </c>
      <c r="B767" s="1" t="n">
        <v>45503.32976851852</v>
      </c>
      <c r="C767" s="1" t="n">
        <v>45923</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29533-2025</t>
        </is>
      </c>
      <c r="B768" s="1" t="n">
        <v>45825.34466435185</v>
      </c>
      <c r="C768" s="1" t="n">
        <v>45923</v>
      </c>
      <c r="D768" t="inlineStr">
        <is>
          <t>JÄMTLANDS LÄN</t>
        </is>
      </c>
      <c r="E768" t="inlineStr">
        <is>
          <t>BERG</t>
        </is>
      </c>
      <c r="F768" t="inlineStr">
        <is>
          <t>SCA</t>
        </is>
      </c>
      <c r="G768" t="n">
        <v>10</v>
      </c>
      <c r="H768" t="n">
        <v>0</v>
      </c>
      <c r="I768" t="n">
        <v>0</v>
      </c>
      <c r="J768" t="n">
        <v>0</v>
      </c>
      <c r="K768" t="n">
        <v>0</v>
      </c>
      <c r="L768" t="n">
        <v>0</v>
      </c>
      <c r="M768" t="n">
        <v>0</v>
      </c>
      <c r="N768" t="n">
        <v>0</v>
      </c>
      <c r="O768" t="n">
        <v>0</v>
      </c>
      <c r="P768" t="n">
        <v>0</v>
      </c>
      <c r="Q768" t="n">
        <v>0</v>
      </c>
      <c r="R768" s="2" t="inlineStr"/>
    </row>
    <row r="769" ht="15" customHeight="1">
      <c r="A769" t="inlineStr">
        <is>
          <t>A 29538-2025</t>
        </is>
      </c>
      <c r="B769" s="1" t="n">
        <v>45825.34517361111</v>
      </c>
      <c r="C769" s="1" t="n">
        <v>45923</v>
      </c>
      <c r="D769" t="inlineStr">
        <is>
          <t>JÄMTLANDS LÄN</t>
        </is>
      </c>
      <c r="E769" t="inlineStr">
        <is>
          <t>BERG</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29902-2025</t>
        </is>
      </c>
      <c r="B770" s="1" t="n">
        <v>45826</v>
      </c>
      <c r="C770" s="1" t="n">
        <v>45923</v>
      </c>
      <c r="D770" t="inlineStr">
        <is>
          <t>JÄMTLANDS LÄN</t>
        </is>
      </c>
      <c r="E770" t="inlineStr">
        <is>
          <t>BERG</t>
        </is>
      </c>
      <c r="G770" t="n">
        <v>9.1</v>
      </c>
      <c r="H770" t="n">
        <v>0</v>
      </c>
      <c r="I770" t="n">
        <v>0</v>
      </c>
      <c r="J770" t="n">
        <v>0</v>
      </c>
      <c r="K770" t="n">
        <v>0</v>
      </c>
      <c r="L770" t="n">
        <v>0</v>
      </c>
      <c r="M770" t="n">
        <v>0</v>
      </c>
      <c r="N770" t="n">
        <v>0</v>
      </c>
      <c r="O770" t="n">
        <v>0</v>
      </c>
      <c r="P770" t="n">
        <v>0</v>
      </c>
      <c r="Q770" t="n">
        <v>0</v>
      </c>
      <c r="R770" s="2" t="inlineStr"/>
    </row>
    <row r="771" ht="15" customHeight="1">
      <c r="A771" t="inlineStr">
        <is>
          <t>A 19538-2023</t>
        </is>
      </c>
      <c r="B771" s="1" t="n">
        <v>45050</v>
      </c>
      <c r="C771" s="1" t="n">
        <v>45923</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13473-2025</t>
        </is>
      </c>
      <c r="B772" s="1" t="n">
        <v>45736.40671296296</v>
      </c>
      <c r="C772" s="1" t="n">
        <v>45923</v>
      </c>
      <c r="D772" t="inlineStr">
        <is>
          <t>JÄMTLANDS LÄN</t>
        </is>
      </c>
      <c r="E772" t="inlineStr">
        <is>
          <t>BERG</t>
        </is>
      </c>
      <c r="F772" t="inlineStr">
        <is>
          <t>SCA</t>
        </is>
      </c>
      <c r="G772" t="n">
        <v>13.7</v>
      </c>
      <c r="H772" t="n">
        <v>0</v>
      </c>
      <c r="I772" t="n">
        <v>0</v>
      </c>
      <c r="J772" t="n">
        <v>0</v>
      </c>
      <c r="K772" t="n">
        <v>0</v>
      </c>
      <c r="L772" t="n">
        <v>0</v>
      </c>
      <c r="M772" t="n">
        <v>0</v>
      </c>
      <c r="N772" t="n">
        <v>0</v>
      </c>
      <c r="O772" t="n">
        <v>0</v>
      </c>
      <c r="P772" t="n">
        <v>0</v>
      </c>
      <c r="Q772" t="n">
        <v>0</v>
      </c>
      <c r="R772" s="2" t="inlineStr"/>
    </row>
    <row r="773" ht="15" customHeight="1">
      <c r="A773" t="inlineStr">
        <is>
          <t>A 18551-2025</t>
        </is>
      </c>
      <c r="B773" s="1" t="n">
        <v>45763.43650462963</v>
      </c>
      <c r="C773" s="1" t="n">
        <v>45923</v>
      </c>
      <c r="D773" t="inlineStr">
        <is>
          <t>JÄMTLANDS LÄN</t>
        </is>
      </c>
      <c r="E773" t="inlineStr">
        <is>
          <t>BERG</t>
        </is>
      </c>
      <c r="G773" t="n">
        <v>3.5</v>
      </c>
      <c r="H773" t="n">
        <v>0</v>
      </c>
      <c r="I773" t="n">
        <v>0</v>
      </c>
      <c r="J773" t="n">
        <v>0</v>
      </c>
      <c r="K773" t="n">
        <v>0</v>
      </c>
      <c r="L773" t="n">
        <v>0</v>
      </c>
      <c r="M773" t="n">
        <v>0</v>
      </c>
      <c r="N773" t="n">
        <v>0</v>
      </c>
      <c r="O773" t="n">
        <v>0</v>
      </c>
      <c r="P773" t="n">
        <v>0</v>
      </c>
      <c r="Q773" t="n">
        <v>0</v>
      </c>
      <c r="R773" s="2" t="inlineStr"/>
    </row>
    <row r="774" ht="15" customHeight="1">
      <c r="A774" t="inlineStr">
        <is>
          <t>A 16491-2023</t>
        </is>
      </c>
      <c r="B774" s="1" t="n">
        <v>45027</v>
      </c>
      <c r="C774" s="1" t="n">
        <v>45923</v>
      </c>
      <c r="D774" t="inlineStr">
        <is>
          <t>JÄMTLANDS LÄN</t>
        </is>
      </c>
      <c r="E774" t="inlineStr">
        <is>
          <t>BERG</t>
        </is>
      </c>
      <c r="G774" t="n">
        <v>2.5</v>
      </c>
      <c r="H774" t="n">
        <v>0</v>
      </c>
      <c r="I774" t="n">
        <v>0</v>
      </c>
      <c r="J774" t="n">
        <v>0</v>
      </c>
      <c r="K774" t="n">
        <v>0</v>
      </c>
      <c r="L774" t="n">
        <v>0</v>
      </c>
      <c r="M774" t="n">
        <v>0</v>
      </c>
      <c r="N774" t="n">
        <v>0</v>
      </c>
      <c r="O774" t="n">
        <v>0</v>
      </c>
      <c r="P774" t="n">
        <v>0</v>
      </c>
      <c r="Q774" t="n">
        <v>0</v>
      </c>
      <c r="R774" s="2" t="inlineStr"/>
    </row>
    <row r="775" ht="15" customHeight="1">
      <c r="A775" t="inlineStr">
        <is>
          <t>A 30314-2025</t>
        </is>
      </c>
      <c r="B775" s="1" t="n">
        <v>45827.49047453704</v>
      </c>
      <c r="C775" s="1" t="n">
        <v>45923</v>
      </c>
      <c r="D775" t="inlineStr">
        <is>
          <t>JÄMTLANDS LÄN</t>
        </is>
      </c>
      <c r="E775" t="inlineStr">
        <is>
          <t>BERG</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8239-2024</t>
        </is>
      </c>
      <c r="B776" s="1" t="n">
        <v>45351</v>
      </c>
      <c r="C776" s="1" t="n">
        <v>45923</v>
      </c>
      <c r="D776" t="inlineStr">
        <is>
          <t>JÄMTLANDS LÄN</t>
        </is>
      </c>
      <c r="E776" t="inlineStr">
        <is>
          <t>BERG</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64247-2023</t>
        </is>
      </c>
      <c r="B777" s="1" t="n">
        <v>45279.92739583334</v>
      </c>
      <c r="C777" s="1" t="n">
        <v>45923</v>
      </c>
      <c r="D777" t="inlineStr">
        <is>
          <t>JÄMTLANDS LÄN</t>
        </is>
      </c>
      <c r="E777" t="inlineStr">
        <is>
          <t>BERG</t>
        </is>
      </c>
      <c r="G777" t="n">
        <v>0.9</v>
      </c>
      <c r="H777" t="n">
        <v>0</v>
      </c>
      <c r="I777" t="n">
        <v>0</v>
      </c>
      <c r="J777" t="n">
        <v>0</v>
      </c>
      <c r="K777" t="n">
        <v>0</v>
      </c>
      <c r="L777" t="n">
        <v>0</v>
      </c>
      <c r="M777" t="n">
        <v>0</v>
      </c>
      <c r="N777" t="n">
        <v>0</v>
      </c>
      <c r="O777" t="n">
        <v>0</v>
      </c>
      <c r="P777" t="n">
        <v>0</v>
      </c>
      <c r="Q777" t="n">
        <v>0</v>
      </c>
      <c r="R777" s="2" t="inlineStr"/>
    </row>
    <row r="778" ht="15" customHeight="1">
      <c r="A778" t="inlineStr">
        <is>
          <t>A 62555-2023</t>
        </is>
      </c>
      <c r="B778" s="1" t="n">
        <v>45268.9262962963</v>
      </c>
      <c r="C778" s="1" t="n">
        <v>45923</v>
      </c>
      <c r="D778" t="inlineStr">
        <is>
          <t>JÄMTLANDS LÄN</t>
        </is>
      </c>
      <c r="E778" t="inlineStr">
        <is>
          <t>BERG</t>
        </is>
      </c>
      <c r="G778" t="n">
        <v>5</v>
      </c>
      <c r="H778" t="n">
        <v>0</v>
      </c>
      <c r="I778" t="n">
        <v>0</v>
      </c>
      <c r="J778" t="n">
        <v>0</v>
      </c>
      <c r="K778" t="n">
        <v>0</v>
      </c>
      <c r="L778" t="n">
        <v>0</v>
      </c>
      <c r="M778" t="n">
        <v>0</v>
      </c>
      <c r="N778" t="n">
        <v>0</v>
      </c>
      <c r="O778" t="n">
        <v>0</v>
      </c>
      <c r="P778" t="n">
        <v>0</v>
      </c>
      <c r="Q778" t="n">
        <v>0</v>
      </c>
      <c r="R778" s="2" t="inlineStr"/>
    </row>
    <row r="779" ht="15" customHeight="1">
      <c r="A779" t="inlineStr">
        <is>
          <t>A 36-2024</t>
        </is>
      </c>
      <c r="B779" s="1" t="n">
        <v>45293</v>
      </c>
      <c r="C779" s="1" t="n">
        <v>45923</v>
      </c>
      <c r="D779" t="inlineStr">
        <is>
          <t>JÄMTLANDS LÄN</t>
        </is>
      </c>
      <c r="E779" t="inlineStr">
        <is>
          <t>BERG</t>
        </is>
      </c>
      <c r="G779" t="n">
        <v>2.6</v>
      </c>
      <c r="H779" t="n">
        <v>0</v>
      </c>
      <c r="I779" t="n">
        <v>0</v>
      </c>
      <c r="J779" t="n">
        <v>0</v>
      </c>
      <c r="K779" t="n">
        <v>0</v>
      </c>
      <c r="L779" t="n">
        <v>0</v>
      </c>
      <c r="M779" t="n">
        <v>0</v>
      </c>
      <c r="N779" t="n">
        <v>0</v>
      </c>
      <c r="O779" t="n">
        <v>0</v>
      </c>
      <c r="P779" t="n">
        <v>0</v>
      </c>
      <c r="Q779" t="n">
        <v>0</v>
      </c>
      <c r="R779" s="2" t="inlineStr"/>
    </row>
    <row r="780" ht="15" customHeight="1">
      <c r="A780" t="inlineStr">
        <is>
          <t>A 31024-2025</t>
        </is>
      </c>
      <c r="B780" s="1" t="n">
        <v>45832.52571759259</v>
      </c>
      <c r="C780" s="1" t="n">
        <v>45923</v>
      </c>
      <c r="D780" t="inlineStr">
        <is>
          <t>JÄMTLANDS LÄN</t>
        </is>
      </c>
      <c r="E780" t="inlineStr">
        <is>
          <t>BERG</t>
        </is>
      </c>
      <c r="G780" t="n">
        <v>3.6</v>
      </c>
      <c r="H780" t="n">
        <v>0</v>
      </c>
      <c r="I780" t="n">
        <v>0</v>
      </c>
      <c r="J780" t="n">
        <v>0</v>
      </c>
      <c r="K780" t="n">
        <v>0</v>
      </c>
      <c r="L780" t="n">
        <v>0</v>
      </c>
      <c r="M780" t="n">
        <v>0</v>
      </c>
      <c r="N780" t="n">
        <v>0</v>
      </c>
      <c r="O780" t="n">
        <v>0</v>
      </c>
      <c r="P780" t="n">
        <v>0</v>
      </c>
      <c r="Q780" t="n">
        <v>0</v>
      </c>
      <c r="R780" s="2" t="inlineStr"/>
    </row>
    <row r="781" ht="15" customHeight="1">
      <c r="A781" t="inlineStr">
        <is>
          <t>A 31079-2024</t>
        </is>
      </c>
      <c r="B781" s="1" t="n">
        <v>45502.46423611111</v>
      </c>
      <c r="C781" s="1" t="n">
        <v>45923</v>
      </c>
      <c r="D781" t="inlineStr">
        <is>
          <t>JÄMTLANDS LÄN</t>
        </is>
      </c>
      <c r="E781" t="inlineStr">
        <is>
          <t>BERG</t>
        </is>
      </c>
      <c r="G781" t="n">
        <v>2.5</v>
      </c>
      <c r="H781" t="n">
        <v>0</v>
      </c>
      <c r="I781" t="n">
        <v>0</v>
      </c>
      <c r="J781" t="n">
        <v>0</v>
      </c>
      <c r="K781" t="n">
        <v>0</v>
      </c>
      <c r="L781" t="n">
        <v>0</v>
      </c>
      <c r="M781" t="n">
        <v>0</v>
      </c>
      <c r="N781" t="n">
        <v>0</v>
      </c>
      <c r="O781" t="n">
        <v>0</v>
      </c>
      <c r="P781" t="n">
        <v>0</v>
      </c>
      <c r="Q781" t="n">
        <v>0</v>
      </c>
      <c r="R781" s="2" t="inlineStr"/>
    </row>
    <row r="782" ht="15" customHeight="1">
      <c r="A782" t="inlineStr">
        <is>
          <t>A 31015-2025</t>
        </is>
      </c>
      <c r="B782" s="1" t="n">
        <v>45832.51086805556</v>
      </c>
      <c r="C782" s="1" t="n">
        <v>45923</v>
      </c>
      <c r="D782" t="inlineStr">
        <is>
          <t>JÄMTLANDS LÄN</t>
        </is>
      </c>
      <c r="E782" t="inlineStr">
        <is>
          <t>BERG</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31017-2025</t>
        </is>
      </c>
      <c r="B783" s="1" t="n">
        <v>45832.51111111111</v>
      </c>
      <c r="C783" s="1" t="n">
        <v>45923</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31136-2025</t>
        </is>
      </c>
      <c r="B784" s="1" t="n">
        <v>45832.63599537037</v>
      </c>
      <c r="C784" s="1" t="n">
        <v>45923</v>
      </c>
      <c r="D784" t="inlineStr">
        <is>
          <t>JÄMTLANDS LÄN</t>
        </is>
      </c>
      <c r="E784" t="inlineStr">
        <is>
          <t>BERG</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31070-2025</t>
        </is>
      </c>
      <c r="B785" s="1" t="n">
        <v>45832.57887731482</v>
      </c>
      <c r="C785" s="1" t="n">
        <v>45923</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31090-2025</t>
        </is>
      </c>
      <c r="B786" s="1" t="n">
        <v>45832.59436342592</v>
      </c>
      <c r="C786" s="1" t="n">
        <v>45923</v>
      </c>
      <c r="D786" t="inlineStr">
        <is>
          <t>JÄMTLANDS LÄN</t>
        </is>
      </c>
      <c r="E786" t="inlineStr">
        <is>
          <t>BERG</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16002-2025</t>
        </is>
      </c>
      <c r="B787" s="1" t="n">
        <v>45749.59398148148</v>
      </c>
      <c r="C787" s="1" t="n">
        <v>45923</v>
      </c>
      <c r="D787" t="inlineStr">
        <is>
          <t>JÄMTLANDS LÄN</t>
        </is>
      </c>
      <c r="E787" t="inlineStr">
        <is>
          <t>BERG</t>
        </is>
      </c>
      <c r="G787" t="n">
        <v>0.7</v>
      </c>
      <c r="H787" t="n">
        <v>0</v>
      </c>
      <c r="I787" t="n">
        <v>0</v>
      </c>
      <c r="J787" t="n">
        <v>0</v>
      </c>
      <c r="K787" t="n">
        <v>0</v>
      </c>
      <c r="L787" t="n">
        <v>0</v>
      </c>
      <c r="M787" t="n">
        <v>0</v>
      </c>
      <c r="N787" t="n">
        <v>0</v>
      </c>
      <c r="O787" t="n">
        <v>0</v>
      </c>
      <c r="P787" t="n">
        <v>0</v>
      </c>
      <c r="Q787" t="n">
        <v>0</v>
      </c>
      <c r="R787" s="2" t="inlineStr"/>
    </row>
    <row r="788" ht="15" customHeight="1">
      <c r="A788" t="inlineStr">
        <is>
          <t>A 49413-2024</t>
        </is>
      </c>
      <c r="B788" s="1" t="n">
        <v>45595.69810185185</v>
      </c>
      <c r="C788" s="1" t="n">
        <v>45923</v>
      </c>
      <c r="D788" t="inlineStr">
        <is>
          <t>JÄMTLANDS LÄN</t>
        </is>
      </c>
      <c r="E788" t="inlineStr">
        <is>
          <t>BERG</t>
        </is>
      </c>
      <c r="G788" t="n">
        <v>12.6</v>
      </c>
      <c r="H788" t="n">
        <v>0</v>
      </c>
      <c r="I788" t="n">
        <v>0</v>
      </c>
      <c r="J788" t="n">
        <v>0</v>
      </c>
      <c r="K788" t="n">
        <v>0</v>
      </c>
      <c r="L788" t="n">
        <v>0</v>
      </c>
      <c r="M788" t="n">
        <v>0</v>
      </c>
      <c r="N788" t="n">
        <v>0</v>
      </c>
      <c r="O788" t="n">
        <v>0</v>
      </c>
      <c r="P788" t="n">
        <v>0</v>
      </c>
      <c r="Q788" t="n">
        <v>0</v>
      </c>
      <c r="R788" s="2" t="inlineStr"/>
    </row>
    <row r="789" ht="15" customHeight="1">
      <c r="A789" t="inlineStr">
        <is>
          <t>A 14226-2021</t>
        </is>
      </c>
      <c r="B789" s="1" t="n">
        <v>44277</v>
      </c>
      <c r="C789" s="1" t="n">
        <v>45923</v>
      </c>
      <c r="D789" t="inlineStr">
        <is>
          <t>JÄMTLANDS LÄN</t>
        </is>
      </c>
      <c r="E789" t="inlineStr">
        <is>
          <t>BERG</t>
        </is>
      </c>
      <c r="G789" t="n">
        <v>23.7</v>
      </c>
      <c r="H789" t="n">
        <v>0</v>
      </c>
      <c r="I789" t="n">
        <v>0</v>
      </c>
      <c r="J789" t="n">
        <v>0</v>
      </c>
      <c r="K789" t="n">
        <v>0</v>
      </c>
      <c r="L789" t="n">
        <v>0</v>
      </c>
      <c r="M789" t="n">
        <v>0</v>
      </c>
      <c r="N789" t="n">
        <v>0</v>
      </c>
      <c r="O789" t="n">
        <v>0</v>
      </c>
      <c r="P789" t="n">
        <v>0</v>
      </c>
      <c r="Q789" t="n">
        <v>0</v>
      </c>
      <c r="R789" s="2" t="inlineStr"/>
    </row>
    <row r="790" ht="15" customHeight="1">
      <c r="A790" t="inlineStr">
        <is>
          <t>A 31820-2025</t>
        </is>
      </c>
      <c r="B790" s="1" t="n">
        <v>45834.57930555556</v>
      </c>
      <c r="C790" s="1" t="n">
        <v>45923</v>
      </c>
      <c r="D790" t="inlineStr">
        <is>
          <t>JÄMTLANDS LÄN</t>
        </is>
      </c>
      <c r="E790" t="inlineStr">
        <is>
          <t>BERG</t>
        </is>
      </c>
      <c r="G790" t="n">
        <v>13.9</v>
      </c>
      <c r="H790" t="n">
        <v>0</v>
      </c>
      <c r="I790" t="n">
        <v>0</v>
      </c>
      <c r="J790" t="n">
        <v>0</v>
      </c>
      <c r="K790" t="n">
        <v>0</v>
      </c>
      <c r="L790" t="n">
        <v>0</v>
      </c>
      <c r="M790" t="n">
        <v>0</v>
      </c>
      <c r="N790" t="n">
        <v>0</v>
      </c>
      <c r="O790" t="n">
        <v>0</v>
      </c>
      <c r="P790" t="n">
        <v>0</v>
      </c>
      <c r="Q790" t="n">
        <v>0</v>
      </c>
      <c r="R790" s="2" t="inlineStr"/>
    </row>
    <row r="791" ht="15" customHeight="1">
      <c r="A791" t="inlineStr">
        <is>
          <t>A 32654-2025</t>
        </is>
      </c>
      <c r="B791" s="1" t="n">
        <v>45838.6778587963</v>
      </c>
      <c r="C791" s="1" t="n">
        <v>45923</v>
      </c>
      <c r="D791" t="inlineStr">
        <is>
          <t>JÄMTLANDS LÄN</t>
        </is>
      </c>
      <c r="E791" t="inlineStr">
        <is>
          <t>BERG</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32160-2025</t>
        </is>
      </c>
      <c r="B792" s="1" t="n">
        <v>45835.54142361111</v>
      </c>
      <c r="C792" s="1" t="n">
        <v>45923</v>
      </c>
      <c r="D792" t="inlineStr">
        <is>
          <t>JÄMTLANDS LÄN</t>
        </is>
      </c>
      <c r="E792" t="inlineStr">
        <is>
          <t>BERG</t>
        </is>
      </c>
      <c r="G792" t="n">
        <v>10.3</v>
      </c>
      <c r="H792" t="n">
        <v>0</v>
      </c>
      <c r="I792" t="n">
        <v>0</v>
      </c>
      <c r="J792" t="n">
        <v>0</v>
      </c>
      <c r="K792" t="n">
        <v>0</v>
      </c>
      <c r="L792" t="n">
        <v>0</v>
      </c>
      <c r="M792" t="n">
        <v>0</v>
      </c>
      <c r="N792" t="n">
        <v>0</v>
      </c>
      <c r="O792" t="n">
        <v>0</v>
      </c>
      <c r="P792" t="n">
        <v>0</v>
      </c>
      <c r="Q792" t="n">
        <v>0</v>
      </c>
      <c r="R792" s="2" t="inlineStr"/>
    </row>
    <row r="793" ht="15" customHeight="1">
      <c r="A793" t="inlineStr">
        <is>
          <t>A 32919-2025</t>
        </is>
      </c>
      <c r="B793" s="1" t="n">
        <v>45839.64721064815</v>
      </c>
      <c r="C793" s="1" t="n">
        <v>45923</v>
      </c>
      <c r="D793" t="inlineStr">
        <is>
          <t>JÄMTLANDS LÄN</t>
        </is>
      </c>
      <c r="E793" t="inlineStr">
        <is>
          <t>BERG</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33054-2025</t>
        </is>
      </c>
      <c r="B794" s="1" t="n">
        <v>45840.42746527777</v>
      </c>
      <c r="C794" s="1" t="n">
        <v>45923</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28403-2025</t>
        </is>
      </c>
      <c r="B795" s="1" t="n">
        <v>45819</v>
      </c>
      <c r="C795" s="1" t="n">
        <v>45923</v>
      </c>
      <c r="D795" t="inlineStr">
        <is>
          <t>JÄMTLANDS LÄN</t>
        </is>
      </c>
      <c r="E795" t="inlineStr">
        <is>
          <t>BERG</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32713-2025</t>
        </is>
      </c>
      <c r="B796" s="1" t="n">
        <v>45839.36935185185</v>
      </c>
      <c r="C796" s="1" t="n">
        <v>45923</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33753-2025</t>
        </is>
      </c>
      <c r="B797" s="1" t="n">
        <v>45842.37199074074</v>
      </c>
      <c r="C797" s="1" t="n">
        <v>45923</v>
      </c>
      <c r="D797" t="inlineStr">
        <is>
          <t>JÄMTLANDS LÄN</t>
        </is>
      </c>
      <c r="E797" t="inlineStr">
        <is>
          <t>BERG</t>
        </is>
      </c>
      <c r="G797" t="n">
        <v>1</v>
      </c>
      <c r="H797" t="n">
        <v>0</v>
      </c>
      <c r="I797" t="n">
        <v>0</v>
      </c>
      <c r="J797" t="n">
        <v>0</v>
      </c>
      <c r="K797" t="n">
        <v>0</v>
      </c>
      <c r="L797" t="n">
        <v>0</v>
      </c>
      <c r="M797" t="n">
        <v>0</v>
      </c>
      <c r="N797" t="n">
        <v>0</v>
      </c>
      <c r="O797" t="n">
        <v>0</v>
      </c>
      <c r="P797" t="n">
        <v>0</v>
      </c>
      <c r="Q797" t="n">
        <v>0</v>
      </c>
      <c r="R797" s="2" t="inlineStr"/>
    </row>
    <row r="798" ht="15" customHeight="1">
      <c r="A798" t="inlineStr">
        <is>
          <t>A 33748-2025</t>
        </is>
      </c>
      <c r="B798" s="1" t="n">
        <v>45842.35685185185</v>
      </c>
      <c r="C798" s="1" t="n">
        <v>45923</v>
      </c>
      <c r="D798" t="inlineStr">
        <is>
          <t>JÄMTLANDS LÄN</t>
        </is>
      </c>
      <c r="E798" t="inlineStr">
        <is>
          <t>BERG</t>
        </is>
      </c>
      <c r="G798" t="n">
        <v>2.1</v>
      </c>
      <c r="H798" t="n">
        <v>0</v>
      </c>
      <c r="I798" t="n">
        <v>0</v>
      </c>
      <c r="J798" t="n">
        <v>0</v>
      </c>
      <c r="K798" t="n">
        <v>0</v>
      </c>
      <c r="L798" t="n">
        <v>0</v>
      </c>
      <c r="M798" t="n">
        <v>0</v>
      </c>
      <c r="N798" t="n">
        <v>0</v>
      </c>
      <c r="O798" t="n">
        <v>0</v>
      </c>
      <c r="P798" t="n">
        <v>0</v>
      </c>
      <c r="Q798" t="n">
        <v>0</v>
      </c>
      <c r="R798" s="2" t="inlineStr"/>
    </row>
    <row r="799" ht="15" customHeight="1">
      <c r="A799" t="inlineStr">
        <is>
          <t>A 38388-2025</t>
        </is>
      </c>
      <c r="B799" s="1" t="n">
        <v>45883.57467592593</v>
      </c>
      <c r="C799" s="1" t="n">
        <v>45923</v>
      </c>
      <c r="D799" t="inlineStr">
        <is>
          <t>JÄMTLANDS LÄN</t>
        </is>
      </c>
      <c r="E799" t="inlineStr">
        <is>
          <t>BERG</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38408-2025</t>
        </is>
      </c>
      <c r="B800" s="1" t="n">
        <v>45883.59412037037</v>
      </c>
      <c r="C800" s="1" t="n">
        <v>45923</v>
      </c>
      <c r="D800" t="inlineStr">
        <is>
          <t>JÄMTLANDS LÄN</t>
        </is>
      </c>
      <c r="E800" t="inlineStr">
        <is>
          <t>BERG</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38428-2025</t>
        </is>
      </c>
      <c r="B801" s="1" t="n">
        <v>45883.63628472222</v>
      </c>
      <c r="C801" s="1" t="n">
        <v>45923</v>
      </c>
      <c r="D801" t="inlineStr">
        <is>
          <t>JÄMTLANDS LÄN</t>
        </is>
      </c>
      <c r="E801" t="inlineStr">
        <is>
          <t>BERG</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33750-2025</t>
        </is>
      </c>
      <c r="B802" s="1" t="n">
        <v>45842.36243055556</v>
      </c>
      <c r="C802" s="1" t="n">
        <v>45923</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34036-2025</t>
        </is>
      </c>
      <c r="B803" s="1" t="n">
        <v>45845.36954861111</v>
      </c>
      <c r="C803" s="1" t="n">
        <v>45923</v>
      </c>
      <c r="D803" t="inlineStr">
        <is>
          <t>JÄMTLANDS LÄN</t>
        </is>
      </c>
      <c r="E803" t="inlineStr">
        <is>
          <t>BERG</t>
        </is>
      </c>
      <c r="G803" t="n">
        <v>4.8</v>
      </c>
      <c r="H803" t="n">
        <v>0</v>
      </c>
      <c r="I803" t="n">
        <v>0</v>
      </c>
      <c r="J803" t="n">
        <v>0</v>
      </c>
      <c r="K803" t="n">
        <v>0</v>
      </c>
      <c r="L803" t="n">
        <v>0</v>
      </c>
      <c r="M803" t="n">
        <v>0</v>
      </c>
      <c r="N803" t="n">
        <v>0</v>
      </c>
      <c r="O803" t="n">
        <v>0</v>
      </c>
      <c r="P803" t="n">
        <v>0</v>
      </c>
      <c r="Q803" t="n">
        <v>0</v>
      </c>
      <c r="R803" s="2" t="inlineStr"/>
    </row>
    <row r="804" ht="15" customHeight="1">
      <c r="A804" t="inlineStr">
        <is>
          <t>A 34030-2025</t>
        </is>
      </c>
      <c r="B804" s="1" t="n">
        <v>45845.3633912037</v>
      </c>
      <c r="C804" s="1" t="n">
        <v>45923</v>
      </c>
      <c r="D804" t="inlineStr">
        <is>
          <t>JÄMTLANDS LÄN</t>
        </is>
      </c>
      <c r="E804" t="inlineStr">
        <is>
          <t>BERG</t>
        </is>
      </c>
      <c r="G804" t="n">
        <v>13.5</v>
      </c>
      <c r="H804" t="n">
        <v>0</v>
      </c>
      <c r="I804" t="n">
        <v>0</v>
      </c>
      <c r="J804" t="n">
        <v>0</v>
      </c>
      <c r="K804" t="n">
        <v>0</v>
      </c>
      <c r="L804" t="n">
        <v>0</v>
      </c>
      <c r="M804" t="n">
        <v>0</v>
      </c>
      <c r="N804" t="n">
        <v>0</v>
      </c>
      <c r="O804" t="n">
        <v>0</v>
      </c>
      <c r="P804" t="n">
        <v>0</v>
      </c>
      <c r="Q804" t="n">
        <v>0</v>
      </c>
      <c r="R804" s="2" t="inlineStr"/>
    </row>
    <row r="805" ht="15" customHeight="1">
      <c r="A805" t="inlineStr">
        <is>
          <t>A 39004-2025</t>
        </is>
      </c>
      <c r="B805" s="1" t="n">
        <v>45888.34472222222</v>
      </c>
      <c r="C805" s="1" t="n">
        <v>45923</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39698-2025</t>
        </is>
      </c>
      <c r="B806" s="1" t="n">
        <v>45890.69837962963</v>
      </c>
      <c r="C806" s="1" t="n">
        <v>45923</v>
      </c>
      <c r="D806" t="inlineStr">
        <is>
          <t>JÄMTLANDS LÄN</t>
        </is>
      </c>
      <c r="E806" t="inlineStr">
        <is>
          <t>BERG</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39544-2025</t>
        </is>
      </c>
      <c r="B807" s="1" t="n">
        <v>45890.45547453704</v>
      </c>
      <c r="C807" s="1" t="n">
        <v>45923</v>
      </c>
      <c r="D807" t="inlineStr">
        <is>
          <t>JÄMTLANDS LÄN</t>
        </is>
      </c>
      <c r="E807" t="inlineStr">
        <is>
          <t>BERG</t>
        </is>
      </c>
      <c r="G807" t="n">
        <v>7.5</v>
      </c>
      <c r="H807" t="n">
        <v>0</v>
      </c>
      <c r="I807" t="n">
        <v>0</v>
      </c>
      <c r="J807" t="n">
        <v>0</v>
      </c>
      <c r="K807" t="n">
        <v>0</v>
      </c>
      <c r="L807" t="n">
        <v>0</v>
      </c>
      <c r="M807" t="n">
        <v>0</v>
      </c>
      <c r="N807" t="n">
        <v>0</v>
      </c>
      <c r="O807" t="n">
        <v>0</v>
      </c>
      <c r="P807" t="n">
        <v>0</v>
      </c>
      <c r="Q807" t="n">
        <v>0</v>
      </c>
      <c r="R807" s="2" t="inlineStr"/>
    </row>
    <row r="808" ht="15" customHeight="1">
      <c r="A808" t="inlineStr">
        <is>
          <t>A 39601-2025</t>
        </is>
      </c>
      <c r="B808" s="1" t="n">
        <v>45890.55284722222</v>
      </c>
      <c r="C808" s="1" t="n">
        <v>45923</v>
      </c>
      <c r="D808" t="inlineStr">
        <is>
          <t>JÄMTLANDS LÄN</t>
        </is>
      </c>
      <c r="E808" t="inlineStr">
        <is>
          <t>BERG</t>
        </is>
      </c>
      <c r="F808" t="inlineStr">
        <is>
          <t>SCA</t>
        </is>
      </c>
      <c r="G808" t="n">
        <v>4.2</v>
      </c>
      <c r="H808" t="n">
        <v>0</v>
      </c>
      <c r="I808" t="n">
        <v>0</v>
      </c>
      <c r="J808" t="n">
        <v>0</v>
      </c>
      <c r="K808" t="n">
        <v>0</v>
      </c>
      <c r="L808" t="n">
        <v>0</v>
      </c>
      <c r="M808" t="n">
        <v>0</v>
      </c>
      <c r="N808" t="n">
        <v>0</v>
      </c>
      <c r="O808" t="n">
        <v>0</v>
      </c>
      <c r="P808" t="n">
        <v>0</v>
      </c>
      <c r="Q808" t="n">
        <v>0</v>
      </c>
      <c r="R808" s="2" t="inlineStr"/>
    </row>
    <row r="809">
      <c r="A809" t="inlineStr">
        <is>
          <t>A 39539-2025</t>
        </is>
      </c>
      <c r="B809" s="1" t="n">
        <v>45890.4525</v>
      </c>
      <c r="C809" s="1" t="n">
        <v>45923</v>
      </c>
      <c r="D809" t="inlineStr">
        <is>
          <t>JÄMTLANDS LÄN</t>
        </is>
      </c>
      <c r="E809" t="inlineStr">
        <is>
          <t>BERG</t>
        </is>
      </c>
      <c r="G809" t="n">
        <v>7.7</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2025-09-23T10:23:22Z</dcterms:created>
  <dcterms:modified xmlns:dcterms="http://purl.org/dc/terms/" xmlns:xsi="http://www.w3.org/2001/XMLSchema-instance" xsi:type="dcterms:W3CDTF">2025-09-23T10:23:23Z</dcterms:modified>
</cp:coreProperties>
</file>