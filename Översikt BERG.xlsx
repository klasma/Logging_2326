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45849</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45849</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45849</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45849</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45849</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45849</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45849</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45849</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45849</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45849</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45849</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45849</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45849</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45849</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45849</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45849</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45849</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45849</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45849</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45849</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45849</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45849</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45849</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45849</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45849</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45849</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45849</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45849</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45849</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45849</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45849</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45849</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45849</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45849</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45849</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45849</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45849</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45849</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45849</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45849</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45849</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45849</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45849</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45849</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45849</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45849</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45849</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45849</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45849</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45849</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45849</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45849</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45849</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45849</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45849</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45849</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45849</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45849</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45849</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45849</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45849</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45849</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45849</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45849</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45849</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45849</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45849</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45849</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45849</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45849</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45849</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45849</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45849</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45849</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45849</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45849</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45849</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45849</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45849</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45849</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45849</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45849</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45849</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45849</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45849</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45849</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45849</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45849</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45849</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45849</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45849</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45849</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45849</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45849</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45849</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45849</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45849</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45849</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45849</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45849</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45849</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45849</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45849</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45849</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45849</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45849</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45849</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45849</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45849</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45849</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45849</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31715-2025</t>
        </is>
      </c>
      <c r="B114" s="1" t="n">
        <v>45834</v>
      </c>
      <c r="C114" s="1" t="n">
        <v>45849</v>
      </c>
      <c r="D114" t="inlineStr">
        <is>
          <t>JÄMTLANDS LÄN</t>
        </is>
      </c>
      <c r="E114" t="inlineStr">
        <is>
          <t>BERG</t>
        </is>
      </c>
      <c r="G114" t="n">
        <v>1.6</v>
      </c>
      <c r="H114" t="n">
        <v>1</v>
      </c>
      <c r="I114" t="n">
        <v>1</v>
      </c>
      <c r="J114" t="n">
        <v>2</v>
      </c>
      <c r="K114" t="n">
        <v>1</v>
      </c>
      <c r="L114" t="n">
        <v>0</v>
      </c>
      <c r="M114" t="n">
        <v>0</v>
      </c>
      <c r="N114" t="n">
        <v>0</v>
      </c>
      <c r="O114" t="n">
        <v>3</v>
      </c>
      <c r="P114" t="n">
        <v>1</v>
      </c>
      <c r="Q114" t="n">
        <v>4</v>
      </c>
      <c r="R114" s="2" t="inlineStr">
        <is>
          <t>Knärot
Gammelgransskål
Garnlav
Norrlandslav</t>
        </is>
      </c>
      <c r="S114">
        <f>HYPERLINK("https://klasma.github.io/Logging_232326/artfynd/A 31715-2025 artfynd.xlsx", "A 31715-2025")</f>
        <v/>
      </c>
      <c r="T114">
        <f>HYPERLINK("https://klasma.github.io/Logging_232326/kartor/A 31715-2025 karta.png", "A 31715-2025")</f>
        <v/>
      </c>
      <c r="U114">
        <f>HYPERLINK("https://klasma.github.io/Logging_232326/knärot/A 31715-2025 karta knärot.png", "A 31715-2025")</f>
        <v/>
      </c>
      <c r="V114">
        <f>HYPERLINK("https://klasma.github.io/Logging_232326/klagomål/A 31715-2025 FSC-klagomål.docx", "A 31715-2025")</f>
        <v/>
      </c>
      <c r="W114">
        <f>HYPERLINK("https://klasma.github.io/Logging_232326/klagomålsmail/A 31715-2025 FSC-klagomål mail.docx", "A 31715-2025")</f>
        <v/>
      </c>
      <c r="X114">
        <f>HYPERLINK("https://klasma.github.io/Logging_232326/tillsyn/A 31715-2025 tillsynsbegäran.docx", "A 31715-2025")</f>
        <v/>
      </c>
      <c r="Y114">
        <f>HYPERLINK("https://klasma.github.io/Logging_232326/tillsynsmail/A 31715-2025 tillsynsbegäran mail.docx", "A 31715-2025")</f>
        <v/>
      </c>
    </row>
    <row r="115" ht="15" customHeight="1">
      <c r="A115" t="inlineStr">
        <is>
          <t>A 31742-2025</t>
        </is>
      </c>
      <c r="B115" s="1" t="n">
        <v>45834</v>
      </c>
      <c r="C115" s="1" t="n">
        <v>45849</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52190-2020</t>
        </is>
      </c>
      <c r="B116" s="1" t="n">
        <v>44111</v>
      </c>
      <c r="C116" s="1" t="n">
        <v>45849</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45849</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45849</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45849</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45849</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45849</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45849</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45849</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45849</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45849</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45849</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45849</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45849</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45849</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45849</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45849</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45849</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45849</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45849</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45849</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45849</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45849</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45849</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45849</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45849</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45849</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45849</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45849</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45849</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45849</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45849</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45849</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45849</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45849</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45849</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45849</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45849</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45849</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45849</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45849</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45849</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45849</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45849</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45849</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45849</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45849</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45849</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45849</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45849</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45849</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45849</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45849</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45849</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45849</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45849</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45849</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45849</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45849</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45849</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45849</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45849</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45849</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45849</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45849</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45849</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45849</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45849</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45849</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45849</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45849</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45849</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45849</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45849</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45849</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45849</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45849</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45849</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45849</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45849</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45849</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45849</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45849</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45849</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45849</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45849</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45849</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U201">
        <f>HYPERLINK("https://klasma.github.io/Logging_2326/knärot/A 47-2023 karta knärot.png",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45849</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45849</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45849</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45849</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45849</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45849</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45849</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45849</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45849</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45849</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45849</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45849</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45849</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45849</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45849</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45849</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45849</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45849</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45849</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45849</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45849</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45849</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45849</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45849</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45849</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45849</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45849</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45849</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45849</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45849</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45849</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45849</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45849</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45849</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45849</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45849</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45849</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45849</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45849</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45849</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45849</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45849</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45849</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45849</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45849</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45849</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45849</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45849</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45849</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45849</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45849</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17791-2019</t>
        </is>
      </c>
      <c r="B253" s="1" t="n">
        <v>43556</v>
      </c>
      <c r="C253" s="1" t="n">
        <v>45849</v>
      </c>
      <c r="D253" t="inlineStr">
        <is>
          <t>JÄMTLANDS LÄN</t>
        </is>
      </c>
      <c r="E253" t="inlineStr">
        <is>
          <t>BERG</t>
        </is>
      </c>
      <c r="G253" t="n">
        <v>14.3</v>
      </c>
      <c r="H253" t="n">
        <v>0</v>
      </c>
      <c r="I253" t="n">
        <v>0</v>
      </c>
      <c r="J253" t="n">
        <v>0</v>
      </c>
      <c r="K253" t="n">
        <v>0</v>
      </c>
      <c r="L253" t="n">
        <v>0</v>
      </c>
      <c r="M253" t="n">
        <v>0</v>
      </c>
      <c r="N253" t="n">
        <v>0</v>
      </c>
      <c r="O253" t="n">
        <v>0</v>
      </c>
      <c r="P253" t="n">
        <v>0</v>
      </c>
      <c r="Q253" t="n">
        <v>0</v>
      </c>
      <c r="R253" s="2" t="inlineStr"/>
    </row>
    <row r="254" ht="15" customHeight="1">
      <c r="A254" t="inlineStr">
        <is>
          <t>A 21225-2019</t>
        </is>
      </c>
      <c r="B254" s="1" t="n">
        <v>43579</v>
      </c>
      <c r="C254" s="1" t="n">
        <v>45849</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24710-2019</t>
        </is>
      </c>
      <c r="B255" s="1" t="n">
        <v>43601</v>
      </c>
      <c r="C255" s="1" t="n">
        <v>45849</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24839-2019</t>
        </is>
      </c>
      <c r="B256" s="1" t="n">
        <v>43602</v>
      </c>
      <c r="C256" s="1" t="n">
        <v>45849</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25844-2019</t>
        </is>
      </c>
      <c r="B257" s="1" t="n">
        <v>43605</v>
      </c>
      <c r="C257" s="1" t="n">
        <v>45849</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25588-2019</t>
        </is>
      </c>
      <c r="B258" s="1" t="n">
        <v>43607</v>
      </c>
      <c r="C258" s="1" t="n">
        <v>45849</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25969-2019</t>
        </is>
      </c>
      <c r="B259" s="1" t="n">
        <v>43608</v>
      </c>
      <c r="C259" s="1" t="n">
        <v>45849</v>
      </c>
      <c r="D259" t="inlineStr">
        <is>
          <t>JÄMTLANDS LÄN</t>
        </is>
      </c>
      <c r="E259" t="inlineStr">
        <is>
          <t>BERG</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28788-2019</t>
        </is>
      </c>
      <c r="B260" s="1" t="n">
        <v>43616</v>
      </c>
      <c r="C260" s="1" t="n">
        <v>45849</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27540-2019</t>
        </is>
      </c>
      <c r="B261" s="1" t="n">
        <v>43619</v>
      </c>
      <c r="C261" s="1" t="n">
        <v>45849</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28250-2019</t>
        </is>
      </c>
      <c r="B262" s="1" t="n">
        <v>43622</v>
      </c>
      <c r="C262" s="1" t="n">
        <v>45849</v>
      </c>
      <c r="D262" t="inlineStr">
        <is>
          <t>JÄMTLANDS LÄN</t>
        </is>
      </c>
      <c r="E262" t="inlineStr">
        <is>
          <t>BERG</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29339-2019</t>
        </is>
      </c>
      <c r="B263" s="1" t="n">
        <v>43626</v>
      </c>
      <c r="C263" s="1" t="n">
        <v>45849</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29202-2019</t>
        </is>
      </c>
      <c r="B264" s="1" t="n">
        <v>43629</v>
      </c>
      <c r="C264" s="1" t="n">
        <v>45849</v>
      </c>
      <c r="D264" t="inlineStr">
        <is>
          <t>JÄMTLANDS LÄN</t>
        </is>
      </c>
      <c r="E264" t="inlineStr">
        <is>
          <t>BERG</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29728-2019</t>
        </is>
      </c>
      <c r="B265" s="1" t="n">
        <v>43630</v>
      </c>
      <c r="C265" s="1" t="n">
        <v>45849</v>
      </c>
      <c r="D265" t="inlineStr">
        <is>
          <t>JÄMTLANDS LÄN</t>
        </is>
      </c>
      <c r="E265" t="inlineStr">
        <is>
          <t>BERG</t>
        </is>
      </c>
      <c r="G265" t="n">
        <v>8.1</v>
      </c>
      <c r="H265" t="n">
        <v>0</v>
      </c>
      <c r="I265" t="n">
        <v>0</v>
      </c>
      <c r="J265" t="n">
        <v>0</v>
      </c>
      <c r="K265" t="n">
        <v>0</v>
      </c>
      <c r="L265" t="n">
        <v>0</v>
      </c>
      <c r="M265" t="n">
        <v>0</v>
      </c>
      <c r="N265" t="n">
        <v>0</v>
      </c>
      <c r="O265" t="n">
        <v>0</v>
      </c>
      <c r="P265" t="n">
        <v>0</v>
      </c>
      <c r="Q265" t="n">
        <v>0</v>
      </c>
      <c r="R265" s="2" t="inlineStr"/>
    </row>
    <row r="266" ht="15" customHeight="1">
      <c r="A266" t="inlineStr">
        <is>
          <t>A 31238-2019</t>
        </is>
      </c>
      <c r="B266" s="1" t="n">
        <v>43640</v>
      </c>
      <c r="C266" s="1" t="n">
        <v>45849</v>
      </c>
      <c r="D266" t="inlineStr">
        <is>
          <t>JÄMTLANDS LÄN</t>
        </is>
      </c>
      <c r="E266" t="inlineStr">
        <is>
          <t>BERG</t>
        </is>
      </c>
      <c r="F266" t="inlineStr">
        <is>
          <t>Sveaskog</t>
        </is>
      </c>
      <c r="G266" t="n">
        <v>9.6</v>
      </c>
      <c r="H266" t="n">
        <v>0</v>
      </c>
      <c r="I266" t="n">
        <v>0</v>
      </c>
      <c r="J266" t="n">
        <v>0</v>
      </c>
      <c r="K266" t="n">
        <v>0</v>
      </c>
      <c r="L266" t="n">
        <v>0</v>
      </c>
      <c r="M266" t="n">
        <v>0</v>
      </c>
      <c r="N266" t="n">
        <v>0</v>
      </c>
      <c r="O266" t="n">
        <v>0</v>
      </c>
      <c r="P266" t="n">
        <v>0</v>
      </c>
      <c r="Q266" t="n">
        <v>0</v>
      </c>
      <c r="R266" s="2" t="inlineStr"/>
    </row>
    <row r="267" ht="15" customHeight="1">
      <c r="A267" t="inlineStr">
        <is>
          <t>A 31206-2019</t>
        </is>
      </c>
      <c r="B267" s="1" t="n">
        <v>43640</v>
      </c>
      <c r="C267" s="1" t="n">
        <v>45849</v>
      </c>
      <c r="D267" t="inlineStr">
        <is>
          <t>JÄMTLANDS LÄN</t>
        </is>
      </c>
      <c r="E267" t="inlineStr">
        <is>
          <t>BERG</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31568-2019</t>
        </is>
      </c>
      <c r="B268" s="1" t="n">
        <v>43641</v>
      </c>
      <c r="C268" s="1" t="n">
        <v>45849</v>
      </c>
      <c r="D268" t="inlineStr">
        <is>
          <t>JÄMTLANDS LÄN</t>
        </is>
      </c>
      <c r="E268" t="inlineStr">
        <is>
          <t>BERG</t>
        </is>
      </c>
      <c r="F268" t="inlineStr">
        <is>
          <t>SCA</t>
        </is>
      </c>
      <c r="G268" t="n">
        <v>16.4</v>
      </c>
      <c r="H268" t="n">
        <v>0</v>
      </c>
      <c r="I268" t="n">
        <v>0</v>
      </c>
      <c r="J268" t="n">
        <v>0</v>
      </c>
      <c r="K268" t="n">
        <v>0</v>
      </c>
      <c r="L268" t="n">
        <v>0</v>
      </c>
      <c r="M268" t="n">
        <v>0</v>
      </c>
      <c r="N268" t="n">
        <v>0</v>
      </c>
      <c r="O268" t="n">
        <v>0</v>
      </c>
      <c r="P268" t="n">
        <v>0</v>
      </c>
      <c r="Q268" t="n">
        <v>0</v>
      </c>
      <c r="R268" s="2" t="inlineStr"/>
    </row>
    <row r="269" ht="15" customHeight="1">
      <c r="A269" t="inlineStr">
        <is>
          <t>A 32054-2019</t>
        </is>
      </c>
      <c r="B269" s="1" t="n">
        <v>43643</v>
      </c>
      <c r="C269" s="1" t="n">
        <v>45849</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32123-2019</t>
        </is>
      </c>
      <c r="B270" s="1" t="n">
        <v>43643</v>
      </c>
      <c r="C270" s="1" t="n">
        <v>45849</v>
      </c>
      <c r="D270" t="inlineStr">
        <is>
          <t>JÄMTLANDS LÄN</t>
        </is>
      </c>
      <c r="E270" t="inlineStr">
        <is>
          <t>BERG</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32156-2019</t>
        </is>
      </c>
      <c r="B271" s="1" t="n">
        <v>43643</v>
      </c>
      <c r="C271" s="1" t="n">
        <v>45849</v>
      </c>
      <c r="D271" t="inlineStr">
        <is>
          <t>JÄMTLANDS LÄN</t>
        </is>
      </c>
      <c r="E271" t="inlineStr">
        <is>
          <t>BERG</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34469-2019</t>
        </is>
      </c>
      <c r="B272" s="1" t="n">
        <v>43656</v>
      </c>
      <c r="C272" s="1" t="n">
        <v>45849</v>
      </c>
      <c r="D272" t="inlineStr">
        <is>
          <t>JÄMTLANDS LÄN</t>
        </is>
      </c>
      <c r="E272" t="inlineStr">
        <is>
          <t>BERG</t>
        </is>
      </c>
      <c r="G272" t="n">
        <v>6.3</v>
      </c>
      <c r="H272" t="n">
        <v>0</v>
      </c>
      <c r="I272" t="n">
        <v>0</v>
      </c>
      <c r="J272" t="n">
        <v>0</v>
      </c>
      <c r="K272" t="n">
        <v>0</v>
      </c>
      <c r="L272" t="n">
        <v>0</v>
      </c>
      <c r="M272" t="n">
        <v>0</v>
      </c>
      <c r="N272" t="n">
        <v>0</v>
      </c>
      <c r="O272" t="n">
        <v>0</v>
      </c>
      <c r="P272" t="n">
        <v>0</v>
      </c>
      <c r="Q272" t="n">
        <v>0</v>
      </c>
      <c r="R272" s="2" t="inlineStr"/>
    </row>
    <row r="273" ht="15" customHeight="1">
      <c r="A273" t="inlineStr">
        <is>
          <t>A 34468-2019</t>
        </is>
      </c>
      <c r="B273" s="1" t="n">
        <v>43656</v>
      </c>
      <c r="C273" s="1" t="n">
        <v>45849</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34663-2019</t>
        </is>
      </c>
      <c r="B274" s="1" t="n">
        <v>43657</v>
      </c>
      <c r="C274" s="1" t="n">
        <v>45849</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35043-2019</t>
        </is>
      </c>
      <c r="B275" s="1" t="n">
        <v>43661</v>
      </c>
      <c r="C275" s="1" t="n">
        <v>45849</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36375-2019</t>
        </is>
      </c>
      <c r="B276" s="1" t="n">
        <v>43662</v>
      </c>
      <c r="C276" s="1" t="n">
        <v>45849</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36702-2019</t>
        </is>
      </c>
      <c r="B277" s="1" t="n">
        <v>43671</v>
      </c>
      <c r="C277" s="1" t="n">
        <v>45849</v>
      </c>
      <c r="D277" t="inlineStr">
        <is>
          <t>JÄMTLANDS LÄN</t>
        </is>
      </c>
      <c r="E277" t="inlineStr">
        <is>
          <t>BERG</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37426-2019</t>
        </is>
      </c>
      <c r="B278" s="1" t="n">
        <v>43678</v>
      </c>
      <c r="C278" s="1" t="n">
        <v>45849</v>
      </c>
      <c r="D278" t="inlineStr">
        <is>
          <t>JÄMTLANDS LÄN</t>
        </is>
      </c>
      <c r="E278" t="inlineStr">
        <is>
          <t>BERG</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37890-2019</t>
        </is>
      </c>
      <c r="B279" s="1" t="n">
        <v>43682</v>
      </c>
      <c r="C279" s="1" t="n">
        <v>45849</v>
      </c>
      <c r="D279" t="inlineStr">
        <is>
          <t>JÄMTLANDS LÄN</t>
        </is>
      </c>
      <c r="E279" t="inlineStr">
        <is>
          <t>BERG</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38319-2019</t>
        </is>
      </c>
      <c r="B280" s="1" t="n">
        <v>43684</v>
      </c>
      <c r="C280" s="1" t="n">
        <v>45849</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39128-2019</t>
        </is>
      </c>
      <c r="B281" s="1" t="n">
        <v>43689</v>
      </c>
      <c r="C281" s="1" t="n">
        <v>45849</v>
      </c>
      <c r="D281" t="inlineStr">
        <is>
          <t>JÄMTLANDS LÄN</t>
        </is>
      </c>
      <c r="E281" t="inlineStr">
        <is>
          <t>BERG</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39127-2019</t>
        </is>
      </c>
      <c r="B282" s="1" t="n">
        <v>43689</v>
      </c>
      <c r="C282" s="1" t="n">
        <v>45849</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39130-2019</t>
        </is>
      </c>
      <c r="B283" s="1" t="n">
        <v>43689</v>
      </c>
      <c r="C283" s="1" t="n">
        <v>45849</v>
      </c>
      <c r="D283" t="inlineStr">
        <is>
          <t>JÄMTLANDS LÄN</t>
        </is>
      </c>
      <c r="E283" t="inlineStr">
        <is>
          <t>BERG</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40478-2019</t>
        </is>
      </c>
      <c r="B284" s="1" t="n">
        <v>43696</v>
      </c>
      <c r="C284" s="1" t="n">
        <v>45849</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40529-2019</t>
        </is>
      </c>
      <c r="B285" s="1" t="n">
        <v>43696</v>
      </c>
      <c r="C285" s="1" t="n">
        <v>45849</v>
      </c>
      <c r="D285" t="inlineStr">
        <is>
          <t>JÄMTLANDS LÄN</t>
        </is>
      </c>
      <c r="E285" t="inlineStr">
        <is>
          <t>BERG</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40479-2019</t>
        </is>
      </c>
      <c r="B286" s="1" t="n">
        <v>43696</v>
      </c>
      <c r="C286" s="1" t="n">
        <v>45849</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40584-2019</t>
        </is>
      </c>
      <c r="B287" s="1" t="n">
        <v>43696</v>
      </c>
      <c r="C287" s="1" t="n">
        <v>45849</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41452-2019</t>
        </is>
      </c>
      <c r="B288" s="1" t="n">
        <v>43699</v>
      </c>
      <c r="C288" s="1" t="n">
        <v>45849</v>
      </c>
      <c r="D288" t="inlineStr">
        <is>
          <t>JÄMTLANDS LÄN</t>
        </is>
      </c>
      <c r="E288" t="inlineStr">
        <is>
          <t>BERG</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43210-2019</t>
        </is>
      </c>
      <c r="B289" s="1" t="n">
        <v>43705</v>
      </c>
      <c r="C289" s="1" t="n">
        <v>45849</v>
      </c>
      <c r="D289" t="inlineStr">
        <is>
          <t>JÄMTLANDS LÄN</t>
        </is>
      </c>
      <c r="E289" t="inlineStr">
        <is>
          <t>BERG</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43942-2019</t>
        </is>
      </c>
      <c r="B290" s="1" t="n">
        <v>43707</v>
      </c>
      <c r="C290" s="1" t="n">
        <v>45849</v>
      </c>
      <c r="D290" t="inlineStr">
        <is>
          <t>JÄMTLANDS LÄN</t>
        </is>
      </c>
      <c r="E290" t="inlineStr">
        <is>
          <t>BERG</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44810-2019</t>
        </is>
      </c>
      <c r="B291" s="1" t="n">
        <v>43712</v>
      </c>
      <c r="C291" s="1" t="n">
        <v>45849</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44631-2019</t>
        </is>
      </c>
      <c r="B292" s="1" t="n">
        <v>43712</v>
      </c>
      <c r="C292" s="1" t="n">
        <v>45849</v>
      </c>
      <c r="D292" t="inlineStr">
        <is>
          <t>JÄMTLANDS LÄN</t>
        </is>
      </c>
      <c r="E292" t="inlineStr">
        <is>
          <t>BERG</t>
        </is>
      </c>
      <c r="G292" t="n">
        <v>5.7</v>
      </c>
      <c r="H292" t="n">
        <v>0</v>
      </c>
      <c r="I292" t="n">
        <v>0</v>
      </c>
      <c r="J292" t="n">
        <v>0</v>
      </c>
      <c r="K292" t="n">
        <v>0</v>
      </c>
      <c r="L292" t="n">
        <v>0</v>
      </c>
      <c r="M292" t="n">
        <v>0</v>
      </c>
      <c r="N292" t="n">
        <v>0</v>
      </c>
      <c r="O292" t="n">
        <v>0</v>
      </c>
      <c r="P292" t="n">
        <v>0</v>
      </c>
      <c r="Q292" t="n">
        <v>0</v>
      </c>
      <c r="R292" s="2" t="inlineStr"/>
    </row>
    <row r="293" ht="15" customHeight="1">
      <c r="A293" t="inlineStr">
        <is>
          <t>A 45623-2019</t>
        </is>
      </c>
      <c r="B293" s="1" t="n">
        <v>43717</v>
      </c>
      <c r="C293" s="1" t="n">
        <v>45849</v>
      </c>
      <c r="D293" t="inlineStr">
        <is>
          <t>JÄMTLANDS LÄN</t>
        </is>
      </c>
      <c r="E293" t="inlineStr">
        <is>
          <t>BERG</t>
        </is>
      </c>
      <c r="G293" t="n">
        <v>7.5</v>
      </c>
      <c r="H293" t="n">
        <v>0</v>
      </c>
      <c r="I293" t="n">
        <v>0</v>
      </c>
      <c r="J293" t="n">
        <v>0</v>
      </c>
      <c r="K293" t="n">
        <v>0</v>
      </c>
      <c r="L293" t="n">
        <v>0</v>
      </c>
      <c r="M293" t="n">
        <v>0</v>
      </c>
      <c r="N293" t="n">
        <v>0</v>
      </c>
      <c r="O293" t="n">
        <v>0</v>
      </c>
      <c r="P293" t="n">
        <v>0</v>
      </c>
      <c r="Q293" t="n">
        <v>0</v>
      </c>
      <c r="R293" s="2" t="inlineStr"/>
    </row>
    <row r="294" ht="15" customHeight="1">
      <c r="A294" t="inlineStr">
        <is>
          <t>A 47918-2019</t>
        </is>
      </c>
      <c r="B294" s="1" t="n">
        <v>43725</v>
      </c>
      <c r="C294" s="1" t="n">
        <v>45849</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50896-2019</t>
        </is>
      </c>
      <c r="B295" s="1" t="n">
        <v>43738</v>
      </c>
      <c r="C295" s="1" t="n">
        <v>45849</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50969-2019</t>
        </is>
      </c>
      <c r="B296" s="1" t="n">
        <v>43738</v>
      </c>
      <c r="C296" s="1" t="n">
        <v>45849</v>
      </c>
      <c r="D296" t="inlineStr">
        <is>
          <t>JÄMTLANDS LÄN</t>
        </is>
      </c>
      <c r="E296" t="inlineStr">
        <is>
          <t>BERG</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51206-2019</t>
        </is>
      </c>
      <c r="B297" s="1" t="n">
        <v>43739</v>
      </c>
      <c r="C297" s="1" t="n">
        <v>45849</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53415-2019</t>
        </is>
      </c>
      <c r="B298" s="1" t="n">
        <v>43740</v>
      </c>
      <c r="C298" s="1" t="n">
        <v>45849</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52470-2019</t>
        </is>
      </c>
      <c r="B299" s="1" t="n">
        <v>43745</v>
      </c>
      <c r="C299" s="1" t="n">
        <v>45849</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52985-2019</t>
        </is>
      </c>
      <c r="B300" s="1" t="n">
        <v>43747</v>
      </c>
      <c r="C300" s="1" t="n">
        <v>45849</v>
      </c>
      <c r="D300" t="inlineStr">
        <is>
          <t>JÄMTLANDS LÄN</t>
        </is>
      </c>
      <c r="E300" t="inlineStr">
        <is>
          <t>BERG</t>
        </is>
      </c>
      <c r="G300" t="n">
        <v>8.4</v>
      </c>
      <c r="H300" t="n">
        <v>0</v>
      </c>
      <c r="I300" t="n">
        <v>0</v>
      </c>
      <c r="J300" t="n">
        <v>0</v>
      </c>
      <c r="K300" t="n">
        <v>0</v>
      </c>
      <c r="L300" t="n">
        <v>0</v>
      </c>
      <c r="M300" t="n">
        <v>0</v>
      </c>
      <c r="N300" t="n">
        <v>0</v>
      </c>
      <c r="O300" t="n">
        <v>0</v>
      </c>
      <c r="P300" t="n">
        <v>0</v>
      </c>
      <c r="Q300" t="n">
        <v>0</v>
      </c>
      <c r="R300" s="2" t="inlineStr"/>
    </row>
    <row r="301" ht="15" customHeight="1">
      <c r="A301" t="inlineStr">
        <is>
          <t>A 54594-2019</t>
        </is>
      </c>
      <c r="B301" s="1" t="n">
        <v>43754</v>
      </c>
      <c r="C301" s="1" t="n">
        <v>45849</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55611-2019</t>
        </is>
      </c>
      <c r="B302" s="1" t="n">
        <v>43760</v>
      </c>
      <c r="C302" s="1" t="n">
        <v>45849</v>
      </c>
      <c r="D302" t="inlineStr">
        <is>
          <t>JÄMTLANDS LÄN</t>
        </is>
      </c>
      <c r="E302" t="inlineStr">
        <is>
          <t>BERG</t>
        </is>
      </c>
      <c r="G302" t="n">
        <v>10</v>
      </c>
      <c r="H302" t="n">
        <v>0</v>
      </c>
      <c r="I302" t="n">
        <v>0</v>
      </c>
      <c r="J302" t="n">
        <v>0</v>
      </c>
      <c r="K302" t="n">
        <v>0</v>
      </c>
      <c r="L302" t="n">
        <v>0</v>
      </c>
      <c r="M302" t="n">
        <v>0</v>
      </c>
      <c r="N302" t="n">
        <v>0</v>
      </c>
      <c r="O302" t="n">
        <v>0</v>
      </c>
      <c r="P302" t="n">
        <v>0</v>
      </c>
      <c r="Q302" t="n">
        <v>0</v>
      </c>
      <c r="R302" s="2" t="inlineStr"/>
    </row>
    <row r="303" ht="15" customHeight="1">
      <c r="A303" t="inlineStr">
        <is>
          <t>A 55678-2019</t>
        </is>
      </c>
      <c r="B303" s="1" t="n">
        <v>43760</v>
      </c>
      <c r="C303" s="1" t="n">
        <v>45849</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58364-2019</t>
        </is>
      </c>
      <c r="B304" s="1" t="n">
        <v>43770</v>
      </c>
      <c r="C304" s="1" t="n">
        <v>45849</v>
      </c>
      <c r="D304" t="inlineStr">
        <is>
          <t>JÄMTLANDS LÄN</t>
        </is>
      </c>
      <c r="E304" t="inlineStr">
        <is>
          <t>BERG</t>
        </is>
      </c>
      <c r="G304" t="n">
        <v>4.8</v>
      </c>
      <c r="H304" t="n">
        <v>0</v>
      </c>
      <c r="I304" t="n">
        <v>0</v>
      </c>
      <c r="J304" t="n">
        <v>0</v>
      </c>
      <c r="K304" t="n">
        <v>0</v>
      </c>
      <c r="L304" t="n">
        <v>0</v>
      </c>
      <c r="M304" t="n">
        <v>0</v>
      </c>
      <c r="N304" t="n">
        <v>0</v>
      </c>
      <c r="O304" t="n">
        <v>0</v>
      </c>
      <c r="P304" t="n">
        <v>0</v>
      </c>
      <c r="Q304" t="n">
        <v>0</v>
      </c>
      <c r="R304" s="2" t="inlineStr"/>
    </row>
    <row r="305" ht="15" customHeight="1">
      <c r="A305" t="inlineStr">
        <is>
          <t>A 58361-2019</t>
        </is>
      </c>
      <c r="B305" s="1" t="n">
        <v>43770</v>
      </c>
      <c r="C305" s="1" t="n">
        <v>45849</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62908-2019</t>
        </is>
      </c>
      <c r="B306" s="1" t="n">
        <v>43783</v>
      </c>
      <c r="C306" s="1" t="n">
        <v>45849</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62943-2019</t>
        </is>
      </c>
      <c r="B307" s="1" t="n">
        <v>43783</v>
      </c>
      <c r="C307" s="1" t="n">
        <v>45849</v>
      </c>
      <c r="D307" t="inlineStr">
        <is>
          <t>JÄMTLANDS LÄN</t>
        </is>
      </c>
      <c r="E307" t="inlineStr">
        <is>
          <t>BERG</t>
        </is>
      </c>
      <c r="G307" t="n">
        <v>0.8</v>
      </c>
      <c r="H307" t="n">
        <v>0</v>
      </c>
      <c r="I307" t="n">
        <v>0</v>
      </c>
      <c r="J307" t="n">
        <v>0</v>
      </c>
      <c r="K307" t="n">
        <v>0</v>
      </c>
      <c r="L307" t="n">
        <v>0</v>
      </c>
      <c r="M307" t="n">
        <v>0</v>
      </c>
      <c r="N307" t="n">
        <v>0</v>
      </c>
      <c r="O307" t="n">
        <v>0</v>
      </c>
      <c r="P307" t="n">
        <v>0</v>
      </c>
      <c r="Q307" t="n">
        <v>0</v>
      </c>
      <c r="R307" s="2" t="inlineStr"/>
    </row>
    <row r="308" ht="15" customHeight="1">
      <c r="A308" t="inlineStr">
        <is>
          <t>A 62973-2019</t>
        </is>
      </c>
      <c r="B308" s="1" t="n">
        <v>43790</v>
      </c>
      <c r="C308" s="1" t="n">
        <v>45849</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63144-2019</t>
        </is>
      </c>
      <c r="B309" s="1" t="n">
        <v>43791</v>
      </c>
      <c r="C309" s="1" t="n">
        <v>45849</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65893-2019</t>
        </is>
      </c>
      <c r="B310" s="1" t="n">
        <v>43805</v>
      </c>
      <c r="C310" s="1" t="n">
        <v>45849</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66275-2019</t>
        </is>
      </c>
      <c r="B311" s="1" t="n">
        <v>43808</v>
      </c>
      <c r="C311" s="1" t="n">
        <v>45849</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67556-2019</t>
        </is>
      </c>
      <c r="B312" s="1" t="n">
        <v>43808</v>
      </c>
      <c r="C312" s="1" t="n">
        <v>45849</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67898-2019</t>
        </is>
      </c>
      <c r="B313" s="1" t="n">
        <v>43811</v>
      </c>
      <c r="C313" s="1" t="n">
        <v>45849</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67225-2019</t>
        </is>
      </c>
      <c r="B314" s="1" t="n">
        <v>43811</v>
      </c>
      <c r="C314" s="1" t="n">
        <v>45849</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67255-2019</t>
        </is>
      </c>
      <c r="B315" s="1" t="n">
        <v>43812</v>
      </c>
      <c r="C315" s="1" t="n">
        <v>45849</v>
      </c>
      <c r="D315" t="inlineStr">
        <is>
          <t>JÄMTLANDS LÄN</t>
        </is>
      </c>
      <c r="E315" t="inlineStr">
        <is>
          <t>BERG</t>
        </is>
      </c>
      <c r="G315" t="n">
        <v>14.7</v>
      </c>
      <c r="H315" t="n">
        <v>0</v>
      </c>
      <c r="I315" t="n">
        <v>0</v>
      </c>
      <c r="J315" t="n">
        <v>0</v>
      </c>
      <c r="K315" t="n">
        <v>0</v>
      </c>
      <c r="L315" t="n">
        <v>0</v>
      </c>
      <c r="M315" t="n">
        <v>0</v>
      </c>
      <c r="N315" t="n">
        <v>0</v>
      </c>
      <c r="O315" t="n">
        <v>0</v>
      </c>
      <c r="P315" t="n">
        <v>0</v>
      </c>
      <c r="Q315" t="n">
        <v>0</v>
      </c>
      <c r="R315" s="2" t="inlineStr"/>
    </row>
    <row r="316" ht="15" customHeight="1">
      <c r="A316" t="inlineStr">
        <is>
          <t>A 152-2020</t>
        </is>
      </c>
      <c r="B316" s="1" t="n">
        <v>43833</v>
      </c>
      <c r="C316" s="1" t="n">
        <v>45849</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3389-2020</t>
        </is>
      </c>
      <c r="B317" s="1" t="n">
        <v>43844</v>
      </c>
      <c r="C317" s="1" t="n">
        <v>45849</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3321-2020</t>
        </is>
      </c>
      <c r="B318" s="1" t="n">
        <v>43844</v>
      </c>
      <c r="C318" s="1" t="n">
        <v>45849</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5556-2020</t>
        </is>
      </c>
      <c r="B319" s="1" t="n">
        <v>43860</v>
      </c>
      <c r="C319" s="1" t="n">
        <v>45849</v>
      </c>
      <c r="D319" t="inlineStr">
        <is>
          <t>JÄMTLANDS LÄN</t>
        </is>
      </c>
      <c r="E319" t="inlineStr">
        <is>
          <t>BERG</t>
        </is>
      </c>
      <c r="G319" t="n">
        <v>0.3</v>
      </c>
      <c r="H319" t="n">
        <v>0</v>
      </c>
      <c r="I319" t="n">
        <v>0</v>
      </c>
      <c r="J319" t="n">
        <v>0</v>
      </c>
      <c r="K319" t="n">
        <v>0</v>
      </c>
      <c r="L319" t="n">
        <v>0</v>
      </c>
      <c r="M319" t="n">
        <v>0</v>
      </c>
      <c r="N319" t="n">
        <v>0</v>
      </c>
      <c r="O319" t="n">
        <v>0</v>
      </c>
      <c r="P319" t="n">
        <v>0</v>
      </c>
      <c r="Q319" t="n">
        <v>0</v>
      </c>
      <c r="R319" s="2" t="inlineStr"/>
    </row>
    <row r="320" ht="15" customHeight="1">
      <c r="A320" t="inlineStr">
        <is>
          <t>A 6333-2020</t>
        </is>
      </c>
      <c r="B320" s="1" t="n">
        <v>43866</v>
      </c>
      <c r="C320" s="1" t="n">
        <v>45849</v>
      </c>
      <c r="D320" t="inlineStr">
        <is>
          <t>JÄMTLANDS LÄN</t>
        </is>
      </c>
      <c r="E320" t="inlineStr">
        <is>
          <t>BERG</t>
        </is>
      </c>
      <c r="G320" t="n">
        <v>7.8</v>
      </c>
      <c r="H320" t="n">
        <v>0</v>
      </c>
      <c r="I320" t="n">
        <v>0</v>
      </c>
      <c r="J320" t="n">
        <v>0</v>
      </c>
      <c r="K320" t="n">
        <v>0</v>
      </c>
      <c r="L320" t="n">
        <v>0</v>
      </c>
      <c r="M320" t="n">
        <v>0</v>
      </c>
      <c r="N320" t="n">
        <v>0</v>
      </c>
      <c r="O320" t="n">
        <v>0</v>
      </c>
      <c r="P320" t="n">
        <v>0</v>
      </c>
      <c r="Q320" t="n">
        <v>0</v>
      </c>
      <c r="R320" s="2" t="inlineStr"/>
    </row>
    <row r="321" ht="15" customHeight="1">
      <c r="A321" t="inlineStr">
        <is>
          <t>A 7228-2020</t>
        </is>
      </c>
      <c r="B321" s="1" t="n">
        <v>43871</v>
      </c>
      <c r="C321" s="1" t="n">
        <v>45849</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8715-2020</t>
        </is>
      </c>
      <c r="B322" s="1" t="n">
        <v>43878</v>
      </c>
      <c r="C322" s="1" t="n">
        <v>45849</v>
      </c>
      <c r="D322" t="inlineStr">
        <is>
          <t>JÄMTLANDS LÄN</t>
        </is>
      </c>
      <c r="E322" t="inlineStr">
        <is>
          <t>BERG</t>
        </is>
      </c>
      <c r="G322" t="n">
        <v>11.1</v>
      </c>
      <c r="H322" t="n">
        <v>0</v>
      </c>
      <c r="I322" t="n">
        <v>0</v>
      </c>
      <c r="J322" t="n">
        <v>0</v>
      </c>
      <c r="K322" t="n">
        <v>0</v>
      </c>
      <c r="L322" t="n">
        <v>0</v>
      </c>
      <c r="M322" t="n">
        <v>0</v>
      </c>
      <c r="N322" t="n">
        <v>0</v>
      </c>
      <c r="O322" t="n">
        <v>0</v>
      </c>
      <c r="P322" t="n">
        <v>0</v>
      </c>
      <c r="Q322" t="n">
        <v>0</v>
      </c>
      <c r="R322" s="2" t="inlineStr"/>
    </row>
    <row r="323" ht="15" customHeight="1">
      <c r="A323" t="inlineStr">
        <is>
          <t>A 9627-2020</t>
        </is>
      </c>
      <c r="B323" s="1" t="n">
        <v>43881</v>
      </c>
      <c r="C323" s="1" t="n">
        <v>45849</v>
      </c>
      <c r="D323" t="inlineStr">
        <is>
          <t>JÄMTLANDS LÄN</t>
        </is>
      </c>
      <c r="E323" t="inlineStr">
        <is>
          <t>BERG</t>
        </is>
      </c>
      <c r="G323" t="n">
        <v>3.3</v>
      </c>
      <c r="H323" t="n">
        <v>0</v>
      </c>
      <c r="I323" t="n">
        <v>0</v>
      </c>
      <c r="J323" t="n">
        <v>0</v>
      </c>
      <c r="K323" t="n">
        <v>0</v>
      </c>
      <c r="L323" t="n">
        <v>0</v>
      </c>
      <c r="M323" t="n">
        <v>0</v>
      </c>
      <c r="N323" t="n">
        <v>0</v>
      </c>
      <c r="O323" t="n">
        <v>0</v>
      </c>
      <c r="P323" t="n">
        <v>0</v>
      </c>
      <c r="Q323" t="n">
        <v>0</v>
      </c>
      <c r="R323" s="2" t="inlineStr"/>
    </row>
    <row r="324" ht="15" customHeight="1">
      <c r="A324" t="inlineStr">
        <is>
          <t>A 9670-2020</t>
        </is>
      </c>
      <c r="B324" s="1" t="n">
        <v>43881</v>
      </c>
      <c r="C324" s="1" t="n">
        <v>45849</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10715-2020</t>
        </is>
      </c>
      <c r="B325" s="1" t="n">
        <v>43888</v>
      </c>
      <c r="C325" s="1" t="n">
        <v>45849</v>
      </c>
      <c r="D325" t="inlineStr">
        <is>
          <t>JÄMTLANDS LÄN</t>
        </is>
      </c>
      <c r="E325" t="inlineStr">
        <is>
          <t>BERG</t>
        </is>
      </c>
      <c r="G325" t="n">
        <v>6.4</v>
      </c>
      <c r="H325" t="n">
        <v>0</v>
      </c>
      <c r="I325" t="n">
        <v>0</v>
      </c>
      <c r="J325" t="n">
        <v>0</v>
      </c>
      <c r="K325" t="n">
        <v>0</v>
      </c>
      <c r="L325" t="n">
        <v>0</v>
      </c>
      <c r="M325" t="n">
        <v>0</v>
      </c>
      <c r="N325" t="n">
        <v>0</v>
      </c>
      <c r="O325" t="n">
        <v>0</v>
      </c>
      <c r="P325" t="n">
        <v>0</v>
      </c>
      <c r="Q325" t="n">
        <v>0</v>
      </c>
      <c r="R325" s="2" t="inlineStr"/>
    </row>
    <row r="326" ht="15" customHeight="1">
      <c r="A326" t="inlineStr">
        <is>
          <t>A 11788-2020</t>
        </is>
      </c>
      <c r="B326" s="1" t="n">
        <v>43894</v>
      </c>
      <c r="C326" s="1" t="n">
        <v>45849</v>
      </c>
      <c r="D326" t="inlineStr">
        <is>
          <t>JÄMTLANDS LÄN</t>
        </is>
      </c>
      <c r="E326" t="inlineStr">
        <is>
          <t>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11825-2020</t>
        </is>
      </c>
      <c r="B327" s="1" t="n">
        <v>43894</v>
      </c>
      <c r="C327" s="1" t="n">
        <v>45849</v>
      </c>
      <c r="D327" t="inlineStr">
        <is>
          <t>JÄMTLANDS LÄN</t>
        </is>
      </c>
      <c r="E327" t="inlineStr">
        <is>
          <t>BERG</t>
        </is>
      </c>
      <c r="F327" t="inlineStr">
        <is>
          <t>Holmen skog AB</t>
        </is>
      </c>
      <c r="G327" t="n">
        <v>17.7</v>
      </c>
      <c r="H327" t="n">
        <v>0</v>
      </c>
      <c r="I327" t="n">
        <v>0</v>
      </c>
      <c r="J327" t="n">
        <v>0</v>
      </c>
      <c r="K327" t="n">
        <v>0</v>
      </c>
      <c r="L327" t="n">
        <v>0</v>
      </c>
      <c r="M327" t="n">
        <v>0</v>
      </c>
      <c r="N327" t="n">
        <v>0</v>
      </c>
      <c r="O327" t="n">
        <v>0</v>
      </c>
      <c r="P327" t="n">
        <v>0</v>
      </c>
      <c r="Q327" t="n">
        <v>0</v>
      </c>
      <c r="R327" s="2" t="inlineStr"/>
    </row>
    <row r="328" ht="15" customHeight="1">
      <c r="A328" t="inlineStr">
        <is>
          <t>A 11890-2020</t>
        </is>
      </c>
      <c r="B328" s="1" t="n">
        <v>43894</v>
      </c>
      <c r="C328" s="1" t="n">
        <v>45849</v>
      </c>
      <c r="D328" t="inlineStr">
        <is>
          <t>JÄMTLANDS LÄN</t>
        </is>
      </c>
      <c r="E328" t="inlineStr">
        <is>
          <t>BERG</t>
        </is>
      </c>
      <c r="F328" t="inlineStr">
        <is>
          <t>Holmen skog AB</t>
        </is>
      </c>
      <c r="G328" t="n">
        <v>15.3</v>
      </c>
      <c r="H328" t="n">
        <v>0</v>
      </c>
      <c r="I328" t="n">
        <v>0</v>
      </c>
      <c r="J328" t="n">
        <v>0</v>
      </c>
      <c r="K328" t="n">
        <v>0</v>
      </c>
      <c r="L328" t="n">
        <v>0</v>
      </c>
      <c r="M328" t="n">
        <v>0</v>
      </c>
      <c r="N328" t="n">
        <v>0</v>
      </c>
      <c r="O328" t="n">
        <v>0</v>
      </c>
      <c r="P328" t="n">
        <v>0</v>
      </c>
      <c r="Q328" t="n">
        <v>0</v>
      </c>
      <c r="R328" s="2" t="inlineStr"/>
    </row>
    <row r="329" ht="15" customHeight="1">
      <c r="A329" t="inlineStr">
        <is>
          <t>A 11785-2020</t>
        </is>
      </c>
      <c r="B329" s="1" t="n">
        <v>43894</v>
      </c>
      <c r="C329" s="1" t="n">
        <v>45849</v>
      </c>
      <c r="D329" t="inlineStr">
        <is>
          <t>JÄMTLANDS LÄN</t>
        </is>
      </c>
      <c r="E329" t="inlineStr">
        <is>
          <t>BERG</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14854-2020</t>
        </is>
      </c>
      <c r="B330" s="1" t="n">
        <v>43909</v>
      </c>
      <c r="C330" s="1" t="n">
        <v>45849</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18047-2020</t>
        </is>
      </c>
      <c r="B331" s="1" t="n">
        <v>43927</v>
      </c>
      <c r="C331" s="1" t="n">
        <v>45849</v>
      </c>
      <c r="D331" t="inlineStr">
        <is>
          <t>JÄMTLANDS LÄN</t>
        </is>
      </c>
      <c r="E331" t="inlineStr">
        <is>
          <t>BERG</t>
        </is>
      </c>
      <c r="G331" t="n">
        <v>15.8</v>
      </c>
      <c r="H331" t="n">
        <v>0</v>
      </c>
      <c r="I331" t="n">
        <v>0</v>
      </c>
      <c r="J331" t="n">
        <v>0</v>
      </c>
      <c r="K331" t="n">
        <v>0</v>
      </c>
      <c r="L331" t="n">
        <v>0</v>
      </c>
      <c r="M331" t="n">
        <v>0</v>
      </c>
      <c r="N331" t="n">
        <v>0</v>
      </c>
      <c r="O331" t="n">
        <v>0</v>
      </c>
      <c r="P331" t="n">
        <v>0</v>
      </c>
      <c r="Q331" t="n">
        <v>0</v>
      </c>
      <c r="R331" s="2" t="inlineStr"/>
    </row>
    <row r="332" ht="15" customHeight="1">
      <c r="A332" t="inlineStr">
        <is>
          <t>A 18613-2020</t>
        </is>
      </c>
      <c r="B332" s="1" t="n">
        <v>43929</v>
      </c>
      <c r="C332" s="1" t="n">
        <v>45849</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19531-2020</t>
        </is>
      </c>
      <c r="B333" s="1" t="n">
        <v>43940</v>
      </c>
      <c r="C333" s="1" t="n">
        <v>45849</v>
      </c>
      <c r="D333" t="inlineStr">
        <is>
          <t>JÄMTLANDS LÄN</t>
        </is>
      </c>
      <c r="E333" t="inlineStr">
        <is>
          <t>BERG</t>
        </is>
      </c>
      <c r="G333" t="n">
        <v>4.2</v>
      </c>
      <c r="H333" t="n">
        <v>0</v>
      </c>
      <c r="I333" t="n">
        <v>0</v>
      </c>
      <c r="J333" t="n">
        <v>0</v>
      </c>
      <c r="K333" t="n">
        <v>0</v>
      </c>
      <c r="L333" t="n">
        <v>0</v>
      </c>
      <c r="M333" t="n">
        <v>0</v>
      </c>
      <c r="N333" t="n">
        <v>0</v>
      </c>
      <c r="O333" t="n">
        <v>0</v>
      </c>
      <c r="P333" t="n">
        <v>0</v>
      </c>
      <c r="Q333" t="n">
        <v>0</v>
      </c>
      <c r="R333" s="2" t="inlineStr"/>
    </row>
    <row r="334" ht="15" customHeight="1">
      <c r="A334" t="inlineStr">
        <is>
          <t>A 19532-2020</t>
        </is>
      </c>
      <c r="B334" s="1" t="n">
        <v>43941</v>
      </c>
      <c r="C334" s="1" t="n">
        <v>45849</v>
      </c>
      <c r="D334" t="inlineStr">
        <is>
          <t>JÄMTLANDS LÄN</t>
        </is>
      </c>
      <c r="E334" t="inlineStr">
        <is>
          <t>BERG</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20745-2020</t>
        </is>
      </c>
      <c r="B335" s="1" t="n">
        <v>43949</v>
      </c>
      <c r="C335" s="1" t="n">
        <v>45849</v>
      </c>
      <c r="D335" t="inlineStr">
        <is>
          <t>JÄMTLANDS LÄN</t>
        </is>
      </c>
      <c r="E335" t="inlineStr">
        <is>
          <t>BERG</t>
        </is>
      </c>
      <c r="G335" t="n">
        <v>9.1</v>
      </c>
      <c r="H335" t="n">
        <v>0</v>
      </c>
      <c r="I335" t="n">
        <v>0</v>
      </c>
      <c r="J335" t="n">
        <v>0</v>
      </c>
      <c r="K335" t="n">
        <v>0</v>
      </c>
      <c r="L335" t="n">
        <v>0</v>
      </c>
      <c r="M335" t="n">
        <v>0</v>
      </c>
      <c r="N335" t="n">
        <v>0</v>
      </c>
      <c r="O335" t="n">
        <v>0</v>
      </c>
      <c r="P335" t="n">
        <v>0</v>
      </c>
      <c r="Q335" t="n">
        <v>0</v>
      </c>
      <c r="R335" s="2" t="inlineStr"/>
    </row>
    <row r="336" ht="15" customHeight="1">
      <c r="A336" t="inlineStr">
        <is>
          <t>A 23490-2020</t>
        </is>
      </c>
      <c r="B336" s="1" t="n">
        <v>43966</v>
      </c>
      <c r="C336" s="1" t="n">
        <v>45849</v>
      </c>
      <c r="D336" t="inlineStr">
        <is>
          <t>JÄMTLANDS LÄN</t>
        </is>
      </c>
      <c r="E336" t="inlineStr">
        <is>
          <t>BERG</t>
        </is>
      </c>
      <c r="G336" t="n">
        <v>8.6</v>
      </c>
      <c r="H336" t="n">
        <v>0</v>
      </c>
      <c r="I336" t="n">
        <v>0</v>
      </c>
      <c r="J336" t="n">
        <v>0</v>
      </c>
      <c r="K336" t="n">
        <v>0</v>
      </c>
      <c r="L336" t="n">
        <v>0</v>
      </c>
      <c r="M336" t="n">
        <v>0</v>
      </c>
      <c r="N336" t="n">
        <v>0</v>
      </c>
      <c r="O336" t="n">
        <v>0</v>
      </c>
      <c r="P336" t="n">
        <v>0</v>
      </c>
      <c r="Q336" t="n">
        <v>0</v>
      </c>
      <c r="R336" s="2" t="inlineStr"/>
    </row>
    <row r="337" ht="15" customHeight="1">
      <c r="A337" t="inlineStr">
        <is>
          <t>A 24292-2020</t>
        </is>
      </c>
      <c r="B337" s="1" t="n">
        <v>43976</v>
      </c>
      <c r="C337" s="1" t="n">
        <v>45849</v>
      </c>
      <c r="D337" t="inlineStr">
        <is>
          <t>JÄMTLANDS LÄN</t>
        </is>
      </c>
      <c r="E337" t="inlineStr">
        <is>
          <t>BERG</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24932-2020</t>
        </is>
      </c>
      <c r="B338" s="1" t="n">
        <v>43979</v>
      </c>
      <c r="C338" s="1" t="n">
        <v>45849</v>
      </c>
      <c r="D338" t="inlineStr">
        <is>
          <t>JÄMTLANDS LÄN</t>
        </is>
      </c>
      <c r="E338" t="inlineStr">
        <is>
          <t>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25017-2020</t>
        </is>
      </c>
      <c r="B339" s="1" t="n">
        <v>43979</v>
      </c>
      <c r="C339" s="1" t="n">
        <v>45849</v>
      </c>
      <c r="D339" t="inlineStr">
        <is>
          <t>JÄMTLANDS LÄN</t>
        </is>
      </c>
      <c r="E339" t="inlineStr">
        <is>
          <t>BERG</t>
        </is>
      </c>
      <c r="G339" t="n">
        <v>6.3</v>
      </c>
      <c r="H339" t="n">
        <v>0</v>
      </c>
      <c r="I339" t="n">
        <v>0</v>
      </c>
      <c r="J339" t="n">
        <v>0</v>
      </c>
      <c r="K339" t="n">
        <v>0</v>
      </c>
      <c r="L339" t="n">
        <v>0</v>
      </c>
      <c r="M339" t="n">
        <v>0</v>
      </c>
      <c r="N339" t="n">
        <v>0</v>
      </c>
      <c r="O339" t="n">
        <v>0</v>
      </c>
      <c r="P339" t="n">
        <v>0</v>
      </c>
      <c r="Q339" t="n">
        <v>0</v>
      </c>
      <c r="R339" s="2" t="inlineStr"/>
    </row>
    <row r="340" ht="15" customHeight="1">
      <c r="A340" t="inlineStr">
        <is>
          <t>A 25978-2020</t>
        </is>
      </c>
      <c r="B340" s="1" t="n">
        <v>43985</v>
      </c>
      <c r="C340" s="1" t="n">
        <v>45849</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25993-2020</t>
        </is>
      </c>
      <c r="B341" s="1" t="n">
        <v>43985</v>
      </c>
      <c r="C341" s="1" t="n">
        <v>45849</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25984-2020</t>
        </is>
      </c>
      <c r="B342" s="1" t="n">
        <v>43985</v>
      </c>
      <c r="C342" s="1" t="n">
        <v>45849</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26175-2020</t>
        </is>
      </c>
      <c r="B343" s="1" t="n">
        <v>43985</v>
      </c>
      <c r="C343" s="1" t="n">
        <v>45849</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25975-2020</t>
        </is>
      </c>
      <c r="B344" s="1" t="n">
        <v>43985</v>
      </c>
      <c r="C344" s="1" t="n">
        <v>45849</v>
      </c>
      <c r="D344" t="inlineStr">
        <is>
          <t>JÄMTLANDS LÄN</t>
        </is>
      </c>
      <c r="E344" t="inlineStr">
        <is>
          <t>BERG</t>
        </is>
      </c>
      <c r="G344" t="n">
        <v>5.4</v>
      </c>
      <c r="H344" t="n">
        <v>0</v>
      </c>
      <c r="I344" t="n">
        <v>0</v>
      </c>
      <c r="J344" t="n">
        <v>0</v>
      </c>
      <c r="K344" t="n">
        <v>0</v>
      </c>
      <c r="L344" t="n">
        <v>0</v>
      </c>
      <c r="M344" t="n">
        <v>0</v>
      </c>
      <c r="N344" t="n">
        <v>0</v>
      </c>
      <c r="O344" t="n">
        <v>0</v>
      </c>
      <c r="P344" t="n">
        <v>0</v>
      </c>
      <c r="Q344" t="n">
        <v>0</v>
      </c>
      <c r="R344" s="2" t="inlineStr"/>
    </row>
    <row r="345" ht="15" customHeight="1">
      <c r="A345" t="inlineStr">
        <is>
          <t>A 28767-2020</t>
        </is>
      </c>
      <c r="B345" s="1" t="n">
        <v>44000</v>
      </c>
      <c r="C345" s="1" t="n">
        <v>45849</v>
      </c>
      <c r="D345" t="inlineStr">
        <is>
          <t>JÄMTLANDS LÄN</t>
        </is>
      </c>
      <c r="E345" t="inlineStr">
        <is>
          <t>BERG</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28961-2020</t>
        </is>
      </c>
      <c r="B346" s="1" t="n">
        <v>44000</v>
      </c>
      <c r="C346" s="1" t="n">
        <v>45849</v>
      </c>
      <c r="D346" t="inlineStr">
        <is>
          <t>JÄMTLANDS LÄN</t>
        </is>
      </c>
      <c r="E346" t="inlineStr">
        <is>
          <t>BERG</t>
        </is>
      </c>
      <c r="G346" t="n">
        <v>7.6</v>
      </c>
      <c r="H346" t="n">
        <v>0</v>
      </c>
      <c r="I346" t="n">
        <v>0</v>
      </c>
      <c r="J346" t="n">
        <v>0</v>
      </c>
      <c r="K346" t="n">
        <v>0</v>
      </c>
      <c r="L346" t="n">
        <v>0</v>
      </c>
      <c r="M346" t="n">
        <v>0</v>
      </c>
      <c r="N346" t="n">
        <v>0</v>
      </c>
      <c r="O346" t="n">
        <v>0</v>
      </c>
      <c r="P346" t="n">
        <v>0</v>
      </c>
      <c r="Q346" t="n">
        <v>0</v>
      </c>
      <c r="R346" s="2" t="inlineStr"/>
    </row>
    <row r="347" ht="15" customHeight="1">
      <c r="A347" t="inlineStr">
        <is>
          <t>A 29004-2020</t>
        </is>
      </c>
      <c r="B347" s="1" t="n">
        <v>44000</v>
      </c>
      <c r="C347" s="1" t="n">
        <v>45849</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29052-2020</t>
        </is>
      </c>
      <c r="B348" s="1" t="n">
        <v>44000</v>
      </c>
      <c r="C348" s="1" t="n">
        <v>45849</v>
      </c>
      <c r="D348" t="inlineStr">
        <is>
          <t>JÄMTLANDS LÄN</t>
        </is>
      </c>
      <c r="E348" t="inlineStr">
        <is>
          <t>BERG</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29788-2020</t>
        </is>
      </c>
      <c r="B349" s="1" t="n">
        <v>44005</v>
      </c>
      <c r="C349" s="1" t="n">
        <v>45849</v>
      </c>
      <c r="D349" t="inlineStr">
        <is>
          <t>JÄMTLANDS LÄN</t>
        </is>
      </c>
      <c r="E349" t="inlineStr">
        <is>
          <t>BERG</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30477-2020</t>
        </is>
      </c>
      <c r="B350" s="1" t="n">
        <v>44007</v>
      </c>
      <c r="C350" s="1" t="n">
        <v>45849</v>
      </c>
      <c r="D350" t="inlineStr">
        <is>
          <t>JÄMTLANDS LÄN</t>
        </is>
      </c>
      <c r="E350" t="inlineStr">
        <is>
          <t>BERG</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31970-2020</t>
        </is>
      </c>
      <c r="B351" s="1" t="n">
        <v>44015</v>
      </c>
      <c r="C351" s="1" t="n">
        <v>45849</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32744-2020</t>
        </is>
      </c>
      <c r="B352" s="1" t="n">
        <v>44019</v>
      </c>
      <c r="C352" s="1" t="n">
        <v>45849</v>
      </c>
      <c r="D352" t="inlineStr">
        <is>
          <t>JÄMTLANDS LÄN</t>
        </is>
      </c>
      <c r="E352" t="inlineStr">
        <is>
          <t>BERG</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33885-2020</t>
        </is>
      </c>
      <c r="B353" s="1" t="n">
        <v>44027</v>
      </c>
      <c r="C353" s="1" t="n">
        <v>45849</v>
      </c>
      <c r="D353" t="inlineStr">
        <is>
          <t>JÄMTLANDS LÄN</t>
        </is>
      </c>
      <c r="E353" t="inlineStr">
        <is>
          <t>BERG</t>
        </is>
      </c>
      <c r="G353" t="n">
        <v>7.2</v>
      </c>
      <c r="H353" t="n">
        <v>0</v>
      </c>
      <c r="I353" t="n">
        <v>0</v>
      </c>
      <c r="J353" t="n">
        <v>0</v>
      </c>
      <c r="K353" t="n">
        <v>0</v>
      </c>
      <c r="L353" t="n">
        <v>0</v>
      </c>
      <c r="M353" t="n">
        <v>0</v>
      </c>
      <c r="N353" t="n">
        <v>0</v>
      </c>
      <c r="O353" t="n">
        <v>0</v>
      </c>
      <c r="P353" t="n">
        <v>0</v>
      </c>
      <c r="Q353" t="n">
        <v>0</v>
      </c>
      <c r="R353" s="2" t="inlineStr"/>
    </row>
    <row r="354" ht="15" customHeight="1">
      <c r="A354" t="inlineStr">
        <is>
          <t>A 34584-2020</t>
        </is>
      </c>
      <c r="B354" s="1" t="n">
        <v>44033</v>
      </c>
      <c r="C354" s="1" t="n">
        <v>45849</v>
      </c>
      <c r="D354" t="inlineStr">
        <is>
          <t>JÄMTLANDS LÄN</t>
        </is>
      </c>
      <c r="E354" t="inlineStr">
        <is>
          <t>BERG</t>
        </is>
      </c>
      <c r="F354" t="inlineStr">
        <is>
          <t>SCA</t>
        </is>
      </c>
      <c r="G354" t="n">
        <v>12.3</v>
      </c>
      <c r="H354" t="n">
        <v>0</v>
      </c>
      <c r="I354" t="n">
        <v>0</v>
      </c>
      <c r="J354" t="n">
        <v>0</v>
      </c>
      <c r="K354" t="n">
        <v>0</v>
      </c>
      <c r="L354" t="n">
        <v>0</v>
      </c>
      <c r="M354" t="n">
        <v>0</v>
      </c>
      <c r="N354" t="n">
        <v>0</v>
      </c>
      <c r="O354" t="n">
        <v>0</v>
      </c>
      <c r="P354" t="n">
        <v>0</v>
      </c>
      <c r="Q354" t="n">
        <v>0</v>
      </c>
      <c r="R354" s="2" t="inlineStr"/>
    </row>
    <row r="355" ht="15" customHeight="1">
      <c r="A355" t="inlineStr">
        <is>
          <t>A 34581-2020</t>
        </is>
      </c>
      <c r="B355" s="1" t="n">
        <v>44033</v>
      </c>
      <c r="C355" s="1" t="n">
        <v>45849</v>
      </c>
      <c r="D355" t="inlineStr">
        <is>
          <t>JÄMTLANDS LÄN</t>
        </is>
      </c>
      <c r="E355" t="inlineStr">
        <is>
          <t>BERG</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34738-2020</t>
        </is>
      </c>
      <c r="B356" s="1" t="n">
        <v>44035</v>
      </c>
      <c r="C356" s="1" t="n">
        <v>45849</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34804-2020</t>
        </is>
      </c>
      <c r="B357" s="1" t="n">
        <v>44036</v>
      </c>
      <c r="C357" s="1" t="n">
        <v>45849</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35620-2020</t>
        </is>
      </c>
      <c r="B358" s="1" t="n">
        <v>44045</v>
      </c>
      <c r="C358" s="1" t="n">
        <v>45849</v>
      </c>
      <c r="D358" t="inlineStr">
        <is>
          <t>JÄMTLANDS LÄN</t>
        </is>
      </c>
      <c r="E358" t="inlineStr">
        <is>
          <t>BERG</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38077-2020</t>
        </is>
      </c>
      <c r="B359" s="1" t="n">
        <v>44057</v>
      </c>
      <c r="C359" s="1" t="n">
        <v>45849</v>
      </c>
      <c r="D359" t="inlineStr">
        <is>
          <t>JÄMTLANDS LÄN</t>
        </is>
      </c>
      <c r="E359" t="inlineStr">
        <is>
          <t>BERG</t>
        </is>
      </c>
      <c r="G359" t="n">
        <v>0.5</v>
      </c>
      <c r="H359" t="n">
        <v>0</v>
      </c>
      <c r="I359" t="n">
        <v>0</v>
      </c>
      <c r="J359" t="n">
        <v>0</v>
      </c>
      <c r="K359" t="n">
        <v>0</v>
      </c>
      <c r="L359" t="n">
        <v>0</v>
      </c>
      <c r="M359" t="n">
        <v>0</v>
      </c>
      <c r="N359" t="n">
        <v>0</v>
      </c>
      <c r="O359" t="n">
        <v>0</v>
      </c>
      <c r="P359" t="n">
        <v>0</v>
      </c>
      <c r="Q359" t="n">
        <v>0</v>
      </c>
      <c r="R359" s="2" t="inlineStr"/>
    </row>
    <row r="360" ht="15" customHeight="1">
      <c r="A360" t="inlineStr">
        <is>
          <t>A 39137-2020</t>
        </is>
      </c>
      <c r="B360" s="1" t="n">
        <v>44062</v>
      </c>
      <c r="C360" s="1" t="n">
        <v>45849</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39220-2020</t>
        </is>
      </c>
      <c r="B361" s="1" t="n">
        <v>44063</v>
      </c>
      <c r="C361" s="1" t="n">
        <v>45849</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39200-2020</t>
        </is>
      </c>
      <c r="B362" s="1" t="n">
        <v>44063</v>
      </c>
      <c r="C362" s="1" t="n">
        <v>45849</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39212-2020</t>
        </is>
      </c>
      <c r="B363" s="1" t="n">
        <v>44063</v>
      </c>
      <c r="C363" s="1" t="n">
        <v>45849</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39228-2020</t>
        </is>
      </c>
      <c r="B364" s="1" t="n">
        <v>44063</v>
      </c>
      <c r="C364" s="1" t="n">
        <v>45849</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39205-2020</t>
        </is>
      </c>
      <c r="B365" s="1" t="n">
        <v>44063</v>
      </c>
      <c r="C365" s="1" t="n">
        <v>45849</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40333-2020</t>
        </is>
      </c>
      <c r="B366" s="1" t="n">
        <v>44068</v>
      </c>
      <c r="C366" s="1" t="n">
        <v>45849</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44003-2020</t>
        </is>
      </c>
      <c r="B367" s="1" t="n">
        <v>44083</v>
      </c>
      <c r="C367" s="1" t="n">
        <v>45849</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44422-2020</t>
        </is>
      </c>
      <c r="B368" s="1" t="n">
        <v>44084</v>
      </c>
      <c r="C368" s="1" t="n">
        <v>45849</v>
      </c>
      <c r="D368" t="inlineStr">
        <is>
          <t>JÄMTLANDS LÄN</t>
        </is>
      </c>
      <c r="E368" t="inlineStr">
        <is>
          <t>BERG</t>
        </is>
      </c>
      <c r="G368" t="n">
        <v>6.9</v>
      </c>
      <c r="H368" t="n">
        <v>0</v>
      </c>
      <c r="I368" t="n">
        <v>0</v>
      </c>
      <c r="J368" t="n">
        <v>0</v>
      </c>
      <c r="K368" t="n">
        <v>0</v>
      </c>
      <c r="L368" t="n">
        <v>0</v>
      </c>
      <c r="M368" t="n">
        <v>0</v>
      </c>
      <c r="N368" t="n">
        <v>0</v>
      </c>
      <c r="O368" t="n">
        <v>0</v>
      </c>
      <c r="P368" t="n">
        <v>0</v>
      </c>
      <c r="Q368" t="n">
        <v>0</v>
      </c>
      <c r="R368" s="2" t="inlineStr"/>
    </row>
    <row r="369" ht="15" customHeight="1">
      <c r="A369" t="inlineStr">
        <is>
          <t>A 46657-2020</t>
        </is>
      </c>
      <c r="B369" s="1" t="n">
        <v>44095</v>
      </c>
      <c r="C369" s="1" t="n">
        <v>45849</v>
      </c>
      <c r="D369" t="inlineStr">
        <is>
          <t>JÄMTLANDS LÄN</t>
        </is>
      </c>
      <c r="E369" t="inlineStr">
        <is>
          <t>BERG</t>
        </is>
      </c>
      <c r="F369" t="inlineStr">
        <is>
          <t>Kommuner</t>
        </is>
      </c>
      <c r="G369" t="n">
        <v>3.8</v>
      </c>
      <c r="H369" t="n">
        <v>0</v>
      </c>
      <c r="I369" t="n">
        <v>0</v>
      </c>
      <c r="J369" t="n">
        <v>0</v>
      </c>
      <c r="K369" t="n">
        <v>0</v>
      </c>
      <c r="L369" t="n">
        <v>0</v>
      </c>
      <c r="M369" t="n">
        <v>0</v>
      </c>
      <c r="N369" t="n">
        <v>0</v>
      </c>
      <c r="O369" t="n">
        <v>0</v>
      </c>
      <c r="P369" t="n">
        <v>0</v>
      </c>
      <c r="Q369" t="n">
        <v>0</v>
      </c>
      <c r="R369" s="2" t="inlineStr"/>
    </row>
    <row r="370" ht="15" customHeight="1">
      <c r="A370" t="inlineStr">
        <is>
          <t>A 46616-2020</t>
        </is>
      </c>
      <c r="B370" s="1" t="n">
        <v>44095</v>
      </c>
      <c r="C370" s="1" t="n">
        <v>45849</v>
      </c>
      <c r="D370" t="inlineStr">
        <is>
          <t>JÄMTLANDS LÄN</t>
        </is>
      </c>
      <c r="E370" t="inlineStr">
        <is>
          <t>BERG</t>
        </is>
      </c>
      <c r="F370" t="inlineStr">
        <is>
          <t>Kommuner</t>
        </is>
      </c>
      <c r="G370" t="n">
        <v>42.8</v>
      </c>
      <c r="H370" t="n">
        <v>0</v>
      </c>
      <c r="I370" t="n">
        <v>0</v>
      </c>
      <c r="J370" t="n">
        <v>0</v>
      </c>
      <c r="K370" t="n">
        <v>0</v>
      </c>
      <c r="L370" t="n">
        <v>0</v>
      </c>
      <c r="M370" t="n">
        <v>0</v>
      </c>
      <c r="N370" t="n">
        <v>0</v>
      </c>
      <c r="O370" t="n">
        <v>0</v>
      </c>
      <c r="P370" t="n">
        <v>0</v>
      </c>
      <c r="Q370" t="n">
        <v>0</v>
      </c>
      <c r="R370" s="2" t="inlineStr"/>
    </row>
    <row r="371" ht="15" customHeight="1">
      <c r="A371" t="inlineStr">
        <is>
          <t>A 46635-2020</t>
        </is>
      </c>
      <c r="B371" s="1" t="n">
        <v>44095</v>
      </c>
      <c r="C371" s="1" t="n">
        <v>45849</v>
      </c>
      <c r="D371" t="inlineStr">
        <is>
          <t>JÄMTLANDS LÄN</t>
        </is>
      </c>
      <c r="E371" t="inlineStr">
        <is>
          <t>BERG</t>
        </is>
      </c>
      <c r="F371" t="inlineStr">
        <is>
          <t>Kommuner</t>
        </is>
      </c>
      <c r="G371" t="n">
        <v>14.5</v>
      </c>
      <c r="H371" t="n">
        <v>0</v>
      </c>
      <c r="I371" t="n">
        <v>0</v>
      </c>
      <c r="J371" t="n">
        <v>0</v>
      </c>
      <c r="K371" t="n">
        <v>0</v>
      </c>
      <c r="L371" t="n">
        <v>0</v>
      </c>
      <c r="M371" t="n">
        <v>0</v>
      </c>
      <c r="N371" t="n">
        <v>0</v>
      </c>
      <c r="O371" t="n">
        <v>0</v>
      </c>
      <c r="P371" t="n">
        <v>0</v>
      </c>
      <c r="Q371" t="n">
        <v>0</v>
      </c>
      <c r="R371" s="2" t="inlineStr"/>
    </row>
    <row r="372" ht="15" customHeight="1">
      <c r="A372" t="inlineStr">
        <is>
          <t>A 46660-2020</t>
        </is>
      </c>
      <c r="B372" s="1" t="n">
        <v>44095</v>
      </c>
      <c r="C372" s="1" t="n">
        <v>45849</v>
      </c>
      <c r="D372" t="inlineStr">
        <is>
          <t>JÄMTLANDS LÄN</t>
        </is>
      </c>
      <c r="E372" t="inlineStr">
        <is>
          <t>BERG</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48801-2020</t>
        </is>
      </c>
      <c r="B373" s="1" t="n">
        <v>44103</v>
      </c>
      <c r="C373" s="1" t="n">
        <v>45849</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49174-2020</t>
        </is>
      </c>
      <c r="B374" s="1" t="n">
        <v>44104</v>
      </c>
      <c r="C374" s="1" t="n">
        <v>45849</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53958-2020</t>
        </is>
      </c>
      <c r="B375" s="1" t="n">
        <v>44123</v>
      </c>
      <c r="C375" s="1" t="n">
        <v>45849</v>
      </c>
      <c r="D375" t="inlineStr">
        <is>
          <t>JÄMTLANDS LÄN</t>
        </is>
      </c>
      <c r="E375" t="inlineStr">
        <is>
          <t>BERG</t>
        </is>
      </c>
      <c r="G375" t="n">
        <v>27.9</v>
      </c>
      <c r="H375" t="n">
        <v>0</v>
      </c>
      <c r="I375" t="n">
        <v>0</v>
      </c>
      <c r="J375" t="n">
        <v>0</v>
      </c>
      <c r="K375" t="n">
        <v>0</v>
      </c>
      <c r="L375" t="n">
        <v>0</v>
      </c>
      <c r="M375" t="n">
        <v>0</v>
      </c>
      <c r="N375" t="n">
        <v>0</v>
      </c>
      <c r="O375" t="n">
        <v>0</v>
      </c>
      <c r="P375" t="n">
        <v>0</v>
      </c>
      <c r="Q375" t="n">
        <v>0</v>
      </c>
      <c r="R375" s="2" t="inlineStr"/>
    </row>
    <row r="376" ht="15" customHeight="1">
      <c r="A376" t="inlineStr">
        <is>
          <t>A 53950-2020</t>
        </is>
      </c>
      <c r="B376" s="1" t="n">
        <v>44123</v>
      </c>
      <c r="C376" s="1" t="n">
        <v>45849</v>
      </c>
      <c r="D376" t="inlineStr">
        <is>
          <t>JÄMTLANDS LÄN</t>
        </is>
      </c>
      <c r="E376" t="inlineStr">
        <is>
          <t>BERG</t>
        </is>
      </c>
      <c r="G376" t="n">
        <v>11.8</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45849</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53886-2020</t>
        </is>
      </c>
      <c r="B378" s="1" t="n">
        <v>44123</v>
      </c>
      <c r="C378" s="1" t="n">
        <v>45849</v>
      </c>
      <c r="D378" t="inlineStr">
        <is>
          <t>JÄMTLANDS LÄN</t>
        </is>
      </c>
      <c r="E378" t="inlineStr">
        <is>
          <t>BERG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53902-2020</t>
        </is>
      </c>
      <c r="B379" s="1" t="n">
        <v>44123</v>
      </c>
      <c r="C379" s="1" t="n">
        <v>45849</v>
      </c>
      <c r="D379" t="inlineStr">
        <is>
          <t>JÄMTLANDS LÄN</t>
        </is>
      </c>
      <c r="E379" t="inlineStr">
        <is>
          <t>BERG</t>
        </is>
      </c>
      <c r="G379" t="n">
        <v>22.5</v>
      </c>
      <c r="H379" t="n">
        <v>0</v>
      </c>
      <c r="I379" t="n">
        <v>0</v>
      </c>
      <c r="J379" t="n">
        <v>0</v>
      </c>
      <c r="K379" t="n">
        <v>0</v>
      </c>
      <c r="L379" t="n">
        <v>0</v>
      </c>
      <c r="M379" t="n">
        <v>0</v>
      </c>
      <c r="N379" t="n">
        <v>0</v>
      </c>
      <c r="O379" t="n">
        <v>0</v>
      </c>
      <c r="P379" t="n">
        <v>0</v>
      </c>
      <c r="Q379" t="n">
        <v>0</v>
      </c>
      <c r="R379" s="2" t="inlineStr"/>
    </row>
    <row r="380" ht="15" customHeight="1">
      <c r="A380" t="inlineStr">
        <is>
          <t>A 54511-2020</t>
        </is>
      </c>
      <c r="B380" s="1" t="n">
        <v>44126</v>
      </c>
      <c r="C380" s="1" t="n">
        <v>45849</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55311-2020</t>
        </is>
      </c>
      <c r="B381" s="1" t="n">
        <v>44130</v>
      </c>
      <c r="C381" s="1" t="n">
        <v>45849</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62340-2020</t>
        </is>
      </c>
      <c r="B382" s="1" t="n">
        <v>44158</v>
      </c>
      <c r="C382" s="1" t="n">
        <v>45849</v>
      </c>
      <c r="D382" t="inlineStr">
        <is>
          <t>JÄMTLANDS LÄN</t>
        </is>
      </c>
      <c r="E382" t="inlineStr">
        <is>
          <t>BERG</t>
        </is>
      </c>
      <c r="G382" t="n">
        <v>2.5</v>
      </c>
      <c r="H382" t="n">
        <v>0</v>
      </c>
      <c r="I382" t="n">
        <v>0</v>
      </c>
      <c r="J382" t="n">
        <v>0</v>
      </c>
      <c r="K382" t="n">
        <v>0</v>
      </c>
      <c r="L382" t="n">
        <v>0</v>
      </c>
      <c r="M382" t="n">
        <v>0</v>
      </c>
      <c r="N382" t="n">
        <v>0</v>
      </c>
      <c r="O382" t="n">
        <v>0</v>
      </c>
      <c r="P382" t="n">
        <v>0</v>
      </c>
      <c r="Q382" t="n">
        <v>0</v>
      </c>
      <c r="R382" s="2" t="inlineStr"/>
    </row>
    <row r="383" ht="15" customHeight="1">
      <c r="A383" t="inlineStr">
        <is>
          <t>A 62490-2020</t>
        </is>
      </c>
      <c r="B383" s="1" t="n">
        <v>44160</v>
      </c>
      <c r="C383" s="1" t="n">
        <v>45849</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62494-2020</t>
        </is>
      </c>
      <c r="B384" s="1" t="n">
        <v>44160</v>
      </c>
      <c r="C384" s="1" t="n">
        <v>45849</v>
      </c>
      <c r="D384" t="inlineStr">
        <is>
          <t>JÄMTLANDS LÄN</t>
        </is>
      </c>
      <c r="E384" t="inlineStr">
        <is>
          <t>BERG</t>
        </is>
      </c>
      <c r="G384" t="n">
        <v>7.5</v>
      </c>
      <c r="H384" t="n">
        <v>0</v>
      </c>
      <c r="I384" t="n">
        <v>0</v>
      </c>
      <c r="J384" t="n">
        <v>0</v>
      </c>
      <c r="K384" t="n">
        <v>0</v>
      </c>
      <c r="L384" t="n">
        <v>0</v>
      </c>
      <c r="M384" t="n">
        <v>0</v>
      </c>
      <c r="N384" t="n">
        <v>0</v>
      </c>
      <c r="O384" t="n">
        <v>0</v>
      </c>
      <c r="P384" t="n">
        <v>0</v>
      </c>
      <c r="Q384" t="n">
        <v>0</v>
      </c>
      <c r="R384" s="2" t="inlineStr"/>
    </row>
    <row r="385" ht="15" customHeight="1">
      <c r="A385" t="inlineStr">
        <is>
          <t>A 63009-2020</t>
        </is>
      </c>
      <c r="B385" s="1" t="n">
        <v>44162</v>
      </c>
      <c r="C385" s="1" t="n">
        <v>45849</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63002-2020</t>
        </is>
      </c>
      <c r="B386" s="1" t="n">
        <v>44162</v>
      </c>
      <c r="C386" s="1" t="n">
        <v>45849</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63522-2020</t>
        </is>
      </c>
      <c r="B387" s="1" t="n">
        <v>44165</v>
      </c>
      <c r="C387" s="1" t="n">
        <v>45849</v>
      </c>
      <c r="D387" t="inlineStr">
        <is>
          <t>JÄMTLANDS LÄN</t>
        </is>
      </c>
      <c r="E387" t="inlineStr">
        <is>
          <t>BERG</t>
        </is>
      </c>
      <c r="G387" t="n">
        <v>2.4</v>
      </c>
      <c r="H387" t="n">
        <v>0</v>
      </c>
      <c r="I387" t="n">
        <v>0</v>
      </c>
      <c r="J387" t="n">
        <v>0</v>
      </c>
      <c r="K387" t="n">
        <v>0</v>
      </c>
      <c r="L387" t="n">
        <v>0</v>
      </c>
      <c r="M387" t="n">
        <v>0</v>
      </c>
      <c r="N387" t="n">
        <v>0</v>
      </c>
      <c r="O387" t="n">
        <v>0</v>
      </c>
      <c r="P387" t="n">
        <v>0</v>
      </c>
      <c r="Q387" t="n">
        <v>0</v>
      </c>
      <c r="R387" s="2" t="inlineStr"/>
    </row>
    <row r="388" ht="15" customHeight="1">
      <c r="A388" t="inlineStr">
        <is>
          <t>A 64492-2020</t>
        </is>
      </c>
      <c r="B388" s="1" t="n">
        <v>44168</v>
      </c>
      <c r="C388" s="1" t="n">
        <v>45849</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64490-2020</t>
        </is>
      </c>
      <c r="B389" s="1" t="n">
        <v>44168</v>
      </c>
      <c r="C389" s="1" t="n">
        <v>45849</v>
      </c>
      <c r="D389" t="inlineStr">
        <is>
          <t>JÄMTLANDS LÄN</t>
        </is>
      </c>
      <c r="E389" t="inlineStr">
        <is>
          <t>BERG</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68770-2020</t>
        </is>
      </c>
      <c r="B390" s="1" t="n">
        <v>44187</v>
      </c>
      <c r="C390" s="1" t="n">
        <v>45849</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68896-2020</t>
        </is>
      </c>
      <c r="B391" s="1" t="n">
        <v>44187</v>
      </c>
      <c r="C391" s="1" t="n">
        <v>45849</v>
      </c>
      <c r="D391" t="inlineStr">
        <is>
          <t>JÄMTLANDS LÄN</t>
        </is>
      </c>
      <c r="E391" t="inlineStr">
        <is>
          <t>BERG</t>
        </is>
      </c>
      <c r="G391" t="n">
        <v>9.6</v>
      </c>
      <c r="H391" t="n">
        <v>0</v>
      </c>
      <c r="I391" t="n">
        <v>0</v>
      </c>
      <c r="J391" t="n">
        <v>0</v>
      </c>
      <c r="K391" t="n">
        <v>0</v>
      </c>
      <c r="L391" t="n">
        <v>0</v>
      </c>
      <c r="M391" t="n">
        <v>0</v>
      </c>
      <c r="N391" t="n">
        <v>0</v>
      </c>
      <c r="O391" t="n">
        <v>0</v>
      </c>
      <c r="P391" t="n">
        <v>0</v>
      </c>
      <c r="Q391" t="n">
        <v>0</v>
      </c>
      <c r="R391" s="2" t="inlineStr"/>
    </row>
    <row r="392" ht="15" customHeight="1">
      <c r="A392" t="inlineStr">
        <is>
          <t>A 592-2021</t>
        </is>
      </c>
      <c r="B392" s="1" t="n">
        <v>44201</v>
      </c>
      <c r="C392" s="1" t="n">
        <v>45849</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702-2021</t>
        </is>
      </c>
      <c r="B393" s="1" t="n">
        <v>44203</v>
      </c>
      <c r="C393" s="1" t="n">
        <v>45849</v>
      </c>
      <c r="D393" t="inlineStr">
        <is>
          <t>JÄMTLANDS LÄN</t>
        </is>
      </c>
      <c r="E393" t="inlineStr">
        <is>
          <t>BERG</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692-2021</t>
        </is>
      </c>
      <c r="B394" s="1" t="n">
        <v>44203</v>
      </c>
      <c r="C394" s="1" t="n">
        <v>45849</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1032-2021</t>
        </is>
      </c>
      <c r="B395" s="1" t="n">
        <v>44207</v>
      </c>
      <c r="C395" s="1" t="n">
        <v>45849</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1640-2021</t>
        </is>
      </c>
      <c r="B396" s="1" t="n">
        <v>44209</v>
      </c>
      <c r="C396" s="1" t="n">
        <v>45849</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1651-2021</t>
        </is>
      </c>
      <c r="B397" s="1" t="n">
        <v>44209</v>
      </c>
      <c r="C397" s="1" t="n">
        <v>45849</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1646-2021</t>
        </is>
      </c>
      <c r="B398" s="1" t="n">
        <v>44209</v>
      </c>
      <c r="C398" s="1" t="n">
        <v>45849</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1657-2021</t>
        </is>
      </c>
      <c r="B399" s="1" t="n">
        <v>44209</v>
      </c>
      <c r="C399" s="1" t="n">
        <v>45849</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3511-2021</t>
        </is>
      </c>
      <c r="B400" s="1" t="n">
        <v>44218</v>
      </c>
      <c r="C400" s="1" t="n">
        <v>45849</v>
      </c>
      <c r="D400" t="inlineStr">
        <is>
          <t>JÄMTLANDS LÄN</t>
        </is>
      </c>
      <c r="E400" t="inlineStr">
        <is>
          <t>BERG</t>
        </is>
      </c>
      <c r="G400" t="n">
        <v>3.9</v>
      </c>
      <c r="H400" t="n">
        <v>0</v>
      </c>
      <c r="I400" t="n">
        <v>0</v>
      </c>
      <c r="J400" t="n">
        <v>0</v>
      </c>
      <c r="K400" t="n">
        <v>0</v>
      </c>
      <c r="L400" t="n">
        <v>0</v>
      </c>
      <c r="M400" t="n">
        <v>0</v>
      </c>
      <c r="N400" t="n">
        <v>0</v>
      </c>
      <c r="O400" t="n">
        <v>0</v>
      </c>
      <c r="P400" t="n">
        <v>0</v>
      </c>
      <c r="Q400" t="n">
        <v>0</v>
      </c>
      <c r="R400" s="2" t="inlineStr"/>
    </row>
    <row r="401" ht="15" customHeight="1">
      <c r="A401" t="inlineStr">
        <is>
          <t>A 4651-2021</t>
        </is>
      </c>
      <c r="B401" s="1" t="n">
        <v>44224</v>
      </c>
      <c r="C401" s="1" t="n">
        <v>45849</v>
      </c>
      <c r="D401" t="inlineStr">
        <is>
          <t>JÄMTLANDS LÄN</t>
        </is>
      </c>
      <c r="E401" t="inlineStr">
        <is>
          <t>BERG</t>
        </is>
      </c>
      <c r="G401" t="n">
        <v>5.2</v>
      </c>
      <c r="H401" t="n">
        <v>0</v>
      </c>
      <c r="I401" t="n">
        <v>0</v>
      </c>
      <c r="J401" t="n">
        <v>0</v>
      </c>
      <c r="K401" t="n">
        <v>0</v>
      </c>
      <c r="L401" t="n">
        <v>0</v>
      </c>
      <c r="M401" t="n">
        <v>0</v>
      </c>
      <c r="N401" t="n">
        <v>0</v>
      </c>
      <c r="O401" t="n">
        <v>0</v>
      </c>
      <c r="P401" t="n">
        <v>0</v>
      </c>
      <c r="Q401" t="n">
        <v>0</v>
      </c>
      <c r="R401" s="2" t="inlineStr"/>
    </row>
    <row r="402" ht="15" customHeight="1">
      <c r="A402" t="inlineStr">
        <is>
          <t>A 8639-2021</t>
        </is>
      </c>
      <c r="B402" s="1" t="n">
        <v>44245</v>
      </c>
      <c r="C402" s="1" t="n">
        <v>45849</v>
      </c>
      <c r="D402" t="inlineStr">
        <is>
          <t>JÄMTLANDS LÄN</t>
        </is>
      </c>
      <c r="E402" t="inlineStr">
        <is>
          <t>BERG</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9629-2021</t>
        </is>
      </c>
      <c r="B403" s="1" t="n">
        <v>44251</v>
      </c>
      <c r="C403" s="1" t="n">
        <v>45849</v>
      </c>
      <c r="D403" t="inlineStr">
        <is>
          <t>JÄMTLANDS LÄN</t>
        </is>
      </c>
      <c r="E403" t="inlineStr">
        <is>
          <t>BERG</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9920-2021</t>
        </is>
      </c>
      <c r="B404" s="1" t="n">
        <v>44253</v>
      </c>
      <c r="C404" s="1" t="n">
        <v>45849</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12499-2021</t>
        </is>
      </c>
      <c r="B405" s="1" t="n">
        <v>44267</v>
      </c>
      <c r="C405" s="1" t="n">
        <v>45849</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14226-2021</t>
        </is>
      </c>
      <c r="B406" s="1" t="n">
        <v>44277</v>
      </c>
      <c r="C406" s="1" t="n">
        <v>45849</v>
      </c>
      <c r="D406" t="inlineStr">
        <is>
          <t>JÄMTLANDS LÄN</t>
        </is>
      </c>
      <c r="E406" t="inlineStr">
        <is>
          <t>BERG</t>
        </is>
      </c>
      <c r="G406" t="n">
        <v>23.7</v>
      </c>
      <c r="H406" t="n">
        <v>0</v>
      </c>
      <c r="I406" t="n">
        <v>0</v>
      </c>
      <c r="J406" t="n">
        <v>0</v>
      </c>
      <c r="K406" t="n">
        <v>0</v>
      </c>
      <c r="L406" t="n">
        <v>0</v>
      </c>
      <c r="M406" t="n">
        <v>0</v>
      </c>
      <c r="N406" t="n">
        <v>0</v>
      </c>
      <c r="O406" t="n">
        <v>0</v>
      </c>
      <c r="P406" t="n">
        <v>0</v>
      </c>
      <c r="Q406" t="n">
        <v>0</v>
      </c>
      <c r="R406" s="2" t="inlineStr"/>
    </row>
    <row r="407" ht="15" customHeight="1">
      <c r="A407" t="inlineStr">
        <is>
          <t>A 14163-2021</t>
        </is>
      </c>
      <c r="B407" s="1" t="n">
        <v>44277</v>
      </c>
      <c r="C407" s="1" t="n">
        <v>45849</v>
      </c>
      <c r="D407" t="inlineStr">
        <is>
          <t>JÄMTLANDS LÄN</t>
        </is>
      </c>
      <c r="E407" t="inlineStr">
        <is>
          <t>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14224-2021</t>
        </is>
      </c>
      <c r="B408" s="1" t="n">
        <v>44277</v>
      </c>
      <c r="C408" s="1" t="n">
        <v>45849</v>
      </c>
      <c r="D408" t="inlineStr">
        <is>
          <t>JÄMTLANDS LÄN</t>
        </is>
      </c>
      <c r="E408" t="inlineStr">
        <is>
          <t>BERG</t>
        </is>
      </c>
      <c r="G408" t="n">
        <v>24.9</v>
      </c>
      <c r="H408" t="n">
        <v>0</v>
      </c>
      <c r="I408" t="n">
        <v>0</v>
      </c>
      <c r="J408" t="n">
        <v>0</v>
      </c>
      <c r="K408" t="n">
        <v>0</v>
      </c>
      <c r="L408" t="n">
        <v>0</v>
      </c>
      <c r="M408" t="n">
        <v>0</v>
      </c>
      <c r="N408" t="n">
        <v>0</v>
      </c>
      <c r="O408" t="n">
        <v>0</v>
      </c>
      <c r="P408" t="n">
        <v>0</v>
      </c>
      <c r="Q408" t="n">
        <v>0</v>
      </c>
      <c r="R408" s="2" t="inlineStr"/>
    </row>
    <row r="409" ht="15" customHeight="1">
      <c r="A409" t="inlineStr">
        <is>
          <t>A 14325-2021</t>
        </is>
      </c>
      <c r="B409" s="1" t="n">
        <v>44278</v>
      </c>
      <c r="C409" s="1" t="n">
        <v>45849</v>
      </c>
      <c r="D409" t="inlineStr">
        <is>
          <t>JÄMTLANDS LÄN</t>
        </is>
      </c>
      <c r="E409" t="inlineStr">
        <is>
          <t>BERG</t>
        </is>
      </c>
      <c r="G409" t="n">
        <v>27.3</v>
      </c>
      <c r="H409" t="n">
        <v>0</v>
      </c>
      <c r="I409" t="n">
        <v>0</v>
      </c>
      <c r="J409" t="n">
        <v>0</v>
      </c>
      <c r="K409" t="n">
        <v>0</v>
      </c>
      <c r="L409" t="n">
        <v>0</v>
      </c>
      <c r="M409" t="n">
        <v>0</v>
      </c>
      <c r="N409" t="n">
        <v>0</v>
      </c>
      <c r="O409" t="n">
        <v>0</v>
      </c>
      <c r="P409" t="n">
        <v>0</v>
      </c>
      <c r="Q409" t="n">
        <v>0</v>
      </c>
      <c r="R409" s="2" t="inlineStr"/>
    </row>
    <row r="410" ht="15" customHeight="1">
      <c r="A410" t="inlineStr">
        <is>
          <t>A 14772-2021</t>
        </is>
      </c>
      <c r="B410" s="1" t="n">
        <v>44280</v>
      </c>
      <c r="C410" s="1" t="n">
        <v>45849</v>
      </c>
      <c r="D410" t="inlineStr">
        <is>
          <t>JÄMTLANDS LÄN</t>
        </is>
      </c>
      <c r="E410" t="inlineStr">
        <is>
          <t>BERG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15277-2021</t>
        </is>
      </c>
      <c r="B411" s="1" t="n">
        <v>44284</v>
      </c>
      <c r="C411" s="1" t="n">
        <v>45849</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15785-2021</t>
        </is>
      </c>
      <c r="B412" s="1" t="n">
        <v>44286</v>
      </c>
      <c r="C412" s="1" t="n">
        <v>45849</v>
      </c>
      <c r="D412" t="inlineStr">
        <is>
          <t>JÄMTLANDS LÄN</t>
        </is>
      </c>
      <c r="E412" t="inlineStr">
        <is>
          <t>BERG</t>
        </is>
      </c>
      <c r="G412" t="n">
        <v>3.2</v>
      </c>
      <c r="H412" t="n">
        <v>0</v>
      </c>
      <c r="I412" t="n">
        <v>0</v>
      </c>
      <c r="J412" t="n">
        <v>0</v>
      </c>
      <c r="K412" t="n">
        <v>0</v>
      </c>
      <c r="L412" t="n">
        <v>0</v>
      </c>
      <c r="M412" t="n">
        <v>0</v>
      </c>
      <c r="N412" t="n">
        <v>0</v>
      </c>
      <c r="O412" t="n">
        <v>0</v>
      </c>
      <c r="P412" t="n">
        <v>0</v>
      </c>
      <c r="Q412" t="n">
        <v>0</v>
      </c>
      <c r="R412" s="2" t="inlineStr"/>
    </row>
    <row r="413" ht="15" customHeight="1">
      <c r="A413" t="inlineStr">
        <is>
          <t>A 16819-2021</t>
        </is>
      </c>
      <c r="B413" s="1" t="n">
        <v>44293</v>
      </c>
      <c r="C413" s="1" t="n">
        <v>45849</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16822-2021</t>
        </is>
      </c>
      <c r="B414" s="1" t="n">
        <v>44293</v>
      </c>
      <c r="C414" s="1" t="n">
        <v>45849</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16831-2021</t>
        </is>
      </c>
      <c r="B415" s="1" t="n">
        <v>44293</v>
      </c>
      <c r="C415" s="1" t="n">
        <v>45849</v>
      </c>
      <c r="D415" t="inlineStr">
        <is>
          <t>JÄMTLANDS LÄN</t>
        </is>
      </c>
      <c r="E415" t="inlineStr">
        <is>
          <t>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16828-2021</t>
        </is>
      </c>
      <c r="B416" s="1" t="n">
        <v>44293</v>
      </c>
      <c r="C416" s="1" t="n">
        <v>45849</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16825-2021</t>
        </is>
      </c>
      <c r="B417" s="1" t="n">
        <v>44293</v>
      </c>
      <c r="C417" s="1" t="n">
        <v>45849</v>
      </c>
      <c r="D417" t="inlineStr">
        <is>
          <t>JÄMTLANDS LÄN</t>
        </is>
      </c>
      <c r="E417" t="inlineStr">
        <is>
          <t>BERG</t>
        </is>
      </c>
      <c r="G417" t="n">
        <v>20</v>
      </c>
      <c r="H417" t="n">
        <v>0</v>
      </c>
      <c r="I417" t="n">
        <v>0</v>
      </c>
      <c r="J417" t="n">
        <v>0</v>
      </c>
      <c r="K417" t="n">
        <v>0</v>
      </c>
      <c r="L417" t="n">
        <v>0</v>
      </c>
      <c r="M417" t="n">
        <v>0</v>
      </c>
      <c r="N417" t="n">
        <v>0</v>
      </c>
      <c r="O417" t="n">
        <v>0</v>
      </c>
      <c r="P417" t="n">
        <v>0</v>
      </c>
      <c r="Q417" t="n">
        <v>0</v>
      </c>
      <c r="R417" s="2" t="inlineStr"/>
    </row>
    <row r="418" ht="15" customHeight="1">
      <c r="A418" t="inlineStr">
        <is>
          <t>A 18569-2021</t>
        </is>
      </c>
      <c r="B418" s="1" t="n">
        <v>44306</v>
      </c>
      <c r="C418" s="1" t="n">
        <v>45849</v>
      </c>
      <c r="D418" t="inlineStr">
        <is>
          <t>JÄMTLANDS LÄN</t>
        </is>
      </c>
      <c r="E418" t="inlineStr">
        <is>
          <t>BERG</t>
        </is>
      </c>
      <c r="G418" t="n">
        <v>0.7</v>
      </c>
      <c r="H418" t="n">
        <v>0</v>
      </c>
      <c r="I418" t="n">
        <v>0</v>
      </c>
      <c r="J418" t="n">
        <v>0</v>
      </c>
      <c r="K418" t="n">
        <v>0</v>
      </c>
      <c r="L418" t="n">
        <v>0</v>
      </c>
      <c r="M418" t="n">
        <v>0</v>
      </c>
      <c r="N418" t="n">
        <v>0</v>
      </c>
      <c r="O418" t="n">
        <v>0</v>
      </c>
      <c r="P418" t="n">
        <v>0</v>
      </c>
      <c r="Q418" t="n">
        <v>0</v>
      </c>
      <c r="R418" s="2" t="inlineStr"/>
    </row>
    <row r="419" ht="15" customHeight="1">
      <c r="A419" t="inlineStr">
        <is>
          <t>A 18567-2021</t>
        </is>
      </c>
      <c r="B419" s="1" t="n">
        <v>44306</v>
      </c>
      <c r="C419" s="1" t="n">
        <v>45849</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20179-2021</t>
        </is>
      </c>
      <c r="B420" s="1" t="n">
        <v>44314</v>
      </c>
      <c r="C420" s="1" t="n">
        <v>45849</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21629-2021</t>
        </is>
      </c>
      <c r="B421" s="1" t="n">
        <v>44321</v>
      </c>
      <c r="C421" s="1" t="n">
        <v>45849</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21841-2021</t>
        </is>
      </c>
      <c r="B422" s="1" t="n">
        <v>44322</v>
      </c>
      <c r="C422" s="1" t="n">
        <v>45849</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21836-2021</t>
        </is>
      </c>
      <c r="B423" s="1" t="n">
        <v>44322</v>
      </c>
      <c r="C423" s="1" t="n">
        <v>45849</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24136-2021</t>
        </is>
      </c>
      <c r="B424" s="1" t="n">
        <v>44336</v>
      </c>
      <c r="C424" s="1" t="n">
        <v>45849</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24843-2021</t>
        </is>
      </c>
      <c r="B425" s="1" t="n">
        <v>44340</v>
      </c>
      <c r="C425" s="1" t="n">
        <v>45849</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26721-2021</t>
        </is>
      </c>
      <c r="B426" s="1" t="n">
        <v>44349</v>
      </c>
      <c r="C426" s="1" t="n">
        <v>45849</v>
      </c>
      <c r="D426" t="inlineStr">
        <is>
          <t>JÄMTLANDS LÄN</t>
        </is>
      </c>
      <c r="E426" t="inlineStr">
        <is>
          <t>BERG</t>
        </is>
      </c>
      <c r="G426" t="n">
        <v>10.7</v>
      </c>
      <c r="H426" t="n">
        <v>0</v>
      </c>
      <c r="I426" t="n">
        <v>0</v>
      </c>
      <c r="J426" t="n">
        <v>0</v>
      </c>
      <c r="K426" t="n">
        <v>0</v>
      </c>
      <c r="L426" t="n">
        <v>0</v>
      </c>
      <c r="M426" t="n">
        <v>0</v>
      </c>
      <c r="N426" t="n">
        <v>0</v>
      </c>
      <c r="O426" t="n">
        <v>0</v>
      </c>
      <c r="P426" t="n">
        <v>0</v>
      </c>
      <c r="Q426" t="n">
        <v>0</v>
      </c>
      <c r="R426" s="2" t="inlineStr"/>
    </row>
    <row r="427" ht="15" customHeight="1">
      <c r="A427" t="inlineStr">
        <is>
          <t>A 26973-2021</t>
        </is>
      </c>
      <c r="B427" s="1" t="n">
        <v>44349</v>
      </c>
      <c r="C427" s="1" t="n">
        <v>45849</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27144-2021</t>
        </is>
      </c>
      <c r="B428" s="1" t="n">
        <v>44350</v>
      </c>
      <c r="C428" s="1" t="n">
        <v>45849</v>
      </c>
      <c r="D428" t="inlineStr">
        <is>
          <t>JÄMTLANDS LÄN</t>
        </is>
      </c>
      <c r="E428" t="inlineStr">
        <is>
          <t>BERG</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27395-2021</t>
        </is>
      </c>
      <c r="B429" s="1" t="n">
        <v>44350</v>
      </c>
      <c r="C429" s="1" t="n">
        <v>45849</v>
      </c>
      <c r="D429" t="inlineStr">
        <is>
          <t>JÄMTLANDS LÄN</t>
        </is>
      </c>
      <c r="E429" t="inlineStr">
        <is>
          <t>BERG</t>
        </is>
      </c>
      <c r="G429" t="n">
        <v>4.4</v>
      </c>
      <c r="H429" t="n">
        <v>0</v>
      </c>
      <c r="I429" t="n">
        <v>0</v>
      </c>
      <c r="J429" t="n">
        <v>0</v>
      </c>
      <c r="K429" t="n">
        <v>0</v>
      </c>
      <c r="L429" t="n">
        <v>0</v>
      </c>
      <c r="M429" t="n">
        <v>0</v>
      </c>
      <c r="N429" t="n">
        <v>0</v>
      </c>
      <c r="O429" t="n">
        <v>0</v>
      </c>
      <c r="P429" t="n">
        <v>0</v>
      </c>
      <c r="Q429" t="n">
        <v>0</v>
      </c>
      <c r="R429" s="2" t="inlineStr"/>
    </row>
    <row r="430" ht="15" customHeight="1">
      <c r="A430" t="inlineStr">
        <is>
          <t>A 27772-2021</t>
        </is>
      </c>
      <c r="B430" s="1" t="n">
        <v>44354</v>
      </c>
      <c r="C430" s="1" t="n">
        <v>45849</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28883-2021</t>
        </is>
      </c>
      <c r="B431" s="1" t="n">
        <v>44357</v>
      </c>
      <c r="C431" s="1" t="n">
        <v>45849</v>
      </c>
      <c r="D431" t="inlineStr">
        <is>
          <t>JÄMTLANDS LÄN</t>
        </is>
      </c>
      <c r="E431" t="inlineStr">
        <is>
          <t>BERG</t>
        </is>
      </c>
      <c r="F431" t="inlineStr">
        <is>
          <t>Kyrkan</t>
        </is>
      </c>
      <c r="G431" t="n">
        <v>7.3</v>
      </c>
      <c r="H431" t="n">
        <v>0</v>
      </c>
      <c r="I431" t="n">
        <v>0</v>
      </c>
      <c r="J431" t="n">
        <v>0</v>
      </c>
      <c r="K431" t="n">
        <v>0</v>
      </c>
      <c r="L431" t="n">
        <v>0</v>
      </c>
      <c r="M431" t="n">
        <v>0</v>
      </c>
      <c r="N431" t="n">
        <v>0</v>
      </c>
      <c r="O431" t="n">
        <v>0</v>
      </c>
      <c r="P431" t="n">
        <v>0</v>
      </c>
      <c r="Q431" t="n">
        <v>0</v>
      </c>
      <c r="R431" s="2" t="inlineStr"/>
    </row>
    <row r="432" ht="15" customHeight="1">
      <c r="A432" t="inlineStr">
        <is>
          <t>A 29019-2021</t>
        </is>
      </c>
      <c r="B432" s="1" t="n">
        <v>44358</v>
      </c>
      <c r="C432" s="1" t="n">
        <v>45849</v>
      </c>
      <c r="D432" t="inlineStr">
        <is>
          <t>JÄMTLANDS LÄN</t>
        </is>
      </c>
      <c r="E432" t="inlineStr">
        <is>
          <t>BERG</t>
        </is>
      </c>
      <c r="F432" t="inlineStr">
        <is>
          <t>Sveaskog</t>
        </is>
      </c>
      <c r="G432" t="n">
        <v>27.1</v>
      </c>
      <c r="H432" t="n">
        <v>0</v>
      </c>
      <c r="I432" t="n">
        <v>0</v>
      </c>
      <c r="J432" t="n">
        <v>0</v>
      </c>
      <c r="K432" t="n">
        <v>0</v>
      </c>
      <c r="L432" t="n">
        <v>0</v>
      </c>
      <c r="M432" t="n">
        <v>0</v>
      </c>
      <c r="N432" t="n">
        <v>0</v>
      </c>
      <c r="O432" t="n">
        <v>0</v>
      </c>
      <c r="P432" t="n">
        <v>0</v>
      </c>
      <c r="Q432" t="n">
        <v>0</v>
      </c>
      <c r="R432" s="2" t="inlineStr"/>
    </row>
    <row r="433" ht="15" customHeight="1">
      <c r="A433" t="inlineStr">
        <is>
          <t>A 29511-2021</t>
        </is>
      </c>
      <c r="B433" s="1" t="n">
        <v>44361</v>
      </c>
      <c r="C433" s="1" t="n">
        <v>45849</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33878-2021</t>
        </is>
      </c>
      <c r="B434" s="1" t="n">
        <v>44378</v>
      </c>
      <c r="C434" s="1" t="n">
        <v>45849</v>
      </c>
      <c r="D434" t="inlineStr">
        <is>
          <t>JÄMTLANDS LÄN</t>
        </is>
      </c>
      <c r="E434" t="inlineStr">
        <is>
          <t>BERG</t>
        </is>
      </c>
      <c r="G434" t="n">
        <v>6.6</v>
      </c>
      <c r="H434" t="n">
        <v>0</v>
      </c>
      <c r="I434" t="n">
        <v>0</v>
      </c>
      <c r="J434" t="n">
        <v>0</v>
      </c>
      <c r="K434" t="n">
        <v>0</v>
      </c>
      <c r="L434" t="n">
        <v>0</v>
      </c>
      <c r="M434" t="n">
        <v>0</v>
      </c>
      <c r="N434" t="n">
        <v>0</v>
      </c>
      <c r="O434" t="n">
        <v>0</v>
      </c>
      <c r="P434" t="n">
        <v>0</v>
      </c>
      <c r="Q434" t="n">
        <v>0</v>
      </c>
      <c r="R434" s="2" t="inlineStr"/>
    </row>
    <row r="435" ht="15" customHeight="1">
      <c r="A435" t="inlineStr">
        <is>
          <t>A 35308-2021</t>
        </is>
      </c>
      <c r="B435" s="1" t="n">
        <v>44384</v>
      </c>
      <c r="C435" s="1" t="n">
        <v>45849</v>
      </c>
      <c r="D435" t="inlineStr">
        <is>
          <t>JÄMTLANDS LÄN</t>
        </is>
      </c>
      <c r="E435" t="inlineStr">
        <is>
          <t>BERG</t>
        </is>
      </c>
      <c r="G435" t="n">
        <v>2.9</v>
      </c>
      <c r="H435" t="n">
        <v>0</v>
      </c>
      <c r="I435" t="n">
        <v>0</v>
      </c>
      <c r="J435" t="n">
        <v>0</v>
      </c>
      <c r="K435" t="n">
        <v>0</v>
      </c>
      <c r="L435" t="n">
        <v>0</v>
      </c>
      <c r="M435" t="n">
        <v>0</v>
      </c>
      <c r="N435" t="n">
        <v>0</v>
      </c>
      <c r="O435" t="n">
        <v>0</v>
      </c>
      <c r="P435" t="n">
        <v>0</v>
      </c>
      <c r="Q435" t="n">
        <v>0</v>
      </c>
      <c r="R435" s="2" t="inlineStr"/>
      <c r="U435">
        <f>HYPERLINK("https://klasma.github.io/Logging_2326/knärot/A 35308-2021 karta knärot.png", "A 35308-2021")</f>
        <v/>
      </c>
      <c r="V435">
        <f>HYPERLINK("https://klasma.github.io/Logging_2326/klagomål/A 35308-2021 FSC-klagomål.docx", "A 35308-2021")</f>
        <v/>
      </c>
      <c r="W435">
        <f>HYPERLINK("https://klasma.github.io/Logging_2326/klagomålsmail/A 35308-2021 FSC-klagomål mail.docx", "A 35308-2021")</f>
        <v/>
      </c>
      <c r="X435">
        <f>HYPERLINK("https://klasma.github.io/Logging_2326/tillsyn/A 35308-2021 tillsynsbegäran.docx", "A 35308-2021")</f>
        <v/>
      </c>
      <c r="Y435">
        <f>HYPERLINK("https://klasma.github.io/Logging_2326/tillsynsmail/A 35308-2021 tillsynsbegäran mail.docx", "A 35308-2021")</f>
        <v/>
      </c>
    </row>
    <row r="436" ht="15" customHeight="1">
      <c r="A436" t="inlineStr">
        <is>
          <t>A 35867-2021</t>
        </is>
      </c>
      <c r="B436" s="1" t="n">
        <v>44387</v>
      </c>
      <c r="C436" s="1" t="n">
        <v>45849</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36031-2021</t>
        </is>
      </c>
      <c r="B437" s="1" t="n">
        <v>44389</v>
      </c>
      <c r="C437" s="1" t="n">
        <v>45849</v>
      </c>
      <c r="D437" t="inlineStr">
        <is>
          <t>JÄMTLANDS LÄN</t>
        </is>
      </c>
      <c r="E437" t="inlineStr">
        <is>
          <t>BERG</t>
        </is>
      </c>
      <c r="G437" t="n">
        <v>0.8</v>
      </c>
      <c r="H437" t="n">
        <v>0</v>
      </c>
      <c r="I437" t="n">
        <v>0</v>
      </c>
      <c r="J437" t="n">
        <v>0</v>
      </c>
      <c r="K437" t="n">
        <v>0</v>
      </c>
      <c r="L437" t="n">
        <v>0</v>
      </c>
      <c r="M437" t="n">
        <v>0</v>
      </c>
      <c r="N437" t="n">
        <v>0</v>
      </c>
      <c r="O437" t="n">
        <v>0</v>
      </c>
      <c r="P437" t="n">
        <v>0</v>
      </c>
      <c r="Q437" t="n">
        <v>0</v>
      </c>
      <c r="R437" s="2" t="inlineStr"/>
    </row>
    <row r="438" ht="15" customHeight="1">
      <c r="A438" t="inlineStr">
        <is>
          <t>A 36033-2021</t>
        </is>
      </c>
      <c r="B438" s="1" t="n">
        <v>44389</v>
      </c>
      <c r="C438" s="1" t="n">
        <v>45849</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36720-2021</t>
        </is>
      </c>
      <c r="B439" s="1" t="n">
        <v>44392</v>
      </c>
      <c r="C439" s="1" t="n">
        <v>45849</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37591-2021</t>
        </is>
      </c>
      <c r="B440" s="1" t="n">
        <v>44399</v>
      </c>
      <c r="C440" s="1" t="n">
        <v>45849</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37586-2021</t>
        </is>
      </c>
      <c r="B441" s="1" t="n">
        <v>44399</v>
      </c>
      <c r="C441" s="1" t="n">
        <v>45849</v>
      </c>
      <c r="D441" t="inlineStr">
        <is>
          <t>JÄMTLANDS LÄN</t>
        </is>
      </c>
      <c r="E441" t="inlineStr">
        <is>
          <t>BERG</t>
        </is>
      </c>
      <c r="G441" t="n">
        <v>15.4</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45849</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37588-2021</t>
        </is>
      </c>
      <c r="B443" s="1" t="n">
        <v>44399</v>
      </c>
      <c r="C443" s="1" t="n">
        <v>45849</v>
      </c>
      <c r="D443" t="inlineStr">
        <is>
          <t>JÄMTLANDS LÄN</t>
        </is>
      </c>
      <c r="E443" t="inlineStr">
        <is>
          <t>BERG</t>
        </is>
      </c>
      <c r="G443" t="n">
        <v>4</v>
      </c>
      <c r="H443" t="n">
        <v>0</v>
      </c>
      <c r="I443" t="n">
        <v>0</v>
      </c>
      <c r="J443" t="n">
        <v>0</v>
      </c>
      <c r="K443" t="n">
        <v>0</v>
      </c>
      <c r="L443" t="n">
        <v>0</v>
      </c>
      <c r="M443" t="n">
        <v>0</v>
      </c>
      <c r="N443" t="n">
        <v>0</v>
      </c>
      <c r="O443" t="n">
        <v>0</v>
      </c>
      <c r="P443" t="n">
        <v>0</v>
      </c>
      <c r="Q443" t="n">
        <v>0</v>
      </c>
      <c r="R443" s="2" t="inlineStr"/>
    </row>
    <row r="444" ht="15" customHeight="1">
      <c r="A444" t="inlineStr">
        <is>
          <t>A 37687-2021</t>
        </is>
      </c>
      <c r="B444" s="1" t="n">
        <v>44400</v>
      </c>
      <c r="C444" s="1" t="n">
        <v>45849</v>
      </c>
      <c r="D444" t="inlineStr">
        <is>
          <t>JÄMTLANDS LÄN</t>
        </is>
      </c>
      <c r="E444" t="inlineStr">
        <is>
          <t>BERG</t>
        </is>
      </c>
      <c r="F444" t="inlineStr">
        <is>
          <t>Sveaskog</t>
        </is>
      </c>
      <c r="G444" t="n">
        <v>15.7</v>
      </c>
      <c r="H444" t="n">
        <v>0</v>
      </c>
      <c r="I444" t="n">
        <v>0</v>
      </c>
      <c r="J444" t="n">
        <v>0</v>
      </c>
      <c r="K444" t="n">
        <v>0</v>
      </c>
      <c r="L444" t="n">
        <v>0</v>
      </c>
      <c r="M444" t="n">
        <v>0</v>
      </c>
      <c r="N444" t="n">
        <v>0</v>
      </c>
      <c r="O444" t="n">
        <v>0</v>
      </c>
      <c r="P444" t="n">
        <v>0</v>
      </c>
      <c r="Q444" t="n">
        <v>0</v>
      </c>
      <c r="R444" s="2" t="inlineStr"/>
    </row>
    <row r="445" ht="15" customHeight="1">
      <c r="A445" t="inlineStr">
        <is>
          <t>A 39943-2021</t>
        </is>
      </c>
      <c r="B445" s="1" t="n">
        <v>44417</v>
      </c>
      <c r="C445" s="1" t="n">
        <v>45849</v>
      </c>
      <c r="D445" t="inlineStr">
        <is>
          <t>JÄMTLANDS LÄN</t>
        </is>
      </c>
      <c r="E445" t="inlineStr">
        <is>
          <t>BERG</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44088-2021</t>
        </is>
      </c>
      <c r="B446" s="1" t="n">
        <v>44434</v>
      </c>
      <c r="C446" s="1" t="n">
        <v>45849</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44911-2021</t>
        </is>
      </c>
      <c r="B447" s="1" t="n">
        <v>44435</v>
      </c>
      <c r="C447" s="1" t="n">
        <v>45849</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44997-2021</t>
        </is>
      </c>
      <c r="B448" s="1" t="n">
        <v>44438</v>
      </c>
      <c r="C448" s="1" t="n">
        <v>45849</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45349-2021</t>
        </is>
      </c>
      <c r="B449" s="1" t="n">
        <v>44440</v>
      </c>
      <c r="C449" s="1" t="n">
        <v>45849</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46115-2021</t>
        </is>
      </c>
      <c r="B450" s="1" t="n">
        <v>44441</v>
      </c>
      <c r="C450" s="1" t="n">
        <v>45849</v>
      </c>
      <c r="D450" t="inlineStr">
        <is>
          <t>JÄMTLANDS LÄN</t>
        </is>
      </c>
      <c r="E450" t="inlineStr">
        <is>
          <t>BERG</t>
        </is>
      </c>
      <c r="G450" t="n">
        <v>15.1</v>
      </c>
      <c r="H450" t="n">
        <v>0</v>
      </c>
      <c r="I450" t="n">
        <v>0</v>
      </c>
      <c r="J450" t="n">
        <v>0</v>
      </c>
      <c r="K450" t="n">
        <v>0</v>
      </c>
      <c r="L450" t="n">
        <v>0</v>
      </c>
      <c r="M450" t="n">
        <v>0</v>
      </c>
      <c r="N450" t="n">
        <v>0</v>
      </c>
      <c r="O450" t="n">
        <v>0</v>
      </c>
      <c r="P450" t="n">
        <v>0</v>
      </c>
      <c r="Q450" t="n">
        <v>0</v>
      </c>
      <c r="R450" s="2" t="inlineStr"/>
    </row>
    <row r="451" ht="15" customHeight="1">
      <c r="A451" t="inlineStr">
        <is>
          <t>A 46515-2021</t>
        </is>
      </c>
      <c r="B451" s="1" t="n">
        <v>44445</v>
      </c>
      <c r="C451" s="1" t="n">
        <v>45849</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46853-2021</t>
        </is>
      </c>
      <c r="B452" s="1" t="n">
        <v>44446</v>
      </c>
      <c r="C452" s="1" t="n">
        <v>45849</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46937-2021</t>
        </is>
      </c>
      <c r="B453" s="1" t="n">
        <v>44446</v>
      </c>
      <c r="C453" s="1" t="n">
        <v>45849</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50453-2021</t>
        </is>
      </c>
      <c r="B454" s="1" t="n">
        <v>44455</v>
      </c>
      <c r="C454" s="1" t="n">
        <v>45849</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50780-2021</t>
        </is>
      </c>
      <c r="B455" s="1" t="n">
        <v>44459</v>
      </c>
      <c r="C455" s="1" t="n">
        <v>45849</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45849</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54766-2021</t>
        </is>
      </c>
      <c r="B457" s="1" t="n">
        <v>44473</v>
      </c>
      <c r="C457" s="1" t="n">
        <v>45849</v>
      </c>
      <c r="D457" t="inlineStr">
        <is>
          <t>JÄMTLANDS LÄN</t>
        </is>
      </c>
      <c r="E457" t="inlineStr">
        <is>
          <t>BERG</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54799-2021</t>
        </is>
      </c>
      <c r="B458" s="1" t="n">
        <v>44473</v>
      </c>
      <c r="C458" s="1" t="n">
        <v>45849</v>
      </c>
      <c r="D458" t="inlineStr">
        <is>
          <t>JÄMTLANDS LÄN</t>
        </is>
      </c>
      <c r="E458" t="inlineStr">
        <is>
          <t>BERG</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56220-2021</t>
        </is>
      </c>
      <c r="B459" s="1" t="n">
        <v>44477</v>
      </c>
      <c r="C459" s="1" t="n">
        <v>45849</v>
      </c>
      <c r="D459" t="inlineStr">
        <is>
          <t>JÄMTLANDS LÄN</t>
        </is>
      </c>
      <c r="E459" t="inlineStr">
        <is>
          <t>BERG</t>
        </is>
      </c>
      <c r="F459" t="inlineStr">
        <is>
          <t>SCA</t>
        </is>
      </c>
      <c r="G459" t="n">
        <v>12.8</v>
      </c>
      <c r="H459" t="n">
        <v>0</v>
      </c>
      <c r="I459" t="n">
        <v>0</v>
      </c>
      <c r="J459" t="n">
        <v>0</v>
      </c>
      <c r="K459" t="n">
        <v>0</v>
      </c>
      <c r="L459" t="n">
        <v>0</v>
      </c>
      <c r="M459" t="n">
        <v>0</v>
      </c>
      <c r="N459" t="n">
        <v>0</v>
      </c>
      <c r="O459" t="n">
        <v>0</v>
      </c>
      <c r="P459" t="n">
        <v>0</v>
      </c>
      <c r="Q459" t="n">
        <v>0</v>
      </c>
      <c r="R459" s="2" t="inlineStr"/>
    </row>
    <row r="460" ht="15" customHeight="1">
      <c r="A460" t="inlineStr">
        <is>
          <t>A 57949-2021</t>
        </is>
      </c>
      <c r="B460" s="1" t="n">
        <v>44487</v>
      </c>
      <c r="C460" s="1" t="n">
        <v>45849</v>
      </c>
      <c r="D460" t="inlineStr">
        <is>
          <t>JÄMTLANDS LÄN</t>
        </is>
      </c>
      <c r="E460" t="inlineStr">
        <is>
          <t>BERG</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58088-2021</t>
        </is>
      </c>
      <c r="B461" s="1" t="n">
        <v>44487</v>
      </c>
      <c r="C461" s="1" t="n">
        <v>45849</v>
      </c>
      <c r="D461" t="inlineStr">
        <is>
          <t>JÄMTLANDS LÄN</t>
        </is>
      </c>
      <c r="E461" t="inlineStr">
        <is>
          <t>BERG</t>
        </is>
      </c>
      <c r="F461" t="inlineStr">
        <is>
          <t>Sveaskog</t>
        </is>
      </c>
      <c r="G461" t="n">
        <v>10.7</v>
      </c>
      <c r="H461" t="n">
        <v>0</v>
      </c>
      <c r="I461" t="n">
        <v>0</v>
      </c>
      <c r="J461" t="n">
        <v>0</v>
      </c>
      <c r="K461" t="n">
        <v>0</v>
      </c>
      <c r="L461" t="n">
        <v>0</v>
      </c>
      <c r="M461" t="n">
        <v>0</v>
      </c>
      <c r="N461" t="n">
        <v>0</v>
      </c>
      <c r="O461" t="n">
        <v>0</v>
      </c>
      <c r="P461" t="n">
        <v>0</v>
      </c>
      <c r="Q461" t="n">
        <v>0</v>
      </c>
      <c r="R461" s="2" t="inlineStr"/>
    </row>
    <row r="462" ht="15" customHeight="1">
      <c r="A462" t="inlineStr">
        <is>
          <t>A 58157-2021</t>
        </is>
      </c>
      <c r="B462" s="1" t="n">
        <v>44487</v>
      </c>
      <c r="C462" s="1" t="n">
        <v>45849</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58151-2021</t>
        </is>
      </c>
      <c r="B463" s="1" t="n">
        <v>44487</v>
      </c>
      <c r="C463" s="1" t="n">
        <v>45849</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59245-2021</t>
        </is>
      </c>
      <c r="B464" s="1" t="n">
        <v>44490</v>
      </c>
      <c r="C464" s="1" t="n">
        <v>45849</v>
      </c>
      <c r="D464" t="inlineStr">
        <is>
          <t>JÄMTLANDS LÄN</t>
        </is>
      </c>
      <c r="E464" t="inlineStr">
        <is>
          <t>BERG</t>
        </is>
      </c>
      <c r="G464" t="n">
        <v>15.8</v>
      </c>
      <c r="H464" t="n">
        <v>0</v>
      </c>
      <c r="I464" t="n">
        <v>0</v>
      </c>
      <c r="J464" t="n">
        <v>0</v>
      </c>
      <c r="K464" t="n">
        <v>0</v>
      </c>
      <c r="L464" t="n">
        <v>0</v>
      </c>
      <c r="M464" t="n">
        <v>0</v>
      </c>
      <c r="N464" t="n">
        <v>0</v>
      </c>
      <c r="O464" t="n">
        <v>0</v>
      </c>
      <c r="P464" t="n">
        <v>0</v>
      </c>
      <c r="Q464" t="n">
        <v>0</v>
      </c>
      <c r="R464" s="2" t="inlineStr"/>
    </row>
    <row r="465" ht="15" customHeight="1">
      <c r="A465" t="inlineStr">
        <is>
          <t>A 64709-2021</t>
        </is>
      </c>
      <c r="B465" s="1" t="n">
        <v>44512</v>
      </c>
      <c r="C465" s="1" t="n">
        <v>45849</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68441-2021</t>
        </is>
      </c>
      <c r="B466" s="1" t="n">
        <v>44529</v>
      </c>
      <c r="C466" s="1" t="n">
        <v>45849</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68450-2021</t>
        </is>
      </c>
      <c r="B467" s="1" t="n">
        <v>44529</v>
      </c>
      <c r="C467" s="1" t="n">
        <v>45849</v>
      </c>
      <c r="D467" t="inlineStr">
        <is>
          <t>JÄMTLANDS LÄN</t>
        </is>
      </c>
      <c r="E467" t="inlineStr">
        <is>
          <t>BERG</t>
        </is>
      </c>
      <c r="G467" t="n">
        <v>7.3</v>
      </c>
      <c r="H467" t="n">
        <v>0</v>
      </c>
      <c r="I467" t="n">
        <v>0</v>
      </c>
      <c r="J467" t="n">
        <v>0</v>
      </c>
      <c r="K467" t="n">
        <v>0</v>
      </c>
      <c r="L467" t="n">
        <v>0</v>
      </c>
      <c r="M467" t="n">
        <v>0</v>
      </c>
      <c r="N467" t="n">
        <v>0</v>
      </c>
      <c r="O467" t="n">
        <v>0</v>
      </c>
      <c r="P467" t="n">
        <v>0</v>
      </c>
      <c r="Q467" t="n">
        <v>0</v>
      </c>
      <c r="R467" s="2" t="inlineStr"/>
    </row>
    <row r="468" ht="15" customHeight="1">
      <c r="A468" t="inlineStr">
        <is>
          <t>A 68468-2021</t>
        </is>
      </c>
      <c r="B468" s="1" t="n">
        <v>44529</v>
      </c>
      <c r="C468" s="1" t="n">
        <v>45849</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68483-2021</t>
        </is>
      </c>
      <c r="B469" s="1" t="n">
        <v>44529</v>
      </c>
      <c r="C469" s="1" t="n">
        <v>45849</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68854-2021</t>
        </is>
      </c>
      <c r="B470" s="1" t="n">
        <v>44530</v>
      </c>
      <c r="C470" s="1" t="n">
        <v>45849</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70463-2021</t>
        </is>
      </c>
      <c r="B471" s="1" t="n">
        <v>44536</v>
      </c>
      <c r="C471" s="1" t="n">
        <v>45849</v>
      </c>
      <c r="D471" t="inlineStr">
        <is>
          <t>JÄMTLANDS LÄN</t>
        </is>
      </c>
      <c r="E471" t="inlineStr">
        <is>
          <t>BERG</t>
        </is>
      </c>
      <c r="G471" t="n">
        <v>10.8</v>
      </c>
      <c r="H471" t="n">
        <v>0</v>
      </c>
      <c r="I471" t="n">
        <v>0</v>
      </c>
      <c r="J471" t="n">
        <v>0</v>
      </c>
      <c r="K471" t="n">
        <v>0</v>
      </c>
      <c r="L471" t="n">
        <v>0</v>
      </c>
      <c r="M471" t="n">
        <v>0</v>
      </c>
      <c r="N471" t="n">
        <v>0</v>
      </c>
      <c r="O471" t="n">
        <v>0</v>
      </c>
      <c r="P471" t="n">
        <v>0</v>
      </c>
      <c r="Q471" t="n">
        <v>0</v>
      </c>
      <c r="R471" s="2" t="inlineStr"/>
    </row>
    <row r="472" ht="15" customHeight="1">
      <c r="A472" t="inlineStr">
        <is>
          <t>A 70570-2021</t>
        </is>
      </c>
      <c r="B472" s="1" t="n">
        <v>44536</v>
      </c>
      <c r="C472" s="1" t="n">
        <v>45849</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70468-2021</t>
        </is>
      </c>
      <c r="B473" s="1" t="n">
        <v>44536</v>
      </c>
      <c r="C473" s="1" t="n">
        <v>45849</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71525-2021</t>
        </is>
      </c>
      <c r="B474" s="1" t="n">
        <v>44540</v>
      </c>
      <c r="C474" s="1" t="n">
        <v>45849</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72265-2021</t>
        </is>
      </c>
      <c r="B475" s="1" t="n">
        <v>44543</v>
      </c>
      <c r="C475" s="1" t="n">
        <v>45849</v>
      </c>
      <c r="D475" t="inlineStr">
        <is>
          <t>JÄMTLANDS LÄN</t>
        </is>
      </c>
      <c r="E475" t="inlineStr">
        <is>
          <t>BERG</t>
        </is>
      </c>
      <c r="G475" t="n">
        <v>9.9</v>
      </c>
      <c r="H475" t="n">
        <v>0</v>
      </c>
      <c r="I475" t="n">
        <v>0</v>
      </c>
      <c r="J475" t="n">
        <v>0</v>
      </c>
      <c r="K475" t="n">
        <v>0</v>
      </c>
      <c r="L475" t="n">
        <v>0</v>
      </c>
      <c r="M475" t="n">
        <v>0</v>
      </c>
      <c r="N475" t="n">
        <v>0</v>
      </c>
      <c r="O475" t="n">
        <v>0</v>
      </c>
      <c r="P475" t="n">
        <v>0</v>
      </c>
      <c r="Q475" t="n">
        <v>0</v>
      </c>
      <c r="R475" s="2" t="inlineStr"/>
    </row>
    <row r="476" ht="15" customHeight="1">
      <c r="A476" t="inlineStr">
        <is>
          <t>A 72264-2021</t>
        </is>
      </c>
      <c r="B476" s="1" t="n">
        <v>44543</v>
      </c>
      <c r="C476" s="1" t="n">
        <v>45849</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72498-2021</t>
        </is>
      </c>
      <c r="B477" s="1" t="n">
        <v>44545</v>
      </c>
      <c r="C477" s="1" t="n">
        <v>45849</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72926-2021</t>
        </is>
      </c>
      <c r="B478" s="1" t="n">
        <v>44546</v>
      </c>
      <c r="C478" s="1" t="n">
        <v>45849</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73586-2021</t>
        </is>
      </c>
      <c r="B479" s="1" t="n">
        <v>44551</v>
      </c>
      <c r="C479" s="1" t="n">
        <v>45849</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164-2022</t>
        </is>
      </c>
      <c r="B480" s="1" t="n">
        <v>44564</v>
      </c>
      <c r="C480" s="1" t="n">
        <v>45849</v>
      </c>
      <c r="D480" t="inlineStr">
        <is>
          <t>JÄMTLANDS LÄN</t>
        </is>
      </c>
      <c r="E480" t="inlineStr">
        <is>
          <t>BERG</t>
        </is>
      </c>
      <c r="G480" t="n">
        <v>12.4</v>
      </c>
      <c r="H480" t="n">
        <v>0</v>
      </c>
      <c r="I480" t="n">
        <v>0</v>
      </c>
      <c r="J480" t="n">
        <v>0</v>
      </c>
      <c r="K480" t="n">
        <v>0</v>
      </c>
      <c r="L480" t="n">
        <v>0</v>
      </c>
      <c r="M480" t="n">
        <v>0</v>
      </c>
      <c r="N480" t="n">
        <v>0</v>
      </c>
      <c r="O480" t="n">
        <v>0</v>
      </c>
      <c r="P480" t="n">
        <v>0</v>
      </c>
      <c r="Q480" t="n">
        <v>0</v>
      </c>
      <c r="R480" s="2" t="inlineStr"/>
    </row>
    <row r="481" ht="15" customHeight="1">
      <c r="A481" t="inlineStr">
        <is>
          <t>A 171-2022</t>
        </is>
      </c>
      <c r="B481" s="1" t="n">
        <v>44564</v>
      </c>
      <c r="C481" s="1" t="n">
        <v>45849</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1344-2022</t>
        </is>
      </c>
      <c r="B482" s="1" t="n">
        <v>44572</v>
      </c>
      <c r="C482" s="1" t="n">
        <v>45849</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45849</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1559-2022</t>
        </is>
      </c>
      <c r="B484" s="1" t="n">
        <v>44573</v>
      </c>
      <c r="C484" s="1" t="n">
        <v>45849</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1983-2022</t>
        </is>
      </c>
      <c r="B485" s="1" t="n">
        <v>44575</v>
      </c>
      <c r="C485" s="1" t="n">
        <v>45849</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2002-2022</t>
        </is>
      </c>
      <c r="B486" s="1" t="n">
        <v>44575</v>
      </c>
      <c r="C486" s="1" t="n">
        <v>45849</v>
      </c>
      <c r="D486" t="inlineStr">
        <is>
          <t>JÄMTLANDS LÄN</t>
        </is>
      </c>
      <c r="E486" t="inlineStr">
        <is>
          <t>BERG</t>
        </is>
      </c>
      <c r="G486" t="n">
        <v>11.3</v>
      </c>
      <c r="H486" t="n">
        <v>0</v>
      </c>
      <c r="I486" t="n">
        <v>0</v>
      </c>
      <c r="J486" t="n">
        <v>0</v>
      </c>
      <c r="K486" t="n">
        <v>0</v>
      </c>
      <c r="L486" t="n">
        <v>0</v>
      </c>
      <c r="M486" t="n">
        <v>0</v>
      </c>
      <c r="N486" t="n">
        <v>0</v>
      </c>
      <c r="O486" t="n">
        <v>0</v>
      </c>
      <c r="P486" t="n">
        <v>0</v>
      </c>
      <c r="Q486" t="n">
        <v>0</v>
      </c>
      <c r="R486" s="2" t="inlineStr"/>
    </row>
    <row r="487" ht="15" customHeight="1">
      <c r="A487" t="inlineStr">
        <is>
          <t>A 2009-2022</t>
        </is>
      </c>
      <c r="B487" s="1" t="n">
        <v>44575</v>
      </c>
      <c r="C487" s="1" t="n">
        <v>45849</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2010-2022</t>
        </is>
      </c>
      <c r="B488" s="1" t="n">
        <v>44575</v>
      </c>
      <c r="C488" s="1" t="n">
        <v>45849</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1982-2022</t>
        </is>
      </c>
      <c r="B489" s="1" t="n">
        <v>44575</v>
      </c>
      <c r="C489" s="1" t="n">
        <v>45849</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2076-2022</t>
        </is>
      </c>
      <c r="B490" s="1" t="n">
        <v>44575</v>
      </c>
      <c r="C490" s="1" t="n">
        <v>45849</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2539-2022</t>
        </is>
      </c>
      <c r="B491" s="1" t="n">
        <v>44580</v>
      </c>
      <c r="C491" s="1" t="n">
        <v>45849</v>
      </c>
      <c r="D491" t="inlineStr">
        <is>
          <t>JÄMTLANDS LÄN</t>
        </is>
      </c>
      <c r="E491" t="inlineStr">
        <is>
          <t>BERG</t>
        </is>
      </c>
      <c r="G491" t="n">
        <v>6.3</v>
      </c>
      <c r="H491" t="n">
        <v>0</v>
      </c>
      <c r="I491" t="n">
        <v>0</v>
      </c>
      <c r="J491" t="n">
        <v>0</v>
      </c>
      <c r="K491" t="n">
        <v>0</v>
      </c>
      <c r="L491" t="n">
        <v>0</v>
      </c>
      <c r="M491" t="n">
        <v>0</v>
      </c>
      <c r="N491" t="n">
        <v>0</v>
      </c>
      <c r="O491" t="n">
        <v>0</v>
      </c>
      <c r="P491" t="n">
        <v>0</v>
      </c>
      <c r="Q491" t="n">
        <v>0</v>
      </c>
      <c r="R491" s="2" t="inlineStr"/>
    </row>
    <row r="492" ht="15" customHeight="1">
      <c r="A492" t="inlineStr">
        <is>
          <t>A 2544-2022</t>
        </is>
      </c>
      <c r="B492" s="1" t="n">
        <v>44580</v>
      </c>
      <c r="C492" s="1" t="n">
        <v>45849</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3543-2022</t>
        </is>
      </c>
      <c r="B493" s="1" t="n">
        <v>44585</v>
      </c>
      <c r="C493" s="1" t="n">
        <v>45849</v>
      </c>
      <c r="D493" t="inlineStr">
        <is>
          <t>JÄMTLANDS LÄN</t>
        </is>
      </c>
      <c r="E493" t="inlineStr">
        <is>
          <t>BERG</t>
        </is>
      </c>
      <c r="G493" t="n">
        <v>3</v>
      </c>
      <c r="H493" t="n">
        <v>0</v>
      </c>
      <c r="I493" t="n">
        <v>0</v>
      </c>
      <c r="J493" t="n">
        <v>0</v>
      </c>
      <c r="K493" t="n">
        <v>0</v>
      </c>
      <c r="L493" t="n">
        <v>0</v>
      </c>
      <c r="M493" t="n">
        <v>0</v>
      </c>
      <c r="N493" t="n">
        <v>0</v>
      </c>
      <c r="O493" t="n">
        <v>0</v>
      </c>
      <c r="P493" t="n">
        <v>0</v>
      </c>
      <c r="Q493" t="n">
        <v>0</v>
      </c>
      <c r="R493" s="2" t="inlineStr"/>
    </row>
    <row r="494" ht="15" customHeight="1">
      <c r="A494" t="inlineStr">
        <is>
          <t>A 3801-2022</t>
        </is>
      </c>
      <c r="B494" s="1" t="n">
        <v>44586</v>
      </c>
      <c r="C494" s="1" t="n">
        <v>45849</v>
      </c>
      <c r="D494" t="inlineStr">
        <is>
          <t>JÄMTLANDS LÄN</t>
        </is>
      </c>
      <c r="E494" t="inlineStr">
        <is>
          <t>BERG</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3798-2022</t>
        </is>
      </c>
      <c r="B495" s="1" t="n">
        <v>44586</v>
      </c>
      <c r="C495" s="1" t="n">
        <v>45849</v>
      </c>
      <c r="D495" t="inlineStr">
        <is>
          <t>JÄMTLANDS LÄN</t>
        </is>
      </c>
      <c r="E495" t="inlineStr">
        <is>
          <t>BERG</t>
        </is>
      </c>
      <c r="G495" t="n">
        <v>0.1</v>
      </c>
      <c r="H495" t="n">
        <v>0</v>
      </c>
      <c r="I495" t="n">
        <v>0</v>
      </c>
      <c r="J495" t="n">
        <v>0</v>
      </c>
      <c r="K495" t="n">
        <v>0</v>
      </c>
      <c r="L495" t="n">
        <v>0</v>
      </c>
      <c r="M495" t="n">
        <v>0</v>
      </c>
      <c r="N495" t="n">
        <v>0</v>
      </c>
      <c r="O495" t="n">
        <v>0</v>
      </c>
      <c r="P495" t="n">
        <v>0</v>
      </c>
      <c r="Q495" t="n">
        <v>0</v>
      </c>
      <c r="R495" s="2" t="inlineStr"/>
    </row>
    <row r="496" ht="15" customHeight="1">
      <c r="A496" t="inlineStr">
        <is>
          <t>A 3891-2022</t>
        </is>
      </c>
      <c r="B496" s="1" t="n">
        <v>44587</v>
      </c>
      <c r="C496" s="1" t="n">
        <v>45849</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3870-2022</t>
        </is>
      </c>
      <c r="B497" s="1" t="n">
        <v>44587</v>
      </c>
      <c r="C497" s="1" t="n">
        <v>45849</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3983-2022</t>
        </is>
      </c>
      <c r="B498" s="1" t="n">
        <v>44587</v>
      </c>
      <c r="C498" s="1" t="n">
        <v>45849</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5221-2022</t>
        </is>
      </c>
      <c r="B499" s="1" t="n">
        <v>44594</v>
      </c>
      <c r="C499" s="1" t="n">
        <v>45849</v>
      </c>
      <c r="D499" t="inlineStr">
        <is>
          <t>JÄMTLANDS LÄN</t>
        </is>
      </c>
      <c r="E499" t="inlineStr">
        <is>
          <t>BERG</t>
        </is>
      </c>
      <c r="G499" t="n">
        <v>4.9</v>
      </c>
      <c r="H499" t="n">
        <v>0</v>
      </c>
      <c r="I499" t="n">
        <v>0</v>
      </c>
      <c r="J499" t="n">
        <v>0</v>
      </c>
      <c r="K499" t="n">
        <v>0</v>
      </c>
      <c r="L499" t="n">
        <v>0</v>
      </c>
      <c r="M499" t="n">
        <v>0</v>
      </c>
      <c r="N499" t="n">
        <v>0</v>
      </c>
      <c r="O499" t="n">
        <v>0</v>
      </c>
      <c r="P499" t="n">
        <v>0</v>
      </c>
      <c r="Q499" t="n">
        <v>0</v>
      </c>
      <c r="R499" s="2" t="inlineStr"/>
    </row>
    <row r="500" ht="15" customHeight="1">
      <c r="A500" t="inlineStr">
        <is>
          <t>A 5219-2022</t>
        </is>
      </c>
      <c r="B500" s="1" t="n">
        <v>44594</v>
      </c>
      <c r="C500" s="1" t="n">
        <v>45849</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5222-2022</t>
        </is>
      </c>
      <c r="B501" s="1" t="n">
        <v>44594</v>
      </c>
      <c r="C501" s="1" t="n">
        <v>45849</v>
      </c>
      <c r="D501" t="inlineStr">
        <is>
          <t>JÄMTLANDS LÄN</t>
        </is>
      </c>
      <c r="E501" t="inlineStr">
        <is>
          <t>BERG</t>
        </is>
      </c>
      <c r="G501" t="n">
        <v>12.3</v>
      </c>
      <c r="H501" t="n">
        <v>0</v>
      </c>
      <c r="I501" t="n">
        <v>0</v>
      </c>
      <c r="J501" t="n">
        <v>0</v>
      </c>
      <c r="K501" t="n">
        <v>0</v>
      </c>
      <c r="L501" t="n">
        <v>0</v>
      </c>
      <c r="M501" t="n">
        <v>0</v>
      </c>
      <c r="N501" t="n">
        <v>0</v>
      </c>
      <c r="O501" t="n">
        <v>0</v>
      </c>
      <c r="P501" t="n">
        <v>0</v>
      </c>
      <c r="Q501" t="n">
        <v>0</v>
      </c>
      <c r="R501" s="2" t="inlineStr"/>
    </row>
    <row r="502" ht="15" customHeight="1">
      <c r="A502" t="inlineStr">
        <is>
          <t>A 5218-2022</t>
        </is>
      </c>
      <c r="B502" s="1" t="n">
        <v>44594</v>
      </c>
      <c r="C502" s="1" t="n">
        <v>45849</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6090-2022</t>
        </is>
      </c>
      <c r="B503" s="1" t="n">
        <v>44599</v>
      </c>
      <c r="C503" s="1" t="n">
        <v>45849</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6919-2022</t>
        </is>
      </c>
      <c r="B504" s="1" t="n">
        <v>44602</v>
      </c>
      <c r="C504" s="1" t="n">
        <v>45849</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6943-2022</t>
        </is>
      </c>
      <c r="B505" s="1" t="n">
        <v>44603</v>
      </c>
      <c r="C505" s="1" t="n">
        <v>45849</v>
      </c>
      <c r="D505" t="inlineStr">
        <is>
          <t>JÄMTLANDS LÄN</t>
        </is>
      </c>
      <c r="E505" t="inlineStr">
        <is>
          <t>BERG</t>
        </is>
      </c>
      <c r="F505" t="inlineStr">
        <is>
          <t>Holmen skog AB</t>
        </is>
      </c>
      <c r="G505" t="n">
        <v>7.1</v>
      </c>
      <c r="H505" t="n">
        <v>0</v>
      </c>
      <c r="I505" t="n">
        <v>0</v>
      </c>
      <c r="J505" t="n">
        <v>0</v>
      </c>
      <c r="K505" t="n">
        <v>0</v>
      </c>
      <c r="L505" t="n">
        <v>0</v>
      </c>
      <c r="M505" t="n">
        <v>0</v>
      </c>
      <c r="N505" t="n">
        <v>0</v>
      </c>
      <c r="O505" t="n">
        <v>0</v>
      </c>
      <c r="P505" t="n">
        <v>0</v>
      </c>
      <c r="Q505" t="n">
        <v>0</v>
      </c>
      <c r="R505" s="2" t="inlineStr"/>
    </row>
    <row r="506" ht="15" customHeight="1">
      <c r="A506" t="inlineStr">
        <is>
          <t>A 7482-2022</t>
        </is>
      </c>
      <c r="B506" s="1" t="n">
        <v>44606</v>
      </c>
      <c r="C506" s="1" t="n">
        <v>45849</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45849</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8388-2022</t>
        </is>
      </c>
      <c r="B508" s="1" t="n">
        <v>44610</v>
      </c>
      <c r="C508" s="1" t="n">
        <v>45849</v>
      </c>
      <c r="D508" t="inlineStr">
        <is>
          <t>JÄMTLANDS LÄN</t>
        </is>
      </c>
      <c r="E508" t="inlineStr">
        <is>
          <t>BERG</t>
        </is>
      </c>
      <c r="G508" t="n">
        <v>2.6</v>
      </c>
      <c r="H508" t="n">
        <v>0</v>
      </c>
      <c r="I508" t="n">
        <v>0</v>
      </c>
      <c r="J508" t="n">
        <v>0</v>
      </c>
      <c r="K508" t="n">
        <v>0</v>
      </c>
      <c r="L508" t="n">
        <v>0</v>
      </c>
      <c r="M508" t="n">
        <v>0</v>
      </c>
      <c r="N508" t="n">
        <v>0</v>
      </c>
      <c r="O508" t="n">
        <v>0</v>
      </c>
      <c r="P508" t="n">
        <v>0</v>
      </c>
      <c r="Q508" t="n">
        <v>0</v>
      </c>
      <c r="R508" s="2" t="inlineStr"/>
    </row>
    <row r="509" ht="15" customHeight="1">
      <c r="A509" t="inlineStr">
        <is>
          <t>A 8594-2022</t>
        </is>
      </c>
      <c r="B509" s="1" t="n">
        <v>44613</v>
      </c>
      <c r="C509" s="1" t="n">
        <v>45849</v>
      </c>
      <c r="D509" t="inlineStr">
        <is>
          <t>JÄMTLANDS LÄN</t>
        </is>
      </c>
      <c r="E509" t="inlineStr">
        <is>
          <t>BERG</t>
        </is>
      </c>
      <c r="G509" t="n">
        <v>4.2</v>
      </c>
      <c r="H509" t="n">
        <v>0</v>
      </c>
      <c r="I509" t="n">
        <v>0</v>
      </c>
      <c r="J509" t="n">
        <v>0</v>
      </c>
      <c r="K509" t="n">
        <v>0</v>
      </c>
      <c r="L509" t="n">
        <v>0</v>
      </c>
      <c r="M509" t="n">
        <v>0</v>
      </c>
      <c r="N509" t="n">
        <v>0</v>
      </c>
      <c r="O509" t="n">
        <v>0</v>
      </c>
      <c r="P509" t="n">
        <v>0</v>
      </c>
      <c r="Q509" t="n">
        <v>0</v>
      </c>
      <c r="R509" s="2" t="inlineStr"/>
    </row>
    <row r="510" ht="15" customHeight="1">
      <c r="A510" t="inlineStr">
        <is>
          <t>A 9114-2022</t>
        </is>
      </c>
      <c r="B510" s="1" t="n">
        <v>44615</v>
      </c>
      <c r="C510" s="1" t="n">
        <v>45849</v>
      </c>
      <c r="D510" t="inlineStr">
        <is>
          <t>JÄMTLANDS LÄN</t>
        </is>
      </c>
      <c r="E510" t="inlineStr">
        <is>
          <t>BERG</t>
        </is>
      </c>
      <c r="G510" t="n">
        <v>2.9</v>
      </c>
      <c r="H510" t="n">
        <v>0</v>
      </c>
      <c r="I510" t="n">
        <v>0</v>
      </c>
      <c r="J510" t="n">
        <v>0</v>
      </c>
      <c r="K510" t="n">
        <v>0</v>
      </c>
      <c r="L510" t="n">
        <v>0</v>
      </c>
      <c r="M510" t="n">
        <v>0</v>
      </c>
      <c r="N510" t="n">
        <v>0</v>
      </c>
      <c r="O510" t="n">
        <v>0</v>
      </c>
      <c r="P510" t="n">
        <v>0</v>
      </c>
      <c r="Q510" t="n">
        <v>0</v>
      </c>
      <c r="R510" s="2" t="inlineStr"/>
    </row>
    <row r="511" ht="15" customHeight="1">
      <c r="A511" t="inlineStr">
        <is>
          <t>A 12457-2022</t>
        </is>
      </c>
      <c r="B511" s="1" t="n">
        <v>44638</v>
      </c>
      <c r="C511" s="1" t="n">
        <v>45849</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13634-2022</t>
        </is>
      </c>
      <c r="B512" s="1" t="n">
        <v>44648</v>
      </c>
      <c r="C512" s="1" t="n">
        <v>45849</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13636-2022</t>
        </is>
      </c>
      <c r="B513" s="1" t="n">
        <v>44648</v>
      </c>
      <c r="C513" s="1" t="n">
        <v>45849</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14506-2022</t>
        </is>
      </c>
      <c r="B514" s="1" t="n">
        <v>44655</v>
      </c>
      <c r="C514" s="1" t="n">
        <v>45849</v>
      </c>
      <c r="D514" t="inlineStr">
        <is>
          <t>JÄMTLANDS LÄN</t>
        </is>
      </c>
      <c r="E514" t="inlineStr">
        <is>
          <t>BERG</t>
        </is>
      </c>
      <c r="G514" t="n">
        <v>16.9</v>
      </c>
      <c r="H514" t="n">
        <v>0</v>
      </c>
      <c r="I514" t="n">
        <v>0</v>
      </c>
      <c r="J514" t="n">
        <v>0</v>
      </c>
      <c r="K514" t="n">
        <v>0</v>
      </c>
      <c r="L514" t="n">
        <v>0</v>
      </c>
      <c r="M514" t="n">
        <v>0</v>
      </c>
      <c r="N514" t="n">
        <v>0</v>
      </c>
      <c r="O514" t="n">
        <v>0</v>
      </c>
      <c r="P514" t="n">
        <v>0</v>
      </c>
      <c r="Q514" t="n">
        <v>0</v>
      </c>
      <c r="R514" s="2" t="inlineStr"/>
    </row>
    <row r="515" ht="15" customHeight="1">
      <c r="A515" t="inlineStr">
        <is>
          <t>A 17750-2022</t>
        </is>
      </c>
      <c r="B515" s="1" t="n">
        <v>44680</v>
      </c>
      <c r="C515" s="1" t="n">
        <v>45849</v>
      </c>
      <c r="D515" t="inlineStr">
        <is>
          <t>JÄMTLANDS LÄN</t>
        </is>
      </c>
      <c r="E515" t="inlineStr">
        <is>
          <t>BERG</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17746-2022</t>
        </is>
      </c>
      <c r="B516" s="1" t="n">
        <v>44681</v>
      </c>
      <c r="C516" s="1" t="n">
        <v>45849</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18261-2022</t>
        </is>
      </c>
      <c r="B517" s="1" t="n">
        <v>44685</v>
      </c>
      <c r="C517" s="1" t="n">
        <v>45849</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18629-2022</t>
        </is>
      </c>
      <c r="B518" s="1" t="n">
        <v>44687</v>
      </c>
      <c r="C518" s="1" t="n">
        <v>45849</v>
      </c>
      <c r="D518" t="inlineStr">
        <is>
          <t>JÄMTLANDS LÄN</t>
        </is>
      </c>
      <c r="E518" t="inlineStr">
        <is>
          <t>BERG</t>
        </is>
      </c>
      <c r="G518" t="n">
        <v>5.8</v>
      </c>
      <c r="H518" t="n">
        <v>0</v>
      </c>
      <c r="I518" t="n">
        <v>0</v>
      </c>
      <c r="J518" t="n">
        <v>0</v>
      </c>
      <c r="K518" t="n">
        <v>0</v>
      </c>
      <c r="L518" t="n">
        <v>0</v>
      </c>
      <c r="M518" t="n">
        <v>0</v>
      </c>
      <c r="N518" t="n">
        <v>0</v>
      </c>
      <c r="O518" t="n">
        <v>0</v>
      </c>
      <c r="P518" t="n">
        <v>0</v>
      </c>
      <c r="Q518" t="n">
        <v>0</v>
      </c>
      <c r="R518" s="2" t="inlineStr"/>
    </row>
    <row r="519" ht="15" customHeight="1">
      <c r="A519" t="inlineStr">
        <is>
          <t>A 19004-2022</t>
        </is>
      </c>
      <c r="B519" s="1" t="n">
        <v>44691</v>
      </c>
      <c r="C519" s="1" t="n">
        <v>45849</v>
      </c>
      <c r="D519" t="inlineStr">
        <is>
          <t>JÄMTLANDS LÄN</t>
        </is>
      </c>
      <c r="E519" t="inlineStr">
        <is>
          <t>BERG</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19807-2022</t>
        </is>
      </c>
      <c r="B520" s="1" t="n">
        <v>44694</v>
      </c>
      <c r="C520" s="1" t="n">
        <v>45849</v>
      </c>
      <c r="D520" t="inlineStr">
        <is>
          <t>JÄMTLANDS LÄN</t>
        </is>
      </c>
      <c r="E520" t="inlineStr">
        <is>
          <t>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19809-2022</t>
        </is>
      </c>
      <c r="B521" s="1" t="n">
        <v>44694</v>
      </c>
      <c r="C521" s="1" t="n">
        <v>45849</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19818-2022</t>
        </is>
      </c>
      <c r="B522" s="1" t="n">
        <v>44695</v>
      </c>
      <c r="C522" s="1" t="n">
        <v>45849</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20304-2022</t>
        </is>
      </c>
      <c r="B523" s="1" t="n">
        <v>44699</v>
      </c>
      <c r="C523" s="1" t="n">
        <v>45849</v>
      </c>
      <c r="D523" t="inlineStr">
        <is>
          <t>JÄMTLANDS LÄN</t>
        </is>
      </c>
      <c r="E523" t="inlineStr">
        <is>
          <t>BERG</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21064-2022</t>
        </is>
      </c>
      <c r="B524" s="1" t="n">
        <v>44704</v>
      </c>
      <c r="C524" s="1" t="n">
        <v>45849</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21080-2022</t>
        </is>
      </c>
      <c r="B525" s="1" t="n">
        <v>44704</v>
      </c>
      <c r="C525" s="1" t="n">
        <v>45849</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21203-2022</t>
        </is>
      </c>
      <c r="B526" s="1" t="n">
        <v>44705</v>
      </c>
      <c r="C526" s="1" t="n">
        <v>45849</v>
      </c>
      <c r="D526" t="inlineStr">
        <is>
          <t>JÄMTLANDS LÄN</t>
        </is>
      </c>
      <c r="E526" t="inlineStr">
        <is>
          <t>BERG</t>
        </is>
      </c>
      <c r="G526" t="n">
        <v>7.3</v>
      </c>
      <c r="H526" t="n">
        <v>0</v>
      </c>
      <c r="I526" t="n">
        <v>0</v>
      </c>
      <c r="J526" t="n">
        <v>0</v>
      </c>
      <c r="K526" t="n">
        <v>0</v>
      </c>
      <c r="L526" t="n">
        <v>0</v>
      </c>
      <c r="M526" t="n">
        <v>0</v>
      </c>
      <c r="N526" t="n">
        <v>0</v>
      </c>
      <c r="O526" t="n">
        <v>0</v>
      </c>
      <c r="P526" t="n">
        <v>0</v>
      </c>
      <c r="Q526" t="n">
        <v>0</v>
      </c>
      <c r="R526" s="2" t="inlineStr"/>
    </row>
    <row r="527" ht="15" customHeight="1">
      <c r="A527" t="inlineStr">
        <is>
          <t>A 21201-2022</t>
        </is>
      </c>
      <c r="B527" s="1" t="n">
        <v>44705</v>
      </c>
      <c r="C527" s="1" t="n">
        <v>45849</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21202-2022</t>
        </is>
      </c>
      <c r="B528" s="1" t="n">
        <v>44705</v>
      </c>
      <c r="C528" s="1" t="n">
        <v>45849</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21200-2022</t>
        </is>
      </c>
      <c r="B529" s="1" t="n">
        <v>44705</v>
      </c>
      <c r="C529" s="1" t="n">
        <v>45849</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21403-2022</t>
        </is>
      </c>
      <c r="B530" s="1" t="n">
        <v>44706</v>
      </c>
      <c r="C530" s="1" t="n">
        <v>45849</v>
      </c>
      <c r="D530" t="inlineStr">
        <is>
          <t>JÄMTLANDS LÄN</t>
        </is>
      </c>
      <c r="E530" t="inlineStr">
        <is>
          <t>BERG</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21400-2022</t>
        </is>
      </c>
      <c r="B531" s="1" t="n">
        <v>44706</v>
      </c>
      <c r="C531" s="1" t="n">
        <v>45849</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21401-2022</t>
        </is>
      </c>
      <c r="B532" s="1" t="n">
        <v>44706</v>
      </c>
      <c r="C532" s="1" t="n">
        <v>45849</v>
      </c>
      <c r="D532" t="inlineStr">
        <is>
          <t>JÄMTLANDS LÄN</t>
        </is>
      </c>
      <c r="E532" t="inlineStr">
        <is>
          <t>BERG</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45849</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22297-2022</t>
        </is>
      </c>
      <c r="B534" s="1" t="n">
        <v>44712</v>
      </c>
      <c r="C534" s="1" t="n">
        <v>45849</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22680-2022</t>
        </is>
      </c>
      <c r="B535" s="1" t="n">
        <v>44714</v>
      </c>
      <c r="C535" s="1" t="n">
        <v>45849</v>
      </c>
      <c r="D535" t="inlineStr">
        <is>
          <t>JÄMTLANDS LÄN</t>
        </is>
      </c>
      <c r="E535" t="inlineStr">
        <is>
          <t>BERG</t>
        </is>
      </c>
      <c r="G535" t="n">
        <v>15.4</v>
      </c>
      <c r="H535" t="n">
        <v>0</v>
      </c>
      <c r="I535" t="n">
        <v>0</v>
      </c>
      <c r="J535" t="n">
        <v>0</v>
      </c>
      <c r="K535" t="n">
        <v>0</v>
      </c>
      <c r="L535" t="n">
        <v>0</v>
      </c>
      <c r="M535" t="n">
        <v>0</v>
      </c>
      <c r="N535" t="n">
        <v>0</v>
      </c>
      <c r="O535" t="n">
        <v>0</v>
      </c>
      <c r="P535" t="n">
        <v>0</v>
      </c>
      <c r="Q535" t="n">
        <v>0</v>
      </c>
      <c r="R535" s="2" t="inlineStr"/>
    </row>
    <row r="536" ht="15" customHeight="1">
      <c r="A536" t="inlineStr">
        <is>
          <t>A 22947-2022</t>
        </is>
      </c>
      <c r="B536" s="1" t="n">
        <v>44716</v>
      </c>
      <c r="C536" s="1" t="n">
        <v>45849</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23451-2022</t>
        </is>
      </c>
      <c r="B537" s="1" t="n">
        <v>44721</v>
      </c>
      <c r="C537" s="1" t="n">
        <v>45849</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24119-2022</t>
        </is>
      </c>
      <c r="B538" s="1" t="n">
        <v>44725</v>
      </c>
      <c r="C538" s="1" t="n">
        <v>45849</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24378-2022</t>
        </is>
      </c>
      <c r="B539" s="1" t="n">
        <v>44726</v>
      </c>
      <c r="C539" s="1" t="n">
        <v>45849</v>
      </c>
      <c r="D539" t="inlineStr">
        <is>
          <t>JÄMTLANDS LÄN</t>
        </is>
      </c>
      <c r="E539" t="inlineStr">
        <is>
          <t>BERG</t>
        </is>
      </c>
      <c r="G539" t="n">
        <v>4</v>
      </c>
      <c r="H539" t="n">
        <v>0</v>
      </c>
      <c r="I539" t="n">
        <v>0</v>
      </c>
      <c r="J539" t="n">
        <v>0</v>
      </c>
      <c r="K539" t="n">
        <v>0</v>
      </c>
      <c r="L539" t="n">
        <v>0</v>
      </c>
      <c r="M539" t="n">
        <v>0</v>
      </c>
      <c r="N539" t="n">
        <v>0</v>
      </c>
      <c r="O539" t="n">
        <v>0</v>
      </c>
      <c r="P539" t="n">
        <v>0</v>
      </c>
      <c r="Q539" t="n">
        <v>0</v>
      </c>
      <c r="R539" s="2" t="inlineStr"/>
    </row>
    <row r="540" ht="15" customHeight="1">
      <c r="A540" t="inlineStr">
        <is>
          <t>A 24661-2022</t>
        </is>
      </c>
      <c r="B540" s="1" t="n">
        <v>44727</v>
      </c>
      <c r="C540" s="1" t="n">
        <v>45849</v>
      </c>
      <c r="D540" t="inlineStr">
        <is>
          <t>JÄMTLANDS LÄN</t>
        </is>
      </c>
      <c r="E540" t="inlineStr">
        <is>
          <t>BERG</t>
        </is>
      </c>
      <c r="G540" t="n">
        <v>7.6</v>
      </c>
      <c r="H540" t="n">
        <v>0</v>
      </c>
      <c r="I540" t="n">
        <v>0</v>
      </c>
      <c r="J540" t="n">
        <v>0</v>
      </c>
      <c r="K540" t="n">
        <v>0</v>
      </c>
      <c r="L540" t="n">
        <v>0</v>
      </c>
      <c r="M540" t="n">
        <v>0</v>
      </c>
      <c r="N540" t="n">
        <v>0</v>
      </c>
      <c r="O540" t="n">
        <v>0</v>
      </c>
      <c r="P540" t="n">
        <v>0</v>
      </c>
      <c r="Q540" t="n">
        <v>0</v>
      </c>
      <c r="R540" s="2" t="inlineStr"/>
    </row>
    <row r="541" ht="15" customHeight="1">
      <c r="A541" t="inlineStr">
        <is>
          <t>A 25265-2022</t>
        </is>
      </c>
      <c r="B541" s="1" t="n">
        <v>44730</v>
      </c>
      <c r="C541" s="1" t="n">
        <v>45849</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25264-2022</t>
        </is>
      </c>
      <c r="B542" s="1" t="n">
        <v>44730</v>
      </c>
      <c r="C542" s="1" t="n">
        <v>45849</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25266-2022</t>
        </is>
      </c>
      <c r="B543" s="1" t="n">
        <v>44729</v>
      </c>
      <c r="C543" s="1" t="n">
        <v>45849</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25657-2022</t>
        </is>
      </c>
      <c r="B544" s="1" t="n">
        <v>44733</v>
      </c>
      <c r="C544" s="1" t="n">
        <v>45849</v>
      </c>
      <c r="D544" t="inlineStr">
        <is>
          <t>JÄMTLANDS LÄN</t>
        </is>
      </c>
      <c r="E544" t="inlineStr">
        <is>
          <t>BERG</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26062-2022</t>
        </is>
      </c>
      <c r="B545" s="1" t="n">
        <v>44734</v>
      </c>
      <c r="C545" s="1" t="n">
        <v>45849</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26405-2022</t>
        </is>
      </c>
      <c r="B546" s="1" t="n">
        <v>44735</v>
      </c>
      <c r="C546" s="1" t="n">
        <v>45849</v>
      </c>
      <c r="D546" t="inlineStr">
        <is>
          <t>JÄMTLANDS LÄN</t>
        </is>
      </c>
      <c r="E546" t="inlineStr">
        <is>
          <t>BERG</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26739-2022</t>
        </is>
      </c>
      <c r="B547" s="1" t="n">
        <v>44740</v>
      </c>
      <c r="C547" s="1" t="n">
        <v>45849</v>
      </c>
      <c r="D547" t="inlineStr">
        <is>
          <t>JÄMTLANDS LÄN</t>
        </is>
      </c>
      <c r="E547" t="inlineStr">
        <is>
          <t>BERG</t>
        </is>
      </c>
      <c r="F547" t="inlineStr">
        <is>
          <t>SCA</t>
        </is>
      </c>
      <c r="G547" t="n">
        <v>16.4</v>
      </c>
      <c r="H547" t="n">
        <v>0</v>
      </c>
      <c r="I547" t="n">
        <v>0</v>
      </c>
      <c r="J547" t="n">
        <v>0</v>
      </c>
      <c r="K547" t="n">
        <v>0</v>
      </c>
      <c r="L547" t="n">
        <v>0</v>
      </c>
      <c r="M547" t="n">
        <v>0</v>
      </c>
      <c r="N547" t="n">
        <v>0</v>
      </c>
      <c r="O547" t="n">
        <v>0</v>
      </c>
      <c r="P547" t="n">
        <v>0</v>
      </c>
      <c r="Q547" t="n">
        <v>0</v>
      </c>
      <c r="R547" s="2" t="inlineStr"/>
    </row>
    <row r="548" ht="15" customHeight="1">
      <c r="A548" t="inlineStr">
        <is>
          <t>A 26738-2022</t>
        </is>
      </c>
      <c r="B548" s="1" t="n">
        <v>44739</v>
      </c>
      <c r="C548" s="1" t="n">
        <v>45849</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45849</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26959-2022</t>
        </is>
      </c>
      <c r="B550" s="1" t="n">
        <v>44740</v>
      </c>
      <c r="C550" s="1" t="n">
        <v>45849</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27599-2022</t>
        </is>
      </c>
      <c r="B551" s="1" t="n">
        <v>44742</v>
      </c>
      <c r="C551" s="1" t="n">
        <v>45849</v>
      </c>
      <c r="D551" t="inlineStr">
        <is>
          <t>JÄMTLANDS LÄN</t>
        </is>
      </c>
      <c r="E551" t="inlineStr">
        <is>
          <t>BERG</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27598-2022</t>
        </is>
      </c>
      <c r="B552" s="1" t="n">
        <v>44743</v>
      </c>
      <c r="C552" s="1" t="n">
        <v>45849</v>
      </c>
      <c r="D552" t="inlineStr">
        <is>
          <t>JÄMTLANDS LÄN</t>
        </is>
      </c>
      <c r="E552" t="inlineStr">
        <is>
          <t>BERG</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28500-2022</t>
        </is>
      </c>
      <c r="B553" s="1" t="n">
        <v>44747</v>
      </c>
      <c r="C553" s="1" t="n">
        <v>45849</v>
      </c>
      <c r="D553" t="inlineStr">
        <is>
          <t>JÄMTLANDS LÄN</t>
        </is>
      </c>
      <c r="E553" t="inlineStr">
        <is>
          <t>BERG</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28501-2022</t>
        </is>
      </c>
      <c r="B554" s="1" t="n">
        <v>44748</v>
      </c>
      <c r="C554" s="1" t="n">
        <v>45849</v>
      </c>
      <c r="D554" t="inlineStr">
        <is>
          <t>JÄMTLANDS LÄN</t>
        </is>
      </c>
      <c r="E554" t="inlineStr">
        <is>
          <t>BERG</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29498-2022</t>
        </is>
      </c>
      <c r="B555" s="1" t="n">
        <v>44753</v>
      </c>
      <c r="C555" s="1" t="n">
        <v>45849</v>
      </c>
      <c r="D555" t="inlineStr">
        <is>
          <t>JÄMTLANDS LÄN</t>
        </is>
      </c>
      <c r="E555" t="inlineStr">
        <is>
          <t>BERG</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30187-2022</t>
        </is>
      </c>
      <c r="B556" s="1" t="n">
        <v>44757</v>
      </c>
      <c r="C556" s="1" t="n">
        <v>45849</v>
      </c>
      <c r="D556" t="inlineStr">
        <is>
          <t>JÄMTLANDS LÄN</t>
        </is>
      </c>
      <c r="E556" t="inlineStr">
        <is>
          <t>BERG</t>
        </is>
      </c>
      <c r="G556" t="n">
        <v>0.6</v>
      </c>
      <c r="H556" t="n">
        <v>0</v>
      </c>
      <c r="I556" t="n">
        <v>0</v>
      </c>
      <c r="J556" t="n">
        <v>0</v>
      </c>
      <c r="K556" t="n">
        <v>0</v>
      </c>
      <c r="L556" t="n">
        <v>0</v>
      </c>
      <c r="M556" t="n">
        <v>0</v>
      </c>
      <c r="N556" t="n">
        <v>0</v>
      </c>
      <c r="O556" t="n">
        <v>0</v>
      </c>
      <c r="P556" t="n">
        <v>0</v>
      </c>
      <c r="Q556" t="n">
        <v>0</v>
      </c>
      <c r="R556" s="2" t="inlineStr"/>
    </row>
    <row r="557" ht="15" customHeight="1">
      <c r="A557" t="inlineStr">
        <is>
          <t>A 30765-2022</t>
        </is>
      </c>
      <c r="B557" s="1" t="n">
        <v>44764</v>
      </c>
      <c r="C557" s="1" t="n">
        <v>45849</v>
      </c>
      <c r="D557" t="inlineStr">
        <is>
          <t>JÄMTLANDS LÄN</t>
        </is>
      </c>
      <c r="E557" t="inlineStr">
        <is>
          <t>BERG</t>
        </is>
      </c>
      <c r="F557" t="inlineStr">
        <is>
          <t>Sveaskog</t>
        </is>
      </c>
      <c r="G557" t="n">
        <v>5.8</v>
      </c>
      <c r="H557" t="n">
        <v>0</v>
      </c>
      <c r="I557" t="n">
        <v>0</v>
      </c>
      <c r="J557" t="n">
        <v>0</v>
      </c>
      <c r="K557" t="n">
        <v>0</v>
      </c>
      <c r="L557" t="n">
        <v>0</v>
      </c>
      <c r="M557" t="n">
        <v>0</v>
      </c>
      <c r="N557" t="n">
        <v>0</v>
      </c>
      <c r="O557" t="n">
        <v>0</v>
      </c>
      <c r="P557" t="n">
        <v>0</v>
      </c>
      <c r="Q557" t="n">
        <v>0</v>
      </c>
      <c r="R557" s="2" t="inlineStr"/>
    </row>
    <row r="558" ht="15" customHeight="1">
      <c r="A558" t="inlineStr">
        <is>
          <t>A 31371-2022</t>
        </is>
      </c>
      <c r="B558" s="1" t="n">
        <v>44774</v>
      </c>
      <c r="C558" s="1" t="n">
        <v>45849</v>
      </c>
      <c r="D558" t="inlineStr">
        <is>
          <t>JÄMTLANDS LÄN</t>
        </is>
      </c>
      <c r="E558" t="inlineStr">
        <is>
          <t>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31375-2022</t>
        </is>
      </c>
      <c r="B559" s="1" t="n">
        <v>44774</v>
      </c>
      <c r="C559" s="1" t="n">
        <v>45849</v>
      </c>
      <c r="D559" t="inlineStr">
        <is>
          <t>JÄMTLANDS LÄN</t>
        </is>
      </c>
      <c r="E559" t="inlineStr">
        <is>
          <t>BERG</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31564-2022</t>
        </is>
      </c>
      <c r="B560" s="1" t="n">
        <v>44775</v>
      </c>
      <c r="C560" s="1" t="n">
        <v>45849</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31641-2022</t>
        </is>
      </c>
      <c r="B561" s="1" t="n">
        <v>44776</v>
      </c>
      <c r="C561" s="1" t="n">
        <v>45849</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31638-2022</t>
        </is>
      </c>
      <c r="B562" s="1" t="n">
        <v>44775</v>
      </c>
      <c r="C562" s="1" t="n">
        <v>45849</v>
      </c>
      <c r="D562" t="inlineStr">
        <is>
          <t>JÄMTLANDS LÄN</t>
        </is>
      </c>
      <c r="E562" t="inlineStr">
        <is>
          <t>BERG</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31682-2022</t>
        </is>
      </c>
      <c r="B563" s="1" t="n">
        <v>44776</v>
      </c>
      <c r="C563" s="1" t="n">
        <v>45849</v>
      </c>
      <c r="D563" t="inlineStr">
        <is>
          <t>JÄMTLANDS LÄN</t>
        </is>
      </c>
      <c r="E563" t="inlineStr">
        <is>
          <t>BERG</t>
        </is>
      </c>
      <c r="G563" t="n">
        <v>8</v>
      </c>
      <c r="H563" t="n">
        <v>0</v>
      </c>
      <c r="I563" t="n">
        <v>0</v>
      </c>
      <c r="J563" t="n">
        <v>0</v>
      </c>
      <c r="K563" t="n">
        <v>0</v>
      </c>
      <c r="L563" t="n">
        <v>0</v>
      </c>
      <c r="M563" t="n">
        <v>0</v>
      </c>
      <c r="N563" t="n">
        <v>0</v>
      </c>
      <c r="O563" t="n">
        <v>0</v>
      </c>
      <c r="P563" t="n">
        <v>0</v>
      </c>
      <c r="Q563" t="n">
        <v>0</v>
      </c>
      <c r="R563" s="2" t="inlineStr"/>
    </row>
    <row r="564" ht="15" customHeight="1">
      <c r="A564" t="inlineStr">
        <is>
          <t>A 32703-2022</t>
        </is>
      </c>
      <c r="B564" s="1" t="n">
        <v>44776</v>
      </c>
      <c r="C564" s="1" t="n">
        <v>45849</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32133-2022</t>
        </is>
      </c>
      <c r="B565" s="1" t="n">
        <v>44779</v>
      </c>
      <c r="C565" s="1" t="n">
        <v>45849</v>
      </c>
      <c r="D565" t="inlineStr">
        <is>
          <t>JÄMTLANDS LÄN</t>
        </is>
      </c>
      <c r="E565" t="inlineStr">
        <is>
          <t>BERG</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32707-2022</t>
        </is>
      </c>
      <c r="B566" s="1" t="n">
        <v>44783</v>
      </c>
      <c r="C566" s="1" t="n">
        <v>45849</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33068-2022</t>
        </is>
      </c>
      <c r="B567" s="1" t="n">
        <v>44785</v>
      </c>
      <c r="C567" s="1" t="n">
        <v>45849</v>
      </c>
      <c r="D567" t="inlineStr">
        <is>
          <t>JÄMTLANDS LÄN</t>
        </is>
      </c>
      <c r="E567" t="inlineStr">
        <is>
          <t>BERG</t>
        </is>
      </c>
      <c r="G567" t="n">
        <v>6</v>
      </c>
      <c r="H567" t="n">
        <v>0</v>
      </c>
      <c r="I567" t="n">
        <v>0</v>
      </c>
      <c r="J567" t="n">
        <v>0</v>
      </c>
      <c r="K567" t="n">
        <v>0</v>
      </c>
      <c r="L567" t="n">
        <v>0</v>
      </c>
      <c r="M567" t="n">
        <v>0</v>
      </c>
      <c r="N567" t="n">
        <v>0</v>
      </c>
      <c r="O567" t="n">
        <v>0</v>
      </c>
      <c r="P567" t="n">
        <v>0</v>
      </c>
      <c r="Q567" t="n">
        <v>0</v>
      </c>
      <c r="R567" s="2" t="inlineStr"/>
    </row>
    <row r="568" ht="15" customHeight="1">
      <c r="A568" t="inlineStr">
        <is>
          <t>A 33232-2022</t>
        </is>
      </c>
      <c r="B568" s="1" t="n">
        <v>44786</v>
      </c>
      <c r="C568" s="1" t="n">
        <v>45849</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34260-2022</t>
        </is>
      </c>
      <c r="B569" s="1" t="n">
        <v>44791</v>
      </c>
      <c r="C569" s="1" t="n">
        <v>45849</v>
      </c>
      <c r="D569" t="inlineStr">
        <is>
          <t>JÄMTLANDS LÄN</t>
        </is>
      </c>
      <c r="E569" t="inlineStr">
        <is>
          <t>BERG</t>
        </is>
      </c>
      <c r="F569" t="inlineStr">
        <is>
          <t>Övriga Aktiebolag</t>
        </is>
      </c>
      <c r="G569" t="n">
        <v>32.2</v>
      </c>
      <c r="H569" t="n">
        <v>0</v>
      </c>
      <c r="I569" t="n">
        <v>0</v>
      </c>
      <c r="J569" t="n">
        <v>0</v>
      </c>
      <c r="K569" t="n">
        <v>0</v>
      </c>
      <c r="L569" t="n">
        <v>0</v>
      </c>
      <c r="M569" t="n">
        <v>0</v>
      </c>
      <c r="N569" t="n">
        <v>0</v>
      </c>
      <c r="O569" t="n">
        <v>0</v>
      </c>
      <c r="P569" t="n">
        <v>0</v>
      </c>
      <c r="Q569" t="n">
        <v>0</v>
      </c>
      <c r="R569" s="2" t="inlineStr"/>
    </row>
    <row r="570" ht="15" customHeight="1">
      <c r="A570" t="inlineStr">
        <is>
          <t>A 34273-2022</t>
        </is>
      </c>
      <c r="B570" s="1" t="n">
        <v>44792</v>
      </c>
      <c r="C570" s="1" t="n">
        <v>45849</v>
      </c>
      <c r="D570" t="inlineStr">
        <is>
          <t>JÄMTLANDS LÄN</t>
        </is>
      </c>
      <c r="E570" t="inlineStr">
        <is>
          <t>BERG</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34272-2022</t>
        </is>
      </c>
      <c r="B571" s="1" t="n">
        <v>44791</v>
      </c>
      <c r="C571" s="1" t="n">
        <v>45849</v>
      </c>
      <c r="D571" t="inlineStr">
        <is>
          <t>JÄMTLANDS LÄN</t>
        </is>
      </c>
      <c r="E571" t="inlineStr">
        <is>
          <t>BERG</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34803-2022</t>
        </is>
      </c>
      <c r="B572" s="1" t="n">
        <v>44796</v>
      </c>
      <c r="C572" s="1" t="n">
        <v>45849</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35126-2022</t>
        </is>
      </c>
      <c r="B573" s="1" t="n">
        <v>44797</v>
      </c>
      <c r="C573" s="1" t="n">
        <v>45849</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35740-2022</t>
        </is>
      </c>
      <c r="B574" s="1" t="n">
        <v>44800</v>
      </c>
      <c r="C574" s="1" t="n">
        <v>45849</v>
      </c>
      <c r="D574" t="inlineStr">
        <is>
          <t>JÄMTLANDS LÄN</t>
        </is>
      </c>
      <c r="E574" t="inlineStr">
        <is>
          <t>BERG</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36071-2022</t>
        </is>
      </c>
      <c r="B575" s="1" t="n">
        <v>44802</v>
      </c>
      <c r="C575" s="1" t="n">
        <v>45849</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36373-2022</t>
        </is>
      </c>
      <c r="B576" s="1" t="n">
        <v>44803</v>
      </c>
      <c r="C576" s="1" t="n">
        <v>45849</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37333-2022</t>
        </is>
      </c>
      <c r="B577" s="1" t="n">
        <v>44806</v>
      </c>
      <c r="C577" s="1" t="n">
        <v>45849</v>
      </c>
      <c r="D577" t="inlineStr">
        <is>
          <t>JÄMTLANDS LÄN</t>
        </is>
      </c>
      <c r="E577" t="inlineStr">
        <is>
          <t>BERG</t>
        </is>
      </c>
      <c r="G577" t="n">
        <v>5.5</v>
      </c>
      <c r="H577" t="n">
        <v>0</v>
      </c>
      <c r="I577" t="n">
        <v>0</v>
      </c>
      <c r="J577" t="n">
        <v>0</v>
      </c>
      <c r="K577" t="n">
        <v>0</v>
      </c>
      <c r="L577" t="n">
        <v>0</v>
      </c>
      <c r="M577" t="n">
        <v>0</v>
      </c>
      <c r="N577" t="n">
        <v>0</v>
      </c>
      <c r="O577" t="n">
        <v>0</v>
      </c>
      <c r="P577" t="n">
        <v>0</v>
      </c>
      <c r="Q577" t="n">
        <v>0</v>
      </c>
      <c r="R577" s="2" t="inlineStr"/>
    </row>
    <row r="578" ht="15" customHeight="1">
      <c r="A578" t="inlineStr">
        <is>
          <t>A 37711-2022</t>
        </is>
      </c>
      <c r="B578" s="1" t="n">
        <v>44810</v>
      </c>
      <c r="C578" s="1" t="n">
        <v>45849</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37726-2022</t>
        </is>
      </c>
      <c r="B579" s="1" t="n">
        <v>44810</v>
      </c>
      <c r="C579" s="1" t="n">
        <v>45849</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40601-2022</t>
        </is>
      </c>
      <c r="B580" s="1" t="n">
        <v>44823</v>
      </c>
      <c r="C580" s="1" t="n">
        <v>45849</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40990-2022</t>
        </is>
      </c>
      <c r="B581" s="1" t="n">
        <v>44823</v>
      </c>
      <c r="C581" s="1" t="n">
        <v>45849</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40847-2022</t>
        </is>
      </c>
      <c r="B582" s="1" t="n">
        <v>44824</v>
      </c>
      <c r="C582" s="1" t="n">
        <v>45849</v>
      </c>
      <c r="D582" t="inlineStr">
        <is>
          <t>JÄMTLANDS LÄN</t>
        </is>
      </c>
      <c r="E582" t="inlineStr">
        <is>
          <t>BERG</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41063-2022</t>
        </is>
      </c>
      <c r="B583" s="1" t="n">
        <v>44824</v>
      </c>
      <c r="C583" s="1" t="n">
        <v>45849</v>
      </c>
      <c r="D583" t="inlineStr">
        <is>
          <t>JÄMTLANDS LÄN</t>
        </is>
      </c>
      <c r="E583" t="inlineStr">
        <is>
          <t>BERG</t>
        </is>
      </c>
      <c r="G583" t="n">
        <v>13.6</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45849</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43168-2022</t>
        </is>
      </c>
      <c r="B585" s="1" t="n">
        <v>44834</v>
      </c>
      <c r="C585" s="1" t="n">
        <v>45849</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43296-2022</t>
        </is>
      </c>
      <c r="B586" s="1" t="n">
        <v>44834</v>
      </c>
      <c r="C586" s="1" t="n">
        <v>45849</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43298-2022</t>
        </is>
      </c>
      <c r="B587" s="1" t="n">
        <v>44834</v>
      </c>
      <c r="C587" s="1" t="n">
        <v>45849</v>
      </c>
      <c r="D587" t="inlineStr">
        <is>
          <t>JÄMTLANDS LÄN</t>
        </is>
      </c>
      <c r="E587" t="inlineStr">
        <is>
          <t>BERG</t>
        </is>
      </c>
      <c r="G587" t="n">
        <v>2.1</v>
      </c>
      <c r="H587" t="n">
        <v>0</v>
      </c>
      <c r="I587" t="n">
        <v>0</v>
      </c>
      <c r="J587" t="n">
        <v>0</v>
      </c>
      <c r="K587" t="n">
        <v>0</v>
      </c>
      <c r="L587" t="n">
        <v>0</v>
      </c>
      <c r="M587" t="n">
        <v>0</v>
      </c>
      <c r="N587" t="n">
        <v>0</v>
      </c>
      <c r="O587" t="n">
        <v>0</v>
      </c>
      <c r="P587" t="n">
        <v>0</v>
      </c>
      <c r="Q587" t="n">
        <v>0</v>
      </c>
      <c r="R587" s="2" t="inlineStr"/>
    </row>
    <row r="588" ht="15" customHeight="1">
      <c r="A588" t="inlineStr">
        <is>
          <t>A 44110-2022</t>
        </is>
      </c>
      <c r="B588" s="1" t="n">
        <v>44837</v>
      </c>
      <c r="C588" s="1" t="n">
        <v>45849</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44443-2022</t>
        </is>
      </c>
      <c r="B589" s="1" t="n">
        <v>44840</v>
      </c>
      <c r="C589" s="1" t="n">
        <v>45849</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44442-2022</t>
        </is>
      </c>
      <c r="B590" s="1" t="n">
        <v>44839</v>
      </c>
      <c r="C590" s="1" t="n">
        <v>45849</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45081-2022</t>
        </is>
      </c>
      <c r="B591" s="1" t="n">
        <v>44841</v>
      </c>
      <c r="C591" s="1" t="n">
        <v>45849</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45487-2022</t>
        </is>
      </c>
      <c r="B592" s="1" t="n">
        <v>44845</v>
      </c>
      <c r="C592" s="1" t="n">
        <v>45849</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46167-2022</t>
        </is>
      </c>
      <c r="B593" s="1" t="n">
        <v>44845</v>
      </c>
      <c r="C593" s="1" t="n">
        <v>45849</v>
      </c>
      <c r="D593" t="inlineStr">
        <is>
          <t>JÄMTLANDS LÄN</t>
        </is>
      </c>
      <c r="E593" t="inlineStr">
        <is>
          <t>BERG</t>
        </is>
      </c>
      <c r="G593" t="n">
        <v>35.2</v>
      </c>
      <c r="H593" t="n">
        <v>0</v>
      </c>
      <c r="I593" t="n">
        <v>0</v>
      </c>
      <c r="J593" t="n">
        <v>0</v>
      </c>
      <c r="K593" t="n">
        <v>0</v>
      </c>
      <c r="L593" t="n">
        <v>0</v>
      </c>
      <c r="M593" t="n">
        <v>0</v>
      </c>
      <c r="N593" t="n">
        <v>0</v>
      </c>
      <c r="O593" t="n">
        <v>0</v>
      </c>
      <c r="P593" t="n">
        <v>0</v>
      </c>
      <c r="Q593" t="n">
        <v>0</v>
      </c>
      <c r="R593" s="2" t="inlineStr"/>
    </row>
    <row r="594" ht="15" customHeight="1">
      <c r="A594" t="inlineStr">
        <is>
          <t>A 46151-2022</t>
        </is>
      </c>
      <c r="B594" s="1" t="n">
        <v>44845</v>
      </c>
      <c r="C594" s="1" t="n">
        <v>45849</v>
      </c>
      <c r="D594" t="inlineStr">
        <is>
          <t>JÄMTLANDS LÄN</t>
        </is>
      </c>
      <c r="E594" t="inlineStr">
        <is>
          <t>BERG</t>
        </is>
      </c>
      <c r="G594" t="n">
        <v>2.2</v>
      </c>
      <c r="H594" t="n">
        <v>0</v>
      </c>
      <c r="I594" t="n">
        <v>0</v>
      </c>
      <c r="J594" t="n">
        <v>0</v>
      </c>
      <c r="K594" t="n">
        <v>0</v>
      </c>
      <c r="L594" t="n">
        <v>0</v>
      </c>
      <c r="M594" t="n">
        <v>0</v>
      </c>
      <c r="N594" t="n">
        <v>0</v>
      </c>
      <c r="O594" t="n">
        <v>0</v>
      </c>
      <c r="P594" t="n">
        <v>0</v>
      </c>
      <c r="Q594" t="n">
        <v>0</v>
      </c>
      <c r="R594" s="2" t="inlineStr"/>
    </row>
    <row r="595" ht="15" customHeight="1">
      <c r="A595" t="inlineStr">
        <is>
          <t>A 45972-2022</t>
        </is>
      </c>
      <c r="B595" s="1" t="n">
        <v>44846</v>
      </c>
      <c r="C595" s="1" t="n">
        <v>45849</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45967-2022</t>
        </is>
      </c>
      <c r="B596" s="1" t="n">
        <v>44846</v>
      </c>
      <c r="C596" s="1" t="n">
        <v>45849</v>
      </c>
      <c r="D596" t="inlineStr">
        <is>
          <t>JÄMTLANDS LÄN</t>
        </is>
      </c>
      <c r="E596" t="inlineStr">
        <is>
          <t>BERG</t>
        </is>
      </c>
      <c r="G596" t="n">
        <v>5.9</v>
      </c>
      <c r="H596" t="n">
        <v>0</v>
      </c>
      <c r="I596" t="n">
        <v>0</v>
      </c>
      <c r="J596" t="n">
        <v>0</v>
      </c>
      <c r="K596" t="n">
        <v>0</v>
      </c>
      <c r="L596" t="n">
        <v>0</v>
      </c>
      <c r="M596" t="n">
        <v>0</v>
      </c>
      <c r="N596" t="n">
        <v>0</v>
      </c>
      <c r="O596" t="n">
        <v>0</v>
      </c>
      <c r="P596" t="n">
        <v>0</v>
      </c>
      <c r="Q596" t="n">
        <v>0</v>
      </c>
      <c r="R596" s="2" t="inlineStr"/>
    </row>
    <row r="597" ht="15" customHeight="1">
      <c r="A597" t="inlineStr">
        <is>
          <t>A 46199-2022</t>
        </is>
      </c>
      <c r="B597" s="1" t="n">
        <v>44847</v>
      </c>
      <c r="C597" s="1" t="n">
        <v>45849</v>
      </c>
      <c r="D597" t="inlineStr">
        <is>
          <t>JÄMTLANDS LÄN</t>
        </is>
      </c>
      <c r="E597" t="inlineStr">
        <is>
          <t>BERG</t>
        </is>
      </c>
      <c r="G597" t="n">
        <v>5.6</v>
      </c>
      <c r="H597" t="n">
        <v>0</v>
      </c>
      <c r="I597" t="n">
        <v>0</v>
      </c>
      <c r="J597" t="n">
        <v>0</v>
      </c>
      <c r="K597" t="n">
        <v>0</v>
      </c>
      <c r="L597" t="n">
        <v>0</v>
      </c>
      <c r="M597" t="n">
        <v>0</v>
      </c>
      <c r="N597" t="n">
        <v>0</v>
      </c>
      <c r="O597" t="n">
        <v>0</v>
      </c>
      <c r="P597" t="n">
        <v>0</v>
      </c>
      <c r="Q597" t="n">
        <v>0</v>
      </c>
      <c r="R597" s="2" t="inlineStr"/>
    </row>
    <row r="598" ht="15" customHeight="1">
      <c r="A598" t="inlineStr">
        <is>
          <t>A 46278-2022</t>
        </is>
      </c>
      <c r="B598" s="1" t="n">
        <v>44847</v>
      </c>
      <c r="C598" s="1" t="n">
        <v>45849</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46907-2022</t>
        </is>
      </c>
      <c r="B599" s="1" t="n">
        <v>44851</v>
      </c>
      <c r="C599" s="1" t="n">
        <v>45849</v>
      </c>
      <c r="D599" t="inlineStr">
        <is>
          <t>JÄMTLANDS LÄN</t>
        </is>
      </c>
      <c r="E599" t="inlineStr">
        <is>
          <t>BERG</t>
        </is>
      </c>
      <c r="G599" t="n">
        <v>15.1</v>
      </c>
      <c r="H599" t="n">
        <v>0</v>
      </c>
      <c r="I599" t="n">
        <v>0</v>
      </c>
      <c r="J599" t="n">
        <v>0</v>
      </c>
      <c r="K599" t="n">
        <v>0</v>
      </c>
      <c r="L599" t="n">
        <v>0</v>
      </c>
      <c r="M599" t="n">
        <v>0</v>
      </c>
      <c r="N599" t="n">
        <v>0</v>
      </c>
      <c r="O599" t="n">
        <v>0</v>
      </c>
      <c r="P599" t="n">
        <v>0</v>
      </c>
      <c r="Q599" t="n">
        <v>0</v>
      </c>
      <c r="R599" s="2" t="inlineStr"/>
    </row>
    <row r="600" ht="15" customHeight="1">
      <c r="A600" t="inlineStr">
        <is>
          <t>A 47432-2022</t>
        </is>
      </c>
      <c r="B600" s="1" t="n">
        <v>44853</v>
      </c>
      <c r="C600" s="1" t="n">
        <v>45849</v>
      </c>
      <c r="D600" t="inlineStr">
        <is>
          <t>JÄMTLANDS LÄN</t>
        </is>
      </c>
      <c r="E600" t="inlineStr">
        <is>
          <t>BERG</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47982-2022</t>
        </is>
      </c>
      <c r="B601" s="1" t="n">
        <v>44853</v>
      </c>
      <c r="C601" s="1" t="n">
        <v>45849</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47967-2022</t>
        </is>
      </c>
      <c r="B602" s="1" t="n">
        <v>44853</v>
      </c>
      <c r="C602" s="1" t="n">
        <v>45849</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47978-2022</t>
        </is>
      </c>
      <c r="B603" s="1" t="n">
        <v>44853</v>
      </c>
      <c r="C603" s="1" t="n">
        <v>45849</v>
      </c>
      <c r="D603" t="inlineStr">
        <is>
          <t>JÄMTLANDS LÄN</t>
        </is>
      </c>
      <c r="E603" t="inlineStr">
        <is>
          <t>BERG</t>
        </is>
      </c>
      <c r="G603" t="n">
        <v>7.1</v>
      </c>
      <c r="H603" t="n">
        <v>0</v>
      </c>
      <c r="I603" t="n">
        <v>0</v>
      </c>
      <c r="J603" t="n">
        <v>0</v>
      </c>
      <c r="K603" t="n">
        <v>0</v>
      </c>
      <c r="L603" t="n">
        <v>0</v>
      </c>
      <c r="M603" t="n">
        <v>0</v>
      </c>
      <c r="N603" t="n">
        <v>0</v>
      </c>
      <c r="O603" t="n">
        <v>0</v>
      </c>
      <c r="P603" t="n">
        <v>0</v>
      </c>
      <c r="Q603" t="n">
        <v>0</v>
      </c>
      <c r="R603" s="2" t="inlineStr"/>
    </row>
    <row r="604" ht="15" customHeight="1">
      <c r="A604" t="inlineStr">
        <is>
          <t>A 48729-2022</t>
        </is>
      </c>
      <c r="B604" s="1" t="n">
        <v>44855</v>
      </c>
      <c r="C604" s="1" t="n">
        <v>45849</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49035-2022</t>
        </is>
      </c>
      <c r="B605" s="1" t="n">
        <v>44855</v>
      </c>
      <c r="C605" s="1" t="n">
        <v>45849</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49104-2022</t>
        </is>
      </c>
      <c r="B606" s="1" t="n">
        <v>44855</v>
      </c>
      <c r="C606" s="1" t="n">
        <v>45849</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48756-2022</t>
        </is>
      </c>
      <c r="B607" s="1" t="n">
        <v>44859</v>
      </c>
      <c r="C607" s="1" t="n">
        <v>45849</v>
      </c>
      <c r="D607" t="inlineStr">
        <is>
          <t>JÄMTLANDS LÄN</t>
        </is>
      </c>
      <c r="E607" t="inlineStr">
        <is>
          <t>BERG</t>
        </is>
      </c>
      <c r="G607" t="n">
        <v>10.8</v>
      </c>
      <c r="H607" t="n">
        <v>0</v>
      </c>
      <c r="I607" t="n">
        <v>0</v>
      </c>
      <c r="J607" t="n">
        <v>0</v>
      </c>
      <c r="K607" t="n">
        <v>0</v>
      </c>
      <c r="L607" t="n">
        <v>0</v>
      </c>
      <c r="M607" t="n">
        <v>0</v>
      </c>
      <c r="N607" t="n">
        <v>0</v>
      </c>
      <c r="O607" t="n">
        <v>0</v>
      </c>
      <c r="P607" t="n">
        <v>0</v>
      </c>
      <c r="Q607" t="n">
        <v>0</v>
      </c>
      <c r="R607" s="2" t="inlineStr"/>
    </row>
    <row r="608" ht="15" customHeight="1">
      <c r="A608" t="inlineStr">
        <is>
          <t>A 49196-2022</t>
        </is>
      </c>
      <c r="B608" s="1" t="n">
        <v>44861</v>
      </c>
      <c r="C608" s="1" t="n">
        <v>45849</v>
      </c>
      <c r="D608" t="inlineStr">
        <is>
          <t>JÄMTLANDS LÄN</t>
        </is>
      </c>
      <c r="E608" t="inlineStr">
        <is>
          <t>BERG</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50024-2022</t>
        </is>
      </c>
      <c r="B609" s="1" t="n">
        <v>44860</v>
      </c>
      <c r="C609" s="1" t="n">
        <v>45849</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49643-2022</t>
        </is>
      </c>
      <c r="B610" s="1" t="n">
        <v>44862</v>
      </c>
      <c r="C610" s="1" t="n">
        <v>45849</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49851-2022</t>
        </is>
      </c>
      <c r="B611" s="1" t="n">
        <v>44863</v>
      </c>
      <c r="C611" s="1" t="n">
        <v>45849</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50679-2022</t>
        </is>
      </c>
      <c r="B612" s="1" t="n">
        <v>44866</v>
      </c>
      <c r="C612" s="1" t="n">
        <v>45849</v>
      </c>
      <c r="D612" t="inlineStr">
        <is>
          <t>JÄMTLANDS LÄN</t>
        </is>
      </c>
      <c r="E612" t="inlineStr">
        <is>
          <t>BERG</t>
        </is>
      </c>
      <c r="F612" t="inlineStr">
        <is>
          <t>SCA</t>
        </is>
      </c>
      <c r="G612" t="n">
        <v>18.6</v>
      </c>
      <c r="H612" t="n">
        <v>0</v>
      </c>
      <c r="I612" t="n">
        <v>0</v>
      </c>
      <c r="J612" t="n">
        <v>0</v>
      </c>
      <c r="K612" t="n">
        <v>0</v>
      </c>
      <c r="L612" t="n">
        <v>0</v>
      </c>
      <c r="M612" t="n">
        <v>0</v>
      </c>
      <c r="N612" t="n">
        <v>0</v>
      </c>
      <c r="O612" t="n">
        <v>0</v>
      </c>
      <c r="P612" t="n">
        <v>0</v>
      </c>
      <c r="Q612" t="n">
        <v>0</v>
      </c>
      <c r="R612" s="2" t="inlineStr"/>
    </row>
    <row r="613" ht="15" customHeight="1">
      <c r="A613" t="inlineStr">
        <is>
          <t>A 50678-2022</t>
        </is>
      </c>
      <c r="B613" s="1" t="n">
        <v>44866</v>
      </c>
      <c r="C613" s="1" t="n">
        <v>45849</v>
      </c>
      <c r="D613" t="inlineStr">
        <is>
          <t>JÄMTLANDS LÄN</t>
        </is>
      </c>
      <c r="E613" t="inlineStr">
        <is>
          <t>BERG</t>
        </is>
      </c>
      <c r="F613" t="inlineStr">
        <is>
          <t>SCA</t>
        </is>
      </c>
      <c r="G613" t="n">
        <v>18.5</v>
      </c>
      <c r="H613" t="n">
        <v>0</v>
      </c>
      <c r="I613" t="n">
        <v>0</v>
      </c>
      <c r="J613" t="n">
        <v>0</v>
      </c>
      <c r="K613" t="n">
        <v>0</v>
      </c>
      <c r="L613" t="n">
        <v>0</v>
      </c>
      <c r="M613" t="n">
        <v>0</v>
      </c>
      <c r="N613" t="n">
        <v>0</v>
      </c>
      <c r="O613" t="n">
        <v>0</v>
      </c>
      <c r="P613" t="n">
        <v>0</v>
      </c>
      <c r="Q613" t="n">
        <v>0</v>
      </c>
      <c r="R613" s="2" t="inlineStr"/>
    </row>
    <row r="614" ht="15" customHeight="1">
      <c r="A614" t="inlineStr">
        <is>
          <t>A 52927-2022</t>
        </is>
      </c>
      <c r="B614" s="1" t="n">
        <v>44872</v>
      </c>
      <c r="C614" s="1" t="n">
        <v>45849</v>
      </c>
      <c r="D614" t="inlineStr">
        <is>
          <t>JÄMTLANDS LÄN</t>
        </is>
      </c>
      <c r="E614" t="inlineStr">
        <is>
          <t>BERG</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53456-2022</t>
        </is>
      </c>
      <c r="B615" s="1" t="n">
        <v>44874</v>
      </c>
      <c r="C615" s="1" t="n">
        <v>45849</v>
      </c>
      <c r="D615" t="inlineStr">
        <is>
          <t>JÄMTLANDS LÄN</t>
        </is>
      </c>
      <c r="E615" t="inlineStr">
        <is>
          <t>BERG</t>
        </is>
      </c>
      <c r="G615" t="n">
        <v>13.3</v>
      </c>
      <c r="H615" t="n">
        <v>0</v>
      </c>
      <c r="I615" t="n">
        <v>0</v>
      </c>
      <c r="J615" t="n">
        <v>0</v>
      </c>
      <c r="K615" t="n">
        <v>0</v>
      </c>
      <c r="L615" t="n">
        <v>0</v>
      </c>
      <c r="M615" t="n">
        <v>0</v>
      </c>
      <c r="N615" t="n">
        <v>0</v>
      </c>
      <c r="O615" t="n">
        <v>0</v>
      </c>
      <c r="P615" t="n">
        <v>0</v>
      </c>
      <c r="Q615" t="n">
        <v>0</v>
      </c>
      <c r="R615" s="2" t="inlineStr"/>
    </row>
    <row r="616" ht="15" customHeight="1">
      <c r="A616" t="inlineStr">
        <is>
          <t>A 53015-2022</t>
        </is>
      </c>
      <c r="B616" s="1" t="n">
        <v>44875</v>
      </c>
      <c r="C616" s="1" t="n">
        <v>45849</v>
      </c>
      <c r="D616" t="inlineStr">
        <is>
          <t>JÄMTLANDS LÄN</t>
        </is>
      </c>
      <c r="E616" t="inlineStr">
        <is>
          <t>BERG</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53521-2022</t>
        </is>
      </c>
      <c r="B617" s="1" t="n">
        <v>44875</v>
      </c>
      <c r="C617" s="1" t="n">
        <v>45849</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54410-2022</t>
        </is>
      </c>
      <c r="B618" s="1" t="n">
        <v>44879</v>
      </c>
      <c r="C618" s="1" t="n">
        <v>45849</v>
      </c>
      <c r="D618" t="inlineStr">
        <is>
          <t>JÄMTLANDS LÄN</t>
        </is>
      </c>
      <c r="E618" t="inlineStr">
        <is>
          <t>BERG</t>
        </is>
      </c>
      <c r="G618" t="n">
        <v>8.5</v>
      </c>
      <c r="H618" t="n">
        <v>0</v>
      </c>
      <c r="I618" t="n">
        <v>0</v>
      </c>
      <c r="J618" t="n">
        <v>0</v>
      </c>
      <c r="K618" t="n">
        <v>0</v>
      </c>
      <c r="L618" t="n">
        <v>0</v>
      </c>
      <c r="M618" t="n">
        <v>0</v>
      </c>
      <c r="N618" t="n">
        <v>0</v>
      </c>
      <c r="O618" t="n">
        <v>0</v>
      </c>
      <c r="P618" t="n">
        <v>0</v>
      </c>
      <c r="Q618" t="n">
        <v>0</v>
      </c>
      <c r="R618" s="2" t="inlineStr"/>
    </row>
    <row r="619" ht="15" customHeight="1">
      <c r="A619" t="inlineStr">
        <is>
          <t>A 55518-2022</t>
        </is>
      </c>
      <c r="B619" s="1" t="n">
        <v>44887</v>
      </c>
      <c r="C619" s="1" t="n">
        <v>45849</v>
      </c>
      <c r="D619" t="inlineStr">
        <is>
          <t>JÄMTLANDS LÄN</t>
        </is>
      </c>
      <c r="E619" t="inlineStr">
        <is>
          <t>BERG</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57183-2022</t>
        </is>
      </c>
      <c r="B620" s="1" t="n">
        <v>44895</v>
      </c>
      <c r="C620" s="1" t="n">
        <v>45849</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57226-2022</t>
        </is>
      </c>
      <c r="B621" s="1" t="n">
        <v>44895</v>
      </c>
      <c r="C621" s="1" t="n">
        <v>45849</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57842-2022</t>
        </is>
      </c>
      <c r="B622" s="1" t="n">
        <v>44897</v>
      </c>
      <c r="C622" s="1" t="n">
        <v>45849</v>
      </c>
      <c r="D622" t="inlineStr">
        <is>
          <t>JÄMTLANDS LÄN</t>
        </is>
      </c>
      <c r="E622" t="inlineStr">
        <is>
          <t>BERG</t>
        </is>
      </c>
      <c r="G622" t="n">
        <v>9.9</v>
      </c>
      <c r="H622" t="n">
        <v>0</v>
      </c>
      <c r="I622" t="n">
        <v>0</v>
      </c>
      <c r="J622" t="n">
        <v>0</v>
      </c>
      <c r="K622" t="n">
        <v>0</v>
      </c>
      <c r="L622" t="n">
        <v>0</v>
      </c>
      <c r="M622" t="n">
        <v>0</v>
      </c>
      <c r="N622" t="n">
        <v>0</v>
      </c>
      <c r="O622" t="n">
        <v>0</v>
      </c>
      <c r="P622" t="n">
        <v>0</v>
      </c>
      <c r="Q622" t="n">
        <v>0</v>
      </c>
      <c r="R622" s="2" t="inlineStr"/>
    </row>
    <row r="623" ht="15" customHeight="1">
      <c r="A623" t="inlineStr">
        <is>
          <t>A 58180-2022</t>
        </is>
      </c>
      <c r="B623" s="1" t="n">
        <v>44900</v>
      </c>
      <c r="C623" s="1" t="n">
        <v>45849</v>
      </c>
      <c r="D623" t="inlineStr">
        <is>
          <t>JÄMTLANDS LÄN</t>
        </is>
      </c>
      <c r="E623" t="inlineStr">
        <is>
          <t>BERG</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58431-2022</t>
        </is>
      </c>
      <c r="B624" s="1" t="n">
        <v>44901</v>
      </c>
      <c r="C624" s="1" t="n">
        <v>45849</v>
      </c>
      <c r="D624" t="inlineStr">
        <is>
          <t>JÄMTLANDS LÄN</t>
        </is>
      </c>
      <c r="E624" t="inlineStr">
        <is>
          <t>BERG</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58432-2022</t>
        </is>
      </c>
      <c r="B625" s="1" t="n">
        <v>44901</v>
      </c>
      <c r="C625" s="1" t="n">
        <v>45849</v>
      </c>
      <c r="D625" t="inlineStr">
        <is>
          <t>JÄMTLANDS LÄN</t>
        </is>
      </c>
      <c r="E625" t="inlineStr">
        <is>
          <t>BERG</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60068-2022</t>
        </is>
      </c>
      <c r="B626" s="1" t="n">
        <v>44902</v>
      </c>
      <c r="C626" s="1" t="n">
        <v>45849</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60028-2022</t>
        </is>
      </c>
      <c r="B627" s="1" t="n">
        <v>44902</v>
      </c>
      <c r="C627" s="1" t="n">
        <v>45849</v>
      </c>
      <c r="D627" t="inlineStr">
        <is>
          <t>JÄMTLANDS LÄN</t>
        </is>
      </c>
      <c r="E627" t="inlineStr">
        <is>
          <t>BERG</t>
        </is>
      </c>
      <c r="G627" t="n">
        <v>20</v>
      </c>
      <c r="H627" t="n">
        <v>0</v>
      </c>
      <c r="I627" t="n">
        <v>0</v>
      </c>
      <c r="J627" t="n">
        <v>0</v>
      </c>
      <c r="K627" t="n">
        <v>0</v>
      </c>
      <c r="L627" t="n">
        <v>0</v>
      </c>
      <c r="M627" t="n">
        <v>0</v>
      </c>
      <c r="N627" t="n">
        <v>0</v>
      </c>
      <c r="O627" t="n">
        <v>0</v>
      </c>
      <c r="P627" t="n">
        <v>0</v>
      </c>
      <c r="Q627" t="n">
        <v>0</v>
      </c>
      <c r="R627" s="2" t="inlineStr"/>
    </row>
    <row r="628" ht="15" customHeight="1">
      <c r="A628" t="inlineStr">
        <is>
          <t>A 60024-2022</t>
        </is>
      </c>
      <c r="B628" s="1" t="n">
        <v>44902</v>
      </c>
      <c r="C628" s="1" t="n">
        <v>45849</v>
      </c>
      <c r="D628" t="inlineStr">
        <is>
          <t>JÄMTLANDS LÄN</t>
        </is>
      </c>
      <c r="E628" t="inlineStr">
        <is>
          <t>BERG</t>
        </is>
      </c>
      <c r="G628" t="n">
        <v>6.2</v>
      </c>
      <c r="H628" t="n">
        <v>0</v>
      </c>
      <c r="I628" t="n">
        <v>0</v>
      </c>
      <c r="J628" t="n">
        <v>0</v>
      </c>
      <c r="K628" t="n">
        <v>0</v>
      </c>
      <c r="L628" t="n">
        <v>0</v>
      </c>
      <c r="M628" t="n">
        <v>0</v>
      </c>
      <c r="N628" t="n">
        <v>0</v>
      </c>
      <c r="O628" t="n">
        <v>0</v>
      </c>
      <c r="P628" t="n">
        <v>0</v>
      </c>
      <c r="Q628" t="n">
        <v>0</v>
      </c>
      <c r="R628" s="2" t="inlineStr"/>
    </row>
    <row r="629" ht="15" customHeight="1">
      <c r="A629" t="inlineStr">
        <is>
          <t>A 58910-2022</t>
        </is>
      </c>
      <c r="B629" s="1" t="n">
        <v>44903</v>
      </c>
      <c r="C629" s="1" t="n">
        <v>45849</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60274-2022</t>
        </is>
      </c>
      <c r="B630" s="1" t="n">
        <v>44903</v>
      </c>
      <c r="C630" s="1" t="n">
        <v>45849</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60249-2022</t>
        </is>
      </c>
      <c r="B631" s="1" t="n">
        <v>44903</v>
      </c>
      <c r="C631" s="1" t="n">
        <v>45849</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60280-2022</t>
        </is>
      </c>
      <c r="B632" s="1" t="n">
        <v>44903</v>
      </c>
      <c r="C632" s="1" t="n">
        <v>45849</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60271-2022</t>
        </is>
      </c>
      <c r="B633" s="1" t="n">
        <v>44903</v>
      </c>
      <c r="C633" s="1" t="n">
        <v>45849</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59634-2022</t>
        </is>
      </c>
      <c r="B634" s="1" t="n">
        <v>44908</v>
      </c>
      <c r="C634" s="1" t="n">
        <v>45849</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59652-2022</t>
        </is>
      </c>
      <c r="B635" s="1" t="n">
        <v>44908</v>
      </c>
      <c r="C635" s="1" t="n">
        <v>45849</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59635-2022</t>
        </is>
      </c>
      <c r="B636" s="1" t="n">
        <v>44907</v>
      </c>
      <c r="C636" s="1" t="n">
        <v>45849</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60845-2022</t>
        </is>
      </c>
      <c r="B637" s="1" t="n">
        <v>44907</v>
      </c>
      <c r="C637" s="1" t="n">
        <v>45849</v>
      </c>
      <c r="D637" t="inlineStr">
        <is>
          <t>JÄMTLANDS LÄN</t>
        </is>
      </c>
      <c r="E637" t="inlineStr">
        <is>
          <t>BERG</t>
        </is>
      </c>
      <c r="G637" t="n">
        <v>14.6</v>
      </c>
      <c r="H637" t="n">
        <v>0</v>
      </c>
      <c r="I637" t="n">
        <v>0</v>
      </c>
      <c r="J637" t="n">
        <v>0</v>
      </c>
      <c r="K637" t="n">
        <v>0</v>
      </c>
      <c r="L637" t="n">
        <v>0</v>
      </c>
      <c r="M637" t="n">
        <v>0</v>
      </c>
      <c r="N637" t="n">
        <v>0</v>
      </c>
      <c r="O637" t="n">
        <v>0</v>
      </c>
      <c r="P637" t="n">
        <v>0</v>
      </c>
      <c r="Q637" t="n">
        <v>0</v>
      </c>
      <c r="R637" s="2" t="inlineStr"/>
    </row>
    <row r="638" ht="15" customHeight="1">
      <c r="A638" t="inlineStr">
        <is>
          <t>A 59650-2022</t>
        </is>
      </c>
      <c r="B638" s="1" t="n">
        <v>44907</v>
      </c>
      <c r="C638" s="1" t="n">
        <v>45849</v>
      </c>
      <c r="D638" t="inlineStr">
        <is>
          <t>JÄMTLANDS LÄN</t>
        </is>
      </c>
      <c r="E638" t="inlineStr">
        <is>
          <t>BERG</t>
        </is>
      </c>
      <c r="G638" t="n">
        <v>3.3</v>
      </c>
      <c r="H638" t="n">
        <v>0</v>
      </c>
      <c r="I638" t="n">
        <v>0</v>
      </c>
      <c r="J638" t="n">
        <v>0</v>
      </c>
      <c r="K638" t="n">
        <v>0</v>
      </c>
      <c r="L638" t="n">
        <v>0</v>
      </c>
      <c r="M638" t="n">
        <v>0</v>
      </c>
      <c r="N638" t="n">
        <v>0</v>
      </c>
      <c r="O638" t="n">
        <v>0</v>
      </c>
      <c r="P638" t="n">
        <v>0</v>
      </c>
      <c r="Q638" t="n">
        <v>0</v>
      </c>
      <c r="R638" s="2" t="inlineStr"/>
    </row>
    <row r="639" ht="15" customHeight="1">
      <c r="A639" t="inlineStr">
        <is>
          <t>A 59651-2022</t>
        </is>
      </c>
      <c r="B639" s="1" t="n">
        <v>44908</v>
      </c>
      <c r="C639" s="1" t="n">
        <v>45849</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60852-2022</t>
        </is>
      </c>
      <c r="B640" s="1" t="n">
        <v>44908</v>
      </c>
      <c r="C640" s="1" t="n">
        <v>45849</v>
      </c>
      <c r="D640" t="inlineStr">
        <is>
          <t>JÄMTLANDS LÄN</t>
        </is>
      </c>
      <c r="E640" t="inlineStr">
        <is>
          <t>BERG</t>
        </is>
      </c>
      <c r="G640" t="n">
        <v>17.3</v>
      </c>
      <c r="H640" t="n">
        <v>0</v>
      </c>
      <c r="I640" t="n">
        <v>0</v>
      </c>
      <c r="J640" t="n">
        <v>0</v>
      </c>
      <c r="K640" t="n">
        <v>0</v>
      </c>
      <c r="L640" t="n">
        <v>0</v>
      </c>
      <c r="M640" t="n">
        <v>0</v>
      </c>
      <c r="N640" t="n">
        <v>0</v>
      </c>
      <c r="O640" t="n">
        <v>0</v>
      </c>
      <c r="P640" t="n">
        <v>0</v>
      </c>
      <c r="Q640" t="n">
        <v>0</v>
      </c>
      <c r="R640" s="2" t="inlineStr"/>
    </row>
    <row r="641" ht="15" customHeight="1">
      <c r="A641" t="inlineStr">
        <is>
          <t>A 60854-2022</t>
        </is>
      </c>
      <c r="B641" s="1" t="n">
        <v>44908</v>
      </c>
      <c r="C641" s="1" t="n">
        <v>45849</v>
      </c>
      <c r="D641" t="inlineStr">
        <is>
          <t>JÄMTLANDS LÄN</t>
        </is>
      </c>
      <c r="E641" t="inlineStr">
        <is>
          <t>BERG</t>
        </is>
      </c>
      <c r="G641" t="n">
        <v>26.9</v>
      </c>
      <c r="H641" t="n">
        <v>0</v>
      </c>
      <c r="I641" t="n">
        <v>0</v>
      </c>
      <c r="J641" t="n">
        <v>0</v>
      </c>
      <c r="K641" t="n">
        <v>0</v>
      </c>
      <c r="L641" t="n">
        <v>0</v>
      </c>
      <c r="M641" t="n">
        <v>0</v>
      </c>
      <c r="N641" t="n">
        <v>0</v>
      </c>
      <c r="O641" t="n">
        <v>0</v>
      </c>
      <c r="P641" t="n">
        <v>0</v>
      </c>
      <c r="Q641" t="n">
        <v>0</v>
      </c>
      <c r="R641" s="2" t="inlineStr"/>
    </row>
    <row r="642" ht="15" customHeight="1">
      <c r="A642" t="inlineStr">
        <is>
          <t>A 61248-2022</t>
        </is>
      </c>
      <c r="B642" s="1" t="n">
        <v>44909</v>
      </c>
      <c r="C642" s="1" t="n">
        <v>45849</v>
      </c>
      <c r="D642" t="inlineStr">
        <is>
          <t>JÄMTLANDS LÄN</t>
        </is>
      </c>
      <c r="E642" t="inlineStr">
        <is>
          <t>BERG</t>
        </is>
      </c>
      <c r="G642" t="n">
        <v>2.8</v>
      </c>
      <c r="H642" t="n">
        <v>0</v>
      </c>
      <c r="I642" t="n">
        <v>0</v>
      </c>
      <c r="J642" t="n">
        <v>0</v>
      </c>
      <c r="K642" t="n">
        <v>0</v>
      </c>
      <c r="L642" t="n">
        <v>0</v>
      </c>
      <c r="M642" t="n">
        <v>0</v>
      </c>
      <c r="N642" t="n">
        <v>0</v>
      </c>
      <c r="O642" t="n">
        <v>0</v>
      </c>
      <c r="P642" t="n">
        <v>0</v>
      </c>
      <c r="Q642" t="n">
        <v>0</v>
      </c>
      <c r="R642" s="2" t="inlineStr"/>
    </row>
    <row r="643" ht="15" customHeight="1">
      <c r="A643" t="inlineStr">
        <is>
          <t>A 61251-2022</t>
        </is>
      </c>
      <c r="B643" s="1" t="n">
        <v>44909</v>
      </c>
      <c r="C643" s="1" t="n">
        <v>45849</v>
      </c>
      <c r="D643" t="inlineStr">
        <is>
          <t>JÄMTLANDS LÄN</t>
        </is>
      </c>
      <c r="E643" t="inlineStr">
        <is>
          <t>BERG</t>
        </is>
      </c>
      <c r="G643" t="n">
        <v>3</v>
      </c>
      <c r="H643" t="n">
        <v>0</v>
      </c>
      <c r="I643" t="n">
        <v>0</v>
      </c>
      <c r="J643" t="n">
        <v>0</v>
      </c>
      <c r="K643" t="n">
        <v>0</v>
      </c>
      <c r="L643" t="n">
        <v>0</v>
      </c>
      <c r="M643" t="n">
        <v>0</v>
      </c>
      <c r="N643" t="n">
        <v>0</v>
      </c>
      <c r="O643" t="n">
        <v>0</v>
      </c>
      <c r="P643" t="n">
        <v>0</v>
      </c>
      <c r="Q643" t="n">
        <v>0</v>
      </c>
      <c r="R643" s="2" t="inlineStr"/>
    </row>
    <row r="644" ht="15" customHeight="1">
      <c r="A644" t="inlineStr">
        <is>
          <t>A 61239-2022</t>
        </is>
      </c>
      <c r="B644" s="1" t="n">
        <v>44909</v>
      </c>
      <c r="C644" s="1" t="n">
        <v>45849</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45849</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60587-2022</t>
        </is>
      </c>
      <c r="B646" s="1" t="n">
        <v>44911</v>
      </c>
      <c r="C646" s="1" t="n">
        <v>45849</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60668-2022</t>
        </is>
      </c>
      <c r="B647" s="1" t="n">
        <v>44911</v>
      </c>
      <c r="C647" s="1" t="n">
        <v>45849</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60657-2022</t>
        </is>
      </c>
      <c r="B648" s="1" t="n">
        <v>44911</v>
      </c>
      <c r="C648" s="1" t="n">
        <v>45849</v>
      </c>
      <c r="D648" t="inlineStr">
        <is>
          <t>JÄMTLANDS LÄN</t>
        </is>
      </c>
      <c r="E648" t="inlineStr">
        <is>
          <t>BERG</t>
        </is>
      </c>
      <c r="G648" t="n">
        <v>11.7</v>
      </c>
      <c r="H648" t="n">
        <v>0</v>
      </c>
      <c r="I648" t="n">
        <v>0</v>
      </c>
      <c r="J648" t="n">
        <v>0</v>
      </c>
      <c r="K648" t="n">
        <v>0</v>
      </c>
      <c r="L648" t="n">
        <v>0</v>
      </c>
      <c r="M648" t="n">
        <v>0</v>
      </c>
      <c r="N648" t="n">
        <v>0</v>
      </c>
      <c r="O648" t="n">
        <v>0</v>
      </c>
      <c r="P648" t="n">
        <v>0</v>
      </c>
      <c r="Q648" t="n">
        <v>0</v>
      </c>
      <c r="R648" s="2" t="inlineStr"/>
    </row>
    <row r="649" ht="15" customHeight="1">
      <c r="A649" t="inlineStr">
        <is>
          <t>A 62153-2022</t>
        </is>
      </c>
      <c r="B649" s="1" t="n">
        <v>44914</v>
      </c>
      <c r="C649" s="1" t="n">
        <v>45849</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62147-2022</t>
        </is>
      </c>
      <c r="B650" s="1" t="n">
        <v>44914</v>
      </c>
      <c r="C650" s="1" t="n">
        <v>45849</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62205-2022</t>
        </is>
      </c>
      <c r="B651" s="1" t="n">
        <v>44915</v>
      </c>
      <c r="C651" s="1" t="n">
        <v>45849</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61472-2022</t>
        </is>
      </c>
      <c r="B652" s="1" t="n">
        <v>44916</v>
      </c>
      <c r="C652" s="1" t="n">
        <v>45849</v>
      </c>
      <c r="D652" t="inlineStr">
        <is>
          <t>JÄMTLANDS LÄN</t>
        </is>
      </c>
      <c r="E652" t="inlineStr">
        <is>
          <t>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61917-2022</t>
        </is>
      </c>
      <c r="B653" s="1" t="n">
        <v>44917</v>
      </c>
      <c r="C653" s="1" t="n">
        <v>45849</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62659-2022</t>
        </is>
      </c>
      <c r="B654" s="1" t="n">
        <v>44917</v>
      </c>
      <c r="C654" s="1" t="n">
        <v>45849</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62029-2022</t>
        </is>
      </c>
      <c r="B655" s="1" t="n">
        <v>44918</v>
      </c>
      <c r="C655" s="1" t="n">
        <v>45849</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441-2023</t>
        </is>
      </c>
      <c r="B656" s="1" t="n">
        <v>44923</v>
      </c>
      <c r="C656" s="1" t="n">
        <v>45849</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433-2023</t>
        </is>
      </c>
      <c r="B657" s="1" t="n">
        <v>44923</v>
      </c>
      <c r="C657" s="1" t="n">
        <v>45849</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442-2023</t>
        </is>
      </c>
      <c r="B658" s="1" t="n">
        <v>44923</v>
      </c>
      <c r="C658" s="1" t="n">
        <v>45849</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45849</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613-2023</t>
        </is>
      </c>
      <c r="B660" s="1" t="n">
        <v>44924</v>
      </c>
      <c r="C660" s="1" t="n">
        <v>45849</v>
      </c>
      <c r="D660" t="inlineStr">
        <is>
          <t>JÄMTLANDS LÄN</t>
        </is>
      </c>
      <c r="E660" t="inlineStr">
        <is>
          <t>BERG</t>
        </is>
      </c>
      <c r="G660" t="n">
        <v>3.1</v>
      </c>
      <c r="H660" t="n">
        <v>0</v>
      </c>
      <c r="I660" t="n">
        <v>0</v>
      </c>
      <c r="J660" t="n">
        <v>0</v>
      </c>
      <c r="K660" t="n">
        <v>0</v>
      </c>
      <c r="L660" t="n">
        <v>0</v>
      </c>
      <c r="M660" t="n">
        <v>0</v>
      </c>
      <c r="N660" t="n">
        <v>0</v>
      </c>
      <c r="O660" t="n">
        <v>0</v>
      </c>
      <c r="P660" t="n">
        <v>0</v>
      </c>
      <c r="Q660" t="n">
        <v>0</v>
      </c>
      <c r="R660" s="2" t="inlineStr"/>
    </row>
    <row r="661" ht="15" customHeight="1">
      <c r="A661" t="inlineStr">
        <is>
          <t>A 461-2023</t>
        </is>
      </c>
      <c r="B661" s="1" t="n">
        <v>44929</v>
      </c>
      <c r="C661" s="1" t="n">
        <v>45849</v>
      </c>
      <c r="D661" t="inlineStr">
        <is>
          <t>JÄMTLANDS LÄN</t>
        </is>
      </c>
      <c r="E661" t="inlineStr">
        <is>
          <t>BERG</t>
        </is>
      </c>
      <c r="G661" t="n">
        <v>5.8</v>
      </c>
      <c r="H661" t="n">
        <v>0</v>
      </c>
      <c r="I661" t="n">
        <v>0</v>
      </c>
      <c r="J661" t="n">
        <v>0</v>
      </c>
      <c r="K661" t="n">
        <v>0</v>
      </c>
      <c r="L661" t="n">
        <v>0</v>
      </c>
      <c r="M661" t="n">
        <v>0</v>
      </c>
      <c r="N661" t="n">
        <v>0</v>
      </c>
      <c r="O661" t="n">
        <v>0</v>
      </c>
      <c r="P661" t="n">
        <v>0</v>
      </c>
      <c r="Q661" t="n">
        <v>0</v>
      </c>
      <c r="R661" s="2" t="inlineStr"/>
    </row>
    <row r="662" ht="15" customHeight="1">
      <c r="A662" t="inlineStr">
        <is>
          <t>A 2267-2023</t>
        </is>
      </c>
      <c r="B662" s="1" t="n">
        <v>44942</v>
      </c>
      <c r="C662" s="1" t="n">
        <v>45849</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3842-2023</t>
        </is>
      </c>
      <c r="B663" s="1" t="n">
        <v>44951</v>
      </c>
      <c r="C663" s="1" t="n">
        <v>45849</v>
      </c>
      <c r="D663" t="inlineStr">
        <is>
          <t>JÄMTLANDS LÄN</t>
        </is>
      </c>
      <c r="E663" t="inlineStr">
        <is>
          <t>BERG</t>
        </is>
      </c>
      <c r="G663" t="n">
        <v>0.3</v>
      </c>
      <c r="H663" t="n">
        <v>0</v>
      </c>
      <c r="I663" t="n">
        <v>0</v>
      </c>
      <c r="J663" t="n">
        <v>0</v>
      </c>
      <c r="K663" t="n">
        <v>0</v>
      </c>
      <c r="L663" t="n">
        <v>0</v>
      </c>
      <c r="M663" t="n">
        <v>0</v>
      </c>
      <c r="N663" t="n">
        <v>0</v>
      </c>
      <c r="O663" t="n">
        <v>0</v>
      </c>
      <c r="P663" t="n">
        <v>0</v>
      </c>
      <c r="Q663" t="n">
        <v>0</v>
      </c>
      <c r="R663" s="2" t="inlineStr"/>
    </row>
    <row r="664" ht="15" customHeight="1">
      <c r="A664" t="inlineStr">
        <is>
          <t>A 7099-2023</t>
        </is>
      </c>
      <c r="B664" s="1" t="n">
        <v>44965</v>
      </c>
      <c r="C664" s="1" t="n">
        <v>45849</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7105-2023</t>
        </is>
      </c>
      <c r="B665" s="1" t="n">
        <v>44965</v>
      </c>
      <c r="C665" s="1" t="n">
        <v>45849</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7488-2023</t>
        </is>
      </c>
      <c r="B666" s="1" t="n">
        <v>44966</v>
      </c>
      <c r="C666" s="1" t="n">
        <v>45849</v>
      </c>
      <c r="D666" t="inlineStr">
        <is>
          <t>JÄMTLANDS LÄN</t>
        </is>
      </c>
      <c r="E666" t="inlineStr">
        <is>
          <t>BERG</t>
        </is>
      </c>
      <c r="G666" t="n">
        <v>19.5</v>
      </c>
      <c r="H666" t="n">
        <v>0</v>
      </c>
      <c r="I666" t="n">
        <v>0</v>
      </c>
      <c r="J666" t="n">
        <v>0</v>
      </c>
      <c r="K666" t="n">
        <v>0</v>
      </c>
      <c r="L666" t="n">
        <v>0</v>
      </c>
      <c r="M666" t="n">
        <v>0</v>
      </c>
      <c r="N666" t="n">
        <v>0</v>
      </c>
      <c r="O666" t="n">
        <v>0</v>
      </c>
      <c r="P666" t="n">
        <v>0</v>
      </c>
      <c r="Q666" t="n">
        <v>0</v>
      </c>
      <c r="R666" s="2" t="inlineStr"/>
    </row>
    <row r="667" ht="15" customHeight="1">
      <c r="A667" t="inlineStr">
        <is>
          <t>A 7463-2023</t>
        </is>
      </c>
      <c r="B667" s="1" t="n">
        <v>44966</v>
      </c>
      <c r="C667" s="1" t="n">
        <v>45849</v>
      </c>
      <c r="D667" t="inlineStr">
        <is>
          <t>JÄMTLANDS LÄN</t>
        </is>
      </c>
      <c r="E667" t="inlineStr">
        <is>
          <t>BERG</t>
        </is>
      </c>
      <c r="G667" t="n">
        <v>13.1</v>
      </c>
      <c r="H667" t="n">
        <v>0</v>
      </c>
      <c r="I667" t="n">
        <v>0</v>
      </c>
      <c r="J667" t="n">
        <v>0</v>
      </c>
      <c r="K667" t="n">
        <v>0</v>
      </c>
      <c r="L667" t="n">
        <v>0</v>
      </c>
      <c r="M667" t="n">
        <v>0</v>
      </c>
      <c r="N667" t="n">
        <v>0</v>
      </c>
      <c r="O667" t="n">
        <v>0</v>
      </c>
      <c r="P667" t="n">
        <v>0</v>
      </c>
      <c r="Q667" t="n">
        <v>0</v>
      </c>
      <c r="R667" s="2" t="inlineStr"/>
    </row>
    <row r="668" ht="15" customHeight="1">
      <c r="A668" t="inlineStr">
        <is>
          <t>A 7483-2023</t>
        </is>
      </c>
      <c r="B668" s="1" t="n">
        <v>44966</v>
      </c>
      <c r="C668" s="1" t="n">
        <v>45849</v>
      </c>
      <c r="D668" t="inlineStr">
        <is>
          <t>JÄMTLANDS LÄN</t>
        </is>
      </c>
      <c r="E668" t="inlineStr">
        <is>
          <t>BERG</t>
        </is>
      </c>
      <c r="G668" t="n">
        <v>20.1</v>
      </c>
      <c r="H668" t="n">
        <v>0</v>
      </c>
      <c r="I668" t="n">
        <v>0</v>
      </c>
      <c r="J668" t="n">
        <v>0</v>
      </c>
      <c r="K668" t="n">
        <v>0</v>
      </c>
      <c r="L668" t="n">
        <v>0</v>
      </c>
      <c r="M668" t="n">
        <v>0</v>
      </c>
      <c r="N668" t="n">
        <v>0</v>
      </c>
      <c r="O668" t="n">
        <v>0</v>
      </c>
      <c r="P668" t="n">
        <v>0</v>
      </c>
      <c r="Q668" t="n">
        <v>0</v>
      </c>
      <c r="R668" s="2" t="inlineStr"/>
    </row>
    <row r="669" ht="15" customHeight="1">
      <c r="A669" t="inlineStr">
        <is>
          <t>A 7802-2023</t>
        </is>
      </c>
      <c r="B669" s="1" t="n">
        <v>44973</v>
      </c>
      <c r="C669" s="1" t="n">
        <v>45849</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45849</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8413-2023</t>
        </is>
      </c>
      <c r="B671" s="1" t="n">
        <v>44977</v>
      </c>
      <c r="C671" s="1" t="n">
        <v>45849</v>
      </c>
      <c r="D671" t="inlineStr">
        <is>
          <t>JÄMTLANDS LÄN</t>
        </is>
      </c>
      <c r="E671" t="inlineStr">
        <is>
          <t>BERG</t>
        </is>
      </c>
      <c r="F671" t="inlineStr">
        <is>
          <t>Kyrkan</t>
        </is>
      </c>
      <c r="G671" t="n">
        <v>10.1</v>
      </c>
      <c r="H671" t="n">
        <v>0</v>
      </c>
      <c r="I671" t="n">
        <v>0</v>
      </c>
      <c r="J671" t="n">
        <v>0</v>
      </c>
      <c r="K671" t="n">
        <v>0</v>
      </c>
      <c r="L671" t="n">
        <v>0</v>
      </c>
      <c r="M671" t="n">
        <v>0</v>
      </c>
      <c r="N671" t="n">
        <v>0</v>
      </c>
      <c r="O671" t="n">
        <v>0</v>
      </c>
      <c r="P671" t="n">
        <v>0</v>
      </c>
      <c r="Q671" t="n">
        <v>0</v>
      </c>
      <c r="R671" s="2" t="inlineStr"/>
    </row>
    <row r="672" ht="15" customHeight="1">
      <c r="A672" t="inlineStr">
        <is>
          <t>A 8624-2023</t>
        </is>
      </c>
      <c r="B672" s="1" t="n">
        <v>44977</v>
      </c>
      <c r="C672" s="1" t="n">
        <v>45849</v>
      </c>
      <c r="D672" t="inlineStr">
        <is>
          <t>JÄMTLANDS LÄN</t>
        </is>
      </c>
      <c r="E672" t="inlineStr">
        <is>
          <t>BERG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9077-2023</t>
        </is>
      </c>
      <c r="B673" s="1" t="n">
        <v>44979</v>
      </c>
      <c r="C673" s="1" t="n">
        <v>45849</v>
      </c>
      <c r="D673" t="inlineStr">
        <is>
          <t>JÄMTLANDS LÄN</t>
        </is>
      </c>
      <c r="E673" t="inlineStr">
        <is>
          <t>BERG</t>
        </is>
      </c>
      <c r="G673" t="n">
        <v>3.6</v>
      </c>
      <c r="H673" t="n">
        <v>0</v>
      </c>
      <c r="I673" t="n">
        <v>0</v>
      </c>
      <c r="J673" t="n">
        <v>0</v>
      </c>
      <c r="K673" t="n">
        <v>0</v>
      </c>
      <c r="L673" t="n">
        <v>0</v>
      </c>
      <c r="M673" t="n">
        <v>0</v>
      </c>
      <c r="N673" t="n">
        <v>0</v>
      </c>
      <c r="O673" t="n">
        <v>0</v>
      </c>
      <c r="P673" t="n">
        <v>0</v>
      </c>
      <c r="Q673" t="n">
        <v>0</v>
      </c>
      <c r="R673" s="2" t="inlineStr"/>
    </row>
    <row r="674" ht="15" customHeight="1">
      <c r="A674" t="inlineStr">
        <is>
          <t>A 10254-2023</t>
        </is>
      </c>
      <c r="B674" s="1" t="n">
        <v>44980</v>
      </c>
      <c r="C674" s="1" t="n">
        <v>45849</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10255-2023</t>
        </is>
      </c>
      <c r="B675" s="1" t="n">
        <v>44980</v>
      </c>
      <c r="C675" s="1" t="n">
        <v>45849</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10125-2023</t>
        </is>
      </c>
      <c r="B676" s="1" t="n">
        <v>44986</v>
      </c>
      <c r="C676" s="1" t="n">
        <v>45849</v>
      </c>
      <c r="D676" t="inlineStr">
        <is>
          <t>JÄMTLANDS LÄN</t>
        </is>
      </c>
      <c r="E676" t="inlineStr">
        <is>
          <t>BERG</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10138-2023</t>
        </is>
      </c>
      <c r="B677" s="1" t="n">
        <v>44986</v>
      </c>
      <c r="C677" s="1" t="n">
        <v>45849</v>
      </c>
      <c r="D677" t="inlineStr">
        <is>
          <t>JÄMTLANDS LÄN</t>
        </is>
      </c>
      <c r="E677" t="inlineStr">
        <is>
          <t>BERG</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10465-2023</t>
        </is>
      </c>
      <c r="B678" s="1" t="n">
        <v>44987</v>
      </c>
      <c r="C678" s="1" t="n">
        <v>45849</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10495-2023</t>
        </is>
      </c>
      <c r="B679" s="1" t="n">
        <v>44987</v>
      </c>
      <c r="C679" s="1" t="n">
        <v>45849</v>
      </c>
      <c r="D679" t="inlineStr">
        <is>
          <t>JÄMTLANDS LÄN</t>
        </is>
      </c>
      <c r="E679" t="inlineStr">
        <is>
          <t>BERG</t>
        </is>
      </c>
      <c r="G679" t="n">
        <v>12.8</v>
      </c>
      <c r="H679" t="n">
        <v>0</v>
      </c>
      <c r="I679" t="n">
        <v>0</v>
      </c>
      <c r="J679" t="n">
        <v>0</v>
      </c>
      <c r="K679" t="n">
        <v>0</v>
      </c>
      <c r="L679" t="n">
        <v>0</v>
      </c>
      <c r="M679" t="n">
        <v>0</v>
      </c>
      <c r="N679" t="n">
        <v>0</v>
      </c>
      <c r="O679" t="n">
        <v>0</v>
      </c>
      <c r="P679" t="n">
        <v>0</v>
      </c>
      <c r="Q679" t="n">
        <v>0</v>
      </c>
      <c r="R679" s="2" t="inlineStr"/>
    </row>
    <row r="680" ht="15" customHeight="1">
      <c r="A680" t="inlineStr">
        <is>
          <t>A 10478-2023</t>
        </is>
      </c>
      <c r="B680" s="1" t="n">
        <v>44987</v>
      </c>
      <c r="C680" s="1" t="n">
        <v>45849</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11185-2023</t>
        </is>
      </c>
      <c r="B681" s="1" t="n">
        <v>44987</v>
      </c>
      <c r="C681" s="1" t="n">
        <v>45849</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11702-2023</t>
        </is>
      </c>
      <c r="B682" s="1" t="n">
        <v>44994</v>
      </c>
      <c r="C682" s="1" t="n">
        <v>45849</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11697-2023</t>
        </is>
      </c>
      <c r="B683" s="1" t="n">
        <v>44994</v>
      </c>
      <c r="C683" s="1" t="n">
        <v>45849</v>
      </c>
      <c r="D683" t="inlineStr">
        <is>
          <t>JÄMTLANDS LÄN</t>
        </is>
      </c>
      <c r="E683" t="inlineStr">
        <is>
          <t>BERG</t>
        </is>
      </c>
      <c r="G683" t="n">
        <v>8.9</v>
      </c>
      <c r="H683" t="n">
        <v>0</v>
      </c>
      <c r="I683" t="n">
        <v>0</v>
      </c>
      <c r="J683" t="n">
        <v>0</v>
      </c>
      <c r="K683" t="n">
        <v>0</v>
      </c>
      <c r="L683" t="n">
        <v>0</v>
      </c>
      <c r="M683" t="n">
        <v>0</v>
      </c>
      <c r="N683" t="n">
        <v>0</v>
      </c>
      <c r="O683" t="n">
        <v>0</v>
      </c>
      <c r="P683" t="n">
        <v>0</v>
      </c>
      <c r="Q683" t="n">
        <v>0</v>
      </c>
      <c r="R683" s="2" t="inlineStr"/>
    </row>
    <row r="684" ht="15" customHeight="1">
      <c r="A684" t="inlineStr">
        <is>
          <t>A 11704-2023</t>
        </is>
      </c>
      <c r="B684" s="1" t="n">
        <v>44994</v>
      </c>
      <c r="C684" s="1" t="n">
        <v>45849</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11948-2023</t>
        </is>
      </c>
      <c r="B685" s="1" t="n">
        <v>44994</v>
      </c>
      <c r="C685" s="1" t="n">
        <v>45849</v>
      </c>
      <c r="D685" t="inlineStr">
        <is>
          <t>JÄMTLANDS LÄN</t>
        </is>
      </c>
      <c r="E685" t="inlineStr">
        <is>
          <t>BERG</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12342-2023</t>
        </is>
      </c>
      <c r="B686" s="1" t="n">
        <v>44998</v>
      </c>
      <c r="C686" s="1" t="n">
        <v>45849</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12636-2023</t>
        </is>
      </c>
      <c r="B687" s="1" t="n">
        <v>44999</v>
      </c>
      <c r="C687" s="1" t="n">
        <v>45849</v>
      </c>
      <c r="D687" t="inlineStr">
        <is>
          <t>JÄMTLANDS LÄN</t>
        </is>
      </c>
      <c r="E687" t="inlineStr">
        <is>
          <t>BERG</t>
        </is>
      </c>
      <c r="G687" t="n">
        <v>2.6</v>
      </c>
      <c r="H687" t="n">
        <v>0</v>
      </c>
      <c r="I687" t="n">
        <v>0</v>
      </c>
      <c r="J687" t="n">
        <v>0</v>
      </c>
      <c r="K687" t="n">
        <v>0</v>
      </c>
      <c r="L687" t="n">
        <v>0</v>
      </c>
      <c r="M687" t="n">
        <v>0</v>
      </c>
      <c r="N687" t="n">
        <v>0</v>
      </c>
      <c r="O687" t="n">
        <v>0</v>
      </c>
      <c r="P687" t="n">
        <v>0</v>
      </c>
      <c r="Q687" t="n">
        <v>0</v>
      </c>
      <c r="R687" s="2" t="inlineStr"/>
    </row>
    <row r="688" ht="15" customHeight="1">
      <c r="A688" t="inlineStr">
        <is>
          <t>A 12774-2023</t>
        </is>
      </c>
      <c r="B688" s="1" t="n">
        <v>45001</v>
      </c>
      <c r="C688" s="1" t="n">
        <v>45849</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14160-2023</t>
        </is>
      </c>
      <c r="B689" s="1" t="n">
        <v>45008</v>
      </c>
      <c r="C689" s="1" t="n">
        <v>45849</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14153-2023</t>
        </is>
      </c>
      <c r="B690" s="1" t="n">
        <v>45008</v>
      </c>
      <c r="C690" s="1" t="n">
        <v>45849</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14192-2023</t>
        </is>
      </c>
      <c r="B691" s="1" t="n">
        <v>45009</v>
      </c>
      <c r="C691" s="1" t="n">
        <v>45849</v>
      </c>
      <c r="D691" t="inlineStr">
        <is>
          <t>JÄMTLANDS LÄN</t>
        </is>
      </c>
      <c r="E691" t="inlineStr">
        <is>
          <t>BERG</t>
        </is>
      </c>
      <c r="G691" t="n">
        <v>4.7</v>
      </c>
      <c r="H691" t="n">
        <v>0</v>
      </c>
      <c r="I691" t="n">
        <v>0</v>
      </c>
      <c r="J691" t="n">
        <v>0</v>
      </c>
      <c r="K691" t="n">
        <v>0</v>
      </c>
      <c r="L691" t="n">
        <v>0</v>
      </c>
      <c r="M691" t="n">
        <v>0</v>
      </c>
      <c r="N691" t="n">
        <v>0</v>
      </c>
      <c r="O691" t="n">
        <v>0</v>
      </c>
      <c r="P691" t="n">
        <v>0</v>
      </c>
      <c r="Q691" t="n">
        <v>0</v>
      </c>
      <c r="R691" s="2" t="inlineStr"/>
    </row>
    <row r="692" ht="15" customHeight="1">
      <c r="A692" t="inlineStr">
        <is>
          <t>A 14190-2023</t>
        </is>
      </c>
      <c r="B692" s="1" t="n">
        <v>45009</v>
      </c>
      <c r="C692" s="1" t="n">
        <v>45849</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45849</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14663-2023</t>
        </is>
      </c>
      <c r="B694" s="1" t="n">
        <v>45014</v>
      </c>
      <c r="C694" s="1" t="n">
        <v>45849</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15409-2023</t>
        </is>
      </c>
      <c r="B695" s="1" t="n">
        <v>45016</v>
      </c>
      <c r="C695" s="1" t="n">
        <v>45849</v>
      </c>
      <c r="D695" t="inlineStr">
        <is>
          <t>JÄMTLANDS LÄN</t>
        </is>
      </c>
      <c r="E695" t="inlineStr">
        <is>
          <t>BERG</t>
        </is>
      </c>
      <c r="G695" t="n">
        <v>10.7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45021</v>
      </c>
      <c r="C696" s="1" t="n">
        <v>45849</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16491-2023</t>
        </is>
      </c>
      <c r="B697" s="1" t="n">
        <v>45027</v>
      </c>
      <c r="C697" s="1" t="n">
        <v>45849</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16245-2023</t>
        </is>
      </c>
      <c r="B698" s="1" t="n">
        <v>45028</v>
      </c>
      <c r="C698" s="1" t="n">
        <v>45849</v>
      </c>
      <c r="D698" t="inlineStr">
        <is>
          <t>JÄMTLANDS LÄN</t>
        </is>
      </c>
      <c r="E698" t="inlineStr">
        <is>
          <t>BERG</t>
        </is>
      </c>
      <c r="G698" t="n">
        <v>16.2</v>
      </c>
      <c r="H698" t="n">
        <v>0</v>
      </c>
      <c r="I698" t="n">
        <v>0</v>
      </c>
      <c r="J698" t="n">
        <v>0</v>
      </c>
      <c r="K698" t="n">
        <v>0</v>
      </c>
      <c r="L698" t="n">
        <v>0</v>
      </c>
      <c r="M698" t="n">
        <v>0</v>
      </c>
      <c r="N698" t="n">
        <v>0</v>
      </c>
      <c r="O698" t="n">
        <v>0</v>
      </c>
      <c r="P698" t="n">
        <v>0</v>
      </c>
      <c r="Q698" t="n">
        <v>0</v>
      </c>
      <c r="R698" s="2" t="inlineStr"/>
    </row>
    <row r="699" ht="15" customHeight="1">
      <c r="A699" t="inlineStr">
        <is>
          <t>A 18217-2023</t>
        </is>
      </c>
      <c r="B699" s="1" t="n">
        <v>45040</v>
      </c>
      <c r="C699" s="1" t="n">
        <v>45849</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18497-2023</t>
        </is>
      </c>
      <c r="B700" s="1" t="n">
        <v>45042</v>
      </c>
      <c r="C700" s="1" t="n">
        <v>45849</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45849</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19325-2023</t>
        </is>
      </c>
      <c r="B702" s="1" t="n">
        <v>45048</v>
      </c>
      <c r="C702" s="1" t="n">
        <v>45849</v>
      </c>
      <c r="D702" t="inlineStr">
        <is>
          <t>JÄMTLANDS LÄN</t>
        </is>
      </c>
      <c r="E702" t="inlineStr">
        <is>
          <t>BERG</t>
        </is>
      </c>
      <c r="G702" t="n">
        <v>2.9</v>
      </c>
      <c r="H702" t="n">
        <v>0</v>
      </c>
      <c r="I702" t="n">
        <v>0</v>
      </c>
      <c r="J702" t="n">
        <v>0</v>
      </c>
      <c r="K702" t="n">
        <v>0</v>
      </c>
      <c r="L702" t="n">
        <v>0</v>
      </c>
      <c r="M702" t="n">
        <v>0</v>
      </c>
      <c r="N702" t="n">
        <v>0</v>
      </c>
      <c r="O702" t="n">
        <v>0</v>
      </c>
      <c r="P702" t="n">
        <v>0</v>
      </c>
      <c r="Q702" t="n">
        <v>0</v>
      </c>
      <c r="R702" s="2" t="inlineStr"/>
    </row>
    <row r="703" ht="15" customHeight="1">
      <c r="A703" t="inlineStr">
        <is>
          <t>A 19538-2023</t>
        </is>
      </c>
      <c r="B703" s="1" t="n">
        <v>45050</v>
      </c>
      <c r="C703" s="1" t="n">
        <v>45849</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19529-2023</t>
        </is>
      </c>
      <c r="B704" s="1" t="n">
        <v>45050</v>
      </c>
      <c r="C704" s="1" t="n">
        <v>45849</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19535-2023</t>
        </is>
      </c>
      <c r="B705" s="1" t="n">
        <v>45050</v>
      </c>
      <c r="C705" s="1" t="n">
        <v>45849</v>
      </c>
      <c r="D705" t="inlineStr">
        <is>
          <t>JÄMTLANDS LÄN</t>
        </is>
      </c>
      <c r="E705" t="inlineStr">
        <is>
          <t>BERG</t>
        </is>
      </c>
      <c r="G705" t="n">
        <v>10</v>
      </c>
      <c r="H705" t="n">
        <v>0</v>
      </c>
      <c r="I705" t="n">
        <v>0</v>
      </c>
      <c r="J705" t="n">
        <v>0</v>
      </c>
      <c r="K705" t="n">
        <v>0</v>
      </c>
      <c r="L705" t="n">
        <v>0</v>
      </c>
      <c r="M705" t="n">
        <v>0</v>
      </c>
      <c r="N705" t="n">
        <v>0</v>
      </c>
      <c r="O705" t="n">
        <v>0</v>
      </c>
      <c r="P705" t="n">
        <v>0</v>
      </c>
      <c r="Q705" t="n">
        <v>0</v>
      </c>
      <c r="R705" s="2" t="inlineStr"/>
    </row>
    <row r="706" ht="15" customHeight="1">
      <c r="A706" t="inlineStr">
        <is>
          <t>A 20882-2023</t>
        </is>
      </c>
      <c r="B706" s="1" t="n">
        <v>45058</v>
      </c>
      <c r="C706" s="1" t="n">
        <v>45849</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20899-2023</t>
        </is>
      </c>
      <c r="B707" s="1" t="n">
        <v>45060</v>
      </c>
      <c r="C707" s="1" t="n">
        <v>45849</v>
      </c>
      <c r="D707" t="inlineStr">
        <is>
          <t>JÄMTLANDS LÄN</t>
        </is>
      </c>
      <c r="E707" t="inlineStr">
        <is>
          <t>BERG</t>
        </is>
      </c>
      <c r="G707" t="n">
        <v>1.9</v>
      </c>
      <c r="H707" t="n">
        <v>0</v>
      </c>
      <c r="I707" t="n">
        <v>0</v>
      </c>
      <c r="J707" t="n">
        <v>0</v>
      </c>
      <c r="K707" t="n">
        <v>0</v>
      </c>
      <c r="L707" t="n">
        <v>0</v>
      </c>
      <c r="M707" t="n">
        <v>0</v>
      </c>
      <c r="N707" t="n">
        <v>0</v>
      </c>
      <c r="O707" t="n">
        <v>0</v>
      </c>
      <c r="P707" t="n">
        <v>0</v>
      </c>
      <c r="Q707" t="n">
        <v>0</v>
      </c>
      <c r="R707" s="2" t="inlineStr"/>
    </row>
    <row r="708" ht="15" customHeight="1">
      <c r="A708" t="inlineStr">
        <is>
          <t>A 21679-2023</t>
        </is>
      </c>
      <c r="B708" s="1" t="n">
        <v>45064</v>
      </c>
      <c r="C708" s="1" t="n">
        <v>45849</v>
      </c>
      <c r="D708" t="inlineStr">
        <is>
          <t>JÄMTLANDS LÄN</t>
        </is>
      </c>
      <c r="E708" t="inlineStr">
        <is>
          <t>BERG</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21717-2023</t>
        </is>
      </c>
      <c r="B709" s="1" t="n">
        <v>45063</v>
      </c>
      <c r="C709" s="1" t="n">
        <v>45849</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22950-2023</t>
        </is>
      </c>
      <c r="B710" s="1" t="n">
        <v>45072</v>
      </c>
      <c r="C710" s="1" t="n">
        <v>45849</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22991-2023</t>
        </is>
      </c>
      <c r="B711" s="1" t="n">
        <v>45073</v>
      </c>
      <c r="C711" s="1" t="n">
        <v>45849</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24011-2023</t>
        </is>
      </c>
      <c r="B712" s="1" t="n">
        <v>45078</v>
      </c>
      <c r="C712" s="1" t="n">
        <v>45849</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24310-2023</t>
        </is>
      </c>
      <c r="B713" s="1" t="n">
        <v>45079</v>
      </c>
      <c r="C713" s="1" t="n">
        <v>45849</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24307-2023</t>
        </is>
      </c>
      <c r="B714" s="1" t="n">
        <v>45080</v>
      </c>
      <c r="C714" s="1" t="n">
        <v>45849</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25507-2023</t>
        </is>
      </c>
      <c r="B715" s="1" t="n">
        <v>45082</v>
      </c>
      <c r="C715" s="1" t="n">
        <v>45849</v>
      </c>
      <c r="D715" t="inlineStr">
        <is>
          <t>JÄMTLANDS LÄN</t>
        </is>
      </c>
      <c r="E715" t="inlineStr">
        <is>
          <t>BERG</t>
        </is>
      </c>
      <c r="G715" t="n">
        <v>7</v>
      </c>
      <c r="H715" t="n">
        <v>0</v>
      </c>
      <c r="I715" t="n">
        <v>0</v>
      </c>
      <c r="J715" t="n">
        <v>0</v>
      </c>
      <c r="K715" t="n">
        <v>0</v>
      </c>
      <c r="L715" t="n">
        <v>0</v>
      </c>
      <c r="M715" t="n">
        <v>0</v>
      </c>
      <c r="N715" t="n">
        <v>0</v>
      </c>
      <c r="O715" t="n">
        <v>0</v>
      </c>
      <c r="P715" t="n">
        <v>0</v>
      </c>
      <c r="Q715" t="n">
        <v>0</v>
      </c>
      <c r="R715" s="2" t="inlineStr"/>
    </row>
    <row r="716" ht="15" customHeight="1">
      <c r="A716" t="inlineStr">
        <is>
          <t>A 24542-2023</t>
        </is>
      </c>
      <c r="B716" s="1" t="n">
        <v>45082</v>
      </c>
      <c r="C716" s="1" t="n">
        <v>45849</v>
      </c>
      <c r="D716" t="inlineStr">
        <is>
          <t>JÄMTLANDS LÄN</t>
        </is>
      </c>
      <c r="E716" t="inlineStr">
        <is>
          <t>BERG</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25565-2023</t>
        </is>
      </c>
      <c r="B717" s="1" t="n">
        <v>45082</v>
      </c>
      <c r="C717" s="1" t="n">
        <v>45849</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25306-2023</t>
        </is>
      </c>
      <c r="B718" s="1" t="n">
        <v>45086</v>
      </c>
      <c r="C718" s="1" t="n">
        <v>45849</v>
      </c>
      <c r="D718" t="inlineStr">
        <is>
          <t>JÄMTLANDS LÄN</t>
        </is>
      </c>
      <c r="E718" t="inlineStr">
        <is>
          <t>BERG</t>
        </is>
      </c>
      <c r="G718" t="n">
        <v>23.3</v>
      </c>
      <c r="H718" t="n">
        <v>0</v>
      </c>
      <c r="I718" t="n">
        <v>0</v>
      </c>
      <c r="J718" t="n">
        <v>0</v>
      </c>
      <c r="K718" t="n">
        <v>0</v>
      </c>
      <c r="L718" t="n">
        <v>0</v>
      </c>
      <c r="M718" t="n">
        <v>0</v>
      </c>
      <c r="N718" t="n">
        <v>0</v>
      </c>
      <c r="O718" t="n">
        <v>0</v>
      </c>
      <c r="P718" t="n">
        <v>0</v>
      </c>
      <c r="Q718" t="n">
        <v>0</v>
      </c>
      <c r="R718" s="2" t="inlineStr"/>
    </row>
    <row r="719" ht="15" customHeight="1">
      <c r="A719" t="inlineStr">
        <is>
          <t>A 26011-2023</t>
        </is>
      </c>
      <c r="B719" s="1" t="n">
        <v>45091</v>
      </c>
      <c r="C719" s="1" t="n">
        <v>45849</v>
      </c>
      <c r="D719" t="inlineStr">
        <is>
          <t>JÄMTLANDS LÄN</t>
        </is>
      </c>
      <c r="E719" t="inlineStr">
        <is>
          <t>BERG</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26009-2023</t>
        </is>
      </c>
      <c r="B720" s="1" t="n">
        <v>45091</v>
      </c>
      <c r="C720" s="1" t="n">
        <v>45849</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25990-2023</t>
        </is>
      </c>
      <c r="B721" s="1" t="n">
        <v>45091</v>
      </c>
      <c r="C721" s="1" t="n">
        <v>45849</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26010-2023</t>
        </is>
      </c>
      <c r="B722" s="1" t="n">
        <v>45091</v>
      </c>
      <c r="C722" s="1" t="n">
        <v>45849</v>
      </c>
      <c r="D722" t="inlineStr">
        <is>
          <t>JÄMTLANDS LÄN</t>
        </is>
      </c>
      <c r="E722" t="inlineStr">
        <is>
          <t>BERG</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26008-2023</t>
        </is>
      </c>
      <c r="B723" s="1" t="n">
        <v>45091</v>
      </c>
      <c r="C723" s="1" t="n">
        <v>45849</v>
      </c>
      <c r="D723" t="inlineStr">
        <is>
          <t>JÄMTLANDS LÄN</t>
        </is>
      </c>
      <c r="E723" t="inlineStr">
        <is>
          <t>BERG</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26652-2023</t>
        </is>
      </c>
      <c r="B724" s="1" t="n">
        <v>45093</v>
      </c>
      <c r="C724" s="1" t="n">
        <v>45849</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27239-2023</t>
        </is>
      </c>
      <c r="B725" s="1" t="n">
        <v>45092</v>
      </c>
      <c r="C725" s="1" t="n">
        <v>45849</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27377-2023</t>
        </is>
      </c>
      <c r="B726" s="1" t="n">
        <v>45096</v>
      </c>
      <c r="C726" s="1" t="n">
        <v>45849</v>
      </c>
      <c r="D726" t="inlineStr">
        <is>
          <t>JÄMTLANDS LÄN</t>
        </is>
      </c>
      <c r="E726" t="inlineStr">
        <is>
          <t>BERG</t>
        </is>
      </c>
      <c r="F726" t="inlineStr">
        <is>
          <t>SCA</t>
        </is>
      </c>
      <c r="G726" t="n">
        <v>25.3</v>
      </c>
      <c r="H726" t="n">
        <v>0</v>
      </c>
      <c r="I726" t="n">
        <v>0</v>
      </c>
      <c r="J726" t="n">
        <v>0</v>
      </c>
      <c r="K726" t="n">
        <v>0</v>
      </c>
      <c r="L726" t="n">
        <v>0</v>
      </c>
      <c r="M726" t="n">
        <v>0</v>
      </c>
      <c r="N726" t="n">
        <v>0</v>
      </c>
      <c r="O726" t="n">
        <v>0</v>
      </c>
      <c r="P726" t="n">
        <v>0</v>
      </c>
      <c r="Q726" t="n">
        <v>0</v>
      </c>
      <c r="R726" s="2" t="inlineStr"/>
    </row>
    <row r="727" ht="15" customHeight="1">
      <c r="A727" t="inlineStr">
        <is>
          <t>A 27376-2023</t>
        </is>
      </c>
      <c r="B727" s="1" t="n">
        <v>45097</v>
      </c>
      <c r="C727" s="1" t="n">
        <v>45849</v>
      </c>
      <c r="D727" t="inlineStr">
        <is>
          <t>JÄMTLANDS LÄN</t>
        </is>
      </c>
      <c r="E727" t="inlineStr">
        <is>
          <t>BERG</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29143-2023</t>
        </is>
      </c>
      <c r="B728" s="1" t="n">
        <v>45097</v>
      </c>
      <c r="C728" s="1" t="n">
        <v>45849</v>
      </c>
      <c r="D728" t="inlineStr">
        <is>
          <t>JÄMTLANDS LÄN</t>
        </is>
      </c>
      <c r="E728" t="inlineStr">
        <is>
          <t>BERG</t>
        </is>
      </c>
      <c r="G728" t="n">
        <v>3.1</v>
      </c>
      <c r="H728" t="n">
        <v>0</v>
      </c>
      <c r="I728" t="n">
        <v>0</v>
      </c>
      <c r="J728" t="n">
        <v>0</v>
      </c>
      <c r="K728" t="n">
        <v>0</v>
      </c>
      <c r="L728" t="n">
        <v>0</v>
      </c>
      <c r="M728" t="n">
        <v>0</v>
      </c>
      <c r="N728" t="n">
        <v>0</v>
      </c>
      <c r="O728" t="n">
        <v>0</v>
      </c>
      <c r="P728" t="n">
        <v>0</v>
      </c>
      <c r="Q728" t="n">
        <v>0</v>
      </c>
      <c r="R728" s="2" t="inlineStr"/>
    </row>
    <row r="729" ht="15" customHeight="1">
      <c r="A729" t="inlineStr">
        <is>
          <t>A 29078-2023</t>
        </is>
      </c>
      <c r="B729" s="1" t="n">
        <v>45097</v>
      </c>
      <c r="C729" s="1" t="n">
        <v>45849</v>
      </c>
      <c r="D729" t="inlineStr">
        <is>
          <t>JÄMTLANDS LÄN</t>
        </is>
      </c>
      <c r="E729" t="inlineStr">
        <is>
          <t>BERG</t>
        </is>
      </c>
      <c r="G729" t="n">
        <v>5.9</v>
      </c>
      <c r="H729" t="n">
        <v>0</v>
      </c>
      <c r="I729" t="n">
        <v>0</v>
      </c>
      <c r="J729" t="n">
        <v>0</v>
      </c>
      <c r="K729" t="n">
        <v>0</v>
      </c>
      <c r="L729" t="n">
        <v>0</v>
      </c>
      <c r="M729" t="n">
        <v>0</v>
      </c>
      <c r="N729" t="n">
        <v>0</v>
      </c>
      <c r="O729" t="n">
        <v>0</v>
      </c>
      <c r="P729" t="n">
        <v>0</v>
      </c>
      <c r="Q729" t="n">
        <v>0</v>
      </c>
      <c r="R729" s="2" t="inlineStr"/>
    </row>
    <row r="730" ht="15" customHeight="1">
      <c r="A730" t="inlineStr">
        <is>
          <t>A 28009-2023</t>
        </is>
      </c>
      <c r="B730" s="1" t="n">
        <v>45098</v>
      </c>
      <c r="C730" s="1" t="n">
        <v>45849</v>
      </c>
      <c r="D730" t="inlineStr">
        <is>
          <t>JÄMTLANDS LÄN</t>
        </is>
      </c>
      <c r="E730" t="inlineStr">
        <is>
          <t>BERG</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28363-2023</t>
        </is>
      </c>
      <c r="B731" s="1" t="n">
        <v>45100</v>
      </c>
      <c r="C731" s="1" t="n">
        <v>45849</v>
      </c>
      <c r="D731" t="inlineStr">
        <is>
          <t>JÄMTLANDS LÄN</t>
        </is>
      </c>
      <c r="E731" t="inlineStr">
        <is>
          <t>BERG</t>
        </is>
      </c>
      <c r="G731" t="n">
        <v>18.1</v>
      </c>
      <c r="H731" t="n">
        <v>0</v>
      </c>
      <c r="I731" t="n">
        <v>0</v>
      </c>
      <c r="J731" t="n">
        <v>0</v>
      </c>
      <c r="K731" t="n">
        <v>0</v>
      </c>
      <c r="L731" t="n">
        <v>0</v>
      </c>
      <c r="M731" t="n">
        <v>0</v>
      </c>
      <c r="N731" t="n">
        <v>0</v>
      </c>
      <c r="O731" t="n">
        <v>0</v>
      </c>
      <c r="P731" t="n">
        <v>0</v>
      </c>
      <c r="Q731" t="n">
        <v>0</v>
      </c>
      <c r="R731" s="2" t="inlineStr"/>
    </row>
    <row r="732" ht="15" customHeight="1">
      <c r="A732" t="inlineStr">
        <is>
          <t>A 30191-2023</t>
        </is>
      </c>
      <c r="B732" s="1" t="n">
        <v>45099</v>
      </c>
      <c r="C732" s="1" t="n">
        <v>45849</v>
      </c>
      <c r="D732" t="inlineStr">
        <is>
          <t>JÄMTLANDS LÄN</t>
        </is>
      </c>
      <c r="E732" t="inlineStr">
        <is>
          <t>BERG</t>
        </is>
      </c>
      <c r="G732" t="n">
        <v>6.4</v>
      </c>
      <c r="H732" t="n">
        <v>0</v>
      </c>
      <c r="I732" t="n">
        <v>0</v>
      </c>
      <c r="J732" t="n">
        <v>0</v>
      </c>
      <c r="K732" t="n">
        <v>0</v>
      </c>
      <c r="L732" t="n">
        <v>0</v>
      </c>
      <c r="M732" t="n">
        <v>0</v>
      </c>
      <c r="N732" t="n">
        <v>0</v>
      </c>
      <c r="O732" t="n">
        <v>0</v>
      </c>
      <c r="P732" t="n">
        <v>0</v>
      </c>
      <c r="Q732" t="n">
        <v>0</v>
      </c>
      <c r="R732" s="2" t="inlineStr"/>
    </row>
    <row r="733" ht="15" customHeight="1">
      <c r="A733" t="inlineStr">
        <is>
          <t>A 30391-2023</t>
        </is>
      </c>
      <c r="B733" s="1" t="n">
        <v>45111</v>
      </c>
      <c r="C733" s="1" t="n">
        <v>45849</v>
      </c>
      <c r="D733" t="inlineStr">
        <is>
          <t>JÄMTLANDS LÄN</t>
        </is>
      </c>
      <c r="E733" t="inlineStr">
        <is>
          <t>BERG</t>
        </is>
      </c>
      <c r="G733" t="n">
        <v>5.3</v>
      </c>
      <c r="H733" t="n">
        <v>0</v>
      </c>
      <c r="I733" t="n">
        <v>0</v>
      </c>
      <c r="J733" t="n">
        <v>0</v>
      </c>
      <c r="K733" t="n">
        <v>0</v>
      </c>
      <c r="L733" t="n">
        <v>0</v>
      </c>
      <c r="M733" t="n">
        <v>0</v>
      </c>
      <c r="N733" t="n">
        <v>0</v>
      </c>
      <c r="O733" t="n">
        <v>0</v>
      </c>
      <c r="P733" t="n">
        <v>0</v>
      </c>
      <c r="Q733" t="n">
        <v>0</v>
      </c>
      <c r="R733" s="2" t="inlineStr"/>
    </row>
    <row r="734" ht="15" customHeight="1">
      <c r="A734" t="inlineStr">
        <is>
          <t>A 31442-2023</t>
        </is>
      </c>
      <c r="B734" s="1" t="n">
        <v>45114</v>
      </c>
      <c r="C734" s="1" t="n">
        <v>45849</v>
      </c>
      <c r="D734" t="inlineStr">
        <is>
          <t>JÄMTLANDS LÄN</t>
        </is>
      </c>
      <c r="E734" t="inlineStr">
        <is>
          <t>BERG</t>
        </is>
      </c>
      <c r="G734" t="n">
        <v>5.2</v>
      </c>
      <c r="H734" t="n">
        <v>0</v>
      </c>
      <c r="I734" t="n">
        <v>0</v>
      </c>
      <c r="J734" t="n">
        <v>0</v>
      </c>
      <c r="K734" t="n">
        <v>0</v>
      </c>
      <c r="L734" t="n">
        <v>0</v>
      </c>
      <c r="M734" t="n">
        <v>0</v>
      </c>
      <c r="N734" t="n">
        <v>0</v>
      </c>
      <c r="O734" t="n">
        <v>0</v>
      </c>
      <c r="P734" t="n">
        <v>0</v>
      </c>
      <c r="Q734" t="n">
        <v>0</v>
      </c>
      <c r="R734" s="2" t="inlineStr"/>
    </row>
    <row r="735" ht="15" customHeight="1">
      <c r="A735" t="inlineStr">
        <is>
          <t>A 32020-2023</t>
        </is>
      </c>
      <c r="B735" s="1" t="n">
        <v>45119</v>
      </c>
      <c r="C735" s="1" t="n">
        <v>45849</v>
      </c>
      <c r="D735" t="inlineStr">
        <is>
          <t>JÄMTLANDS LÄN</t>
        </is>
      </c>
      <c r="E735" t="inlineStr">
        <is>
          <t>BERG</t>
        </is>
      </c>
      <c r="G735" t="n">
        <v>10.3</v>
      </c>
      <c r="H735" t="n">
        <v>0</v>
      </c>
      <c r="I735" t="n">
        <v>0</v>
      </c>
      <c r="J735" t="n">
        <v>0</v>
      </c>
      <c r="K735" t="n">
        <v>0</v>
      </c>
      <c r="L735" t="n">
        <v>0</v>
      </c>
      <c r="M735" t="n">
        <v>0</v>
      </c>
      <c r="N735" t="n">
        <v>0</v>
      </c>
      <c r="O735" t="n">
        <v>0</v>
      </c>
      <c r="P735" t="n">
        <v>0</v>
      </c>
      <c r="Q735" t="n">
        <v>0</v>
      </c>
      <c r="R735" s="2" t="inlineStr"/>
    </row>
    <row r="736" ht="15" customHeight="1">
      <c r="A736" t="inlineStr">
        <is>
          <t>A 32214-2023</t>
        </is>
      </c>
      <c r="B736" s="1" t="n">
        <v>45119</v>
      </c>
      <c r="C736" s="1" t="n">
        <v>45849</v>
      </c>
      <c r="D736" t="inlineStr">
        <is>
          <t>JÄMTLANDS LÄN</t>
        </is>
      </c>
      <c r="E736" t="inlineStr">
        <is>
          <t>BERG</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32215-2023</t>
        </is>
      </c>
      <c r="B737" s="1" t="n">
        <v>45119</v>
      </c>
      <c r="C737" s="1" t="n">
        <v>45849</v>
      </c>
      <c r="D737" t="inlineStr">
        <is>
          <t>JÄMTLANDS LÄN</t>
        </is>
      </c>
      <c r="E737" t="inlineStr">
        <is>
          <t>BERG</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32064-2023</t>
        </is>
      </c>
      <c r="B738" s="1" t="n">
        <v>45119</v>
      </c>
      <c r="C738" s="1" t="n">
        <v>45849</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33654-2023</t>
        </is>
      </c>
      <c r="B739" s="1" t="n">
        <v>45119</v>
      </c>
      <c r="C739" s="1" t="n">
        <v>45849</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45849</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33042-2023</t>
        </is>
      </c>
      <c r="B741" s="1" t="n">
        <v>45125</v>
      </c>
      <c r="C741" s="1" t="n">
        <v>45849</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33173-2023</t>
        </is>
      </c>
      <c r="B742" s="1" t="n">
        <v>45127</v>
      </c>
      <c r="C742" s="1" t="n">
        <v>45849</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33304-2023</t>
        </is>
      </c>
      <c r="B743" s="1" t="n">
        <v>45127</v>
      </c>
      <c r="C743" s="1" t="n">
        <v>45849</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33476-2023</t>
        </is>
      </c>
      <c r="B744" s="1" t="n">
        <v>45131</v>
      </c>
      <c r="C744" s="1" t="n">
        <v>45849</v>
      </c>
      <c r="D744" t="inlineStr">
        <is>
          <t>JÄMTLANDS LÄN</t>
        </is>
      </c>
      <c r="E744" t="inlineStr">
        <is>
          <t>BERG</t>
        </is>
      </c>
      <c r="F744" t="inlineStr">
        <is>
          <t>Sveaskog</t>
        </is>
      </c>
      <c r="G744" t="n">
        <v>7.7</v>
      </c>
      <c r="H744" t="n">
        <v>0</v>
      </c>
      <c r="I744" t="n">
        <v>0</v>
      </c>
      <c r="J744" t="n">
        <v>0</v>
      </c>
      <c r="K744" t="n">
        <v>0</v>
      </c>
      <c r="L744" t="n">
        <v>0</v>
      </c>
      <c r="M744" t="n">
        <v>0</v>
      </c>
      <c r="N744" t="n">
        <v>0</v>
      </c>
      <c r="O744" t="n">
        <v>0</v>
      </c>
      <c r="P744" t="n">
        <v>0</v>
      </c>
      <c r="Q744" t="n">
        <v>0</v>
      </c>
      <c r="R744" s="2" t="inlineStr"/>
    </row>
    <row r="745" ht="15" customHeight="1">
      <c r="A745" t="inlineStr">
        <is>
          <t>A 33481-2023</t>
        </is>
      </c>
      <c r="B745" s="1" t="n">
        <v>45131</v>
      </c>
      <c r="C745" s="1" t="n">
        <v>45849</v>
      </c>
      <c r="D745" t="inlineStr">
        <is>
          <t>JÄMTLANDS LÄN</t>
        </is>
      </c>
      <c r="E745" t="inlineStr">
        <is>
          <t>BERG</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34819-2023</t>
        </is>
      </c>
      <c r="B746" s="1" t="n">
        <v>45140</v>
      </c>
      <c r="C746" s="1" t="n">
        <v>45849</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34845-2023</t>
        </is>
      </c>
      <c r="B747" s="1" t="n">
        <v>45142</v>
      </c>
      <c r="C747" s="1" t="n">
        <v>45849</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35636-2023</t>
        </is>
      </c>
      <c r="B748" s="1" t="n">
        <v>45147</v>
      </c>
      <c r="C748" s="1" t="n">
        <v>45849</v>
      </c>
      <c r="D748" t="inlineStr">
        <is>
          <t>JÄMTLANDS LÄN</t>
        </is>
      </c>
      <c r="E748" t="inlineStr">
        <is>
          <t>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35986-2023</t>
        </is>
      </c>
      <c r="B749" s="1" t="n">
        <v>45148</v>
      </c>
      <c r="C749" s="1" t="n">
        <v>45849</v>
      </c>
      <c r="D749" t="inlineStr">
        <is>
          <t>JÄMTLANDS LÄN</t>
        </is>
      </c>
      <c r="E749" t="inlineStr">
        <is>
          <t>BERG</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36351-2023</t>
        </is>
      </c>
      <c r="B750" s="1" t="n">
        <v>45149</v>
      </c>
      <c r="C750" s="1" t="n">
        <v>45849</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36708-2023</t>
        </is>
      </c>
      <c r="B751" s="1" t="n">
        <v>45153</v>
      </c>
      <c r="C751" s="1" t="n">
        <v>45849</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37067-2023</t>
        </is>
      </c>
      <c r="B752" s="1" t="n">
        <v>45154</v>
      </c>
      <c r="C752" s="1" t="n">
        <v>45849</v>
      </c>
      <c r="D752" t="inlineStr">
        <is>
          <t>JÄMTLANDS LÄN</t>
        </is>
      </c>
      <c r="E752" t="inlineStr">
        <is>
          <t>BERG</t>
        </is>
      </c>
      <c r="G752" t="n">
        <v>7.4</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45156</v>
      </c>
      <c r="C753" s="1" t="n">
        <v>45849</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37246-2023</t>
        </is>
      </c>
      <c r="B754" s="1" t="n">
        <v>45155</v>
      </c>
      <c r="C754" s="1" t="n">
        <v>45849</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37521-2023</t>
        </is>
      </c>
      <c r="B755" s="1" t="n">
        <v>45158</v>
      </c>
      <c r="C755" s="1" t="n">
        <v>45849</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37969-2023</t>
        </is>
      </c>
      <c r="B756" s="1" t="n">
        <v>45160</v>
      </c>
      <c r="C756" s="1" t="n">
        <v>45849</v>
      </c>
      <c r="D756" t="inlineStr">
        <is>
          <t>JÄMTLANDS LÄN</t>
        </is>
      </c>
      <c r="E756" t="inlineStr">
        <is>
          <t>BERG</t>
        </is>
      </c>
      <c r="G756" t="n">
        <v>4.7</v>
      </c>
      <c r="H756" t="n">
        <v>0</v>
      </c>
      <c r="I756" t="n">
        <v>0</v>
      </c>
      <c r="J756" t="n">
        <v>0</v>
      </c>
      <c r="K756" t="n">
        <v>0</v>
      </c>
      <c r="L756" t="n">
        <v>0</v>
      </c>
      <c r="M756" t="n">
        <v>0</v>
      </c>
      <c r="N756" t="n">
        <v>0</v>
      </c>
      <c r="O756" t="n">
        <v>0</v>
      </c>
      <c r="P756" t="n">
        <v>0</v>
      </c>
      <c r="Q756" t="n">
        <v>0</v>
      </c>
      <c r="R756" s="2" t="inlineStr"/>
    </row>
    <row r="757" ht="15" customHeight="1">
      <c r="A757" t="inlineStr">
        <is>
          <t>A 38381-2023</t>
        </is>
      </c>
      <c r="B757" s="1" t="n">
        <v>45161</v>
      </c>
      <c r="C757" s="1" t="n">
        <v>45849</v>
      </c>
      <c r="D757" t="inlineStr">
        <is>
          <t>JÄMTLANDS LÄN</t>
        </is>
      </c>
      <c r="E757" t="inlineStr">
        <is>
          <t>BERG</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38679-2023</t>
        </is>
      </c>
      <c r="B758" s="1" t="n">
        <v>45163</v>
      </c>
      <c r="C758" s="1" t="n">
        <v>45849</v>
      </c>
      <c r="D758" t="inlineStr">
        <is>
          <t>JÄMTLANDS LÄN</t>
        </is>
      </c>
      <c r="E758" t="inlineStr">
        <is>
          <t>BERG</t>
        </is>
      </c>
      <c r="F758" t="inlineStr">
        <is>
          <t>SCA</t>
        </is>
      </c>
      <c r="G758" t="n">
        <v>14.1</v>
      </c>
      <c r="H758" t="n">
        <v>0</v>
      </c>
      <c r="I758" t="n">
        <v>0</v>
      </c>
      <c r="J758" t="n">
        <v>0</v>
      </c>
      <c r="K758" t="n">
        <v>0</v>
      </c>
      <c r="L758" t="n">
        <v>0</v>
      </c>
      <c r="M758" t="n">
        <v>0</v>
      </c>
      <c r="N758" t="n">
        <v>0</v>
      </c>
      <c r="O758" t="n">
        <v>0</v>
      </c>
      <c r="P758" t="n">
        <v>0</v>
      </c>
      <c r="Q758" t="n">
        <v>0</v>
      </c>
      <c r="R758" s="2" t="inlineStr"/>
    </row>
    <row r="759" ht="15" customHeight="1">
      <c r="A759" t="inlineStr">
        <is>
          <t>A 38678-2023</t>
        </is>
      </c>
      <c r="B759" s="1" t="n">
        <v>45163</v>
      </c>
      <c r="C759" s="1" t="n">
        <v>45849</v>
      </c>
      <c r="D759" t="inlineStr">
        <is>
          <t>JÄMTLANDS LÄN</t>
        </is>
      </c>
      <c r="E759" t="inlineStr">
        <is>
          <t>BERG</t>
        </is>
      </c>
      <c r="F759" t="inlineStr">
        <is>
          <t>SCA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38682-2023</t>
        </is>
      </c>
      <c r="B760" s="1" t="n">
        <v>45162</v>
      </c>
      <c r="C760" s="1" t="n">
        <v>45849</v>
      </c>
      <c r="D760" t="inlineStr">
        <is>
          <t>JÄMTLANDS LÄN</t>
        </is>
      </c>
      <c r="E760" t="inlineStr">
        <is>
          <t>BERG</t>
        </is>
      </c>
      <c r="F760" t="inlineStr">
        <is>
          <t>SCA</t>
        </is>
      </c>
      <c r="G760" t="n">
        <v>21.3</v>
      </c>
      <c r="H760" t="n">
        <v>0</v>
      </c>
      <c r="I760" t="n">
        <v>0</v>
      </c>
      <c r="J760" t="n">
        <v>0</v>
      </c>
      <c r="K760" t="n">
        <v>0</v>
      </c>
      <c r="L760" t="n">
        <v>0</v>
      </c>
      <c r="M760" t="n">
        <v>0</v>
      </c>
      <c r="N760" t="n">
        <v>0</v>
      </c>
      <c r="O760" t="n">
        <v>0</v>
      </c>
      <c r="P760" t="n">
        <v>0</v>
      </c>
      <c r="Q760" t="n">
        <v>0</v>
      </c>
      <c r="R760" s="2" t="inlineStr"/>
    </row>
    <row r="761" ht="15" customHeight="1">
      <c r="A761" t="inlineStr">
        <is>
          <t>A 38686-2023</t>
        </is>
      </c>
      <c r="B761" s="1" t="n">
        <v>45163</v>
      </c>
      <c r="C761" s="1" t="n">
        <v>45849</v>
      </c>
      <c r="D761" t="inlineStr">
        <is>
          <t>JÄMTLANDS LÄN</t>
        </is>
      </c>
      <c r="E761" t="inlineStr">
        <is>
          <t>BERG</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39144-2023</t>
        </is>
      </c>
      <c r="B762" s="1" t="n">
        <v>45165</v>
      </c>
      <c r="C762" s="1" t="n">
        <v>45849</v>
      </c>
      <c r="D762" t="inlineStr">
        <is>
          <t>JÄMTLANDS LÄN</t>
        </is>
      </c>
      <c r="E762" t="inlineStr">
        <is>
          <t>BERG</t>
        </is>
      </c>
      <c r="F762" t="inlineStr">
        <is>
          <t>SCA</t>
        </is>
      </c>
      <c r="G762" t="n">
        <v>31.9</v>
      </c>
      <c r="H762" t="n">
        <v>0</v>
      </c>
      <c r="I762" t="n">
        <v>0</v>
      </c>
      <c r="J762" t="n">
        <v>0</v>
      </c>
      <c r="K762" t="n">
        <v>0</v>
      </c>
      <c r="L762" t="n">
        <v>0</v>
      </c>
      <c r="M762" t="n">
        <v>0</v>
      </c>
      <c r="N762" t="n">
        <v>0</v>
      </c>
      <c r="O762" t="n">
        <v>0</v>
      </c>
      <c r="P762" t="n">
        <v>0</v>
      </c>
      <c r="Q762" t="n">
        <v>0</v>
      </c>
      <c r="R762" s="2" t="inlineStr"/>
    </row>
    <row r="763" ht="15" customHeight="1">
      <c r="A763" t="inlineStr">
        <is>
          <t>A 39510-2023</t>
        </is>
      </c>
      <c r="B763" s="1" t="n">
        <v>45166</v>
      </c>
      <c r="C763" s="1" t="n">
        <v>45849</v>
      </c>
      <c r="D763" t="inlineStr">
        <is>
          <t>JÄMTLANDS LÄN</t>
        </is>
      </c>
      <c r="E763" t="inlineStr">
        <is>
          <t>BERG</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39806-2023</t>
        </is>
      </c>
      <c r="B764" s="1" t="n">
        <v>45167</v>
      </c>
      <c r="C764" s="1" t="n">
        <v>45849</v>
      </c>
      <c r="D764" t="inlineStr">
        <is>
          <t>JÄMTLANDS LÄN</t>
        </is>
      </c>
      <c r="E764" t="inlineStr">
        <is>
          <t>BERG</t>
        </is>
      </c>
      <c r="G764" t="n">
        <v>3.3</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45170</v>
      </c>
      <c r="C765" s="1" t="n">
        <v>45849</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40414-2023</t>
        </is>
      </c>
      <c r="B766" s="1" t="n">
        <v>45169</v>
      </c>
      <c r="C766" s="1" t="n">
        <v>45849</v>
      </c>
      <c r="D766" t="inlineStr">
        <is>
          <t>JÄMTLANDS LÄN</t>
        </is>
      </c>
      <c r="E766" t="inlineStr">
        <is>
          <t>BERG</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40416-2023</t>
        </is>
      </c>
      <c r="B767" s="1" t="n">
        <v>45169</v>
      </c>
      <c r="C767" s="1" t="n">
        <v>45849</v>
      </c>
      <c r="D767" t="inlineStr">
        <is>
          <t>JÄMTLANDS LÄN</t>
        </is>
      </c>
      <c r="E767" t="inlineStr">
        <is>
          <t>BERG</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40797-2023</t>
        </is>
      </c>
      <c r="B768" s="1" t="n">
        <v>45171</v>
      </c>
      <c r="C768" s="1" t="n">
        <v>45849</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41091-2023</t>
        </is>
      </c>
      <c r="B769" s="1" t="n">
        <v>45170</v>
      </c>
      <c r="C769" s="1" t="n">
        <v>45849</v>
      </c>
      <c r="D769" t="inlineStr">
        <is>
          <t>JÄMTLANDS LÄN</t>
        </is>
      </c>
      <c r="E769" t="inlineStr">
        <is>
          <t>BERG</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41106-2023</t>
        </is>
      </c>
      <c r="B770" s="1" t="n">
        <v>45170</v>
      </c>
      <c r="C770" s="1" t="n">
        <v>45849</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45849</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40795-2023</t>
        </is>
      </c>
      <c r="B772" s="1" t="n">
        <v>45171</v>
      </c>
      <c r="C772" s="1" t="n">
        <v>45849</v>
      </c>
      <c r="D772" t="inlineStr">
        <is>
          <t>JÄMTLANDS LÄN</t>
        </is>
      </c>
      <c r="E772" t="inlineStr">
        <is>
          <t>BERG</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40799-2023</t>
        </is>
      </c>
      <c r="B773" s="1" t="n">
        <v>45170</v>
      </c>
      <c r="C773" s="1" t="n">
        <v>45849</v>
      </c>
      <c r="D773" t="inlineStr">
        <is>
          <t>JÄMTLANDS LÄN</t>
        </is>
      </c>
      <c r="E773" t="inlineStr">
        <is>
          <t>BERG</t>
        </is>
      </c>
      <c r="F773" t="inlineStr">
        <is>
          <t>SCA</t>
        </is>
      </c>
      <c r="G773" t="n">
        <v>17.2</v>
      </c>
      <c r="H773" t="n">
        <v>0</v>
      </c>
      <c r="I773" t="n">
        <v>0</v>
      </c>
      <c r="J773" t="n">
        <v>0</v>
      </c>
      <c r="K773" t="n">
        <v>0</v>
      </c>
      <c r="L773" t="n">
        <v>0</v>
      </c>
      <c r="M773" t="n">
        <v>0</v>
      </c>
      <c r="N773" t="n">
        <v>0</v>
      </c>
      <c r="O773" t="n">
        <v>0</v>
      </c>
      <c r="P773" t="n">
        <v>0</v>
      </c>
      <c r="Q773" t="n">
        <v>0</v>
      </c>
      <c r="R773" s="2" t="inlineStr"/>
    </row>
    <row r="774" ht="15" customHeight="1">
      <c r="A774" t="inlineStr">
        <is>
          <t>A 40796-2023</t>
        </is>
      </c>
      <c r="B774" s="1" t="n">
        <v>45170</v>
      </c>
      <c r="C774" s="1" t="n">
        <v>45849</v>
      </c>
      <c r="D774" t="inlineStr">
        <is>
          <t>JÄMTLANDS LÄN</t>
        </is>
      </c>
      <c r="E774" t="inlineStr">
        <is>
          <t>BERG</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41105-2023</t>
        </is>
      </c>
      <c r="B775" s="1" t="n">
        <v>45170</v>
      </c>
      <c r="C775" s="1" t="n">
        <v>45849</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40824-2023</t>
        </is>
      </c>
      <c r="B776" s="1" t="n">
        <v>45171</v>
      </c>
      <c r="C776" s="1" t="n">
        <v>45849</v>
      </c>
      <c r="D776" t="inlineStr">
        <is>
          <t>JÄMTLANDS LÄN</t>
        </is>
      </c>
      <c r="E776" t="inlineStr">
        <is>
          <t>BERG</t>
        </is>
      </c>
      <c r="G776" t="n">
        <v>0.5</v>
      </c>
      <c r="H776" t="n">
        <v>0</v>
      </c>
      <c r="I776" t="n">
        <v>0</v>
      </c>
      <c r="J776" t="n">
        <v>0</v>
      </c>
      <c r="K776" t="n">
        <v>0</v>
      </c>
      <c r="L776" t="n">
        <v>0</v>
      </c>
      <c r="M776" t="n">
        <v>0</v>
      </c>
      <c r="N776" t="n">
        <v>0</v>
      </c>
      <c r="O776" t="n">
        <v>0</v>
      </c>
      <c r="P776" t="n">
        <v>0</v>
      </c>
      <c r="Q776" t="n">
        <v>0</v>
      </c>
      <c r="R776" s="2" t="inlineStr"/>
    </row>
    <row r="777" ht="15" customHeight="1">
      <c r="A777" t="inlineStr">
        <is>
          <t>A 41927-2023</t>
        </is>
      </c>
      <c r="B777" s="1" t="n">
        <v>45176</v>
      </c>
      <c r="C777" s="1" t="n">
        <v>45849</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41926-2023</t>
        </is>
      </c>
      <c r="B778" s="1" t="n">
        <v>45176</v>
      </c>
      <c r="C778" s="1" t="n">
        <v>45849</v>
      </c>
      <c r="D778" t="inlineStr">
        <is>
          <t>JÄMTLANDS LÄN</t>
        </is>
      </c>
      <c r="E778" t="inlineStr">
        <is>
          <t>BERG</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41925-2023</t>
        </is>
      </c>
      <c r="B779" s="1" t="n">
        <v>45176</v>
      </c>
      <c r="C779" s="1" t="n">
        <v>45849</v>
      </c>
      <c r="D779" t="inlineStr">
        <is>
          <t>JÄMTLANDS LÄN</t>
        </is>
      </c>
      <c r="E779" t="inlineStr">
        <is>
          <t>BERG</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41920-2023</t>
        </is>
      </c>
      <c r="B780" s="1" t="n">
        <v>45176</v>
      </c>
      <c r="C780" s="1" t="n">
        <v>45849</v>
      </c>
      <c r="D780" t="inlineStr">
        <is>
          <t>JÄMTLANDS LÄN</t>
        </is>
      </c>
      <c r="E780" t="inlineStr">
        <is>
          <t>BERG</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42929-2023</t>
        </is>
      </c>
      <c r="B781" s="1" t="n">
        <v>45177</v>
      </c>
      <c r="C781" s="1" t="n">
        <v>45849</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42504-2023</t>
        </is>
      </c>
      <c r="B782" s="1" t="n">
        <v>45181</v>
      </c>
      <c r="C782" s="1" t="n">
        <v>45849</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42672-2023</t>
        </is>
      </c>
      <c r="B783" s="1" t="n">
        <v>45181</v>
      </c>
      <c r="C783" s="1" t="n">
        <v>45849</v>
      </c>
      <c r="D783" t="inlineStr">
        <is>
          <t>JÄMTLANDS LÄN</t>
        </is>
      </c>
      <c r="E783" t="inlineStr">
        <is>
          <t>BERG</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42676-2023</t>
        </is>
      </c>
      <c r="B784" s="1" t="n">
        <v>45181</v>
      </c>
      <c r="C784" s="1" t="n">
        <v>45849</v>
      </c>
      <c r="D784" t="inlineStr">
        <is>
          <t>JÄMTLANDS LÄN</t>
        </is>
      </c>
      <c r="E784" t="inlineStr">
        <is>
          <t>BERG</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42870-2023</t>
        </is>
      </c>
      <c r="B785" s="1" t="n">
        <v>45182</v>
      </c>
      <c r="C785" s="1" t="n">
        <v>45849</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42827-2023</t>
        </is>
      </c>
      <c r="B786" s="1" t="n">
        <v>45182</v>
      </c>
      <c r="C786" s="1" t="n">
        <v>45849</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42859-2023</t>
        </is>
      </c>
      <c r="B787" s="1" t="n">
        <v>45182</v>
      </c>
      <c r="C787" s="1" t="n">
        <v>45849</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42864-2023</t>
        </is>
      </c>
      <c r="B788" s="1" t="n">
        <v>45182</v>
      </c>
      <c r="C788" s="1" t="n">
        <v>45849</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42840-2023</t>
        </is>
      </c>
      <c r="B789" s="1" t="n">
        <v>45182</v>
      </c>
      <c r="C789" s="1" t="n">
        <v>45849</v>
      </c>
      <c r="D789" t="inlineStr">
        <is>
          <t>JÄMTLANDS LÄN</t>
        </is>
      </c>
      <c r="E789" t="inlineStr">
        <is>
          <t>BERG</t>
        </is>
      </c>
      <c r="G789" t="n">
        <v>2.2</v>
      </c>
      <c r="H789" t="n">
        <v>0</v>
      </c>
      <c r="I789" t="n">
        <v>0</v>
      </c>
      <c r="J789" t="n">
        <v>0</v>
      </c>
      <c r="K789" t="n">
        <v>0</v>
      </c>
      <c r="L789" t="n">
        <v>0</v>
      </c>
      <c r="M789" t="n">
        <v>0</v>
      </c>
      <c r="N789" t="n">
        <v>0</v>
      </c>
      <c r="O789" t="n">
        <v>0</v>
      </c>
      <c r="P789" t="n">
        <v>0</v>
      </c>
      <c r="Q789" t="n">
        <v>0</v>
      </c>
      <c r="R789" s="2" t="inlineStr"/>
    </row>
    <row r="790" ht="15" customHeight="1">
      <c r="A790" t="inlineStr">
        <is>
          <t>A 43762-2023</t>
        </is>
      </c>
      <c r="B790" s="1" t="n">
        <v>45182</v>
      </c>
      <c r="C790" s="1" t="n">
        <v>45849</v>
      </c>
      <c r="D790" t="inlineStr">
        <is>
          <t>JÄMTLANDS LÄN</t>
        </is>
      </c>
      <c r="E790" t="inlineStr">
        <is>
          <t>BERG</t>
        </is>
      </c>
      <c r="G790" t="n">
        <v>6.4</v>
      </c>
      <c r="H790" t="n">
        <v>0</v>
      </c>
      <c r="I790" t="n">
        <v>0</v>
      </c>
      <c r="J790" t="n">
        <v>0</v>
      </c>
      <c r="K790" t="n">
        <v>0</v>
      </c>
      <c r="L790" t="n">
        <v>0</v>
      </c>
      <c r="M790" t="n">
        <v>0</v>
      </c>
      <c r="N790" t="n">
        <v>0</v>
      </c>
      <c r="O790" t="n">
        <v>0</v>
      </c>
      <c r="P790" t="n">
        <v>0</v>
      </c>
      <c r="Q790" t="n">
        <v>0</v>
      </c>
      <c r="R790" s="2" t="inlineStr"/>
    </row>
    <row r="791" ht="15" customHeight="1">
      <c r="A791" t="inlineStr">
        <is>
          <t>A 43403-2023</t>
        </is>
      </c>
      <c r="B791" s="1" t="n">
        <v>45183</v>
      </c>
      <c r="C791" s="1" t="n">
        <v>45849</v>
      </c>
      <c r="D791" t="inlineStr">
        <is>
          <t>JÄMTLANDS LÄN</t>
        </is>
      </c>
      <c r="E791" t="inlineStr">
        <is>
          <t>BERG</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43410-2023</t>
        </is>
      </c>
      <c r="B792" s="1" t="n">
        <v>45184</v>
      </c>
      <c r="C792" s="1" t="n">
        <v>45849</v>
      </c>
      <c r="D792" t="inlineStr">
        <is>
          <t>JÄMTLANDS LÄN</t>
        </is>
      </c>
      <c r="E792" t="inlineStr">
        <is>
          <t>BERG</t>
        </is>
      </c>
      <c r="F792" t="inlineStr">
        <is>
          <t>SCA</t>
        </is>
      </c>
      <c r="G792" t="n">
        <v>24.9</v>
      </c>
      <c r="H792" t="n">
        <v>0</v>
      </c>
      <c r="I792" t="n">
        <v>0</v>
      </c>
      <c r="J792" t="n">
        <v>0</v>
      </c>
      <c r="K792" t="n">
        <v>0</v>
      </c>
      <c r="L792" t="n">
        <v>0</v>
      </c>
      <c r="M792" t="n">
        <v>0</v>
      </c>
      <c r="N792" t="n">
        <v>0</v>
      </c>
      <c r="O792" t="n">
        <v>0</v>
      </c>
      <c r="P792" t="n">
        <v>0</v>
      </c>
      <c r="Q792" t="n">
        <v>0</v>
      </c>
      <c r="R792" s="2" t="inlineStr"/>
    </row>
    <row r="793" ht="15" customHeight="1">
      <c r="A793" t="inlineStr">
        <is>
          <t>A 43744-2023</t>
        </is>
      </c>
      <c r="B793" s="1" t="n">
        <v>45187</v>
      </c>
      <c r="C793" s="1" t="n">
        <v>45849</v>
      </c>
      <c r="D793" t="inlineStr">
        <is>
          <t>JÄMTLANDS LÄN</t>
        </is>
      </c>
      <c r="E793" t="inlineStr">
        <is>
          <t>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44937-2023</t>
        </is>
      </c>
      <c r="B794" s="1" t="n">
        <v>45187</v>
      </c>
      <c r="C794" s="1" t="n">
        <v>45849</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44309-2023</t>
        </is>
      </c>
      <c r="B795" s="1" t="n">
        <v>45188</v>
      </c>
      <c r="C795" s="1" t="n">
        <v>45849</v>
      </c>
      <c r="D795" t="inlineStr">
        <is>
          <t>JÄMTLANDS LÄN</t>
        </is>
      </c>
      <c r="E795" t="inlineStr">
        <is>
          <t>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44314-2023</t>
        </is>
      </c>
      <c r="B796" s="1" t="n">
        <v>45188</v>
      </c>
      <c r="C796" s="1" t="n">
        <v>45849</v>
      </c>
      <c r="D796" t="inlineStr">
        <is>
          <t>JÄMTLANDS LÄN</t>
        </is>
      </c>
      <c r="E796" t="inlineStr">
        <is>
          <t>BERG</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44313-2023</t>
        </is>
      </c>
      <c r="B797" s="1" t="n">
        <v>45188</v>
      </c>
      <c r="C797" s="1" t="n">
        <v>45849</v>
      </c>
      <c r="D797" t="inlineStr">
        <is>
          <t>JÄMTLANDS LÄN</t>
        </is>
      </c>
      <c r="E797" t="inlineStr">
        <is>
          <t>BERG</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45993-2023</t>
        </is>
      </c>
      <c r="B798" s="1" t="n">
        <v>45189</v>
      </c>
      <c r="C798" s="1" t="n">
        <v>45849</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45347-2023</t>
        </is>
      </c>
      <c r="B799" s="1" t="n">
        <v>45191</v>
      </c>
      <c r="C799" s="1" t="n">
        <v>45849</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45346-2023</t>
        </is>
      </c>
      <c r="B800" s="1" t="n">
        <v>45191</v>
      </c>
      <c r="C800" s="1" t="n">
        <v>45849</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46270-2023</t>
        </is>
      </c>
      <c r="B801" s="1" t="n">
        <v>45196</v>
      </c>
      <c r="C801" s="1" t="n">
        <v>45849</v>
      </c>
      <c r="D801" t="inlineStr">
        <is>
          <t>JÄMTLANDS LÄN</t>
        </is>
      </c>
      <c r="E801" t="inlineStr">
        <is>
          <t>BERG</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46269-2023</t>
        </is>
      </c>
      <c r="B802" s="1" t="n">
        <v>45196</v>
      </c>
      <c r="C802" s="1" t="n">
        <v>45849</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46275-2023</t>
        </is>
      </c>
      <c r="B803" s="1" t="n">
        <v>45196</v>
      </c>
      <c r="C803" s="1" t="n">
        <v>45849</v>
      </c>
      <c r="D803" t="inlineStr">
        <is>
          <t>JÄMTLANDS LÄN</t>
        </is>
      </c>
      <c r="E803" t="inlineStr">
        <is>
          <t>BERG</t>
        </is>
      </c>
      <c r="F803" t="inlineStr">
        <is>
          <t>SCA</t>
        </is>
      </c>
      <c r="G803" t="n">
        <v>17.6</v>
      </c>
      <c r="H803" t="n">
        <v>0</v>
      </c>
      <c r="I803" t="n">
        <v>0</v>
      </c>
      <c r="J803" t="n">
        <v>0</v>
      </c>
      <c r="K803" t="n">
        <v>0</v>
      </c>
      <c r="L803" t="n">
        <v>0</v>
      </c>
      <c r="M803" t="n">
        <v>0</v>
      </c>
      <c r="N803" t="n">
        <v>0</v>
      </c>
      <c r="O803" t="n">
        <v>0</v>
      </c>
      <c r="P803" t="n">
        <v>0</v>
      </c>
      <c r="Q803" t="n">
        <v>0</v>
      </c>
      <c r="R803" s="2" t="inlineStr"/>
    </row>
    <row r="804" ht="15" customHeight="1">
      <c r="A804" t="inlineStr">
        <is>
          <t>A 47340-2023</t>
        </is>
      </c>
      <c r="B804" s="1" t="n">
        <v>45196</v>
      </c>
      <c r="C804" s="1" t="n">
        <v>45849</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46268-2023</t>
        </is>
      </c>
      <c r="B805" s="1" t="n">
        <v>45196</v>
      </c>
      <c r="C805" s="1" t="n">
        <v>45849</v>
      </c>
      <c r="D805" t="inlineStr">
        <is>
          <t>JÄMTLANDS LÄN</t>
        </is>
      </c>
      <c r="E805" t="inlineStr">
        <is>
          <t>BERG</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47337-2023</t>
        </is>
      </c>
      <c r="B806" s="1" t="n">
        <v>45196</v>
      </c>
      <c r="C806" s="1" t="n">
        <v>45849</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46797-2023</t>
        </is>
      </c>
      <c r="B807" s="1" t="n">
        <v>45198</v>
      </c>
      <c r="C807" s="1" t="n">
        <v>45849</v>
      </c>
      <c r="D807" t="inlineStr">
        <is>
          <t>JÄMTLANDS LÄN</t>
        </is>
      </c>
      <c r="E807" t="inlineStr">
        <is>
          <t>BERG</t>
        </is>
      </c>
      <c r="G807" t="n">
        <v>4.5</v>
      </c>
      <c r="H807" t="n">
        <v>0</v>
      </c>
      <c r="I807" t="n">
        <v>0</v>
      </c>
      <c r="J807" t="n">
        <v>0</v>
      </c>
      <c r="K807" t="n">
        <v>0</v>
      </c>
      <c r="L807" t="n">
        <v>0</v>
      </c>
      <c r="M807" t="n">
        <v>0</v>
      </c>
      <c r="N807" t="n">
        <v>0</v>
      </c>
      <c r="O807" t="n">
        <v>0</v>
      </c>
      <c r="P807" t="n">
        <v>0</v>
      </c>
      <c r="Q807" t="n">
        <v>0</v>
      </c>
      <c r="R807" s="2" t="inlineStr"/>
    </row>
    <row r="808" ht="15" customHeight="1">
      <c r="A808" t="inlineStr">
        <is>
          <t>A 46816-2023</t>
        </is>
      </c>
      <c r="B808" s="1" t="n">
        <v>45198</v>
      </c>
      <c r="C808" s="1" t="n">
        <v>45849</v>
      </c>
      <c r="D808" t="inlineStr">
        <is>
          <t>JÄMTLANDS LÄN</t>
        </is>
      </c>
      <c r="E808" t="inlineStr">
        <is>
          <t>BERG</t>
        </is>
      </c>
      <c r="F808" t="inlineStr">
        <is>
          <t>SCA</t>
        </is>
      </c>
      <c r="G808" t="n">
        <v>66.2</v>
      </c>
      <c r="H808" t="n">
        <v>0</v>
      </c>
      <c r="I808" t="n">
        <v>0</v>
      </c>
      <c r="J808" t="n">
        <v>0</v>
      </c>
      <c r="K808" t="n">
        <v>0</v>
      </c>
      <c r="L808" t="n">
        <v>0</v>
      </c>
      <c r="M808" t="n">
        <v>0</v>
      </c>
      <c r="N808" t="n">
        <v>0</v>
      </c>
      <c r="O808" t="n">
        <v>0</v>
      </c>
      <c r="P808" t="n">
        <v>0</v>
      </c>
      <c r="Q808" t="n">
        <v>0</v>
      </c>
      <c r="R808" s="2" t="inlineStr"/>
    </row>
    <row r="809" ht="15" customHeight="1">
      <c r="A809" t="inlineStr">
        <is>
          <t>A 46859-2023</t>
        </is>
      </c>
      <c r="B809" s="1" t="n">
        <v>45200</v>
      </c>
      <c r="C809" s="1" t="n">
        <v>45849</v>
      </c>
      <c r="D809" t="inlineStr">
        <is>
          <t>JÄMTLANDS LÄN</t>
        </is>
      </c>
      <c r="E809" t="inlineStr">
        <is>
          <t>BERG</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46858-2023</t>
        </is>
      </c>
      <c r="B810" s="1" t="n">
        <v>45200</v>
      </c>
      <c r="C810" s="1" t="n">
        <v>45849</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46872-2023</t>
        </is>
      </c>
      <c r="B811" s="1" t="n">
        <v>45200</v>
      </c>
      <c r="C811" s="1" t="n">
        <v>45849</v>
      </c>
      <c r="D811" t="inlineStr">
        <is>
          <t>JÄMTLANDS LÄN</t>
        </is>
      </c>
      <c r="E811" t="inlineStr">
        <is>
          <t>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46874-2023</t>
        </is>
      </c>
      <c r="B812" s="1" t="n">
        <v>45200</v>
      </c>
      <c r="C812" s="1" t="n">
        <v>45849</v>
      </c>
      <c r="D812" t="inlineStr">
        <is>
          <t>JÄMTLANDS LÄN</t>
        </is>
      </c>
      <c r="E812" t="inlineStr">
        <is>
          <t>BERG</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47176-2023</t>
        </is>
      </c>
      <c r="B813" s="1" t="n">
        <v>45202</v>
      </c>
      <c r="C813" s="1" t="n">
        <v>45849</v>
      </c>
      <c r="D813" t="inlineStr">
        <is>
          <t>JÄMTLANDS LÄN</t>
        </is>
      </c>
      <c r="E813" t="inlineStr">
        <is>
          <t>BERG</t>
        </is>
      </c>
      <c r="F813" t="inlineStr">
        <is>
          <t>SCA</t>
        </is>
      </c>
      <c r="G813" t="n">
        <v>32.3</v>
      </c>
      <c r="H813" t="n">
        <v>0</v>
      </c>
      <c r="I813" t="n">
        <v>0</v>
      </c>
      <c r="J813" t="n">
        <v>0</v>
      </c>
      <c r="K813" t="n">
        <v>0</v>
      </c>
      <c r="L813" t="n">
        <v>0</v>
      </c>
      <c r="M813" t="n">
        <v>0</v>
      </c>
      <c r="N813" t="n">
        <v>0</v>
      </c>
      <c r="O813" t="n">
        <v>0</v>
      </c>
      <c r="P813" t="n">
        <v>0</v>
      </c>
      <c r="Q813" t="n">
        <v>0</v>
      </c>
      <c r="R813" s="2" t="inlineStr"/>
    </row>
    <row r="814" ht="15" customHeight="1">
      <c r="A814" t="inlineStr">
        <is>
          <t>A 47289-2023</t>
        </is>
      </c>
      <c r="B814" s="1" t="n">
        <v>45202</v>
      </c>
      <c r="C814" s="1" t="n">
        <v>45849</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47304-2023</t>
        </is>
      </c>
      <c r="B815" s="1" t="n">
        <v>45202</v>
      </c>
      <c r="C815" s="1" t="n">
        <v>45849</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48663-2023</t>
        </is>
      </c>
      <c r="B816" s="1" t="n">
        <v>45202</v>
      </c>
      <c r="C816" s="1" t="n">
        <v>45849</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48649-2023</t>
        </is>
      </c>
      <c r="B817" s="1" t="n">
        <v>45202</v>
      </c>
      <c r="C817" s="1" t="n">
        <v>45849</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48671-2023</t>
        </is>
      </c>
      <c r="B818" s="1" t="n">
        <v>45202</v>
      </c>
      <c r="C818" s="1" t="n">
        <v>45849</v>
      </c>
      <c r="D818" t="inlineStr">
        <is>
          <t>JÄMTLANDS LÄN</t>
        </is>
      </c>
      <c r="E818" t="inlineStr">
        <is>
          <t>BERG</t>
        </is>
      </c>
      <c r="G818" t="n">
        <v>2.3</v>
      </c>
      <c r="H818" t="n">
        <v>0</v>
      </c>
      <c r="I818" t="n">
        <v>0</v>
      </c>
      <c r="J818" t="n">
        <v>0</v>
      </c>
      <c r="K818" t="n">
        <v>0</v>
      </c>
      <c r="L818" t="n">
        <v>0</v>
      </c>
      <c r="M818" t="n">
        <v>0</v>
      </c>
      <c r="N818" t="n">
        <v>0</v>
      </c>
      <c r="O818" t="n">
        <v>0</v>
      </c>
      <c r="P818" t="n">
        <v>0</v>
      </c>
      <c r="Q818" t="n">
        <v>0</v>
      </c>
      <c r="R818" s="2" t="inlineStr"/>
    </row>
    <row r="819" ht="15" customHeight="1">
      <c r="A819" t="inlineStr">
        <is>
          <t>A 47626-2023</t>
        </is>
      </c>
      <c r="B819" s="1" t="n">
        <v>45203</v>
      </c>
      <c r="C819" s="1" t="n">
        <v>45849</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48069-2023</t>
        </is>
      </c>
      <c r="B820" s="1" t="n">
        <v>45204</v>
      </c>
      <c r="C820" s="1" t="n">
        <v>45849</v>
      </c>
      <c r="D820" t="inlineStr">
        <is>
          <t>JÄMTLANDS LÄN</t>
        </is>
      </c>
      <c r="E820" t="inlineStr">
        <is>
          <t>BERG</t>
        </is>
      </c>
      <c r="F820" t="inlineStr">
        <is>
          <t>SCA</t>
        </is>
      </c>
      <c r="G820" t="n">
        <v>11.2</v>
      </c>
      <c r="H820" t="n">
        <v>0</v>
      </c>
      <c r="I820" t="n">
        <v>0</v>
      </c>
      <c r="J820" t="n">
        <v>0</v>
      </c>
      <c r="K820" t="n">
        <v>0</v>
      </c>
      <c r="L820" t="n">
        <v>0</v>
      </c>
      <c r="M820" t="n">
        <v>0</v>
      </c>
      <c r="N820" t="n">
        <v>0</v>
      </c>
      <c r="O820" t="n">
        <v>0</v>
      </c>
      <c r="P820" t="n">
        <v>0</v>
      </c>
      <c r="Q820" t="n">
        <v>0</v>
      </c>
      <c r="R820" s="2" t="inlineStr"/>
    </row>
    <row r="821" ht="15" customHeight="1">
      <c r="A821" t="inlineStr">
        <is>
          <t>A 48164-2023</t>
        </is>
      </c>
      <c r="B821" s="1" t="n">
        <v>45205</v>
      </c>
      <c r="C821" s="1" t="n">
        <v>45849</v>
      </c>
      <c r="D821" t="inlineStr">
        <is>
          <t>JÄMTLANDS LÄN</t>
        </is>
      </c>
      <c r="E821" t="inlineStr">
        <is>
          <t>BERG</t>
        </is>
      </c>
      <c r="G821" t="n">
        <v>5.9</v>
      </c>
      <c r="H821" t="n">
        <v>0</v>
      </c>
      <c r="I821" t="n">
        <v>0</v>
      </c>
      <c r="J821" t="n">
        <v>0</v>
      </c>
      <c r="K821" t="n">
        <v>0</v>
      </c>
      <c r="L821" t="n">
        <v>0</v>
      </c>
      <c r="M821" t="n">
        <v>0</v>
      </c>
      <c r="N821" t="n">
        <v>0</v>
      </c>
      <c r="O821" t="n">
        <v>0</v>
      </c>
      <c r="P821" t="n">
        <v>0</v>
      </c>
      <c r="Q821" t="n">
        <v>0</v>
      </c>
      <c r="R821" s="2" t="inlineStr"/>
    </row>
    <row r="822" ht="15" customHeight="1">
      <c r="A822" t="inlineStr">
        <is>
          <t>A 48428-2023</t>
        </is>
      </c>
      <c r="B822" s="1" t="n">
        <v>45205</v>
      </c>
      <c r="C822" s="1" t="n">
        <v>45849</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49555-2023</t>
        </is>
      </c>
      <c r="B823" s="1" t="n">
        <v>45205</v>
      </c>
      <c r="C823" s="1" t="n">
        <v>45849</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48478-2023</t>
        </is>
      </c>
      <c r="B824" s="1" t="n">
        <v>45206</v>
      </c>
      <c r="C824" s="1" t="n">
        <v>45849</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48533-2023</t>
        </is>
      </c>
      <c r="B825" s="1" t="n">
        <v>45208</v>
      </c>
      <c r="C825" s="1" t="n">
        <v>45849</v>
      </c>
      <c r="D825" t="inlineStr">
        <is>
          <t>JÄMTLANDS LÄN</t>
        </is>
      </c>
      <c r="E825" t="inlineStr">
        <is>
          <t>BERG</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48550-2023</t>
        </is>
      </c>
      <c r="B826" s="1" t="n">
        <v>45208</v>
      </c>
      <c r="C826" s="1" t="n">
        <v>45849</v>
      </c>
      <c r="D826" t="inlineStr">
        <is>
          <t>JÄMTLANDS LÄN</t>
        </is>
      </c>
      <c r="E826" t="inlineStr">
        <is>
          <t>BERG</t>
        </is>
      </c>
      <c r="G826" t="n">
        <v>2.2</v>
      </c>
      <c r="H826" t="n">
        <v>0</v>
      </c>
      <c r="I826" t="n">
        <v>0</v>
      </c>
      <c r="J826" t="n">
        <v>0</v>
      </c>
      <c r="K826" t="n">
        <v>0</v>
      </c>
      <c r="L826" t="n">
        <v>0</v>
      </c>
      <c r="M826" t="n">
        <v>0</v>
      </c>
      <c r="N826" t="n">
        <v>0</v>
      </c>
      <c r="O826" t="n">
        <v>0</v>
      </c>
      <c r="P826" t="n">
        <v>0</v>
      </c>
      <c r="Q826" t="n">
        <v>0</v>
      </c>
      <c r="R826" s="2" t="inlineStr"/>
    </row>
    <row r="827" ht="15" customHeight="1">
      <c r="A827" t="inlineStr">
        <is>
          <t>A 48764-2023</t>
        </is>
      </c>
      <c r="B827" s="1" t="n">
        <v>45209</v>
      </c>
      <c r="C827" s="1" t="n">
        <v>45849</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49715-2023</t>
        </is>
      </c>
      <c r="B828" s="1" t="n">
        <v>45208</v>
      </c>
      <c r="C828" s="1" t="n">
        <v>45849</v>
      </c>
      <c r="D828" t="inlineStr">
        <is>
          <t>JÄMTLANDS LÄN</t>
        </is>
      </c>
      <c r="E828" t="inlineStr">
        <is>
          <t>BERG</t>
        </is>
      </c>
      <c r="G828" t="n">
        <v>2.4</v>
      </c>
      <c r="H828" t="n">
        <v>0</v>
      </c>
      <c r="I828" t="n">
        <v>0</v>
      </c>
      <c r="J828" t="n">
        <v>0</v>
      </c>
      <c r="K828" t="n">
        <v>0</v>
      </c>
      <c r="L828" t="n">
        <v>0</v>
      </c>
      <c r="M828" t="n">
        <v>0</v>
      </c>
      <c r="N828" t="n">
        <v>0</v>
      </c>
      <c r="O828" t="n">
        <v>0</v>
      </c>
      <c r="P828" t="n">
        <v>0</v>
      </c>
      <c r="Q828" t="n">
        <v>0</v>
      </c>
      <c r="R828" s="2" t="inlineStr"/>
    </row>
    <row r="829" ht="15" customHeight="1">
      <c r="A829" t="inlineStr">
        <is>
          <t>A 50169-2023</t>
        </is>
      </c>
      <c r="B829" s="1" t="n">
        <v>45208</v>
      </c>
      <c r="C829" s="1" t="n">
        <v>45849</v>
      </c>
      <c r="D829" t="inlineStr">
        <is>
          <t>JÄMTLANDS LÄN</t>
        </is>
      </c>
      <c r="E829" t="inlineStr">
        <is>
          <t>BERG</t>
        </is>
      </c>
      <c r="G829" t="n">
        <v>3.9</v>
      </c>
      <c r="H829" t="n">
        <v>0</v>
      </c>
      <c r="I829" t="n">
        <v>0</v>
      </c>
      <c r="J829" t="n">
        <v>0</v>
      </c>
      <c r="K829" t="n">
        <v>0</v>
      </c>
      <c r="L829" t="n">
        <v>0</v>
      </c>
      <c r="M829" t="n">
        <v>0</v>
      </c>
      <c r="N829" t="n">
        <v>0</v>
      </c>
      <c r="O829" t="n">
        <v>0</v>
      </c>
      <c r="P829" t="n">
        <v>0</v>
      </c>
      <c r="Q829" t="n">
        <v>0</v>
      </c>
      <c r="R829" s="2" t="inlineStr"/>
    </row>
    <row r="830" ht="15" customHeight="1">
      <c r="A830" t="inlineStr">
        <is>
          <t>A 49721-2023</t>
        </is>
      </c>
      <c r="B830" s="1" t="n">
        <v>45208</v>
      </c>
      <c r="C830" s="1" t="n">
        <v>45849</v>
      </c>
      <c r="D830" t="inlineStr">
        <is>
          <t>JÄMTLANDS LÄN</t>
        </is>
      </c>
      <c r="E830" t="inlineStr">
        <is>
          <t>BERG</t>
        </is>
      </c>
      <c r="G830" t="n">
        <v>25.4</v>
      </c>
      <c r="H830" t="n">
        <v>0</v>
      </c>
      <c r="I830" t="n">
        <v>0</v>
      </c>
      <c r="J830" t="n">
        <v>0</v>
      </c>
      <c r="K830" t="n">
        <v>0</v>
      </c>
      <c r="L830" t="n">
        <v>0</v>
      </c>
      <c r="M830" t="n">
        <v>0</v>
      </c>
      <c r="N830" t="n">
        <v>0</v>
      </c>
      <c r="O830" t="n">
        <v>0</v>
      </c>
      <c r="P830" t="n">
        <v>0</v>
      </c>
      <c r="Q830" t="n">
        <v>0</v>
      </c>
      <c r="R830" s="2" t="inlineStr"/>
    </row>
    <row r="831" ht="15" customHeight="1">
      <c r="A831" t="inlineStr">
        <is>
          <t>A 50172-2023</t>
        </is>
      </c>
      <c r="B831" s="1" t="n">
        <v>45208</v>
      </c>
      <c r="C831" s="1" t="n">
        <v>45849</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48868-2023</t>
        </is>
      </c>
      <c r="B832" s="1" t="n">
        <v>45209</v>
      </c>
      <c r="C832" s="1" t="n">
        <v>45849</v>
      </c>
      <c r="D832" t="inlineStr">
        <is>
          <t>JÄMTLANDS LÄN</t>
        </is>
      </c>
      <c r="E832" t="inlineStr">
        <is>
          <t>BERG</t>
        </is>
      </c>
      <c r="F832" t="inlineStr">
        <is>
          <t>Naturvårdsverket</t>
        </is>
      </c>
      <c r="G832" t="n">
        <v>6.4</v>
      </c>
      <c r="H832" t="n">
        <v>0</v>
      </c>
      <c r="I832" t="n">
        <v>0</v>
      </c>
      <c r="J832" t="n">
        <v>0</v>
      </c>
      <c r="K832" t="n">
        <v>0</v>
      </c>
      <c r="L832" t="n">
        <v>0</v>
      </c>
      <c r="M832" t="n">
        <v>0</v>
      </c>
      <c r="N832" t="n">
        <v>0</v>
      </c>
      <c r="O832" t="n">
        <v>0</v>
      </c>
      <c r="P832" t="n">
        <v>0</v>
      </c>
      <c r="Q832" t="n">
        <v>0</v>
      </c>
      <c r="R832" s="2" t="inlineStr"/>
      <c r="U832">
        <f>HYPERLINK("https://klasma.github.io/Logging_2326/knärot/A 48868-2023 karta knärot.png", "A 48868-2023")</f>
        <v/>
      </c>
      <c r="V832">
        <f>HYPERLINK("https://klasma.github.io/Logging_2326/klagomål/A 48868-2023 FSC-klagomål.docx", "A 48868-2023")</f>
        <v/>
      </c>
      <c r="W832">
        <f>HYPERLINK("https://klasma.github.io/Logging_2326/klagomålsmail/A 48868-2023 FSC-klagomål mail.docx", "A 48868-2023")</f>
        <v/>
      </c>
      <c r="X832">
        <f>HYPERLINK("https://klasma.github.io/Logging_2326/tillsyn/A 48868-2023 tillsynsbegäran.docx", "A 48868-2023")</f>
        <v/>
      </c>
      <c r="Y832">
        <f>HYPERLINK("https://klasma.github.io/Logging_2326/tillsynsmail/A 48868-2023 tillsynsbegäran mail.docx", "A 48868-2023")</f>
        <v/>
      </c>
    </row>
    <row r="833" ht="15" customHeight="1">
      <c r="A833" t="inlineStr">
        <is>
          <t>A 53444-2023</t>
        </is>
      </c>
      <c r="B833" s="1" t="n">
        <v>45210</v>
      </c>
      <c r="C833" s="1" t="n">
        <v>45849</v>
      </c>
      <c r="D833" t="inlineStr">
        <is>
          <t>JÄMTLANDS LÄN</t>
        </is>
      </c>
      <c r="E833" t="inlineStr">
        <is>
          <t>BERG</t>
        </is>
      </c>
      <c r="F833" t="inlineStr">
        <is>
          <t>Övriga statliga verk och myndigheter</t>
        </is>
      </c>
      <c r="G833" t="n">
        <v>1.2</v>
      </c>
      <c r="H833" t="n">
        <v>0</v>
      </c>
      <c r="I833" t="n">
        <v>0</v>
      </c>
      <c r="J833" t="n">
        <v>0</v>
      </c>
      <c r="K833" t="n">
        <v>0</v>
      </c>
      <c r="L833" t="n">
        <v>0</v>
      </c>
      <c r="M833" t="n">
        <v>0</v>
      </c>
      <c r="N833" t="n">
        <v>0</v>
      </c>
      <c r="O833" t="n">
        <v>0</v>
      </c>
      <c r="P833" t="n">
        <v>0</v>
      </c>
      <c r="Q833" t="n">
        <v>0</v>
      </c>
      <c r="R833" s="2" t="inlineStr"/>
    </row>
    <row r="834" ht="15" customHeight="1">
      <c r="A834" t="inlineStr">
        <is>
          <t>A 50632-2023</t>
        </is>
      </c>
      <c r="B834" s="1" t="n">
        <v>45210</v>
      </c>
      <c r="C834" s="1" t="n">
        <v>45849</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53442-2023</t>
        </is>
      </c>
      <c r="B835" s="1" t="n">
        <v>45210</v>
      </c>
      <c r="C835" s="1" t="n">
        <v>45849</v>
      </c>
      <c r="D835" t="inlineStr">
        <is>
          <t>JÄMTLANDS LÄN</t>
        </is>
      </c>
      <c r="E835" t="inlineStr">
        <is>
          <t>BERG</t>
        </is>
      </c>
      <c r="F835" t="inlineStr">
        <is>
          <t>Övriga statliga verk och myndigheter</t>
        </is>
      </c>
      <c r="G835" t="n">
        <v>0.9</v>
      </c>
      <c r="H835" t="n">
        <v>0</v>
      </c>
      <c r="I835" t="n">
        <v>0</v>
      </c>
      <c r="J835" t="n">
        <v>0</v>
      </c>
      <c r="K835" t="n">
        <v>0</v>
      </c>
      <c r="L835" t="n">
        <v>0</v>
      </c>
      <c r="M835" t="n">
        <v>0</v>
      </c>
      <c r="N835" t="n">
        <v>0</v>
      </c>
      <c r="O835" t="n">
        <v>0</v>
      </c>
      <c r="P835" t="n">
        <v>0</v>
      </c>
      <c r="Q835" t="n">
        <v>0</v>
      </c>
      <c r="R835" s="2" t="inlineStr"/>
    </row>
    <row r="836" ht="15" customHeight="1">
      <c r="A836" t="inlineStr">
        <is>
          <t>A 50778-2023</t>
        </is>
      </c>
      <c r="B836" s="1" t="n">
        <v>45210</v>
      </c>
      <c r="C836" s="1" t="n">
        <v>45849</v>
      </c>
      <c r="D836" t="inlineStr">
        <is>
          <t>JÄMTLANDS LÄN</t>
        </is>
      </c>
      <c r="E836" t="inlineStr">
        <is>
          <t>BERG</t>
        </is>
      </c>
      <c r="G836" t="n">
        <v>3.7</v>
      </c>
      <c r="H836" t="n">
        <v>0</v>
      </c>
      <c r="I836" t="n">
        <v>0</v>
      </c>
      <c r="J836" t="n">
        <v>0</v>
      </c>
      <c r="K836" t="n">
        <v>0</v>
      </c>
      <c r="L836" t="n">
        <v>0</v>
      </c>
      <c r="M836" t="n">
        <v>0</v>
      </c>
      <c r="N836" t="n">
        <v>0</v>
      </c>
      <c r="O836" t="n">
        <v>0</v>
      </c>
      <c r="P836" t="n">
        <v>0</v>
      </c>
      <c r="Q836" t="n">
        <v>0</v>
      </c>
      <c r="R836" s="2" t="inlineStr"/>
    </row>
    <row r="837" ht="15" customHeight="1">
      <c r="A837" t="inlineStr">
        <is>
          <t>A 53441-2023</t>
        </is>
      </c>
      <c r="B837" s="1" t="n">
        <v>45210</v>
      </c>
      <c r="C837" s="1" t="n">
        <v>45849</v>
      </c>
      <c r="D837" t="inlineStr">
        <is>
          <t>JÄMTLANDS LÄN</t>
        </is>
      </c>
      <c r="E837" t="inlineStr">
        <is>
          <t>BERG</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53445-2023</t>
        </is>
      </c>
      <c r="B838" s="1" t="n">
        <v>45210</v>
      </c>
      <c r="C838" s="1" t="n">
        <v>45849</v>
      </c>
      <c r="D838" t="inlineStr">
        <is>
          <t>JÄMTLANDS LÄN</t>
        </is>
      </c>
      <c r="E838" t="inlineStr">
        <is>
          <t>BERG</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50773-2023</t>
        </is>
      </c>
      <c r="B839" s="1" t="n">
        <v>45210</v>
      </c>
      <c r="C839" s="1" t="n">
        <v>45849</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52154-2023</t>
        </is>
      </c>
      <c r="B840" s="1" t="n">
        <v>45212</v>
      </c>
      <c r="C840" s="1" t="n">
        <v>45849</v>
      </c>
      <c r="D840" t="inlineStr">
        <is>
          <t>JÄMTLANDS LÄN</t>
        </is>
      </c>
      <c r="E840" t="inlineStr">
        <is>
          <t>BERG</t>
        </is>
      </c>
      <c r="F840" t="inlineStr">
        <is>
          <t>Övriga statliga verk och myndigheter</t>
        </is>
      </c>
      <c r="G840" t="n">
        <v>1.3</v>
      </c>
      <c r="H840" t="n">
        <v>0</v>
      </c>
      <c r="I840" t="n">
        <v>0</v>
      </c>
      <c r="J840" t="n">
        <v>0</v>
      </c>
      <c r="K840" t="n">
        <v>0</v>
      </c>
      <c r="L840" t="n">
        <v>0</v>
      </c>
      <c r="M840" t="n">
        <v>0</v>
      </c>
      <c r="N840" t="n">
        <v>0</v>
      </c>
      <c r="O840" t="n">
        <v>0</v>
      </c>
      <c r="P840" t="n">
        <v>0</v>
      </c>
      <c r="Q840" t="n">
        <v>0</v>
      </c>
      <c r="R840" s="2" t="inlineStr"/>
    </row>
    <row r="841" ht="15" customHeight="1">
      <c r="A841" t="inlineStr">
        <is>
          <t>A 51548-2023</t>
        </is>
      </c>
      <c r="B841" s="1" t="n">
        <v>45215</v>
      </c>
      <c r="C841" s="1" t="n">
        <v>45849</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50572-2023</t>
        </is>
      </c>
      <c r="B842" s="1" t="n">
        <v>45217</v>
      </c>
      <c r="C842" s="1" t="n">
        <v>45849</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50591-2023</t>
        </is>
      </c>
      <c r="B843" s="1" t="n">
        <v>45217</v>
      </c>
      <c r="C843" s="1" t="n">
        <v>45849</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50706-2023</t>
        </is>
      </c>
      <c r="B844" s="1" t="n">
        <v>45217</v>
      </c>
      <c r="C844" s="1" t="n">
        <v>45849</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50612-2023</t>
        </is>
      </c>
      <c r="B845" s="1" t="n">
        <v>45217</v>
      </c>
      <c r="C845" s="1" t="n">
        <v>45849</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50737-2023</t>
        </is>
      </c>
      <c r="B846" s="1" t="n">
        <v>45217</v>
      </c>
      <c r="C846" s="1" t="n">
        <v>45849</v>
      </c>
      <c r="D846" t="inlineStr">
        <is>
          <t>JÄMTLANDS LÄN</t>
        </is>
      </c>
      <c r="E846" t="inlineStr">
        <is>
          <t>BERG</t>
        </is>
      </c>
      <c r="G846" t="n">
        <v>21</v>
      </c>
      <c r="H846" t="n">
        <v>0</v>
      </c>
      <c r="I846" t="n">
        <v>0</v>
      </c>
      <c r="J846" t="n">
        <v>0</v>
      </c>
      <c r="K846" t="n">
        <v>0</v>
      </c>
      <c r="L846" t="n">
        <v>0</v>
      </c>
      <c r="M846" t="n">
        <v>0</v>
      </c>
      <c r="N846" t="n">
        <v>0</v>
      </c>
      <c r="O846" t="n">
        <v>0</v>
      </c>
      <c r="P846" t="n">
        <v>0</v>
      </c>
      <c r="Q846" t="n">
        <v>0</v>
      </c>
      <c r="R846" s="2" t="inlineStr"/>
    </row>
    <row r="847" ht="15" customHeight="1">
      <c r="A847" t="inlineStr">
        <is>
          <t>A 51201-2023</t>
        </is>
      </c>
      <c r="B847" s="1" t="n">
        <v>45219</v>
      </c>
      <c r="C847" s="1" t="n">
        <v>45849</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52778-2023</t>
        </is>
      </c>
      <c r="B848" s="1" t="n">
        <v>45219</v>
      </c>
      <c r="C848" s="1" t="n">
        <v>45849</v>
      </c>
      <c r="D848" t="inlineStr">
        <is>
          <t>JÄMTLANDS LÄN</t>
        </is>
      </c>
      <c r="E848" t="inlineStr">
        <is>
          <t>BERG</t>
        </is>
      </c>
      <c r="G848" t="n">
        <v>3.2</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45849</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51462-2023</t>
        </is>
      </c>
      <c r="B850" s="1" t="n">
        <v>45221</v>
      </c>
      <c r="C850" s="1" t="n">
        <v>45849</v>
      </c>
      <c r="D850" t="inlineStr">
        <is>
          <t>JÄMTLANDS LÄN</t>
        </is>
      </c>
      <c r="E850" t="inlineStr">
        <is>
          <t>BERG</t>
        </is>
      </c>
      <c r="F850" t="inlineStr">
        <is>
          <t>Naturvårdsverket</t>
        </is>
      </c>
      <c r="G850" t="n">
        <v>5.4</v>
      </c>
      <c r="H850" t="n">
        <v>0</v>
      </c>
      <c r="I850" t="n">
        <v>0</v>
      </c>
      <c r="J850" t="n">
        <v>0</v>
      </c>
      <c r="K850" t="n">
        <v>0</v>
      </c>
      <c r="L850" t="n">
        <v>0</v>
      </c>
      <c r="M850" t="n">
        <v>0</v>
      </c>
      <c r="N850" t="n">
        <v>0</v>
      </c>
      <c r="O850" t="n">
        <v>0</v>
      </c>
      <c r="P850" t="n">
        <v>0</v>
      </c>
      <c r="Q850" t="n">
        <v>0</v>
      </c>
      <c r="R850" s="2" t="inlineStr"/>
    </row>
    <row r="851" ht="15" customHeight="1">
      <c r="A851" t="inlineStr">
        <is>
          <t>A 51461-2023</t>
        </is>
      </c>
      <c r="B851" s="1" t="n">
        <v>45221</v>
      </c>
      <c r="C851" s="1" t="n">
        <v>45849</v>
      </c>
      <c r="D851" t="inlineStr">
        <is>
          <t>JÄMTLANDS LÄN</t>
        </is>
      </c>
      <c r="E851" t="inlineStr">
        <is>
          <t>BERG</t>
        </is>
      </c>
      <c r="F851" t="inlineStr">
        <is>
          <t>Naturvårdsverket</t>
        </is>
      </c>
      <c r="G851" t="n">
        <v>0.9</v>
      </c>
      <c r="H851" t="n">
        <v>0</v>
      </c>
      <c r="I851" t="n">
        <v>0</v>
      </c>
      <c r="J851" t="n">
        <v>0</v>
      </c>
      <c r="K851" t="n">
        <v>0</v>
      </c>
      <c r="L851" t="n">
        <v>0</v>
      </c>
      <c r="M851" t="n">
        <v>0</v>
      </c>
      <c r="N851" t="n">
        <v>0</v>
      </c>
      <c r="O851" t="n">
        <v>0</v>
      </c>
      <c r="P851" t="n">
        <v>0</v>
      </c>
      <c r="Q851" t="n">
        <v>0</v>
      </c>
      <c r="R851" s="2" t="inlineStr"/>
    </row>
    <row r="852" ht="15" customHeight="1">
      <c r="A852" t="inlineStr">
        <is>
          <t>A 51813-2023</t>
        </is>
      </c>
      <c r="B852" s="1" t="n">
        <v>45222</v>
      </c>
      <c r="C852" s="1" t="n">
        <v>45849</v>
      </c>
      <c r="D852" t="inlineStr">
        <is>
          <t>JÄMTLANDS LÄN</t>
        </is>
      </c>
      <c r="E852" t="inlineStr">
        <is>
          <t>BERG</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51815-2023</t>
        </is>
      </c>
      <c r="B853" s="1" t="n">
        <v>45222</v>
      </c>
      <c r="C853" s="1" t="n">
        <v>45849</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53326-2023</t>
        </is>
      </c>
      <c r="B854" s="1" t="n">
        <v>45222</v>
      </c>
      <c r="C854" s="1" t="n">
        <v>45849</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51814-2023</t>
        </is>
      </c>
      <c r="B855" s="1" t="n">
        <v>45222</v>
      </c>
      <c r="C855" s="1" t="n">
        <v>45849</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51988-2023</t>
        </is>
      </c>
      <c r="B856" s="1" t="n">
        <v>45223</v>
      </c>
      <c r="C856" s="1" t="n">
        <v>45849</v>
      </c>
      <c r="D856" t="inlineStr">
        <is>
          <t>JÄMTLANDS LÄN</t>
        </is>
      </c>
      <c r="E856" t="inlineStr">
        <is>
          <t>BERG</t>
        </is>
      </c>
      <c r="F856" t="inlineStr">
        <is>
          <t>Kyrkan</t>
        </is>
      </c>
      <c r="G856" t="n">
        <v>0.4</v>
      </c>
      <c r="H856" t="n">
        <v>0</v>
      </c>
      <c r="I856" t="n">
        <v>0</v>
      </c>
      <c r="J856" t="n">
        <v>0</v>
      </c>
      <c r="K856" t="n">
        <v>0</v>
      </c>
      <c r="L856" t="n">
        <v>0</v>
      </c>
      <c r="M856" t="n">
        <v>0</v>
      </c>
      <c r="N856" t="n">
        <v>0</v>
      </c>
      <c r="O856" t="n">
        <v>0</v>
      </c>
      <c r="P856" t="n">
        <v>0</v>
      </c>
      <c r="Q856" t="n">
        <v>0</v>
      </c>
      <c r="R856" s="2" t="inlineStr"/>
    </row>
    <row r="857" ht="15" customHeight="1">
      <c r="A857" t="inlineStr">
        <is>
          <t>A 52318-2023</t>
        </is>
      </c>
      <c r="B857" s="1" t="n">
        <v>45224</v>
      </c>
      <c r="C857" s="1" t="n">
        <v>45849</v>
      </c>
      <c r="D857" t="inlineStr">
        <is>
          <t>JÄMTLANDS LÄN</t>
        </is>
      </c>
      <c r="E857" t="inlineStr">
        <is>
          <t>BERG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52311-2023</t>
        </is>
      </c>
      <c r="B858" s="1" t="n">
        <v>45224</v>
      </c>
      <c r="C858" s="1" t="n">
        <v>45849</v>
      </c>
      <c r="D858" t="inlineStr">
        <is>
          <t>JÄMTLANDS LÄN</t>
        </is>
      </c>
      <c r="E858" t="inlineStr">
        <is>
          <t>BERG</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53834-2023</t>
        </is>
      </c>
      <c r="B859" s="1" t="n">
        <v>45224</v>
      </c>
      <c r="C859" s="1" t="n">
        <v>45849</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52770-2023</t>
        </is>
      </c>
      <c r="B860" s="1" t="n">
        <v>45226</v>
      </c>
      <c r="C860" s="1" t="n">
        <v>45849</v>
      </c>
      <c r="D860" t="inlineStr">
        <is>
          <t>JÄMTLANDS LÄN</t>
        </is>
      </c>
      <c r="E860" t="inlineStr">
        <is>
          <t>BERG</t>
        </is>
      </c>
      <c r="G860" t="n">
        <v>12.8</v>
      </c>
      <c r="H860" t="n">
        <v>0</v>
      </c>
      <c r="I860" t="n">
        <v>0</v>
      </c>
      <c r="J860" t="n">
        <v>0</v>
      </c>
      <c r="K860" t="n">
        <v>0</v>
      </c>
      <c r="L860" t="n">
        <v>0</v>
      </c>
      <c r="M860" t="n">
        <v>0</v>
      </c>
      <c r="N860" t="n">
        <v>0</v>
      </c>
      <c r="O860" t="n">
        <v>0</v>
      </c>
      <c r="P860" t="n">
        <v>0</v>
      </c>
      <c r="Q860" t="n">
        <v>0</v>
      </c>
      <c r="R860" s="2" t="inlineStr"/>
    </row>
    <row r="861" ht="15" customHeight="1">
      <c r="A861" t="inlineStr">
        <is>
          <t>A 53151-2023</t>
        </is>
      </c>
      <c r="B861" s="1" t="n">
        <v>45229</v>
      </c>
      <c r="C861" s="1" t="n">
        <v>45849</v>
      </c>
      <c r="D861" t="inlineStr">
        <is>
          <t>JÄMTLANDS LÄN</t>
        </is>
      </c>
      <c r="E861" t="inlineStr">
        <is>
          <t>BERG</t>
        </is>
      </c>
      <c r="G861" t="n">
        <v>14.1</v>
      </c>
      <c r="H861" t="n">
        <v>0</v>
      </c>
      <c r="I861" t="n">
        <v>0</v>
      </c>
      <c r="J861" t="n">
        <v>0</v>
      </c>
      <c r="K861" t="n">
        <v>0</v>
      </c>
      <c r="L861" t="n">
        <v>0</v>
      </c>
      <c r="M861" t="n">
        <v>0</v>
      </c>
      <c r="N861" t="n">
        <v>0</v>
      </c>
      <c r="O861" t="n">
        <v>0</v>
      </c>
      <c r="P861" t="n">
        <v>0</v>
      </c>
      <c r="Q861" t="n">
        <v>0</v>
      </c>
      <c r="R861" s="2" t="inlineStr"/>
    </row>
    <row r="862" ht="15" customHeight="1">
      <c r="A862" t="inlineStr">
        <is>
          <t>A 54880-2023</t>
        </is>
      </c>
      <c r="B862" s="1" t="n">
        <v>45229</v>
      </c>
      <c r="C862" s="1" t="n">
        <v>45849</v>
      </c>
      <c r="D862" t="inlineStr">
        <is>
          <t>JÄMTLANDS LÄN</t>
        </is>
      </c>
      <c r="E862" t="inlineStr">
        <is>
          <t>BERG</t>
        </is>
      </c>
      <c r="G862" t="n">
        <v>16.8</v>
      </c>
      <c r="H862" t="n">
        <v>0</v>
      </c>
      <c r="I862" t="n">
        <v>0</v>
      </c>
      <c r="J862" t="n">
        <v>0</v>
      </c>
      <c r="K862" t="n">
        <v>0</v>
      </c>
      <c r="L862" t="n">
        <v>0</v>
      </c>
      <c r="M862" t="n">
        <v>0</v>
      </c>
      <c r="N862" t="n">
        <v>0</v>
      </c>
      <c r="O862" t="n">
        <v>0</v>
      </c>
      <c r="P862" t="n">
        <v>0</v>
      </c>
      <c r="Q862" t="n">
        <v>0</v>
      </c>
      <c r="R862" s="2" t="inlineStr"/>
    </row>
    <row r="863" ht="15" customHeight="1">
      <c r="A863" t="inlineStr">
        <is>
          <t>A 53688-2023</t>
        </is>
      </c>
      <c r="B863" s="1" t="n">
        <v>45230</v>
      </c>
      <c r="C863" s="1" t="n">
        <v>45849</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53885-2023</t>
        </is>
      </c>
      <c r="B864" s="1" t="n">
        <v>45231</v>
      </c>
      <c r="C864" s="1" t="n">
        <v>45849</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53894-2023</t>
        </is>
      </c>
      <c r="B865" s="1" t="n">
        <v>45231</v>
      </c>
      <c r="C865" s="1" t="n">
        <v>45849</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54071-2023</t>
        </is>
      </c>
      <c r="B866" s="1" t="n">
        <v>45231</v>
      </c>
      <c r="C866" s="1" t="n">
        <v>45849</v>
      </c>
      <c r="D866" t="inlineStr">
        <is>
          <t>JÄMTLANDS LÄN</t>
        </is>
      </c>
      <c r="E866" t="inlineStr">
        <is>
          <t>BERG</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53883-2023</t>
        </is>
      </c>
      <c r="B867" s="1" t="n">
        <v>45231</v>
      </c>
      <c r="C867" s="1" t="n">
        <v>45849</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54069-2023</t>
        </is>
      </c>
      <c r="B868" s="1" t="n">
        <v>45231</v>
      </c>
      <c r="C868" s="1" t="n">
        <v>45849</v>
      </c>
      <c r="D868" t="inlineStr">
        <is>
          <t>JÄMTLANDS LÄN</t>
        </is>
      </c>
      <c r="E868" t="inlineStr">
        <is>
          <t>BERG</t>
        </is>
      </c>
      <c r="F868" t="inlineStr">
        <is>
          <t>SCA</t>
        </is>
      </c>
      <c r="G868" t="n">
        <v>18.9</v>
      </c>
      <c r="H868" t="n">
        <v>0</v>
      </c>
      <c r="I868" t="n">
        <v>0</v>
      </c>
      <c r="J868" t="n">
        <v>0</v>
      </c>
      <c r="K868" t="n">
        <v>0</v>
      </c>
      <c r="L868" t="n">
        <v>0</v>
      </c>
      <c r="M868" t="n">
        <v>0</v>
      </c>
      <c r="N868" t="n">
        <v>0</v>
      </c>
      <c r="O868" t="n">
        <v>0</v>
      </c>
      <c r="P868" t="n">
        <v>0</v>
      </c>
      <c r="Q868" t="n">
        <v>0</v>
      </c>
      <c r="R868" s="2" t="inlineStr"/>
    </row>
    <row r="869" ht="15" customHeight="1">
      <c r="A869" t="inlineStr">
        <is>
          <t>A 54343-2023</t>
        </is>
      </c>
      <c r="B869" s="1" t="n">
        <v>45233</v>
      </c>
      <c r="C869" s="1" t="n">
        <v>45849</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54333-2023</t>
        </is>
      </c>
      <c r="B870" s="1" t="n">
        <v>45232</v>
      </c>
      <c r="C870" s="1" t="n">
        <v>45849</v>
      </c>
      <c r="D870" t="inlineStr">
        <is>
          <t>JÄMTLANDS LÄN</t>
        </is>
      </c>
      <c r="E870" t="inlineStr">
        <is>
          <t>BERG</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54344-2023</t>
        </is>
      </c>
      <c r="B871" s="1" t="n">
        <v>45233</v>
      </c>
      <c r="C871" s="1" t="n">
        <v>45849</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54415-2023</t>
        </is>
      </c>
      <c r="B872" s="1" t="n">
        <v>45233</v>
      </c>
      <c r="C872" s="1" t="n">
        <v>45849</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54412-2023</t>
        </is>
      </c>
      <c r="B873" s="1" t="n">
        <v>45233</v>
      </c>
      <c r="C873" s="1" t="n">
        <v>45849</v>
      </c>
      <c r="D873" t="inlineStr">
        <is>
          <t>JÄMTLANDS LÄN</t>
        </is>
      </c>
      <c r="E873" t="inlineStr">
        <is>
          <t>BERG</t>
        </is>
      </c>
      <c r="G873" t="n">
        <v>10.7</v>
      </c>
      <c r="H873" t="n">
        <v>0</v>
      </c>
      <c r="I873" t="n">
        <v>0</v>
      </c>
      <c r="J873" t="n">
        <v>0</v>
      </c>
      <c r="K873" t="n">
        <v>0</v>
      </c>
      <c r="L873" t="n">
        <v>0</v>
      </c>
      <c r="M873" t="n">
        <v>0</v>
      </c>
      <c r="N873" t="n">
        <v>0</v>
      </c>
      <c r="O873" t="n">
        <v>0</v>
      </c>
      <c r="P873" t="n">
        <v>0</v>
      </c>
      <c r="Q873" t="n">
        <v>0</v>
      </c>
      <c r="R873" s="2" t="inlineStr"/>
    </row>
    <row r="874" ht="15" customHeight="1">
      <c r="A874" t="inlineStr">
        <is>
          <t>A 54751-2023</t>
        </is>
      </c>
      <c r="B874" s="1" t="n">
        <v>45236</v>
      </c>
      <c r="C874" s="1" t="n">
        <v>45849</v>
      </c>
      <c r="D874" t="inlineStr">
        <is>
          <t>JÄMTLANDS LÄN</t>
        </is>
      </c>
      <c r="E874" t="inlineStr">
        <is>
          <t>BERG</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54743-2023</t>
        </is>
      </c>
      <c r="B875" s="1" t="n">
        <v>45236</v>
      </c>
      <c r="C875" s="1" t="n">
        <v>45849</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54863-2023</t>
        </is>
      </c>
      <c r="B876" s="1" t="n">
        <v>45236</v>
      </c>
      <c r="C876" s="1" t="n">
        <v>45849</v>
      </c>
      <c r="D876" t="inlineStr">
        <is>
          <t>JÄMTLANDS LÄN</t>
        </is>
      </c>
      <c r="E876" t="inlineStr">
        <is>
          <t>BERG</t>
        </is>
      </c>
      <c r="G876" t="n">
        <v>3.3</v>
      </c>
      <c r="H876" t="n">
        <v>0</v>
      </c>
      <c r="I876" t="n">
        <v>0</v>
      </c>
      <c r="J876" t="n">
        <v>0</v>
      </c>
      <c r="K876" t="n">
        <v>0</v>
      </c>
      <c r="L876" t="n">
        <v>0</v>
      </c>
      <c r="M876" t="n">
        <v>0</v>
      </c>
      <c r="N876" t="n">
        <v>0</v>
      </c>
      <c r="O876" t="n">
        <v>0</v>
      </c>
      <c r="P876" t="n">
        <v>0</v>
      </c>
      <c r="Q876" t="n">
        <v>0</v>
      </c>
      <c r="R876" s="2" t="inlineStr"/>
    </row>
    <row r="877" ht="15" customHeight="1">
      <c r="A877" t="inlineStr">
        <is>
          <t>A 54991-2023</t>
        </is>
      </c>
      <c r="B877" s="1" t="n">
        <v>45237</v>
      </c>
      <c r="C877" s="1" t="n">
        <v>45849</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54995-2023</t>
        </is>
      </c>
      <c r="B878" s="1" t="n">
        <v>45237</v>
      </c>
      <c r="C878" s="1" t="n">
        <v>45849</v>
      </c>
      <c r="D878" t="inlineStr">
        <is>
          <t>JÄMTLANDS LÄN</t>
        </is>
      </c>
      <c r="E878" t="inlineStr">
        <is>
          <t>BERG</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54834-2023</t>
        </is>
      </c>
      <c r="B879" s="1" t="n">
        <v>45236</v>
      </c>
      <c r="C879" s="1" t="n">
        <v>45849</v>
      </c>
      <c r="D879" t="inlineStr">
        <is>
          <t>JÄMTLANDS LÄN</t>
        </is>
      </c>
      <c r="E879" t="inlineStr">
        <is>
          <t>BERG</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54992-2023</t>
        </is>
      </c>
      <c r="B880" s="1" t="n">
        <v>45237</v>
      </c>
      <c r="C880" s="1" t="n">
        <v>45849</v>
      </c>
      <c r="D880" t="inlineStr">
        <is>
          <t>JÄMTLANDS LÄN</t>
        </is>
      </c>
      <c r="E880" t="inlineStr">
        <is>
          <t>BERG</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54994-2023</t>
        </is>
      </c>
      <c r="B881" s="1" t="n">
        <v>45237</v>
      </c>
      <c r="C881" s="1" t="n">
        <v>45849</v>
      </c>
      <c r="D881" t="inlineStr">
        <is>
          <t>JÄMTLANDS LÄN</t>
        </is>
      </c>
      <c r="E881" t="inlineStr">
        <is>
          <t>BERG</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54998-2023</t>
        </is>
      </c>
      <c r="B882" s="1" t="n">
        <v>45237</v>
      </c>
      <c r="C882" s="1" t="n">
        <v>45849</v>
      </c>
      <c r="D882" t="inlineStr">
        <is>
          <t>JÄMTLANDS LÄN</t>
        </is>
      </c>
      <c r="E882" t="inlineStr">
        <is>
          <t>BERG</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54997-2023</t>
        </is>
      </c>
      <c r="B883" s="1" t="n">
        <v>45237</v>
      </c>
      <c r="C883" s="1" t="n">
        <v>45849</v>
      </c>
      <c r="D883" t="inlineStr">
        <is>
          <t>JÄMTLANDS LÄN</t>
        </is>
      </c>
      <c r="E883" t="inlineStr">
        <is>
          <t>BERG</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55001-2023</t>
        </is>
      </c>
      <c r="B884" s="1" t="n">
        <v>45237</v>
      </c>
      <c r="C884" s="1" t="n">
        <v>45849</v>
      </c>
      <c r="D884" t="inlineStr">
        <is>
          <t>JÄMTLANDS LÄN</t>
        </is>
      </c>
      <c r="E884" t="inlineStr">
        <is>
          <t>BERG</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55333-2023</t>
        </is>
      </c>
      <c r="B885" s="1" t="n">
        <v>45238</v>
      </c>
      <c r="C885" s="1" t="n">
        <v>45849</v>
      </c>
      <c r="D885" t="inlineStr">
        <is>
          <t>JÄMTLANDS LÄN</t>
        </is>
      </c>
      <c r="E885" t="inlineStr">
        <is>
          <t>BERG</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55334-2023</t>
        </is>
      </c>
      <c r="B886" s="1" t="n">
        <v>45238</v>
      </c>
      <c r="C886" s="1" t="n">
        <v>45849</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55336-2023</t>
        </is>
      </c>
      <c r="B887" s="1" t="n">
        <v>45237</v>
      </c>
      <c r="C887" s="1" t="n">
        <v>45849</v>
      </c>
      <c r="D887" t="inlineStr">
        <is>
          <t>JÄMTLANDS LÄN</t>
        </is>
      </c>
      <c r="E887" t="inlineStr">
        <is>
          <t>BERG</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55594-2023</t>
        </is>
      </c>
      <c r="B888" s="1" t="n">
        <v>45238</v>
      </c>
      <c r="C888" s="1" t="n">
        <v>45849</v>
      </c>
      <c r="D888" t="inlineStr">
        <is>
          <t>JÄMTLANDS LÄN</t>
        </is>
      </c>
      <c r="E888" t="inlineStr">
        <is>
          <t>BERG</t>
        </is>
      </c>
      <c r="G888" t="n">
        <v>9.4</v>
      </c>
      <c r="H888" t="n">
        <v>0</v>
      </c>
      <c r="I888" t="n">
        <v>0</v>
      </c>
      <c r="J888" t="n">
        <v>0</v>
      </c>
      <c r="K888" t="n">
        <v>0</v>
      </c>
      <c r="L888" t="n">
        <v>0</v>
      </c>
      <c r="M888" t="n">
        <v>0</v>
      </c>
      <c r="N888" t="n">
        <v>0</v>
      </c>
      <c r="O888" t="n">
        <v>0</v>
      </c>
      <c r="P888" t="n">
        <v>0</v>
      </c>
      <c r="Q888" t="n">
        <v>0</v>
      </c>
      <c r="R888" s="2" t="inlineStr"/>
    </row>
    <row r="889" ht="15" customHeight="1">
      <c r="A889" t="inlineStr">
        <is>
          <t>A 56570-2023</t>
        </is>
      </c>
      <c r="B889" s="1" t="n">
        <v>45238</v>
      </c>
      <c r="C889" s="1" t="n">
        <v>45849</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57438-2023</t>
        </is>
      </c>
      <c r="B890" s="1" t="n">
        <v>45240</v>
      </c>
      <c r="C890" s="1" t="n">
        <v>45849</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56255-2023</t>
        </is>
      </c>
      <c r="B891" s="1" t="n">
        <v>45240</v>
      </c>
      <c r="C891" s="1" t="n">
        <v>45849</v>
      </c>
      <c r="D891" t="inlineStr">
        <is>
          <t>JÄMTLANDS LÄN</t>
        </is>
      </c>
      <c r="E891" t="inlineStr">
        <is>
          <t>BERG</t>
        </is>
      </c>
      <c r="G891" t="n">
        <v>5.2</v>
      </c>
      <c r="H891" t="n">
        <v>0</v>
      </c>
      <c r="I891" t="n">
        <v>0</v>
      </c>
      <c r="J891" t="n">
        <v>0</v>
      </c>
      <c r="K891" t="n">
        <v>0</v>
      </c>
      <c r="L891" t="n">
        <v>0</v>
      </c>
      <c r="M891" t="n">
        <v>0</v>
      </c>
      <c r="N891" t="n">
        <v>0</v>
      </c>
      <c r="O891" t="n">
        <v>0</v>
      </c>
      <c r="P891" t="n">
        <v>0</v>
      </c>
      <c r="Q891" t="n">
        <v>0</v>
      </c>
      <c r="R891" s="2" t="inlineStr"/>
    </row>
    <row r="892" ht="15" customHeight="1">
      <c r="A892" t="inlineStr">
        <is>
          <t>A 56141-2023</t>
        </is>
      </c>
      <c r="B892" s="1" t="n">
        <v>45240</v>
      </c>
      <c r="C892" s="1" t="n">
        <v>45849</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56125-2023</t>
        </is>
      </c>
      <c r="B893" s="1" t="n">
        <v>45240</v>
      </c>
      <c r="C893" s="1" t="n">
        <v>45849</v>
      </c>
      <c r="D893" t="inlineStr">
        <is>
          <t>JÄMTLANDS LÄN</t>
        </is>
      </c>
      <c r="E893" t="inlineStr">
        <is>
          <t>BERG</t>
        </is>
      </c>
      <c r="G893" t="n">
        <v>6.4</v>
      </c>
      <c r="H893" t="n">
        <v>0</v>
      </c>
      <c r="I893" t="n">
        <v>0</v>
      </c>
      <c r="J893" t="n">
        <v>0</v>
      </c>
      <c r="K893" t="n">
        <v>0</v>
      </c>
      <c r="L893" t="n">
        <v>0</v>
      </c>
      <c r="M893" t="n">
        <v>0</v>
      </c>
      <c r="N893" t="n">
        <v>0</v>
      </c>
      <c r="O893" t="n">
        <v>0</v>
      </c>
      <c r="P893" t="n">
        <v>0</v>
      </c>
      <c r="Q893" t="n">
        <v>0</v>
      </c>
      <c r="R893" s="2" t="inlineStr"/>
    </row>
    <row r="894" ht="15" customHeight="1">
      <c r="A894" t="inlineStr">
        <is>
          <t>A 57418-2023</t>
        </is>
      </c>
      <c r="B894" s="1" t="n">
        <v>45246</v>
      </c>
      <c r="C894" s="1" t="n">
        <v>45849</v>
      </c>
      <c r="D894" t="inlineStr">
        <is>
          <t>JÄMTLANDS LÄN</t>
        </is>
      </c>
      <c r="E894" t="inlineStr">
        <is>
          <t>BERG</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57790-2023</t>
        </is>
      </c>
      <c r="B895" s="1" t="n">
        <v>45247</v>
      </c>
      <c r="C895" s="1" t="n">
        <v>45849</v>
      </c>
      <c r="D895" t="inlineStr">
        <is>
          <t>JÄMTLANDS LÄN</t>
        </is>
      </c>
      <c r="E895" t="inlineStr">
        <is>
          <t>BERG</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58459-2023</t>
        </is>
      </c>
      <c r="B896" s="1" t="n">
        <v>45251</v>
      </c>
      <c r="C896" s="1" t="n">
        <v>45849</v>
      </c>
      <c r="D896" t="inlineStr">
        <is>
          <t>JÄMTLANDS LÄN</t>
        </is>
      </c>
      <c r="E896" t="inlineStr">
        <is>
          <t>BERG</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58458-2023</t>
        </is>
      </c>
      <c r="B897" s="1" t="n">
        <v>45251</v>
      </c>
      <c r="C897" s="1" t="n">
        <v>45849</v>
      </c>
      <c r="D897" t="inlineStr">
        <is>
          <t>JÄMTLANDS LÄN</t>
        </is>
      </c>
      <c r="E897" t="inlineStr">
        <is>
          <t>BERG</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58770-2023</t>
        </is>
      </c>
      <c r="B898" s="1" t="n">
        <v>45252</v>
      </c>
      <c r="C898" s="1" t="n">
        <v>45849</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59080-2023</t>
        </is>
      </c>
      <c r="B899" s="1" t="n">
        <v>45252</v>
      </c>
      <c r="C899" s="1" t="n">
        <v>45849</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59082-2023</t>
        </is>
      </c>
      <c r="B900" s="1" t="n">
        <v>45252</v>
      </c>
      <c r="C900" s="1" t="n">
        <v>45849</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59086-2023</t>
        </is>
      </c>
      <c r="B901" s="1" t="n">
        <v>45252</v>
      </c>
      <c r="C901" s="1" t="n">
        <v>45849</v>
      </c>
      <c r="D901" t="inlineStr">
        <is>
          <t>JÄMTLANDS LÄN</t>
        </is>
      </c>
      <c r="E901" t="inlineStr">
        <is>
          <t>BERG</t>
        </is>
      </c>
      <c r="G901" t="n">
        <v>14.6</v>
      </c>
      <c r="H901" t="n">
        <v>0</v>
      </c>
      <c r="I901" t="n">
        <v>0</v>
      </c>
      <c r="J901" t="n">
        <v>0</v>
      </c>
      <c r="K901" t="n">
        <v>0</v>
      </c>
      <c r="L901" t="n">
        <v>0</v>
      </c>
      <c r="M901" t="n">
        <v>0</v>
      </c>
      <c r="N901" t="n">
        <v>0</v>
      </c>
      <c r="O901" t="n">
        <v>0</v>
      </c>
      <c r="P901" t="n">
        <v>0</v>
      </c>
      <c r="Q901" t="n">
        <v>0</v>
      </c>
      <c r="R901" s="2" t="inlineStr"/>
    </row>
    <row r="902" ht="15" customHeight="1">
      <c r="A902" t="inlineStr">
        <is>
          <t>A 59085-2023</t>
        </is>
      </c>
      <c r="B902" s="1" t="n">
        <v>45252</v>
      </c>
      <c r="C902" s="1" t="n">
        <v>45849</v>
      </c>
      <c r="D902" t="inlineStr">
        <is>
          <t>JÄMTLANDS LÄN</t>
        </is>
      </c>
      <c r="E902" t="inlineStr">
        <is>
          <t>BERG</t>
        </is>
      </c>
      <c r="G902" t="n">
        <v>6.3</v>
      </c>
      <c r="H902" t="n">
        <v>0</v>
      </c>
      <c r="I902" t="n">
        <v>0</v>
      </c>
      <c r="J902" t="n">
        <v>0</v>
      </c>
      <c r="K902" t="n">
        <v>0</v>
      </c>
      <c r="L902" t="n">
        <v>0</v>
      </c>
      <c r="M902" t="n">
        <v>0</v>
      </c>
      <c r="N902" t="n">
        <v>0</v>
      </c>
      <c r="O902" t="n">
        <v>0</v>
      </c>
      <c r="P902" t="n">
        <v>0</v>
      </c>
      <c r="Q902" t="n">
        <v>0</v>
      </c>
      <c r="R902" s="2" t="inlineStr"/>
    </row>
    <row r="903" ht="15" customHeight="1">
      <c r="A903" t="inlineStr">
        <is>
          <t>A 59087-2023</t>
        </is>
      </c>
      <c r="B903" s="1" t="n">
        <v>45252</v>
      </c>
      <c r="C903" s="1" t="n">
        <v>45849</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59091-2023</t>
        </is>
      </c>
      <c r="B904" s="1" t="n">
        <v>45253</v>
      </c>
      <c r="C904" s="1" t="n">
        <v>45849</v>
      </c>
      <c r="D904" t="inlineStr">
        <is>
          <t>JÄMTLANDS LÄN</t>
        </is>
      </c>
      <c r="E904" t="inlineStr">
        <is>
          <t>BERG</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59407-2023</t>
        </is>
      </c>
      <c r="B905" s="1" t="n">
        <v>45253</v>
      </c>
      <c r="C905" s="1" t="n">
        <v>45849</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59415-2023</t>
        </is>
      </c>
      <c r="B906" s="1" t="n">
        <v>45254</v>
      </c>
      <c r="C906" s="1" t="n">
        <v>45849</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59656-2023</t>
        </is>
      </c>
      <c r="B907" s="1" t="n">
        <v>45255</v>
      </c>
      <c r="C907" s="1" t="n">
        <v>45849</v>
      </c>
      <c r="D907" t="inlineStr">
        <is>
          <t>JÄMTLANDS LÄN</t>
        </is>
      </c>
      <c r="E907" t="inlineStr">
        <is>
          <t>BERG</t>
        </is>
      </c>
      <c r="G907" t="n">
        <v>6.5</v>
      </c>
      <c r="H907" t="n">
        <v>0</v>
      </c>
      <c r="I907" t="n">
        <v>0</v>
      </c>
      <c r="J907" t="n">
        <v>0</v>
      </c>
      <c r="K907" t="n">
        <v>0</v>
      </c>
      <c r="L907" t="n">
        <v>0</v>
      </c>
      <c r="M907" t="n">
        <v>0</v>
      </c>
      <c r="N907" t="n">
        <v>0</v>
      </c>
      <c r="O907" t="n">
        <v>0</v>
      </c>
      <c r="P907" t="n">
        <v>0</v>
      </c>
      <c r="Q907" t="n">
        <v>0</v>
      </c>
      <c r="R907" s="2" t="inlineStr"/>
    </row>
    <row r="908" ht="15" customHeight="1">
      <c r="A908" t="inlineStr">
        <is>
          <t>A 60065-2023</t>
        </is>
      </c>
      <c r="B908" s="1" t="n">
        <v>45258</v>
      </c>
      <c r="C908" s="1" t="n">
        <v>45849</v>
      </c>
      <c r="D908" t="inlineStr">
        <is>
          <t>JÄMTLANDS LÄN</t>
        </is>
      </c>
      <c r="E908" t="inlineStr">
        <is>
          <t>BERG</t>
        </is>
      </c>
      <c r="G908" t="n">
        <v>4.2</v>
      </c>
      <c r="H908" t="n">
        <v>0</v>
      </c>
      <c r="I908" t="n">
        <v>0</v>
      </c>
      <c r="J908" t="n">
        <v>0</v>
      </c>
      <c r="K908" t="n">
        <v>0</v>
      </c>
      <c r="L908" t="n">
        <v>0</v>
      </c>
      <c r="M908" t="n">
        <v>0</v>
      </c>
      <c r="N908" t="n">
        <v>0</v>
      </c>
      <c r="O908" t="n">
        <v>0</v>
      </c>
      <c r="P908" t="n">
        <v>0</v>
      </c>
      <c r="Q908" t="n">
        <v>0</v>
      </c>
      <c r="R908" s="2" t="inlineStr"/>
    </row>
    <row r="909" ht="15" customHeight="1">
      <c r="A909" t="inlineStr">
        <is>
          <t>A 60337-2023</t>
        </is>
      </c>
      <c r="B909" s="1" t="n">
        <v>45258</v>
      </c>
      <c r="C909" s="1" t="n">
        <v>45849</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60331-2023</t>
        </is>
      </c>
      <c r="B910" s="1" t="n">
        <v>45258</v>
      </c>
      <c r="C910" s="1" t="n">
        <v>45849</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60407-2023</t>
        </is>
      </c>
      <c r="B911" s="1" t="n">
        <v>45259</v>
      </c>
      <c r="C911" s="1" t="n">
        <v>45849</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60404-2023</t>
        </is>
      </c>
      <c r="B912" s="1" t="n">
        <v>45259</v>
      </c>
      <c r="C912" s="1" t="n">
        <v>45849</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60405-2023</t>
        </is>
      </c>
      <c r="B913" s="1" t="n">
        <v>45259</v>
      </c>
      <c r="C913" s="1" t="n">
        <v>45849</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60409-2023</t>
        </is>
      </c>
      <c r="B914" s="1" t="n">
        <v>45259</v>
      </c>
      <c r="C914" s="1" t="n">
        <v>45849</v>
      </c>
      <c r="D914" t="inlineStr">
        <is>
          <t>JÄMTLANDS LÄN</t>
        </is>
      </c>
      <c r="E914" t="inlineStr">
        <is>
          <t>BERG</t>
        </is>
      </c>
      <c r="G914" t="n">
        <v>5.8</v>
      </c>
      <c r="H914" t="n">
        <v>0</v>
      </c>
      <c r="I914" t="n">
        <v>0</v>
      </c>
      <c r="J914" t="n">
        <v>0</v>
      </c>
      <c r="K914" t="n">
        <v>0</v>
      </c>
      <c r="L914" t="n">
        <v>0</v>
      </c>
      <c r="M914" t="n">
        <v>0</v>
      </c>
      <c r="N914" t="n">
        <v>0</v>
      </c>
      <c r="O914" t="n">
        <v>0</v>
      </c>
      <c r="P914" t="n">
        <v>0</v>
      </c>
      <c r="Q914" t="n">
        <v>0</v>
      </c>
      <c r="R914" s="2" t="inlineStr"/>
    </row>
    <row r="915" ht="15" customHeight="1">
      <c r="A915" t="inlineStr">
        <is>
          <t>A 60422-2023</t>
        </is>
      </c>
      <c r="B915" s="1" t="n">
        <v>45259</v>
      </c>
      <c r="C915" s="1" t="n">
        <v>45849</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61019-2023</t>
        </is>
      </c>
      <c r="B916" s="1" t="n">
        <v>45259</v>
      </c>
      <c r="C916" s="1" t="n">
        <v>45849</v>
      </c>
      <c r="D916" t="inlineStr">
        <is>
          <t>JÄMTLANDS LÄN</t>
        </is>
      </c>
      <c r="E916" t="inlineStr">
        <is>
          <t>BERG</t>
        </is>
      </c>
      <c r="G916" t="n">
        <v>6</v>
      </c>
      <c r="H916" t="n">
        <v>0</v>
      </c>
      <c r="I916" t="n">
        <v>0</v>
      </c>
      <c r="J916" t="n">
        <v>0</v>
      </c>
      <c r="K916" t="n">
        <v>0</v>
      </c>
      <c r="L916" t="n">
        <v>0</v>
      </c>
      <c r="M916" t="n">
        <v>0</v>
      </c>
      <c r="N916" t="n">
        <v>0</v>
      </c>
      <c r="O916" t="n">
        <v>0</v>
      </c>
      <c r="P916" t="n">
        <v>0</v>
      </c>
      <c r="Q916" t="n">
        <v>0</v>
      </c>
      <c r="R916" s="2" t="inlineStr"/>
    </row>
    <row r="917" ht="15" customHeight="1">
      <c r="A917" t="inlineStr">
        <is>
          <t>A 60956-2023</t>
        </is>
      </c>
      <c r="B917" s="1" t="n">
        <v>45259</v>
      </c>
      <c r="C917" s="1" t="n">
        <v>45849</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61026-2023</t>
        </is>
      </c>
      <c r="B918" s="1" t="n">
        <v>45259</v>
      </c>
      <c r="C918" s="1" t="n">
        <v>45849</v>
      </c>
      <c r="D918" t="inlineStr">
        <is>
          <t>JÄMTLANDS LÄN</t>
        </is>
      </c>
      <c r="E918" t="inlineStr">
        <is>
          <t>BERG</t>
        </is>
      </c>
      <c r="G918" t="n">
        <v>2.8</v>
      </c>
      <c r="H918" t="n">
        <v>0</v>
      </c>
      <c r="I918" t="n">
        <v>0</v>
      </c>
      <c r="J918" t="n">
        <v>0</v>
      </c>
      <c r="K918" t="n">
        <v>0</v>
      </c>
      <c r="L918" t="n">
        <v>0</v>
      </c>
      <c r="M918" t="n">
        <v>0</v>
      </c>
      <c r="N918" t="n">
        <v>0</v>
      </c>
      <c r="O918" t="n">
        <v>0</v>
      </c>
      <c r="P918" t="n">
        <v>0</v>
      </c>
      <c r="Q918" t="n">
        <v>0</v>
      </c>
      <c r="R918" s="2" t="inlineStr"/>
    </row>
    <row r="919" ht="15" customHeight="1">
      <c r="A919" t="inlineStr">
        <is>
          <t>A 60847-2023</t>
        </is>
      </c>
      <c r="B919" s="1" t="n">
        <v>45260</v>
      </c>
      <c r="C919" s="1" t="n">
        <v>45849</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61015-2023</t>
        </is>
      </c>
      <c r="B920" s="1" t="n">
        <v>45260</v>
      </c>
      <c r="C920" s="1" t="n">
        <v>45849</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61493-2023</t>
        </is>
      </c>
      <c r="B921" s="1" t="n">
        <v>45264</v>
      </c>
      <c r="C921" s="1" t="n">
        <v>45849</v>
      </c>
      <c r="D921" t="inlineStr">
        <is>
          <t>JÄMTLANDS LÄN</t>
        </is>
      </c>
      <c r="E921" t="inlineStr">
        <is>
          <t>BERG</t>
        </is>
      </c>
      <c r="G921" t="n">
        <v>5.8</v>
      </c>
      <c r="H921" t="n">
        <v>0</v>
      </c>
      <c r="I921" t="n">
        <v>0</v>
      </c>
      <c r="J921" t="n">
        <v>0</v>
      </c>
      <c r="K921" t="n">
        <v>0</v>
      </c>
      <c r="L921" t="n">
        <v>0</v>
      </c>
      <c r="M921" t="n">
        <v>0</v>
      </c>
      <c r="N921" t="n">
        <v>0</v>
      </c>
      <c r="O921" t="n">
        <v>0</v>
      </c>
      <c r="P921" t="n">
        <v>0</v>
      </c>
      <c r="Q921" t="n">
        <v>0</v>
      </c>
      <c r="R921" s="2" t="inlineStr"/>
    </row>
    <row r="922" ht="15" customHeight="1">
      <c r="A922" t="inlineStr">
        <is>
          <t>A 61887-2023</t>
        </is>
      </c>
      <c r="B922" s="1" t="n">
        <v>45264</v>
      </c>
      <c r="C922" s="1" t="n">
        <v>45849</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61839-2023</t>
        </is>
      </c>
      <c r="B923" s="1" t="n">
        <v>45264</v>
      </c>
      <c r="C923" s="1" t="n">
        <v>45849</v>
      </c>
      <c r="D923" t="inlineStr">
        <is>
          <t>JÄMTLANDS LÄN</t>
        </is>
      </c>
      <c r="E923" t="inlineStr">
        <is>
          <t>BERG</t>
        </is>
      </c>
      <c r="G923" t="n">
        <v>0.7</v>
      </c>
      <c r="H923" t="n">
        <v>0</v>
      </c>
      <c r="I923" t="n">
        <v>0</v>
      </c>
      <c r="J923" t="n">
        <v>0</v>
      </c>
      <c r="K923" t="n">
        <v>0</v>
      </c>
      <c r="L923" t="n">
        <v>0</v>
      </c>
      <c r="M923" t="n">
        <v>0</v>
      </c>
      <c r="N923" t="n">
        <v>0</v>
      </c>
      <c r="O923" t="n">
        <v>0</v>
      </c>
      <c r="P923" t="n">
        <v>0</v>
      </c>
      <c r="Q923" t="n">
        <v>0</v>
      </c>
      <c r="R923" s="2" t="inlineStr"/>
    </row>
    <row r="924" ht="15" customHeight="1">
      <c r="A924" t="inlineStr">
        <is>
          <t>A 61834-2023</t>
        </is>
      </c>
      <c r="B924" s="1" t="n">
        <v>45264</v>
      </c>
      <c r="C924" s="1" t="n">
        <v>45849</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61837-2023</t>
        </is>
      </c>
      <c r="B925" s="1" t="n">
        <v>45264</v>
      </c>
      <c r="C925" s="1" t="n">
        <v>45849</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61870-2023</t>
        </is>
      </c>
      <c r="B926" s="1" t="n">
        <v>45264</v>
      </c>
      <c r="C926" s="1" t="n">
        <v>45849</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61789-2023</t>
        </is>
      </c>
      <c r="B927" s="1" t="n">
        <v>45265</v>
      </c>
      <c r="C927" s="1" t="n">
        <v>45849</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61977-2023</t>
        </is>
      </c>
      <c r="B928" s="1" t="n">
        <v>45265</v>
      </c>
      <c r="C928" s="1" t="n">
        <v>45849</v>
      </c>
      <c r="D928" t="inlineStr">
        <is>
          <t>JÄMTLANDS LÄN</t>
        </is>
      </c>
      <c r="E928" t="inlineStr">
        <is>
          <t>BERG</t>
        </is>
      </c>
      <c r="G928" t="n">
        <v>2.2</v>
      </c>
      <c r="H928" t="n">
        <v>0</v>
      </c>
      <c r="I928" t="n">
        <v>0</v>
      </c>
      <c r="J928" t="n">
        <v>0</v>
      </c>
      <c r="K928" t="n">
        <v>0</v>
      </c>
      <c r="L928" t="n">
        <v>0</v>
      </c>
      <c r="M928" t="n">
        <v>0</v>
      </c>
      <c r="N928" t="n">
        <v>0</v>
      </c>
      <c r="O928" t="n">
        <v>0</v>
      </c>
      <c r="P928" t="n">
        <v>0</v>
      </c>
      <c r="Q928" t="n">
        <v>0</v>
      </c>
      <c r="R928" s="2" t="inlineStr"/>
    </row>
    <row r="929" ht="15" customHeight="1">
      <c r="A929" t="inlineStr">
        <is>
          <t>A 61788-2023</t>
        </is>
      </c>
      <c r="B929" s="1" t="n">
        <v>45265</v>
      </c>
      <c r="C929" s="1" t="n">
        <v>45849</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61966-2023</t>
        </is>
      </c>
      <c r="B930" s="1" t="n">
        <v>45266</v>
      </c>
      <c r="C930" s="1" t="n">
        <v>45849</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61974-2023</t>
        </is>
      </c>
      <c r="B931" s="1" t="n">
        <v>45266</v>
      </c>
      <c r="C931" s="1" t="n">
        <v>45849</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62104-2023</t>
        </is>
      </c>
      <c r="B932" s="1" t="n">
        <v>45266</v>
      </c>
      <c r="C932" s="1" t="n">
        <v>45849</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62105-2023</t>
        </is>
      </c>
      <c r="B933" s="1" t="n">
        <v>45266</v>
      </c>
      <c r="C933" s="1" t="n">
        <v>45849</v>
      </c>
      <c r="D933" t="inlineStr">
        <is>
          <t>JÄMTLANDS LÄN</t>
        </is>
      </c>
      <c r="E933" t="inlineStr">
        <is>
          <t>BERG</t>
        </is>
      </c>
      <c r="F933" t="inlineStr">
        <is>
          <t>SCA</t>
        </is>
      </c>
      <c r="G933" t="n">
        <v>13.1</v>
      </c>
      <c r="H933" t="n">
        <v>0</v>
      </c>
      <c r="I933" t="n">
        <v>0</v>
      </c>
      <c r="J933" t="n">
        <v>0</v>
      </c>
      <c r="K933" t="n">
        <v>0</v>
      </c>
      <c r="L933" t="n">
        <v>0</v>
      </c>
      <c r="M933" t="n">
        <v>0</v>
      </c>
      <c r="N933" t="n">
        <v>0</v>
      </c>
      <c r="O933" t="n">
        <v>0</v>
      </c>
      <c r="P933" t="n">
        <v>0</v>
      </c>
      <c r="Q933" t="n">
        <v>0</v>
      </c>
      <c r="R933" s="2" t="inlineStr"/>
    </row>
    <row r="934" ht="15" customHeight="1">
      <c r="A934" t="inlineStr">
        <is>
          <t>A 62299-2023</t>
        </is>
      </c>
      <c r="B934" s="1" t="n">
        <v>45266</v>
      </c>
      <c r="C934" s="1" t="n">
        <v>45849</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62352-2023</t>
        </is>
      </c>
      <c r="B935" s="1" t="n">
        <v>45267</v>
      </c>
      <c r="C935" s="1" t="n">
        <v>45849</v>
      </c>
      <c r="D935" t="inlineStr">
        <is>
          <t>JÄMTLANDS LÄN</t>
        </is>
      </c>
      <c r="E935" t="inlineStr">
        <is>
          <t>BERG</t>
        </is>
      </c>
      <c r="G935" t="n">
        <v>15.6</v>
      </c>
      <c r="H935" t="n">
        <v>0</v>
      </c>
      <c r="I935" t="n">
        <v>0</v>
      </c>
      <c r="J935" t="n">
        <v>0</v>
      </c>
      <c r="K935" t="n">
        <v>0</v>
      </c>
      <c r="L935" t="n">
        <v>0</v>
      </c>
      <c r="M935" t="n">
        <v>0</v>
      </c>
      <c r="N935" t="n">
        <v>0</v>
      </c>
      <c r="O935" t="n">
        <v>0</v>
      </c>
      <c r="P935" t="n">
        <v>0</v>
      </c>
      <c r="Q935" t="n">
        <v>0</v>
      </c>
      <c r="R935" s="2" t="inlineStr"/>
    </row>
    <row r="936" ht="15" customHeight="1">
      <c r="A936" t="inlineStr">
        <is>
          <t>A 62360-2023</t>
        </is>
      </c>
      <c r="B936" s="1" t="n">
        <v>45267</v>
      </c>
      <c r="C936" s="1" t="n">
        <v>45849</v>
      </c>
      <c r="D936" t="inlineStr">
        <is>
          <t>JÄMTLANDS LÄN</t>
        </is>
      </c>
      <c r="E936" t="inlineStr">
        <is>
          <t>BERG</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62555-2023</t>
        </is>
      </c>
      <c r="B937" s="1" t="n">
        <v>45268</v>
      </c>
      <c r="C937" s="1" t="n">
        <v>45849</v>
      </c>
      <c r="D937" t="inlineStr">
        <is>
          <t>JÄMTLANDS LÄN</t>
        </is>
      </c>
      <c r="E937" t="inlineStr">
        <is>
          <t>BERG</t>
        </is>
      </c>
      <c r="G937" t="n">
        <v>5</v>
      </c>
      <c r="H937" t="n">
        <v>0</v>
      </c>
      <c r="I937" t="n">
        <v>0</v>
      </c>
      <c r="J937" t="n">
        <v>0</v>
      </c>
      <c r="K937" t="n">
        <v>0</v>
      </c>
      <c r="L937" t="n">
        <v>0</v>
      </c>
      <c r="M937" t="n">
        <v>0</v>
      </c>
      <c r="N937" t="n">
        <v>0</v>
      </c>
      <c r="O937" t="n">
        <v>0</v>
      </c>
      <c r="P937" t="n">
        <v>0</v>
      </c>
      <c r="Q937" t="n">
        <v>0</v>
      </c>
      <c r="R937" s="2" t="inlineStr"/>
    </row>
    <row r="938" ht="15" customHeight="1">
      <c r="A938" t="inlineStr">
        <is>
          <t>A 62564-2023</t>
        </is>
      </c>
      <c r="B938" s="1" t="n">
        <v>45268</v>
      </c>
      <c r="C938" s="1" t="n">
        <v>45849</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62554-2023</t>
        </is>
      </c>
      <c r="B939" s="1" t="n">
        <v>45268</v>
      </c>
      <c r="C939" s="1" t="n">
        <v>45849</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62836-2023</t>
        </is>
      </c>
      <c r="B940" s="1" t="n">
        <v>45271</v>
      </c>
      <c r="C940" s="1" t="n">
        <v>45849</v>
      </c>
      <c r="D940" t="inlineStr">
        <is>
          <t>JÄMTLANDS LÄN</t>
        </is>
      </c>
      <c r="E940" t="inlineStr">
        <is>
          <t>BERG</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62837-2023</t>
        </is>
      </c>
      <c r="B941" s="1" t="n">
        <v>45271</v>
      </c>
      <c r="C941" s="1" t="n">
        <v>45849</v>
      </c>
      <c r="D941" t="inlineStr">
        <is>
          <t>JÄMTLANDS LÄN</t>
        </is>
      </c>
      <c r="E941" t="inlineStr">
        <is>
          <t>BERG</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63063-2023</t>
        </is>
      </c>
      <c r="B942" s="1" t="n">
        <v>45272</v>
      </c>
      <c r="C942" s="1" t="n">
        <v>45849</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63605-2023</t>
        </is>
      </c>
      <c r="B943" s="1" t="n">
        <v>45275</v>
      </c>
      <c r="C943" s="1" t="n">
        <v>45849</v>
      </c>
      <c r="D943" t="inlineStr">
        <is>
          <t>JÄMTLANDS LÄN</t>
        </is>
      </c>
      <c r="E943" t="inlineStr">
        <is>
          <t>BERG</t>
        </is>
      </c>
      <c r="G943" t="n">
        <v>10.1</v>
      </c>
      <c r="H943" t="n">
        <v>0</v>
      </c>
      <c r="I943" t="n">
        <v>0</v>
      </c>
      <c r="J943" t="n">
        <v>0</v>
      </c>
      <c r="K943" t="n">
        <v>0</v>
      </c>
      <c r="L943" t="n">
        <v>0</v>
      </c>
      <c r="M943" t="n">
        <v>0</v>
      </c>
      <c r="N943" t="n">
        <v>0</v>
      </c>
      <c r="O943" t="n">
        <v>0</v>
      </c>
      <c r="P943" t="n">
        <v>0</v>
      </c>
      <c r="Q943" t="n">
        <v>0</v>
      </c>
      <c r="R943" s="2" t="inlineStr"/>
    </row>
    <row r="944" ht="15" customHeight="1">
      <c r="A944" t="inlineStr">
        <is>
          <t>A 63670-2023</t>
        </is>
      </c>
      <c r="B944" s="1" t="n">
        <v>45275</v>
      </c>
      <c r="C944" s="1" t="n">
        <v>45849</v>
      </c>
      <c r="D944" t="inlineStr">
        <is>
          <t>JÄMTLANDS LÄN</t>
        </is>
      </c>
      <c r="E944" t="inlineStr">
        <is>
          <t>BERG</t>
        </is>
      </c>
      <c r="G944" t="n">
        <v>0.9</v>
      </c>
      <c r="H944" t="n">
        <v>0</v>
      </c>
      <c r="I944" t="n">
        <v>0</v>
      </c>
      <c r="J944" t="n">
        <v>0</v>
      </c>
      <c r="K944" t="n">
        <v>0</v>
      </c>
      <c r="L944" t="n">
        <v>0</v>
      </c>
      <c r="M944" t="n">
        <v>0</v>
      </c>
      <c r="N944" t="n">
        <v>0</v>
      </c>
      <c r="O944" t="n">
        <v>0</v>
      </c>
      <c r="P944" t="n">
        <v>0</v>
      </c>
      <c r="Q944" t="n">
        <v>0</v>
      </c>
      <c r="R944" s="2" t="inlineStr"/>
    </row>
    <row r="945" ht="15" customHeight="1">
      <c r="A945" t="inlineStr">
        <is>
          <t>A 63819-2023</t>
        </is>
      </c>
      <c r="B945" s="1" t="n">
        <v>45278</v>
      </c>
      <c r="C945" s="1" t="n">
        <v>45849</v>
      </c>
      <c r="D945" t="inlineStr">
        <is>
          <t>JÄMTLANDS LÄN</t>
        </is>
      </c>
      <c r="E945" t="inlineStr">
        <is>
          <t>BERG</t>
        </is>
      </c>
      <c r="G945" t="n">
        <v>1.8</v>
      </c>
      <c r="H945" t="n">
        <v>0</v>
      </c>
      <c r="I945" t="n">
        <v>0</v>
      </c>
      <c r="J945" t="n">
        <v>0</v>
      </c>
      <c r="K945" t="n">
        <v>0</v>
      </c>
      <c r="L945" t="n">
        <v>0</v>
      </c>
      <c r="M945" t="n">
        <v>0</v>
      </c>
      <c r="N945" t="n">
        <v>0</v>
      </c>
      <c r="O945" t="n">
        <v>0</v>
      </c>
      <c r="P945" t="n">
        <v>0</v>
      </c>
      <c r="Q945" t="n">
        <v>0</v>
      </c>
      <c r="R945" s="2" t="inlineStr"/>
    </row>
    <row r="946" ht="15" customHeight="1">
      <c r="A946" t="inlineStr">
        <is>
          <t>A 64012-2023</t>
        </is>
      </c>
      <c r="B946" s="1" t="n">
        <v>45278</v>
      </c>
      <c r="C946" s="1" t="n">
        <v>45849</v>
      </c>
      <c r="D946" t="inlineStr">
        <is>
          <t>JÄMTLANDS LÄN</t>
        </is>
      </c>
      <c r="E946" t="inlineStr">
        <is>
          <t>BERG</t>
        </is>
      </c>
      <c r="G946" t="n">
        <v>5.9</v>
      </c>
      <c r="H946" t="n">
        <v>0</v>
      </c>
      <c r="I946" t="n">
        <v>0</v>
      </c>
      <c r="J946" t="n">
        <v>0</v>
      </c>
      <c r="K946" t="n">
        <v>0</v>
      </c>
      <c r="L946" t="n">
        <v>0</v>
      </c>
      <c r="M946" t="n">
        <v>0</v>
      </c>
      <c r="N946" t="n">
        <v>0</v>
      </c>
      <c r="O946" t="n">
        <v>0</v>
      </c>
      <c r="P946" t="n">
        <v>0</v>
      </c>
      <c r="Q946" t="n">
        <v>0</v>
      </c>
      <c r="R946" s="2" t="inlineStr"/>
    </row>
    <row r="947" ht="15" customHeight="1">
      <c r="A947" t="inlineStr">
        <is>
          <t>A 64016-2023</t>
        </is>
      </c>
      <c r="B947" s="1" t="n">
        <v>45278</v>
      </c>
      <c r="C947" s="1" t="n">
        <v>45849</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64020-2023</t>
        </is>
      </c>
      <c r="B948" s="1" t="n">
        <v>45278</v>
      </c>
      <c r="C948" s="1" t="n">
        <v>45849</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64011-2023</t>
        </is>
      </c>
      <c r="B949" s="1" t="n">
        <v>45278</v>
      </c>
      <c r="C949" s="1" t="n">
        <v>45849</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64100-2023</t>
        </is>
      </c>
      <c r="B950" s="1" t="n">
        <v>45279</v>
      </c>
      <c r="C950" s="1" t="n">
        <v>45849</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64234-2023</t>
        </is>
      </c>
      <c r="B951" s="1" t="n">
        <v>45279</v>
      </c>
      <c r="C951" s="1" t="n">
        <v>45849</v>
      </c>
      <c r="D951" t="inlineStr">
        <is>
          <t>JÄMTLANDS LÄN</t>
        </is>
      </c>
      <c r="E951" t="inlineStr">
        <is>
          <t>BERG</t>
        </is>
      </c>
      <c r="G951" t="n">
        <v>2.3</v>
      </c>
      <c r="H951" t="n">
        <v>0</v>
      </c>
      <c r="I951" t="n">
        <v>0</v>
      </c>
      <c r="J951" t="n">
        <v>0</v>
      </c>
      <c r="K951" t="n">
        <v>0</v>
      </c>
      <c r="L951" t="n">
        <v>0</v>
      </c>
      <c r="M951" t="n">
        <v>0</v>
      </c>
      <c r="N951" t="n">
        <v>0</v>
      </c>
      <c r="O951" t="n">
        <v>0</v>
      </c>
      <c r="P951" t="n">
        <v>0</v>
      </c>
      <c r="Q951" t="n">
        <v>0</v>
      </c>
      <c r="R951" s="2" t="inlineStr"/>
    </row>
    <row r="952" ht="15" customHeight="1">
      <c r="A952" t="inlineStr">
        <is>
          <t>A 64246-2023</t>
        </is>
      </c>
      <c r="B952" s="1" t="n">
        <v>45279</v>
      </c>
      <c r="C952" s="1" t="n">
        <v>45849</v>
      </c>
      <c r="D952" t="inlineStr">
        <is>
          <t>JÄMTLANDS LÄN</t>
        </is>
      </c>
      <c r="E952" t="inlineStr">
        <is>
          <t>BERG</t>
        </is>
      </c>
      <c r="G952" t="n">
        <v>4.4</v>
      </c>
      <c r="H952" t="n">
        <v>0</v>
      </c>
      <c r="I952" t="n">
        <v>0</v>
      </c>
      <c r="J952" t="n">
        <v>0</v>
      </c>
      <c r="K952" t="n">
        <v>0</v>
      </c>
      <c r="L952" t="n">
        <v>0</v>
      </c>
      <c r="M952" t="n">
        <v>0</v>
      </c>
      <c r="N952" t="n">
        <v>0</v>
      </c>
      <c r="O952" t="n">
        <v>0</v>
      </c>
      <c r="P952" t="n">
        <v>0</v>
      </c>
      <c r="Q952" t="n">
        <v>0</v>
      </c>
      <c r="R952" s="2" t="inlineStr"/>
    </row>
    <row r="953" ht="15" customHeight="1">
      <c r="A953" t="inlineStr">
        <is>
          <t>A 64250-2023</t>
        </is>
      </c>
      <c r="B953" s="1" t="n">
        <v>45279</v>
      </c>
      <c r="C953" s="1" t="n">
        <v>45849</v>
      </c>
      <c r="D953" t="inlineStr">
        <is>
          <t>JÄMTLANDS LÄN</t>
        </is>
      </c>
      <c r="E953" t="inlineStr">
        <is>
          <t>BERG</t>
        </is>
      </c>
      <c r="G953" t="n">
        <v>0.8</v>
      </c>
      <c r="H953" t="n">
        <v>0</v>
      </c>
      <c r="I953" t="n">
        <v>0</v>
      </c>
      <c r="J953" t="n">
        <v>0</v>
      </c>
      <c r="K953" t="n">
        <v>0</v>
      </c>
      <c r="L953" t="n">
        <v>0</v>
      </c>
      <c r="M953" t="n">
        <v>0</v>
      </c>
      <c r="N953" t="n">
        <v>0</v>
      </c>
      <c r="O953" t="n">
        <v>0</v>
      </c>
      <c r="P953" t="n">
        <v>0</v>
      </c>
      <c r="Q953" t="n">
        <v>0</v>
      </c>
      <c r="R953" s="2" t="inlineStr"/>
    </row>
    <row r="954" ht="15" customHeight="1">
      <c r="A954" t="inlineStr">
        <is>
          <t>A 64245-2023</t>
        </is>
      </c>
      <c r="B954" s="1" t="n">
        <v>45279</v>
      </c>
      <c r="C954" s="1" t="n">
        <v>45849</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64249-2023</t>
        </is>
      </c>
      <c r="B955" s="1" t="n">
        <v>45279</v>
      </c>
      <c r="C955" s="1" t="n">
        <v>45849</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64235-2023</t>
        </is>
      </c>
      <c r="B956" s="1" t="n">
        <v>45279</v>
      </c>
      <c r="C956" s="1" t="n">
        <v>45849</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64247-2023</t>
        </is>
      </c>
      <c r="B957" s="1" t="n">
        <v>45279</v>
      </c>
      <c r="C957" s="1" t="n">
        <v>45849</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64251-2023</t>
        </is>
      </c>
      <c r="B958" s="1" t="n">
        <v>45279</v>
      </c>
      <c r="C958" s="1" t="n">
        <v>45849</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64236-2023</t>
        </is>
      </c>
      <c r="B959" s="1" t="n">
        <v>45279</v>
      </c>
      <c r="C959" s="1" t="n">
        <v>45849</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64244-2023</t>
        </is>
      </c>
      <c r="B960" s="1" t="n">
        <v>45279</v>
      </c>
      <c r="C960" s="1" t="n">
        <v>45849</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64248-2023</t>
        </is>
      </c>
      <c r="B961" s="1" t="n">
        <v>45279</v>
      </c>
      <c r="C961" s="1" t="n">
        <v>45849</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64488-2023</t>
        </is>
      </c>
      <c r="B962" s="1" t="n">
        <v>45280</v>
      </c>
      <c r="C962" s="1" t="n">
        <v>45849</v>
      </c>
      <c r="D962" t="inlineStr">
        <is>
          <t>JÄMTLANDS LÄN</t>
        </is>
      </c>
      <c r="E962" t="inlineStr">
        <is>
          <t>BERG</t>
        </is>
      </c>
      <c r="F962" t="inlineStr">
        <is>
          <t>Övriga Aktiebolag</t>
        </is>
      </c>
      <c r="G962" t="n">
        <v>7.1</v>
      </c>
      <c r="H962" t="n">
        <v>0</v>
      </c>
      <c r="I962" t="n">
        <v>0</v>
      </c>
      <c r="J962" t="n">
        <v>0</v>
      </c>
      <c r="K962" t="n">
        <v>0</v>
      </c>
      <c r="L962" t="n">
        <v>0</v>
      </c>
      <c r="M962" t="n">
        <v>0</v>
      </c>
      <c r="N962" t="n">
        <v>0</v>
      </c>
      <c r="O962" t="n">
        <v>0</v>
      </c>
      <c r="P962" t="n">
        <v>0</v>
      </c>
      <c r="Q962" t="n">
        <v>0</v>
      </c>
      <c r="R962" s="2" t="inlineStr"/>
    </row>
    <row r="963" ht="15" customHeight="1">
      <c r="A963" t="inlineStr">
        <is>
          <t>A 64486-2023</t>
        </is>
      </c>
      <c r="B963" s="1" t="n">
        <v>45280</v>
      </c>
      <c r="C963" s="1" t="n">
        <v>45849</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64490-2023</t>
        </is>
      </c>
      <c r="B964" s="1" t="n">
        <v>45280</v>
      </c>
      <c r="C964" s="1" t="n">
        <v>45849</v>
      </c>
      <c r="D964" t="inlineStr">
        <is>
          <t>JÄMTLANDS LÄN</t>
        </is>
      </c>
      <c r="E964" t="inlineStr">
        <is>
          <t>BERG</t>
        </is>
      </c>
      <c r="F964" t="inlineStr">
        <is>
          <t>Övriga Aktiebolag</t>
        </is>
      </c>
      <c r="G964" t="n">
        <v>7.7</v>
      </c>
      <c r="H964" t="n">
        <v>0</v>
      </c>
      <c r="I964" t="n">
        <v>0</v>
      </c>
      <c r="J964" t="n">
        <v>0</v>
      </c>
      <c r="K964" t="n">
        <v>0</v>
      </c>
      <c r="L964" t="n">
        <v>0</v>
      </c>
      <c r="M964" t="n">
        <v>0</v>
      </c>
      <c r="N964" t="n">
        <v>0</v>
      </c>
      <c r="O964" t="n">
        <v>0</v>
      </c>
      <c r="P964" t="n">
        <v>0</v>
      </c>
      <c r="Q964" t="n">
        <v>0</v>
      </c>
      <c r="R964" s="2" t="inlineStr"/>
    </row>
    <row r="965" ht="15" customHeight="1">
      <c r="A965" t="inlineStr">
        <is>
          <t>A 64487-2023</t>
        </is>
      </c>
      <c r="B965" s="1" t="n">
        <v>45280</v>
      </c>
      <c r="C965" s="1" t="n">
        <v>45849</v>
      </c>
      <c r="D965" t="inlineStr">
        <is>
          <t>JÄMTLANDS LÄN</t>
        </is>
      </c>
      <c r="E965" t="inlineStr">
        <is>
          <t>BERG</t>
        </is>
      </c>
      <c r="F965" t="inlineStr">
        <is>
          <t>Övriga Aktiebolag</t>
        </is>
      </c>
      <c r="G965" t="n">
        <v>7.6</v>
      </c>
      <c r="H965" t="n">
        <v>0</v>
      </c>
      <c r="I965" t="n">
        <v>0</v>
      </c>
      <c r="J965" t="n">
        <v>0</v>
      </c>
      <c r="K965" t="n">
        <v>0</v>
      </c>
      <c r="L965" t="n">
        <v>0</v>
      </c>
      <c r="M965" t="n">
        <v>0</v>
      </c>
      <c r="N965" t="n">
        <v>0</v>
      </c>
      <c r="O965" t="n">
        <v>0</v>
      </c>
      <c r="P965" t="n">
        <v>0</v>
      </c>
      <c r="Q965" t="n">
        <v>0</v>
      </c>
      <c r="R965" s="2" t="inlineStr"/>
    </row>
    <row r="966" ht="15" customHeight="1">
      <c r="A966" t="inlineStr">
        <is>
          <t>A 64489-2023</t>
        </is>
      </c>
      <c r="B966" s="1" t="n">
        <v>45280</v>
      </c>
      <c r="C966" s="1" t="n">
        <v>45849</v>
      </c>
      <c r="D966" t="inlineStr">
        <is>
          <t>JÄMTLANDS LÄN</t>
        </is>
      </c>
      <c r="E966" t="inlineStr">
        <is>
          <t>BERG</t>
        </is>
      </c>
      <c r="F966" t="inlineStr">
        <is>
          <t>Övriga Aktiebolag</t>
        </is>
      </c>
      <c r="G966" t="n">
        <v>14.1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v>
      </c>
      <c r="C967" s="1" t="n">
        <v>45849</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64955-2023</t>
        </is>
      </c>
      <c r="B968" s="1" t="n">
        <v>45282</v>
      </c>
      <c r="C968" s="1" t="n">
        <v>45849</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64957-2023</t>
        </is>
      </c>
      <c r="B969" s="1" t="n">
        <v>45282</v>
      </c>
      <c r="C969" s="1" t="n">
        <v>45849</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64956-2023</t>
        </is>
      </c>
      <c r="B970" s="1" t="n">
        <v>45282</v>
      </c>
      <c r="C970" s="1" t="n">
        <v>45849</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65205-2023</t>
        </is>
      </c>
      <c r="B971" s="1" t="n">
        <v>45289</v>
      </c>
      <c r="C971" s="1" t="n">
        <v>45849</v>
      </c>
      <c r="D971" t="inlineStr">
        <is>
          <t>JÄMTLANDS LÄN</t>
        </is>
      </c>
      <c r="E971" t="inlineStr">
        <is>
          <t>BERG</t>
        </is>
      </c>
      <c r="G971" t="n">
        <v>4.3</v>
      </c>
      <c r="H971" t="n">
        <v>0</v>
      </c>
      <c r="I971" t="n">
        <v>0</v>
      </c>
      <c r="J971" t="n">
        <v>0</v>
      </c>
      <c r="K971" t="n">
        <v>0</v>
      </c>
      <c r="L971" t="n">
        <v>0</v>
      </c>
      <c r="M971" t="n">
        <v>0</v>
      </c>
      <c r="N971" t="n">
        <v>0</v>
      </c>
      <c r="O971" t="n">
        <v>0</v>
      </c>
      <c r="P971" t="n">
        <v>0</v>
      </c>
      <c r="Q971" t="n">
        <v>0</v>
      </c>
      <c r="R971" s="2" t="inlineStr"/>
    </row>
    <row r="972" ht="15" customHeight="1">
      <c r="A972" t="inlineStr">
        <is>
          <t>A 65209-2023</t>
        </is>
      </c>
      <c r="B972" s="1" t="n">
        <v>45289</v>
      </c>
      <c r="C972" s="1" t="n">
        <v>45849</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65207-2023</t>
        </is>
      </c>
      <c r="B973" s="1" t="n">
        <v>45289</v>
      </c>
      <c r="C973" s="1" t="n">
        <v>45849</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65211-2023</t>
        </is>
      </c>
      <c r="B974" s="1" t="n">
        <v>45289</v>
      </c>
      <c r="C974" s="1" t="n">
        <v>45849</v>
      </c>
      <c r="D974" t="inlineStr">
        <is>
          <t>JÄMTLANDS LÄN</t>
        </is>
      </c>
      <c r="E974" t="inlineStr">
        <is>
          <t>BERG</t>
        </is>
      </c>
      <c r="G974" t="n">
        <v>1.5</v>
      </c>
      <c r="H974" t="n">
        <v>0</v>
      </c>
      <c r="I974" t="n">
        <v>0</v>
      </c>
      <c r="J974" t="n">
        <v>0</v>
      </c>
      <c r="K974" t="n">
        <v>0</v>
      </c>
      <c r="L974" t="n">
        <v>0</v>
      </c>
      <c r="M974" t="n">
        <v>0</v>
      </c>
      <c r="N974" t="n">
        <v>0</v>
      </c>
      <c r="O974" t="n">
        <v>0</v>
      </c>
      <c r="P974" t="n">
        <v>0</v>
      </c>
      <c r="Q974" t="n">
        <v>0</v>
      </c>
      <c r="R974" s="2" t="inlineStr"/>
    </row>
    <row r="975" ht="15" customHeight="1">
      <c r="A975" t="inlineStr">
        <is>
          <t>A 65212-2023</t>
        </is>
      </c>
      <c r="B975" s="1" t="n">
        <v>45289</v>
      </c>
      <c r="C975" s="1" t="n">
        <v>45849</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65210-2023</t>
        </is>
      </c>
      <c r="B976" s="1" t="n">
        <v>45289</v>
      </c>
      <c r="C976" s="1" t="n">
        <v>45849</v>
      </c>
      <c r="D976" t="inlineStr">
        <is>
          <t>JÄMTLANDS LÄN</t>
        </is>
      </c>
      <c r="E976" t="inlineStr">
        <is>
          <t>BERG</t>
        </is>
      </c>
      <c r="G976" t="n">
        <v>0.4</v>
      </c>
      <c r="H976" t="n">
        <v>0</v>
      </c>
      <c r="I976" t="n">
        <v>0</v>
      </c>
      <c r="J976" t="n">
        <v>0</v>
      </c>
      <c r="K976" t="n">
        <v>0</v>
      </c>
      <c r="L976" t="n">
        <v>0</v>
      </c>
      <c r="M976" t="n">
        <v>0</v>
      </c>
      <c r="N976" t="n">
        <v>0</v>
      </c>
      <c r="O976" t="n">
        <v>0</v>
      </c>
      <c r="P976" t="n">
        <v>0</v>
      </c>
      <c r="Q976" t="n">
        <v>0</v>
      </c>
      <c r="R976" s="2" t="inlineStr"/>
    </row>
    <row r="977" ht="15" customHeight="1">
      <c r="A977" t="inlineStr">
        <is>
          <t>A 65246-2023</t>
        </is>
      </c>
      <c r="B977" s="1" t="n">
        <v>45290</v>
      </c>
      <c r="C977" s="1" t="n">
        <v>45849</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38-2024</t>
        </is>
      </c>
      <c r="B978" s="1" t="n">
        <v>45293</v>
      </c>
      <c r="C978" s="1" t="n">
        <v>45849</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45849</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166-2024</t>
        </is>
      </c>
      <c r="B980" s="1" t="n">
        <v>45294</v>
      </c>
      <c r="C980" s="1" t="n">
        <v>45849</v>
      </c>
      <c r="D980" t="inlineStr">
        <is>
          <t>JÄMTLANDS LÄN</t>
        </is>
      </c>
      <c r="E980" t="inlineStr">
        <is>
          <t>BERG</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149-2024</t>
        </is>
      </c>
      <c r="B981" s="1" t="n">
        <v>45294</v>
      </c>
      <c r="C981" s="1" t="n">
        <v>45849</v>
      </c>
      <c r="D981" t="inlineStr">
        <is>
          <t>JÄMTLANDS LÄN</t>
        </is>
      </c>
      <c r="E981" t="inlineStr">
        <is>
          <t>BERG</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162-2024</t>
        </is>
      </c>
      <c r="B982" s="1" t="n">
        <v>45294</v>
      </c>
      <c r="C982" s="1" t="n">
        <v>45849</v>
      </c>
      <c r="D982" t="inlineStr">
        <is>
          <t>JÄMTLANDS LÄN</t>
        </is>
      </c>
      <c r="E982" t="inlineStr">
        <is>
          <t>BERG</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620-2024</t>
        </is>
      </c>
      <c r="B983" s="1" t="n">
        <v>45299</v>
      </c>
      <c r="C983" s="1" t="n">
        <v>45849</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1593-2024</t>
        </is>
      </c>
      <c r="B984" s="1" t="n">
        <v>45306</v>
      </c>
      <c r="C984" s="1" t="n">
        <v>45849</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1596-2024</t>
        </is>
      </c>
      <c r="B985" s="1" t="n">
        <v>45306</v>
      </c>
      <c r="C985" s="1" t="n">
        <v>45849</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1682-2024</t>
        </is>
      </c>
      <c r="B986" s="1" t="n">
        <v>45307</v>
      </c>
      <c r="C986" s="1" t="n">
        <v>45849</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1851-2024</t>
        </is>
      </c>
      <c r="B987" s="1" t="n">
        <v>45307</v>
      </c>
      <c r="C987" s="1" t="n">
        <v>45849</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1874-2024</t>
        </is>
      </c>
      <c r="B988" s="1" t="n">
        <v>45307</v>
      </c>
      <c r="C988" s="1" t="n">
        <v>45849</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1895-2024</t>
        </is>
      </c>
      <c r="B989" s="1" t="n">
        <v>45307</v>
      </c>
      <c r="C989" s="1" t="n">
        <v>45849</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1897-2024</t>
        </is>
      </c>
      <c r="B990" s="1" t="n">
        <v>45307</v>
      </c>
      <c r="C990" s="1" t="n">
        <v>45849</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2231-2024</t>
        </is>
      </c>
      <c r="B991" s="1" t="n">
        <v>45309</v>
      </c>
      <c r="C991" s="1" t="n">
        <v>45849</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2679-2024</t>
        </is>
      </c>
      <c r="B992" s="1" t="n">
        <v>45314</v>
      </c>
      <c r="C992" s="1" t="n">
        <v>45849</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2664-2024</t>
        </is>
      </c>
      <c r="B993" s="1" t="n">
        <v>45314</v>
      </c>
      <c r="C993" s="1" t="n">
        <v>45849</v>
      </c>
      <c r="D993" t="inlineStr">
        <is>
          <t>JÄMTLANDS LÄN</t>
        </is>
      </c>
      <c r="E993" t="inlineStr">
        <is>
          <t>BERG</t>
        </is>
      </c>
      <c r="G993" t="n">
        <v>2</v>
      </c>
      <c r="H993" t="n">
        <v>0</v>
      </c>
      <c r="I993" t="n">
        <v>0</v>
      </c>
      <c r="J993" t="n">
        <v>0</v>
      </c>
      <c r="K993" t="n">
        <v>0</v>
      </c>
      <c r="L993" t="n">
        <v>0</v>
      </c>
      <c r="M993" t="n">
        <v>0</v>
      </c>
      <c r="N993" t="n">
        <v>0</v>
      </c>
      <c r="O993" t="n">
        <v>0</v>
      </c>
      <c r="P993" t="n">
        <v>0</v>
      </c>
      <c r="Q993" t="n">
        <v>0</v>
      </c>
      <c r="R993" s="2" t="inlineStr"/>
    </row>
    <row r="994" ht="15" customHeight="1">
      <c r="A994" t="inlineStr">
        <is>
          <t>A 3454-2024</t>
        </is>
      </c>
      <c r="B994" s="1" t="n">
        <v>45317</v>
      </c>
      <c r="C994" s="1" t="n">
        <v>45849</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3483-2024</t>
        </is>
      </c>
      <c r="B995" s="1" t="n">
        <v>45320</v>
      </c>
      <c r="C995" s="1" t="n">
        <v>45849</v>
      </c>
      <c r="D995" t="inlineStr">
        <is>
          <t>JÄMTLANDS LÄN</t>
        </is>
      </c>
      <c r="E995" t="inlineStr">
        <is>
          <t>BERG</t>
        </is>
      </c>
      <c r="G995" t="n">
        <v>3.1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45849</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3839-2024</t>
        </is>
      </c>
      <c r="B997" s="1" t="n">
        <v>45321</v>
      </c>
      <c r="C997" s="1" t="n">
        <v>45849</v>
      </c>
      <c r="D997" t="inlineStr">
        <is>
          <t>JÄMTLANDS LÄN</t>
        </is>
      </c>
      <c r="E997" t="inlineStr">
        <is>
          <t>BERG</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4454-2024</t>
        </is>
      </c>
      <c r="B998" s="1" t="n">
        <v>45327</v>
      </c>
      <c r="C998" s="1" t="n">
        <v>45849</v>
      </c>
      <c r="D998" t="inlineStr">
        <is>
          <t>JÄMTLANDS LÄN</t>
        </is>
      </c>
      <c r="E998" t="inlineStr">
        <is>
          <t>BERG</t>
        </is>
      </c>
      <c r="G998" t="n">
        <v>1.8</v>
      </c>
      <c r="H998" t="n">
        <v>0</v>
      </c>
      <c r="I998" t="n">
        <v>0</v>
      </c>
      <c r="J998" t="n">
        <v>0</v>
      </c>
      <c r="K998" t="n">
        <v>0</v>
      </c>
      <c r="L998" t="n">
        <v>0</v>
      </c>
      <c r="M998" t="n">
        <v>0</v>
      </c>
      <c r="N998" t="n">
        <v>0</v>
      </c>
      <c r="O998" t="n">
        <v>0</v>
      </c>
      <c r="P998" t="n">
        <v>0</v>
      </c>
      <c r="Q998" t="n">
        <v>0</v>
      </c>
      <c r="R998" s="2" t="inlineStr"/>
    </row>
    <row r="999" ht="15" customHeight="1">
      <c r="A999" t="inlineStr">
        <is>
          <t>A 4522-2024</t>
        </is>
      </c>
      <c r="B999" s="1" t="n">
        <v>45327</v>
      </c>
      <c r="C999" s="1" t="n">
        <v>45849</v>
      </c>
      <c r="D999" t="inlineStr">
        <is>
          <t>JÄMTLANDS LÄN</t>
        </is>
      </c>
      <c r="E999" t="inlineStr">
        <is>
          <t>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4526-2024</t>
        </is>
      </c>
      <c r="B1000" s="1" t="n">
        <v>45327</v>
      </c>
      <c r="C1000" s="1" t="n">
        <v>45849</v>
      </c>
      <c r="D1000" t="inlineStr">
        <is>
          <t>JÄMTLANDS LÄN</t>
        </is>
      </c>
      <c r="E1000" t="inlineStr">
        <is>
          <t>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4551-2024</t>
        </is>
      </c>
      <c r="B1001" s="1" t="n">
        <v>45327</v>
      </c>
      <c r="C1001" s="1" t="n">
        <v>45849</v>
      </c>
      <c r="D1001" t="inlineStr">
        <is>
          <t>JÄMTLANDS LÄN</t>
        </is>
      </c>
      <c r="E1001" t="inlineStr">
        <is>
          <t>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4561-2024</t>
        </is>
      </c>
      <c r="B1002" s="1" t="n">
        <v>45327</v>
      </c>
      <c r="C1002" s="1" t="n">
        <v>45849</v>
      </c>
      <c r="D1002" t="inlineStr">
        <is>
          <t>JÄMTLANDS LÄN</t>
        </is>
      </c>
      <c r="E1002" t="inlineStr">
        <is>
          <t>BERG</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5014-2024</t>
        </is>
      </c>
      <c r="B1003" s="1" t="n">
        <v>45329</v>
      </c>
      <c r="C1003" s="1" t="n">
        <v>45849</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5264-2024</t>
        </is>
      </c>
      <c r="B1004" s="1" t="n">
        <v>45331</v>
      </c>
      <c r="C1004" s="1" t="n">
        <v>45849</v>
      </c>
      <c r="D1004" t="inlineStr">
        <is>
          <t>JÄMTLANDS LÄN</t>
        </is>
      </c>
      <c r="E1004" t="inlineStr">
        <is>
          <t>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5215-2024</t>
        </is>
      </c>
      <c r="B1005" s="1" t="n">
        <v>45330</v>
      </c>
      <c r="C1005" s="1" t="n">
        <v>45849</v>
      </c>
      <c r="D1005" t="inlineStr">
        <is>
          <t>JÄMTLANDS LÄN</t>
        </is>
      </c>
      <c r="E1005" t="inlineStr">
        <is>
          <t>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5666-2024</t>
        </is>
      </c>
      <c r="B1006" s="1" t="n">
        <v>45334</v>
      </c>
      <c r="C1006" s="1" t="n">
        <v>45849</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5910-2024</t>
        </is>
      </c>
      <c r="B1007" s="1" t="n">
        <v>45335</v>
      </c>
      <c r="C1007" s="1" t="n">
        <v>45849</v>
      </c>
      <c r="D1007" t="inlineStr">
        <is>
          <t>JÄMTLANDS LÄN</t>
        </is>
      </c>
      <c r="E1007" t="inlineStr">
        <is>
          <t>BERG</t>
        </is>
      </c>
      <c r="F1007" t="inlineStr">
        <is>
          <t>SCA</t>
        </is>
      </c>
      <c r="G1007" t="n">
        <v>29.7</v>
      </c>
      <c r="H1007" t="n">
        <v>0</v>
      </c>
      <c r="I1007" t="n">
        <v>0</v>
      </c>
      <c r="J1007" t="n">
        <v>0</v>
      </c>
      <c r="K1007" t="n">
        <v>0</v>
      </c>
      <c r="L1007" t="n">
        <v>0</v>
      </c>
      <c r="M1007" t="n">
        <v>0</v>
      </c>
      <c r="N1007" t="n">
        <v>0</v>
      </c>
      <c r="O1007" t="n">
        <v>0</v>
      </c>
      <c r="P1007" t="n">
        <v>0</v>
      </c>
      <c r="Q1007" t="n">
        <v>0</v>
      </c>
      <c r="R1007" s="2" t="inlineStr"/>
    </row>
    <row r="1008" ht="15" customHeight="1">
      <c r="A1008" t="inlineStr">
        <is>
          <t>A 5911-2024</t>
        </is>
      </c>
      <c r="B1008" s="1" t="n">
        <v>45335</v>
      </c>
      <c r="C1008" s="1" t="n">
        <v>45849</v>
      </c>
      <c r="D1008" t="inlineStr">
        <is>
          <t>JÄMTLANDS LÄN</t>
        </is>
      </c>
      <c r="E1008" t="inlineStr">
        <is>
          <t>BERG</t>
        </is>
      </c>
      <c r="F1008" t="inlineStr">
        <is>
          <t>SCA</t>
        </is>
      </c>
      <c r="G1008" t="n">
        <v>28.6</v>
      </c>
      <c r="H1008" t="n">
        <v>0</v>
      </c>
      <c r="I1008" t="n">
        <v>0</v>
      </c>
      <c r="J1008" t="n">
        <v>0</v>
      </c>
      <c r="K1008" t="n">
        <v>0</v>
      </c>
      <c r="L1008" t="n">
        <v>0</v>
      </c>
      <c r="M1008" t="n">
        <v>0</v>
      </c>
      <c r="N1008" t="n">
        <v>0</v>
      </c>
      <c r="O1008" t="n">
        <v>0</v>
      </c>
      <c r="P1008" t="n">
        <v>0</v>
      </c>
      <c r="Q1008" t="n">
        <v>0</v>
      </c>
      <c r="R1008" s="2" t="inlineStr"/>
    </row>
    <row r="1009" ht="15" customHeight="1">
      <c r="A1009" t="inlineStr">
        <is>
          <t>A 7040-2024</t>
        </is>
      </c>
      <c r="B1009" s="1" t="n">
        <v>45343</v>
      </c>
      <c r="C1009" s="1" t="n">
        <v>45849</v>
      </c>
      <c r="D1009" t="inlineStr">
        <is>
          <t>JÄMTLANDS LÄN</t>
        </is>
      </c>
      <c r="E1009" t="inlineStr">
        <is>
          <t>BERG</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7192-2024</t>
        </is>
      </c>
      <c r="B1010" s="1" t="n">
        <v>45344</v>
      </c>
      <c r="C1010" s="1" t="n">
        <v>45849</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7377-2024</t>
        </is>
      </c>
      <c r="B1011" s="1" t="n">
        <v>45345</v>
      </c>
      <c r="C1011" s="1" t="n">
        <v>45849</v>
      </c>
      <c r="D1011" t="inlineStr">
        <is>
          <t>JÄMTLANDS LÄN</t>
        </is>
      </c>
      <c r="E1011" t="inlineStr">
        <is>
          <t>BERG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7744-2024</t>
        </is>
      </c>
      <c r="B1012" s="1" t="n">
        <v>45349</v>
      </c>
      <c r="C1012" s="1" t="n">
        <v>45849</v>
      </c>
      <c r="D1012" t="inlineStr">
        <is>
          <t>JÄMTLANDS LÄN</t>
        </is>
      </c>
      <c r="E1012" t="inlineStr">
        <is>
          <t>BERG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8052-2024</t>
        </is>
      </c>
      <c r="B1013" s="1" t="n">
        <v>45351</v>
      </c>
      <c r="C1013" s="1" t="n">
        <v>45849</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8067-2024</t>
        </is>
      </c>
      <c r="B1014" s="1" t="n">
        <v>45351</v>
      </c>
      <c r="C1014" s="1" t="n">
        <v>45849</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8095-2024</t>
        </is>
      </c>
      <c r="B1015" s="1" t="n">
        <v>45351</v>
      </c>
      <c r="C1015" s="1" t="n">
        <v>45849</v>
      </c>
      <c r="D1015" t="inlineStr">
        <is>
          <t>JÄMTLANDS LÄN</t>
        </is>
      </c>
      <c r="E1015" t="inlineStr">
        <is>
          <t>BERG</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8065-2024</t>
        </is>
      </c>
      <c r="B1016" s="1" t="n">
        <v>45351</v>
      </c>
      <c r="C1016" s="1" t="n">
        <v>45849</v>
      </c>
      <c r="D1016" t="inlineStr">
        <is>
          <t>JÄMTLANDS LÄN</t>
        </is>
      </c>
      <c r="E1016" t="inlineStr">
        <is>
          <t>BERG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8069-2024</t>
        </is>
      </c>
      <c r="B1017" s="1" t="n">
        <v>45351</v>
      </c>
      <c r="C1017" s="1" t="n">
        <v>45849</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8238-2024</t>
        </is>
      </c>
      <c r="B1018" s="1" t="n">
        <v>45352</v>
      </c>
      <c r="C1018" s="1" t="n">
        <v>45849</v>
      </c>
      <c r="D1018" t="inlineStr">
        <is>
          <t>JÄMTLANDS LÄN</t>
        </is>
      </c>
      <c r="E1018" t="inlineStr">
        <is>
          <t>BERG</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8070-2024</t>
        </is>
      </c>
      <c r="B1019" s="1" t="n">
        <v>45351</v>
      </c>
      <c r="C1019" s="1" t="n">
        <v>45849</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8239-2024</t>
        </is>
      </c>
      <c r="B1020" s="1" t="n">
        <v>45351</v>
      </c>
      <c r="C1020" s="1" t="n">
        <v>45849</v>
      </c>
      <c r="D1020" t="inlineStr">
        <is>
          <t>JÄMTLANDS LÄN</t>
        </is>
      </c>
      <c r="E1020" t="inlineStr">
        <is>
          <t>BERG</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8424-2024</t>
        </is>
      </c>
      <c r="B1021" s="1" t="n">
        <v>45353</v>
      </c>
      <c r="C1021" s="1" t="n">
        <v>45849</v>
      </c>
      <c r="D1021" t="inlineStr">
        <is>
          <t>JÄMTLANDS LÄN</t>
        </is>
      </c>
      <c r="E1021" t="inlineStr">
        <is>
          <t>BERG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8722-2024</t>
        </is>
      </c>
      <c r="B1022" s="1" t="n">
        <v>45355</v>
      </c>
      <c r="C1022" s="1" t="n">
        <v>45849</v>
      </c>
      <c r="D1022" t="inlineStr">
        <is>
          <t>JÄMTLANDS LÄN</t>
        </is>
      </c>
      <c r="E1022" t="inlineStr">
        <is>
          <t>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8726-2024</t>
        </is>
      </c>
      <c r="B1023" s="1" t="n">
        <v>45355</v>
      </c>
      <c r="C1023" s="1" t="n">
        <v>45849</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8733-2024</t>
        </is>
      </c>
      <c r="B1024" s="1" t="n">
        <v>45355</v>
      </c>
      <c r="C1024" s="1" t="n">
        <v>45849</v>
      </c>
      <c r="D1024" t="inlineStr">
        <is>
          <t>JÄMTLANDS LÄN</t>
        </is>
      </c>
      <c r="E1024" t="inlineStr">
        <is>
          <t>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8735-2024</t>
        </is>
      </c>
      <c r="B1025" s="1" t="n">
        <v>45355</v>
      </c>
      <c r="C1025" s="1" t="n">
        <v>45849</v>
      </c>
      <c r="D1025" t="inlineStr">
        <is>
          <t>JÄMTLANDS LÄN</t>
        </is>
      </c>
      <c r="E1025" t="inlineStr">
        <is>
          <t>BERG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8711-2024</t>
        </is>
      </c>
      <c r="B1026" s="1" t="n">
        <v>45356</v>
      </c>
      <c r="C1026" s="1" t="n">
        <v>45849</v>
      </c>
      <c r="D1026" t="inlineStr">
        <is>
          <t>JÄMTLANDS LÄN</t>
        </is>
      </c>
      <c r="E1026" t="inlineStr">
        <is>
          <t>BERG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8718-2024</t>
        </is>
      </c>
      <c r="B1027" s="1" t="n">
        <v>45356</v>
      </c>
      <c r="C1027" s="1" t="n">
        <v>45849</v>
      </c>
      <c r="D1027" t="inlineStr">
        <is>
          <t>JÄMTLANDS LÄN</t>
        </is>
      </c>
      <c r="E1027" t="inlineStr">
        <is>
          <t>BERG</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8887-2024</t>
        </is>
      </c>
      <c r="B1028" s="1" t="n">
        <v>45357</v>
      </c>
      <c r="C1028" s="1" t="n">
        <v>45849</v>
      </c>
      <c r="D1028" t="inlineStr">
        <is>
          <t>JÄMTLANDS LÄN</t>
        </is>
      </c>
      <c r="E1028" t="inlineStr">
        <is>
          <t>BERG</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9028-2024</t>
        </is>
      </c>
      <c r="B1029" s="1" t="n">
        <v>45357</v>
      </c>
      <c r="C1029" s="1" t="n">
        <v>45849</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9133-2024</t>
        </is>
      </c>
      <c r="B1030" s="1" t="n">
        <v>45358</v>
      </c>
      <c r="C1030" s="1" t="n">
        <v>45849</v>
      </c>
      <c r="D1030" t="inlineStr">
        <is>
          <t>JÄMTLANDS LÄN</t>
        </is>
      </c>
      <c r="E1030" t="inlineStr">
        <is>
          <t>BERG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9478-2024</t>
        </is>
      </c>
      <c r="B1031" s="1" t="n">
        <v>45359</v>
      </c>
      <c r="C1031" s="1" t="n">
        <v>45849</v>
      </c>
      <c r="D1031" t="inlineStr">
        <is>
          <t>JÄMTLANDS LÄN</t>
        </is>
      </c>
      <c r="E1031" t="inlineStr">
        <is>
          <t>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9482-2024</t>
        </is>
      </c>
      <c r="B1032" s="1" t="n">
        <v>45359</v>
      </c>
      <c r="C1032" s="1" t="n">
        <v>45849</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9925-2024</t>
        </is>
      </c>
      <c r="B1033" s="1" t="n">
        <v>45363</v>
      </c>
      <c r="C1033" s="1" t="n">
        <v>45849</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10230-2024</t>
        </is>
      </c>
      <c r="B1034" s="1" t="n">
        <v>45365</v>
      </c>
      <c r="C1034" s="1" t="n">
        <v>45849</v>
      </c>
      <c r="D1034" t="inlineStr">
        <is>
          <t>JÄMTLANDS LÄN</t>
        </is>
      </c>
      <c r="E1034" t="inlineStr">
        <is>
          <t>BERG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10863-2024</t>
        </is>
      </c>
      <c r="B1035" s="1" t="n">
        <v>45370</v>
      </c>
      <c r="C1035" s="1" t="n">
        <v>45849</v>
      </c>
      <c r="D1035" t="inlineStr">
        <is>
          <t>JÄMTLANDS LÄN</t>
        </is>
      </c>
      <c r="E1035" t="inlineStr">
        <is>
          <t>BERG</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10861-2024</t>
        </is>
      </c>
      <c r="B1036" s="1" t="n">
        <v>45370</v>
      </c>
      <c r="C1036" s="1" t="n">
        <v>45849</v>
      </c>
      <c r="D1036" t="inlineStr">
        <is>
          <t>JÄMTLANDS LÄN</t>
        </is>
      </c>
      <c r="E1036" t="inlineStr">
        <is>
          <t>BERG</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10860-2024</t>
        </is>
      </c>
      <c r="B1037" s="1" t="n">
        <v>45370</v>
      </c>
      <c r="C1037" s="1" t="n">
        <v>45849</v>
      </c>
      <c r="D1037" t="inlineStr">
        <is>
          <t>JÄMTLANDS LÄN</t>
        </is>
      </c>
      <c r="E1037" t="inlineStr">
        <is>
          <t>BERG</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11017-2024</t>
        </is>
      </c>
      <c r="B1038" s="1" t="n">
        <v>45370</v>
      </c>
      <c r="C1038" s="1" t="n">
        <v>45849</v>
      </c>
      <c r="D1038" t="inlineStr">
        <is>
          <t>JÄMTLANDS LÄN</t>
        </is>
      </c>
      <c r="E1038" t="inlineStr">
        <is>
          <t>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12369-2024</t>
        </is>
      </c>
      <c r="B1039" s="1" t="n">
        <v>45378</v>
      </c>
      <c r="C1039" s="1" t="n">
        <v>45849</v>
      </c>
      <c r="D1039" t="inlineStr">
        <is>
          <t>JÄMTLANDS LÄN</t>
        </is>
      </c>
      <c r="E1039" t="inlineStr">
        <is>
          <t>BERG</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12360-2024</t>
        </is>
      </c>
      <c r="B1040" s="1" t="n">
        <v>45378</v>
      </c>
      <c r="C1040" s="1" t="n">
        <v>45849</v>
      </c>
      <c r="D1040" t="inlineStr">
        <is>
          <t>JÄMTLANDS LÄN</t>
        </is>
      </c>
      <c r="E1040" t="inlineStr">
        <is>
          <t>BERG</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12364-2024</t>
        </is>
      </c>
      <c r="B1041" s="1" t="n">
        <v>45378</v>
      </c>
      <c r="C1041" s="1" t="n">
        <v>45849</v>
      </c>
      <c r="D1041" t="inlineStr">
        <is>
          <t>JÄMTLANDS LÄN</t>
        </is>
      </c>
      <c r="E1041" t="inlineStr">
        <is>
          <t>BERG</t>
        </is>
      </c>
      <c r="F1041" t="inlineStr">
        <is>
          <t>SCA</t>
        </is>
      </c>
      <c r="G1041" t="n">
        <v>23.1</v>
      </c>
      <c r="H1041" t="n">
        <v>0</v>
      </c>
      <c r="I1041" t="n">
        <v>0</v>
      </c>
      <c r="J1041" t="n">
        <v>0</v>
      </c>
      <c r="K1041" t="n">
        <v>0</v>
      </c>
      <c r="L1041" t="n">
        <v>0</v>
      </c>
      <c r="M1041" t="n">
        <v>0</v>
      </c>
      <c r="N1041" t="n">
        <v>0</v>
      </c>
      <c r="O1041" t="n">
        <v>0</v>
      </c>
      <c r="P1041" t="n">
        <v>0</v>
      </c>
      <c r="Q1041" t="n">
        <v>0</v>
      </c>
      <c r="R1041" s="2" t="inlineStr"/>
    </row>
    <row r="1042" ht="15" customHeight="1">
      <c r="A1042" t="inlineStr">
        <is>
          <t>A 13102-2024</t>
        </is>
      </c>
      <c r="B1042" s="1" t="n">
        <v>45385</v>
      </c>
      <c r="C1042" s="1" t="n">
        <v>45849</v>
      </c>
      <c r="D1042" t="inlineStr">
        <is>
          <t>JÄMTLANDS LÄN</t>
        </is>
      </c>
      <c r="E1042" t="inlineStr">
        <is>
          <t>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12955-2024</t>
        </is>
      </c>
      <c r="B1043" s="1" t="n">
        <v>45385</v>
      </c>
      <c r="C1043" s="1" t="n">
        <v>45849</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13103-2024</t>
        </is>
      </c>
      <c r="B1044" s="1" t="n">
        <v>45385</v>
      </c>
      <c r="C1044" s="1" t="n">
        <v>45849</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13104-2024</t>
        </is>
      </c>
      <c r="B1045" s="1" t="n">
        <v>45385</v>
      </c>
      <c r="C1045" s="1" t="n">
        <v>45849</v>
      </c>
      <c r="D1045" t="inlineStr">
        <is>
          <t>JÄMTLANDS LÄN</t>
        </is>
      </c>
      <c r="E1045" t="inlineStr">
        <is>
          <t>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13436-2024</t>
        </is>
      </c>
      <c r="B1046" s="1" t="n">
        <v>45387</v>
      </c>
      <c r="C1046" s="1" t="n">
        <v>45849</v>
      </c>
      <c r="D1046" t="inlineStr">
        <is>
          <t>JÄMTLANDS LÄN</t>
        </is>
      </c>
      <c r="E1046" t="inlineStr">
        <is>
          <t>BERG</t>
        </is>
      </c>
      <c r="G1046" t="n">
        <v>28.9</v>
      </c>
      <c r="H1046" t="n">
        <v>0</v>
      </c>
      <c r="I1046" t="n">
        <v>0</v>
      </c>
      <c r="J1046" t="n">
        <v>0</v>
      </c>
      <c r="K1046" t="n">
        <v>0</v>
      </c>
      <c r="L1046" t="n">
        <v>0</v>
      </c>
      <c r="M1046" t="n">
        <v>0</v>
      </c>
      <c r="N1046" t="n">
        <v>0</v>
      </c>
      <c r="O1046" t="n">
        <v>0</v>
      </c>
      <c r="P1046" t="n">
        <v>0</v>
      </c>
      <c r="Q1046" t="n">
        <v>0</v>
      </c>
      <c r="R1046" s="2" t="inlineStr"/>
    </row>
    <row r="1047" ht="15" customHeight="1">
      <c r="A1047" t="inlineStr">
        <is>
          <t>A 13373-2024</t>
        </is>
      </c>
      <c r="B1047" s="1" t="n">
        <v>45387</v>
      </c>
      <c r="C1047" s="1" t="n">
        <v>45849</v>
      </c>
      <c r="D1047" t="inlineStr">
        <is>
          <t>JÄMTLANDS LÄN</t>
        </is>
      </c>
      <c r="E1047" t="inlineStr">
        <is>
          <t>BERG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13364-2024</t>
        </is>
      </c>
      <c r="B1048" s="1" t="n">
        <v>45387</v>
      </c>
      <c r="C1048" s="1" t="n">
        <v>45849</v>
      </c>
      <c r="D1048" t="inlineStr">
        <is>
          <t>JÄMTLANDS LÄN</t>
        </is>
      </c>
      <c r="E1048" t="inlineStr">
        <is>
          <t>BERG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13540-2024</t>
        </is>
      </c>
      <c r="B1049" s="1" t="n">
        <v>45388</v>
      </c>
      <c r="C1049" s="1" t="n">
        <v>45849</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13524-2024</t>
        </is>
      </c>
      <c r="B1050" s="1" t="n">
        <v>45387</v>
      </c>
      <c r="C1050" s="1" t="n">
        <v>45849</v>
      </c>
      <c r="D1050" t="inlineStr">
        <is>
          <t>JÄMTLANDS LÄN</t>
        </is>
      </c>
      <c r="E1050" t="inlineStr">
        <is>
          <t>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13672-2024</t>
        </is>
      </c>
      <c r="B1051" s="1" t="n">
        <v>45390</v>
      </c>
      <c r="C1051" s="1" t="n">
        <v>45849</v>
      </c>
      <c r="D1051" t="inlineStr">
        <is>
          <t>JÄMTLANDS LÄN</t>
        </is>
      </c>
      <c r="E1051" t="inlineStr">
        <is>
          <t>BERG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13805-2024</t>
        </is>
      </c>
      <c r="B1052" s="1" t="n">
        <v>45390</v>
      </c>
      <c r="C1052" s="1" t="n">
        <v>45849</v>
      </c>
      <c r="D1052" t="inlineStr">
        <is>
          <t>JÄMTLANDS LÄN</t>
        </is>
      </c>
      <c r="E1052" t="inlineStr">
        <is>
          <t>BERG</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13936-2024</t>
        </is>
      </c>
      <c r="B1053" s="1" t="n">
        <v>45392</v>
      </c>
      <c r="C1053" s="1" t="n">
        <v>45849</v>
      </c>
      <c r="D1053" t="inlineStr">
        <is>
          <t>JÄMTLANDS LÄN</t>
        </is>
      </c>
      <c r="E1053" t="inlineStr">
        <is>
          <t>BERG</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14162-2024</t>
        </is>
      </c>
      <c r="B1054" s="1" t="n">
        <v>45392</v>
      </c>
      <c r="C1054" s="1" t="n">
        <v>45849</v>
      </c>
      <c r="D1054" t="inlineStr">
        <is>
          <t>JÄMTLANDS LÄN</t>
        </is>
      </c>
      <c r="E1054" t="inlineStr">
        <is>
          <t>BERG</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15156-2024</t>
        </is>
      </c>
      <c r="B1055" s="1" t="n">
        <v>45400</v>
      </c>
      <c r="C1055" s="1" t="n">
        <v>45849</v>
      </c>
      <c r="D1055" t="inlineStr">
        <is>
          <t>JÄMTLANDS LÄN</t>
        </is>
      </c>
      <c r="E1055" t="inlineStr">
        <is>
          <t>BERG</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15237-2024</t>
        </is>
      </c>
      <c r="B1056" s="1" t="n">
        <v>45400</v>
      </c>
      <c r="C1056" s="1" t="n">
        <v>45849</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16247-2024</t>
        </is>
      </c>
      <c r="B1057" s="1" t="n">
        <v>45407</v>
      </c>
      <c r="C1057" s="1" t="n">
        <v>45849</v>
      </c>
      <c r="D1057" t="inlineStr">
        <is>
          <t>JÄMTLANDS LÄN</t>
        </is>
      </c>
      <c r="E1057" t="inlineStr">
        <is>
          <t>BERG</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16246-2024</t>
        </is>
      </c>
      <c r="B1058" s="1" t="n">
        <v>45407</v>
      </c>
      <c r="C1058" s="1" t="n">
        <v>45849</v>
      </c>
      <c r="D1058" t="inlineStr">
        <is>
          <t>JÄMTLANDS LÄN</t>
        </is>
      </c>
      <c r="E1058" t="inlineStr">
        <is>
          <t>BERG</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17092-2024</t>
        </is>
      </c>
      <c r="B1059" s="1" t="n">
        <v>45412</v>
      </c>
      <c r="C1059" s="1" t="n">
        <v>45849</v>
      </c>
      <c r="D1059" t="inlineStr">
        <is>
          <t>JÄMTLANDS LÄN</t>
        </is>
      </c>
      <c r="E1059" t="inlineStr">
        <is>
          <t>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17584-2024</t>
        </is>
      </c>
      <c r="B1060" s="1" t="n">
        <v>45415</v>
      </c>
      <c r="C1060" s="1" t="n">
        <v>45849</v>
      </c>
      <c r="D1060" t="inlineStr">
        <is>
          <t>JÄMTLANDS LÄN</t>
        </is>
      </c>
      <c r="E1060" t="inlineStr">
        <is>
          <t>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17748-2024</t>
        </is>
      </c>
      <c r="B1061" s="1" t="n">
        <v>45418</v>
      </c>
      <c r="C1061" s="1" t="n">
        <v>45849</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17922-2024</t>
        </is>
      </c>
      <c r="B1062" s="1" t="n">
        <v>45419</v>
      </c>
      <c r="C1062" s="1" t="n">
        <v>45849</v>
      </c>
      <c r="D1062" t="inlineStr">
        <is>
          <t>JÄMTLANDS LÄN</t>
        </is>
      </c>
      <c r="E1062" t="inlineStr">
        <is>
          <t>BERG</t>
        </is>
      </c>
      <c r="F1062" t="inlineStr">
        <is>
          <t>Holmen skog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17929-2024</t>
        </is>
      </c>
      <c r="B1063" s="1" t="n">
        <v>45419</v>
      </c>
      <c r="C1063" s="1" t="n">
        <v>45849</v>
      </c>
      <c r="D1063" t="inlineStr">
        <is>
          <t>JÄMTLANDS LÄN</t>
        </is>
      </c>
      <c r="E1063" t="inlineStr">
        <is>
          <t>BERG</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18007-2024</t>
        </is>
      </c>
      <c r="B1064" s="1" t="n">
        <v>45420</v>
      </c>
      <c r="C1064" s="1" t="n">
        <v>45849</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17899-2024</t>
        </is>
      </c>
      <c r="B1065" s="1" t="n">
        <v>45419</v>
      </c>
      <c r="C1065" s="1" t="n">
        <v>45849</v>
      </c>
      <c r="D1065" t="inlineStr">
        <is>
          <t>JÄMTLANDS LÄN</t>
        </is>
      </c>
      <c r="E1065" t="inlineStr">
        <is>
          <t>BERG</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18032-2024</t>
        </is>
      </c>
      <c r="B1066" s="1" t="n">
        <v>45420</v>
      </c>
      <c r="C1066" s="1" t="n">
        <v>45849</v>
      </c>
      <c r="D1066" t="inlineStr">
        <is>
          <t>JÄMTLANDS LÄN</t>
        </is>
      </c>
      <c r="E1066" t="inlineStr">
        <is>
          <t>BERG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18153-2024</t>
        </is>
      </c>
      <c r="B1067" s="1" t="n">
        <v>45420</v>
      </c>
      <c r="C1067" s="1" t="n">
        <v>45849</v>
      </c>
      <c r="D1067" t="inlineStr">
        <is>
          <t>JÄMTLANDS LÄN</t>
        </is>
      </c>
      <c r="E1067" t="inlineStr">
        <is>
          <t>BERG</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18112-2024</t>
        </is>
      </c>
      <c r="B1068" s="1" t="n">
        <v>45420</v>
      </c>
      <c r="C1068" s="1" t="n">
        <v>45849</v>
      </c>
      <c r="D1068" t="inlineStr">
        <is>
          <t>JÄMTLANDS LÄN</t>
        </is>
      </c>
      <c r="E1068" t="inlineStr">
        <is>
          <t>BERG</t>
        </is>
      </c>
      <c r="F1068" t="inlineStr">
        <is>
          <t>Holmen skog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18520-2024</t>
        </is>
      </c>
      <c r="B1069" s="1" t="n">
        <v>45425</v>
      </c>
      <c r="C1069" s="1" t="n">
        <v>45849</v>
      </c>
      <c r="D1069" t="inlineStr">
        <is>
          <t>JÄMTLANDS LÄN</t>
        </is>
      </c>
      <c r="E1069" t="inlineStr">
        <is>
          <t>BERG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18502-2024</t>
        </is>
      </c>
      <c r="B1070" s="1" t="n">
        <v>45425</v>
      </c>
      <c r="C1070" s="1" t="n">
        <v>45849</v>
      </c>
      <c r="D1070" t="inlineStr">
        <is>
          <t>JÄMTLANDS LÄN</t>
        </is>
      </c>
      <c r="E1070" t="inlineStr">
        <is>
          <t>BERG</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18685-2024</t>
        </is>
      </c>
      <c r="B1071" s="1" t="n">
        <v>45426</v>
      </c>
      <c r="C1071" s="1" t="n">
        <v>45849</v>
      </c>
      <c r="D1071" t="inlineStr">
        <is>
          <t>JÄMTLANDS LÄN</t>
        </is>
      </c>
      <c r="E1071" t="inlineStr">
        <is>
          <t>BERG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18752-2024</t>
        </is>
      </c>
      <c r="B1072" s="1" t="n">
        <v>45426</v>
      </c>
      <c r="C1072" s="1" t="n">
        <v>45849</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18833-2024</t>
        </is>
      </c>
      <c r="B1073" s="1" t="n">
        <v>45426</v>
      </c>
      <c r="C1073" s="1" t="n">
        <v>45849</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18775-2024</t>
        </is>
      </c>
      <c r="B1074" s="1" t="n">
        <v>45426</v>
      </c>
      <c r="C1074" s="1" t="n">
        <v>45849</v>
      </c>
      <c r="D1074" t="inlineStr">
        <is>
          <t>JÄMTLANDS LÄN</t>
        </is>
      </c>
      <c r="E1074" t="inlineStr">
        <is>
          <t>BERG</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19087-2024</t>
        </is>
      </c>
      <c r="B1075" s="1" t="n">
        <v>45428</v>
      </c>
      <c r="C1075" s="1" t="n">
        <v>45849</v>
      </c>
      <c r="D1075" t="inlineStr">
        <is>
          <t>JÄMTLANDS LÄN</t>
        </is>
      </c>
      <c r="E1075" t="inlineStr">
        <is>
          <t>BERG</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19345-2024</t>
        </is>
      </c>
      <c r="B1076" s="1" t="n">
        <v>45429</v>
      </c>
      <c r="C1076" s="1" t="n">
        <v>45849</v>
      </c>
      <c r="D1076" t="inlineStr">
        <is>
          <t>JÄMTLANDS LÄN</t>
        </is>
      </c>
      <c r="E1076" t="inlineStr">
        <is>
          <t>BERG</t>
        </is>
      </c>
      <c r="F1076" t="inlineStr">
        <is>
          <t>SCA</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19350-2024</t>
        </is>
      </c>
      <c r="B1077" s="1" t="n">
        <v>45429</v>
      </c>
      <c r="C1077" s="1" t="n">
        <v>45849</v>
      </c>
      <c r="D1077" t="inlineStr">
        <is>
          <t>JÄMTLANDS LÄN</t>
        </is>
      </c>
      <c r="E1077" t="inlineStr">
        <is>
          <t>BERG</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20257-2024</t>
        </is>
      </c>
      <c r="B1078" s="1" t="n">
        <v>45435</v>
      </c>
      <c r="C1078" s="1" t="n">
        <v>45849</v>
      </c>
      <c r="D1078" t="inlineStr">
        <is>
          <t>JÄMTLANDS LÄN</t>
        </is>
      </c>
      <c r="E1078" t="inlineStr">
        <is>
          <t>BERG</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20258-2024</t>
        </is>
      </c>
      <c r="B1079" s="1" t="n">
        <v>45435</v>
      </c>
      <c r="C1079" s="1" t="n">
        <v>45849</v>
      </c>
      <c r="D1079" t="inlineStr">
        <is>
          <t>JÄMTLANDS LÄN</t>
        </is>
      </c>
      <c r="E1079" t="inlineStr">
        <is>
          <t>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20270-2024</t>
        </is>
      </c>
      <c r="B1080" s="1" t="n">
        <v>45435</v>
      </c>
      <c r="C1080" s="1" t="n">
        <v>45849</v>
      </c>
      <c r="D1080" t="inlineStr">
        <is>
          <t>JÄMTLANDS LÄN</t>
        </is>
      </c>
      <c r="E1080" t="inlineStr">
        <is>
          <t>BERG</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20268-2024</t>
        </is>
      </c>
      <c r="B1081" s="1" t="n">
        <v>45435</v>
      </c>
      <c r="C1081" s="1" t="n">
        <v>45849</v>
      </c>
      <c r="D1081" t="inlineStr">
        <is>
          <t>JÄMTLANDS LÄN</t>
        </is>
      </c>
      <c r="E1081" t="inlineStr">
        <is>
          <t>BERG</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21018-2024</t>
        </is>
      </c>
      <c r="B1082" s="1" t="n">
        <v>45439</v>
      </c>
      <c r="C1082" s="1" t="n">
        <v>45849</v>
      </c>
      <c r="D1082" t="inlineStr">
        <is>
          <t>JÄMTLANDS LÄN</t>
        </is>
      </c>
      <c r="E1082" t="inlineStr">
        <is>
          <t>BERG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21508-2024</t>
        </is>
      </c>
      <c r="B1083" s="1" t="n">
        <v>45441</v>
      </c>
      <c r="C1083" s="1" t="n">
        <v>45849</v>
      </c>
      <c r="D1083" t="inlineStr">
        <is>
          <t>JÄMTLANDS LÄN</t>
        </is>
      </c>
      <c r="E1083" t="inlineStr">
        <is>
          <t>BERG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21512-2024</t>
        </is>
      </c>
      <c r="B1084" s="1" t="n">
        <v>45441</v>
      </c>
      <c r="C1084" s="1" t="n">
        <v>45849</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21521-2024</t>
        </is>
      </c>
      <c r="B1085" s="1" t="n">
        <v>45441</v>
      </c>
      <c r="C1085" s="1" t="n">
        <v>45849</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21537-2024</t>
        </is>
      </c>
      <c r="B1086" s="1" t="n">
        <v>45441</v>
      </c>
      <c r="C1086" s="1" t="n">
        <v>45849</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21502-2024</t>
        </is>
      </c>
      <c r="B1087" s="1" t="n">
        <v>45441</v>
      </c>
      <c r="C1087" s="1" t="n">
        <v>45849</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21644-2024</t>
        </is>
      </c>
      <c r="B1088" s="1" t="n">
        <v>45442</v>
      </c>
      <c r="C1088" s="1" t="n">
        <v>45849</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21998-2024</t>
        </is>
      </c>
      <c r="B1089" s="1" t="n">
        <v>45443</v>
      </c>
      <c r="C1089" s="1" t="n">
        <v>45849</v>
      </c>
      <c r="D1089" t="inlineStr">
        <is>
          <t>JÄMTLANDS LÄN</t>
        </is>
      </c>
      <c r="E1089" t="inlineStr">
        <is>
          <t>BERG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22020-2024</t>
        </is>
      </c>
      <c r="B1090" s="1" t="n">
        <v>45443</v>
      </c>
      <c r="C1090" s="1" t="n">
        <v>45849</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22950-2024</t>
        </is>
      </c>
      <c r="B1091" s="1" t="n">
        <v>45449</v>
      </c>
      <c r="C1091" s="1" t="n">
        <v>45849</v>
      </c>
      <c r="D1091" t="inlineStr">
        <is>
          <t>JÄMTLANDS LÄN</t>
        </is>
      </c>
      <c r="E1091" t="inlineStr">
        <is>
          <t>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23165-2024</t>
        </is>
      </c>
      <c r="B1092" s="1" t="n">
        <v>45450</v>
      </c>
      <c r="C1092" s="1" t="n">
        <v>45849</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23177-2024</t>
        </is>
      </c>
      <c r="B1093" s="1" t="n">
        <v>45451</v>
      </c>
      <c r="C1093" s="1" t="n">
        <v>45849</v>
      </c>
      <c r="D1093" t="inlineStr">
        <is>
          <t>JÄMTLANDS LÄN</t>
        </is>
      </c>
      <c r="E1093" t="inlineStr">
        <is>
          <t>BERG</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23560-2024</t>
        </is>
      </c>
      <c r="B1094" s="1" t="n">
        <v>45454</v>
      </c>
      <c r="C1094" s="1" t="n">
        <v>45849</v>
      </c>
      <c r="D1094" t="inlineStr">
        <is>
          <t>JÄMTLANDS LÄN</t>
        </is>
      </c>
      <c r="E1094" t="inlineStr">
        <is>
          <t>BERG</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23559-2024</t>
        </is>
      </c>
      <c r="B1095" s="1" t="n">
        <v>45454</v>
      </c>
      <c r="C1095" s="1" t="n">
        <v>45849</v>
      </c>
      <c r="D1095" t="inlineStr">
        <is>
          <t>JÄMTLANDS LÄN</t>
        </is>
      </c>
      <c r="E1095" t="inlineStr">
        <is>
          <t>BERG</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23672-2024</t>
        </is>
      </c>
      <c r="B1096" s="1" t="n">
        <v>45454</v>
      </c>
      <c r="C1096" s="1" t="n">
        <v>45849</v>
      </c>
      <c r="D1096" t="inlineStr">
        <is>
          <t>JÄMTLANDS LÄN</t>
        </is>
      </c>
      <c r="E1096" t="inlineStr">
        <is>
          <t>BERG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23877-2024</t>
        </is>
      </c>
      <c r="B1097" s="1" t="n">
        <v>45455</v>
      </c>
      <c r="C1097" s="1" t="n">
        <v>45849</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23880-2024</t>
        </is>
      </c>
      <c r="B1098" s="1" t="n">
        <v>45455</v>
      </c>
      <c r="C1098" s="1" t="n">
        <v>45849</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23875-2024</t>
        </is>
      </c>
      <c r="B1099" s="1" t="n">
        <v>45455</v>
      </c>
      <c r="C1099" s="1" t="n">
        <v>45849</v>
      </c>
      <c r="D1099" t="inlineStr">
        <is>
          <t>JÄMTLANDS LÄN</t>
        </is>
      </c>
      <c r="E1099" t="inlineStr">
        <is>
          <t>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24737-2024</t>
        </is>
      </c>
      <c r="B1100" s="1" t="n">
        <v>45460</v>
      </c>
      <c r="C1100" s="1" t="n">
        <v>45849</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25133-2024</t>
        </is>
      </c>
      <c r="B1101" s="1" t="n">
        <v>45462</v>
      </c>
      <c r="C1101" s="1" t="n">
        <v>45849</v>
      </c>
      <c r="D1101" t="inlineStr">
        <is>
          <t>JÄMTLANDS LÄN</t>
        </is>
      </c>
      <c r="E1101" t="inlineStr">
        <is>
          <t>BERG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25134-2024</t>
        </is>
      </c>
      <c r="B1102" s="1" t="n">
        <v>45462</v>
      </c>
      <c r="C1102" s="1" t="n">
        <v>45849</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25706-2024</t>
        </is>
      </c>
      <c r="B1103" s="1" t="n">
        <v>45464</v>
      </c>
      <c r="C1103" s="1" t="n">
        <v>45849</v>
      </c>
      <c r="D1103" t="inlineStr">
        <is>
          <t>JÄMTLANDS LÄN</t>
        </is>
      </c>
      <c r="E1103" t="inlineStr">
        <is>
          <t>BERG</t>
        </is>
      </c>
      <c r="F1103" t="inlineStr">
        <is>
          <t>SCA</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25738-2024</t>
        </is>
      </c>
      <c r="B1104" s="1" t="n">
        <v>45465</v>
      </c>
      <c r="C1104" s="1" t="n">
        <v>45849</v>
      </c>
      <c r="D1104" t="inlineStr">
        <is>
          <t>JÄMTLANDS LÄN</t>
        </is>
      </c>
      <c r="E1104" t="inlineStr">
        <is>
          <t>BERG</t>
        </is>
      </c>
      <c r="F1104" t="inlineStr">
        <is>
          <t>SCA</t>
        </is>
      </c>
      <c r="G1104" t="n">
        <v>36.6</v>
      </c>
      <c r="H1104" t="n">
        <v>0</v>
      </c>
      <c r="I1104" t="n">
        <v>0</v>
      </c>
      <c r="J1104" t="n">
        <v>0</v>
      </c>
      <c r="K1104" t="n">
        <v>0</v>
      </c>
      <c r="L1104" t="n">
        <v>0</v>
      </c>
      <c r="M1104" t="n">
        <v>0</v>
      </c>
      <c r="N1104" t="n">
        <v>0</v>
      </c>
      <c r="O1104" t="n">
        <v>0</v>
      </c>
      <c r="P1104" t="n">
        <v>0</v>
      </c>
      <c r="Q1104" t="n">
        <v>0</v>
      </c>
      <c r="R1104" s="2" t="inlineStr"/>
    </row>
    <row r="1105" ht="15" customHeight="1">
      <c r="A1105" t="inlineStr">
        <is>
          <t>A 26034-2024</t>
        </is>
      </c>
      <c r="B1105" s="1" t="n">
        <v>45468</v>
      </c>
      <c r="C1105" s="1" t="n">
        <v>45849</v>
      </c>
      <c r="D1105" t="inlineStr">
        <is>
          <t>JÄMTLANDS LÄN</t>
        </is>
      </c>
      <c r="E1105" t="inlineStr">
        <is>
          <t>BERG</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26647-2024</t>
        </is>
      </c>
      <c r="B1106" s="1" t="n">
        <v>45470</v>
      </c>
      <c r="C1106" s="1" t="n">
        <v>45849</v>
      </c>
      <c r="D1106" t="inlineStr">
        <is>
          <t>JÄMTLANDS LÄN</t>
        </is>
      </c>
      <c r="E1106" t="inlineStr">
        <is>
          <t>BERG</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26954-2024</t>
        </is>
      </c>
      <c r="B1107" s="1" t="n">
        <v>45471</v>
      </c>
      <c r="C1107" s="1" t="n">
        <v>45849</v>
      </c>
      <c r="D1107" t="inlineStr">
        <is>
          <t>JÄMTLANDS LÄN</t>
        </is>
      </c>
      <c r="E1107" t="inlineStr">
        <is>
          <t>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26935-2024</t>
        </is>
      </c>
      <c r="B1108" s="1" t="n">
        <v>45471</v>
      </c>
      <c r="C1108" s="1" t="n">
        <v>45849</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26918-2024</t>
        </is>
      </c>
      <c r="B1109" s="1" t="n">
        <v>45470</v>
      </c>
      <c r="C1109" s="1" t="n">
        <v>45849</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27146-2024</t>
        </is>
      </c>
      <c r="B1110" s="1" t="n">
        <v>45471</v>
      </c>
      <c r="C1110" s="1" t="n">
        <v>45849</v>
      </c>
      <c r="D1110" t="inlineStr">
        <is>
          <t>JÄMTLANDS LÄN</t>
        </is>
      </c>
      <c r="E1110" t="inlineStr">
        <is>
          <t>BERG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27348-2024</t>
        </is>
      </c>
      <c r="B1111" s="1" t="n">
        <v>45473</v>
      </c>
      <c r="C1111" s="1" t="n">
        <v>45849</v>
      </c>
      <c r="D1111" t="inlineStr">
        <is>
          <t>JÄMTLANDS LÄN</t>
        </is>
      </c>
      <c r="E1111" t="inlineStr">
        <is>
          <t>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27579-2024</t>
        </is>
      </c>
      <c r="B1112" s="1" t="n">
        <v>45474</v>
      </c>
      <c r="C1112" s="1" t="n">
        <v>45849</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27920-2024</t>
        </is>
      </c>
      <c r="B1113" s="1" t="n">
        <v>45476</v>
      </c>
      <c r="C1113" s="1" t="n">
        <v>45849</v>
      </c>
      <c r="D1113" t="inlineStr">
        <is>
          <t>JÄMTLANDS LÄN</t>
        </is>
      </c>
      <c r="E1113" t="inlineStr">
        <is>
          <t>BERG</t>
        </is>
      </c>
      <c r="F1113" t="inlineStr">
        <is>
          <t>SCA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28098-2024</t>
        </is>
      </c>
      <c r="B1114" s="1" t="n">
        <v>45476</v>
      </c>
      <c r="C1114" s="1" t="n">
        <v>45849</v>
      </c>
      <c r="D1114" t="inlineStr">
        <is>
          <t>JÄMTLANDS LÄN</t>
        </is>
      </c>
      <c r="E1114" t="inlineStr">
        <is>
          <t>BERG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28165-2024</t>
        </is>
      </c>
      <c r="B1115" s="1" t="n">
        <v>45477</v>
      </c>
      <c r="C1115" s="1" t="n">
        <v>45849</v>
      </c>
      <c r="D1115" t="inlineStr">
        <is>
          <t>JÄMTLANDS LÄN</t>
        </is>
      </c>
      <c r="E1115" t="inlineStr">
        <is>
          <t>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28166-2024</t>
        </is>
      </c>
      <c r="B1116" s="1" t="n">
        <v>45477</v>
      </c>
      <c r="C1116" s="1" t="n">
        <v>45849</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28877-2024</t>
        </is>
      </c>
      <c r="B1117" s="1" t="n">
        <v>45479</v>
      </c>
      <c r="C1117" s="1" t="n">
        <v>45849</v>
      </c>
      <c r="D1117" t="inlineStr">
        <is>
          <t>JÄMTLANDS LÄN</t>
        </is>
      </c>
      <c r="E1117" t="inlineStr">
        <is>
          <t>BERG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28872-2024</t>
        </is>
      </c>
      <c r="B1118" s="1" t="n">
        <v>45479</v>
      </c>
      <c r="C1118" s="1" t="n">
        <v>45849</v>
      </c>
      <c r="D1118" t="inlineStr">
        <is>
          <t>JÄMTLANDS LÄN</t>
        </is>
      </c>
      <c r="E1118" t="inlineStr">
        <is>
          <t>BERG</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29087-2024</t>
        </is>
      </c>
      <c r="B1119" s="1" t="n">
        <v>45482</v>
      </c>
      <c r="C1119" s="1" t="n">
        <v>45849</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29378-2024</t>
        </is>
      </c>
      <c r="B1120" s="1" t="n">
        <v>45483</v>
      </c>
      <c r="C1120" s="1" t="n">
        <v>45849</v>
      </c>
      <c r="D1120" t="inlineStr">
        <is>
          <t>JÄMTLANDS LÄN</t>
        </is>
      </c>
      <c r="E1120" t="inlineStr">
        <is>
          <t>BERG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29424-2024</t>
        </is>
      </c>
      <c r="B1121" s="1" t="n">
        <v>45483</v>
      </c>
      <c r="C1121" s="1" t="n">
        <v>45849</v>
      </c>
      <c r="D1121" t="inlineStr">
        <is>
          <t>JÄMTLANDS LÄN</t>
        </is>
      </c>
      <c r="E1121" t="inlineStr">
        <is>
          <t>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29428-2024</t>
        </is>
      </c>
      <c r="B1122" s="1" t="n">
        <v>45483</v>
      </c>
      <c r="C1122" s="1" t="n">
        <v>45849</v>
      </c>
      <c r="D1122" t="inlineStr">
        <is>
          <t>JÄMTLANDS LÄN</t>
        </is>
      </c>
      <c r="E1122" t="inlineStr">
        <is>
          <t>BERG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29581-2024</t>
        </is>
      </c>
      <c r="B1123" s="1" t="n">
        <v>45484</v>
      </c>
      <c r="C1123" s="1" t="n">
        <v>45849</v>
      </c>
      <c r="D1123" t="inlineStr">
        <is>
          <t>JÄMTLANDS LÄN</t>
        </is>
      </c>
      <c r="E1123" t="inlineStr">
        <is>
          <t>BERG</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29748-2024</t>
        </is>
      </c>
      <c r="B1124" s="1" t="n">
        <v>45485</v>
      </c>
      <c r="C1124" s="1" t="n">
        <v>45849</v>
      </c>
      <c r="D1124" t="inlineStr">
        <is>
          <t>JÄMTLANDS LÄN</t>
        </is>
      </c>
      <c r="E1124" t="inlineStr">
        <is>
          <t>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29756-2024</t>
        </is>
      </c>
      <c r="B1125" s="1" t="n">
        <v>45485</v>
      </c>
      <c r="C1125" s="1" t="n">
        <v>45849</v>
      </c>
      <c r="D1125" t="inlineStr">
        <is>
          <t>JÄMTLANDS LÄN</t>
        </is>
      </c>
      <c r="E1125" t="inlineStr">
        <is>
          <t>BERG</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30332-2024</t>
        </is>
      </c>
      <c r="B1126" s="1" t="n">
        <v>45491</v>
      </c>
      <c r="C1126" s="1" t="n">
        <v>45849</v>
      </c>
      <c r="D1126" t="inlineStr">
        <is>
          <t>JÄMTLANDS LÄN</t>
        </is>
      </c>
      <c r="E1126" t="inlineStr">
        <is>
          <t>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30333-2024</t>
        </is>
      </c>
      <c r="B1127" s="1" t="n">
        <v>45491</v>
      </c>
      <c r="C1127" s="1" t="n">
        <v>45849</v>
      </c>
      <c r="D1127" t="inlineStr">
        <is>
          <t>JÄMTLANDS LÄN</t>
        </is>
      </c>
      <c r="E1127" t="inlineStr">
        <is>
          <t>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30489-2024</t>
        </is>
      </c>
      <c r="B1128" s="1" t="n">
        <v>45492</v>
      </c>
      <c r="C1128" s="1" t="n">
        <v>45849</v>
      </c>
      <c r="D1128" t="inlineStr">
        <is>
          <t>JÄMTLANDS LÄN</t>
        </is>
      </c>
      <c r="E1128" t="inlineStr">
        <is>
          <t>BERG</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30490-2024</t>
        </is>
      </c>
      <c r="B1129" s="1" t="n">
        <v>45492</v>
      </c>
      <c r="C1129" s="1" t="n">
        <v>45849</v>
      </c>
      <c r="D1129" t="inlineStr">
        <is>
          <t>JÄMTLANDS LÄN</t>
        </is>
      </c>
      <c r="E1129" t="inlineStr">
        <is>
          <t>BERG</t>
        </is>
      </c>
      <c r="F1129" t="inlineStr">
        <is>
          <t>SCA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30917-2024</t>
        </is>
      </c>
      <c r="B1130" s="1" t="n">
        <v>45498</v>
      </c>
      <c r="C1130" s="1" t="n">
        <v>45849</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31131-2024</t>
        </is>
      </c>
      <c r="B1131" s="1" t="n">
        <v>45502</v>
      </c>
      <c r="C1131" s="1" t="n">
        <v>45849</v>
      </c>
      <c r="D1131" t="inlineStr">
        <is>
          <t>JÄMTLANDS LÄN</t>
        </is>
      </c>
      <c r="E1131" t="inlineStr">
        <is>
          <t>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31079-2024</t>
        </is>
      </c>
      <c r="B1132" s="1" t="n">
        <v>45502</v>
      </c>
      <c r="C1132" s="1" t="n">
        <v>45849</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31129-2024</t>
        </is>
      </c>
      <c r="B1133" s="1" t="n">
        <v>45502</v>
      </c>
      <c r="C1133" s="1" t="n">
        <v>45849</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31155-2024</t>
        </is>
      </c>
      <c r="B1134" s="1" t="n">
        <v>45503</v>
      </c>
      <c r="C1134" s="1" t="n">
        <v>45849</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31154-2024</t>
        </is>
      </c>
      <c r="B1135" s="1" t="n">
        <v>45503</v>
      </c>
      <c r="C1135" s="1" t="n">
        <v>45849</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31330-2024</t>
        </is>
      </c>
      <c r="B1136" s="1" t="n">
        <v>45504</v>
      </c>
      <c r="C1136" s="1" t="n">
        <v>45849</v>
      </c>
      <c r="D1136" t="inlineStr">
        <is>
          <t>JÄMTLANDS LÄN</t>
        </is>
      </c>
      <c r="E1136" t="inlineStr">
        <is>
          <t>BERG</t>
        </is>
      </c>
      <c r="G1136" t="n">
        <v>30.5</v>
      </c>
      <c r="H1136" t="n">
        <v>0</v>
      </c>
      <c r="I1136" t="n">
        <v>0</v>
      </c>
      <c r="J1136" t="n">
        <v>0</v>
      </c>
      <c r="K1136" t="n">
        <v>0</v>
      </c>
      <c r="L1136" t="n">
        <v>0</v>
      </c>
      <c r="M1136" t="n">
        <v>0</v>
      </c>
      <c r="N1136" t="n">
        <v>0</v>
      </c>
      <c r="O1136" t="n">
        <v>0</v>
      </c>
      <c r="P1136" t="n">
        <v>0</v>
      </c>
      <c r="Q1136" t="n">
        <v>0</v>
      </c>
      <c r="R1136" s="2" t="inlineStr"/>
    </row>
    <row r="1137" ht="15" customHeight="1">
      <c r="A1137" t="inlineStr">
        <is>
          <t>A 31578-2024</t>
        </is>
      </c>
      <c r="B1137" s="1" t="n">
        <v>45506</v>
      </c>
      <c r="C1137" s="1" t="n">
        <v>45849</v>
      </c>
      <c r="D1137" t="inlineStr">
        <is>
          <t>JÄMTLANDS LÄN</t>
        </is>
      </c>
      <c r="E1137" t="inlineStr">
        <is>
          <t>BERG</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32147-2024</t>
        </is>
      </c>
      <c r="B1138" s="1" t="n">
        <v>45511</v>
      </c>
      <c r="C1138" s="1" t="n">
        <v>45849</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32248-2024</t>
        </is>
      </c>
      <c r="B1139" s="1" t="n">
        <v>45512</v>
      </c>
      <c r="C1139" s="1" t="n">
        <v>45849</v>
      </c>
      <c r="D1139" t="inlineStr">
        <is>
          <t>JÄMTLANDS LÄN</t>
        </is>
      </c>
      <c r="E1139" t="inlineStr">
        <is>
          <t>BERG</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32178-2024</t>
        </is>
      </c>
      <c r="B1140" s="1" t="n">
        <v>45511</v>
      </c>
      <c r="C1140" s="1" t="n">
        <v>45849</v>
      </c>
      <c r="D1140" t="inlineStr">
        <is>
          <t>JÄMTLANDS LÄN</t>
        </is>
      </c>
      <c r="E1140" t="inlineStr">
        <is>
          <t>BERG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32247-2024</t>
        </is>
      </c>
      <c r="B1141" s="1" t="n">
        <v>45512</v>
      </c>
      <c r="C1141" s="1" t="n">
        <v>45849</v>
      </c>
      <c r="D1141" t="inlineStr">
        <is>
          <t>JÄMTLANDS LÄN</t>
        </is>
      </c>
      <c r="E1141" t="inlineStr">
        <is>
          <t>BERG</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32156-2024</t>
        </is>
      </c>
      <c r="B1142" s="1" t="n">
        <v>45511</v>
      </c>
      <c r="C1142" s="1" t="n">
        <v>45849</v>
      </c>
      <c r="D1142" t="inlineStr">
        <is>
          <t>JÄMTLANDS LÄN</t>
        </is>
      </c>
      <c r="E1142" t="inlineStr">
        <is>
          <t>BERG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32462-2024</t>
        </is>
      </c>
      <c r="B1143" s="1" t="n">
        <v>45513</v>
      </c>
      <c r="C1143" s="1" t="n">
        <v>45849</v>
      </c>
      <c r="D1143" t="inlineStr">
        <is>
          <t>JÄMTLANDS LÄN</t>
        </is>
      </c>
      <c r="E1143" t="inlineStr">
        <is>
          <t>BERG</t>
        </is>
      </c>
      <c r="F1143" t="inlineStr">
        <is>
          <t>SCA</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32465-2024</t>
        </is>
      </c>
      <c r="B1144" s="1" t="n">
        <v>45513</v>
      </c>
      <c r="C1144" s="1" t="n">
        <v>45849</v>
      </c>
      <c r="D1144" t="inlineStr">
        <is>
          <t>JÄMTLANDS LÄN</t>
        </is>
      </c>
      <c r="E1144" t="inlineStr">
        <is>
          <t>BERG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32711-2024</t>
        </is>
      </c>
      <c r="B1145" s="1" t="n">
        <v>45516</v>
      </c>
      <c r="C1145" s="1" t="n">
        <v>45849</v>
      </c>
      <c r="D1145" t="inlineStr">
        <is>
          <t>JÄMTLANDS LÄN</t>
        </is>
      </c>
      <c r="E1145" t="inlineStr">
        <is>
          <t>BERG</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32879-2024</t>
        </is>
      </c>
      <c r="B1146" s="1" t="n">
        <v>45516</v>
      </c>
      <c r="C1146" s="1" t="n">
        <v>45849</v>
      </c>
      <c r="D1146" t="inlineStr">
        <is>
          <t>JÄMTLANDS LÄN</t>
        </is>
      </c>
      <c r="E1146" t="inlineStr">
        <is>
          <t>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33245-2024</t>
        </is>
      </c>
      <c r="B1147" s="1" t="n">
        <v>45518</v>
      </c>
      <c r="C1147" s="1" t="n">
        <v>45849</v>
      </c>
      <c r="D1147" t="inlineStr">
        <is>
          <t>JÄMTLANDS LÄN</t>
        </is>
      </c>
      <c r="E1147" t="inlineStr">
        <is>
          <t>BERG</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33962-2024</t>
        </is>
      </c>
      <c r="B1148" s="1" t="n">
        <v>45523</v>
      </c>
      <c r="C1148" s="1" t="n">
        <v>45849</v>
      </c>
      <c r="D1148" t="inlineStr">
        <is>
          <t>JÄMTLANDS LÄN</t>
        </is>
      </c>
      <c r="E1148" t="inlineStr">
        <is>
          <t>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34225-2024</t>
        </is>
      </c>
      <c r="B1149" s="1" t="n">
        <v>45524</v>
      </c>
      <c r="C1149" s="1" t="n">
        <v>45849</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34367-2024</t>
        </is>
      </c>
      <c r="B1150" s="1" t="n">
        <v>45525</v>
      </c>
      <c r="C1150" s="1" t="n">
        <v>45849</v>
      </c>
      <c r="D1150" t="inlineStr">
        <is>
          <t>JÄMTLANDS LÄN</t>
        </is>
      </c>
      <c r="E1150" t="inlineStr">
        <is>
          <t>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34369-2024</t>
        </is>
      </c>
      <c r="B1151" s="1" t="n">
        <v>45525</v>
      </c>
      <c r="C1151" s="1" t="n">
        <v>45849</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34606-2024</t>
        </is>
      </c>
      <c r="B1152" s="1" t="n">
        <v>45526</v>
      </c>
      <c r="C1152" s="1" t="n">
        <v>45849</v>
      </c>
      <c r="D1152" t="inlineStr">
        <is>
          <t>JÄMTLANDS LÄN</t>
        </is>
      </c>
      <c r="E1152" t="inlineStr">
        <is>
          <t>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34601-2024</t>
        </is>
      </c>
      <c r="B1153" s="1" t="n">
        <v>45526</v>
      </c>
      <c r="C1153" s="1" t="n">
        <v>45849</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34650-2024</t>
        </is>
      </c>
      <c r="B1154" s="1" t="n">
        <v>45526</v>
      </c>
      <c r="C1154" s="1" t="n">
        <v>45849</v>
      </c>
      <c r="D1154" t="inlineStr">
        <is>
          <t>JÄMTLANDS LÄN</t>
        </is>
      </c>
      <c r="E1154" t="inlineStr">
        <is>
          <t>BERG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34891-2024</t>
        </is>
      </c>
      <c r="B1155" s="1" t="n">
        <v>45527</v>
      </c>
      <c r="C1155" s="1" t="n">
        <v>45849</v>
      </c>
      <c r="D1155" t="inlineStr">
        <is>
          <t>JÄMTLANDS LÄN</t>
        </is>
      </c>
      <c r="E1155" t="inlineStr">
        <is>
          <t>BERG</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35792-2024</t>
        </is>
      </c>
      <c r="B1156" s="1" t="n">
        <v>45532</v>
      </c>
      <c r="C1156" s="1" t="n">
        <v>45849</v>
      </c>
      <c r="D1156" t="inlineStr">
        <is>
          <t>JÄMTLANDS LÄN</t>
        </is>
      </c>
      <c r="E1156" t="inlineStr">
        <is>
          <t>BERG</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35869-2024</t>
        </is>
      </c>
      <c r="B1157" s="1" t="n">
        <v>45533</v>
      </c>
      <c r="C1157" s="1" t="n">
        <v>45849</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35913-2024</t>
        </is>
      </c>
      <c r="B1158" s="1" t="n">
        <v>45533</v>
      </c>
      <c r="C1158" s="1" t="n">
        <v>45849</v>
      </c>
      <c r="D1158" t="inlineStr">
        <is>
          <t>JÄMTLANDS LÄN</t>
        </is>
      </c>
      <c r="E1158" t="inlineStr">
        <is>
          <t>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35921-2024</t>
        </is>
      </c>
      <c r="B1159" s="1" t="n">
        <v>45533</v>
      </c>
      <c r="C1159" s="1" t="n">
        <v>45849</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35883-2024</t>
        </is>
      </c>
      <c r="B1160" s="1" t="n">
        <v>45533</v>
      </c>
      <c r="C1160" s="1" t="n">
        <v>45849</v>
      </c>
      <c r="D1160" t="inlineStr">
        <is>
          <t>JÄMTLANDS LÄN</t>
        </is>
      </c>
      <c r="E1160" t="inlineStr">
        <is>
          <t>BERG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35866-2024</t>
        </is>
      </c>
      <c r="B1161" s="1" t="n">
        <v>45533</v>
      </c>
      <c r="C1161" s="1" t="n">
        <v>45849</v>
      </c>
      <c r="D1161" t="inlineStr">
        <is>
          <t>JÄMTLANDS LÄN</t>
        </is>
      </c>
      <c r="E1161" t="inlineStr">
        <is>
          <t>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35870-2024</t>
        </is>
      </c>
      <c r="B1162" s="1" t="n">
        <v>45533</v>
      </c>
      <c r="C1162" s="1" t="n">
        <v>45849</v>
      </c>
      <c r="D1162" t="inlineStr">
        <is>
          <t>JÄMTLANDS LÄN</t>
        </is>
      </c>
      <c r="E1162" t="inlineStr">
        <is>
          <t>BERG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35874-2024</t>
        </is>
      </c>
      <c r="B1163" s="1" t="n">
        <v>45533</v>
      </c>
      <c r="C1163" s="1" t="n">
        <v>45849</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35911-2024</t>
        </is>
      </c>
      <c r="B1164" s="1" t="n">
        <v>45533</v>
      </c>
      <c r="C1164" s="1" t="n">
        <v>45849</v>
      </c>
      <c r="D1164" t="inlineStr">
        <is>
          <t>JÄMTLANDS LÄN</t>
        </is>
      </c>
      <c r="E1164" t="inlineStr">
        <is>
          <t>BERG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35915-2024</t>
        </is>
      </c>
      <c r="B1165" s="1" t="n">
        <v>45533</v>
      </c>
      <c r="C1165" s="1" t="n">
        <v>45849</v>
      </c>
      <c r="D1165" t="inlineStr">
        <is>
          <t>JÄMTLANDS LÄN</t>
        </is>
      </c>
      <c r="E1165" t="inlineStr">
        <is>
          <t>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35919-2024</t>
        </is>
      </c>
      <c r="B1166" s="1" t="n">
        <v>45533</v>
      </c>
      <c r="C1166" s="1" t="n">
        <v>45849</v>
      </c>
      <c r="D1166" t="inlineStr">
        <is>
          <t>JÄMTLANDS LÄN</t>
        </is>
      </c>
      <c r="E1166" t="inlineStr">
        <is>
          <t>BERG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36079-2024</t>
        </is>
      </c>
      <c r="B1167" s="1" t="n">
        <v>45533</v>
      </c>
      <c r="C1167" s="1" t="n">
        <v>45849</v>
      </c>
      <c r="D1167" t="inlineStr">
        <is>
          <t>JÄMTLANDS LÄN</t>
        </is>
      </c>
      <c r="E1167" t="inlineStr">
        <is>
          <t>BERG</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36287-2024</t>
        </is>
      </c>
      <c r="B1168" s="1" t="n">
        <v>45534</v>
      </c>
      <c r="C1168" s="1" t="n">
        <v>45849</v>
      </c>
      <c r="D1168" t="inlineStr">
        <is>
          <t>JÄMTLANDS LÄN</t>
        </is>
      </c>
      <c r="E1168" t="inlineStr">
        <is>
          <t>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36336-2024</t>
        </is>
      </c>
      <c r="B1169" s="1" t="n">
        <v>45534</v>
      </c>
      <c r="C1169" s="1" t="n">
        <v>45849</v>
      </c>
      <c r="D1169" t="inlineStr">
        <is>
          <t>JÄMTLANDS LÄN</t>
        </is>
      </c>
      <c r="E1169" t="inlineStr">
        <is>
          <t>BERG</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36192-2024</t>
        </is>
      </c>
      <c r="B1170" s="1" t="n">
        <v>45534</v>
      </c>
      <c r="C1170" s="1" t="n">
        <v>45849</v>
      </c>
      <c r="D1170" t="inlineStr">
        <is>
          <t>JÄMTLANDS LÄN</t>
        </is>
      </c>
      <c r="E1170" t="inlineStr">
        <is>
          <t>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36673-2024</t>
        </is>
      </c>
      <c r="B1171" s="1" t="n">
        <v>45537</v>
      </c>
      <c r="C1171" s="1" t="n">
        <v>45849</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37096-2024</t>
        </is>
      </c>
      <c r="B1172" s="1" t="n">
        <v>45539</v>
      </c>
      <c r="C1172" s="1" t="n">
        <v>45849</v>
      </c>
      <c r="D1172" t="inlineStr">
        <is>
          <t>JÄMTLANDS LÄN</t>
        </is>
      </c>
      <c r="E1172" t="inlineStr">
        <is>
          <t>BERG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37086-2024</t>
        </is>
      </c>
      <c r="B1173" s="1" t="n">
        <v>45539</v>
      </c>
      <c r="C1173" s="1" t="n">
        <v>45849</v>
      </c>
      <c r="D1173" t="inlineStr">
        <is>
          <t>JÄMTLANDS LÄN</t>
        </is>
      </c>
      <c r="E1173" t="inlineStr">
        <is>
          <t>BERG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37098-2024</t>
        </is>
      </c>
      <c r="B1174" s="1" t="n">
        <v>45539</v>
      </c>
      <c r="C1174" s="1" t="n">
        <v>45849</v>
      </c>
      <c r="D1174" t="inlineStr">
        <is>
          <t>JÄMTLANDS LÄN</t>
        </is>
      </c>
      <c r="E1174" t="inlineStr">
        <is>
          <t>BERG</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37089-2024</t>
        </is>
      </c>
      <c r="B1175" s="1" t="n">
        <v>45539</v>
      </c>
      <c r="C1175" s="1" t="n">
        <v>45849</v>
      </c>
      <c r="D1175" t="inlineStr">
        <is>
          <t>JÄMTLANDS LÄN</t>
        </is>
      </c>
      <c r="E1175" t="inlineStr">
        <is>
          <t>BERG</t>
        </is>
      </c>
      <c r="F1175" t="inlineStr">
        <is>
          <t>Övriga Aktiebolag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37093-2024</t>
        </is>
      </c>
      <c r="B1176" s="1" t="n">
        <v>45539</v>
      </c>
      <c r="C1176" s="1" t="n">
        <v>45849</v>
      </c>
      <c r="D1176" t="inlineStr">
        <is>
          <t>JÄMTLANDS LÄN</t>
        </is>
      </c>
      <c r="E1176" t="inlineStr">
        <is>
          <t>BERG</t>
        </is>
      </c>
      <c r="F1176" t="inlineStr">
        <is>
          <t>Övriga Aktiebolag</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37097-2024</t>
        </is>
      </c>
      <c r="B1177" s="1" t="n">
        <v>45539</v>
      </c>
      <c r="C1177" s="1" t="n">
        <v>45849</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37101-2024</t>
        </is>
      </c>
      <c r="B1178" s="1" t="n">
        <v>45539</v>
      </c>
      <c r="C1178" s="1" t="n">
        <v>45849</v>
      </c>
      <c r="D1178" t="inlineStr">
        <is>
          <t>JÄMTLANDS LÄN</t>
        </is>
      </c>
      <c r="E1178" t="inlineStr">
        <is>
          <t>BERG</t>
        </is>
      </c>
      <c r="F1178" t="inlineStr">
        <is>
          <t>Övriga Aktiebolag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37095-2024</t>
        </is>
      </c>
      <c r="B1179" s="1" t="n">
        <v>45539</v>
      </c>
      <c r="C1179" s="1" t="n">
        <v>45849</v>
      </c>
      <c r="D1179" t="inlineStr">
        <is>
          <t>JÄMTLANDS LÄN</t>
        </is>
      </c>
      <c r="E1179" t="inlineStr">
        <is>
          <t>BERG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37091-2024</t>
        </is>
      </c>
      <c r="B1180" s="1" t="n">
        <v>45539</v>
      </c>
      <c r="C1180" s="1" t="n">
        <v>45849</v>
      </c>
      <c r="D1180" t="inlineStr">
        <is>
          <t>JÄMTLANDS LÄN</t>
        </is>
      </c>
      <c r="E1180" t="inlineStr">
        <is>
          <t>BERG</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37087-2024</t>
        </is>
      </c>
      <c r="B1181" s="1" t="n">
        <v>45539</v>
      </c>
      <c r="C1181" s="1" t="n">
        <v>45849</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38834-2024</t>
        </is>
      </c>
      <c r="B1182" s="1" t="n">
        <v>45547</v>
      </c>
      <c r="C1182" s="1" t="n">
        <v>45849</v>
      </c>
      <c r="D1182" t="inlineStr">
        <is>
          <t>JÄMTLANDS LÄN</t>
        </is>
      </c>
      <c r="E1182" t="inlineStr">
        <is>
          <t>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38962-2024</t>
        </is>
      </c>
      <c r="B1183" s="1" t="n">
        <v>45548</v>
      </c>
      <c r="C1183" s="1" t="n">
        <v>45849</v>
      </c>
      <c r="D1183" t="inlineStr">
        <is>
          <t>JÄMTLANDS LÄN</t>
        </is>
      </c>
      <c r="E1183" t="inlineStr">
        <is>
          <t>BERG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39102-2024</t>
        </is>
      </c>
      <c r="B1184" s="1" t="n">
        <v>45548</v>
      </c>
      <c r="C1184" s="1" t="n">
        <v>45849</v>
      </c>
      <c r="D1184" t="inlineStr">
        <is>
          <t>JÄMTLANDS LÄN</t>
        </is>
      </c>
      <c r="E1184" t="inlineStr">
        <is>
          <t>BERG</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39103-2024</t>
        </is>
      </c>
      <c r="B1185" s="1" t="n">
        <v>45548</v>
      </c>
      <c r="C1185" s="1" t="n">
        <v>45849</v>
      </c>
      <c r="D1185" t="inlineStr">
        <is>
          <t>JÄMTLANDS LÄN</t>
        </is>
      </c>
      <c r="E1185" t="inlineStr">
        <is>
          <t>BERG</t>
        </is>
      </c>
      <c r="G1185" t="n">
        <v>38.4</v>
      </c>
      <c r="H1185" t="n">
        <v>0</v>
      </c>
      <c r="I1185" t="n">
        <v>0</v>
      </c>
      <c r="J1185" t="n">
        <v>0</v>
      </c>
      <c r="K1185" t="n">
        <v>0</v>
      </c>
      <c r="L1185" t="n">
        <v>0</v>
      </c>
      <c r="M1185" t="n">
        <v>0</v>
      </c>
      <c r="N1185" t="n">
        <v>0</v>
      </c>
      <c r="O1185" t="n">
        <v>0</v>
      </c>
      <c r="P1185" t="n">
        <v>0</v>
      </c>
      <c r="Q1185" t="n">
        <v>0</v>
      </c>
      <c r="R1185" s="2" t="inlineStr"/>
    </row>
    <row r="1186" ht="15" customHeight="1">
      <c r="A1186" t="inlineStr">
        <is>
          <t>A 39186-2024</t>
        </is>
      </c>
      <c r="B1186" s="1" t="n">
        <v>45548</v>
      </c>
      <c r="C1186" s="1" t="n">
        <v>45849</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39225-2024</t>
        </is>
      </c>
      <c r="B1187" s="1" t="n">
        <v>45550</v>
      </c>
      <c r="C1187" s="1" t="n">
        <v>45849</v>
      </c>
      <c r="D1187" t="inlineStr">
        <is>
          <t>JÄMTLANDS LÄN</t>
        </is>
      </c>
      <c r="E1187" t="inlineStr">
        <is>
          <t>BERG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39224-2024</t>
        </is>
      </c>
      <c r="B1188" s="1" t="n">
        <v>45550</v>
      </c>
      <c r="C1188" s="1" t="n">
        <v>45849</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39269-2024</t>
        </is>
      </c>
      <c r="B1189" s="1" t="n">
        <v>45551</v>
      </c>
      <c r="C1189" s="1" t="n">
        <v>45849</v>
      </c>
      <c r="D1189" t="inlineStr">
        <is>
          <t>JÄMTLANDS LÄN</t>
        </is>
      </c>
      <c r="E1189" t="inlineStr">
        <is>
          <t>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39586-2024</t>
        </is>
      </c>
      <c r="B1190" s="1" t="n">
        <v>45552</v>
      </c>
      <c r="C1190" s="1" t="n">
        <v>45849</v>
      </c>
      <c r="D1190" t="inlineStr">
        <is>
          <t>JÄMTLANDS LÄN</t>
        </is>
      </c>
      <c r="E1190" t="inlineStr">
        <is>
          <t>BERG</t>
        </is>
      </c>
      <c r="F1190" t="inlineStr">
        <is>
          <t>Övriga Aktiebolag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39785-2024</t>
        </is>
      </c>
      <c r="B1191" s="1" t="n">
        <v>45553</v>
      </c>
      <c r="C1191" s="1" t="n">
        <v>45849</v>
      </c>
      <c r="D1191" t="inlineStr">
        <is>
          <t>JÄMTLANDS LÄN</t>
        </is>
      </c>
      <c r="E1191" t="inlineStr">
        <is>
          <t>BERG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39993-2024</t>
        </is>
      </c>
      <c r="B1192" s="1" t="n">
        <v>45553</v>
      </c>
      <c r="C1192" s="1" t="n">
        <v>45849</v>
      </c>
      <c r="D1192" t="inlineStr">
        <is>
          <t>JÄMTLANDS LÄN</t>
        </is>
      </c>
      <c r="E1192" t="inlineStr">
        <is>
          <t>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40433-2024</t>
        </is>
      </c>
      <c r="B1193" s="1" t="n">
        <v>45555</v>
      </c>
      <c r="C1193" s="1" t="n">
        <v>45849</v>
      </c>
      <c r="D1193" t="inlineStr">
        <is>
          <t>JÄMTLANDS LÄN</t>
        </is>
      </c>
      <c r="E1193" t="inlineStr">
        <is>
          <t>BERG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40382-2024</t>
        </is>
      </c>
      <c r="B1194" s="1" t="n">
        <v>45555</v>
      </c>
      <c r="C1194" s="1" t="n">
        <v>45849</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40710-2024</t>
        </is>
      </c>
      <c r="B1195" s="1" t="n">
        <v>45558</v>
      </c>
      <c r="C1195" s="1" t="n">
        <v>45849</v>
      </c>
      <c r="D1195" t="inlineStr">
        <is>
          <t>JÄMTLANDS LÄN</t>
        </is>
      </c>
      <c r="E1195" t="inlineStr">
        <is>
          <t>BERG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41636-2024</t>
        </is>
      </c>
      <c r="B1196" s="1" t="n">
        <v>45560</v>
      </c>
      <c r="C1196" s="1" t="n">
        <v>45849</v>
      </c>
      <c r="D1196" t="inlineStr">
        <is>
          <t>JÄMTLANDS LÄN</t>
        </is>
      </c>
      <c r="E1196" t="inlineStr">
        <is>
          <t>BERG</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41638-2024</t>
        </is>
      </c>
      <c r="B1197" s="1" t="n">
        <v>45560</v>
      </c>
      <c r="C1197" s="1" t="n">
        <v>45849</v>
      </c>
      <c r="D1197" t="inlineStr">
        <is>
          <t>JÄMTLANDS LÄN</t>
        </is>
      </c>
      <c r="E1197" t="inlineStr">
        <is>
          <t>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41634-2024</t>
        </is>
      </c>
      <c r="B1198" s="1" t="n">
        <v>45560</v>
      </c>
      <c r="C1198" s="1" t="n">
        <v>45849</v>
      </c>
      <c r="D1198" t="inlineStr">
        <is>
          <t>JÄMTLANDS LÄN</t>
        </is>
      </c>
      <c r="E1198" t="inlineStr">
        <is>
          <t>BERG</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41868-2024</t>
        </is>
      </c>
      <c r="B1199" s="1" t="n">
        <v>45561</v>
      </c>
      <c r="C1199" s="1" t="n">
        <v>45849</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41875-2024</t>
        </is>
      </c>
      <c r="B1200" s="1" t="n">
        <v>45561</v>
      </c>
      <c r="C1200" s="1" t="n">
        <v>45849</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41866-2024</t>
        </is>
      </c>
      <c r="B1201" s="1" t="n">
        <v>45561</v>
      </c>
      <c r="C1201" s="1" t="n">
        <v>45849</v>
      </c>
      <c r="D1201" t="inlineStr">
        <is>
          <t>JÄMTLANDS LÄN</t>
        </is>
      </c>
      <c r="E1201" t="inlineStr">
        <is>
          <t>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41886-2024</t>
        </is>
      </c>
      <c r="B1202" s="1" t="n">
        <v>45561</v>
      </c>
      <c r="C1202" s="1" t="n">
        <v>45849</v>
      </c>
      <c r="D1202" t="inlineStr">
        <is>
          <t>JÄMTLANDS LÄN</t>
        </is>
      </c>
      <c r="E1202" t="inlineStr">
        <is>
          <t>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42140-2024</t>
        </is>
      </c>
      <c r="B1203" s="1" t="n">
        <v>45562</v>
      </c>
      <c r="C1203" s="1" t="n">
        <v>45849</v>
      </c>
      <c r="D1203" t="inlineStr">
        <is>
          <t>JÄMTLANDS LÄN</t>
        </is>
      </c>
      <c r="E1203" t="inlineStr">
        <is>
          <t>BERG</t>
        </is>
      </c>
      <c r="F1203" t="inlineStr">
        <is>
          <t>SCA</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42365-2024</t>
        </is>
      </c>
      <c r="B1204" s="1" t="n">
        <v>45563</v>
      </c>
      <c r="C1204" s="1" t="n">
        <v>45849</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43279-2024</t>
        </is>
      </c>
      <c r="B1205" s="1" t="n">
        <v>45568</v>
      </c>
      <c r="C1205" s="1" t="n">
        <v>45849</v>
      </c>
      <c r="D1205" t="inlineStr">
        <is>
          <t>JÄMTLANDS LÄN</t>
        </is>
      </c>
      <c r="E1205" t="inlineStr">
        <is>
          <t>BERG</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43616-2024</t>
        </is>
      </c>
      <c r="B1206" s="1" t="n">
        <v>45569</v>
      </c>
      <c r="C1206" s="1" t="n">
        <v>45849</v>
      </c>
      <c r="D1206" t="inlineStr">
        <is>
          <t>JÄMTLANDS LÄN</t>
        </is>
      </c>
      <c r="E1206" t="inlineStr">
        <is>
          <t>BERG</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44008-2024</t>
        </is>
      </c>
      <c r="B1207" s="1" t="n">
        <v>45572</v>
      </c>
      <c r="C1207" s="1" t="n">
        <v>45849</v>
      </c>
      <c r="D1207" t="inlineStr">
        <is>
          <t>JÄMTLANDS LÄN</t>
        </is>
      </c>
      <c r="E1207" t="inlineStr">
        <is>
          <t>BERG</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44437-2024</t>
        </is>
      </c>
      <c r="B1208" s="1" t="n">
        <v>45573</v>
      </c>
      <c r="C1208" s="1" t="n">
        <v>45849</v>
      </c>
      <c r="D1208" t="inlineStr">
        <is>
          <t>JÄMTLANDS LÄN</t>
        </is>
      </c>
      <c r="E1208" t="inlineStr">
        <is>
          <t>BERG</t>
        </is>
      </c>
      <c r="G1208" t="n">
        <v>29.4</v>
      </c>
      <c r="H1208" t="n">
        <v>0</v>
      </c>
      <c r="I1208" t="n">
        <v>0</v>
      </c>
      <c r="J1208" t="n">
        <v>0</v>
      </c>
      <c r="K1208" t="n">
        <v>0</v>
      </c>
      <c r="L1208" t="n">
        <v>0</v>
      </c>
      <c r="M1208" t="n">
        <v>0</v>
      </c>
      <c r="N1208" t="n">
        <v>0</v>
      </c>
      <c r="O1208" t="n">
        <v>0</v>
      </c>
      <c r="P1208" t="n">
        <v>0</v>
      </c>
      <c r="Q1208" t="n">
        <v>0</v>
      </c>
      <c r="R1208" s="2" t="inlineStr"/>
    </row>
    <row r="1209" ht="15" customHeight="1">
      <c r="A1209" t="inlineStr">
        <is>
          <t>A 44270-2024</t>
        </is>
      </c>
      <c r="B1209" s="1" t="n">
        <v>45573</v>
      </c>
      <c r="C1209" s="1" t="n">
        <v>45849</v>
      </c>
      <c r="D1209" t="inlineStr">
        <is>
          <t>JÄMTLANDS LÄN</t>
        </is>
      </c>
      <c r="E1209" t="inlineStr">
        <is>
          <t>BERG</t>
        </is>
      </c>
      <c r="G1209" t="n">
        <v>25.9</v>
      </c>
      <c r="H1209" t="n">
        <v>0</v>
      </c>
      <c r="I1209" t="n">
        <v>0</v>
      </c>
      <c r="J1209" t="n">
        <v>0</v>
      </c>
      <c r="K1209" t="n">
        <v>0</v>
      </c>
      <c r="L1209" t="n">
        <v>0</v>
      </c>
      <c r="M1209" t="n">
        <v>0</v>
      </c>
      <c r="N1209" t="n">
        <v>0</v>
      </c>
      <c r="O1209" t="n">
        <v>0</v>
      </c>
      <c r="P1209" t="n">
        <v>0</v>
      </c>
      <c r="Q1209" t="n">
        <v>0</v>
      </c>
      <c r="R1209" s="2" t="inlineStr"/>
    </row>
    <row r="1210" ht="15" customHeight="1">
      <c r="A1210" t="inlineStr">
        <is>
          <t>A 45168-2024</t>
        </is>
      </c>
      <c r="B1210" s="1" t="n">
        <v>45575</v>
      </c>
      <c r="C1210" s="1" t="n">
        <v>45849</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45206-2024</t>
        </is>
      </c>
      <c r="B1211" s="1" t="n">
        <v>45575</v>
      </c>
      <c r="C1211" s="1" t="n">
        <v>45849</v>
      </c>
      <c r="D1211" t="inlineStr">
        <is>
          <t>JÄMTLANDS LÄN</t>
        </is>
      </c>
      <c r="E1211" t="inlineStr">
        <is>
          <t>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45208-2024</t>
        </is>
      </c>
      <c r="B1212" s="1" t="n">
        <v>45575</v>
      </c>
      <c r="C1212" s="1" t="n">
        <v>45849</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45036-2024</t>
        </is>
      </c>
      <c r="B1213" s="1" t="n">
        <v>45575</v>
      </c>
      <c r="C1213" s="1" t="n">
        <v>45849</v>
      </c>
      <c r="D1213" t="inlineStr">
        <is>
          <t>JÄMTLANDS LÄN</t>
        </is>
      </c>
      <c r="E1213" t="inlineStr">
        <is>
          <t>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45703-2024</t>
        </is>
      </c>
      <c r="B1214" s="1" t="n">
        <v>45579</v>
      </c>
      <c r="C1214" s="1" t="n">
        <v>45849</v>
      </c>
      <c r="D1214" t="inlineStr">
        <is>
          <t>JÄMTLANDS LÄN</t>
        </is>
      </c>
      <c r="E1214" t="inlineStr">
        <is>
          <t>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45793-2024</t>
        </is>
      </c>
      <c r="B1215" s="1" t="n">
        <v>45579</v>
      </c>
      <c r="C1215" s="1" t="n">
        <v>45849</v>
      </c>
      <c r="D1215" t="inlineStr">
        <is>
          <t>JÄMTLANDS LÄN</t>
        </is>
      </c>
      <c r="E1215" t="inlineStr">
        <is>
          <t>BERG</t>
        </is>
      </c>
      <c r="F1215" t="inlineStr">
        <is>
          <t>Kyrkan</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45824-2024</t>
        </is>
      </c>
      <c r="B1216" s="1" t="n">
        <v>45579</v>
      </c>
      <c r="C1216" s="1" t="n">
        <v>45849</v>
      </c>
      <c r="D1216" t="inlineStr">
        <is>
          <t>JÄMTLANDS LÄN</t>
        </is>
      </c>
      <c r="E1216" t="inlineStr">
        <is>
          <t>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46019-2024</t>
        </is>
      </c>
      <c r="B1217" s="1" t="n">
        <v>45580</v>
      </c>
      <c r="C1217" s="1" t="n">
        <v>45849</v>
      </c>
      <c r="D1217" t="inlineStr">
        <is>
          <t>JÄMTLANDS LÄN</t>
        </is>
      </c>
      <c r="E1217" t="inlineStr">
        <is>
          <t>BERG</t>
        </is>
      </c>
      <c r="F1217" t="inlineStr">
        <is>
          <t>Kyrkan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46243-2024</t>
        </is>
      </c>
      <c r="B1218" s="1" t="n">
        <v>45581</v>
      </c>
      <c r="C1218" s="1" t="n">
        <v>45849</v>
      </c>
      <c r="D1218" t="inlineStr">
        <is>
          <t>JÄMTLANDS LÄN</t>
        </is>
      </c>
      <c r="E1218" t="inlineStr">
        <is>
          <t>BERG</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46298-2024</t>
        </is>
      </c>
      <c r="B1219" s="1" t="n">
        <v>45581</v>
      </c>
      <c r="C1219" s="1" t="n">
        <v>45849</v>
      </c>
      <c r="D1219" t="inlineStr">
        <is>
          <t>JÄMTLANDS LÄN</t>
        </is>
      </c>
      <c r="E1219" t="inlineStr">
        <is>
          <t>BERG</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46246-2024</t>
        </is>
      </c>
      <c r="B1220" s="1" t="n">
        <v>45581</v>
      </c>
      <c r="C1220" s="1" t="n">
        <v>45849</v>
      </c>
      <c r="D1220" t="inlineStr">
        <is>
          <t>JÄMTLANDS LÄN</t>
        </is>
      </c>
      <c r="E1220" t="inlineStr">
        <is>
          <t>BERG</t>
        </is>
      </c>
      <c r="F1220" t="inlineStr">
        <is>
          <t>Övriga Aktiebolag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46478-2024</t>
        </is>
      </c>
      <c r="B1221" s="1" t="n">
        <v>45582</v>
      </c>
      <c r="C1221" s="1" t="n">
        <v>45849</v>
      </c>
      <c r="D1221" t="inlineStr">
        <is>
          <t>JÄMTLANDS LÄN</t>
        </is>
      </c>
      <c r="E1221" t="inlineStr">
        <is>
          <t>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46366-2024</t>
        </is>
      </c>
      <c r="B1222" s="1" t="n">
        <v>45582</v>
      </c>
      <c r="C1222" s="1" t="n">
        <v>45849</v>
      </c>
      <c r="D1222" t="inlineStr">
        <is>
          <t>JÄMTLANDS LÄN</t>
        </is>
      </c>
      <c r="E1222" t="inlineStr">
        <is>
          <t>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46902-2024</t>
        </is>
      </c>
      <c r="B1223" s="1" t="n">
        <v>45583</v>
      </c>
      <c r="C1223" s="1" t="n">
        <v>45849</v>
      </c>
      <c r="D1223" t="inlineStr">
        <is>
          <t>JÄMTLANDS LÄN</t>
        </is>
      </c>
      <c r="E1223" t="inlineStr">
        <is>
          <t>BERG</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47201-2024</t>
        </is>
      </c>
      <c r="B1224" s="1" t="n">
        <v>45586</v>
      </c>
      <c r="C1224" s="1" t="n">
        <v>45849</v>
      </c>
      <c r="D1224" t="inlineStr">
        <is>
          <t>JÄMTLANDS LÄN</t>
        </is>
      </c>
      <c r="E1224" t="inlineStr">
        <is>
          <t>BERG</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47119-2024</t>
        </is>
      </c>
      <c r="B1225" s="1" t="n">
        <v>45586</v>
      </c>
      <c r="C1225" s="1" t="n">
        <v>45849</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47099-2024</t>
        </is>
      </c>
      <c r="B1226" s="1" t="n">
        <v>45586</v>
      </c>
      <c r="C1226" s="1" t="n">
        <v>45849</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47083-2024</t>
        </is>
      </c>
      <c r="B1227" s="1" t="n">
        <v>45586</v>
      </c>
      <c r="C1227" s="1" t="n">
        <v>45849</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47049-2024</t>
        </is>
      </c>
      <c r="B1228" s="1" t="n">
        <v>45586</v>
      </c>
      <c r="C1228" s="1" t="n">
        <v>45849</v>
      </c>
      <c r="D1228" t="inlineStr">
        <is>
          <t>JÄMTLANDS LÄN</t>
        </is>
      </c>
      <c r="E1228" t="inlineStr">
        <is>
          <t>BERG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46991-2024</t>
        </is>
      </c>
      <c r="B1229" s="1" t="n">
        <v>45586</v>
      </c>
      <c r="C1229" s="1" t="n">
        <v>45849</v>
      </c>
      <c r="D1229" t="inlineStr">
        <is>
          <t>JÄMTLANDS LÄN</t>
        </is>
      </c>
      <c r="E1229" t="inlineStr">
        <is>
          <t>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47057-2024</t>
        </is>
      </c>
      <c r="B1230" s="1" t="n">
        <v>45586</v>
      </c>
      <c r="C1230" s="1" t="n">
        <v>45849</v>
      </c>
      <c r="D1230" t="inlineStr">
        <is>
          <t>JÄMTLANDS LÄN</t>
        </is>
      </c>
      <c r="E1230" t="inlineStr">
        <is>
          <t>BERG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47577-2024</t>
        </is>
      </c>
      <c r="B1231" s="1" t="n">
        <v>45587</v>
      </c>
      <c r="C1231" s="1" t="n">
        <v>45849</v>
      </c>
      <c r="D1231" t="inlineStr">
        <is>
          <t>JÄMTLANDS LÄN</t>
        </is>
      </c>
      <c r="E1231" t="inlineStr">
        <is>
          <t>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47407-2024</t>
        </is>
      </c>
      <c r="B1232" s="1" t="n">
        <v>45587</v>
      </c>
      <c r="C1232" s="1" t="n">
        <v>45849</v>
      </c>
      <c r="D1232" t="inlineStr">
        <is>
          <t>JÄMTLANDS LÄN</t>
        </is>
      </c>
      <c r="E1232" t="inlineStr">
        <is>
          <t>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47674-2024</t>
        </is>
      </c>
      <c r="B1233" s="1" t="n">
        <v>45588</v>
      </c>
      <c r="C1233" s="1" t="n">
        <v>45849</v>
      </c>
      <c r="D1233" t="inlineStr">
        <is>
          <t>JÄMTLANDS LÄN</t>
        </is>
      </c>
      <c r="E1233" t="inlineStr">
        <is>
          <t>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48136-2024</t>
        </is>
      </c>
      <c r="B1234" s="1" t="n">
        <v>45589</v>
      </c>
      <c r="C1234" s="1" t="n">
        <v>45849</v>
      </c>
      <c r="D1234" t="inlineStr">
        <is>
          <t>JÄMTLANDS LÄN</t>
        </is>
      </c>
      <c r="E1234" t="inlineStr">
        <is>
          <t>BERG</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48307-2024</t>
        </is>
      </c>
      <c r="B1235" s="1" t="n">
        <v>45590</v>
      </c>
      <c r="C1235" s="1" t="n">
        <v>45849</v>
      </c>
      <c r="D1235" t="inlineStr">
        <is>
          <t>JÄMTLANDS LÄN</t>
        </is>
      </c>
      <c r="E1235" t="inlineStr">
        <is>
          <t>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48706-2024</t>
        </is>
      </c>
      <c r="B1236" s="1" t="n">
        <v>45593</v>
      </c>
      <c r="C1236" s="1" t="n">
        <v>45849</v>
      </c>
      <c r="D1236" t="inlineStr">
        <is>
          <t>JÄMTLANDS LÄN</t>
        </is>
      </c>
      <c r="E1236" t="inlineStr">
        <is>
          <t>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49106-2024</t>
        </is>
      </c>
      <c r="B1237" s="1" t="n">
        <v>45594</v>
      </c>
      <c r="C1237" s="1" t="n">
        <v>45849</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49048-2024</t>
        </is>
      </c>
      <c r="B1238" s="1" t="n">
        <v>45594</v>
      </c>
      <c r="C1238" s="1" t="n">
        <v>45849</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49109-2024</t>
        </is>
      </c>
      <c r="B1239" s="1" t="n">
        <v>45594</v>
      </c>
      <c r="C1239" s="1" t="n">
        <v>45849</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48998-2024</t>
        </is>
      </c>
      <c r="B1240" s="1" t="n">
        <v>45594</v>
      </c>
      <c r="C1240" s="1" t="n">
        <v>45849</v>
      </c>
      <c r="D1240" t="inlineStr">
        <is>
          <t>JÄMTLANDS LÄN</t>
        </is>
      </c>
      <c r="E1240" t="inlineStr">
        <is>
          <t>BERG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49103-2024</t>
        </is>
      </c>
      <c r="B1241" s="1" t="n">
        <v>45594</v>
      </c>
      <c r="C1241" s="1" t="n">
        <v>45849</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49225-2024</t>
        </is>
      </c>
      <c r="B1242" s="1" t="n">
        <v>45595</v>
      </c>
      <c r="C1242" s="1" t="n">
        <v>45849</v>
      </c>
      <c r="D1242" t="inlineStr">
        <is>
          <t>JÄMTLANDS LÄN</t>
        </is>
      </c>
      <c r="E1242" t="inlineStr">
        <is>
          <t>BERG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49277-2024</t>
        </is>
      </c>
      <c r="B1243" s="1" t="n">
        <v>45595</v>
      </c>
      <c r="C1243" s="1" t="n">
        <v>45849</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49377-2024</t>
        </is>
      </c>
      <c r="B1244" s="1" t="n">
        <v>45595</v>
      </c>
      <c r="C1244" s="1" t="n">
        <v>45849</v>
      </c>
      <c r="D1244" t="inlineStr">
        <is>
          <t>JÄMTLANDS LÄN</t>
        </is>
      </c>
      <c r="E1244" t="inlineStr">
        <is>
          <t>BERG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49413-2024</t>
        </is>
      </c>
      <c r="B1245" s="1" t="n">
        <v>45595</v>
      </c>
      <c r="C1245" s="1" t="n">
        <v>45849</v>
      </c>
      <c r="D1245" t="inlineStr">
        <is>
          <t>JÄMTLANDS LÄN</t>
        </is>
      </c>
      <c r="E1245" t="inlineStr">
        <is>
          <t>BERG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49342-2024</t>
        </is>
      </c>
      <c r="B1246" s="1" t="n">
        <v>45595</v>
      </c>
      <c r="C1246" s="1" t="n">
        <v>45849</v>
      </c>
      <c r="D1246" t="inlineStr">
        <is>
          <t>JÄMTLANDS LÄN</t>
        </is>
      </c>
      <c r="E1246" t="inlineStr">
        <is>
          <t>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50313-2024</t>
        </is>
      </c>
      <c r="B1247" s="1" t="n">
        <v>45600</v>
      </c>
      <c r="C1247" s="1" t="n">
        <v>45849</v>
      </c>
      <c r="D1247" t="inlineStr">
        <is>
          <t>JÄMTLANDS LÄN</t>
        </is>
      </c>
      <c r="E1247" t="inlineStr">
        <is>
          <t>BERG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50315-2024</t>
        </is>
      </c>
      <c r="B1248" s="1" t="n">
        <v>45600</v>
      </c>
      <c r="C1248" s="1" t="n">
        <v>45849</v>
      </c>
      <c r="D1248" t="inlineStr">
        <is>
          <t>JÄMTLANDS LÄN</t>
        </is>
      </c>
      <c r="E1248" t="inlineStr">
        <is>
          <t>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51155-2024</t>
        </is>
      </c>
      <c r="B1249" s="1" t="n">
        <v>45603</v>
      </c>
      <c r="C1249" s="1" t="n">
        <v>45849</v>
      </c>
      <c r="D1249" t="inlineStr">
        <is>
          <t>JÄMTLANDS LÄN</t>
        </is>
      </c>
      <c r="E1249" t="inlineStr">
        <is>
          <t>BERG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51172-2024</t>
        </is>
      </c>
      <c r="B1250" s="1" t="n">
        <v>45603</v>
      </c>
      <c r="C1250" s="1" t="n">
        <v>45849</v>
      </c>
      <c r="D1250" t="inlineStr">
        <is>
          <t>JÄMTLANDS LÄN</t>
        </is>
      </c>
      <c r="E1250" t="inlineStr">
        <is>
          <t>BERG</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51039-2024</t>
        </is>
      </c>
      <c r="B1251" s="1" t="n">
        <v>45603</v>
      </c>
      <c r="C1251" s="1" t="n">
        <v>45849</v>
      </c>
      <c r="D1251" t="inlineStr">
        <is>
          <t>JÄMTLANDS LÄN</t>
        </is>
      </c>
      <c r="E1251" t="inlineStr">
        <is>
          <t>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51948-2024</t>
        </is>
      </c>
      <c r="B1252" s="1" t="n">
        <v>45607</v>
      </c>
      <c r="C1252" s="1" t="n">
        <v>45849</v>
      </c>
      <c r="D1252" t="inlineStr">
        <is>
          <t>JÄMTLANDS LÄN</t>
        </is>
      </c>
      <c r="E1252" t="inlineStr">
        <is>
          <t>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53085-2024</t>
        </is>
      </c>
      <c r="B1253" s="1" t="n">
        <v>45611</v>
      </c>
      <c r="C1253" s="1" t="n">
        <v>45849</v>
      </c>
      <c r="D1253" t="inlineStr">
        <is>
          <t>JÄMTLANDS LÄN</t>
        </is>
      </c>
      <c r="E1253" t="inlineStr">
        <is>
          <t>BERG</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53548-2024</t>
        </is>
      </c>
      <c r="B1254" s="1" t="n">
        <v>45614</v>
      </c>
      <c r="C1254" s="1" t="n">
        <v>45849</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53507-2024</t>
        </is>
      </c>
      <c r="B1255" s="1" t="n">
        <v>45614</v>
      </c>
      <c r="C1255" s="1" t="n">
        <v>45849</v>
      </c>
      <c r="D1255" t="inlineStr">
        <is>
          <t>JÄMTLANDS LÄN</t>
        </is>
      </c>
      <c r="E1255" t="inlineStr">
        <is>
          <t>BERG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53707-2024</t>
        </is>
      </c>
      <c r="B1256" s="1" t="n">
        <v>45615</v>
      </c>
      <c r="C1256" s="1" t="n">
        <v>45849</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54198-2024</t>
        </is>
      </c>
      <c r="B1257" s="1" t="n">
        <v>45616</v>
      </c>
      <c r="C1257" s="1" t="n">
        <v>45849</v>
      </c>
      <c r="D1257" t="inlineStr">
        <is>
          <t>JÄMTLANDS LÄN</t>
        </is>
      </c>
      <c r="E1257" t="inlineStr">
        <is>
          <t>BERG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54112-2024</t>
        </is>
      </c>
      <c r="B1258" s="1" t="n">
        <v>45616</v>
      </c>
      <c r="C1258" s="1" t="n">
        <v>45849</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54605-2024</t>
        </is>
      </c>
      <c r="B1259" s="1" t="n">
        <v>45617</v>
      </c>
      <c r="C1259" s="1" t="n">
        <v>45849</v>
      </c>
      <c r="D1259" t="inlineStr">
        <is>
          <t>JÄMTLANDS LÄN</t>
        </is>
      </c>
      <c r="E1259" t="inlineStr">
        <is>
          <t>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55659-2024</t>
        </is>
      </c>
      <c r="B1260" s="1" t="n">
        <v>45622</v>
      </c>
      <c r="C1260" s="1" t="n">
        <v>45849</v>
      </c>
      <c r="D1260" t="inlineStr">
        <is>
          <t>JÄMTLANDS LÄN</t>
        </is>
      </c>
      <c r="E1260" t="inlineStr">
        <is>
          <t>BERG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56043-2024</t>
        </is>
      </c>
      <c r="B1261" s="1" t="n">
        <v>45624</v>
      </c>
      <c r="C1261" s="1" t="n">
        <v>45849</v>
      </c>
      <c r="D1261" t="inlineStr">
        <is>
          <t>JÄMTLANDS LÄN</t>
        </is>
      </c>
      <c r="E1261" t="inlineStr">
        <is>
          <t>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56226-2024</t>
        </is>
      </c>
      <c r="B1262" s="1" t="n">
        <v>45624</v>
      </c>
      <c r="C1262" s="1" t="n">
        <v>45849</v>
      </c>
      <c r="D1262" t="inlineStr">
        <is>
          <t>JÄMTLANDS LÄN</t>
        </is>
      </c>
      <c r="E1262" t="inlineStr">
        <is>
          <t>BERG</t>
        </is>
      </c>
      <c r="F1262" t="inlineStr">
        <is>
          <t>SCA</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56420-2024</t>
        </is>
      </c>
      <c r="B1263" s="1" t="n">
        <v>45625</v>
      </c>
      <c r="C1263" s="1" t="n">
        <v>45849</v>
      </c>
      <c r="D1263" t="inlineStr">
        <is>
          <t>JÄMTLANDS LÄN</t>
        </is>
      </c>
      <c r="E1263" t="inlineStr">
        <is>
          <t>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56490-2024</t>
        </is>
      </c>
      <c r="B1264" s="1" t="n">
        <v>45625</v>
      </c>
      <c r="C1264" s="1" t="n">
        <v>45849</v>
      </c>
      <c r="D1264" t="inlineStr">
        <is>
          <t>JÄMTLANDS LÄN</t>
        </is>
      </c>
      <c r="E1264" t="inlineStr">
        <is>
          <t>BERG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57244-2024</t>
        </is>
      </c>
      <c r="B1265" s="1" t="n">
        <v>45628</v>
      </c>
      <c r="C1265" s="1" t="n">
        <v>45849</v>
      </c>
      <c r="D1265" t="inlineStr">
        <is>
          <t>JÄMTLANDS LÄN</t>
        </is>
      </c>
      <c r="E1265" t="inlineStr">
        <is>
          <t>BERG</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57124-2024</t>
        </is>
      </c>
      <c r="B1266" s="1" t="n">
        <v>45629</v>
      </c>
      <c r="C1266" s="1" t="n">
        <v>45849</v>
      </c>
      <c r="D1266" t="inlineStr">
        <is>
          <t>JÄMTLANDS LÄN</t>
        </is>
      </c>
      <c r="E1266" t="inlineStr">
        <is>
          <t>BERG</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57127-2024</t>
        </is>
      </c>
      <c r="B1267" s="1" t="n">
        <v>45629</v>
      </c>
      <c r="C1267" s="1" t="n">
        <v>45849</v>
      </c>
      <c r="D1267" t="inlineStr">
        <is>
          <t>JÄMTLANDS LÄN</t>
        </is>
      </c>
      <c r="E1267" t="inlineStr">
        <is>
          <t>BERG</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57734-2024</t>
        </is>
      </c>
      <c r="B1268" s="1" t="n">
        <v>45630</v>
      </c>
      <c r="C1268" s="1" t="n">
        <v>45849</v>
      </c>
      <c r="D1268" t="inlineStr">
        <is>
          <t>JÄMTLANDS LÄN</t>
        </is>
      </c>
      <c r="E1268" t="inlineStr">
        <is>
          <t>BERG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57660-2024</t>
        </is>
      </c>
      <c r="B1269" s="1" t="n">
        <v>45630</v>
      </c>
      <c r="C1269" s="1" t="n">
        <v>45849</v>
      </c>
      <c r="D1269" t="inlineStr">
        <is>
          <t>JÄMTLANDS LÄN</t>
        </is>
      </c>
      <c r="E1269" t="inlineStr">
        <is>
          <t>BERG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57661-2024</t>
        </is>
      </c>
      <c r="B1270" s="1" t="n">
        <v>45630</v>
      </c>
      <c r="C1270" s="1" t="n">
        <v>45849</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57669-2024</t>
        </is>
      </c>
      <c r="B1271" s="1" t="n">
        <v>45630</v>
      </c>
      <c r="C1271" s="1" t="n">
        <v>45849</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58073-2024</t>
        </is>
      </c>
      <c r="B1272" s="1" t="n">
        <v>45630</v>
      </c>
      <c r="C1272" s="1" t="n">
        <v>45849</v>
      </c>
      <c r="D1272" t="inlineStr">
        <is>
          <t>JÄMTLANDS LÄN</t>
        </is>
      </c>
      <c r="E1272" t="inlineStr">
        <is>
          <t>BERG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57905-2024</t>
        </is>
      </c>
      <c r="B1273" s="1" t="n">
        <v>45631</v>
      </c>
      <c r="C1273" s="1" t="n">
        <v>45849</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58176-2024</t>
        </is>
      </c>
      <c r="B1274" s="1" t="n">
        <v>45632</v>
      </c>
      <c r="C1274" s="1" t="n">
        <v>45849</v>
      </c>
      <c r="D1274" t="inlineStr">
        <is>
          <t>JÄMTLANDS LÄN</t>
        </is>
      </c>
      <c r="E1274" t="inlineStr">
        <is>
          <t>BERG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58878-2024</t>
        </is>
      </c>
      <c r="B1275" s="1" t="n">
        <v>45636</v>
      </c>
      <c r="C1275" s="1" t="n">
        <v>45849</v>
      </c>
      <c r="D1275" t="inlineStr">
        <is>
          <t>JÄMTLANDS LÄN</t>
        </is>
      </c>
      <c r="E1275" t="inlineStr">
        <is>
          <t>BERG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58803-2024</t>
        </is>
      </c>
      <c r="B1276" s="1" t="n">
        <v>45636</v>
      </c>
      <c r="C1276" s="1" t="n">
        <v>45849</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58817-2024</t>
        </is>
      </c>
      <c r="B1277" s="1" t="n">
        <v>45636</v>
      </c>
      <c r="C1277" s="1" t="n">
        <v>45849</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59498-2024</t>
        </is>
      </c>
      <c r="B1278" s="1" t="n">
        <v>45638</v>
      </c>
      <c r="C1278" s="1" t="n">
        <v>45849</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59521-2024</t>
        </is>
      </c>
      <c r="B1279" s="1" t="n">
        <v>45638</v>
      </c>
      <c r="C1279" s="1" t="n">
        <v>45849</v>
      </c>
      <c r="D1279" t="inlineStr">
        <is>
          <t>JÄMTLANDS LÄN</t>
        </is>
      </c>
      <c r="E1279" t="inlineStr">
        <is>
          <t>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59526-2024</t>
        </is>
      </c>
      <c r="B1280" s="1" t="n">
        <v>45638</v>
      </c>
      <c r="C1280" s="1" t="n">
        <v>45849</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59459-2024</t>
        </is>
      </c>
      <c r="B1281" s="1" t="n">
        <v>45638</v>
      </c>
      <c r="C1281" s="1" t="n">
        <v>45849</v>
      </c>
      <c r="D1281" t="inlineStr">
        <is>
          <t>JÄMTLANDS LÄN</t>
        </is>
      </c>
      <c r="E1281" t="inlineStr">
        <is>
          <t>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59524-2024</t>
        </is>
      </c>
      <c r="B1282" s="1" t="n">
        <v>45638</v>
      </c>
      <c r="C1282" s="1" t="n">
        <v>45849</v>
      </c>
      <c r="D1282" t="inlineStr">
        <is>
          <t>JÄMTLANDS LÄN</t>
        </is>
      </c>
      <c r="E1282" t="inlineStr">
        <is>
          <t>BERG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60176-2024</t>
        </is>
      </c>
      <c r="B1283" s="1" t="n">
        <v>45642</v>
      </c>
      <c r="C1283" s="1" t="n">
        <v>45849</v>
      </c>
      <c r="D1283" t="inlineStr">
        <is>
          <t>JÄMTLANDS LÄN</t>
        </is>
      </c>
      <c r="E1283" t="inlineStr">
        <is>
          <t>BERG</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60076-2024</t>
        </is>
      </c>
      <c r="B1284" s="1" t="n">
        <v>45642</v>
      </c>
      <c r="C1284" s="1" t="n">
        <v>45849</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59968-2024</t>
        </is>
      </c>
      <c r="B1285" s="1" t="n">
        <v>45642</v>
      </c>
      <c r="C1285" s="1" t="n">
        <v>45849</v>
      </c>
      <c r="D1285" t="inlineStr">
        <is>
          <t>JÄMTLANDS LÄN</t>
        </is>
      </c>
      <c r="E1285" t="inlineStr">
        <is>
          <t>BERG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60075-2024</t>
        </is>
      </c>
      <c r="B1286" s="1" t="n">
        <v>45642</v>
      </c>
      <c r="C1286" s="1" t="n">
        <v>45849</v>
      </c>
      <c r="D1286" t="inlineStr">
        <is>
          <t>JÄMTLANDS LÄN</t>
        </is>
      </c>
      <c r="E1286" t="inlineStr">
        <is>
          <t>BERG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61085-2024</t>
        </is>
      </c>
      <c r="B1287" s="1" t="n">
        <v>45645</v>
      </c>
      <c r="C1287" s="1" t="n">
        <v>45849</v>
      </c>
      <c r="D1287" t="inlineStr">
        <is>
          <t>JÄMTLANDS LÄN</t>
        </is>
      </c>
      <c r="E1287" t="inlineStr">
        <is>
          <t>BERG</t>
        </is>
      </c>
      <c r="F1287" t="inlineStr">
        <is>
          <t>SCA</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61652-2024</t>
        </is>
      </c>
      <c r="B1288" s="1" t="n">
        <v>45646</v>
      </c>
      <c r="C1288" s="1" t="n">
        <v>45849</v>
      </c>
      <c r="D1288" t="inlineStr">
        <is>
          <t>JÄMTLANDS LÄN</t>
        </is>
      </c>
      <c r="E1288" t="inlineStr">
        <is>
          <t>BERG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61980-2024</t>
        </is>
      </c>
      <c r="B1289" s="1" t="n">
        <v>45653</v>
      </c>
      <c r="C1289" s="1" t="n">
        <v>45849</v>
      </c>
      <c r="D1289" t="inlineStr">
        <is>
          <t>JÄMTLANDS LÄN</t>
        </is>
      </c>
      <c r="E1289" t="inlineStr">
        <is>
          <t>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161-2025</t>
        </is>
      </c>
      <c r="B1290" s="1" t="n">
        <v>45659</v>
      </c>
      <c r="C1290" s="1" t="n">
        <v>45849</v>
      </c>
      <c r="D1290" t="inlineStr">
        <is>
          <t>JÄMTLANDS LÄN</t>
        </is>
      </c>
      <c r="E1290" t="inlineStr">
        <is>
          <t>BERG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70-2025</t>
        </is>
      </c>
      <c r="B1291" s="1" t="n">
        <v>45659</v>
      </c>
      <c r="C1291" s="1" t="n">
        <v>45849</v>
      </c>
      <c r="D1291" t="inlineStr">
        <is>
          <t>JÄMTLANDS LÄN</t>
        </is>
      </c>
      <c r="E1291" t="inlineStr">
        <is>
          <t>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169-2025</t>
        </is>
      </c>
      <c r="B1292" s="1" t="n">
        <v>45659</v>
      </c>
      <c r="C1292" s="1" t="n">
        <v>45849</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484-2025</t>
        </is>
      </c>
      <c r="B1293" s="1" t="n">
        <v>45664</v>
      </c>
      <c r="C1293" s="1" t="n">
        <v>45849</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511-2025</t>
        </is>
      </c>
      <c r="B1294" s="1" t="n">
        <v>45664</v>
      </c>
      <c r="C1294" s="1" t="n">
        <v>45849</v>
      </c>
      <c r="D1294" t="inlineStr">
        <is>
          <t>JÄMTLANDS LÄN</t>
        </is>
      </c>
      <c r="E1294" t="inlineStr">
        <is>
          <t>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1023-2025</t>
        </is>
      </c>
      <c r="B1295" s="1" t="n">
        <v>45666</v>
      </c>
      <c r="C1295" s="1" t="n">
        <v>45849</v>
      </c>
      <c r="D1295" t="inlineStr">
        <is>
          <t>JÄMTLANDS LÄN</t>
        </is>
      </c>
      <c r="E1295" t="inlineStr">
        <is>
          <t>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1178-2025</t>
        </is>
      </c>
      <c r="B1296" s="1" t="n">
        <v>45667</v>
      </c>
      <c r="C1296" s="1" t="n">
        <v>45849</v>
      </c>
      <c r="D1296" t="inlineStr">
        <is>
          <t>JÄMTLANDS LÄN</t>
        </is>
      </c>
      <c r="E1296" t="inlineStr">
        <is>
          <t>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1184-2025</t>
        </is>
      </c>
      <c r="B1297" s="1" t="n">
        <v>45667</v>
      </c>
      <c r="C1297" s="1" t="n">
        <v>45849</v>
      </c>
      <c r="D1297" t="inlineStr">
        <is>
          <t>JÄMTLANDS LÄN</t>
        </is>
      </c>
      <c r="E1297" t="inlineStr">
        <is>
          <t>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1499-2025</t>
        </is>
      </c>
      <c r="B1298" s="1" t="n">
        <v>45670</v>
      </c>
      <c r="C1298" s="1" t="n">
        <v>45849</v>
      </c>
      <c r="D1298" t="inlineStr">
        <is>
          <t>JÄMTLANDS LÄN</t>
        </is>
      </c>
      <c r="E1298" t="inlineStr">
        <is>
          <t>BERG</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1495-2025</t>
        </is>
      </c>
      <c r="B1299" s="1" t="n">
        <v>45670</v>
      </c>
      <c r="C1299" s="1" t="n">
        <v>45849</v>
      </c>
      <c r="D1299" t="inlineStr">
        <is>
          <t>JÄMTLANDS LÄN</t>
        </is>
      </c>
      <c r="E1299" t="inlineStr">
        <is>
          <t>BERG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1496-2025</t>
        </is>
      </c>
      <c r="B1300" s="1" t="n">
        <v>45670</v>
      </c>
      <c r="C1300" s="1" t="n">
        <v>45849</v>
      </c>
      <c r="D1300" t="inlineStr">
        <is>
          <t>JÄMTLANDS LÄN</t>
        </is>
      </c>
      <c r="E1300" t="inlineStr">
        <is>
          <t>BERG</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2005-2025</t>
        </is>
      </c>
      <c r="B1301" s="1" t="n">
        <v>45672</v>
      </c>
      <c r="C1301" s="1" t="n">
        <v>45849</v>
      </c>
      <c r="D1301" t="inlineStr">
        <is>
          <t>JÄMTLANDS LÄN</t>
        </is>
      </c>
      <c r="E1301" t="inlineStr">
        <is>
          <t>BERG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2012-2025</t>
        </is>
      </c>
      <c r="B1302" s="1" t="n">
        <v>45672</v>
      </c>
      <c r="C1302" s="1" t="n">
        <v>45849</v>
      </c>
      <c r="D1302" t="inlineStr">
        <is>
          <t>JÄMTLANDS LÄN</t>
        </is>
      </c>
      <c r="E1302" t="inlineStr">
        <is>
          <t>BERG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2247-2025</t>
        </is>
      </c>
      <c r="B1303" s="1" t="n">
        <v>45673</v>
      </c>
      <c r="C1303" s="1" t="n">
        <v>45849</v>
      </c>
      <c r="D1303" t="inlineStr">
        <is>
          <t>JÄMTLANDS LÄN</t>
        </is>
      </c>
      <c r="E1303" t="inlineStr">
        <is>
          <t>BERG</t>
        </is>
      </c>
      <c r="F1303" t="inlineStr">
        <is>
          <t>SCA</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2474-2025</t>
        </is>
      </c>
      <c r="B1304" s="1" t="n">
        <v>45674</v>
      </c>
      <c r="C1304" s="1" t="n">
        <v>45849</v>
      </c>
      <c r="D1304" t="inlineStr">
        <is>
          <t>JÄMTLANDS LÄN</t>
        </is>
      </c>
      <c r="E1304" t="inlineStr">
        <is>
          <t>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2472-2025</t>
        </is>
      </c>
      <c r="B1305" s="1" t="n">
        <v>45674</v>
      </c>
      <c r="C1305" s="1" t="n">
        <v>45849</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3032-2025</t>
        </is>
      </c>
      <c r="B1306" s="1" t="n">
        <v>45678</v>
      </c>
      <c r="C1306" s="1" t="n">
        <v>45849</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3027-2025</t>
        </is>
      </c>
      <c r="B1307" s="1" t="n">
        <v>45678</v>
      </c>
      <c r="C1307" s="1" t="n">
        <v>45849</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3173-2025</t>
        </is>
      </c>
      <c r="B1308" s="1" t="n">
        <v>45679</v>
      </c>
      <c r="C1308" s="1" t="n">
        <v>45849</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3538-2025</t>
        </is>
      </c>
      <c r="B1309" s="1" t="n">
        <v>45680</v>
      </c>
      <c r="C1309" s="1" t="n">
        <v>45849</v>
      </c>
      <c r="D1309" t="inlineStr">
        <is>
          <t>JÄMTLANDS LÄN</t>
        </is>
      </c>
      <c r="E1309" t="inlineStr">
        <is>
          <t>BERG</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3561-2025</t>
        </is>
      </c>
      <c r="B1310" s="1" t="n">
        <v>45680</v>
      </c>
      <c r="C1310" s="1" t="n">
        <v>45849</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3419-2025</t>
        </is>
      </c>
      <c r="B1311" s="1" t="n">
        <v>45680</v>
      </c>
      <c r="C1311" s="1" t="n">
        <v>45849</v>
      </c>
      <c r="D1311" t="inlineStr">
        <is>
          <t>JÄMTLANDS LÄN</t>
        </is>
      </c>
      <c r="E1311" t="inlineStr">
        <is>
          <t>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3946-2025</t>
        </is>
      </c>
      <c r="B1312" s="1" t="n">
        <v>45684</v>
      </c>
      <c r="C1312" s="1" t="n">
        <v>45849</v>
      </c>
      <c r="D1312" t="inlineStr">
        <is>
          <t>JÄMTLANDS LÄN</t>
        </is>
      </c>
      <c r="E1312" t="inlineStr">
        <is>
          <t>BERG</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3961-2025</t>
        </is>
      </c>
      <c r="B1313" s="1" t="n">
        <v>45684</v>
      </c>
      <c r="C1313" s="1" t="n">
        <v>45849</v>
      </c>
      <c r="D1313" t="inlineStr">
        <is>
          <t>JÄMTLANDS LÄN</t>
        </is>
      </c>
      <c r="E1313" t="inlineStr">
        <is>
          <t>BERG</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3964-2025</t>
        </is>
      </c>
      <c r="B1314" s="1" t="n">
        <v>45684</v>
      </c>
      <c r="C1314" s="1" t="n">
        <v>45849</v>
      </c>
      <c r="D1314" t="inlineStr">
        <is>
          <t>JÄMTLANDS LÄN</t>
        </is>
      </c>
      <c r="E1314" t="inlineStr">
        <is>
          <t>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3984-2025</t>
        </is>
      </c>
      <c r="B1315" s="1" t="n">
        <v>45684</v>
      </c>
      <c r="C1315" s="1" t="n">
        <v>45849</v>
      </c>
      <c r="D1315" t="inlineStr">
        <is>
          <t>JÄMTLANDS LÄN</t>
        </is>
      </c>
      <c r="E1315" t="inlineStr">
        <is>
          <t>BERG</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4246-2025</t>
        </is>
      </c>
      <c r="B1316" s="1" t="n">
        <v>45685</v>
      </c>
      <c r="C1316" s="1" t="n">
        <v>45849</v>
      </c>
      <c r="D1316" t="inlineStr">
        <is>
          <t>JÄMTLANDS LÄN</t>
        </is>
      </c>
      <c r="E1316" t="inlineStr">
        <is>
          <t>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4259-2025</t>
        </is>
      </c>
      <c r="B1317" s="1" t="n">
        <v>45685</v>
      </c>
      <c r="C1317" s="1" t="n">
        <v>45849</v>
      </c>
      <c r="D1317" t="inlineStr">
        <is>
          <t>JÄMTLANDS LÄN</t>
        </is>
      </c>
      <c r="E1317" t="inlineStr">
        <is>
          <t>BERG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4476-2025</t>
        </is>
      </c>
      <c r="B1318" s="1" t="n">
        <v>45686</v>
      </c>
      <c r="C1318" s="1" t="n">
        <v>45849</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4527-2025</t>
        </is>
      </c>
      <c r="B1319" s="1" t="n">
        <v>45686</v>
      </c>
      <c r="C1319" s="1" t="n">
        <v>45849</v>
      </c>
      <c r="D1319" t="inlineStr">
        <is>
          <t>JÄMTLANDS LÄN</t>
        </is>
      </c>
      <c r="E1319" t="inlineStr">
        <is>
          <t>BERG</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5178-2025</t>
        </is>
      </c>
      <c r="B1320" s="1" t="n">
        <v>45691</v>
      </c>
      <c r="C1320" s="1" t="n">
        <v>45849</v>
      </c>
      <c r="D1320" t="inlineStr">
        <is>
          <t>JÄMTLANDS LÄN</t>
        </is>
      </c>
      <c r="E1320" t="inlineStr">
        <is>
          <t>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5187-2025</t>
        </is>
      </c>
      <c r="B1321" s="1" t="n">
        <v>45691</v>
      </c>
      <c r="C1321" s="1" t="n">
        <v>45849</v>
      </c>
      <c r="D1321" t="inlineStr">
        <is>
          <t>JÄMTLANDS LÄN</t>
        </is>
      </c>
      <c r="E1321" t="inlineStr">
        <is>
          <t>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5309-2025</t>
        </is>
      </c>
      <c r="B1322" s="1" t="n">
        <v>45692</v>
      </c>
      <c r="C1322" s="1" t="n">
        <v>45849</v>
      </c>
      <c r="D1322" t="inlineStr">
        <is>
          <t>JÄMTLANDS LÄN</t>
        </is>
      </c>
      <c r="E1322" t="inlineStr">
        <is>
          <t>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5517-2025</t>
        </is>
      </c>
      <c r="B1323" s="1" t="n">
        <v>45693</v>
      </c>
      <c r="C1323" s="1" t="n">
        <v>45849</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5644-2025</t>
        </is>
      </c>
      <c r="B1324" s="1" t="n">
        <v>45693</v>
      </c>
      <c r="C1324" s="1" t="n">
        <v>45849</v>
      </c>
      <c r="D1324" t="inlineStr">
        <is>
          <t>JÄMTLANDS LÄN</t>
        </is>
      </c>
      <c r="E1324" t="inlineStr">
        <is>
          <t>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6645-2025</t>
        </is>
      </c>
      <c r="B1325" s="1" t="n">
        <v>45700</v>
      </c>
      <c r="C1325" s="1" t="n">
        <v>45849</v>
      </c>
      <c r="D1325" t="inlineStr">
        <is>
          <t>JÄMTLANDS LÄN</t>
        </is>
      </c>
      <c r="E1325" t="inlineStr">
        <is>
          <t>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7021-2025</t>
        </is>
      </c>
      <c r="B1326" s="1" t="n">
        <v>45701</v>
      </c>
      <c r="C1326" s="1" t="n">
        <v>45849</v>
      </c>
      <c r="D1326" t="inlineStr">
        <is>
          <t>JÄMTLANDS LÄN</t>
        </is>
      </c>
      <c r="E1326" t="inlineStr">
        <is>
          <t>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6982-2025</t>
        </is>
      </c>
      <c r="B1327" s="1" t="n">
        <v>45701</v>
      </c>
      <c r="C1327" s="1" t="n">
        <v>45849</v>
      </c>
      <c r="D1327" t="inlineStr">
        <is>
          <t>JÄMTLANDS LÄN</t>
        </is>
      </c>
      <c r="E1327" t="inlineStr">
        <is>
          <t>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7049-2025</t>
        </is>
      </c>
      <c r="B1328" s="1" t="n">
        <v>45701</v>
      </c>
      <c r="C1328" s="1" t="n">
        <v>45849</v>
      </c>
      <c r="D1328" t="inlineStr">
        <is>
          <t>JÄMTLANDS LÄN</t>
        </is>
      </c>
      <c r="E1328" t="inlineStr">
        <is>
          <t>BERG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8191-2025</t>
        </is>
      </c>
      <c r="B1329" s="1" t="n">
        <v>45708</v>
      </c>
      <c r="C1329" s="1" t="n">
        <v>45849</v>
      </c>
      <c r="D1329" t="inlineStr">
        <is>
          <t>JÄMTLANDS LÄN</t>
        </is>
      </c>
      <c r="E1329" t="inlineStr">
        <is>
          <t>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8187-2025</t>
        </is>
      </c>
      <c r="B1330" s="1" t="n">
        <v>45708</v>
      </c>
      <c r="C1330" s="1" t="n">
        <v>45849</v>
      </c>
      <c r="D1330" t="inlineStr">
        <is>
          <t>JÄMTLANDS LÄN</t>
        </is>
      </c>
      <c r="E1330" t="inlineStr">
        <is>
          <t>BERG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8733-2025</t>
        </is>
      </c>
      <c r="B1331" s="1" t="n">
        <v>45712</v>
      </c>
      <c r="C1331" s="1" t="n">
        <v>45849</v>
      </c>
      <c r="D1331" t="inlineStr">
        <is>
          <t>JÄMTLANDS LÄN</t>
        </is>
      </c>
      <c r="E1331" t="inlineStr">
        <is>
          <t>BERG</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8697-2025</t>
        </is>
      </c>
      <c r="B1332" s="1" t="n">
        <v>45712</v>
      </c>
      <c r="C1332" s="1" t="n">
        <v>45849</v>
      </c>
      <c r="D1332" t="inlineStr">
        <is>
          <t>JÄMTLANDS LÄN</t>
        </is>
      </c>
      <c r="E1332" t="inlineStr">
        <is>
          <t>BERG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8710-2025</t>
        </is>
      </c>
      <c r="B1333" s="1" t="n">
        <v>45712</v>
      </c>
      <c r="C1333" s="1" t="n">
        <v>45849</v>
      </c>
      <c r="D1333" t="inlineStr">
        <is>
          <t>JÄMTLANDS LÄN</t>
        </is>
      </c>
      <c r="E1333" t="inlineStr">
        <is>
          <t>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9255-2025</t>
        </is>
      </c>
      <c r="B1334" s="1" t="n">
        <v>45714</v>
      </c>
      <c r="C1334" s="1" t="n">
        <v>45849</v>
      </c>
      <c r="D1334" t="inlineStr">
        <is>
          <t>JÄMTLANDS LÄN</t>
        </is>
      </c>
      <c r="E1334" t="inlineStr">
        <is>
          <t>BERG</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9252-2025</t>
        </is>
      </c>
      <c r="B1335" s="1" t="n">
        <v>45714</v>
      </c>
      <c r="C1335" s="1" t="n">
        <v>45849</v>
      </c>
      <c r="D1335" t="inlineStr">
        <is>
          <t>JÄMTLANDS LÄN</t>
        </is>
      </c>
      <c r="E1335" t="inlineStr">
        <is>
          <t>BERG</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9624-2025</t>
        </is>
      </c>
      <c r="B1336" s="1" t="n">
        <v>45715</v>
      </c>
      <c r="C1336" s="1" t="n">
        <v>45849</v>
      </c>
      <c r="D1336" t="inlineStr">
        <is>
          <t>JÄMTLANDS LÄN</t>
        </is>
      </c>
      <c r="E1336" t="inlineStr">
        <is>
          <t>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9626-2025</t>
        </is>
      </c>
      <c r="B1337" s="1" t="n">
        <v>45715</v>
      </c>
      <c r="C1337" s="1" t="n">
        <v>45849</v>
      </c>
      <c r="D1337" t="inlineStr">
        <is>
          <t>JÄMTLANDS LÄN</t>
        </is>
      </c>
      <c r="E1337" t="inlineStr">
        <is>
          <t>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10957-2025</t>
        </is>
      </c>
      <c r="B1338" s="1" t="n">
        <v>45723</v>
      </c>
      <c r="C1338" s="1" t="n">
        <v>45849</v>
      </c>
      <c r="D1338" t="inlineStr">
        <is>
          <t>JÄMTLANDS LÄN</t>
        </is>
      </c>
      <c r="E1338" t="inlineStr">
        <is>
          <t>BERG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10974-2025</t>
        </is>
      </c>
      <c r="B1339" s="1" t="n">
        <v>45723</v>
      </c>
      <c r="C1339" s="1" t="n">
        <v>45849</v>
      </c>
      <c r="D1339" t="inlineStr">
        <is>
          <t>JÄMTLANDS LÄN</t>
        </is>
      </c>
      <c r="E1339" t="inlineStr">
        <is>
          <t>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11274-2025</t>
        </is>
      </c>
      <c r="B1340" s="1" t="n">
        <v>45726</v>
      </c>
      <c r="C1340" s="1" t="n">
        <v>45849</v>
      </c>
      <c r="D1340" t="inlineStr">
        <is>
          <t>JÄMTLANDS LÄN</t>
        </is>
      </c>
      <c r="E1340" t="inlineStr">
        <is>
          <t>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11785-2025</t>
        </is>
      </c>
      <c r="B1341" s="1" t="n">
        <v>45727</v>
      </c>
      <c r="C1341" s="1" t="n">
        <v>45849</v>
      </c>
      <c r="D1341" t="inlineStr">
        <is>
          <t>JÄMTLANDS LÄN</t>
        </is>
      </c>
      <c r="E1341" t="inlineStr">
        <is>
          <t>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11608-2025</t>
        </is>
      </c>
      <c r="B1342" s="1" t="n">
        <v>45727</v>
      </c>
      <c r="C1342" s="1" t="n">
        <v>45849</v>
      </c>
      <c r="D1342" t="inlineStr">
        <is>
          <t>JÄMTLANDS LÄN</t>
        </is>
      </c>
      <c r="E1342" t="inlineStr">
        <is>
          <t>BERG</t>
        </is>
      </c>
      <c r="G1342" t="n">
        <v>29.1</v>
      </c>
      <c r="H1342" t="n">
        <v>0</v>
      </c>
      <c r="I1342" t="n">
        <v>0</v>
      </c>
      <c r="J1342" t="n">
        <v>0</v>
      </c>
      <c r="K1342" t="n">
        <v>0</v>
      </c>
      <c r="L1342" t="n">
        <v>0</v>
      </c>
      <c r="M1342" t="n">
        <v>0</v>
      </c>
      <c r="N1342" t="n">
        <v>0</v>
      </c>
      <c r="O1342" t="n">
        <v>0</v>
      </c>
      <c r="P1342" t="n">
        <v>0</v>
      </c>
      <c r="Q1342" t="n">
        <v>0</v>
      </c>
      <c r="R1342" s="2" t="inlineStr"/>
    </row>
    <row r="1343" ht="15" customHeight="1">
      <c r="A1343" t="inlineStr">
        <is>
          <t>A 11588-2025</t>
        </is>
      </c>
      <c r="B1343" s="1" t="n">
        <v>45727</v>
      </c>
      <c r="C1343" s="1" t="n">
        <v>45849</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11725-2025</t>
        </is>
      </c>
      <c r="B1344" s="1" t="n">
        <v>45727</v>
      </c>
      <c r="C1344" s="1" t="n">
        <v>45849</v>
      </c>
      <c r="D1344" t="inlineStr">
        <is>
          <t>JÄMTLANDS LÄN</t>
        </is>
      </c>
      <c r="E1344" t="inlineStr">
        <is>
          <t>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11786-2025</t>
        </is>
      </c>
      <c r="B1345" s="1" t="n">
        <v>45727</v>
      </c>
      <c r="C1345" s="1" t="n">
        <v>45849</v>
      </c>
      <c r="D1345" t="inlineStr">
        <is>
          <t>JÄMTLANDS LÄN</t>
        </is>
      </c>
      <c r="E1345" t="inlineStr">
        <is>
          <t>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11599-2025</t>
        </is>
      </c>
      <c r="B1346" s="1" t="n">
        <v>45727</v>
      </c>
      <c r="C1346" s="1" t="n">
        <v>45849</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12005-2025</t>
        </is>
      </c>
      <c r="B1347" s="1" t="n">
        <v>45728</v>
      </c>
      <c r="C1347" s="1" t="n">
        <v>45849</v>
      </c>
      <c r="D1347" t="inlineStr">
        <is>
          <t>JÄMTLANDS LÄN</t>
        </is>
      </c>
      <c r="E1347" t="inlineStr">
        <is>
          <t>BERG</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12392-2025</t>
        </is>
      </c>
      <c r="B1348" s="1" t="n">
        <v>45730</v>
      </c>
      <c r="C1348" s="1" t="n">
        <v>45849</v>
      </c>
      <c r="D1348" t="inlineStr">
        <is>
          <t>JÄMTLANDS LÄN</t>
        </is>
      </c>
      <c r="E1348" t="inlineStr">
        <is>
          <t>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12457-2025</t>
        </is>
      </c>
      <c r="B1349" s="1" t="n">
        <v>45730</v>
      </c>
      <c r="C1349" s="1" t="n">
        <v>45849</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12611-2025</t>
        </is>
      </c>
      <c r="B1350" s="1" t="n">
        <v>45733</v>
      </c>
      <c r="C1350" s="1" t="n">
        <v>45849</v>
      </c>
      <c r="D1350" t="inlineStr">
        <is>
          <t>JÄMTLANDS LÄN</t>
        </is>
      </c>
      <c r="E1350" t="inlineStr">
        <is>
          <t>BERG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12789-2025</t>
        </is>
      </c>
      <c r="B1351" s="1" t="n">
        <v>45733</v>
      </c>
      <c r="C1351" s="1" t="n">
        <v>45849</v>
      </c>
      <c r="D1351" t="inlineStr">
        <is>
          <t>JÄMTLANDS LÄN</t>
        </is>
      </c>
      <c r="E1351" t="inlineStr">
        <is>
          <t>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13097-2025</t>
        </is>
      </c>
      <c r="B1352" s="1" t="n">
        <v>45734</v>
      </c>
      <c r="C1352" s="1" t="n">
        <v>45849</v>
      </c>
      <c r="D1352" t="inlineStr">
        <is>
          <t>JÄMTLANDS LÄN</t>
        </is>
      </c>
      <c r="E1352" t="inlineStr">
        <is>
          <t>BERG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13149-2025</t>
        </is>
      </c>
      <c r="B1353" s="1" t="n">
        <v>45735</v>
      </c>
      <c r="C1353" s="1" t="n">
        <v>45849</v>
      </c>
      <c r="D1353" t="inlineStr">
        <is>
          <t>JÄMTLANDS LÄN</t>
        </is>
      </c>
      <c r="E1353" t="inlineStr">
        <is>
          <t>BERG</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13473-2025</t>
        </is>
      </c>
      <c r="B1354" s="1" t="n">
        <v>45736</v>
      </c>
      <c r="C1354" s="1" t="n">
        <v>45849</v>
      </c>
      <c r="D1354" t="inlineStr">
        <is>
          <t>JÄMTLANDS LÄN</t>
        </is>
      </c>
      <c r="E1354" t="inlineStr">
        <is>
          <t>BERG</t>
        </is>
      </c>
      <c r="F1354" t="inlineStr">
        <is>
          <t>SCA</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13919-2025</t>
        </is>
      </c>
      <c r="B1355" s="1" t="n">
        <v>45737</v>
      </c>
      <c r="C1355" s="1" t="n">
        <v>45849</v>
      </c>
      <c r="D1355" t="inlineStr">
        <is>
          <t>JÄMTLANDS LÄN</t>
        </is>
      </c>
      <c r="E1355" t="inlineStr">
        <is>
          <t>BERG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14341-2025</t>
        </is>
      </c>
      <c r="B1356" s="1" t="n">
        <v>45741</v>
      </c>
      <c r="C1356" s="1" t="n">
        <v>45849</v>
      </c>
      <c r="D1356" t="inlineStr">
        <is>
          <t>JÄMTLANDS LÄN</t>
        </is>
      </c>
      <c r="E1356" t="inlineStr">
        <is>
          <t>BERG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14594-2025</t>
        </is>
      </c>
      <c r="B1357" s="1" t="n">
        <v>45742</v>
      </c>
      <c r="C1357" s="1" t="n">
        <v>45849</v>
      </c>
      <c r="D1357" t="inlineStr">
        <is>
          <t>JÄMTLANDS LÄN</t>
        </is>
      </c>
      <c r="E1357" t="inlineStr">
        <is>
          <t>BERG</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14697-2025</t>
        </is>
      </c>
      <c r="B1358" s="1" t="n">
        <v>45742</v>
      </c>
      <c r="C1358" s="1" t="n">
        <v>45849</v>
      </c>
      <c r="D1358" t="inlineStr">
        <is>
          <t>JÄMTLANDS LÄN</t>
        </is>
      </c>
      <c r="E1358" t="inlineStr">
        <is>
          <t>BERG</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14728-2025</t>
        </is>
      </c>
      <c r="B1359" s="1" t="n">
        <v>45742</v>
      </c>
      <c r="C1359" s="1" t="n">
        <v>45849</v>
      </c>
      <c r="D1359" t="inlineStr">
        <is>
          <t>JÄMTLANDS LÄN</t>
        </is>
      </c>
      <c r="E1359" t="inlineStr">
        <is>
          <t>BERG</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14672-2025</t>
        </is>
      </c>
      <c r="B1360" s="1" t="n">
        <v>45742</v>
      </c>
      <c r="C1360" s="1" t="n">
        <v>45849</v>
      </c>
      <c r="D1360" t="inlineStr">
        <is>
          <t>JÄMTLANDS LÄN</t>
        </is>
      </c>
      <c r="E1360" t="inlineStr">
        <is>
          <t>BERG</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14596-2025</t>
        </is>
      </c>
      <c r="B1361" s="1" t="n">
        <v>45742</v>
      </c>
      <c r="C1361" s="1" t="n">
        <v>45849</v>
      </c>
      <c r="D1361" t="inlineStr">
        <is>
          <t>JÄMTLANDS LÄN</t>
        </is>
      </c>
      <c r="E1361" t="inlineStr">
        <is>
          <t>BERG</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14820-2025</t>
        </is>
      </c>
      <c r="B1362" s="1" t="n">
        <v>45743</v>
      </c>
      <c r="C1362" s="1" t="n">
        <v>45849</v>
      </c>
      <c r="D1362" t="inlineStr">
        <is>
          <t>JÄMTLANDS LÄN</t>
        </is>
      </c>
      <c r="E1362" t="inlineStr">
        <is>
          <t>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14834-2025</t>
        </is>
      </c>
      <c r="B1363" s="1" t="n">
        <v>45743</v>
      </c>
      <c r="C1363" s="1" t="n">
        <v>45849</v>
      </c>
      <c r="D1363" t="inlineStr">
        <is>
          <t>JÄMTLANDS LÄN</t>
        </is>
      </c>
      <c r="E1363" t="inlineStr">
        <is>
          <t>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14929-2025</t>
        </is>
      </c>
      <c r="B1364" s="1" t="n">
        <v>45743</v>
      </c>
      <c r="C1364" s="1" t="n">
        <v>45849</v>
      </c>
      <c r="D1364" t="inlineStr">
        <is>
          <t>JÄMTLANDS LÄN</t>
        </is>
      </c>
      <c r="E1364" t="inlineStr">
        <is>
          <t>BERG</t>
        </is>
      </c>
      <c r="F1364" t="inlineStr">
        <is>
          <t>SCA</t>
        </is>
      </c>
      <c r="G1364" t="n">
        <v>21.5</v>
      </c>
      <c r="H1364" t="n">
        <v>0</v>
      </c>
      <c r="I1364" t="n">
        <v>0</v>
      </c>
      <c r="J1364" t="n">
        <v>0</v>
      </c>
      <c r="K1364" t="n">
        <v>0</v>
      </c>
      <c r="L1364" t="n">
        <v>0</v>
      </c>
      <c r="M1364" t="n">
        <v>0</v>
      </c>
      <c r="N1364" t="n">
        <v>0</v>
      </c>
      <c r="O1364" t="n">
        <v>0</v>
      </c>
      <c r="P1364" t="n">
        <v>0</v>
      </c>
      <c r="Q1364" t="n">
        <v>0</v>
      </c>
      <c r="R1364" s="2" t="inlineStr"/>
    </row>
    <row r="1365" ht="15" customHeight="1">
      <c r="A1365" t="inlineStr">
        <is>
          <t>A 15013-2025</t>
        </is>
      </c>
      <c r="B1365" s="1" t="n">
        <v>45743</v>
      </c>
      <c r="C1365" s="1" t="n">
        <v>45849</v>
      </c>
      <c r="D1365" t="inlineStr">
        <is>
          <t>JÄMTLANDS LÄN</t>
        </is>
      </c>
      <c r="E1365" t="inlineStr">
        <is>
          <t>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14930-2025</t>
        </is>
      </c>
      <c r="B1366" s="1" t="n">
        <v>45743</v>
      </c>
      <c r="C1366" s="1" t="n">
        <v>45849</v>
      </c>
      <c r="D1366" t="inlineStr">
        <is>
          <t>JÄMTLANDS LÄN</t>
        </is>
      </c>
      <c r="E1366" t="inlineStr">
        <is>
          <t>BERG</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15481-2025</t>
        </is>
      </c>
      <c r="B1367" s="1" t="n">
        <v>45747</v>
      </c>
      <c r="C1367" s="1" t="n">
        <v>45849</v>
      </c>
      <c r="D1367" t="inlineStr">
        <is>
          <t>JÄMTLANDS LÄN</t>
        </is>
      </c>
      <c r="E1367" t="inlineStr">
        <is>
          <t>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15507-2025</t>
        </is>
      </c>
      <c r="B1368" s="1" t="n">
        <v>45747</v>
      </c>
      <c r="C1368" s="1" t="n">
        <v>45849</v>
      </c>
      <c r="D1368" t="inlineStr">
        <is>
          <t>JÄMTLANDS LÄN</t>
        </is>
      </c>
      <c r="E1368" t="inlineStr">
        <is>
          <t>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15541-2025</t>
        </is>
      </c>
      <c r="B1369" s="1" t="n">
        <v>45747</v>
      </c>
      <c r="C1369" s="1" t="n">
        <v>45849</v>
      </c>
      <c r="D1369" t="inlineStr">
        <is>
          <t>JÄMTLANDS LÄN</t>
        </is>
      </c>
      <c r="E1369" t="inlineStr">
        <is>
          <t>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15762-2025</t>
        </is>
      </c>
      <c r="B1370" s="1" t="n">
        <v>45748</v>
      </c>
      <c r="C1370" s="1" t="n">
        <v>45849</v>
      </c>
      <c r="D1370" t="inlineStr">
        <is>
          <t>JÄMTLANDS LÄN</t>
        </is>
      </c>
      <c r="E1370" t="inlineStr">
        <is>
          <t>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15729-2025</t>
        </is>
      </c>
      <c r="B1371" s="1" t="n">
        <v>45748</v>
      </c>
      <c r="C1371" s="1" t="n">
        <v>45849</v>
      </c>
      <c r="D1371" t="inlineStr">
        <is>
          <t>JÄMTLANDS LÄN</t>
        </is>
      </c>
      <c r="E1371" t="inlineStr">
        <is>
          <t>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16002-2025</t>
        </is>
      </c>
      <c r="B1372" s="1" t="n">
        <v>45749</v>
      </c>
      <c r="C1372" s="1" t="n">
        <v>45849</v>
      </c>
      <c r="D1372" t="inlineStr">
        <is>
          <t>JÄMTLANDS LÄN</t>
        </is>
      </c>
      <c r="E1372" t="inlineStr">
        <is>
          <t>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15992-2025</t>
        </is>
      </c>
      <c r="B1373" s="1" t="n">
        <v>45749</v>
      </c>
      <c r="C1373" s="1" t="n">
        <v>45849</v>
      </c>
      <c r="D1373" t="inlineStr">
        <is>
          <t>JÄMTLANDS LÄN</t>
        </is>
      </c>
      <c r="E1373" t="inlineStr">
        <is>
          <t>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16022-2025</t>
        </is>
      </c>
      <c r="B1374" s="1" t="n">
        <v>45749</v>
      </c>
      <c r="C1374" s="1" t="n">
        <v>45849</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16551-2025</t>
        </is>
      </c>
      <c r="B1375" s="1" t="n">
        <v>45751</v>
      </c>
      <c r="C1375" s="1" t="n">
        <v>45849</v>
      </c>
      <c r="D1375" t="inlineStr">
        <is>
          <t>JÄMTLANDS LÄN</t>
        </is>
      </c>
      <c r="E1375" t="inlineStr">
        <is>
          <t>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16553-2025</t>
        </is>
      </c>
      <c r="B1376" s="1" t="n">
        <v>45751</v>
      </c>
      <c r="C1376" s="1" t="n">
        <v>45849</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16555-2025</t>
        </is>
      </c>
      <c r="B1377" s="1" t="n">
        <v>45751</v>
      </c>
      <c r="C1377" s="1" t="n">
        <v>45849</v>
      </c>
      <c r="D1377" t="inlineStr">
        <is>
          <t>JÄMTLANDS LÄN</t>
        </is>
      </c>
      <c r="E1377" t="inlineStr">
        <is>
          <t>BERG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16554-2025</t>
        </is>
      </c>
      <c r="B1378" s="1" t="n">
        <v>45751</v>
      </c>
      <c r="C1378" s="1" t="n">
        <v>45849</v>
      </c>
      <c r="D1378" t="inlineStr">
        <is>
          <t>JÄMTLANDS LÄN</t>
        </is>
      </c>
      <c r="E1378" t="inlineStr">
        <is>
          <t>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17056-2025</t>
        </is>
      </c>
      <c r="B1379" s="1" t="n">
        <v>45755</v>
      </c>
      <c r="C1379" s="1" t="n">
        <v>45849</v>
      </c>
      <c r="D1379" t="inlineStr">
        <is>
          <t>JÄMTLANDS LÄN</t>
        </is>
      </c>
      <c r="E1379" t="inlineStr">
        <is>
          <t>BERG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17266-2025</t>
        </is>
      </c>
      <c r="B1380" s="1" t="n">
        <v>45756</v>
      </c>
      <c r="C1380" s="1" t="n">
        <v>45849</v>
      </c>
      <c r="D1380" t="inlineStr">
        <is>
          <t>JÄMTLANDS LÄN</t>
        </is>
      </c>
      <c r="E1380" t="inlineStr">
        <is>
          <t>BERG</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18101-2025</t>
        </is>
      </c>
      <c r="B1381" s="1" t="n">
        <v>45761</v>
      </c>
      <c r="C1381" s="1" t="n">
        <v>45849</v>
      </c>
      <c r="D1381" t="inlineStr">
        <is>
          <t>JÄMTLANDS LÄN</t>
        </is>
      </c>
      <c r="E1381" t="inlineStr">
        <is>
          <t>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18136-2025</t>
        </is>
      </c>
      <c r="B1382" s="1" t="n">
        <v>45761</v>
      </c>
      <c r="C1382" s="1" t="n">
        <v>45849</v>
      </c>
      <c r="D1382" t="inlineStr">
        <is>
          <t>JÄMTLANDS LÄN</t>
        </is>
      </c>
      <c r="E1382" t="inlineStr">
        <is>
          <t>BERG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18408-2025</t>
        </is>
      </c>
      <c r="B1383" s="1" t="n">
        <v>45762</v>
      </c>
      <c r="C1383" s="1" t="n">
        <v>45849</v>
      </c>
      <c r="D1383" t="inlineStr">
        <is>
          <t>JÄMTLANDS LÄN</t>
        </is>
      </c>
      <c r="E1383" t="inlineStr">
        <is>
          <t>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18551-2025</t>
        </is>
      </c>
      <c r="B1384" s="1" t="n">
        <v>45763</v>
      </c>
      <c r="C1384" s="1" t="n">
        <v>45849</v>
      </c>
      <c r="D1384" t="inlineStr">
        <is>
          <t>JÄMTLANDS LÄN</t>
        </is>
      </c>
      <c r="E1384" t="inlineStr">
        <is>
          <t>BERG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18502-2025</t>
        </is>
      </c>
      <c r="B1385" s="1" t="n">
        <v>45763</v>
      </c>
      <c r="C1385" s="1" t="n">
        <v>45849</v>
      </c>
      <c r="D1385" t="inlineStr">
        <is>
          <t>JÄMTLANDS LÄN</t>
        </is>
      </c>
      <c r="E1385" t="inlineStr">
        <is>
          <t>BERG</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19428-2025</t>
        </is>
      </c>
      <c r="B1386" s="1" t="n">
        <v>45769</v>
      </c>
      <c r="C1386" s="1" t="n">
        <v>45849</v>
      </c>
      <c r="D1386" t="inlineStr">
        <is>
          <t>JÄMTLANDS LÄN</t>
        </is>
      </c>
      <c r="E1386" t="inlineStr">
        <is>
          <t>BERG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19181-2025</t>
        </is>
      </c>
      <c r="B1387" s="1" t="n">
        <v>45769</v>
      </c>
      <c r="C1387" s="1" t="n">
        <v>45849</v>
      </c>
      <c r="D1387" t="inlineStr">
        <is>
          <t>JÄMTLANDS LÄN</t>
        </is>
      </c>
      <c r="E1387" t="inlineStr">
        <is>
          <t>BERG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19258-2025</t>
        </is>
      </c>
      <c r="B1388" s="1" t="n">
        <v>45769</v>
      </c>
      <c r="C1388" s="1" t="n">
        <v>45849</v>
      </c>
      <c r="D1388" t="inlineStr">
        <is>
          <t>JÄMTLANDS LÄN</t>
        </is>
      </c>
      <c r="E1388" t="inlineStr">
        <is>
          <t>BERG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19429-2025</t>
        </is>
      </c>
      <c r="B1389" s="1" t="n">
        <v>45769</v>
      </c>
      <c r="C1389" s="1" t="n">
        <v>45849</v>
      </c>
      <c r="D1389" t="inlineStr">
        <is>
          <t>JÄMTLANDS LÄN</t>
        </is>
      </c>
      <c r="E1389" t="inlineStr">
        <is>
          <t>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19513-2025</t>
        </is>
      </c>
      <c r="B1390" s="1" t="n">
        <v>45770</v>
      </c>
      <c r="C1390" s="1" t="n">
        <v>45849</v>
      </c>
      <c r="D1390" t="inlineStr">
        <is>
          <t>JÄMTLANDS LÄN</t>
        </is>
      </c>
      <c r="E1390" t="inlineStr">
        <is>
          <t>BERG</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19530-2025</t>
        </is>
      </c>
      <c r="B1391" s="1" t="n">
        <v>45770</v>
      </c>
      <c r="C1391" s="1" t="n">
        <v>45849</v>
      </c>
      <c r="D1391" t="inlineStr">
        <is>
          <t>JÄMTLANDS LÄN</t>
        </is>
      </c>
      <c r="E1391" t="inlineStr">
        <is>
          <t>BERG</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19890-2025</t>
        </is>
      </c>
      <c r="B1392" s="1" t="n">
        <v>45771</v>
      </c>
      <c r="C1392" s="1" t="n">
        <v>45849</v>
      </c>
      <c r="D1392" t="inlineStr">
        <is>
          <t>JÄMTLANDS LÄN</t>
        </is>
      </c>
      <c r="E1392" t="inlineStr">
        <is>
          <t>BERG</t>
        </is>
      </c>
      <c r="F1392" t="inlineStr">
        <is>
          <t>SCA</t>
        </is>
      </c>
      <c r="G1392" t="n">
        <v>24.4</v>
      </c>
      <c r="H1392" t="n">
        <v>0</v>
      </c>
      <c r="I1392" t="n">
        <v>0</v>
      </c>
      <c r="J1392" t="n">
        <v>0</v>
      </c>
      <c r="K1392" t="n">
        <v>0</v>
      </c>
      <c r="L1392" t="n">
        <v>0</v>
      </c>
      <c r="M1392" t="n">
        <v>0</v>
      </c>
      <c r="N1392" t="n">
        <v>0</v>
      </c>
      <c r="O1392" t="n">
        <v>0</v>
      </c>
      <c r="P1392" t="n">
        <v>0</v>
      </c>
      <c r="Q1392" t="n">
        <v>0</v>
      </c>
      <c r="R1392" s="2" t="inlineStr"/>
    </row>
    <row r="1393" ht="15" customHeight="1">
      <c r="A1393" t="inlineStr">
        <is>
          <t>A 19891-2025</t>
        </is>
      </c>
      <c r="B1393" s="1" t="n">
        <v>45771</v>
      </c>
      <c r="C1393" s="1" t="n">
        <v>45849</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21070-2025</t>
        </is>
      </c>
      <c r="B1394" s="1" t="n">
        <v>45777</v>
      </c>
      <c r="C1394" s="1" t="n">
        <v>45849</v>
      </c>
      <c r="D1394" t="inlineStr">
        <is>
          <t>JÄMTLANDS LÄN</t>
        </is>
      </c>
      <c r="E1394" t="inlineStr">
        <is>
          <t>BERG</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21156-2025</t>
        </is>
      </c>
      <c r="B1395" s="1" t="n">
        <v>45779</v>
      </c>
      <c r="C1395" s="1" t="n">
        <v>45849</v>
      </c>
      <c r="D1395" t="inlineStr">
        <is>
          <t>JÄMTLANDS LÄN</t>
        </is>
      </c>
      <c r="E1395" t="inlineStr">
        <is>
          <t>BERG</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21292-2025</t>
        </is>
      </c>
      <c r="B1396" s="1" t="n">
        <v>45780</v>
      </c>
      <c r="C1396" s="1" t="n">
        <v>45849</v>
      </c>
      <c r="D1396" t="inlineStr">
        <is>
          <t>JÄMTLANDS LÄN</t>
        </is>
      </c>
      <c r="E1396" t="inlineStr">
        <is>
          <t>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21403-2025</t>
        </is>
      </c>
      <c r="B1397" s="1" t="n">
        <v>45782</v>
      </c>
      <c r="C1397" s="1" t="n">
        <v>45849</v>
      </c>
      <c r="D1397" t="inlineStr">
        <is>
          <t>JÄMTLANDS LÄN</t>
        </is>
      </c>
      <c r="E1397" t="inlineStr">
        <is>
          <t>BERG</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21472-2025</t>
        </is>
      </c>
      <c r="B1398" s="1" t="n">
        <v>45782</v>
      </c>
      <c r="C1398" s="1" t="n">
        <v>45849</v>
      </c>
      <c r="D1398" t="inlineStr">
        <is>
          <t>JÄMTLANDS LÄN</t>
        </is>
      </c>
      <c r="E1398" t="inlineStr">
        <is>
          <t>BERG</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21851-2025</t>
        </is>
      </c>
      <c r="B1399" s="1" t="n">
        <v>45784</v>
      </c>
      <c r="C1399" s="1" t="n">
        <v>45849</v>
      </c>
      <c r="D1399" t="inlineStr">
        <is>
          <t>JÄMTLANDS LÄN</t>
        </is>
      </c>
      <c r="E1399" t="inlineStr">
        <is>
          <t>BERG</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22030-2025</t>
        </is>
      </c>
      <c r="B1400" s="1" t="n">
        <v>45785</v>
      </c>
      <c r="C1400" s="1" t="n">
        <v>45849</v>
      </c>
      <c r="D1400" t="inlineStr">
        <is>
          <t>JÄMTLANDS LÄN</t>
        </is>
      </c>
      <c r="E1400" t="inlineStr">
        <is>
          <t>BERG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22180-2025</t>
        </is>
      </c>
      <c r="B1401" s="1" t="n">
        <v>45785</v>
      </c>
      <c r="C1401" s="1" t="n">
        <v>45849</v>
      </c>
      <c r="D1401" t="inlineStr">
        <is>
          <t>JÄMTLANDS LÄN</t>
        </is>
      </c>
      <c r="E1401" t="inlineStr">
        <is>
          <t>BERG</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22478-2025</t>
        </is>
      </c>
      <c r="B1402" s="1" t="n">
        <v>45786</v>
      </c>
      <c r="C1402" s="1" t="n">
        <v>45849</v>
      </c>
      <c r="D1402" t="inlineStr">
        <is>
          <t>JÄMTLANDS LÄN</t>
        </is>
      </c>
      <c r="E1402" t="inlineStr">
        <is>
          <t>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22672-2025</t>
        </is>
      </c>
      <c r="B1403" s="1" t="n">
        <v>45789</v>
      </c>
      <c r="C1403" s="1" t="n">
        <v>45849</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22653-2025</t>
        </is>
      </c>
      <c r="B1404" s="1" t="n">
        <v>45789</v>
      </c>
      <c r="C1404" s="1" t="n">
        <v>45849</v>
      </c>
      <c r="D1404" t="inlineStr">
        <is>
          <t>JÄMTLANDS LÄN</t>
        </is>
      </c>
      <c r="E1404" t="inlineStr">
        <is>
          <t>BERG</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22724-2025</t>
        </is>
      </c>
      <c r="B1405" s="1" t="n">
        <v>45789</v>
      </c>
      <c r="C1405" s="1" t="n">
        <v>45849</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22995-2025</t>
        </is>
      </c>
      <c r="B1406" s="1" t="n">
        <v>45790</v>
      </c>
      <c r="C1406" s="1" t="n">
        <v>45849</v>
      </c>
      <c r="D1406" t="inlineStr">
        <is>
          <t>JÄMTLANDS LÄN</t>
        </is>
      </c>
      <c r="E1406" t="inlineStr">
        <is>
          <t>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22972-2025</t>
        </is>
      </c>
      <c r="B1407" s="1" t="n">
        <v>45790</v>
      </c>
      <c r="C1407" s="1" t="n">
        <v>45849</v>
      </c>
      <c r="D1407" t="inlineStr">
        <is>
          <t>JÄMTLANDS LÄN</t>
        </is>
      </c>
      <c r="E1407" t="inlineStr">
        <is>
          <t>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22977-2025</t>
        </is>
      </c>
      <c r="B1408" s="1" t="n">
        <v>45790</v>
      </c>
      <c r="C1408" s="1" t="n">
        <v>45849</v>
      </c>
      <c r="D1408" t="inlineStr">
        <is>
          <t>JÄMTLANDS LÄN</t>
        </is>
      </c>
      <c r="E1408" t="inlineStr">
        <is>
          <t>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23054-2025</t>
        </is>
      </c>
      <c r="B1409" s="1" t="n">
        <v>45790</v>
      </c>
      <c r="C1409" s="1" t="n">
        <v>45849</v>
      </c>
      <c r="D1409" t="inlineStr">
        <is>
          <t>JÄMTLANDS LÄN</t>
        </is>
      </c>
      <c r="E1409" t="inlineStr">
        <is>
          <t>BERG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22968-2025</t>
        </is>
      </c>
      <c r="B1410" s="1" t="n">
        <v>45790</v>
      </c>
      <c r="C1410" s="1" t="n">
        <v>45849</v>
      </c>
      <c r="D1410" t="inlineStr">
        <is>
          <t>JÄMTLANDS LÄN</t>
        </is>
      </c>
      <c r="E1410" t="inlineStr">
        <is>
          <t>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22991-2025</t>
        </is>
      </c>
      <c r="B1411" s="1" t="n">
        <v>45790</v>
      </c>
      <c r="C1411" s="1" t="n">
        <v>45849</v>
      </c>
      <c r="D1411" t="inlineStr">
        <is>
          <t>JÄMTLANDS LÄN</t>
        </is>
      </c>
      <c r="E1411" t="inlineStr">
        <is>
          <t>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23026-2025</t>
        </is>
      </c>
      <c r="B1412" s="1" t="n">
        <v>45790</v>
      </c>
      <c r="C1412" s="1" t="n">
        <v>45849</v>
      </c>
      <c r="D1412" t="inlineStr">
        <is>
          <t>JÄMTLANDS LÄN</t>
        </is>
      </c>
      <c r="E1412" t="inlineStr">
        <is>
          <t>BERG</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23338-2025</t>
        </is>
      </c>
      <c r="B1413" s="1" t="n">
        <v>45791</v>
      </c>
      <c r="C1413" s="1" t="n">
        <v>45849</v>
      </c>
      <c r="D1413" t="inlineStr">
        <is>
          <t>JÄMTLANDS LÄN</t>
        </is>
      </c>
      <c r="E1413" t="inlineStr">
        <is>
          <t>BERG</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23766-2025</t>
        </is>
      </c>
      <c r="B1414" s="1" t="n">
        <v>45793</v>
      </c>
      <c r="C1414" s="1" t="n">
        <v>45849</v>
      </c>
      <c r="D1414" t="inlineStr">
        <is>
          <t>JÄMTLANDS LÄN</t>
        </is>
      </c>
      <c r="E1414" t="inlineStr">
        <is>
          <t>BERG</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23900-2025</t>
        </is>
      </c>
      <c r="B1415" s="1" t="n">
        <v>45794</v>
      </c>
      <c r="C1415" s="1" t="n">
        <v>45849</v>
      </c>
      <c r="D1415" t="inlineStr">
        <is>
          <t>JÄMTLANDS LÄN</t>
        </is>
      </c>
      <c r="E1415" t="inlineStr">
        <is>
          <t>BERG</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23902-2025</t>
        </is>
      </c>
      <c r="B1416" s="1" t="n">
        <v>45794</v>
      </c>
      <c r="C1416" s="1" t="n">
        <v>45849</v>
      </c>
      <c r="D1416" t="inlineStr">
        <is>
          <t>JÄMTLANDS LÄN</t>
        </is>
      </c>
      <c r="E1416" t="inlineStr">
        <is>
          <t>BERG</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23901-2025</t>
        </is>
      </c>
      <c r="B1417" s="1" t="n">
        <v>45794</v>
      </c>
      <c r="C1417" s="1" t="n">
        <v>45849</v>
      </c>
      <c r="D1417" t="inlineStr">
        <is>
          <t>JÄMTLANDS LÄN</t>
        </is>
      </c>
      <c r="E1417" t="inlineStr">
        <is>
          <t>BERG</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23920-2025</t>
        </is>
      </c>
      <c r="B1418" s="1" t="n">
        <v>45795</v>
      </c>
      <c r="C1418" s="1" t="n">
        <v>45849</v>
      </c>
      <c r="D1418" t="inlineStr">
        <is>
          <t>JÄMTLANDS LÄN</t>
        </is>
      </c>
      <c r="E1418" t="inlineStr">
        <is>
          <t>BERG</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23913-2025</t>
        </is>
      </c>
      <c r="B1419" s="1" t="n">
        <v>45795</v>
      </c>
      <c r="C1419" s="1" t="n">
        <v>45849</v>
      </c>
      <c r="D1419" t="inlineStr">
        <is>
          <t>JÄMTLANDS LÄN</t>
        </is>
      </c>
      <c r="E1419" t="inlineStr">
        <is>
          <t>BERG</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23919-2025</t>
        </is>
      </c>
      <c r="B1420" s="1" t="n">
        <v>45795</v>
      </c>
      <c r="C1420" s="1" t="n">
        <v>45849</v>
      </c>
      <c r="D1420" t="inlineStr">
        <is>
          <t>JÄMTLANDS LÄN</t>
        </is>
      </c>
      <c r="E1420" t="inlineStr">
        <is>
          <t>BERG</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23915-2025</t>
        </is>
      </c>
      <c r="B1421" s="1" t="n">
        <v>45795</v>
      </c>
      <c r="C1421" s="1" t="n">
        <v>45849</v>
      </c>
      <c r="D1421" t="inlineStr">
        <is>
          <t>JÄMTLANDS LÄN</t>
        </is>
      </c>
      <c r="E1421" t="inlineStr">
        <is>
          <t>BERG</t>
        </is>
      </c>
      <c r="F1421" t="inlineStr">
        <is>
          <t>SCA</t>
        </is>
      </c>
      <c r="G1421" t="n">
        <v>16.7</v>
      </c>
      <c r="H1421" t="n">
        <v>0</v>
      </c>
      <c r="I1421" t="n">
        <v>0</v>
      </c>
      <c r="J1421" t="n">
        <v>0</v>
      </c>
      <c r="K1421" t="n">
        <v>0</v>
      </c>
      <c r="L1421" t="n">
        <v>0</v>
      </c>
      <c r="M1421" t="n">
        <v>0</v>
      </c>
      <c r="N1421" t="n">
        <v>0</v>
      </c>
      <c r="O1421" t="n">
        <v>0</v>
      </c>
      <c r="P1421" t="n">
        <v>0</v>
      </c>
      <c r="Q1421" t="n">
        <v>0</v>
      </c>
      <c r="R1421" s="2" t="inlineStr"/>
    </row>
    <row r="1422" ht="15" customHeight="1">
      <c r="A1422" t="inlineStr">
        <is>
          <t>A 23916-2025</t>
        </is>
      </c>
      <c r="B1422" s="1" t="n">
        <v>45795</v>
      </c>
      <c r="C1422" s="1" t="n">
        <v>45849</v>
      </c>
      <c r="D1422" t="inlineStr">
        <is>
          <t>JÄMTLANDS LÄN</t>
        </is>
      </c>
      <c r="E1422" t="inlineStr">
        <is>
          <t>BERG</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24060-2025</t>
        </is>
      </c>
      <c r="B1423" s="1" t="n">
        <v>45796</v>
      </c>
      <c r="C1423" s="1" t="n">
        <v>45849</v>
      </c>
      <c r="D1423" t="inlineStr">
        <is>
          <t>JÄMTLANDS LÄN</t>
        </is>
      </c>
      <c r="E1423" t="inlineStr">
        <is>
          <t>BERG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24360-2025</t>
        </is>
      </c>
      <c r="B1424" s="1" t="n">
        <v>45797</v>
      </c>
      <c r="C1424" s="1" t="n">
        <v>45849</v>
      </c>
      <c r="D1424" t="inlineStr">
        <is>
          <t>JÄMTLANDS LÄN</t>
        </is>
      </c>
      <c r="E1424" t="inlineStr">
        <is>
          <t>BERG</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24442-2025</t>
        </is>
      </c>
      <c r="B1425" s="1" t="n">
        <v>45798</v>
      </c>
      <c r="C1425" s="1" t="n">
        <v>45849</v>
      </c>
      <c r="D1425" t="inlineStr">
        <is>
          <t>JÄMTLANDS LÄN</t>
        </is>
      </c>
      <c r="E1425" t="inlineStr">
        <is>
          <t>BERG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24324-2025</t>
        </is>
      </c>
      <c r="B1426" s="1" t="n">
        <v>45797</v>
      </c>
      <c r="C1426" s="1" t="n">
        <v>45849</v>
      </c>
      <c r="D1426" t="inlineStr">
        <is>
          <t>JÄMTLANDS LÄN</t>
        </is>
      </c>
      <c r="E1426" t="inlineStr">
        <is>
          <t>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24390-2025</t>
        </is>
      </c>
      <c r="B1427" s="1" t="n">
        <v>45797</v>
      </c>
      <c r="C1427" s="1" t="n">
        <v>45849</v>
      </c>
      <c r="D1427" t="inlineStr">
        <is>
          <t>JÄMTLANDS LÄN</t>
        </is>
      </c>
      <c r="E1427" t="inlineStr">
        <is>
          <t>BERG</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24644-2025</t>
        </is>
      </c>
      <c r="B1428" s="1" t="n">
        <v>45798</v>
      </c>
      <c r="C1428" s="1" t="n">
        <v>45849</v>
      </c>
      <c r="D1428" t="inlineStr">
        <is>
          <t>JÄMTLANDS LÄN</t>
        </is>
      </c>
      <c r="E1428" t="inlineStr">
        <is>
          <t>BERG</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24786-2025</t>
        </is>
      </c>
      <c r="B1429" s="1" t="n">
        <v>45799</v>
      </c>
      <c r="C1429" s="1" t="n">
        <v>45849</v>
      </c>
      <c r="D1429" t="inlineStr">
        <is>
          <t>JÄMTLANDS LÄN</t>
        </is>
      </c>
      <c r="E1429" t="inlineStr">
        <is>
          <t>BERG</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24869-2025</t>
        </is>
      </c>
      <c r="B1430" s="1" t="n">
        <v>45799</v>
      </c>
      <c r="C1430" s="1" t="n">
        <v>45849</v>
      </c>
      <c r="D1430" t="inlineStr">
        <is>
          <t>JÄMTLANDS LÄN</t>
        </is>
      </c>
      <c r="E1430" t="inlineStr">
        <is>
          <t>BERG</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24954-2025</t>
        </is>
      </c>
      <c r="B1431" s="1" t="n">
        <v>45799</v>
      </c>
      <c r="C1431" s="1" t="n">
        <v>45849</v>
      </c>
      <c r="D1431" t="inlineStr">
        <is>
          <t>JÄMTLANDS LÄN</t>
        </is>
      </c>
      <c r="E1431" t="inlineStr">
        <is>
          <t>BERG</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24849-2025</t>
        </is>
      </c>
      <c r="B1432" s="1" t="n">
        <v>45799</v>
      </c>
      <c r="C1432" s="1" t="n">
        <v>45849</v>
      </c>
      <c r="D1432" t="inlineStr">
        <is>
          <t>JÄMTLANDS LÄN</t>
        </is>
      </c>
      <c r="E1432" t="inlineStr">
        <is>
          <t>BERG</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25441-2025</t>
        </is>
      </c>
      <c r="B1433" s="1" t="n">
        <v>45801</v>
      </c>
      <c r="C1433" s="1" t="n">
        <v>45849</v>
      </c>
      <c r="D1433" t="inlineStr">
        <is>
          <t>JÄMTLANDS LÄN</t>
        </is>
      </c>
      <c r="E1433" t="inlineStr">
        <is>
          <t>BERG</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25454-2025</t>
        </is>
      </c>
      <c r="B1434" s="1" t="n">
        <v>45802</v>
      </c>
      <c r="C1434" s="1" t="n">
        <v>45849</v>
      </c>
      <c r="D1434" t="inlineStr">
        <is>
          <t>JÄMTLANDS LÄN</t>
        </is>
      </c>
      <c r="E1434" t="inlineStr">
        <is>
          <t>BERG</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25452-2025</t>
        </is>
      </c>
      <c r="B1435" s="1" t="n">
        <v>45802</v>
      </c>
      <c r="C1435" s="1" t="n">
        <v>45849</v>
      </c>
      <c r="D1435" t="inlineStr">
        <is>
          <t>JÄMTLANDS LÄN</t>
        </is>
      </c>
      <c r="E1435" t="inlineStr">
        <is>
          <t>BERG</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25453-2025</t>
        </is>
      </c>
      <c r="B1436" s="1" t="n">
        <v>45802</v>
      </c>
      <c r="C1436" s="1" t="n">
        <v>45849</v>
      </c>
      <c r="D1436" t="inlineStr">
        <is>
          <t>JÄMTLANDS LÄN</t>
        </is>
      </c>
      <c r="E1436" t="inlineStr">
        <is>
          <t>BERG</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45849</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45849</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45849</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45849</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25885-2025</t>
        </is>
      </c>
      <c r="B1441" s="1" t="n">
        <v>45804</v>
      </c>
      <c r="C1441" s="1" t="n">
        <v>45849</v>
      </c>
      <c r="D1441" t="inlineStr">
        <is>
          <t>JÄMTLANDS LÄN</t>
        </is>
      </c>
      <c r="E1441" t="inlineStr">
        <is>
          <t>BERG</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25886-2025</t>
        </is>
      </c>
      <c r="B1442" s="1" t="n">
        <v>45804</v>
      </c>
      <c r="C1442" s="1" t="n">
        <v>45849</v>
      </c>
      <c r="D1442" t="inlineStr">
        <is>
          <t>JÄMTLANDS LÄN</t>
        </is>
      </c>
      <c r="E1442" t="inlineStr">
        <is>
          <t>BERG</t>
        </is>
      </c>
      <c r="F1442" t="inlineStr">
        <is>
          <t>SCA</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25887-2025</t>
        </is>
      </c>
      <c r="B1443" s="1" t="n">
        <v>45804</v>
      </c>
      <c r="C1443" s="1" t="n">
        <v>45849</v>
      </c>
      <c r="D1443" t="inlineStr">
        <is>
          <t>JÄMTLANDS LÄN</t>
        </is>
      </c>
      <c r="E1443" t="inlineStr">
        <is>
          <t>BERG</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26013-2025</t>
        </is>
      </c>
      <c r="B1444" s="1" t="n">
        <v>45804</v>
      </c>
      <c r="C1444" s="1" t="n">
        <v>45849</v>
      </c>
      <c r="D1444" t="inlineStr">
        <is>
          <t>JÄMTLANDS LÄN</t>
        </is>
      </c>
      <c r="E1444" t="inlineStr">
        <is>
          <t>BERG</t>
        </is>
      </c>
      <c r="F1444" t="inlineStr">
        <is>
          <t>SCA</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25979-2025</t>
        </is>
      </c>
      <c r="B1445" s="1" t="n">
        <v>45804</v>
      </c>
      <c r="C1445" s="1" t="n">
        <v>45849</v>
      </c>
      <c r="D1445" t="inlineStr">
        <is>
          <t>JÄMTLANDS LÄN</t>
        </is>
      </c>
      <c r="E1445" t="inlineStr">
        <is>
          <t>BERG</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25980-2025</t>
        </is>
      </c>
      <c r="B1446" s="1" t="n">
        <v>45804</v>
      </c>
      <c r="C1446" s="1" t="n">
        <v>45849</v>
      </c>
      <c r="D1446" t="inlineStr">
        <is>
          <t>JÄMTLANDS LÄN</t>
        </is>
      </c>
      <c r="E1446" t="inlineStr">
        <is>
          <t>BERG</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25938-2025</t>
        </is>
      </c>
      <c r="B1447" s="1" t="n">
        <v>45804</v>
      </c>
      <c r="C1447" s="1" t="n">
        <v>45849</v>
      </c>
      <c r="D1447" t="inlineStr">
        <is>
          <t>JÄMTLANDS LÄN</t>
        </is>
      </c>
      <c r="E1447" t="inlineStr">
        <is>
          <t>BERG</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26186-2025</t>
        </is>
      </c>
      <c r="B1448" s="1" t="n">
        <v>45805</v>
      </c>
      <c r="C1448" s="1" t="n">
        <v>45849</v>
      </c>
      <c r="D1448" t="inlineStr">
        <is>
          <t>JÄMTLANDS LÄN</t>
        </is>
      </c>
      <c r="E1448" t="inlineStr">
        <is>
          <t>BERG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26275-2025</t>
        </is>
      </c>
      <c r="B1449" s="1" t="n">
        <v>45805</v>
      </c>
      <c r="C1449" s="1" t="n">
        <v>45849</v>
      </c>
      <c r="D1449" t="inlineStr">
        <is>
          <t>JÄMTLANDS LÄN</t>
        </is>
      </c>
      <c r="E1449" t="inlineStr">
        <is>
          <t>BERG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26128-2025</t>
        </is>
      </c>
      <c r="B1450" s="1" t="n">
        <v>45805</v>
      </c>
      <c r="C1450" s="1" t="n">
        <v>45849</v>
      </c>
      <c r="D1450" t="inlineStr">
        <is>
          <t>JÄMTLANDS LÄN</t>
        </is>
      </c>
      <c r="E1450" t="inlineStr">
        <is>
          <t>BERG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26374-2025</t>
        </is>
      </c>
      <c r="B1451" s="1" t="n">
        <v>45806</v>
      </c>
      <c r="C1451" s="1" t="n">
        <v>45849</v>
      </c>
      <c r="D1451" t="inlineStr">
        <is>
          <t>JÄMTLANDS LÄN</t>
        </is>
      </c>
      <c r="E1451" t="inlineStr">
        <is>
          <t>BERG</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26378-2025</t>
        </is>
      </c>
      <c r="B1452" s="1" t="n">
        <v>45806</v>
      </c>
      <c r="C1452" s="1" t="n">
        <v>45849</v>
      </c>
      <c r="D1452" t="inlineStr">
        <is>
          <t>JÄMTLANDS LÄN</t>
        </is>
      </c>
      <c r="E1452" t="inlineStr">
        <is>
          <t>BERG</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26743-2025</t>
        </is>
      </c>
      <c r="B1453" s="1" t="n">
        <v>45810</v>
      </c>
      <c r="C1453" s="1" t="n">
        <v>45849</v>
      </c>
      <c r="D1453" t="inlineStr">
        <is>
          <t>JÄMTLANDS LÄN</t>
        </is>
      </c>
      <c r="E1453" t="inlineStr">
        <is>
          <t>BERG</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27044-2025</t>
        </is>
      </c>
      <c r="B1454" s="1" t="n">
        <v>45811</v>
      </c>
      <c r="C1454" s="1" t="n">
        <v>45849</v>
      </c>
      <c r="D1454" t="inlineStr">
        <is>
          <t>JÄMTLANDS LÄN</t>
        </is>
      </c>
      <c r="E1454" t="inlineStr">
        <is>
          <t>BERG</t>
        </is>
      </c>
      <c r="F1454" t="inlineStr">
        <is>
          <t>SCA</t>
        </is>
      </c>
      <c r="G1454" t="n">
        <v>26.1</v>
      </c>
      <c r="H1454" t="n">
        <v>0</v>
      </c>
      <c r="I1454" t="n">
        <v>0</v>
      </c>
      <c r="J1454" t="n">
        <v>0</v>
      </c>
      <c r="K1454" t="n">
        <v>0</v>
      </c>
      <c r="L1454" t="n">
        <v>0</v>
      </c>
      <c r="M1454" t="n">
        <v>0</v>
      </c>
      <c r="N1454" t="n">
        <v>0</v>
      </c>
      <c r="O1454" t="n">
        <v>0</v>
      </c>
      <c r="P1454" t="n">
        <v>0</v>
      </c>
      <c r="Q1454" t="n">
        <v>0</v>
      </c>
      <c r="R1454" s="2" t="inlineStr"/>
    </row>
    <row r="1455" ht="15" customHeight="1">
      <c r="A1455" t="inlineStr">
        <is>
          <t>A 27063-2025</t>
        </is>
      </c>
      <c r="B1455" s="1" t="n">
        <v>45811</v>
      </c>
      <c r="C1455" s="1" t="n">
        <v>45849</v>
      </c>
      <c r="D1455" t="inlineStr">
        <is>
          <t>JÄMTLANDS LÄN</t>
        </is>
      </c>
      <c r="E1455" t="inlineStr">
        <is>
          <t>BERG</t>
        </is>
      </c>
      <c r="F1455" t="inlineStr">
        <is>
          <t>SCA</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27317-2025</t>
        </is>
      </c>
      <c r="B1456" s="1" t="n">
        <v>45812</v>
      </c>
      <c r="C1456" s="1" t="n">
        <v>45849</v>
      </c>
      <c r="D1456" t="inlineStr">
        <is>
          <t>JÄMTLANDS LÄN</t>
        </is>
      </c>
      <c r="E1456" t="inlineStr">
        <is>
          <t>BERG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27312-2025</t>
        </is>
      </c>
      <c r="B1457" s="1" t="n">
        <v>45812</v>
      </c>
      <c r="C1457" s="1" t="n">
        <v>45849</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27716-2025</t>
        </is>
      </c>
      <c r="B1458" s="1" t="n">
        <v>45814</v>
      </c>
      <c r="C1458" s="1" t="n">
        <v>45849</v>
      </c>
      <c r="D1458" t="inlineStr">
        <is>
          <t>JÄMTLANDS LÄN</t>
        </is>
      </c>
      <c r="E1458" t="inlineStr">
        <is>
          <t>BERG</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45849</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27575-2025</t>
        </is>
      </c>
      <c r="B1460" s="1" t="n">
        <v>45813</v>
      </c>
      <c r="C1460" s="1" t="n">
        <v>45849</v>
      </c>
      <c r="D1460" t="inlineStr">
        <is>
          <t>JÄMTLANDS LÄN</t>
        </is>
      </c>
      <c r="E1460" t="inlineStr">
        <is>
          <t>BERG</t>
        </is>
      </c>
      <c r="F1460" t="inlineStr">
        <is>
          <t>SCA</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27603-2025</t>
        </is>
      </c>
      <c r="B1461" s="1" t="n">
        <v>45813</v>
      </c>
      <c r="C1461" s="1" t="n">
        <v>45849</v>
      </c>
      <c r="D1461" t="inlineStr">
        <is>
          <t>JÄMTLANDS LÄN</t>
        </is>
      </c>
      <c r="E1461" t="inlineStr">
        <is>
          <t>BERG</t>
        </is>
      </c>
      <c r="F1461" t="inlineStr">
        <is>
          <t>SCA</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27459-2025</t>
        </is>
      </c>
      <c r="B1462" s="1" t="n">
        <v>45813</v>
      </c>
      <c r="C1462" s="1" t="n">
        <v>45849</v>
      </c>
      <c r="D1462" t="inlineStr">
        <is>
          <t>JÄMTLANDS LÄN</t>
        </is>
      </c>
      <c r="E1462" t="inlineStr">
        <is>
          <t>BERG</t>
        </is>
      </c>
      <c r="F1462" t="inlineStr">
        <is>
          <t>SCA</t>
        </is>
      </c>
      <c r="G1462" t="n">
        <v>19.2</v>
      </c>
      <c r="H1462" t="n">
        <v>0</v>
      </c>
      <c r="I1462" t="n">
        <v>0</v>
      </c>
      <c r="J1462" t="n">
        <v>0</v>
      </c>
      <c r="K1462" t="n">
        <v>0</v>
      </c>
      <c r="L1462" t="n">
        <v>0</v>
      </c>
      <c r="M1462" t="n">
        <v>0</v>
      </c>
      <c r="N1462" t="n">
        <v>0</v>
      </c>
      <c r="O1462" t="n">
        <v>0</v>
      </c>
      <c r="P1462" t="n">
        <v>0</v>
      </c>
      <c r="Q1462" t="n">
        <v>0</v>
      </c>
      <c r="R1462" s="2" t="inlineStr"/>
    </row>
    <row r="1463" ht="15" customHeight="1">
      <c r="A1463" t="inlineStr">
        <is>
          <t>A 27737-2025</t>
        </is>
      </c>
      <c r="B1463" s="1" t="n">
        <v>45815</v>
      </c>
      <c r="C1463" s="1" t="n">
        <v>45849</v>
      </c>
      <c r="D1463" t="inlineStr">
        <is>
          <t>JÄMTLANDS LÄN</t>
        </is>
      </c>
      <c r="E1463" t="inlineStr">
        <is>
          <t>BERG</t>
        </is>
      </c>
      <c r="F1463" t="inlineStr">
        <is>
          <t>SCA</t>
        </is>
      </c>
      <c r="G1463" t="n">
        <v>10.9</v>
      </c>
      <c r="H1463" t="n">
        <v>0</v>
      </c>
      <c r="I1463" t="n">
        <v>0</v>
      </c>
      <c r="J1463" t="n">
        <v>0</v>
      </c>
      <c r="K1463" t="n">
        <v>0</v>
      </c>
      <c r="L1463" t="n">
        <v>0</v>
      </c>
      <c r="M1463" t="n">
        <v>0</v>
      </c>
      <c r="N1463" t="n">
        <v>0</v>
      </c>
      <c r="O1463" t="n">
        <v>0</v>
      </c>
      <c r="P1463" t="n">
        <v>0</v>
      </c>
      <c r="Q1463" t="n">
        <v>0</v>
      </c>
      <c r="R1463" s="2" t="inlineStr"/>
    </row>
    <row r="1464" ht="15" customHeight="1">
      <c r="A1464" t="inlineStr">
        <is>
          <t>A 27750-2025</t>
        </is>
      </c>
      <c r="B1464" s="1" t="n">
        <v>45815</v>
      </c>
      <c r="C1464" s="1" t="n">
        <v>45849</v>
      </c>
      <c r="D1464" t="inlineStr">
        <is>
          <t>JÄMTLANDS LÄN</t>
        </is>
      </c>
      <c r="E1464" t="inlineStr">
        <is>
          <t>BERG</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28079-2025</t>
        </is>
      </c>
      <c r="B1465" s="1" t="n">
        <v>45817</v>
      </c>
      <c r="C1465" s="1" t="n">
        <v>45849</v>
      </c>
      <c r="D1465" t="inlineStr">
        <is>
          <t>JÄMTLANDS LÄN</t>
        </is>
      </c>
      <c r="E1465" t="inlineStr">
        <is>
          <t>BERG</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28077-2025</t>
        </is>
      </c>
      <c r="B1466" s="1" t="n">
        <v>45817</v>
      </c>
      <c r="C1466" s="1" t="n">
        <v>45849</v>
      </c>
      <c r="D1466" t="inlineStr">
        <is>
          <t>JÄMTLANDS LÄN</t>
        </is>
      </c>
      <c r="E1466" t="inlineStr">
        <is>
          <t>BERG</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28196-2025</t>
        </is>
      </c>
      <c r="B1467" s="1" t="n">
        <v>45818</v>
      </c>
      <c r="C1467" s="1" t="n">
        <v>45849</v>
      </c>
      <c r="D1467" t="inlineStr">
        <is>
          <t>JÄMTLANDS LÄN</t>
        </is>
      </c>
      <c r="E1467" t="inlineStr">
        <is>
          <t>BERG</t>
        </is>
      </c>
      <c r="F1467" t="inlineStr">
        <is>
          <t>SCA</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28232-2025</t>
        </is>
      </c>
      <c r="B1468" s="1" t="n">
        <v>45818</v>
      </c>
      <c r="C1468" s="1" t="n">
        <v>45849</v>
      </c>
      <c r="D1468" t="inlineStr">
        <is>
          <t>JÄMTLANDS LÄN</t>
        </is>
      </c>
      <c r="E1468" t="inlineStr">
        <is>
          <t>BERG</t>
        </is>
      </c>
      <c r="F1468" t="inlineStr">
        <is>
          <t>SCA</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28257-2025</t>
        </is>
      </c>
      <c r="B1469" s="1" t="n">
        <v>45818</v>
      </c>
      <c r="C1469" s="1" t="n">
        <v>45849</v>
      </c>
      <c r="D1469" t="inlineStr">
        <is>
          <t>JÄMTLANDS LÄN</t>
        </is>
      </c>
      <c r="E1469" t="inlineStr">
        <is>
          <t>BERG</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28157-2025</t>
        </is>
      </c>
      <c r="B1470" s="1" t="n">
        <v>45818</v>
      </c>
      <c r="C1470" s="1" t="n">
        <v>45849</v>
      </c>
      <c r="D1470" t="inlineStr">
        <is>
          <t>JÄMTLANDS LÄN</t>
        </is>
      </c>
      <c r="E1470" t="inlineStr">
        <is>
          <t>BERG</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28453-2025</t>
        </is>
      </c>
      <c r="B1471" s="1" t="n">
        <v>45819</v>
      </c>
      <c r="C1471" s="1" t="n">
        <v>45849</v>
      </c>
      <c r="D1471" t="inlineStr">
        <is>
          <t>JÄMTLANDS LÄN</t>
        </is>
      </c>
      <c r="E1471" t="inlineStr">
        <is>
          <t>BERG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28657-2025</t>
        </is>
      </c>
      <c r="B1472" s="1" t="n">
        <v>45819</v>
      </c>
      <c r="C1472" s="1" t="n">
        <v>45849</v>
      </c>
      <c r="D1472" t="inlineStr">
        <is>
          <t>JÄMTLANDS LÄN</t>
        </is>
      </c>
      <c r="E1472" t="inlineStr">
        <is>
          <t>BERG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28401-2025</t>
        </is>
      </c>
      <c r="B1473" s="1" t="n">
        <v>45819</v>
      </c>
      <c r="C1473" s="1" t="n">
        <v>45849</v>
      </c>
      <c r="D1473" t="inlineStr">
        <is>
          <t>JÄMTLANDS LÄN</t>
        </is>
      </c>
      <c r="E1473" t="inlineStr">
        <is>
          <t>BERG</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28538-2025</t>
        </is>
      </c>
      <c r="B1474" s="1" t="n">
        <v>45819</v>
      </c>
      <c r="C1474" s="1" t="n">
        <v>45849</v>
      </c>
      <c r="D1474" t="inlineStr">
        <is>
          <t>JÄMTLANDS LÄN</t>
        </is>
      </c>
      <c r="E1474" t="inlineStr">
        <is>
          <t>BERG</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28454-2025</t>
        </is>
      </c>
      <c r="B1475" s="1" t="n">
        <v>45819</v>
      </c>
      <c r="C1475" s="1" t="n">
        <v>45849</v>
      </c>
      <c r="D1475" t="inlineStr">
        <is>
          <t>JÄMTLANDS LÄN</t>
        </is>
      </c>
      <c r="E1475" t="inlineStr">
        <is>
          <t>BERG</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29197-2025</t>
        </is>
      </c>
      <c r="B1476" s="1" t="n">
        <v>45823</v>
      </c>
      <c r="C1476" s="1" t="n">
        <v>45849</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29199-2025</t>
        </is>
      </c>
      <c r="B1477" s="1" t="n">
        <v>45823</v>
      </c>
      <c r="C1477" s="1" t="n">
        <v>45849</v>
      </c>
      <c r="D1477" t="inlineStr">
        <is>
          <t>JÄMTLANDS LÄN</t>
        </is>
      </c>
      <c r="E1477" t="inlineStr">
        <is>
          <t>BERG</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29198-2025</t>
        </is>
      </c>
      <c r="B1478" s="1" t="n">
        <v>45823</v>
      </c>
      <c r="C1478" s="1" t="n">
        <v>45849</v>
      </c>
      <c r="D1478" t="inlineStr">
        <is>
          <t>JÄMTLANDS LÄN</t>
        </is>
      </c>
      <c r="E1478" t="inlineStr">
        <is>
          <t>BERG</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29310-2025</t>
        </is>
      </c>
      <c r="B1479" s="1" t="n">
        <v>45824</v>
      </c>
      <c r="C1479" s="1" t="n">
        <v>45849</v>
      </c>
      <c r="D1479" t="inlineStr">
        <is>
          <t>JÄMTLANDS LÄN</t>
        </is>
      </c>
      <c r="E1479" t="inlineStr">
        <is>
          <t>BERG</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29279-2025</t>
        </is>
      </c>
      <c r="B1480" s="1" t="n">
        <v>45824</v>
      </c>
      <c r="C1480" s="1" t="n">
        <v>45849</v>
      </c>
      <c r="D1480" t="inlineStr">
        <is>
          <t>JÄMTLANDS LÄN</t>
        </is>
      </c>
      <c r="E1480" t="inlineStr">
        <is>
          <t>BERG</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29836-2025</t>
        </is>
      </c>
      <c r="B1481" s="1" t="n">
        <v>45826</v>
      </c>
      <c r="C1481" s="1" t="n">
        <v>45849</v>
      </c>
      <c r="D1481" t="inlineStr">
        <is>
          <t>JÄMTLANDS LÄN</t>
        </is>
      </c>
      <c r="E1481" t="inlineStr">
        <is>
          <t>BERG</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29538-2025</t>
        </is>
      </c>
      <c r="B1482" s="1" t="n">
        <v>45825</v>
      </c>
      <c r="C1482" s="1" t="n">
        <v>45849</v>
      </c>
      <c r="D1482" t="inlineStr">
        <is>
          <t>JÄMTLANDS LÄN</t>
        </is>
      </c>
      <c r="E1482" t="inlineStr">
        <is>
          <t>BERG</t>
        </is>
      </c>
      <c r="F1482" t="inlineStr">
        <is>
          <t>SCA</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29533-2025</t>
        </is>
      </c>
      <c r="B1483" s="1" t="n">
        <v>45825</v>
      </c>
      <c r="C1483" s="1" t="n">
        <v>45849</v>
      </c>
      <c r="D1483" t="inlineStr">
        <is>
          <t>JÄMTLANDS LÄN</t>
        </is>
      </c>
      <c r="E1483" t="inlineStr">
        <is>
          <t>BERG</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30017-2025</t>
        </is>
      </c>
      <c r="B1484" s="1" t="n">
        <v>45826</v>
      </c>
      <c r="C1484" s="1" t="n">
        <v>45849</v>
      </c>
      <c r="D1484" t="inlineStr">
        <is>
          <t>JÄMTLANDS LÄN</t>
        </is>
      </c>
      <c r="E1484" t="inlineStr">
        <is>
          <t>BERG</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29908-2025</t>
        </is>
      </c>
      <c r="B1485" s="1" t="n">
        <v>45826</v>
      </c>
      <c r="C1485" s="1" t="n">
        <v>45849</v>
      </c>
      <c r="D1485" t="inlineStr">
        <is>
          <t>JÄMTLANDS LÄN</t>
        </is>
      </c>
      <c r="E1485" t="inlineStr">
        <is>
          <t>BERG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30314-2025</t>
        </is>
      </c>
      <c r="B1486" s="1" t="n">
        <v>45827</v>
      </c>
      <c r="C1486" s="1" t="n">
        <v>45849</v>
      </c>
      <c r="D1486" t="inlineStr">
        <is>
          <t>JÄMTLANDS LÄN</t>
        </is>
      </c>
      <c r="E1486" t="inlineStr">
        <is>
          <t>BERG</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31090-2025</t>
        </is>
      </c>
      <c r="B1487" s="1" t="n">
        <v>45832</v>
      </c>
      <c r="C1487" s="1" t="n">
        <v>45849</v>
      </c>
      <c r="D1487" t="inlineStr">
        <is>
          <t>JÄMTLANDS LÄN</t>
        </is>
      </c>
      <c r="E1487" t="inlineStr">
        <is>
          <t>BERG</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31092-2025</t>
        </is>
      </c>
      <c r="B1488" s="1" t="n">
        <v>45832</v>
      </c>
      <c r="C1488" s="1" t="n">
        <v>45849</v>
      </c>
      <c r="D1488" t="inlineStr">
        <is>
          <t>JÄMTLANDS LÄN</t>
        </is>
      </c>
      <c r="E1488" t="inlineStr">
        <is>
          <t>BERG</t>
        </is>
      </c>
      <c r="F1488" t="inlineStr">
        <is>
          <t>SCA</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31015-2025</t>
        </is>
      </c>
      <c r="B1489" s="1" t="n">
        <v>45832</v>
      </c>
      <c r="C1489" s="1" t="n">
        <v>45849</v>
      </c>
      <c r="D1489" t="inlineStr">
        <is>
          <t>JÄMTLANDS LÄN</t>
        </is>
      </c>
      <c r="E1489" t="inlineStr">
        <is>
          <t>BERG</t>
        </is>
      </c>
      <c r="F1489" t="inlineStr">
        <is>
          <t>SCA</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31136-2025</t>
        </is>
      </c>
      <c r="B1490" s="1" t="n">
        <v>45832</v>
      </c>
      <c r="C1490" s="1" t="n">
        <v>45849</v>
      </c>
      <c r="D1490" t="inlineStr">
        <is>
          <t>JÄMTLANDS LÄN</t>
        </is>
      </c>
      <c r="E1490" t="inlineStr">
        <is>
          <t>BERG</t>
        </is>
      </c>
      <c r="F1490" t="inlineStr">
        <is>
          <t>SCA</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31017-2025</t>
        </is>
      </c>
      <c r="B1491" s="1" t="n">
        <v>45832</v>
      </c>
      <c r="C1491" s="1" t="n">
        <v>45849</v>
      </c>
      <c r="D1491" t="inlineStr">
        <is>
          <t>JÄMTLANDS LÄN</t>
        </is>
      </c>
      <c r="E1491" t="inlineStr">
        <is>
          <t>BERG</t>
        </is>
      </c>
      <c r="F1491" t="inlineStr">
        <is>
          <t>SCA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31024-2025</t>
        </is>
      </c>
      <c r="B1492" s="1" t="n">
        <v>45832</v>
      </c>
      <c r="C1492" s="1" t="n">
        <v>45849</v>
      </c>
      <c r="D1492" t="inlineStr">
        <is>
          <t>JÄMTLANDS LÄN</t>
        </is>
      </c>
      <c r="E1492" t="inlineStr">
        <is>
          <t>BERG</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31070-2025</t>
        </is>
      </c>
      <c r="B1493" s="1" t="n">
        <v>45832</v>
      </c>
      <c r="C1493" s="1" t="n">
        <v>45849</v>
      </c>
      <c r="D1493" t="inlineStr">
        <is>
          <t>JÄMTLANDS LÄN</t>
        </is>
      </c>
      <c r="E1493" t="inlineStr">
        <is>
          <t>BERG</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45849</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45849</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45849</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32713-2025</t>
        </is>
      </c>
      <c r="B1497" s="1" t="n">
        <v>45839</v>
      </c>
      <c r="C1497" s="1" t="n">
        <v>45849</v>
      </c>
      <c r="D1497" t="inlineStr">
        <is>
          <t>JÄMTLANDS LÄN</t>
        </is>
      </c>
      <c r="E1497" t="inlineStr">
        <is>
          <t>BERG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32919-2025</t>
        </is>
      </c>
      <c r="B1498" s="1" t="n">
        <v>45839</v>
      </c>
      <c r="C1498" s="1" t="n">
        <v>45849</v>
      </c>
      <c r="D1498" t="inlineStr">
        <is>
          <t>JÄMTLANDS LÄN</t>
        </is>
      </c>
      <c r="E1498" t="inlineStr">
        <is>
          <t>BERG</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33054-2025</t>
        </is>
      </c>
      <c r="B1499" s="1" t="n">
        <v>45840</v>
      </c>
      <c r="C1499" s="1" t="n">
        <v>45849</v>
      </c>
      <c r="D1499" t="inlineStr">
        <is>
          <t>JÄMTLANDS LÄN</t>
        </is>
      </c>
      <c r="E1499" t="inlineStr">
        <is>
          <t>BERG</t>
        </is>
      </c>
      <c r="F1499" t="inlineStr">
        <is>
          <t>SCA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33386-2025</t>
        </is>
      </c>
      <c r="B1500" s="1" t="n">
        <v>45841</v>
      </c>
      <c r="C1500" s="1" t="n">
        <v>45849</v>
      </c>
      <c r="D1500" t="inlineStr">
        <is>
          <t>JÄMTLANDS LÄN</t>
        </is>
      </c>
      <c r="E1500" t="inlineStr">
        <is>
          <t>BERG</t>
        </is>
      </c>
      <c r="G1500" t="n">
        <v>37.7</v>
      </c>
      <c r="H1500" t="n">
        <v>0</v>
      </c>
      <c r="I1500" t="n">
        <v>0</v>
      </c>
      <c r="J1500" t="n">
        <v>0</v>
      </c>
      <c r="K1500" t="n">
        <v>0</v>
      </c>
      <c r="L1500" t="n">
        <v>0</v>
      </c>
      <c r="M1500" t="n">
        <v>0</v>
      </c>
      <c r="N1500" t="n">
        <v>0</v>
      </c>
      <c r="O1500" t="n">
        <v>0</v>
      </c>
      <c r="P1500" t="n">
        <v>0</v>
      </c>
      <c r="Q1500" t="n">
        <v>0</v>
      </c>
      <c r="R1500" s="2" t="inlineStr"/>
    </row>
    <row r="1501" ht="15" customHeight="1">
      <c r="A1501" t="inlineStr">
        <is>
          <t>A 33750-2025</t>
        </is>
      </c>
      <c r="B1501" s="1" t="n">
        <v>45842</v>
      </c>
      <c r="C1501" s="1" t="n">
        <v>45849</v>
      </c>
      <c r="D1501" t="inlineStr">
        <is>
          <t>JÄMTLANDS LÄN</t>
        </is>
      </c>
      <c r="E1501" t="inlineStr">
        <is>
          <t>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33748-2025</t>
        </is>
      </c>
      <c r="B1502" s="1" t="n">
        <v>45842</v>
      </c>
      <c r="C1502" s="1" t="n">
        <v>45849</v>
      </c>
      <c r="D1502" t="inlineStr">
        <is>
          <t>JÄMTLANDS LÄN</t>
        </is>
      </c>
      <c r="E1502" t="inlineStr">
        <is>
          <t>BERG</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33753-2025</t>
        </is>
      </c>
      <c r="B1503" s="1" t="n">
        <v>45842</v>
      </c>
      <c r="C1503" s="1" t="n">
        <v>45849</v>
      </c>
      <c r="D1503" t="inlineStr">
        <is>
          <t>JÄMTLANDS LÄN</t>
        </is>
      </c>
      <c r="E1503" t="inlineStr">
        <is>
          <t>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34030-2025</t>
        </is>
      </c>
      <c r="B1504" s="1" t="n">
        <v>45845</v>
      </c>
      <c r="C1504" s="1" t="n">
        <v>45849</v>
      </c>
      <c r="D1504" t="inlineStr">
        <is>
          <t>JÄMTLANDS LÄN</t>
        </is>
      </c>
      <c r="E1504" t="inlineStr">
        <is>
          <t>BERG</t>
        </is>
      </c>
      <c r="G1504" t="n">
        <v>13.5</v>
      </c>
      <c r="H1504" t="n">
        <v>0</v>
      </c>
      <c r="I1504" t="n">
        <v>0</v>
      </c>
      <c r="J1504" t="n">
        <v>0</v>
      </c>
      <c r="K1504" t="n">
        <v>0</v>
      </c>
      <c r="L1504" t="n">
        <v>0</v>
      </c>
      <c r="M1504" t="n">
        <v>0</v>
      </c>
      <c r="N1504" t="n">
        <v>0</v>
      </c>
      <c r="O1504" t="n">
        <v>0</v>
      </c>
      <c r="P1504" t="n">
        <v>0</v>
      </c>
      <c r="Q1504" t="n">
        <v>0</v>
      </c>
      <c r="R1504" s="2" t="inlineStr"/>
    </row>
    <row r="1505">
      <c r="A1505" t="inlineStr">
        <is>
          <t>A 34036-2025</t>
        </is>
      </c>
      <c r="B1505" s="1" t="n">
        <v>45845</v>
      </c>
      <c r="C1505" s="1" t="n">
        <v>45849</v>
      </c>
      <c r="D1505" t="inlineStr">
        <is>
          <t>JÄMTLANDS LÄN</t>
        </is>
      </c>
      <c r="E1505" t="inlineStr">
        <is>
          <t>BERG</t>
        </is>
      </c>
      <c r="G1505" t="n">
        <v>4.8</v>
      </c>
      <c r="H1505" t="n">
        <v>0</v>
      </c>
      <c r="I1505" t="n">
        <v>0</v>
      </c>
      <c r="J1505" t="n">
        <v>0</v>
      </c>
      <c r="K1505" t="n">
        <v>0</v>
      </c>
      <c r="L1505" t="n">
        <v>0</v>
      </c>
      <c r="M1505" t="n">
        <v>0</v>
      </c>
      <c r="N1505" t="n">
        <v>0</v>
      </c>
      <c r="O1505" t="n">
        <v>0</v>
      </c>
      <c r="P1505" t="n">
        <v>0</v>
      </c>
      <c r="Q1505" t="n">
        <v>0</v>
      </c>
      <c r="R1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2025-07-11T19:38:04Z</dcterms:created>
  <dcterms:modified xmlns:dcterms="http://purl.org/dc/terms/" xmlns:xsi="http://www.w3.org/2001/XMLSchema-instance" xsi:type="dcterms:W3CDTF">2025-07-11T19:38:05Z</dcterms:modified>
</cp:coreProperties>
</file>