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45355</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45355</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45355</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45355</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45355</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45355</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45355</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45355</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45355</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45355</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45355</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45355</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45355</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45355</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45355</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45355</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45355</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45355</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45355</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45355</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45355</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45355</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45355</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45355</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45355</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45355</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45355</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45355</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45355</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45355</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45355</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45355</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45355</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45355</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45355</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45355</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45355</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45355</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45355</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45355</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45355</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45355</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45355</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45355</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45355</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45355</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45355</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45355</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45355</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45355</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54802-2021</t>
        </is>
      </c>
      <c r="B53" s="1" t="n">
        <v>44473</v>
      </c>
      <c r="C53" s="1" t="n">
        <v>45355</v>
      </c>
      <c r="D53" t="inlineStr">
        <is>
          <t>JÄMTLANDS LÄN</t>
        </is>
      </c>
      <c r="E53" t="inlineStr">
        <is>
          <t>BERG</t>
        </is>
      </c>
      <c r="F53" t="inlineStr">
        <is>
          <t>SCA</t>
        </is>
      </c>
      <c r="G53" t="n">
        <v>2.8</v>
      </c>
      <c r="H53" t="n">
        <v>1</v>
      </c>
      <c r="I53" t="n">
        <v>0</v>
      </c>
      <c r="J53" t="n">
        <v>3</v>
      </c>
      <c r="K53" t="n">
        <v>0</v>
      </c>
      <c r="L53" t="n">
        <v>0</v>
      </c>
      <c r="M53" t="n">
        <v>0</v>
      </c>
      <c r="N53" t="n">
        <v>0</v>
      </c>
      <c r="O53" t="n">
        <v>3</v>
      </c>
      <c r="P53" t="n">
        <v>0</v>
      </c>
      <c r="Q53" t="n">
        <v>3</v>
      </c>
      <c r="R53" s="2" t="inlineStr">
        <is>
          <t>Garnlav
Granticka
Tretåig hackspett</t>
        </is>
      </c>
      <c r="S53">
        <f>HYPERLINK("https://klasma.github.io/Logging_2326/artfynd/A 54802-2021 artfynd.xlsx", "A 54802-2021")</f>
        <v/>
      </c>
      <c r="T53">
        <f>HYPERLINK("https://klasma.github.io/Logging_2326/kartor/A 54802-2021 karta.png", "A 54802-2021")</f>
        <v/>
      </c>
      <c r="V53">
        <f>HYPERLINK("https://klasma.github.io/Logging_2326/klagomål/A 54802-2021 FSC-klagomål.docx", "A 54802-2021")</f>
        <v/>
      </c>
      <c r="W53">
        <f>HYPERLINK("https://klasma.github.io/Logging_2326/klagomålsmail/A 54802-2021 FSC-klagomål mail.docx", "A 54802-2021")</f>
        <v/>
      </c>
      <c r="X53">
        <f>HYPERLINK("https://klasma.github.io/Logging_2326/tillsyn/A 54802-2021 tillsynsbegäran.docx", "A 54802-2021")</f>
        <v/>
      </c>
      <c r="Y53">
        <f>HYPERLINK("https://klasma.github.io/Logging_2326/tillsynsmail/A 54802-2021 tillsynsbegäran mail.docx", "A 54802-2021")</f>
        <v/>
      </c>
      <c r="Z53">
        <f>HYPERLINK("https://klasma.github.io/Logging_2326/fåglar/A 54802-2021 prioriterade fågelarter.docx", "A 54802-2021")</f>
        <v/>
      </c>
    </row>
    <row r="54" ht="15" customHeight="1">
      <c r="A54" t="inlineStr">
        <is>
          <t>A 68433-2021</t>
        </is>
      </c>
      <c r="B54" s="1" t="n">
        <v>44529</v>
      </c>
      <c r="C54" s="1" t="n">
        <v>45355</v>
      </c>
      <c r="D54" t="inlineStr">
        <is>
          <t>JÄMTLANDS LÄN</t>
        </is>
      </c>
      <c r="E54" t="inlineStr">
        <is>
          <t>BERG</t>
        </is>
      </c>
      <c r="G54" t="n">
        <v>17.9</v>
      </c>
      <c r="H54" t="n">
        <v>0</v>
      </c>
      <c r="I54" t="n">
        <v>0</v>
      </c>
      <c r="J54" t="n">
        <v>3</v>
      </c>
      <c r="K54" t="n">
        <v>0</v>
      </c>
      <c r="L54" t="n">
        <v>0</v>
      </c>
      <c r="M54" t="n">
        <v>0</v>
      </c>
      <c r="N54" t="n">
        <v>0</v>
      </c>
      <c r="O54" t="n">
        <v>3</v>
      </c>
      <c r="P54" t="n">
        <v>0</v>
      </c>
      <c r="Q54" t="n">
        <v>3</v>
      </c>
      <c r="R54" s="2" t="inlineStr">
        <is>
          <t>Doftskinn
Vaddporing
Vedskivlav</t>
        </is>
      </c>
      <c r="S54">
        <f>HYPERLINK("https://klasma.github.io/Logging_2326/artfynd/A 68433-2021 artfynd.xlsx", "A 68433-2021")</f>
        <v/>
      </c>
      <c r="T54">
        <f>HYPERLINK("https://klasma.github.io/Logging_2326/kartor/A 68433-2021 karta.png", "A 68433-2021")</f>
        <v/>
      </c>
      <c r="V54">
        <f>HYPERLINK("https://klasma.github.io/Logging_2326/klagomål/A 68433-2021 FSC-klagomål.docx", "A 68433-2021")</f>
        <v/>
      </c>
      <c r="W54">
        <f>HYPERLINK("https://klasma.github.io/Logging_2326/klagomålsmail/A 68433-2021 FSC-klagomål mail.docx", "A 68433-2021")</f>
        <v/>
      </c>
      <c r="X54">
        <f>HYPERLINK("https://klasma.github.io/Logging_2326/tillsyn/A 68433-2021 tillsynsbegäran.docx", "A 68433-2021")</f>
        <v/>
      </c>
      <c r="Y54">
        <f>HYPERLINK("https://klasma.github.io/Logging_2326/tillsynsmail/A 68433-2021 tillsynsbegäran mail.docx", "A 68433-2021")</f>
        <v/>
      </c>
    </row>
    <row r="55" ht="15" customHeight="1">
      <c r="A55" t="inlineStr">
        <is>
          <t>A 54999-2023</t>
        </is>
      </c>
      <c r="B55" s="1" t="n">
        <v>45237</v>
      </c>
      <c r="C55" s="1" t="n">
        <v>45355</v>
      </c>
      <c r="D55" t="inlineStr">
        <is>
          <t>JÄMTLANDS LÄN</t>
        </is>
      </c>
      <c r="E55" t="inlineStr">
        <is>
          <t>BERG</t>
        </is>
      </c>
      <c r="F55" t="inlineStr">
        <is>
          <t>SCA</t>
        </is>
      </c>
      <c r="G55" t="n">
        <v>2.6</v>
      </c>
      <c r="H55" t="n">
        <v>0</v>
      </c>
      <c r="I55" t="n">
        <v>0</v>
      </c>
      <c r="J55" t="n">
        <v>2</v>
      </c>
      <c r="K55" t="n">
        <v>1</v>
      </c>
      <c r="L55" t="n">
        <v>0</v>
      </c>
      <c r="M55" t="n">
        <v>0</v>
      </c>
      <c r="N55" t="n">
        <v>0</v>
      </c>
      <c r="O55" t="n">
        <v>3</v>
      </c>
      <c r="P55" t="n">
        <v>1</v>
      </c>
      <c r="Q55" t="n">
        <v>3</v>
      </c>
      <c r="R55" s="2" t="inlineStr">
        <is>
          <t>Gräddporing
Blågrå svartspik
Dvärgbägarlav</t>
        </is>
      </c>
      <c r="S55">
        <f>HYPERLINK("https://klasma.github.io/Logging_2326/artfynd/A 54999-2023 artfynd.xlsx", "A 54999-2023")</f>
        <v/>
      </c>
      <c r="T55">
        <f>HYPERLINK("https://klasma.github.io/Logging_2326/kartor/A 54999-2023 karta.png", "A 54999-2023")</f>
        <v/>
      </c>
      <c r="V55">
        <f>HYPERLINK("https://klasma.github.io/Logging_2326/klagomål/A 54999-2023 FSC-klagomål.docx", "A 54999-2023")</f>
        <v/>
      </c>
      <c r="W55">
        <f>HYPERLINK("https://klasma.github.io/Logging_2326/klagomålsmail/A 54999-2023 FSC-klagomål mail.docx", "A 54999-2023")</f>
        <v/>
      </c>
      <c r="X55">
        <f>HYPERLINK("https://klasma.github.io/Logging_2326/tillsyn/A 54999-2023 tillsynsbegäran.docx", "A 54999-2023")</f>
        <v/>
      </c>
      <c r="Y55">
        <f>HYPERLINK("https://klasma.github.io/Logging_2326/tillsynsmail/A 54999-2023 tillsynsbegäran mail.docx", "A 54999-2023")</f>
        <v/>
      </c>
    </row>
    <row r="56" ht="15" customHeight="1">
      <c r="A56" t="inlineStr">
        <is>
          <t>A 54993-2023</t>
        </is>
      </c>
      <c r="B56" s="1" t="n">
        <v>45237</v>
      </c>
      <c r="C56" s="1" t="n">
        <v>45355</v>
      </c>
      <c r="D56" t="inlineStr">
        <is>
          <t>JÄMTLANDS LÄN</t>
        </is>
      </c>
      <c r="E56" t="inlineStr">
        <is>
          <t>BERG</t>
        </is>
      </c>
      <c r="F56" t="inlineStr">
        <is>
          <t>SCA</t>
        </is>
      </c>
      <c r="G56" t="n">
        <v>19</v>
      </c>
      <c r="H56" t="n">
        <v>0</v>
      </c>
      <c r="I56" t="n">
        <v>0</v>
      </c>
      <c r="J56" t="n">
        <v>1</v>
      </c>
      <c r="K56" t="n">
        <v>2</v>
      </c>
      <c r="L56" t="n">
        <v>0</v>
      </c>
      <c r="M56" t="n">
        <v>0</v>
      </c>
      <c r="N56" t="n">
        <v>0</v>
      </c>
      <c r="O56" t="n">
        <v>3</v>
      </c>
      <c r="P56" t="n">
        <v>2</v>
      </c>
      <c r="Q56" t="n">
        <v>3</v>
      </c>
      <c r="R56" s="2" t="inlineStr">
        <is>
          <t>Fläckporing
Gräddporing
Dvärgbägarlav</t>
        </is>
      </c>
      <c r="S56">
        <f>HYPERLINK("https://klasma.github.io/Logging_2326/artfynd/A 54993-2023 artfynd.xlsx", "A 54993-2023")</f>
        <v/>
      </c>
      <c r="T56">
        <f>HYPERLINK("https://klasma.github.io/Logging_2326/kartor/A 54993-2023 karta.png", "A 54993-2023")</f>
        <v/>
      </c>
      <c r="V56">
        <f>HYPERLINK("https://klasma.github.io/Logging_2326/klagomål/A 54993-2023 FSC-klagomål.docx", "A 54993-2023")</f>
        <v/>
      </c>
      <c r="W56">
        <f>HYPERLINK("https://klasma.github.io/Logging_2326/klagomålsmail/A 54993-2023 FSC-klagomål mail.docx", "A 54993-2023")</f>
        <v/>
      </c>
      <c r="X56">
        <f>HYPERLINK("https://klasma.github.io/Logging_2326/tillsyn/A 54993-2023 tillsynsbegäran.docx", "A 54993-2023")</f>
        <v/>
      </c>
      <c r="Y56">
        <f>HYPERLINK("https://klasma.github.io/Logging_2326/tillsynsmail/A 54993-2023 tillsynsbegäran mail.docx", "A 54993-2023")</f>
        <v/>
      </c>
    </row>
    <row r="57" ht="15" customHeight="1">
      <c r="A57" t="inlineStr">
        <is>
          <t>A 65834-2018</t>
        </is>
      </c>
      <c r="B57" s="1" t="n">
        <v>43433</v>
      </c>
      <c r="C57" s="1" t="n">
        <v>45355</v>
      </c>
      <c r="D57" t="inlineStr">
        <is>
          <t>JÄMTLANDS LÄN</t>
        </is>
      </c>
      <c r="E57" t="inlineStr">
        <is>
          <t>BERG</t>
        </is>
      </c>
      <c r="F57" t="inlineStr">
        <is>
          <t>SCA</t>
        </is>
      </c>
      <c r="G57" t="n">
        <v>2.8</v>
      </c>
      <c r="H57" t="n">
        <v>0</v>
      </c>
      <c r="I57" t="n">
        <v>0</v>
      </c>
      <c r="J57" t="n">
        <v>2</v>
      </c>
      <c r="K57" t="n">
        <v>0</v>
      </c>
      <c r="L57" t="n">
        <v>0</v>
      </c>
      <c r="M57" t="n">
        <v>0</v>
      </c>
      <c r="N57" t="n">
        <v>0</v>
      </c>
      <c r="O57" t="n">
        <v>2</v>
      </c>
      <c r="P57" t="n">
        <v>0</v>
      </c>
      <c r="Q57" t="n">
        <v>2</v>
      </c>
      <c r="R57" s="2" t="inlineStr">
        <is>
          <t>Garnlav
Lunglav</t>
        </is>
      </c>
      <c r="S57">
        <f>HYPERLINK("https://klasma.github.io/Logging_2326/artfynd/A 65834-2018 artfynd.xlsx", "A 65834-2018")</f>
        <v/>
      </c>
      <c r="T57">
        <f>HYPERLINK("https://klasma.github.io/Logging_2326/kartor/A 65834-2018 karta.png", "A 65834-2018")</f>
        <v/>
      </c>
      <c r="V57">
        <f>HYPERLINK("https://klasma.github.io/Logging_2326/klagomål/A 65834-2018 FSC-klagomål.docx", "A 65834-2018")</f>
        <v/>
      </c>
      <c r="W57">
        <f>HYPERLINK("https://klasma.github.io/Logging_2326/klagomålsmail/A 65834-2018 FSC-klagomål mail.docx", "A 65834-2018")</f>
        <v/>
      </c>
      <c r="X57">
        <f>HYPERLINK("https://klasma.github.io/Logging_2326/tillsyn/A 65834-2018 tillsynsbegäran.docx", "A 65834-2018")</f>
        <v/>
      </c>
      <c r="Y57">
        <f>HYPERLINK("https://klasma.github.io/Logging_2326/tillsynsmail/A 65834-2018 tillsynsbegäran mail.docx", "A 65834-2018")</f>
        <v/>
      </c>
    </row>
    <row r="58" ht="15" customHeight="1">
      <c r="A58" t="inlineStr">
        <is>
          <t>A 26194-2019</t>
        </is>
      </c>
      <c r="B58" s="1" t="n">
        <v>43609</v>
      </c>
      <c r="C58" s="1" t="n">
        <v>45355</v>
      </c>
      <c r="D58" t="inlineStr">
        <is>
          <t>JÄMTLANDS LÄN</t>
        </is>
      </c>
      <c r="E58" t="inlineStr">
        <is>
          <t>BERG</t>
        </is>
      </c>
      <c r="G58" t="n">
        <v>11</v>
      </c>
      <c r="H58" t="n">
        <v>0</v>
      </c>
      <c r="I58" t="n">
        <v>0</v>
      </c>
      <c r="J58" t="n">
        <v>2</v>
      </c>
      <c r="K58" t="n">
        <v>0</v>
      </c>
      <c r="L58" t="n">
        <v>0</v>
      </c>
      <c r="M58" t="n">
        <v>0</v>
      </c>
      <c r="N58" t="n">
        <v>0</v>
      </c>
      <c r="O58" t="n">
        <v>2</v>
      </c>
      <c r="P58" t="n">
        <v>0</v>
      </c>
      <c r="Q58" t="n">
        <v>2</v>
      </c>
      <c r="R58" s="2" t="inlineStr">
        <is>
          <t>Vedflamlav
Vedskivlav</t>
        </is>
      </c>
      <c r="S58">
        <f>HYPERLINK("https://klasma.github.io/Logging_2326/artfynd/A 26194-2019 artfynd.xlsx", "A 26194-2019")</f>
        <v/>
      </c>
      <c r="T58">
        <f>HYPERLINK("https://klasma.github.io/Logging_2326/kartor/A 26194-2019 karta.png", "A 26194-2019")</f>
        <v/>
      </c>
      <c r="V58">
        <f>HYPERLINK("https://klasma.github.io/Logging_2326/klagomål/A 26194-2019 FSC-klagomål.docx", "A 26194-2019")</f>
        <v/>
      </c>
      <c r="W58">
        <f>HYPERLINK("https://klasma.github.io/Logging_2326/klagomålsmail/A 26194-2019 FSC-klagomål mail.docx", "A 26194-2019")</f>
        <v/>
      </c>
      <c r="X58">
        <f>HYPERLINK("https://klasma.github.io/Logging_2326/tillsyn/A 26194-2019 tillsynsbegäran.docx", "A 26194-2019")</f>
        <v/>
      </c>
      <c r="Y58">
        <f>HYPERLINK("https://klasma.github.io/Logging_2326/tillsynsmail/A 26194-2019 tillsynsbegäran mail.docx", "A 26194-2019")</f>
        <v/>
      </c>
    </row>
    <row r="59" ht="15" customHeight="1">
      <c r="A59" t="inlineStr">
        <is>
          <t>A 24421-2020</t>
        </is>
      </c>
      <c r="B59" s="1" t="n">
        <v>43976</v>
      </c>
      <c r="C59" s="1" t="n">
        <v>45355</v>
      </c>
      <c r="D59" t="inlineStr">
        <is>
          <t>JÄMTLANDS LÄN</t>
        </is>
      </c>
      <c r="E59" t="inlineStr">
        <is>
          <t>BERG</t>
        </is>
      </c>
      <c r="F59" t="inlineStr">
        <is>
          <t>SCA</t>
        </is>
      </c>
      <c r="G59" t="n">
        <v>15.8</v>
      </c>
      <c r="H59" t="n">
        <v>0</v>
      </c>
      <c r="I59" t="n">
        <v>0</v>
      </c>
      <c r="J59" t="n">
        <v>2</v>
      </c>
      <c r="K59" t="n">
        <v>0</v>
      </c>
      <c r="L59" t="n">
        <v>0</v>
      </c>
      <c r="M59" t="n">
        <v>0</v>
      </c>
      <c r="N59" t="n">
        <v>0</v>
      </c>
      <c r="O59" t="n">
        <v>2</v>
      </c>
      <c r="P59" t="n">
        <v>0</v>
      </c>
      <c r="Q59" t="n">
        <v>2</v>
      </c>
      <c r="R59" s="2" t="inlineStr">
        <is>
          <t>Blanksvart spiklav
Vedflamlav</t>
        </is>
      </c>
      <c r="S59">
        <f>HYPERLINK("https://klasma.github.io/Logging_2326/artfynd/A 24421-2020 artfynd.xlsx", "A 24421-2020")</f>
        <v/>
      </c>
      <c r="T59">
        <f>HYPERLINK("https://klasma.github.io/Logging_2326/kartor/A 24421-2020 karta.png", "A 24421-2020")</f>
        <v/>
      </c>
      <c r="V59">
        <f>HYPERLINK("https://klasma.github.io/Logging_2326/klagomål/A 24421-2020 FSC-klagomål.docx", "A 24421-2020")</f>
        <v/>
      </c>
      <c r="W59">
        <f>HYPERLINK("https://klasma.github.io/Logging_2326/klagomålsmail/A 24421-2020 FSC-klagomål mail.docx", "A 24421-2020")</f>
        <v/>
      </c>
      <c r="X59">
        <f>HYPERLINK("https://klasma.github.io/Logging_2326/tillsyn/A 24421-2020 tillsynsbegäran.docx", "A 24421-2020")</f>
        <v/>
      </c>
      <c r="Y59">
        <f>HYPERLINK("https://klasma.github.io/Logging_2326/tillsynsmail/A 24421-2020 tillsynsbegäran mail.docx", "A 24421-2020")</f>
        <v/>
      </c>
    </row>
    <row r="60" ht="15" customHeight="1">
      <c r="A60" t="inlineStr">
        <is>
          <t>A 32743-2020</t>
        </is>
      </c>
      <c r="B60" s="1" t="n">
        <v>44019</v>
      </c>
      <c r="C60" s="1" t="n">
        <v>45355</v>
      </c>
      <c r="D60" t="inlineStr">
        <is>
          <t>JÄMTLANDS LÄN</t>
        </is>
      </c>
      <c r="E60" t="inlineStr">
        <is>
          <t>BERG</t>
        </is>
      </c>
      <c r="F60" t="inlineStr">
        <is>
          <t>SCA</t>
        </is>
      </c>
      <c r="G60" t="n">
        <v>2.1</v>
      </c>
      <c r="H60" t="n">
        <v>0</v>
      </c>
      <c r="I60" t="n">
        <v>1</v>
      </c>
      <c r="J60" t="n">
        <v>1</v>
      </c>
      <c r="K60" t="n">
        <v>0</v>
      </c>
      <c r="L60" t="n">
        <v>0</v>
      </c>
      <c r="M60" t="n">
        <v>0</v>
      </c>
      <c r="N60" t="n">
        <v>0</v>
      </c>
      <c r="O60" t="n">
        <v>1</v>
      </c>
      <c r="P60" t="n">
        <v>0</v>
      </c>
      <c r="Q60" t="n">
        <v>2</v>
      </c>
      <c r="R60" s="2" t="inlineStr">
        <is>
          <t>Skrovellav
Barkkornlav</t>
        </is>
      </c>
      <c r="S60">
        <f>HYPERLINK("https://klasma.github.io/Logging_2326/artfynd/A 32743-2020 artfynd.xlsx", "A 32743-2020")</f>
        <v/>
      </c>
      <c r="T60">
        <f>HYPERLINK("https://klasma.github.io/Logging_2326/kartor/A 32743-2020 karta.png", "A 32743-2020")</f>
        <v/>
      </c>
      <c r="V60">
        <f>HYPERLINK("https://klasma.github.io/Logging_2326/klagomål/A 32743-2020 FSC-klagomål.docx", "A 32743-2020")</f>
        <v/>
      </c>
      <c r="W60">
        <f>HYPERLINK("https://klasma.github.io/Logging_2326/klagomålsmail/A 32743-2020 FSC-klagomål mail.docx", "A 32743-2020")</f>
        <v/>
      </c>
      <c r="X60">
        <f>HYPERLINK("https://klasma.github.io/Logging_2326/tillsyn/A 32743-2020 tillsynsbegäran.docx", "A 32743-2020")</f>
        <v/>
      </c>
      <c r="Y60">
        <f>HYPERLINK("https://klasma.github.io/Logging_2326/tillsynsmail/A 32743-2020 tillsynsbegäran mail.docx", "A 32743-2020")</f>
        <v/>
      </c>
    </row>
    <row r="61" ht="15" customHeight="1">
      <c r="A61" t="inlineStr">
        <is>
          <t>A 34577-2020</t>
        </is>
      </c>
      <c r="B61" s="1" t="n">
        <v>44033</v>
      </c>
      <c r="C61" s="1" t="n">
        <v>45355</v>
      </c>
      <c r="D61" t="inlineStr">
        <is>
          <t>JÄMTLANDS LÄN</t>
        </is>
      </c>
      <c r="E61" t="inlineStr">
        <is>
          <t>BERG</t>
        </is>
      </c>
      <c r="F61" t="inlineStr">
        <is>
          <t>SCA</t>
        </is>
      </c>
      <c r="G61" t="n">
        <v>7</v>
      </c>
      <c r="H61" t="n">
        <v>1</v>
      </c>
      <c r="I61" t="n">
        <v>0</v>
      </c>
      <c r="J61" t="n">
        <v>1</v>
      </c>
      <c r="K61" t="n">
        <v>1</v>
      </c>
      <c r="L61" t="n">
        <v>0</v>
      </c>
      <c r="M61" t="n">
        <v>0</v>
      </c>
      <c r="N61" t="n">
        <v>0</v>
      </c>
      <c r="O61" t="n">
        <v>2</v>
      </c>
      <c r="P61" t="n">
        <v>1</v>
      </c>
      <c r="Q61" t="n">
        <v>2</v>
      </c>
      <c r="R61" s="2" t="inlineStr">
        <is>
          <t>Doftticka
Skrovellav</t>
        </is>
      </c>
      <c r="S61">
        <f>HYPERLINK("https://klasma.github.io/Logging_2326/artfynd/A 34577-2020 artfynd.xlsx", "A 34577-2020")</f>
        <v/>
      </c>
      <c r="T61">
        <f>HYPERLINK("https://klasma.github.io/Logging_2326/kartor/A 34577-2020 karta.png", "A 34577-2020")</f>
        <v/>
      </c>
      <c r="V61">
        <f>HYPERLINK("https://klasma.github.io/Logging_2326/klagomål/A 34577-2020 FSC-klagomål.docx", "A 34577-2020")</f>
        <v/>
      </c>
      <c r="W61">
        <f>HYPERLINK("https://klasma.github.io/Logging_2326/klagomålsmail/A 34577-2020 FSC-klagomål mail.docx", "A 34577-2020")</f>
        <v/>
      </c>
      <c r="X61">
        <f>HYPERLINK("https://klasma.github.io/Logging_2326/tillsyn/A 34577-2020 tillsynsbegäran.docx", "A 34577-2020")</f>
        <v/>
      </c>
      <c r="Y61">
        <f>HYPERLINK("https://klasma.github.io/Logging_2326/tillsynsmail/A 34577-2020 tillsynsbegäran mail.docx", "A 34577-2020")</f>
        <v/>
      </c>
    </row>
    <row r="62" ht="15" customHeight="1">
      <c r="A62" t="inlineStr">
        <is>
          <t>A 59786-2020</t>
        </is>
      </c>
      <c r="B62" s="1" t="n">
        <v>44148</v>
      </c>
      <c r="C62" s="1" t="n">
        <v>45355</v>
      </c>
      <c r="D62" t="inlineStr">
        <is>
          <t>JÄMTLANDS LÄN</t>
        </is>
      </c>
      <c r="E62" t="inlineStr">
        <is>
          <t>BERG</t>
        </is>
      </c>
      <c r="F62" t="inlineStr">
        <is>
          <t>Kommuner</t>
        </is>
      </c>
      <c r="G62" t="n">
        <v>9.1</v>
      </c>
      <c r="H62" t="n">
        <v>0</v>
      </c>
      <c r="I62" t="n">
        <v>0</v>
      </c>
      <c r="J62" t="n">
        <v>2</v>
      </c>
      <c r="K62" t="n">
        <v>0</v>
      </c>
      <c r="L62" t="n">
        <v>0</v>
      </c>
      <c r="M62" t="n">
        <v>0</v>
      </c>
      <c r="N62" t="n">
        <v>0</v>
      </c>
      <c r="O62" t="n">
        <v>2</v>
      </c>
      <c r="P62" t="n">
        <v>0</v>
      </c>
      <c r="Q62" t="n">
        <v>2</v>
      </c>
      <c r="R62" s="2" t="inlineStr">
        <is>
          <t>Gränsticka
Rosenticka</t>
        </is>
      </c>
      <c r="S62">
        <f>HYPERLINK("https://klasma.github.io/Logging_2326/artfynd/A 59786-2020 artfynd.xlsx", "A 59786-2020")</f>
        <v/>
      </c>
      <c r="T62">
        <f>HYPERLINK("https://klasma.github.io/Logging_2326/kartor/A 59786-2020 karta.png", "A 59786-2020")</f>
        <v/>
      </c>
      <c r="V62">
        <f>HYPERLINK("https://klasma.github.io/Logging_2326/klagomål/A 59786-2020 FSC-klagomål.docx", "A 59786-2020")</f>
        <v/>
      </c>
      <c r="W62">
        <f>HYPERLINK("https://klasma.github.io/Logging_2326/klagomålsmail/A 59786-2020 FSC-klagomål mail.docx", "A 59786-2020")</f>
        <v/>
      </c>
      <c r="X62">
        <f>HYPERLINK("https://klasma.github.io/Logging_2326/tillsyn/A 59786-2020 tillsynsbegäran.docx", "A 59786-2020")</f>
        <v/>
      </c>
      <c r="Y62">
        <f>HYPERLINK("https://klasma.github.io/Logging_2326/tillsynsmail/A 59786-2020 tillsynsbegäran mail.docx", "A 59786-2020")</f>
        <v/>
      </c>
    </row>
    <row r="63" ht="15" customHeight="1">
      <c r="A63" t="inlineStr">
        <is>
          <t>A 14588-2021</t>
        </is>
      </c>
      <c r="B63" s="1" t="n">
        <v>44279</v>
      </c>
      <c r="C63" s="1" t="n">
        <v>45355</v>
      </c>
      <c r="D63" t="inlineStr">
        <is>
          <t>JÄMTLANDS LÄN</t>
        </is>
      </c>
      <c r="E63" t="inlineStr">
        <is>
          <t>BERG</t>
        </is>
      </c>
      <c r="G63" t="n">
        <v>6.3</v>
      </c>
      <c r="H63" t="n">
        <v>0</v>
      </c>
      <c r="I63" t="n">
        <v>0</v>
      </c>
      <c r="J63" t="n">
        <v>2</v>
      </c>
      <c r="K63" t="n">
        <v>0</v>
      </c>
      <c r="L63" t="n">
        <v>0</v>
      </c>
      <c r="M63" t="n">
        <v>0</v>
      </c>
      <c r="N63" t="n">
        <v>0</v>
      </c>
      <c r="O63" t="n">
        <v>2</v>
      </c>
      <c r="P63" t="n">
        <v>0</v>
      </c>
      <c r="Q63" t="n">
        <v>2</v>
      </c>
      <c r="R63" s="2" t="inlineStr">
        <is>
          <t>Garnlav
Harticka</t>
        </is>
      </c>
      <c r="S63">
        <f>HYPERLINK("https://klasma.github.io/Logging_2326/artfynd/A 14588-2021 artfynd.xlsx", "A 14588-2021")</f>
        <v/>
      </c>
      <c r="T63">
        <f>HYPERLINK("https://klasma.github.io/Logging_2326/kartor/A 14588-2021 karta.png", "A 14588-2021")</f>
        <v/>
      </c>
      <c r="V63">
        <f>HYPERLINK("https://klasma.github.io/Logging_2326/klagomål/A 14588-2021 FSC-klagomål.docx", "A 14588-2021")</f>
        <v/>
      </c>
      <c r="W63">
        <f>HYPERLINK("https://klasma.github.io/Logging_2326/klagomålsmail/A 14588-2021 FSC-klagomål mail.docx", "A 14588-2021")</f>
        <v/>
      </c>
      <c r="X63">
        <f>HYPERLINK("https://klasma.github.io/Logging_2326/tillsyn/A 14588-2021 tillsynsbegäran.docx", "A 14588-2021")</f>
        <v/>
      </c>
      <c r="Y63">
        <f>HYPERLINK("https://klasma.github.io/Logging_2326/tillsynsmail/A 14588-2021 tillsynsbegäran mail.docx", "A 14588-2021")</f>
        <v/>
      </c>
    </row>
    <row r="64" ht="15" customHeight="1">
      <c r="A64" t="inlineStr">
        <is>
          <t>A 51950-2021</t>
        </is>
      </c>
      <c r="B64" s="1" t="n">
        <v>44463</v>
      </c>
      <c r="C64" s="1" t="n">
        <v>45355</v>
      </c>
      <c r="D64" t="inlineStr">
        <is>
          <t>JÄMTLANDS LÄN</t>
        </is>
      </c>
      <c r="E64" t="inlineStr">
        <is>
          <t>BERG</t>
        </is>
      </c>
      <c r="F64" t="inlineStr">
        <is>
          <t>SCA</t>
        </is>
      </c>
      <c r="G64" t="n">
        <v>0.8</v>
      </c>
      <c r="H64" t="n">
        <v>0</v>
      </c>
      <c r="I64" t="n">
        <v>0</v>
      </c>
      <c r="J64" t="n">
        <v>2</v>
      </c>
      <c r="K64" t="n">
        <v>0</v>
      </c>
      <c r="L64" t="n">
        <v>0</v>
      </c>
      <c r="M64" t="n">
        <v>0</v>
      </c>
      <c r="N64" t="n">
        <v>0</v>
      </c>
      <c r="O64" t="n">
        <v>2</v>
      </c>
      <c r="P64" t="n">
        <v>0</v>
      </c>
      <c r="Q64" t="n">
        <v>2</v>
      </c>
      <c r="R64" s="2" t="inlineStr">
        <is>
          <t>Garnlav
Vedflamlav</t>
        </is>
      </c>
      <c r="S64">
        <f>HYPERLINK("https://klasma.github.io/Logging_2326/artfynd/A 51950-2021 artfynd.xlsx", "A 51950-2021")</f>
        <v/>
      </c>
      <c r="T64">
        <f>HYPERLINK("https://klasma.github.io/Logging_2326/kartor/A 51950-2021 karta.png", "A 51950-2021")</f>
        <v/>
      </c>
      <c r="V64">
        <f>HYPERLINK("https://klasma.github.io/Logging_2326/klagomål/A 51950-2021 FSC-klagomål.docx", "A 51950-2021")</f>
        <v/>
      </c>
      <c r="W64">
        <f>HYPERLINK("https://klasma.github.io/Logging_2326/klagomålsmail/A 51950-2021 FSC-klagomål mail.docx", "A 51950-2021")</f>
        <v/>
      </c>
      <c r="X64">
        <f>HYPERLINK("https://klasma.github.io/Logging_2326/tillsyn/A 51950-2021 tillsynsbegäran.docx", "A 51950-2021")</f>
        <v/>
      </c>
      <c r="Y64">
        <f>HYPERLINK("https://klasma.github.io/Logging_2326/tillsynsmail/A 51950-2021 tillsynsbegäran mail.docx", "A 51950-2021")</f>
        <v/>
      </c>
    </row>
    <row r="65" ht="15" customHeight="1">
      <c r="A65" t="inlineStr">
        <is>
          <t>A 6784-2022</t>
        </is>
      </c>
      <c r="B65" s="1" t="n">
        <v>44602</v>
      </c>
      <c r="C65" s="1" t="n">
        <v>45355</v>
      </c>
      <c r="D65" t="inlineStr">
        <is>
          <t>JÄMTLANDS LÄN</t>
        </is>
      </c>
      <c r="E65" t="inlineStr">
        <is>
          <t>BERG</t>
        </is>
      </c>
      <c r="G65" t="n">
        <v>4</v>
      </c>
      <c r="H65" t="n">
        <v>1</v>
      </c>
      <c r="I65" t="n">
        <v>0</v>
      </c>
      <c r="J65" t="n">
        <v>1</v>
      </c>
      <c r="K65" t="n">
        <v>0</v>
      </c>
      <c r="L65" t="n">
        <v>0</v>
      </c>
      <c r="M65" t="n">
        <v>0</v>
      </c>
      <c r="N65" t="n">
        <v>0</v>
      </c>
      <c r="O65" t="n">
        <v>1</v>
      </c>
      <c r="P65" t="n">
        <v>0</v>
      </c>
      <c r="Q65" t="n">
        <v>2</v>
      </c>
      <c r="R65" s="2" t="inlineStr">
        <is>
          <t>Brunklöver
Brudsporre</t>
        </is>
      </c>
      <c r="S65">
        <f>HYPERLINK("https://klasma.github.io/Logging_2326/artfynd/A 6784-2022 artfynd.xlsx", "A 6784-2022")</f>
        <v/>
      </c>
      <c r="T65">
        <f>HYPERLINK("https://klasma.github.io/Logging_2326/kartor/A 6784-2022 karta.png", "A 6784-2022")</f>
        <v/>
      </c>
      <c r="V65">
        <f>HYPERLINK("https://klasma.github.io/Logging_2326/klagomål/A 6784-2022 FSC-klagomål.docx", "A 6784-2022")</f>
        <v/>
      </c>
      <c r="W65">
        <f>HYPERLINK("https://klasma.github.io/Logging_2326/klagomålsmail/A 6784-2022 FSC-klagomål mail.docx", "A 6784-2022")</f>
        <v/>
      </c>
      <c r="X65">
        <f>HYPERLINK("https://klasma.github.io/Logging_2326/tillsyn/A 6784-2022 tillsynsbegäran.docx", "A 6784-2022")</f>
        <v/>
      </c>
      <c r="Y65">
        <f>HYPERLINK("https://klasma.github.io/Logging_2326/tillsynsmail/A 6784-2022 tillsynsbegäran mail.docx", "A 6784-2022")</f>
        <v/>
      </c>
    </row>
    <row r="66" ht="15" customHeight="1">
      <c r="A66" t="inlineStr">
        <is>
          <t>A 37387-2022</t>
        </is>
      </c>
      <c r="B66" s="1" t="n">
        <v>44806</v>
      </c>
      <c r="C66" s="1" t="n">
        <v>45355</v>
      </c>
      <c r="D66" t="inlineStr">
        <is>
          <t>JÄMTLANDS LÄN</t>
        </is>
      </c>
      <c r="E66" t="inlineStr">
        <is>
          <t>BERG</t>
        </is>
      </c>
      <c r="G66" t="n">
        <v>20.2</v>
      </c>
      <c r="H66" t="n">
        <v>1</v>
      </c>
      <c r="I66" t="n">
        <v>0</v>
      </c>
      <c r="J66" t="n">
        <v>2</v>
      </c>
      <c r="K66" t="n">
        <v>0</v>
      </c>
      <c r="L66" t="n">
        <v>0</v>
      </c>
      <c r="M66" t="n">
        <v>0</v>
      </c>
      <c r="N66" t="n">
        <v>0</v>
      </c>
      <c r="O66" t="n">
        <v>2</v>
      </c>
      <c r="P66" t="n">
        <v>0</v>
      </c>
      <c r="Q66" t="n">
        <v>2</v>
      </c>
      <c r="R66" s="2" t="inlineStr">
        <is>
          <t>Garnlav
Tretåig hackspett</t>
        </is>
      </c>
      <c r="S66">
        <f>HYPERLINK("https://klasma.github.io/Logging_2326/artfynd/A 37387-2022 artfynd.xlsx", "A 37387-2022")</f>
        <v/>
      </c>
      <c r="T66">
        <f>HYPERLINK("https://klasma.github.io/Logging_2326/kartor/A 37387-2022 karta.png", "A 37387-2022")</f>
        <v/>
      </c>
      <c r="V66">
        <f>HYPERLINK("https://klasma.github.io/Logging_2326/klagomål/A 37387-2022 FSC-klagomål.docx", "A 37387-2022")</f>
        <v/>
      </c>
      <c r="W66">
        <f>HYPERLINK("https://klasma.github.io/Logging_2326/klagomålsmail/A 37387-2022 FSC-klagomål mail.docx", "A 37387-2022")</f>
        <v/>
      </c>
      <c r="X66">
        <f>HYPERLINK("https://klasma.github.io/Logging_2326/tillsyn/A 37387-2022 tillsynsbegäran.docx", "A 37387-2022")</f>
        <v/>
      </c>
      <c r="Y66">
        <f>HYPERLINK("https://klasma.github.io/Logging_2326/tillsynsmail/A 37387-2022 tillsynsbegäran mail.docx", "A 37387-2022")</f>
        <v/>
      </c>
      <c r="Z66">
        <f>HYPERLINK("https://klasma.github.io/Logging_2326/fåglar/A 37387-2022 prioriterade fågelarter.docx", "A 37387-2022")</f>
        <v/>
      </c>
    </row>
    <row r="67" ht="15" customHeight="1">
      <c r="A67" t="inlineStr">
        <is>
          <t>A 41823-2022</t>
        </is>
      </c>
      <c r="B67" s="1" t="n">
        <v>44827</v>
      </c>
      <c r="C67" s="1" t="n">
        <v>45355</v>
      </c>
      <c r="D67" t="inlineStr">
        <is>
          <t>JÄMTLANDS LÄN</t>
        </is>
      </c>
      <c r="E67" t="inlineStr">
        <is>
          <t>BERG</t>
        </is>
      </c>
      <c r="F67" t="inlineStr">
        <is>
          <t>SCA</t>
        </is>
      </c>
      <c r="G67" t="n">
        <v>21.6</v>
      </c>
      <c r="H67" t="n">
        <v>1</v>
      </c>
      <c r="I67" t="n">
        <v>0</v>
      </c>
      <c r="J67" t="n">
        <v>1</v>
      </c>
      <c r="K67" t="n">
        <v>1</v>
      </c>
      <c r="L67" t="n">
        <v>0</v>
      </c>
      <c r="M67" t="n">
        <v>0</v>
      </c>
      <c r="N67" t="n">
        <v>0</v>
      </c>
      <c r="O67" t="n">
        <v>2</v>
      </c>
      <c r="P67" t="n">
        <v>1</v>
      </c>
      <c r="Q67" t="n">
        <v>2</v>
      </c>
      <c r="R67" s="2" t="inlineStr">
        <is>
          <t>Doftticka
Reliktbock</t>
        </is>
      </c>
      <c r="S67">
        <f>HYPERLINK("https://klasma.github.io/Logging_2326/artfynd/A 41823-2022 artfynd.xlsx", "A 41823-2022")</f>
        <v/>
      </c>
      <c r="T67">
        <f>HYPERLINK("https://klasma.github.io/Logging_2326/kartor/A 41823-2022 karta.png", "A 41823-2022")</f>
        <v/>
      </c>
      <c r="V67">
        <f>HYPERLINK("https://klasma.github.io/Logging_2326/klagomål/A 41823-2022 FSC-klagomål.docx", "A 41823-2022")</f>
        <v/>
      </c>
      <c r="W67">
        <f>HYPERLINK("https://klasma.github.io/Logging_2326/klagomålsmail/A 41823-2022 FSC-klagomål mail.docx", "A 41823-2022")</f>
        <v/>
      </c>
      <c r="X67">
        <f>HYPERLINK("https://klasma.github.io/Logging_2326/tillsyn/A 41823-2022 tillsynsbegäran.docx", "A 41823-2022")</f>
        <v/>
      </c>
      <c r="Y67">
        <f>HYPERLINK("https://klasma.github.io/Logging_2326/tillsynsmail/A 41823-2022 tillsynsbegäran mail.docx", "A 41823-2022")</f>
        <v/>
      </c>
    </row>
    <row r="68" ht="15" customHeight="1">
      <c r="A68" t="inlineStr">
        <is>
          <t>A 44441-2022</t>
        </is>
      </c>
      <c r="B68" s="1" t="n">
        <v>44840</v>
      </c>
      <c r="C68" s="1" t="n">
        <v>45355</v>
      </c>
      <c r="D68" t="inlineStr">
        <is>
          <t>JÄMTLANDS LÄN</t>
        </is>
      </c>
      <c r="E68" t="inlineStr">
        <is>
          <t>BERG</t>
        </is>
      </c>
      <c r="F68" t="inlineStr">
        <is>
          <t>SCA</t>
        </is>
      </c>
      <c r="G68" t="n">
        <v>3.5</v>
      </c>
      <c r="H68" t="n">
        <v>1</v>
      </c>
      <c r="I68" t="n">
        <v>0</v>
      </c>
      <c r="J68" t="n">
        <v>2</v>
      </c>
      <c r="K68" t="n">
        <v>0</v>
      </c>
      <c r="L68" t="n">
        <v>0</v>
      </c>
      <c r="M68" t="n">
        <v>0</v>
      </c>
      <c r="N68" t="n">
        <v>0</v>
      </c>
      <c r="O68" t="n">
        <v>2</v>
      </c>
      <c r="P68" t="n">
        <v>0</v>
      </c>
      <c r="Q68" t="n">
        <v>2</v>
      </c>
      <c r="R68" s="2" t="inlineStr">
        <is>
          <t>Nordtagging
Tretåig hackspett</t>
        </is>
      </c>
      <c r="S68">
        <f>HYPERLINK("https://klasma.github.io/Logging_2326/artfynd/A 44441-2022 artfynd.xlsx", "A 44441-2022")</f>
        <v/>
      </c>
      <c r="T68">
        <f>HYPERLINK("https://klasma.github.io/Logging_2326/kartor/A 44441-2022 karta.png", "A 44441-2022")</f>
        <v/>
      </c>
      <c r="V68">
        <f>HYPERLINK("https://klasma.github.io/Logging_2326/klagomål/A 44441-2022 FSC-klagomål.docx", "A 44441-2022")</f>
        <v/>
      </c>
      <c r="W68">
        <f>HYPERLINK("https://klasma.github.io/Logging_2326/klagomålsmail/A 44441-2022 FSC-klagomål mail.docx", "A 44441-2022")</f>
        <v/>
      </c>
      <c r="X68">
        <f>HYPERLINK("https://klasma.github.io/Logging_2326/tillsyn/A 44441-2022 tillsynsbegäran.docx", "A 44441-2022")</f>
        <v/>
      </c>
      <c r="Y68">
        <f>HYPERLINK("https://klasma.github.io/Logging_2326/tillsynsmail/A 44441-2022 tillsynsbegäran mail.docx", "A 44441-2022")</f>
        <v/>
      </c>
      <c r="Z68">
        <f>HYPERLINK("https://klasma.github.io/Logging_2326/fåglar/A 44441-2022 prioriterade fågelarter.docx", "A 44441-2022")</f>
        <v/>
      </c>
    </row>
    <row r="69" ht="15" customHeight="1">
      <c r="A69" t="inlineStr">
        <is>
          <t>A 60849-2022</t>
        </is>
      </c>
      <c r="B69" s="1" t="n">
        <v>44908</v>
      </c>
      <c r="C69" s="1" t="n">
        <v>45355</v>
      </c>
      <c r="D69" t="inlineStr">
        <is>
          <t>JÄMTLANDS LÄN</t>
        </is>
      </c>
      <c r="E69" t="inlineStr">
        <is>
          <t>BERG</t>
        </is>
      </c>
      <c r="G69" t="n">
        <v>19.2</v>
      </c>
      <c r="H69" t="n">
        <v>1</v>
      </c>
      <c r="I69" t="n">
        <v>0</v>
      </c>
      <c r="J69" t="n">
        <v>1</v>
      </c>
      <c r="K69" t="n">
        <v>1</v>
      </c>
      <c r="L69" t="n">
        <v>0</v>
      </c>
      <c r="M69" t="n">
        <v>0</v>
      </c>
      <c r="N69" t="n">
        <v>0</v>
      </c>
      <c r="O69" t="n">
        <v>2</v>
      </c>
      <c r="P69" t="n">
        <v>1</v>
      </c>
      <c r="Q69" t="n">
        <v>2</v>
      </c>
      <c r="R69" s="2" t="inlineStr">
        <is>
          <t>Knärot
Garnlav</t>
        </is>
      </c>
      <c r="S69">
        <f>HYPERLINK("https://klasma.github.io/Logging_2326/artfynd/A 60849-2022 artfynd.xlsx", "A 60849-2022")</f>
        <v/>
      </c>
      <c r="T69">
        <f>HYPERLINK("https://klasma.github.io/Logging_2326/kartor/A 60849-2022 karta.png", "A 60849-2022")</f>
        <v/>
      </c>
      <c r="U69">
        <f>HYPERLINK("https://klasma.github.io/Logging_2326/knärot/A 60849-2022 karta knärot.png", "A 60849-2022")</f>
        <v/>
      </c>
      <c r="V69">
        <f>HYPERLINK("https://klasma.github.io/Logging_2326/klagomål/A 60849-2022 FSC-klagomål.docx", "A 60849-2022")</f>
        <v/>
      </c>
      <c r="W69">
        <f>HYPERLINK("https://klasma.github.io/Logging_2326/klagomålsmail/A 60849-2022 FSC-klagomål mail.docx", "A 60849-2022")</f>
        <v/>
      </c>
      <c r="X69">
        <f>HYPERLINK("https://klasma.github.io/Logging_2326/tillsyn/A 60849-2022 tillsynsbegäran.docx", "A 60849-2022")</f>
        <v/>
      </c>
      <c r="Y69">
        <f>HYPERLINK("https://klasma.github.io/Logging_2326/tillsynsmail/A 60849-2022 tillsynsbegäran mail.docx", "A 60849-2022")</f>
        <v/>
      </c>
    </row>
    <row r="70" ht="15" customHeight="1">
      <c r="A70" t="inlineStr">
        <is>
          <t>A 575-2023</t>
        </is>
      </c>
      <c r="B70" s="1" t="n">
        <v>44930</v>
      </c>
      <c r="C70" s="1" t="n">
        <v>45355</v>
      </c>
      <c r="D70" t="inlineStr">
        <is>
          <t>JÄMTLANDS LÄN</t>
        </is>
      </c>
      <c r="E70" t="inlineStr">
        <is>
          <t>BERG</t>
        </is>
      </c>
      <c r="G70" t="n">
        <v>10.9</v>
      </c>
      <c r="H70" t="n">
        <v>0</v>
      </c>
      <c r="I70" t="n">
        <v>1</v>
      </c>
      <c r="J70" t="n">
        <v>1</v>
      </c>
      <c r="K70" t="n">
        <v>0</v>
      </c>
      <c r="L70" t="n">
        <v>0</v>
      </c>
      <c r="M70" t="n">
        <v>0</v>
      </c>
      <c r="N70" t="n">
        <v>0</v>
      </c>
      <c r="O70" t="n">
        <v>1</v>
      </c>
      <c r="P70" t="n">
        <v>0</v>
      </c>
      <c r="Q70" t="n">
        <v>2</v>
      </c>
      <c r="R70" s="2" t="inlineStr">
        <is>
          <t>Lunglav
Rävticka</t>
        </is>
      </c>
      <c r="S70">
        <f>HYPERLINK("https://klasma.github.io/Logging_2326/artfynd/A 575-2023 artfynd.xlsx", "A 575-2023")</f>
        <v/>
      </c>
      <c r="T70">
        <f>HYPERLINK("https://klasma.github.io/Logging_2326/kartor/A 575-2023 karta.png", "A 575-2023")</f>
        <v/>
      </c>
      <c r="V70">
        <f>HYPERLINK("https://klasma.github.io/Logging_2326/klagomål/A 575-2023 FSC-klagomål.docx", "A 575-2023")</f>
        <v/>
      </c>
      <c r="W70">
        <f>HYPERLINK("https://klasma.github.io/Logging_2326/klagomålsmail/A 575-2023 FSC-klagomål mail.docx", "A 575-2023")</f>
        <v/>
      </c>
      <c r="X70">
        <f>HYPERLINK("https://klasma.github.io/Logging_2326/tillsyn/A 575-2023 tillsynsbegäran.docx", "A 575-2023")</f>
        <v/>
      </c>
      <c r="Y70">
        <f>HYPERLINK("https://klasma.github.io/Logging_2326/tillsynsmail/A 575-2023 tillsynsbegäran mail.docx", "A 575-2023")</f>
        <v/>
      </c>
    </row>
    <row r="71" ht="15" customHeight="1">
      <c r="A71" t="inlineStr">
        <is>
          <t>A 7473-2023</t>
        </is>
      </c>
      <c r="B71" s="1" t="n">
        <v>44966</v>
      </c>
      <c r="C71" s="1" t="n">
        <v>45355</v>
      </c>
      <c r="D71" t="inlineStr">
        <is>
          <t>JÄMTLANDS LÄN</t>
        </is>
      </c>
      <c r="E71" t="inlineStr">
        <is>
          <t>BERG</t>
        </is>
      </c>
      <c r="G71" t="n">
        <v>26.8</v>
      </c>
      <c r="H71" t="n">
        <v>1</v>
      </c>
      <c r="I71" t="n">
        <v>1</v>
      </c>
      <c r="J71" t="n">
        <v>1</v>
      </c>
      <c r="K71" t="n">
        <v>0</v>
      </c>
      <c r="L71" t="n">
        <v>0</v>
      </c>
      <c r="M71" t="n">
        <v>0</v>
      </c>
      <c r="N71" t="n">
        <v>0</v>
      </c>
      <c r="O71" t="n">
        <v>1</v>
      </c>
      <c r="P71" t="n">
        <v>0</v>
      </c>
      <c r="Q71" t="n">
        <v>2</v>
      </c>
      <c r="R71" s="2" t="inlineStr">
        <is>
          <t>Tretåig hackspett
Dropptaggsvamp</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10133-2023</t>
        </is>
      </c>
      <c r="B72" s="1" t="n">
        <v>44986</v>
      </c>
      <c r="C72" s="1" t="n">
        <v>45355</v>
      </c>
      <c r="D72" t="inlineStr">
        <is>
          <t>JÄMTLANDS LÄN</t>
        </is>
      </c>
      <c r="E72" t="inlineStr">
        <is>
          <t>BERG</t>
        </is>
      </c>
      <c r="F72" t="inlineStr">
        <is>
          <t>Holmen skog AB</t>
        </is>
      </c>
      <c r="G72" t="n">
        <v>3</v>
      </c>
      <c r="H72" t="n">
        <v>0</v>
      </c>
      <c r="I72" t="n">
        <v>0</v>
      </c>
      <c r="J72" t="n">
        <v>2</v>
      </c>
      <c r="K72" t="n">
        <v>0</v>
      </c>
      <c r="L72" t="n">
        <v>0</v>
      </c>
      <c r="M72" t="n">
        <v>0</v>
      </c>
      <c r="N72" t="n">
        <v>0</v>
      </c>
      <c r="O72" t="n">
        <v>2</v>
      </c>
      <c r="P72" t="n">
        <v>0</v>
      </c>
      <c r="Q72" t="n">
        <v>2</v>
      </c>
      <c r="R72" s="2" t="inlineStr">
        <is>
          <t>Garnlav
Vitgrynig nållav</t>
        </is>
      </c>
      <c r="S72">
        <f>HYPERLINK("https://klasma.github.io/Logging_2326/artfynd/A 10133-2023 artfynd.xlsx", "A 10133-2023")</f>
        <v/>
      </c>
      <c r="T72">
        <f>HYPERLINK("https://klasma.github.io/Logging_2326/kartor/A 10133-2023 karta.png", "A 10133-2023")</f>
        <v/>
      </c>
      <c r="V72">
        <f>HYPERLINK("https://klasma.github.io/Logging_2326/klagomål/A 10133-2023 FSC-klagomål.docx", "A 10133-2023")</f>
        <v/>
      </c>
      <c r="W72">
        <f>HYPERLINK("https://klasma.github.io/Logging_2326/klagomålsmail/A 10133-2023 FSC-klagomål mail.docx", "A 10133-2023")</f>
        <v/>
      </c>
      <c r="X72">
        <f>HYPERLINK("https://klasma.github.io/Logging_2326/tillsyn/A 10133-2023 tillsynsbegäran.docx", "A 10133-2023")</f>
        <v/>
      </c>
      <c r="Y72">
        <f>HYPERLINK("https://klasma.github.io/Logging_2326/tillsynsmail/A 10133-2023 tillsynsbegäran mail.docx", "A 10133-2023")</f>
        <v/>
      </c>
    </row>
    <row r="73" ht="15" customHeight="1">
      <c r="A73" t="inlineStr">
        <is>
          <t>A 29615-2023</t>
        </is>
      </c>
      <c r="B73" s="1" t="n">
        <v>45107</v>
      </c>
      <c r="C73" s="1" t="n">
        <v>45355</v>
      </c>
      <c r="D73" t="inlineStr">
        <is>
          <t>JÄMTLANDS LÄN</t>
        </is>
      </c>
      <c r="E73" t="inlineStr">
        <is>
          <t>BERG</t>
        </is>
      </c>
      <c r="F73" t="inlineStr">
        <is>
          <t>SCA</t>
        </is>
      </c>
      <c r="G73" t="n">
        <v>8.800000000000001</v>
      </c>
      <c r="H73" t="n">
        <v>1</v>
      </c>
      <c r="I73" t="n">
        <v>0</v>
      </c>
      <c r="J73" t="n">
        <v>2</v>
      </c>
      <c r="K73" t="n">
        <v>0</v>
      </c>
      <c r="L73" t="n">
        <v>0</v>
      </c>
      <c r="M73" t="n">
        <v>0</v>
      </c>
      <c r="N73" t="n">
        <v>0</v>
      </c>
      <c r="O73" t="n">
        <v>2</v>
      </c>
      <c r="P73" t="n">
        <v>0</v>
      </c>
      <c r="Q73" t="n">
        <v>2</v>
      </c>
      <c r="R73" s="2" t="inlineStr">
        <is>
          <t>Granticka
Tretåig hackspett</t>
        </is>
      </c>
      <c r="S73">
        <f>HYPERLINK("https://klasma.github.io/Logging_2326/artfynd/A 29615-2023 artfynd.xlsx", "A 29615-2023")</f>
        <v/>
      </c>
      <c r="T73">
        <f>HYPERLINK("https://klasma.github.io/Logging_2326/kartor/A 29615-2023 karta.png", "A 29615-2023")</f>
        <v/>
      </c>
      <c r="V73">
        <f>HYPERLINK("https://klasma.github.io/Logging_2326/klagomål/A 29615-2023 FSC-klagomål.docx", "A 29615-2023")</f>
        <v/>
      </c>
      <c r="W73">
        <f>HYPERLINK("https://klasma.github.io/Logging_2326/klagomålsmail/A 29615-2023 FSC-klagomål mail.docx", "A 29615-2023")</f>
        <v/>
      </c>
      <c r="X73">
        <f>HYPERLINK("https://klasma.github.io/Logging_2326/tillsyn/A 29615-2023 tillsynsbegäran.docx", "A 29615-2023")</f>
        <v/>
      </c>
      <c r="Y73">
        <f>HYPERLINK("https://klasma.github.io/Logging_2326/tillsynsmail/A 29615-2023 tillsynsbegäran mail.docx", "A 29615-2023")</f>
        <v/>
      </c>
      <c r="Z73">
        <f>HYPERLINK("https://klasma.github.io/Logging_2326/fåglar/A 29615-2023 prioriterade fågelarter.docx", "A 29615-2023")</f>
        <v/>
      </c>
    </row>
    <row r="74" ht="15" customHeight="1">
      <c r="A74" t="inlineStr">
        <is>
          <t>A 48880-2023</t>
        </is>
      </c>
      <c r="B74" s="1" t="n">
        <v>45209</v>
      </c>
      <c r="C74" s="1" t="n">
        <v>45355</v>
      </c>
      <c r="D74" t="inlineStr">
        <is>
          <t>JÄMTLANDS LÄN</t>
        </is>
      </c>
      <c r="E74" t="inlineStr">
        <is>
          <t>BERG</t>
        </is>
      </c>
      <c r="F74" t="inlineStr">
        <is>
          <t>Naturvårdsverket</t>
        </is>
      </c>
      <c r="G74" t="n">
        <v>5.5</v>
      </c>
      <c r="H74" t="n">
        <v>0</v>
      </c>
      <c r="I74" t="n">
        <v>0</v>
      </c>
      <c r="J74" t="n">
        <v>2</v>
      </c>
      <c r="K74" t="n">
        <v>0</v>
      </c>
      <c r="L74" t="n">
        <v>0</v>
      </c>
      <c r="M74" t="n">
        <v>0</v>
      </c>
      <c r="N74" t="n">
        <v>0</v>
      </c>
      <c r="O74" t="n">
        <v>2</v>
      </c>
      <c r="P74" t="n">
        <v>0</v>
      </c>
      <c r="Q74" t="n">
        <v>2</v>
      </c>
      <c r="R74" s="2" t="inlineStr">
        <is>
          <t>Garnlav
Lunglav</t>
        </is>
      </c>
      <c r="S74">
        <f>HYPERLINK("https://klasma.github.io/Logging_2326/artfynd/A 48880-2023 artfynd.xlsx", "A 48880-2023")</f>
        <v/>
      </c>
      <c r="T74">
        <f>HYPERLINK("https://klasma.github.io/Logging_2326/kartor/A 48880-2023 karta.png", "A 48880-2023")</f>
        <v/>
      </c>
      <c r="U74">
        <f>HYPERLINK("https://klasma.github.io/Logging_2326/knärot/A 48880-2023 karta knärot.png", "A 48880-2023")</f>
        <v/>
      </c>
      <c r="V74">
        <f>HYPERLINK("https://klasma.github.io/Logging_2326/klagomål/A 48880-2023 FSC-klagomål.docx", "A 48880-2023")</f>
        <v/>
      </c>
      <c r="W74">
        <f>HYPERLINK("https://klasma.github.io/Logging_2326/klagomålsmail/A 48880-2023 FSC-klagomål mail.docx", "A 48880-2023")</f>
        <v/>
      </c>
      <c r="X74">
        <f>HYPERLINK("https://klasma.github.io/Logging_2326/tillsyn/A 48880-2023 tillsynsbegäran.docx", "A 48880-2023")</f>
        <v/>
      </c>
      <c r="Y74">
        <f>HYPERLINK("https://klasma.github.io/Logging_2326/tillsynsmail/A 48880-2023 tillsynsbegäran mail.docx", "A 48880-2023")</f>
        <v/>
      </c>
    </row>
    <row r="75" ht="15" customHeight="1">
      <c r="A75" t="inlineStr">
        <is>
          <t>A 54996-2023</t>
        </is>
      </c>
      <c r="B75" s="1" t="n">
        <v>45237</v>
      </c>
      <c r="C75" s="1" t="n">
        <v>45355</v>
      </c>
      <c r="D75" t="inlineStr">
        <is>
          <t>JÄMTLANDS LÄN</t>
        </is>
      </c>
      <c r="E75" t="inlineStr">
        <is>
          <t>BERG</t>
        </is>
      </c>
      <c r="F75" t="inlineStr">
        <is>
          <t>SCA</t>
        </is>
      </c>
      <c r="G75" t="n">
        <v>6.2</v>
      </c>
      <c r="H75" t="n">
        <v>0</v>
      </c>
      <c r="I75" t="n">
        <v>0</v>
      </c>
      <c r="J75" t="n">
        <v>2</v>
      </c>
      <c r="K75" t="n">
        <v>0</v>
      </c>
      <c r="L75" t="n">
        <v>0</v>
      </c>
      <c r="M75" t="n">
        <v>0</v>
      </c>
      <c r="N75" t="n">
        <v>0</v>
      </c>
      <c r="O75" t="n">
        <v>2</v>
      </c>
      <c r="P75" t="n">
        <v>0</v>
      </c>
      <c r="Q75" t="n">
        <v>2</v>
      </c>
      <c r="R75" s="2" t="inlineStr">
        <is>
          <t>Dvärgbägarlav
Vedflamlav</t>
        </is>
      </c>
      <c r="S75">
        <f>HYPERLINK("https://klasma.github.io/Logging_2326/artfynd/A 54996-2023 artfynd.xlsx", "A 54996-2023")</f>
        <v/>
      </c>
      <c r="T75">
        <f>HYPERLINK("https://klasma.github.io/Logging_2326/kartor/A 54996-2023 karta.png", "A 54996-2023")</f>
        <v/>
      </c>
      <c r="V75">
        <f>HYPERLINK("https://klasma.github.io/Logging_2326/klagomål/A 54996-2023 FSC-klagomål.docx", "A 54996-2023")</f>
        <v/>
      </c>
      <c r="W75">
        <f>HYPERLINK("https://klasma.github.io/Logging_2326/klagomålsmail/A 54996-2023 FSC-klagomål mail.docx", "A 54996-2023")</f>
        <v/>
      </c>
      <c r="X75">
        <f>HYPERLINK("https://klasma.github.io/Logging_2326/tillsyn/A 54996-2023 tillsynsbegäran.docx", "A 54996-2023")</f>
        <v/>
      </c>
      <c r="Y75">
        <f>HYPERLINK("https://klasma.github.io/Logging_2326/tillsynsmail/A 54996-2023 tillsynsbegäran mail.docx", "A 54996-2023")</f>
        <v/>
      </c>
    </row>
    <row r="76" ht="15" customHeight="1">
      <c r="A76" t="inlineStr">
        <is>
          <t>A 55331-2023</t>
        </is>
      </c>
      <c r="B76" s="1" t="n">
        <v>45238</v>
      </c>
      <c r="C76" s="1" t="n">
        <v>45355</v>
      </c>
      <c r="D76" t="inlineStr">
        <is>
          <t>JÄMTLANDS LÄN</t>
        </is>
      </c>
      <c r="E76" t="inlineStr">
        <is>
          <t>BERG</t>
        </is>
      </c>
      <c r="F76" t="inlineStr">
        <is>
          <t>SCA</t>
        </is>
      </c>
      <c r="G76" t="n">
        <v>8.800000000000001</v>
      </c>
      <c r="H76" t="n">
        <v>1</v>
      </c>
      <c r="I76" t="n">
        <v>1</v>
      </c>
      <c r="J76" t="n">
        <v>0</v>
      </c>
      <c r="K76" t="n">
        <v>0</v>
      </c>
      <c r="L76" t="n">
        <v>0</v>
      </c>
      <c r="M76" t="n">
        <v>0</v>
      </c>
      <c r="N76" t="n">
        <v>0</v>
      </c>
      <c r="O76" t="n">
        <v>0</v>
      </c>
      <c r="P76" t="n">
        <v>0</v>
      </c>
      <c r="Q76" t="n">
        <v>2</v>
      </c>
      <c r="R76" s="2" t="inlineStr">
        <is>
          <t>Tibast
Fläcknycklar</t>
        </is>
      </c>
      <c r="S76">
        <f>HYPERLINK("https://klasma.github.io/Logging_2326/artfynd/A 55331-2023 artfynd.xlsx", "A 55331-2023")</f>
        <v/>
      </c>
      <c r="T76">
        <f>HYPERLINK("https://klasma.github.io/Logging_2326/kartor/A 55331-2023 karta.png", "A 55331-2023")</f>
        <v/>
      </c>
      <c r="V76">
        <f>HYPERLINK("https://klasma.github.io/Logging_2326/klagomål/A 55331-2023 FSC-klagomål.docx", "A 55331-2023")</f>
        <v/>
      </c>
      <c r="W76">
        <f>HYPERLINK("https://klasma.github.io/Logging_2326/klagomålsmail/A 55331-2023 FSC-klagomål mail.docx", "A 55331-2023")</f>
        <v/>
      </c>
      <c r="X76">
        <f>HYPERLINK("https://klasma.github.io/Logging_2326/tillsyn/A 55331-2023 tillsynsbegäran.docx", "A 55331-2023")</f>
        <v/>
      </c>
      <c r="Y76">
        <f>HYPERLINK("https://klasma.github.io/Logging_2326/tillsynsmail/A 55331-2023 tillsynsbegäran mail.docx", "A 55331-2023")</f>
        <v/>
      </c>
    </row>
    <row r="77" ht="15" customHeight="1">
      <c r="A77" t="inlineStr">
        <is>
          <t>A 66769-2018</t>
        </is>
      </c>
      <c r="B77" s="1" t="n">
        <v>43437</v>
      </c>
      <c r="C77" s="1" t="n">
        <v>45355</v>
      </c>
      <c r="D77" t="inlineStr">
        <is>
          <t>JÄMTLANDS LÄN</t>
        </is>
      </c>
      <c r="E77" t="inlineStr">
        <is>
          <t>BERG</t>
        </is>
      </c>
      <c r="G77" t="n">
        <v>0.9</v>
      </c>
      <c r="H77" t="n">
        <v>0</v>
      </c>
      <c r="I77" t="n">
        <v>0</v>
      </c>
      <c r="J77" t="n">
        <v>1</v>
      </c>
      <c r="K77" t="n">
        <v>0</v>
      </c>
      <c r="L77" t="n">
        <v>0</v>
      </c>
      <c r="M77" t="n">
        <v>0</v>
      </c>
      <c r="N77" t="n">
        <v>0</v>
      </c>
      <c r="O77" t="n">
        <v>1</v>
      </c>
      <c r="P77" t="n">
        <v>0</v>
      </c>
      <c r="Q77" t="n">
        <v>1</v>
      </c>
      <c r="R77" s="2" t="inlineStr">
        <is>
          <t>Garnlav</t>
        </is>
      </c>
      <c r="S77">
        <f>HYPERLINK("https://klasma.github.io/Logging_2326/artfynd/A 66769-2018 artfynd.xlsx", "A 66769-2018")</f>
        <v/>
      </c>
      <c r="T77">
        <f>HYPERLINK("https://klasma.github.io/Logging_2326/kartor/A 66769-2018 karta.png", "A 66769-2018")</f>
        <v/>
      </c>
      <c r="V77">
        <f>HYPERLINK("https://klasma.github.io/Logging_2326/klagomål/A 66769-2018 FSC-klagomål.docx", "A 66769-2018")</f>
        <v/>
      </c>
      <c r="W77">
        <f>HYPERLINK("https://klasma.github.io/Logging_2326/klagomålsmail/A 66769-2018 FSC-klagomål mail.docx", "A 66769-2018")</f>
        <v/>
      </c>
      <c r="X77">
        <f>HYPERLINK("https://klasma.github.io/Logging_2326/tillsyn/A 66769-2018 tillsynsbegäran.docx", "A 66769-2018")</f>
        <v/>
      </c>
      <c r="Y77">
        <f>HYPERLINK("https://klasma.github.io/Logging_2326/tillsynsmail/A 66769-2018 tillsynsbegäran mail.docx", "A 66769-2018")</f>
        <v/>
      </c>
    </row>
    <row r="78" ht="15" customHeight="1">
      <c r="A78" t="inlineStr">
        <is>
          <t>A 14312-2019</t>
        </is>
      </c>
      <c r="B78" s="1" t="n">
        <v>43535</v>
      </c>
      <c r="C78" s="1" t="n">
        <v>45355</v>
      </c>
      <c r="D78" t="inlineStr">
        <is>
          <t>JÄMTLANDS LÄN</t>
        </is>
      </c>
      <c r="E78" t="inlineStr">
        <is>
          <t>BERG</t>
        </is>
      </c>
      <c r="G78" t="n">
        <v>5.3</v>
      </c>
      <c r="H78" t="n">
        <v>1</v>
      </c>
      <c r="I78" t="n">
        <v>0</v>
      </c>
      <c r="J78" t="n">
        <v>1</v>
      </c>
      <c r="K78" t="n">
        <v>0</v>
      </c>
      <c r="L78" t="n">
        <v>0</v>
      </c>
      <c r="M78" t="n">
        <v>0</v>
      </c>
      <c r="N78" t="n">
        <v>0</v>
      </c>
      <c r="O78" t="n">
        <v>1</v>
      </c>
      <c r="P78" t="n">
        <v>0</v>
      </c>
      <c r="Q78" t="n">
        <v>1</v>
      </c>
      <c r="R78" s="2" t="inlineStr">
        <is>
          <t>Tretåig hackspett</t>
        </is>
      </c>
      <c r="S78">
        <f>HYPERLINK("https://klasma.github.io/Logging_2326/artfynd/A 14312-2019 artfynd.xlsx", "A 14312-2019")</f>
        <v/>
      </c>
      <c r="T78">
        <f>HYPERLINK("https://klasma.github.io/Logging_2326/kartor/A 14312-2019 karta.png", "A 14312-2019")</f>
        <v/>
      </c>
      <c r="V78">
        <f>HYPERLINK("https://klasma.github.io/Logging_2326/klagomål/A 14312-2019 FSC-klagomål.docx", "A 14312-2019")</f>
        <v/>
      </c>
      <c r="W78">
        <f>HYPERLINK("https://klasma.github.io/Logging_2326/klagomålsmail/A 14312-2019 FSC-klagomål mail.docx", "A 14312-2019")</f>
        <v/>
      </c>
      <c r="X78">
        <f>HYPERLINK("https://klasma.github.io/Logging_2326/tillsyn/A 14312-2019 tillsynsbegäran.docx", "A 14312-2019")</f>
        <v/>
      </c>
      <c r="Y78">
        <f>HYPERLINK("https://klasma.github.io/Logging_2326/tillsynsmail/A 14312-2019 tillsynsbegäran mail.docx", "A 14312-2019")</f>
        <v/>
      </c>
      <c r="Z78">
        <f>HYPERLINK("https://klasma.github.io/Logging_2326/fåglar/A 14312-2019 prioriterade fågelarter.docx", "A 14312-2019")</f>
        <v/>
      </c>
    </row>
    <row r="79" ht="15" customHeight="1">
      <c r="A79" t="inlineStr">
        <is>
          <t>A 14325-2019</t>
        </is>
      </c>
      <c r="B79" s="1" t="n">
        <v>43535</v>
      </c>
      <c r="C79" s="1" t="n">
        <v>45355</v>
      </c>
      <c r="D79" t="inlineStr">
        <is>
          <t>JÄMTLANDS LÄN</t>
        </is>
      </c>
      <c r="E79" t="inlineStr">
        <is>
          <t>BERG</t>
        </is>
      </c>
      <c r="G79" t="n">
        <v>1.5</v>
      </c>
      <c r="H79" t="n">
        <v>0</v>
      </c>
      <c r="I79" t="n">
        <v>0</v>
      </c>
      <c r="J79" t="n">
        <v>1</v>
      </c>
      <c r="K79" t="n">
        <v>0</v>
      </c>
      <c r="L79" t="n">
        <v>0</v>
      </c>
      <c r="M79" t="n">
        <v>0</v>
      </c>
      <c r="N79" t="n">
        <v>0</v>
      </c>
      <c r="O79" t="n">
        <v>1</v>
      </c>
      <c r="P79" t="n">
        <v>0</v>
      </c>
      <c r="Q79" t="n">
        <v>1</v>
      </c>
      <c r="R79" s="2" t="inlineStr">
        <is>
          <t>Ullticka</t>
        </is>
      </c>
      <c r="S79">
        <f>HYPERLINK("https://klasma.github.io/Logging_2326/artfynd/A 14325-2019 artfynd.xlsx", "A 14325-2019")</f>
        <v/>
      </c>
      <c r="T79">
        <f>HYPERLINK("https://klasma.github.io/Logging_2326/kartor/A 14325-2019 karta.png", "A 14325-2019")</f>
        <v/>
      </c>
      <c r="V79">
        <f>HYPERLINK("https://klasma.github.io/Logging_2326/klagomål/A 14325-2019 FSC-klagomål.docx", "A 14325-2019")</f>
        <v/>
      </c>
      <c r="W79">
        <f>HYPERLINK("https://klasma.github.io/Logging_2326/klagomålsmail/A 14325-2019 FSC-klagomål mail.docx", "A 14325-2019")</f>
        <v/>
      </c>
      <c r="X79">
        <f>HYPERLINK("https://klasma.github.io/Logging_2326/tillsyn/A 14325-2019 tillsynsbegäran.docx", "A 14325-2019")</f>
        <v/>
      </c>
      <c r="Y79">
        <f>HYPERLINK("https://klasma.github.io/Logging_2326/tillsynsmail/A 14325-2019 tillsynsbegäran mail.docx", "A 14325-2019")</f>
        <v/>
      </c>
    </row>
    <row r="80" ht="15" customHeight="1">
      <c r="A80" t="inlineStr">
        <is>
          <t>A 43295-2019</t>
        </is>
      </c>
      <c r="B80" s="1" t="n">
        <v>43703</v>
      </c>
      <c r="C80" s="1" t="n">
        <v>45355</v>
      </c>
      <c r="D80" t="inlineStr">
        <is>
          <t>JÄMTLANDS LÄN</t>
        </is>
      </c>
      <c r="E80" t="inlineStr">
        <is>
          <t>BERG</t>
        </is>
      </c>
      <c r="G80" t="n">
        <v>0.7</v>
      </c>
      <c r="H80" t="n">
        <v>1</v>
      </c>
      <c r="I80" t="n">
        <v>0</v>
      </c>
      <c r="J80" t="n">
        <v>1</v>
      </c>
      <c r="K80" t="n">
        <v>0</v>
      </c>
      <c r="L80" t="n">
        <v>0</v>
      </c>
      <c r="M80" t="n">
        <v>0</v>
      </c>
      <c r="N80" t="n">
        <v>0</v>
      </c>
      <c r="O80" t="n">
        <v>1</v>
      </c>
      <c r="P80" t="n">
        <v>0</v>
      </c>
      <c r="Q80" t="n">
        <v>1</v>
      </c>
      <c r="R80" s="2" t="inlineStr">
        <is>
          <t>Mindre hackspett</t>
        </is>
      </c>
      <c r="S80">
        <f>HYPERLINK("https://klasma.github.io/Logging_2326/artfynd/A 43295-2019 artfynd.xlsx", "A 43295-2019")</f>
        <v/>
      </c>
      <c r="T80">
        <f>HYPERLINK("https://klasma.github.io/Logging_2326/kartor/A 43295-2019 karta.png", "A 43295-2019")</f>
        <v/>
      </c>
      <c r="V80">
        <f>HYPERLINK("https://klasma.github.io/Logging_2326/klagomål/A 43295-2019 FSC-klagomål.docx", "A 43295-2019")</f>
        <v/>
      </c>
      <c r="W80">
        <f>HYPERLINK("https://klasma.github.io/Logging_2326/klagomålsmail/A 43295-2019 FSC-klagomål mail.docx", "A 43295-2019")</f>
        <v/>
      </c>
      <c r="X80">
        <f>HYPERLINK("https://klasma.github.io/Logging_2326/tillsyn/A 43295-2019 tillsynsbegäran.docx", "A 43295-2019")</f>
        <v/>
      </c>
      <c r="Y80">
        <f>HYPERLINK("https://klasma.github.io/Logging_2326/tillsynsmail/A 43295-2019 tillsynsbegäran mail.docx", "A 43295-2019")</f>
        <v/>
      </c>
      <c r="Z80">
        <f>HYPERLINK("https://klasma.github.io/Logging_2326/fåglar/A 43295-2019 prioriterade fågelarter.docx", "A 43295-2019")</f>
        <v/>
      </c>
    </row>
    <row r="81" ht="15" customHeight="1">
      <c r="A81" t="inlineStr">
        <is>
          <t>A 43203-2019</t>
        </is>
      </c>
      <c r="B81" s="1" t="n">
        <v>43705</v>
      </c>
      <c r="C81" s="1" t="n">
        <v>45355</v>
      </c>
      <c r="D81" t="inlineStr">
        <is>
          <t>JÄMTLANDS LÄN</t>
        </is>
      </c>
      <c r="E81" t="inlineStr">
        <is>
          <t>BERG</t>
        </is>
      </c>
      <c r="F81" t="inlineStr">
        <is>
          <t>SCA</t>
        </is>
      </c>
      <c r="G81" t="n">
        <v>2.6</v>
      </c>
      <c r="H81" t="n">
        <v>1</v>
      </c>
      <c r="I81" t="n">
        <v>0</v>
      </c>
      <c r="J81" t="n">
        <v>0</v>
      </c>
      <c r="K81" t="n">
        <v>0</v>
      </c>
      <c r="L81" t="n">
        <v>0</v>
      </c>
      <c r="M81" t="n">
        <v>0</v>
      </c>
      <c r="N81" t="n">
        <v>0</v>
      </c>
      <c r="O81" t="n">
        <v>0</v>
      </c>
      <c r="P81" t="n">
        <v>0</v>
      </c>
      <c r="Q81" t="n">
        <v>1</v>
      </c>
      <c r="R81" s="2" t="inlineStr">
        <is>
          <t>Fläcknycklar</t>
        </is>
      </c>
      <c r="S81">
        <f>HYPERLINK("https://klasma.github.io/Logging_2326/artfynd/A 43203-2019 artfynd.xlsx", "A 43203-2019")</f>
        <v/>
      </c>
      <c r="T81">
        <f>HYPERLINK("https://klasma.github.io/Logging_2326/kartor/A 43203-2019 karta.png", "A 43203-2019")</f>
        <v/>
      </c>
      <c r="V81">
        <f>HYPERLINK("https://klasma.github.io/Logging_2326/klagomål/A 43203-2019 FSC-klagomål.docx", "A 43203-2019")</f>
        <v/>
      </c>
      <c r="W81">
        <f>HYPERLINK("https://klasma.github.io/Logging_2326/klagomålsmail/A 43203-2019 FSC-klagomål mail.docx", "A 43203-2019")</f>
        <v/>
      </c>
      <c r="X81">
        <f>HYPERLINK("https://klasma.github.io/Logging_2326/tillsyn/A 43203-2019 tillsynsbegäran.docx", "A 43203-2019")</f>
        <v/>
      </c>
      <c r="Y81">
        <f>HYPERLINK("https://klasma.github.io/Logging_2326/tillsynsmail/A 43203-2019 tillsynsbegäran mail.docx", "A 43203-2019")</f>
        <v/>
      </c>
    </row>
    <row r="82" ht="15" customHeight="1">
      <c r="A82" t="inlineStr">
        <is>
          <t>A 61775-2019</t>
        </is>
      </c>
      <c r="B82" s="1" t="n">
        <v>43784</v>
      </c>
      <c r="C82" s="1" t="n">
        <v>45355</v>
      </c>
      <c r="D82" t="inlineStr">
        <is>
          <t>JÄMTLANDS LÄN</t>
        </is>
      </c>
      <c r="E82" t="inlineStr">
        <is>
          <t>BERG</t>
        </is>
      </c>
      <c r="F82" t="inlineStr">
        <is>
          <t>SCA</t>
        </is>
      </c>
      <c r="G82" t="n">
        <v>5.4</v>
      </c>
      <c r="H82" t="n">
        <v>0</v>
      </c>
      <c r="I82" t="n">
        <v>0</v>
      </c>
      <c r="J82" t="n">
        <v>1</v>
      </c>
      <c r="K82" t="n">
        <v>0</v>
      </c>
      <c r="L82" t="n">
        <v>0</v>
      </c>
      <c r="M82" t="n">
        <v>0</v>
      </c>
      <c r="N82" t="n">
        <v>0</v>
      </c>
      <c r="O82" t="n">
        <v>1</v>
      </c>
      <c r="P82" t="n">
        <v>0</v>
      </c>
      <c r="Q82" t="n">
        <v>1</v>
      </c>
      <c r="R82" s="2" t="inlineStr">
        <is>
          <t>Dvärgbägarlav</t>
        </is>
      </c>
      <c r="S82">
        <f>HYPERLINK("https://klasma.github.io/Logging_2326/artfynd/A 61775-2019 artfynd.xlsx", "A 61775-2019")</f>
        <v/>
      </c>
      <c r="T82">
        <f>HYPERLINK("https://klasma.github.io/Logging_2326/kartor/A 61775-2019 karta.png", "A 61775-2019")</f>
        <v/>
      </c>
      <c r="V82">
        <f>HYPERLINK("https://klasma.github.io/Logging_2326/klagomål/A 61775-2019 FSC-klagomål.docx", "A 61775-2019")</f>
        <v/>
      </c>
      <c r="W82">
        <f>HYPERLINK("https://klasma.github.io/Logging_2326/klagomålsmail/A 61775-2019 FSC-klagomål mail.docx", "A 61775-2019")</f>
        <v/>
      </c>
      <c r="X82">
        <f>HYPERLINK("https://klasma.github.io/Logging_2326/tillsyn/A 61775-2019 tillsynsbegäran.docx", "A 61775-2019")</f>
        <v/>
      </c>
      <c r="Y82">
        <f>HYPERLINK("https://klasma.github.io/Logging_2326/tillsynsmail/A 61775-2019 tillsynsbegäran mail.docx", "A 61775-2019")</f>
        <v/>
      </c>
    </row>
    <row r="83" ht="15" customHeight="1">
      <c r="A83" t="inlineStr">
        <is>
          <t>A 67342-2019</t>
        </is>
      </c>
      <c r="B83" s="1" t="n">
        <v>43812</v>
      </c>
      <c r="C83" s="1" t="n">
        <v>45355</v>
      </c>
      <c r="D83" t="inlineStr">
        <is>
          <t>JÄMTLANDS LÄN</t>
        </is>
      </c>
      <c r="E83" t="inlineStr">
        <is>
          <t>BERG</t>
        </is>
      </c>
      <c r="G83" t="n">
        <v>5</v>
      </c>
      <c r="H83" t="n">
        <v>1</v>
      </c>
      <c r="I83" t="n">
        <v>0</v>
      </c>
      <c r="J83" t="n">
        <v>0</v>
      </c>
      <c r="K83" t="n">
        <v>0</v>
      </c>
      <c r="L83" t="n">
        <v>0</v>
      </c>
      <c r="M83" t="n">
        <v>0</v>
      </c>
      <c r="N83" t="n">
        <v>0</v>
      </c>
      <c r="O83" t="n">
        <v>0</v>
      </c>
      <c r="P83" t="n">
        <v>0</v>
      </c>
      <c r="Q83" t="n">
        <v>1</v>
      </c>
      <c r="R83" s="2" t="inlineStr">
        <is>
          <t>Revlummer</t>
        </is>
      </c>
      <c r="S83">
        <f>HYPERLINK("https://klasma.github.io/Logging_2326/artfynd/A 67342-2019 artfynd.xlsx", "A 67342-2019")</f>
        <v/>
      </c>
      <c r="T83">
        <f>HYPERLINK("https://klasma.github.io/Logging_2326/kartor/A 67342-2019 karta.png", "A 67342-2019")</f>
        <v/>
      </c>
      <c r="V83">
        <f>HYPERLINK("https://klasma.github.io/Logging_2326/klagomål/A 67342-2019 FSC-klagomål.docx", "A 67342-2019")</f>
        <v/>
      </c>
      <c r="W83">
        <f>HYPERLINK("https://klasma.github.io/Logging_2326/klagomålsmail/A 67342-2019 FSC-klagomål mail.docx", "A 67342-2019")</f>
        <v/>
      </c>
      <c r="X83">
        <f>HYPERLINK("https://klasma.github.io/Logging_2326/tillsyn/A 67342-2019 tillsynsbegäran.docx", "A 67342-2019")</f>
        <v/>
      </c>
      <c r="Y83">
        <f>HYPERLINK("https://klasma.github.io/Logging_2326/tillsynsmail/A 67342-2019 tillsynsbegäran mail.docx", "A 67342-2019")</f>
        <v/>
      </c>
    </row>
    <row r="84" ht="15" customHeight="1">
      <c r="A84" t="inlineStr">
        <is>
          <t>A 34582-2020</t>
        </is>
      </c>
      <c r="B84" s="1" t="n">
        <v>44033</v>
      </c>
      <c r="C84" s="1" t="n">
        <v>45355</v>
      </c>
      <c r="D84" t="inlineStr">
        <is>
          <t>JÄMTLANDS LÄN</t>
        </is>
      </c>
      <c r="E84" t="inlineStr">
        <is>
          <t>BERG</t>
        </is>
      </c>
      <c r="F84" t="inlineStr">
        <is>
          <t>SCA</t>
        </is>
      </c>
      <c r="G84" t="n">
        <v>10.6</v>
      </c>
      <c r="H84" t="n">
        <v>0</v>
      </c>
      <c r="I84" t="n">
        <v>0</v>
      </c>
      <c r="J84" t="n">
        <v>1</v>
      </c>
      <c r="K84" t="n">
        <v>0</v>
      </c>
      <c r="L84" t="n">
        <v>0</v>
      </c>
      <c r="M84" t="n">
        <v>0</v>
      </c>
      <c r="N84" t="n">
        <v>0</v>
      </c>
      <c r="O84" t="n">
        <v>1</v>
      </c>
      <c r="P84" t="n">
        <v>0</v>
      </c>
      <c r="Q84" t="n">
        <v>1</v>
      </c>
      <c r="R84" s="2" t="inlineStr">
        <is>
          <t>Kolflarnlav</t>
        </is>
      </c>
      <c r="S84">
        <f>HYPERLINK("https://klasma.github.io/Logging_2326/artfynd/A 34582-2020 artfynd.xlsx", "A 34582-2020")</f>
        <v/>
      </c>
      <c r="T84">
        <f>HYPERLINK("https://klasma.github.io/Logging_2326/kartor/A 34582-2020 karta.png", "A 34582-2020")</f>
        <v/>
      </c>
      <c r="V84">
        <f>HYPERLINK("https://klasma.github.io/Logging_2326/klagomål/A 34582-2020 FSC-klagomål.docx", "A 34582-2020")</f>
        <v/>
      </c>
      <c r="W84">
        <f>HYPERLINK("https://klasma.github.io/Logging_2326/klagomålsmail/A 34582-2020 FSC-klagomål mail.docx", "A 34582-2020")</f>
        <v/>
      </c>
      <c r="X84">
        <f>HYPERLINK("https://klasma.github.io/Logging_2326/tillsyn/A 34582-2020 tillsynsbegäran.docx", "A 34582-2020")</f>
        <v/>
      </c>
      <c r="Y84">
        <f>HYPERLINK("https://klasma.github.io/Logging_2326/tillsynsmail/A 34582-2020 tillsynsbegäran mail.docx", "A 34582-2020")</f>
        <v/>
      </c>
    </row>
    <row r="85" ht="15" customHeight="1">
      <c r="A85" t="inlineStr">
        <is>
          <t>A 36966-2020</t>
        </is>
      </c>
      <c r="B85" s="1" t="n">
        <v>44053</v>
      </c>
      <c r="C85" s="1" t="n">
        <v>45355</v>
      </c>
      <c r="D85" t="inlineStr">
        <is>
          <t>JÄMTLANDS LÄN</t>
        </is>
      </c>
      <c r="E85" t="inlineStr">
        <is>
          <t>BERG</t>
        </is>
      </c>
      <c r="F85" t="inlineStr">
        <is>
          <t>SCA</t>
        </is>
      </c>
      <c r="G85" t="n">
        <v>2.7</v>
      </c>
      <c r="H85" t="n">
        <v>0</v>
      </c>
      <c r="I85" t="n">
        <v>0</v>
      </c>
      <c r="J85" t="n">
        <v>1</v>
      </c>
      <c r="K85" t="n">
        <v>0</v>
      </c>
      <c r="L85" t="n">
        <v>0</v>
      </c>
      <c r="M85" t="n">
        <v>0</v>
      </c>
      <c r="N85" t="n">
        <v>0</v>
      </c>
      <c r="O85" t="n">
        <v>1</v>
      </c>
      <c r="P85" t="n">
        <v>0</v>
      </c>
      <c r="Q85" t="n">
        <v>1</v>
      </c>
      <c r="R85" s="2" t="inlineStr">
        <is>
          <t>Reliktbock</t>
        </is>
      </c>
      <c r="S85">
        <f>HYPERLINK("https://klasma.github.io/Logging_2326/artfynd/A 36966-2020 artfynd.xlsx", "A 36966-2020")</f>
        <v/>
      </c>
      <c r="T85">
        <f>HYPERLINK("https://klasma.github.io/Logging_2326/kartor/A 36966-2020 karta.png", "A 36966-2020")</f>
        <v/>
      </c>
      <c r="V85">
        <f>HYPERLINK("https://klasma.github.io/Logging_2326/klagomål/A 36966-2020 FSC-klagomål.docx", "A 36966-2020")</f>
        <v/>
      </c>
      <c r="W85">
        <f>HYPERLINK("https://klasma.github.io/Logging_2326/klagomålsmail/A 36966-2020 FSC-klagomål mail.docx", "A 36966-2020")</f>
        <v/>
      </c>
      <c r="X85">
        <f>HYPERLINK("https://klasma.github.io/Logging_2326/tillsyn/A 36966-2020 tillsynsbegäran.docx", "A 36966-2020")</f>
        <v/>
      </c>
      <c r="Y85">
        <f>HYPERLINK("https://klasma.github.io/Logging_2326/tillsynsmail/A 36966-2020 tillsynsbegäran mail.docx", "A 36966-2020")</f>
        <v/>
      </c>
    </row>
    <row r="86" ht="15" customHeight="1">
      <c r="A86" t="inlineStr">
        <is>
          <t>A 16834-2021</t>
        </is>
      </c>
      <c r="B86" s="1" t="n">
        <v>44293</v>
      </c>
      <c r="C86" s="1" t="n">
        <v>45355</v>
      </c>
      <c r="D86" t="inlineStr">
        <is>
          <t>JÄMTLANDS LÄN</t>
        </is>
      </c>
      <c r="E86" t="inlineStr">
        <is>
          <t>BERG</t>
        </is>
      </c>
      <c r="G86" t="n">
        <v>18.7</v>
      </c>
      <c r="H86" t="n">
        <v>0</v>
      </c>
      <c r="I86" t="n">
        <v>0</v>
      </c>
      <c r="J86" t="n">
        <v>1</v>
      </c>
      <c r="K86" t="n">
        <v>0</v>
      </c>
      <c r="L86" t="n">
        <v>0</v>
      </c>
      <c r="M86" t="n">
        <v>0</v>
      </c>
      <c r="N86" t="n">
        <v>0</v>
      </c>
      <c r="O86" t="n">
        <v>1</v>
      </c>
      <c r="P86" t="n">
        <v>0</v>
      </c>
      <c r="Q86" t="n">
        <v>1</v>
      </c>
      <c r="R86" s="2" t="inlineStr">
        <is>
          <t>Gränsticka</t>
        </is>
      </c>
      <c r="S86">
        <f>HYPERLINK("https://klasma.github.io/Logging_2326/artfynd/A 16834-2021 artfynd.xlsx", "A 16834-2021")</f>
        <v/>
      </c>
      <c r="T86">
        <f>HYPERLINK("https://klasma.github.io/Logging_2326/kartor/A 16834-2021 karta.png", "A 16834-2021")</f>
        <v/>
      </c>
      <c r="V86">
        <f>HYPERLINK("https://klasma.github.io/Logging_2326/klagomål/A 16834-2021 FSC-klagomål.docx", "A 16834-2021")</f>
        <v/>
      </c>
      <c r="W86">
        <f>HYPERLINK("https://klasma.github.io/Logging_2326/klagomålsmail/A 16834-2021 FSC-klagomål mail.docx", "A 16834-2021")</f>
        <v/>
      </c>
      <c r="X86">
        <f>HYPERLINK("https://klasma.github.io/Logging_2326/tillsyn/A 16834-2021 tillsynsbegäran.docx", "A 16834-2021")</f>
        <v/>
      </c>
      <c r="Y86">
        <f>HYPERLINK("https://klasma.github.io/Logging_2326/tillsynsmail/A 16834-2021 tillsynsbegäran mail.docx", "A 16834-2021")</f>
        <v/>
      </c>
    </row>
    <row r="87" ht="15" customHeight="1">
      <c r="A87" t="inlineStr">
        <is>
          <t>A 33557-2021</t>
        </is>
      </c>
      <c r="B87" s="1" t="n">
        <v>44377</v>
      </c>
      <c r="C87" s="1" t="n">
        <v>45355</v>
      </c>
      <c r="D87" t="inlineStr">
        <is>
          <t>JÄMTLANDS LÄN</t>
        </is>
      </c>
      <c r="E87" t="inlineStr">
        <is>
          <t>BERG</t>
        </is>
      </c>
      <c r="F87" t="inlineStr">
        <is>
          <t>SCA</t>
        </is>
      </c>
      <c r="G87" t="n">
        <v>10</v>
      </c>
      <c r="H87" t="n">
        <v>0</v>
      </c>
      <c r="I87" t="n">
        <v>0</v>
      </c>
      <c r="J87" t="n">
        <v>0</v>
      </c>
      <c r="K87" t="n">
        <v>1</v>
      </c>
      <c r="L87" t="n">
        <v>0</v>
      </c>
      <c r="M87" t="n">
        <v>0</v>
      </c>
      <c r="N87" t="n">
        <v>0</v>
      </c>
      <c r="O87" t="n">
        <v>1</v>
      </c>
      <c r="P87" t="n">
        <v>1</v>
      </c>
      <c r="Q87" t="n">
        <v>1</v>
      </c>
      <c r="R87" s="2" t="inlineStr">
        <is>
          <t>Gräddporing</t>
        </is>
      </c>
      <c r="S87">
        <f>HYPERLINK("https://klasma.github.io/Logging_2326/artfynd/A 33557-2021 artfynd.xlsx", "A 33557-2021")</f>
        <v/>
      </c>
      <c r="T87">
        <f>HYPERLINK("https://klasma.github.io/Logging_2326/kartor/A 33557-2021 karta.png", "A 33557-2021")</f>
        <v/>
      </c>
      <c r="V87">
        <f>HYPERLINK("https://klasma.github.io/Logging_2326/klagomål/A 33557-2021 FSC-klagomål.docx", "A 33557-2021")</f>
        <v/>
      </c>
      <c r="W87">
        <f>HYPERLINK("https://klasma.github.io/Logging_2326/klagomålsmail/A 33557-2021 FSC-klagomål mail.docx", "A 33557-2021")</f>
        <v/>
      </c>
      <c r="X87">
        <f>HYPERLINK("https://klasma.github.io/Logging_2326/tillsyn/A 33557-2021 tillsynsbegäran.docx", "A 33557-2021")</f>
        <v/>
      </c>
      <c r="Y87">
        <f>HYPERLINK("https://klasma.github.io/Logging_2326/tillsynsmail/A 33557-2021 tillsynsbegäran mail.docx", "A 33557-2021")</f>
        <v/>
      </c>
    </row>
    <row r="88" ht="15" customHeight="1">
      <c r="A88" t="inlineStr">
        <is>
          <t>A 68434-2021</t>
        </is>
      </c>
      <c r="B88" s="1" t="n">
        <v>44529</v>
      </c>
      <c r="C88" s="1" t="n">
        <v>45355</v>
      </c>
      <c r="D88" t="inlineStr">
        <is>
          <t>JÄMTLANDS LÄN</t>
        </is>
      </c>
      <c r="E88" t="inlineStr">
        <is>
          <t>BERG</t>
        </is>
      </c>
      <c r="G88" t="n">
        <v>14</v>
      </c>
      <c r="H88" t="n">
        <v>0</v>
      </c>
      <c r="I88" t="n">
        <v>0</v>
      </c>
      <c r="J88" t="n">
        <v>0</v>
      </c>
      <c r="K88" t="n">
        <v>1</v>
      </c>
      <c r="L88" t="n">
        <v>0</v>
      </c>
      <c r="M88" t="n">
        <v>0</v>
      </c>
      <c r="N88" t="n">
        <v>0</v>
      </c>
      <c r="O88" t="n">
        <v>1</v>
      </c>
      <c r="P88" t="n">
        <v>1</v>
      </c>
      <c r="Q88" t="n">
        <v>1</v>
      </c>
      <c r="R88" s="2" t="inlineStr">
        <is>
          <t>Ostticka</t>
        </is>
      </c>
      <c r="S88">
        <f>HYPERLINK("https://klasma.github.io/Logging_2326/artfynd/A 68434-2021 artfynd.xlsx", "A 68434-2021")</f>
        <v/>
      </c>
      <c r="T88">
        <f>HYPERLINK("https://klasma.github.io/Logging_2326/kartor/A 68434-2021 karta.png", "A 68434-2021")</f>
        <v/>
      </c>
      <c r="V88">
        <f>HYPERLINK("https://klasma.github.io/Logging_2326/klagomål/A 68434-2021 FSC-klagomål.docx", "A 68434-2021")</f>
        <v/>
      </c>
      <c r="W88">
        <f>HYPERLINK("https://klasma.github.io/Logging_2326/klagomålsmail/A 68434-2021 FSC-klagomål mail.docx", "A 68434-2021")</f>
        <v/>
      </c>
      <c r="X88">
        <f>HYPERLINK("https://klasma.github.io/Logging_2326/tillsyn/A 68434-2021 tillsynsbegäran.docx", "A 68434-2021")</f>
        <v/>
      </c>
      <c r="Y88">
        <f>HYPERLINK("https://klasma.github.io/Logging_2326/tillsynsmail/A 68434-2021 tillsynsbegäran mail.docx", "A 68434-2021")</f>
        <v/>
      </c>
    </row>
    <row r="89" ht="15" customHeight="1">
      <c r="A89" t="inlineStr">
        <is>
          <t>A 32686-2022</t>
        </is>
      </c>
      <c r="B89" s="1" t="n">
        <v>44776</v>
      </c>
      <c r="C89" s="1" t="n">
        <v>45355</v>
      </c>
      <c r="D89" t="inlineStr">
        <is>
          <t>JÄMTLANDS LÄN</t>
        </is>
      </c>
      <c r="E89" t="inlineStr">
        <is>
          <t>BERG</t>
        </is>
      </c>
      <c r="G89" t="n">
        <v>4.8</v>
      </c>
      <c r="H89" t="n">
        <v>1</v>
      </c>
      <c r="I89" t="n">
        <v>0</v>
      </c>
      <c r="J89" t="n">
        <v>0</v>
      </c>
      <c r="K89" t="n">
        <v>1</v>
      </c>
      <c r="L89" t="n">
        <v>0</v>
      </c>
      <c r="M89" t="n">
        <v>0</v>
      </c>
      <c r="N89" t="n">
        <v>0</v>
      </c>
      <c r="O89" t="n">
        <v>1</v>
      </c>
      <c r="P89" t="n">
        <v>1</v>
      </c>
      <c r="Q89" t="n">
        <v>1</v>
      </c>
      <c r="R89" s="2" t="inlineStr">
        <is>
          <t>Knärot</t>
        </is>
      </c>
      <c r="S89">
        <f>HYPERLINK("https://klasma.github.io/Logging_2326/artfynd/A 32686-2022 artfynd.xlsx", "A 32686-2022")</f>
        <v/>
      </c>
      <c r="T89">
        <f>HYPERLINK("https://klasma.github.io/Logging_2326/kartor/A 32686-2022 karta.png", "A 32686-2022")</f>
        <v/>
      </c>
      <c r="U89">
        <f>HYPERLINK("https://klasma.github.io/Logging_2326/knärot/A 32686-2022 karta knärot.png", "A 32686-2022")</f>
        <v/>
      </c>
      <c r="V89">
        <f>HYPERLINK("https://klasma.github.io/Logging_2326/klagomål/A 32686-2022 FSC-klagomål.docx", "A 32686-2022")</f>
        <v/>
      </c>
      <c r="W89">
        <f>HYPERLINK("https://klasma.github.io/Logging_2326/klagomålsmail/A 32686-2022 FSC-klagomål mail.docx", "A 32686-2022")</f>
        <v/>
      </c>
      <c r="X89">
        <f>HYPERLINK("https://klasma.github.io/Logging_2326/tillsyn/A 32686-2022 tillsynsbegäran.docx", "A 32686-2022")</f>
        <v/>
      </c>
      <c r="Y89">
        <f>HYPERLINK("https://klasma.github.io/Logging_2326/tillsynsmail/A 32686-2022 tillsynsbegäran mail.docx", "A 32686-2022")</f>
        <v/>
      </c>
    </row>
    <row r="90" ht="15" customHeight="1">
      <c r="A90" t="inlineStr">
        <is>
          <t>A 34271-2022</t>
        </is>
      </c>
      <c r="B90" s="1" t="n">
        <v>44792</v>
      </c>
      <c r="C90" s="1" t="n">
        <v>45355</v>
      </c>
      <c r="D90" t="inlineStr">
        <is>
          <t>JÄMTLANDS LÄN</t>
        </is>
      </c>
      <c r="E90" t="inlineStr">
        <is>
          <t>BERG</t>
        </is>
      </c>
      <c r="F90" t="inlineStr">
        <is>
          <t>SCA</t>
        </is>
      </c>
      <c r="G90" t="n">
        <v>17</v>
      </c>
      <c r="H90" t="n">
        <v>1</v>
      </c>
      <c r="I90" t="n">
        <v>0</v>
      </c>
      <c r="J90" t="n">
        <v>1</v>
      </c>
      <c r="K90" t="n">
        <v>0</v>
      </c>
      <c r="L90" t="n">
        <v>0</v>
      </c>
      <c r="M90" t="n">
        <v>0</v>
      </c>
      <c r="N90" t="n">
        <v>0</v>
      </c>
      <c r="O90" t="n">
        <v>1</v>
      </c>
      <c r="P90" t="n">
        <v>0</v>
      </c>
      <c r="Q90" t="n">
        <v>1</v>
      </c>
      <c r="R90" s="2" t="inlineStr">
        <is>
          <t>Spillkråka</t>
        </is>
      </c>
      <c r="S90">
        <f>HYPERLINK("https://klasma.github.io/Logging_2326/artfynd/A 34271-2022 artfynd.xlsx", "A 34271-2022")</f>
        <v/>
      </c>
      <c r="T90">
        <f>HYPERLINK("https://klasma.github.io/Logging_2326/kartor/A 34271-2022 karta.png", "A 34271-2022")</f>
        <v/>
      </c>
      <c r="V90">
        <f>HYPERLINK("https://klasma.github.io/Logging_2326/klagomål/A 34271-2022 FSC-klagomål.docx", "A 34271-2022")</f>
        <v/>
      </c>
      <c r="W90">
        <f>HYPERLINK("https://klasma.github.io/Logging_2326/klagomålsmail/A 34271-2022 FSC-klagomål mail.docx", "A 34271-2022")</f>
        <v/>
      </c>
      <c r="X90">
        <f>HYPERLINK("https://klasma.github.io/Logging_2326/tillsyn/A 34271-2022 tillsynsbegäran.docx", "A 34271-2022")</f>
        <v/>
      </c>
      <c r="Y90">
        <f>HYPERLINK("https://klasma.github.io/Logging_2326/tillsynsmail/A 34271-2022 tillsynsbegäran mail.docx", "A 34271-2022")</f>
        <v/>
      </c>
      <c r="Z90">
        <f>HYPERLINK("https://klasma.github.io/Logging_2326/fåglar/A 34271-2022 prioriterade fågelarter.docx", "A 34271-2022")</f>
        <v/>
      </c>
    </row>
    <row r="91" ht="15" customHeight="1">
      <c r="A91" t="inlineStr">
        <is>
          <t>A 34274-2022</t>
        </is>
      </c>
      <c r="B91" s="1" t="n">
        <v>44791</v>
      </c>
      <c r="C91" s="1" t="n">
        <v>45355</v>
      </c>
      <c r="D91" t="inlineStr">
        <is>
          <t>JÄMTLANDS LÄN</t>
        </is>
      </c>
      <c r="E91" t="inlineStr">
        <is>
          <t>BERG</t>
        </is>
      </c>
      <c r="F91" t="inlineStr">
        <is>
          <t>SCA</t>
        </is>
      </c>
      <c r="G91" t="n">
        <v>6.1</v>
      </c>
      <c r="H91" t="n">
        <v>0</v>
      </c>
      <c r="I91" t="n">
        <v>0</v>
      </c>
      <c r="J91" t="n">
        <v>1</v>
      </c>
      <c r="K91" t="n">
        <v>0</v>
      </c>
      <c r="L91" t="n">
        <v>0</v>
      </c>
      <c r="M91" t="n">
        <v>0</v>
      </c>
      <c r="N91" t="n">
        <v>0</v>
      </c>
      <c r="O91" t="n">
        <v>1</v>
      </c>
      <c r="P91" t="n">
        <v>0</v>
      </c>
      <c r="Q91" t="n">
        <v>1</v>
      </c>
      <c r="R91" s="2" t="inlineStr">
        <is>
          <t>Rosenticka</t>
        </is>
      </c>
      <c r="S91">
        <f>HYPERLINK("https://klasma.github.io/Logging_2326/artfynd/A 34274-2022 artfynd.xlsx", "A 34274-2022")</f>
        <v/>
      </c>
      <c r="T91">
        <f>HYPERLINK("https://klasma.github.io/Logging_2326/kartor/A 34274-2022 karta.png", "A 34274-2022")</f>
        <v/>
      </c>
      <c r="V91">
        <f>HYPERLINK("https://klasma.github.io/Logging_2326/klagomål/A 34274-2022 FSC-klagomål.docx", "A 34274-2022")</f>
        <v/>
      </c>
      <c r="W91">
        <f>HYPERLINK("https://klasma.github.io/Logging_2326/klagomålsmail/A 34274-2022 FSC-klagomål mail.docx", "A 34274-2022")</f>
        <v/>
      </c>
      <c r="X91">
        <f>HYPERLINK("https://klasma.github.io/Logging_2326/tillsyn/A 34274-2022 tillsynsbegäran.docx", "A 34274-2022")</f>
        <v/>
      </c>
      <c r="Y91">
        <f>HYPERLINK("https://klasma.github.io/Logging_2326/tillsynsmail/A 34274-2022 tillsynsbegäran mail.docx", "A 34274-2022")</f>
        <v/>
      </c>
    </row>
    <row r="92" ht="15" customHeight="1">
      <c r="A92" t="inlineStr">
        <is>
          <t>A 41317-2022</t>
        </is>
      </c>
      <c r="B92" s="1" t="n">
        <v>44826</v>
      </c>
      <c r="C92" s="1" t="n">
        <v>45355</v>
      </c>
      <c r="D92" t="inlineStr">
        <is>
          <t>JÄMTLANDS LÄN</t>
        </is>
      </c>
      <c r="E92" t="inlineStr">
        <is>
          <t>BERG</t>
        </is>
      </c>
      <c r="G92" t="n">
        <v>0.5</v>
      </c>
      <c r="H92" t="n">
        <v>1</v>
      </c>
      <c r="I92" t="n">
        <v>0</v>
      </c>
      <c r="J92" t="n">
        <v>0</v>
      </c>
      <c r="K92" t="n">
        <v>0</v>
      </c>
      <c r="L92" t="n">
        <v>0</v>
      </c>
      <c r="M92" t="n">
        <v>0</v>
      </c>
      <c r="N92" t="n">
        <v>0</v>
      </c>
      <c r="O92" t="n">
        <v>0</v>
      </c>
      <c r="P92" t="n">
        <v>0</v>
      </c>
      <c r="Q92" t="n">
        <v>1</v>
      </c>
      <c r="R92" s="2" t="inlineStr">
        <is>
          <t>Fläcknycklar</t>
        </is>
      </c>
      <c r="S92">
        <f>HYPERLINK("https://klasma.github.io/Logging_2326/artfynd/A 41317-2022 artfynd.xlsx", "A 41317-2022")</f>
        <v/>
      </c>
      <c r="T92">
        <f>HYPERLINK("https://klasma.github.io/Logging_2326/kartor/A 41317-2022 karta.png", "A 41317-2022")</f>
        <v/>
      </c>
      <c r="V92">
        <f>HYPERLINK("https://klasma.github.io/Logging_2326/klagomål/A 41317-2022 FSC-klagomål.docx", "A 41317-2022")</f>
        <v/>
      </c>
      <c r="W92">
        <f>HYPERLINK("https://klasma.github.io/Logging_2326/klagomålsmail/A 41317-2022 FSC-klagomål mail.docx", "A 41317-2022")</f>
        <v/>
      </c>
      <c r="X92">
        <f>HYPERLINK("https://klasma.github.io/Logging_2326/tillsyn/A 41317-2022 tillsynsbegäran.docx", "A 41317-2022")</f>
        <v/>
      </c>
      <c r="Y92">
        <f>HYPERLINK("https://klasma.github.io/Logging_2326/tillsynsmail/A 41317-2022 tillsynsbegäran mail.docx", "A 41317-2022")</f>
        <v/>
      </c>
    </row>
    <row r="93" ht="15" customHeight="1">
      <c r="A93" t="inlineStr">
        <is>
          <t>A 43132-2022</t>
        </is>
      </c>
      <c r="B93" s="1" t="n">
        <v>44833</v>
      </c>
      <c r="C93" s="1" t="n">
        <v>45355</v>
      </c>
      <c r="D93" t="inlineStr">
        <is>
          <t>JÄMTLANDS LÄN</t>
        </is>
      </c>
      <c r="E93" t="inlineStr">
        <is>
          <t>BERG</t>
        </is>
      </c>
      <c r="F93" t="inlineStr">
        <is>
          <t>SCA</t>
        </is>
      </c>
      <c r="G93" t="n">
        <v>11.5</v>
      </c>
      <c r="H93" t="n">
        <v>0</v>
      </c>
      <c r="I93" t="n">
        <v>0</v>
      </c>
      <c r="J93" t="n">
        <v>0</v>
      </c>
      <c r="K93" t="n">
        <v>1</v>
      </c>
      <c r="L93" t="n">
        <v>0</v>
      </c>
      <c r="M93" t="n">
        <v>0</v>
      </c>
      <c r="N93" t="n">
        <v>0</v>
      </c>
      <c r="O93" t="n">
        <v>1</v>
      </c>
      <c r="P93" t="n">
        <v>1</v>
      </c>
      <c r="Q93" t="n">
        <v>1</v>
      </c>
      <c r="R93" s="2" t="inlineStr">
        <is>
          <t>Gräddporing</t>
        </is>
      </c>
      <c r="S93">
        <f>HYPERLINK("https://klasma.github.io/Logging_2326/artfynd/A 43132-2022 artfynd.xlsx", "A 43132-2022")</f>
        <v/>
      </c>
      <c r="T93">
        <f>HYPERLINK("https://klasma.github.io/Logging_2326/kartor/A 43132-2022 karta.png", "A 43132-2022")</f>
        <v/>
      </c>
      <c r="V93">
        <f>HYPERLINK("https://klasma.github.io/Logging_2326/klagomål/A 43132-2022 FSC-klagomål.docx", "A 43132-2022")</f>
        <v/>
      </c>
      <c r="W93">
        <f>HYPERLINK("https://klasma.github.io/Logging_2326/klagomålsmail/A 43132-2022 FSC-klagomål mail.docx", "A 43132-2022")</f>
        <v/>
      </c>
      <c r="X93">
        <f>HYPERLINK("https://klasma.github.io/Logging_2326/tillsyn/A 43132-2022 tillsynsbegäran.docx", "A 43132-2022")</f>
        <v/>
      </c>
      <c r="Y93">
        <f>HYPERLINK("https://klasma.github.io/Logging_2326/tillsynsmail/A 43132-2022 tillsynsbegäran mail.docx", "A 43132-2022")</f>
        <v/>
      </c>
    </row>
    <row r="94" ht="15" customHeight="1">
      <c r="A94" t="inlineStr">
        <is>
          <t>A 43166-2022</t>
        </is>
      </c>
      <c r="B94" s="1" t="n">
        <v>44833</v>
      </c>
      <c r="C94" s="1" t="n">
        <v>45355</v>
      </c>
      <c r="D94" t="inlineStr">
        <is>
          <t>JÄMTLANDS LÄN</t>
        </is>
      </c>
      <c r="E94" t="inlineStr">
        <is>
          <t>BERG</t>
        </is>
      </c>
      <c r="F94" t="inlineStr">
        <is>
          <t>SCA</t>
        </is>
      </c>
      <c r="G94" t="n">
        <v>22.3</v>
      </c>
      <c r="H94" t="n">
        <v>0</v>
      </c>
      <c r="I94" t="n">
        <v>0</v>
      </c>
      <c r="J94" t="n">
        <v>1</v>
      </c>
      <c r="K94" t="n">
        <v>0</v>
      </c>
      <c r="L94" t="n">
        <v>0</v>
      </c>
      <c r="M94" t="n">
        <v>0</v>
      </c>
      <c r="N94" t="n">
        <v>0</v>
      </c>
      <c r="O94" t="n">
        <v>1</v>
      </c>
      <c r="P94" t="n">
        <v>0</v>
      </c>
      <c r="Q94" t="n">
        <v>1</v>
      </c>
      <c r="R94" s="2" t="inlineStr">
        <is>
          <t>Skrovellav</t>
        </is>
      </c>
      <c r="S94">
        <f>HYPERLINK("https://klasma.github.io/Logging_2326/artfynd/A 43166-2022 artfynd.xlsx", "A 43166-2022")</f>
        <v/>
      </c>
      <c r="T94">
        <f>HYPERLINK("https://klasma.github.io/Logging_2326/kartor/A 43166-2022 karta.png", "A 43166-2022")</f>
        <v/>
      </c>
      <c r="V94">
        <f>HYPERLINK("https://klasma.github.io/Logging_2326/klagomål/A 43166-2022 FSC-klagomål.docx", "A 43166-2022")</f>
        <v/>
      </c>
      <c r="W94">
        <f>HYPERLINK("https://klasma.github.io/Logging_2326/klagomålsmail/A 43166-2022 FSC-klagomål mail.docx", "A 43166-2022")</f>
        <v/>
      </c>
      <c r="X94">
        <f>HYPERLINK("https://klasma.github.io/Logging_2326/tillsyn/A 43166-2022 tillsynsbegäran.docx", "A 43166-2022")</f>
        <v/>
      </c>
      <c r="Y94">
        <f>HYPERLINK("https://klasma.github.io/Logging_2326/tillsynsmail/A 43166-2022 tillsynsbegäran mail.docx", "A 43166-2022")</f>
        <v/>
      </c>
    </row>
    <row r="95" ht="15" customHeight="1">
      <c r="A95" t="inlineStr">
        <is>
          <t>A 45082-2022</t>
        </is>
      </c>
      <c r="B95" s="1" t="n">
        <v>44842</v>
      </c>
      <c r="C95" s="1" t="n">
        <v>45355</v>
      </c>
      <c r="D95" t="inlineStr">
        <is>
          <t>JÄMTLANDS LÄN</t>
        </is>
      </c>
      <c r="E95" t="inlineStr">
        <is>
          <t>BERG</t>
        </is>
      </c>
      <c r="F95" t="inlineStr">
        <is>
          <t>SCA</t>
        </is>
      </c>
      <c r="G95" t="n">
        <v>10.8</v>
      </c>
      <c r="H95" t="n">
        <v>1</v>
      </c>
      <c r="I95" t="n">
        <v>0</v>
      </c>
      <c r="J95" t="n">
        <v>1</v>
      </c>
      <c r="K95" t="n">
        <v>0</v>
      </c>
      <c r="L95" t="n">
        <v>0</v>
      </c>
      <c r="M95" t="n">
        <v>0</v>
      </c>
      <c r="N95" t="n">
        <v>0</v>
      </c>
      <c r="O95" t="n">
        <v>1</v>
      </c>
      <c r="P95" t="n">
        <v>0</v>
      </c>
      <c r="Q95" t="n">
        <v>1</v>
      </c>
      <c r="R95" s="2" t="inlineStr">
        <is>
          <t>Fjällvråk</t>
        </is>
      </c>
      <c r="S95">
        <f>HYPERLINK("https://klasma.github.io/Logging_2326/artfynd/A 45082-2022 artfynd.xlsx", "A 45082-2022")</f>
        <v/>
      </c>
      <c r="T95">
        <f>HYPERLINK("https://klasma.github.io/Logging_2326/kartor/A 45082-2022 karta.png", "A 45082-2022")</f>
        <v/>
      </c>
      <c r="V95">
        <f>HYPERLINK("https://klasma.github.io/Logging_2326/klagomål/A 45082-2022 FSC-klagomål.docx", "A 45082-2022")</f>
        <v/>
      </c>
      <c r="W95">
        <f>HYPERLINK("https://klasma.github.io/Logging_2326/klagomålsmail/A 45082-2022 FSC-klagomål mail.docx", "A 45082-2022")</f>
        <v/>
      </c>
      <c r="X95">
        <f>HYPERLINK("https://klasma.github.io/Logging_2326/tillsyn/A 45082-2022 tillsynsbegäran.docx", "A 45082-2022")</f>
        <v/>
      </c>
      <c r="Y95">
        <f>HYPERLINK("https://klasma.github.io/Logging_2326/tillsynsmail/A 45082-2022 tillsynsbegäran mail.docx", "A 45082-2022")</f>
        <v/>
      </c>
      <c r="Z95">
        <f>HYPERLINK("https://klasma.github.io/Logging_2326/fåglar/A 45082-2022 prioriterade fågelarter.docx", "A 45082-2022")</f>
        <v/>
      </c>
    </row>
    <row r="96" ht="15" customHeight="1">
      <c r="A96" t="inlineStr">
        <is>
          <t>A 49532-2022</t>
        </is>
      </c>
      <c r="B96" s="1" t="n">
        <v>44861</v>
      </c>
      <c r="C96" s="1" t="n">
        <v>45355</v>
      </c>
      <c r="D96" t="inlineStr">
        <is>
          <t>JÄMTLANDS LÄN</t>
        </is>
      </c>
      <c r="E96" t="inlineStr">
        <is>
          <t>BERG</t>
        </is>
      </c>
      <c r="F96" t="inlineStr">
        <is>
          <t>SCA</t>
        </is>
      </c>
      <c r="G96" t="n">
        <v>12.7</v>
      </c>
      <c r="H96" t="n">
        <v>0</v>
      </c>
      <c r="I96" t="n">
        <v>0</v>
      </c>
      <c r="J96" t="n">
        <v>1</v>
      </c>
      <c r="K96" t="n">
        <v>0</v>
      </c>
      <c r="L96" t="n">
        <v>0</v>
      </c>
      <c r="M96" t="n">
        <v>0</v>
      </c>
      <c r="N96" t="n">
        <v>0</v>
      </c>
      <c r="O96" t="n">
        <v>1</v>
      </c>
      <c r="P96" t="n">
        <v>0</v>
      </c>
      <c r="Q96" t="n">
        <v>1</v>
      </c>
      <c r="R96" s="2" t="inlineStr">
        <is>
          <t>Dvärgbägarlav</t>
        </is>
      </c>
      <c r="S96">
        <f>HYPERLINK("https://klasma.github.io/Logging_2326/artfynd/A 49532-2022 artfynd.xlsx", "A 49532-2022")</f>
        <v/>
      </c>
      <c r="T96">
        <f>HYPERLINK("https://klasma.github.io/Logging_2326/kartor/A 49532-2022 karta.png", "A 49532-2022")</f>
        <v/>
      </c>
      <c r="V96">
        <f>HYPERLINK("https://klasma.github.io/Logging_2326/klagomål/A 49532-2022 FSC-klagomål.docx", "A 49532-2022")</f>
        <v/>
      </c>
      <c r="W96">
        <f>HYPERLINK("https://klasma.github.io/Logging_2326/klagomålsmail/A 49532-2022 FSC-klagomål mail.docx", "A 49532-2022")</f>
        <v/>
      </c>
      <c r="X96">
        <f>HYPERLINK("https://klasma.github.io/Logging_2326/tillsyn/A 49532-2022 tillsynsbegäran.docx", "A 49532-2022")</f>
        <v/>
      </c>
      <c r="Y96">
        <f>HYPERLINK("https://klasma.github.io/Logging_2326/tillsynsmail/A 49532-2022 tillsynsbegäran mail.docx", "A 49532-2022")</f>
        <v/>
      </c>
    </row>
    <row r="97" ht="15" customHeight="1">
      <c r="A97" t="inlineStr">
        <is>
          <t>A 53014-2022</t>
        </is>
      </c>
      <c r="B97" s="1" t="n">
        <v>44875</v>
      </c>
      <c r="C97" s="1" t="n">
        <v>45355</v>
      </c>
      <c r="D97" t="inlineStr">
        <is>
          <t>JÄMTLANDS LÄN</t>
        </is>
      </c>
      <c r="E97" t="inlineStr">
        <is>
          <t>BERG</t>
        </is>
      </c>
      <c r="F97" t="inlineStr">
        <is>
          <t>SCA</t>
        </is>
      </c>
      <c r="G97" t="n">
        <v>13</v>
      </c>
      <c r="H97" t="n">
        <v>0</v>
      </c>
      <c r="I97" t="n">
        <v>0</v>
      </c>
      <c r="J97" t="n">
        <v>0</v>
      </c>
      <c r="K97" t="n">
        <v>1</v>
      </c>
      <c r="L97" t="n">
        <v>0</v>
      </c>
      <c r="M97" t="n">
        <v>0</v>
      </c>
      <c r="N97" t="n">
        <v>0</v>
      </c>
      <c r="O97" t="n">
        <v>1</v>
      </c>
      <c r="P97" t="n">
        <v>1</v>
      </c>
      <c r="Q97" t="n">
        <v>1</v>
      </c>
      <c r="R97" s="2" t="inlineStr">
        <is>
          <t>Gräddporing</t>
        </is>
      </c>
      <c r="S97">
        <f>HYPERLINK("https://klasma.github.io/Logging_2326/artfynd/A 53014-2022 artfynd.xlsx", "A 53014-2022")</f>
        <v/>
      </c>
      <c r="T97">
        <f>HYPERLINK("https://klasma.github.io/Logging_2326/kartor/A 53014-2022 karta.png", "A 53014-2022")</f>
        <v/>
      </c>
      <c r="V97">
        <f>HYPERLINK("https://klasma.github.io/Logging_2326/klagomål/A 53014-2022 FSC-klagomål.docx", "A 53014-2022")</f>
        <v/>
      </c>
      <c r="W97">
        <f>HYPERLINK("https://klasma.github.io/Logging_2326/klagomålsmail/A 53014-2022 FSC-klagomål mail.docx", "A 53014-2022")</f>
        <v/>
      </c>
      <c r="X97">
        <f>HYPERLINK("https://klasma.github.io/Logging_2326/tillsyn/A 53014-2022 tillsynsbegäran.docx", "A 53014-2022")</f>
        <v/>
      </c>
      <c r="Y97">
        <f>HYPERLINK("https://klasma.github.io/Logging_2326/tillsynsmail/A 53014-2022 tillsynsbegäran mail.docx", "A 53014-2022")</f>
        <v/>
      </c>
    </row>
    <row r="98" ht="15" customHeight="1">
      <c r="A98" t="inlineStr">
        <is>
          <t>A 59823-2022</t>
        </is>
      </c>
      <c r="B98" s="1" t="n">
        <v>44900</v>
      </c>
      <c r="C98" s="1" t="n">
        <v>45355</v>
      </c>
      <c r="D98" t="inlineStr">
        <is>
          <t>JÄMTLANDS LÄN</t>
        </is>
      </c>
      <c r="E98" t="inlineStr">
        <is>
          <t>BERG</t>
        </is>
      </c>
      <c r="G98" t="n">
        <v>14.8</v>
      </c>
      <c r="H98" t="n">
        <v>0</v>
      </c>
      <c r="I98" t="n">
        <v>0</v>
      </c>
      <c r="J98" t="n">
        <v>1</v>
      </c>
      <c r="K98" t="n">
        <v>0</v>
      </c>
      <c r="L98" t="n">
        <v>0</v>
      </c>
      <c r="M98" t="n">
        <v>0</v>
      </c>
      <c r="N98" t="n">
        <v>0</v>
      </c>
      <c r="O98" t="n">
        <v>1</v>
      </c>
      <c r="P98" t="n">
        <v>0</v>
      </c>
      <c r="Q98" t="n">
        <v>1</v>
      </c>
      <c r="R98" s="2" t="inlineStr">
        <is>
          <t>Granticka</t>
        </is>
      </c>
      <c r="S98">
        <f>HYPERLINK("https://klasma.github.io/Logging_2326/artfynd/A 59823-2022 artfynd.xlsx", "A 59823-2022")</f>
        <v/>
      </c>
      <c r="T98">
        <f>HYPERLINK("https://klasma.github.io/Logging_2326/kartor/A 59823-2022 karta.png", "A 59823-2022")</f>
        <v/>
      </c>
      <c r="V98">
        <f>HYPERLINK("https://klasma.github.io/Logging_2326/klagomål/A 59823-2022 FSC-klagomål.docx", "A 59823-2022")</f>
        <v/>
      </c>
      <c r="W98">
        <f>HYPERLINK("https://klasma.github.io/Logging_2326/klagomålsmail/A 59823-2022 FSC-klagomål mail.docx", "A 59823-2022")</f>
        <v/>
      </c>
      <c r="X98">
        <f>HYPERLINK("https://klasma.github.io/Logging_2326/tillsyn/A 59823-2022 tillsynsbegäran.docx", "A 59823-2022")</f>
        <v/>
      </c>
      <c r="Y98">
        <f>HYPERLINK("https://klasma.github.io/Logging_2326/tillsynsmail/A 59823-2022 tillsynsbegäran mail.docx", "A 59823-2022")</f>
        <v/>
      </c>
    </row>
    <row r="99" ht="15" customHeight="1">
      <c r="A99" t="inlineStr">
        <is>
          <t>A 24309-2023</t>
        </is>
      </c>
      <c r="B99" s="1" t="n">
        <v>45079</v>
      </c>
      <c r="C99" s="1" t="n">
        <v>45355</v>
      </c>
      <c r="D99" t="inlineStr">
        <is>
          <t>JÄMTLANDS LÄN</t>
        </is>
      </c>
      <c r="E99" t="inlineStr">
        <is>
          <t>BERG</t>
        </is>
      </c>
      <c r="F99" t="inlineStr">
        <is>
          <t>SCA</t>
        </is>
      </c>
      <c r="G99" t="n">
        <v>3.3</v>
      </c>
      <c r="H99" t="n">
        <v>1</v>
      </c>
      <c r="I99" t="n">
        <v>0</v>
      </c>
      <c r="J99" t="n">
        <v>0</v>
      </c>
      <c r="K99" t="n">
        <v>0</v>
      </c>
      <c r="L99" t="n">
        <v>0</v>
      </c>
      <c r="M99" t="n">
        <v>0</v>
      </c>
      <c r="N99" t="n">
        <v>0</v>
      </c>
      <c r="O99" t="n">
        <v>0</v>
      </c>
      <c r="P99" t="n">
        <v>0</v>
      </c>
      <c r="Q99" t="n">
        <v>1</v>
      </c>
      <c r="R99" s="2" t="inlineStr">
        <is>
          <t>Vanlig groda</t>
        </is>
      </c>
      <c r="S99">
        <f>HYPERLINK("https://klasma.github.io/Logging_2326/artfynd/A 24309-2023 artfynd.xlsx", "A 24309-2023")</f>
        <v/>
      </c>
      <c r="T99">
        <f>HYPERLINK("https://klasma.github.io/Logging_2326/kartor/A 24309-2023 karta.png", "A 24309-2023")</f>
        <v/>
      </c>
      <c r="V99">
        <f>HYPERLINK("https://klasma.github.io/Logging_2326/klagomål/A 24309-2023 FSC-klagomål.docx", "A 24309-2023")</f>
        <v/>
      </c>
      <c r="W99">
        <f>HYPERLINK("https://klasma.github.io/Logging_2326/klagomålsmail/A 24309-2023 FSC-klagomål mail.docx", "A 24309-2023")</f>
        <v/>
      </c>
      <c r="X99">
        <f>HYPERLINK("https://klasma.github.io/Logging_2326/tillsyn/A 24309-2023 tillsynsbegäran.docx", "A 24309-2023")</f>
        <v/>
      </c>
      <c r="Y99">
        <f>HYPERLINK("https://klasma.github.io/Logging_2326/tillsynsmail/A 24309-2023 tillsynsbegäran mail.docx", "A 24309-2023")</f>
        <v/>
      </c>
    </row>
    <row r="100" ht="15" customHeight="1">
      <c r="A100" t="inlineStr">
        <is>
          <t>A 33124-2023</t>
        </is>
      </c>
      <c r="B100" s="1" t="n">
        <v>45126</v>
      </c>
      <c r="C100" s="1" t="n">
        <v>45355</v>
      </c>
      <c r="D100" t="inlineStr">
        <is>
          <t>JÄMTLANDS LÄN</t>
        </is>
      </c>
      <c r="E100" t="inlineStr">
        <is>
          <t>BERG</t>
        </is>
      </c>
      <c r="F100" t="inlineStr">
        <is>
          <t>Sveaskog</t>
        </is>
      </c>
      <c r="G100" t="n">
        <v>4.2</v>
      </c>
      <c r="H100" t="n">
        <v>0</v>
      </c>
      <c r="I100" t="n">
        <v>0</v>
      </c>
      <c r="J100" t="n">
        <v>1</v>
      </c>
      <c r="K100" t="n">
        <v>0</v>
      </c>
      <c r="L100" t="n">
        <v>0</v>
      </c>
      <c r="M100" t="n">
        <v>0</v>
      </c>
      <c r="N100" t="n">
        <v>0</v>
      </c>
      <c r="O100" t="n">
        <v>1</v>
      </c>
      <c r="P100" t="n">
        <v>0</v>
      </c>
      <c r="Q100" t="n">
        <v>1</v>
      </c>
      <c r="R100" s="2" t="inlineStr">
        <is>
          <t>Lunglav</t>
        </is>
      </c>
      <c r="S100">
        <f>HYPERLINK("https://klasma.github.io/Logging_2326/artfynd/A 33124-2023 artfynd.xlsx", "A 33124-2023")</f>
        <v/>
      </c>
      <c r="T100">
        <f>HYPERLINK("https://klasma.github.io/Logging_2326/kartor/A 33124-2023 karta.png", "A 33124-2023")</f>
        <v/>
      </c>
      <c r="V100">
        <f>HYPERLINK("https://klasma.github.io/Logging_2326/klagomål/A 33124-2023 FSC-klagomål.docx", "A 33124-2023")</f>
        <v/>
      </c>
      <c r="W100">
        <f>HYPERLINK("https://klasma.github.io/Logging_2326/klagomålsmail/A 33124-2023 FSC-klagomål mail.docx", "A 33124-2023")</f>
        <v/>
      </c>
      <c r="X100">
        <f>HYPERLINK("https://klasma.github.io/Logging_2326/tillsyn/A 33124-2023 tillsynsbegäran.docx", "A 33124-2023")</f>
        <v/>
      </c>
      <c r="Y100">
        <f>HYPERLINK("https://klasma.github.io/Logging_2326/tillsynsmail/A 33124-2023 tillsynsbegäran mail.docx", "A 33124-2023")</f>
        <v/>
      </c>
    </row>
    <row r="101" ht="15" customHeight="1">
      <c r="A101" t="inlineStr">
        <is>
          <t>A 35275-2023</t>
        </is>
      </c>
      <c r="B101" s="1" t="n">
        <v>45145</v>
      </c>
      <c r="C101" s="1" t="n">
        <v>45355</v>
      </c>
      <c r="D101" t="inlineStr">
        <is>
          <t>JÄMTLANDS LÄN</t>
        </is>
      </c>
      <c r="E101" t="inlineStr">
        <is>
          <t>BERG</t>
        </is>
      </c>
      <c r="F101" t="inlineStr">
        <is>
          <t>SCA</t>
        </is>
      </c>
      <c r="G101" t="n">
        <v>8.5</v>
      </c>
      <c r="H101" t="n">
        <v>0</v>
      </c>
      <c r="I101" t="n">
        <v>0</v>
      </c>
      <c r="J101" t="n">
        <v>1</v>
      </c>
      <c r="K101" t="n">
        <v>0</v>
      </c>
      <c r="L101" t="n">
        <v>0</v>
      </c>
      <c r="M101" t="n">
        <v>0</v>
      </c>
      <c r="N101" t="n">
        <v>0</v>
      </c>
      <c r="O101" t="n">
        <v>1</v>
      </c>
      <c r="P101" t="n">
        <v>0</v>
      </c>
      <c r="Q101" t="n">
        <v>1</v>
      </c>
      <c r="R101" s="2" t="inlineStr">
        <is>
          <t>Motaggsvamp</t>
        </is>
      </c>
      <c r="S101">
        <f>HYPERLINK("https://klasma.github.io/Logging_2326/artfynd/A 35275-2023 artfynd.xlsx", "A 35275-2023")</f>
        <v/>
      </c>
      <c r="T101">
        <f>HYPERLINK("https://klasma.github.io/Logging_2326/kartor/A 35275-2023 karta.png", "A 35275-2023")</f>
        <v/>
      </c>
      <c r="V101">
        <f>HYPERLINK("https://klasma.github.io/Logging_2326/klagomål/A 35275-2023 FSC-klagomål.docx", "A 35275-2023")</f>
        <v/>
      </c>
      <c r="W101">
        <f>HYPERLINK("https://klasma.github.io/Logging_2326/klagomålsmail/A 35275-2023 FSC-klagomål mail.docx", "A 35275-2023")</f>
        <v/>
      </c>
      <c r="X101">
        <f>HYPERLINK("https://klasma.github.io/Logging_2326/tillsyn/A 35275-2023 tillsynsbegäran.docx", "A 35275-2023")</f>
        <v/>
      </c>
      <c r="Y101">
        <f>HYPERLINK("https://klasma.github.io/Logging_2326/tillsynsmail/A 35275-2023 tillsynsbegäran mail.docx", "A 35275-2023")</f>
        <v/>
      </c>
    </row>
    <row r="102" ht="15" customHeight="1">
      <c r="A102" t="inlineStr">
        <is>
          <t>A 50543-2023</t>
        </is>
      </c>
      <c r="B102" s="1" t="n">
        <v>45210</v>
      </c>
      <c r="C102" s="1" t="n">
        <v>45355</v>
      </c>
      <c r="D102" t="inlineStr">
        <is>
          <t>JÄMTLANDS LÄN</t>
        </is>
      </c>
      <c r="E102" t="inlineStr">
        <is>
          <t>BERG</t>
        </is>
      </c>
      <c r="F102" t="inlineStr">
        <is>
          <t>Övriga statliga verk och myndigheter</t>
        </is>
      </c>
      <c r="G102" t="n">
        <v>9.699999999999999</v>
      </c>
      <c r="H102" t="n">
        <v>1</v>
      </c>
      <c r="I102" t="n">
        <v>0</v>
      </c>
      <c r="J102" t="n">
        <v>1</v>
      </c>
      <c r="K102" t="n">
        <v>0</v>
      </c>
      <c r="L102" t="n">
        <v>0</v>
      </c>
      <c r="M102" t="n">
        <v>0</v>
      </c>
      <c r="N102" t="n">
        <v>0</v>
      </c>
      <c r="O102" t="n">
        <v>1</v>
      </c>
      <c r="P102" t="n">
        <v>0</v>
      </c>
      <c r="Q102" t="n">
        <v>1</v>
      </c>
      <c r="R102" s="2" t="inlineStr">
        <is>
          <t>Tretåig hackspett</t>
        </is>
      </c>
      <c r="S102">
        <f>HYPERLINK("https://klasma.github.io/Logging_2326/artfynd/A 50543-2023 artfynd.xlsx", "A 50543-2023")</f>
        <v/>
      </c>
      <c r="T102">
        <f>HYPERLINK("https://klasma.github.io/Logging_2326/kartor/A 50543-2023 karta.png", "A 50543-2023")</f>
        <v/>
      </c>
      <c r="V102">
        <f>HYPERLINK("https://klasma.github.io/Logging_2326/klagomål/A 50543-2023 FSC-klagomål.docx", "A 50543-2023")</f>
        <v/>
      </c>
      <c r="W102">
        <f>HYPERLINK("https://klasma.github.io/Logging_2326/klagomålsmail/A 50543-2023 FSC-klagomål mail.docx", "A 50543-2023")</f>
        <v/>
      </c>
      <c r="X102">
        <f>HYPERLINK("https://klasma.github.io/Logging_2326/tillsyn/A 50543-2023 tillsynsbegäran.docx", "A 50543-2023")</f>
        <v/>
      </c>
      <c r="Y102">
        <f>HYPERLINK("https://klasma.github.io/Logging_2326/tillsynsmail/A 50543-2023 tillsynsbegäran mail.docx", "A 50543-2023")</f>
        <v/>
      </c>
      <c r="Z102">
        <f>HYPERLINK("https://klasma.github.io/Logging_2326/fåglar/A 50543-2023 prioriterade fågelarter.docx", "A 50543-2023")</f>
        <v/>
      </c>
    </row>
    <row r="103" ht="15" customHeight="1">
      <c r="A103" t="inlineStr">
        <is>
          <t>A 50765-2023</t>
        </is>
      </c>
      <c r="B103" s="1" t="n">
        <v>45210</v>
      </c>
      <c r="C103" s="1" t="n">
        <v>45355</v>
      </c>
      <c r="D103" t="inlineStr">
        <is>
          <t>JÄMTLANDS LÄN</t>
        </is>
      </c>
      <c r="E103" t="inlineStr">
        <is>
          <t>BERG</t>
        </is>
      </c>
      <c r="G103" t="n">
        <v>9.4</v>
      </c>
      <c r="H103" t="n">
        <v>0</v>
      </c>
      <c r="I103" t="n">
        <v>0</v>
      </c>
      <c r="J103" t="n">
        <v>1</v>
      </c>
      <c r="K103" t="n">
        <v>0</v>
      </c>
      <c r="L103" t="n">
        <v>0</v>
      </c>
      <c r="M103" t="n">
        <v>0</v>
      </c>
      <c r="N103" t="n">
        <v>0</v>
      </c>
      <c r="O103" t="n">
        <v>1</v>
      </c>
      <c r="P103" t="n">
        <v>0</v>
      </c>
      <c r="Q103" t="n">
        <v>1</v>
      </c>
      <c r="R103" s="2" t="inlineStr">
        <is>
          <t>Äggvaxskivling</t>
        </is>
      </c>
      <c r="S103">
        <f>HYPERLINK("https://klasma.github.io/Logging_2326/artfynd/A 50765-2023 artfynd.xlsx", "A 50765-2023")</f>
        <v/>
      </c>
      <c r="T103">
        <f>HYPERLINK("https://klasma.github.io/Logging_2326/kartor/A 50765-2023 karta.png", "A 50765-2023")</f>
        <v/>
      </c>
      <c r="V103">
        <f>HYPERLINK("https://klasma.github.io/Logging_2326/klagomål/A 50765-2023 FSC-klagomål.docx", "A 50765-2023")</f>
        <v/>
      </c>
      <c r="W103">
        <f>HYPERLINK("https://klasma.github.io/Logging_2326/klagomålsmail/A 50765-2023 FSC-klagomål mail.docx", "A 50765-2023")</f>
        <v/>
      </c>
      <c r="X103">
        <f>HYPERLINK("https://klasma.github.io/Logging_2326/tillsyn/A 50765-2023 tillsynsbegäran.docx", "A 50765-2023")</f>
        <v/>
      </c>
      <c r="Y103">
        <f>HYPERLINK("https://klasma.github.io/Logging_2326/tillsynsmail/A 50765-2023 tillsynsbegäran mail.docx", "A 50765-2023")</f>
        <v/>
      </c>
    </row>
    <row r="104" ht="15" customHeight="1">
      <c r="A104" t="inlineStr">
        <is>
          <t>A 53443-2023</t>
        </is>
      </c>
      <c r="B104" s="1" t="n">
        <v>45210</v>
      </c>
      <c r="C104" s="1" t="n">
        <v>45355</v>
      </c>
      <c r="D104" t="inlineStr">
        <is>
          <t>JÄMTLANDS LÄN</t>
        </is>
      </c>
      <c r="E104" t="inlineStr">
        <is>
          <t>BERG</t>
        </is>
      </c>
      <c r="F104" t="inlineStr">
        <is>
          <t>Övriga statliga verk och myndigheter</t>
        </is>
      </c>
      <c r="G104" t="n">
        <v>3.4</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53443-2023 artfynd.xlsx", "A 53443-2023")</f>
        <v/>
      </c>
      <c r="T104">
        <f>HYPERLINK("https://klasma.github.io/Logging_2326/kartor/A 53443-2023 karta.png", "A 53443-2023")</f>
        <v/>
      </c>
      <c r="V104">
        <f>HYPERLINK("https://klasma.github.io/Logging_2326/klagomål/A 53443-2023 FSC-klagomål.docx", "A 53443-2023")</f>
        <v/>
      </c>
      <c r="W104">
        <f>HYPERLINK("https://klasma.github.io/Logging_2326/klagomålsmail/A 53443-2023 FSC-klagomål mail.docx", "A 53443-2023")</f>
        <v/>
      </c>
      <c r="X104">
        <f>HYPERLINK("https://klasma.github.io/Logging_2326/tillsyn/A 53443-2023 tillsynsbegäran.docx", "A 53443-2023")</f>
        <v/>
      </c>
      <c r="Y104">
        <f>HYPERLINK("https://klasma.github.io/Logging_2326/tillsynsmail/A 53443-2023 tillsynsbegäran mail.docx", "A 53443-2023")</f>
        <v/>
      </c>
      <c r="Z104">
        <f>HYPERLINK("https://klasma.github.io/Logging_2326/fåglar/A 53443-2023 prioriterade fågelarter.docx", "A 53443-2023")</f>
        <v/>
      </c>
    </row>
    <row r="105" ht="15" customHeight="1">
      <c r="A105" t="inlineStr">
        <is>
          <t>A 50225-2023</t>
        </is>
      </c>
      <c r="B105" s="1" t="n">
        <v>45215</v>
      </c>
      <c r="C105" s="1" t="n">
        <v>45355</v>
      </c>
      <c r="D105" t="inlineStr">
        <is>
          <t>JÄMTLANDS LÄN</t>
        </is>
      </c>
      <c r="E105" t="inlineStr">
        <is>
          <t>BERG</t>
        </is>
      </c>
      <c r="F105" t="inlineStr">
        <is>
          <t>SCA</t>
        </is>
      </c>
      <c r="G105" t="n">
        <v>4.3</v>
      </c>
      <c r="H105" t="n">
        <v>0</v>
      </c>
      <c r="I105" t="n">
        <v>0</v>
      </c>
      <c r="J105" t="n">
        <v>0</v>
      </c>
      <c r="K105" t="n">
        <v>1</v>
      </c>
      <c r="L105" t="n">
        <v>0</v>
      </c>
      <c r="M105" t="n">
        <v>0</v>
      </c>
      <c r="N105" t="n">
        <v>0</v>
      </c>
      <c r="O105" t="n">
        <v>1</v>
      </c>
      <c r="P105" t="n">
        <v>1</v>
      </c>
      <c r="Q105" t="n">
        <v>1</v>
      </c>
      <c r="R105" s="2" t="inlineStr">
        <is>
          <t>Rynkskinn</t>
        </is>
      </c>
      <c r="S105">
        <f>HYPERLINK("https://klasma.github.io/Logging_2326/artfynd/A 50225-2023 artfynd.xlsx", "A 50225-2023")</f>
        <v/>
      </c>
      <c r="T105">
        <f>HYPERLINK("https://klasma.github.io/Logging_2326/kartor/A 50225-2023 karta.png", "A 50225-2023")</f>
        <v/>
      </c>
      <c r="V105">
        <f>HYPERLINK("https://klasma.github.io/Logging_2326/klagomål/A 50225-2023 FSC-klagomål.docx", "A 50225-2023")</f>
        <v/>
      </c>
      <c r="W105">
        <f>HYPERLINK("https://klasma.github.io/Logging_2326/klagomålsmail/A 50225-2023 FSC-klagomål mail.docx", "A 50225-2023")</f>
        <v/>
      </c>
      <c r="X105">
        <f>HYPERLINK("https://klasma.github.io/Logging_2326/tillsyn/A 50225-2023 tillsynsbegäran.docx", "A 50225-2023")</f>
        <v/>
      </c>
      <c r="Y105">
        <f>HYPERLINK("https://klasma.github.io/Logging_2326/tillsynsmail/A 50225-2023 tillsynsbegäran mail.docx", "A 50225-2023")</f>
        <v/>
      </c>
    </row>
    <row r="106" ht="15" customHeight="1">
      <c r="A106" t="inlineStr">
        <is>
          <t>A 50224-2023</t>
        </is>
      </c>
      <c r="B106" s="1" t="n">
        <v>45215</v>
      </c>
      <c r="C106" s="1" t="n">
        <v>45355</v>
      </c>
      <c r="D106" t="inlineStr">
        <is>
          <t>JÄMTLANDS LÄN</t>
        </is>
      </c>
      <c r="E106" t="inlineStr">
        <is>
          <t>BERG</t>
        </is>
      </c>
      <c r="F106" t="inlineStr">
        <is>
          <t>SCA</t>
        </is>
      </c>
      <c r="G106" t="n">
        <v>10.3</v>
      </c>
      <c r="H106" t="n">
        <v>0</v>
      </c>
      <c r="I106" t="n">
        <v>0</v>
      </c>
      <c r="J106" t="n">
        <v>1</v>
      </c>
      <c r="K106" t="n">
        <v>0</v>
      </c>
      <c r="L106" t="n">
        <v>0</v>
      </c>
      <c r="M106" t="n">
        <v>0</v>
      </c>
      <c r="N106" t="n">
        <v>0</v>
      </c>
      <c r="O106" t="n">
        <v>1</v>
      </c>
      <c r="P106" t="n">
        <v>0</v>
      </c>
      <c r="Q106" t="n">
        <v>1</v>
      </c>
      <c r="R106" s="2" t="inlineStr">
        <is>
          <t>Kolflarnlav</t>
        </is>
      </c>
      <c r="S106">
        <f>HYPERLINK("https://klasma.github.io/Logging_2326/artfynd/A 50224-2023 artfynd.xlsx", "A 50224-2023")</f>
        <v/>
      </c>
      <c r="T106">
        <f>HYPERLINK("https://klasma.github.io/Logging_2326/kartor/A 50224-2023 karta.png", "A 50224-2023")</f>
        <v/>
      </c>
      <c r="V106">
        <f>HYPERLINK("https://klasma.github.io/Logging_2326/klagomål/A 50224-2023 FSC-klagomål.docx", "A 50224-2023")</f>
        <v/>
      </c>
      <c r="W106">
        <f>HYPERLINK("https://klasma.github.io/Logging_2326/klagomålsmail/A 50224-2023 FSC-klagomål mail.docx", "A 50224-2023")</f>
        <v/>
      </c>
      <c r="X106">
        <f>HYPERLINK("https://klasma.github.io/Logging_2326/tillsyn/A 50224-2023 tillsynsbegäran.docx", "A 50224-2023")</f>
        <v/>
      </c>
      <c r="Y106">
        <f>HYPERLINK("https://klasma.github.io/Logging_2326/tillsynsmail/A 50224-2023 tillsynsbegäran mail.docx", "A 50224-2023")</f>
        <v/>
      </c>
    </row>
    <row r="107" ht="15" customHeight="1">
      <c r="A107" t="inlineStr">
        <is>
          <t>A 50519-2023</t>
        </is>
      </c>
      <c r="B107" s="1" t="n">
        <v>45217</v>
      </c>
      <c r="C107" s="1" t="n">
        <v>45355</v>
      </c>
      <c r="D107" t="inlineStr">
        <is>
          <t>JÄMTLANDS LÄN</t>
        </is>
      </c>
      <c r="E107" t="inlineStr">
        <is>
          <t>BERG</t>
        </is>
      </c>
      <c r="F107" t="inlineStr">
        <is>
          <t>SCA</t>
        </is>
      </c>
      <c r="G107" t="n">
        <v>0.8</v>
      </c>
      <c r="H107" t="n">
        <v>0</v>
      </c>
      <c r="I107" t="n">
        <v>1</v>
      </c>
      <c r="J107" t="n">
        <v>0</v>
      </c>
      <c r="K107" t="n">
        <v>0</v>
      </c>
      <c r="L107" t="n">
        <v>0</v>
      </c>
      <c r="M107" t="n">
        <v>0</v>
      </c>
      <c r="N107" t="n">
        <v>0</v>
      </c>
      <c r="O107" t="n">
        <v>0</v>
      </c>
      <c r="P107" t="n">
        <v>0</v>
      </c>
      <c r="Q107" t="n">
        <v>1</v>
      </c>
      <c r="R107" s="2" t="inlineStr">
        <is>
          <t>Norrlandslav</t>
        </is>
      </c>
      <c r="S107">
        <f>HYPERLINK("https://klasma.github.io/Logging_2326/artfynd/A 50519-2023 artfynd.xlsx", "A 50519-2023")</f>
        <v/>
      </c>
      <c r="T107">
        <f>HYPERLINK("https://klasma.github.io/Logging_2326/kartor/A 50519-2023 karta.png", "A 50519-2023")</f>
        <v/>
      </c>
      <c r="V107">
        <f>HYPERLINK("https://klasma.github.io/Logging_2326/klagomål/A 50519-2023 FSC-klagomål.docx", "A 50519-2023")</f>
        <v/>
      </c>
      <c r="W107">
        <f>HYPERLINK("https://klasma.github.io/Logging_2326/klagomålsmail/A 50519-2023 FSC-klagomål mail.docx", "A 50519-2023")</f>
        <v/>
      </c>
      <c r="X107">
        <f>HYPERLINK("https://klasma.github.io/Logging_2326/tillsyn/A 50519-2023 tillsynsbegäran.docx", "A 50519-2023")</f>
        <v/>
      </c>
      <c r="Y107">
        <f>HYPERLINK("https://klasma.github.io/Logging_2326/tillsynsmail/A 50519-2023 tillsynsbegäran mail.docx", "A 50519-2023")</f>
        <v/>
      </c>
    </row>
    <row r="108" ht="15" customHeight="1">
      <c r="A108" t="inlineStr">
        <is>
          <t>A 51811-2023</t>
        </is>
      </c>
      <c r="B108" s="1" t="n">
        <v>45222</v>
      </c>
      <c r="C108" s="1" t="n">
        <v>45355</v>
      </c>
      <c r="D108" t="inlineStr">
        <is>
          <t>JÄMTLANDS LÄN</t>
        </is>
      </c>
      <c r="E108" t="inlineStr">
        <is>
          <t>BERG</t>
        </is>
      </c>
      <c r="F108" t="inlineStr">
        <is>
          <t>SCA</t>
        </is>
      </c>
      <c r="G108" t="n">
        <v>7.9</v>
      </c>
      <c r="H108" t="n">
        <v>0</v>
      </c>
      <c r="I108" t="n">
        <v>0</v>
      </c>
      <c r="J108" t="n">
        <v>0</v>
      </c>
      <c r="K108" t="n">
        <v>1</v>
      </c>
      <c r="L108" t="n">
        <v>0</v>
      </c>
      <c r="M108" t="n">
        <v>0</v>
      </c>
      <c r="N108" t="n">
        <v>0</v>
      </c>
      <c r="O108" t="n">
        <v>1</v>
      </c>
      <c r="P108" t="n">
        <v>1</v>
      </c>
      <c r="Q108" t="n">
        <v>1</v>
      </c>
      <c r="R108" s="2" t="inlineStr">
        <is>
          <t>Gräddporing</t>
        </is>
      </c>
      <c r="S108">
        <f>HYPERLINK("https://klasma.github.io/Logging_2326/artfynd/A 51811-2023 artfynd.xlsx", "A 51811-2023")</f>
        <v/>
      </c>
      <c r="T108">
        <f>HYPERLINK("https://klasma.github.io/Logging_2326/kartor/A 51811-2023 karta.png", "A 51811-2023")</f>
        <v/>
      </c>
      <c r="V108">
        <f>HYPERLINK("https://klasma.github.io/Logging_2326/klagomål/A 51811-2023 FSC-klagomål.docx", "A 51811-2023")</f>
        <v/>
      </c>
      <c r="W108">
        <f>HYPERLINK("https://klasma.github.io/Logging_2326/klagomålsmail/A 51811-2023 FSC-klagomål mail.docx", "A 51811-2023")</f>
        <v/>
      </c>
      <c r="X108">
        <f>HYPERLINK("https://klasma.github.io/Logging_2326/tillsyn/A 51811-2023 tillsynsbegäran.docx", "A 51811-2023")</f>
        <v/>
      </c>
      <c r="Y108">
        <f>HYPERLINK("https://klasma.github.io/Logging_2326/tillsynsmail/A 51811-2023 tillsynsbegäran mail.docx", "A 51811-2023")</f>
        <v/>
      </c>
    </row>
    <row r="109" ht="15" customHeight="1">
      <c r="A109" t="inlineStr">
        <is>
          <t>A 54337-2023</t>
        </is>
      </c>
      <c r="B109" s="1" t="n">
        <v>45233</v>
      </c>
      <c r="C109" s="1" t="n">
        <v>45355</v>
      </c>
      <c r="D109" t="inlineStr">
        <is>
          <t>JÄMTLANDS LÄN</t>
        </is>
      </c>
      <c r="E109" t="inlineStr">
        <is>
          <t>BERG</t>
        </is>
      </c>
      <c r="F109" t="inlineStr">
        <is>
          <t>SCA</t>
        </is>
      </c>
      <c r="G109" t="n">
        <v>18.7</v>
      </c>
      <c r="H109" t="n">
        <v>0</v>
      </c>
      <c r="I109" t="n">
        <v>1</v>
      </c>
      <c r="J109" t="n">
        <v>0</v>
      </c>
      <c r="K109" t="n">
        <v>0</v>
      </c>
      <c r="L109" t="n">
        <v>0</v>
      </c>
      <c r="M109" t="n">
        <v>0</v>
      </c>
      <c r="N109" t="n">
        <v>0</v>
      </c>
      <c r="O109" t="n">
        <v>0</v>
      </c>
      <c r="P109" t="n">
        <v>0</v>
      </c>
      <c r="Q109" t="n">
        <v>1</v>
      </c>
      <c r="R109" s="2" t="inlineStr">
        <is>
          <t>Dropptaggsvamp</t>
        </is>
      </c>
      <c r="S109">
        <f>HYPERLINK("https://klasma.github.io/Logging_2326/artfynd/A 54337-2023 artfynd.xlsx", "A 54337-2023")</f>
        <v/>
      </c>
      <c r="T109">
        <f>HYPERLINK("https://klasma.github.io/Logging_2326/kartor/A 54337-2023 karta.png", "A 54337-2023")</f>
        <v/>
      </c>
      <c r="V109">
        <f>HYPERLINK("https://klasma.github.io/Logging_2326/klagomål/A 54337-2023 FSC-klagomål.docx", "A 54337-2023")</f>
        <v/>
      </c>
      <c r="W109">
        <f>HYPERLINK("https://klasma.github.io/Logging_2326/klagomålsmail/A 54337-2023 FSC-klagomål mail.docx", "A 54337-2023")</f>
        <v/>
      </c>
      <c r="X109">
        <f>HYPERLINK("https://klasma.github.io/Logging_2326/tillsyn/A 54337-2023 tillsynsbegäran.docx", "A 54337-2023")</f>
        <v/>
      </c>
      <c r="Y109">
        <f>HYPERLINK("https://klasma.github.io/Logging_2326/tillsynsmail/A 54337-2023 tillsynsbegäran mail.docx", "A 54337-2023")</f>
        <v/>
      </c>
    </row>
    <row r="110" ht="15" customHeight="1">
      <c r="A110" t="inlineStr">
        <is>
          <t>A 54347-2023</t>
        </is>
      </c>
      <c r="B110" s="1" t="n">
        <v>45233</v>
      </c>
      <c r="C110" s="1" t="n">
        <v>45355</v>
      </c>
      <c r="D110" t="inlineStr">
        <is>
          <t>JÄMTLANDS LÄN</t>
        </is>
      </c>
      <c r="E110" t="inlineStr">
        <is>
          <t>BERG</t>
        </is>
      </c>
      <c r="F110" t="inlineStr">
        <is>
          <t>SCA</t>
        </is>
      </c>
      <c r="G110" t="n">
        <v>13.4</v>
      </c>
      <c r="H110" t="n">
        <v>0</v>
      </c>
      <c r="I110" t="n">
        <v>0</v>
      </c>
      <c r="J110" t="n">
        <v>1</v>
      </c>
      <c r="K110" t="n">
        <v>0</v>
      </c>
      <c r="L110" t="n">
        <v>0</v>
      </c>
      <c r="M110" t="n">
        <v>0</v>
      </c>
      <c r="N110" t="n">
        <v>0</v>
      </c>
      <c r="O110" t="n">
        <v>1</v>
      </c>
      <c r="P110" t="n">
        <v>0</v>
      </c>
      <c r="Q110" t="n">
        <v>1</v>
      </c>
      <c r="R110" s="2" t="inlineStr">
        <is>
          <t>Dvärgbägarlav</t>
        </is>
      </c>
      <c r="S110">
        <f>HYPERLINK("https://klasma.github.io/Logging_2326/artfynd/A 54347-2023 artfynd.xlsx", "A 54347-2023")</f>
        <v/>
      </c>
      <c r="T110">
        <f>HYPERLINK("https://klasma.github.io/Logging_2326/kartor/A 54347-2023 karta.png", "A 54347-2023")</f>
        <v/>
      </c>
      <c r="V110">
        <f>HYPERLINK("https://klasma.github.io/Logging_2326/klagomål/A 54347-2023 FSC-klagomål.docx", "A 54347-2023")</f>
        <v/>
      </c>
      <c r="W110">
        <f>HYPERLINK("https://klasma.github.io/Logging_2326/klagomålsmail/A 54347-2023 FSC-klagomål mail.docx", "A 54347-2023")</f>
        <v/>
      </c>
      <c r="X110">
        <f>HYPERLINK("https://klasma.github.io/Logging_2326/tillsyn/A 54347-2023 tillsynsbegäran.docx", "A 54347-2023")</f>
        <v/>
      </c>
      <c r="Y110">
        <f>HYPERLINK("https://klasma.github.io/Logging_2326/tillsynsmail/A 54347-2023 tillsynsbegäran mail.docx", "A 54347-2023")</f>
        <v/>
      </c>
    </row>
    <row r="111" ht="15" customHeight="1">
      <c r="A111" t="inlineStr">
        <is>
          <t>A 55000-2023</t>
        </is>
      </c>
      <c r="B111" s="1" t="n">
        <v>45237</v>
      </c>
      <c r="C111" s="1" t="n">
        <v>45355</v>
      </c>
      <c r="D111" t="inlineStr">
        <is>
          <t>JÄMTLANDS LÄN</t>
        </is>
      </c>
      <c r="E111" t="inlineStr">
        <is>
          <t>BERG</t>
        </is>
      </c>
      <c r="F111" t="inlineStr">
        <is>
          <t>SCA</t>
        </is>
      </c>
      <c r="G111" t="n">
        <v>1.2</v>
      </c>
      <c r="H111" t="n">
        <v>0</v>
      </c>
      <c r="I111" t="n">
        <v>0</v>
      </c>
      <c r="J111" t="n">
        <v>1</v>
      </c>
      <c r="K111" t="n">
        <v>0</v>
      </c>
      <c r="L111" t="n">
        <v>0</v>
      </c>
      <c r="M111" t="n">
        <v>0</v>
      </c>
      <c r="N111" t="n">
        <v>0</v>
      </c>
      <c r="O111" t="n">
        <v>1</v>
      </c>
      <c r="P111" t="n">
        <v>0</v>
      </c>
      <c r="Q111" t="n">
        <v>1</v>
      </c>
      <c r="R111" s="2" t="inlineStr">
        <is>
          <t>Blå taggsvamp</t>
        </is>
      </c>
      <c r="S111">
        <f>HYPERLINK("https://klasma.github.io/Logging_2326/artfynd/A 55000-2023 artfynd.xlsx", "A 55000-2023")</f>
        <v/>
      </c>
      <c r="T111">
        <f>HYPERLINK("https://klasma.github.io/Logging_2326/kartor/A 55000-2023 karta.png", "A 55000-2023")</f>
        <v/>
      </c>
      <c r="V111">
        <f>HYPERLINK("https://klasma.github.io/Logging_2326/klagomål/A 55000-2023 FSC-klagomål.docx", "A 55000-2023")</f>
        <v/>
      </c>
      <c r="W111">
        <f>HYPERLINK("https://klasma.github.io/Logging_2326/klagomålsmail/A 55000-2023 FSC-klagomål mail.docx", "A 55000-2023")</f>
        <v/>
      </c>
      <c r="X111">
        <f>HYPERLINK("https://klasma.github.io/Logging_2326/tillsyn/A 55000-2023 tillsynsbegäran.docx", "A 55000-2023")</f>
        <v/>
      </c>
      <c r="Y111">
        <f>HYPERLINK("https://klasma.github.io/Logging_2326/tillsynsmail/A 55000-2023 tillsynsbegäran mail.docx", "A 55000-2023")</f>
        <v/>
      </c>
    </row>
    <row r="112" ht="15" customHeight="1">
      <c r="A112" t="inlineStr">
        <is>
          <t>A 57421-2023</t>
        </is>
      </c>
      <c r="B112" s="1" t="n">
        <v>45245</v>
      </c>
      <c r="C112" s="1" t="n">
        <v>45355</v>
      </c>
      <c r="D112" t="inlineStr">
        <is>
          <t>JÄMTLANDS LÄN</t>
        </is>
      </c>
      <c r="E112" t="inlineStr">
        <is>
          <t>BERG</t>
        </is>
      </c>
      <c r="F112" t="inlineStr">
        <is>
          <t>SCA</t>
        </is>
      </c>
      <c r="G112" t="n">
        <v>5.4</v>
      </c>
      <c r="H112" t="n">
        <v>0</v>
      </c>
      <c r="I112" t="n">
        <v>0</v>
      </c>
      <c r="J112" t="n">
        <v>0</v>
      </c>
      <c r="K112" t="n">
        <v>1</v>
      </c>
      <c r="L112" t="n">
        <v>0</v>
      </c>
      <c r="M112" t="n">
        <v>0</v>
      </c>
      <c r="N112" t="n">
        <v>0</v>
      </c>
      <c r="O112" t="n">
        <v>1</v>
      </c>
      <c r="P112" t="n">
        <v>1</v>
      </c>
      <c r="Q112" t="n">
        <v>1</v>
      </c>
      <c r="R112" s="2" t="inlineStr">
        <is>
          <t>Gräddporing</t>
        </is>
      </c>
      <c r="S112">
        <f>HYPERLINK("https://klasma.github.io/Logging_2326/artfynd/A 57421-2023 artfynd.xlsx", "A 57421-2023")</f>
        <v/>
      </c>
      <c r="T112">
        <f>HYPERLINK("https://klasma.github.io/Logging_2326/kartor/A 57421-2023 karta.png", "A 57421-2023")</f>
        <v/>
      </c>
      <c r="V112">
        <f>HYPERLINK("https://klasma.github.io/Logging_2326/klagomål/A 57421-2023 FSC-klagomål.docx", "A 57421-2023")</f>
        <v/>
      </c>
      <c r="W112">
        <f>HYPERLINK("https://klasma.github.io/Logging_2326/klagomålsmail/A 57421-2023 FSC-klagomål mail.docx", "A 57421-2023")</f>
        <v/>
      </c>
      <c r="X112">
        <f>HYPERLINK("https://klasma.github.io/Logging_2326/tillsyn/A 57421-2023 tillsynsbegäran.docx", "A 57421-2023")</f>
        <v/>
      </c>
      <c r="Y112">
        <f>HYPERLINK("https://klasma.github.io/Logging_2326/tillsynsmail/A 57421-2023 tillsynsbegäran mail.docx", "A 57421-2023")</f>
        <v/>
      </c>
    </row>
    <row r="113" ht="15" customHeight="1">
      <c r="A113" t="inlineStr">
        <is>
          <t>A 37463-2018</t>
        </is>
      </c>
      <c r="B113" s="1" t="n">
        <v>43334</v>
      </c>
      <c r="C113" s="1" t="n">
        <v>45355</v>
      </c>
      <c r="D113" t="inlineStr">
        <is>
          <t>JÄMTLANDS LÄN</t>
        </is>
      </c>
      <c r="E113" t="inlineStr">
        <is>
          <t>BERG</t>
        </is>
      </c>
      <c r="G113" t="n">
        <v>64.8</v>
      </c>
      <c r="H113" t="n">
        <v>0</v>
      </c>
      <c r="I113" t="n">
        <v>0</v>
      </c>
      <c r="J113" t="n">
        <v>0</v>
      </c>
      <c r="K113" t="n">
        <v>0</v>
      </c>
      <c r="L113" t="n">
        <v>0</v>
      </c>
      <c r="M113" t="n">
        <v>0</v>
      </c>
      <c r="N113" t="n">
        <v>0</v>
      </c>
      <c r="O113" t="n">
        <v>0</v>
      </c>
      <c r="P113" t="n">
        <v>0</v>
      </c>
      <c r="Q113" t="n">
        <v>0</v>
      </c>
      <c r="R113" s="2" t="inlineStr"/>
    </row>
    <row r="114" ht="15" customHeight="1">
      <c r="A114" t="inlineStr">
        <is>
          <t>A 39883-2018</t>
        </is>
      </c>
      <c r="B114" s="1" t="n">
        <v>43342</v>
      </c>
      <c r="C114" s="1" t="n">
        <v>45355</v>
      </c>
      <c r="D114" t="inlineStr">
        <is>
          <t>JÄMTLANDS LÄN</t>
        </is>
      </c>
      <c r="E114" t="inlineStr">
        <is>
          <t>BERG</t>
        </is>
      </c>
      <c r="G114" t="n">
        <v>28.8</v>
      </c>
      <c r="H114" t="n">
        <v>0</v>
      </c>
      <c r="I114" t="n">
        <v>0</v>
      </c>
      <c r="J114" t="n">
        <v>0</v>
      </c>
      <c r="K114" t="n">
        <v>0</v>
      </c>
      <c r="L114" t="n">
        <v>0</v>
      </c>
      <c r="M114" t="n">
        <v>0</v>
      </c>
      <c r="N114" t="n">
        <v>0</v>
      </c>
      <c r="O114" t="n">
        <v>0</v>
      </c>
      <c r="P114" t="n">
        <v>0</v>
      </c>
      <c r="Q114" t="n">
        <v>0</v>
      </c>
      <c r="R114" s="2" t="inlineStr"/>
    </row>
    <row r="115" ht="15" customHeight="1">
      <c r="A115" t="inlineStr">
        <is>
          <t>A 45633-2018</t>
        </is>
      </c>
      <c r="B115" s="1" t="n">
        <v>43363</v>
      </c>
      <c r="C115" s="1" t="n">
        <v>45355</v>
      </c>
      <c r="D115" t="inlineStr">
        <is>
          <t>JÄMTLANDS LÄN</t>
        </is>
      </c>
      <c r="E115" t="inlineStr">
        <is>
          <t>BERG</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54598-2018</t>
        </is>
      </c>
      <c r="B116" s="1" t="n">
        <v>43389</v>
      </c>
      <c r="C116" s="1" t="n">
        <v>45355</v>
      </c>
      <c r="D116" t="inlineStr">
        <is>
          <t>JÄMTLANDS LÄN</t>
        </is>
      </c>
      <c r="E116" t="inlineStr">
        <is>
          <t>BERG</t>
        </is>
      </c>
      <c r="F116" t="inlineStr">
        <is>
          <t>Övriga statliga verk och myndigheter</t>
        </is>
      </c>
      <c r="G116" t="n">
        <v>6.2</v>
      </c>
      <c r="H116" t="n">
        <v>0</v>
      </c>
      <c r="I116" t="n">
        <v>0</v>
      </c>
      <c r="J116" t="n">
        <v>0</v>
      </c>
      <c r="K116" t="n">
        <v>0</v>
      </c>
      <c r="L116" t="n">
        <v>0</v>
      </c>
      <c r="M116" t="n">
        <v>0</v>
      </c>
      <c r="N116" t="n">
        <v>0</v>
      </c>
      <c r="O116" t="n">
        <v>0</v>
      </c>
      <c r="P116" t="n">
        <v>0</v>
      </c>
      <c r="Q116" t="n">
        <v>0</v>
      </c>
      <c r="R116" s="2" t="inlineStr"/>
    </row>
    <row r="117" ht="15" customHeight="1">
      <c r="A117" t="inlineStr">
        <is>
          <t>A 56834-2018</t>
        </is>
      </c>
      <c r="B117" s="1" t="n">
        <v>43402</v>
      </c>
      <c r="C117" s="1" t="n">
        <v>45355</v>
      </c>
      <c r="D117" t="inlineStr">
        <is>
          <t>JÄMTLANDS LÄN</t>
        </is>
      </c>
      <c r="E117" t="inlineStr">
        <is>
          <t>BERG</t>
        </is>
      </c>
      <c r="F117" t="inlineStr">
        <is>
          <t>SCA</t>
        </is>
      </c>
      <c r="G117" t="n">
        <v>11.9</v>
      </c>
      <c r="H117" t="n">
        <v>0</v>
      </c>
      <c r="I117" t="n">
        <v>0</v>
      </c>
      <c r="J117" t="n">
        <v>0</v>
      </c>
      <c r="K117" t="n">
        <v>0</v>
      </c>
      <c r="L117" t="n">
        <v>0</v>
      </c>
      <c r="M117" t="n">
        <v>0</v>
      </c>
      <c r="N117" t="n">
        <v>0</v>
      </c>
      <c r="O117" t="n">
        <v>0</v>
      </c>
      <c r="P117" t="n">
        <v>0</v>
      </c>
      <c r="Q117" t="n">
        <v>0</v>
      </c>
      <c r="R117" s="2" t="inlineStr"/>
    </row>
    <row r="118" ht="15" customHeight="1">
      <c r="A118" t="inlineStr">
        <is>
          <t>A 56835-2018</t>
        </is>
      </c>
      <c r="B118" s="1" t="n">
        <v>43402</v>
      </c>
      <c r="C118" s="1" t="n">
        <v>45355</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57604-2018</t>
        </is>
      </c>
      <c r="B119" s="1" t="n">
        <v>43404</v>
      </c>
      <c r="C119" s="1" t="n">
        <v>45355</v>
      </c>
      <c r="D119" t="inlineStr">
        <is>
          <t>JÄMTLANDS LÄN</t>
        </is>
      </c>
      <c r="E119" t="inlineStr">
        <is>
          <t>BERG</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58408-2018</t>
        </is>
      </c>
      <c r="B120" s="1" t="n">
        <v>43409</v>
      </c>
      <c r="C120" s="1" t="n">
        <v>45355</v>
      </c>
      <c r="D120" t="inlineStr">
        <is>
          <t>JÄMTLANDS LÄN</t>
        </is>
      </c>
      <c r="E120" t="inlineStr">
        <is>
          <t>BERG</t>
        </is>
      </c>
      <c r="G120" t="n">
        <v>11.7</v>
      </c>
      <c r="H120" t="n">
        <v>0</v>
      </c>
      <c r="I120" t="n">
        <v>0</v>
      </c>
      <c r="J120" t="n">
        <v>0</v>
      </c>
      <c r="K120" t="n">
        <v>0</v>
      </c>
      <c r="L120" t="n">
        <v>0</v>
      </c>
      <c r="M120" t="n">
        <v>0</v>
      </c>
      <c r="N120" t="n">
        <v>0</v>
      </c>
      <c r="O120" t="n">
        <v>0</v>
      </c>
      <c r="P120" t="n">
        <v>0</v>
      </c>
      <c r="Q120" t="n">
        <v>0</v>
      </c>
      <c r="R120" s="2" t="inlineStr"/>
    </row>
    <row r="121" ht="15" customHeight="1">
      <c r="A121" t="inlineStr">
        <is>
          <t>A 60544-2018</t>
        </is>
      </c>
      <c r="B121" s="1" t="n">
        <v>43409</v>
      </c>
      <c r="C121" s="1" t="n">
        <v>45355</v>
      </c>
      <c r="D121" t="inlineStr">
        <is>
          <t>JÄMTLANDS LÄN</t>
        </is>
      </c>
      <c r="E121" t="inlineStr">
        <is>
          <t>BERG</t>
        </is>
      </c>
      <c r="G121" t="n">
        <v>0.8</v>
      </c>
      <c r="H121" t="n">
        <v>0</v>
      </c>
      <c r="I121" t="n">
        <v>0</v>
      </c>
      <c r="J121" t="n">
        <v>0</v>
      </c>
      <c r="K121" t="n">
        <v>0</v>
      </c>
      <c r="L121" t="n">
        <v>0</v>
      </c>
      <c r="M121" t="n">
        <v>0</v>
      </c>
      <c r="N121" t="n">
        <v>0</v>
      </c>
      <c r="O121" t="n">
        <v>0</v>
      </c>
      <c r="P121" t="n">
        <v>0</v>
      </c>
      <c r="Q121" t="n">
        <v>0</v>
      </c>
      <c r="R121" s="2" t="inlineStr"/>
    </row>
    <row r="122" ht="15" customHeight="1">
      <c r="A122" t="inlineStr">
        <is>
          <t>A 59898-2018</t>
        </is>
      </c>
      <c r="B122" s="1" t="n">
        <v>43419</v>
      </c>
      <c r="C122" s="1" t="n">
        <v>45355</v>
      </c>
      <c r="D122" t="inlineStr">
        <is>
          <t>JÄMTLANDS LÄN</t>
        </is>
      </c>
      <c r="E122" t="inlineStr">
        <is>
          <t>BERG</t>
        </is>
      </c>
      <c r="G122" t="n">
        <v>7.2</v>
      </c>
      <c r="H122" t="n">
        <v>0</v>
      </c>
      <c r="I122" t="n">
        <v>0</v>
      </c>
      <c r="J122" t="n">
        <v>0</v>
      </c>
      <c r="K122" t="n">
        <v>0</v>
      </c>
      <c r="L122" t="n">
        <v>0</v>
      </c>
      <c r="M122" t="n">
        <v>0</v>
      </c>
      <c r="N122" t="n">
        <v>0</v>
      </c>
      <c r="O122" t="n">
        <v>0</v>
      </c>
      <c r="P122" t="n">
        <v>0</v>
      </c>
      <c r="Q122" t="n">
        <v>0</v>
      </c>
      <c r="R122" s="2" t="inlineStr"/>
    </row>
    <row r="123" ht="15" customHeight="1">
      <c r="A123" t="inlineStr">
        <is>
          <t>A 61223-2018</t>
        </is>
      </c>
      <c r="B123" s="1" t="n">
        <v>43423</v>
      </c>
      <c r="C123" s="1" t="n">
        <v>45355</v>
      </c>
      <c r="D123" t="inlineStr">
        <is>
          <t>JÄMTLANDS LÄN</t>
        </is>
      </c>
      <c r="E123" t="inlineStr">
        <is>
          <t>BERG</t>
        </is>
      </c>
      <c r="G123" t="n">
        <v>1.2</v>
      </c>
      <c r="H123" t="n">
        <v>0</v>
      </c>
      <c r="I123" t="n">
        <v>0</v>
      </c>
      <c r="J123" t="n">
        <v>0</v>
      </c>
      <c r="K123" t="n">
        <v>0</v>
      </c>
      <c r="L123" t="n">
        <v>0</v>
      </c>
      <c r="M123" t="n">
        <v>0</v>
      </c>
      <c r="N123" t="n">
        <v>0</v>
      </c>
      <c r="O123" t="n">
        <v>0</v>
      </c>
      <c r="P123" t="n">
        <v>0</v>
      </c>
      <c r="Q123" t="n">
        <v>0</v>
      </c>
      <c r="R123" s="2" t="inlineStr"/>
    </row>
    <row r="124" ht="15" customHeight="1">
      <c r="A124" t="inlineStr">
        <is>
          <t>A 63977-2018</t>
        </is>
      </c>
      <c r="B124" s="1" t="n">
        <v>43430</v>
      </c>
      <c r="C124" s="1" t="n">
        <v>45355</v>
      </c>
      <c r="D124" t="inlineStr">
        <is>
          <t>JÄMTLANDS LÄN</t>
        </is>
      </c>
      <c r="E124" t="inlineStr">
        <is>
          <t>BERG</t>
        </is>
      </c>
      <c r="G124" t="n">
        <v>0</v>
      </c>
      <c r="H124" t="n">
        <v>0</v>
      </c>
      <c r="I124" t="n">
        <v>0</v>
      </c>
      <c r="J124" t="n">
        <v>0</v>
      </c>
      <c r="K124" t="n">
        <v>0</v>
      </c>
      <c r="L124" t="n">
        <v>0</v>
      </c>
      <c r="M124" t="n">
        <v>0</v>
      </c>
      <c r="N124" t="n">
        <v>0</v>
      </c>
      <c r="O124" t="n">
        <v>0</v>
      </c>
      <c r="P124" t="n">
        <v>0</v>
      </c>
      <c r="Q124" t="n">
        <v>0</v>
      </c>
      <c r="R124" s="2" t="inlineStr"/>
    </row>
    <row r="125" ht="15" customHeight="1">
      <c r="A125" t="inlineStr">
        <is>
          <t>A 64786-2018</t>
        </is>
      </c>
      <c r="B125" s="1" t="n">
        <v>43431</v>
      </c>
      <c r="C125" s="1" t="n">
        <v>45355</v>
      </c>
      <c r="D125" t="inlineStr">
        <is>
          <t>JÄMTLANDS LÄN</t>
        </is>
      </c>
      <c r="E125" t="inlineStr">
        <is>
          <t>BERG</t>
        </is>
      </c>
      <c r="G125" t="n">
        <v>6.1</v>
      </c>
      <c r="H125" t="n">
        <v>0</v>
      </c>
      <c r="I125" t="n">
        <v>0</v>
      </c>
      <c r="J125" t="n">
        <v>0</v>
      </c>
      <c r="K125" t="n">
        <v>0</v>
      </c>
      <c r="L125" t="n">
        <v>0</v>
      </c>
      <c r="M125" t="n">
        <v>0</v>
      </c>
      <c r="N125" t="n">
        <v>0</v>
      </c>
      <c r="O125" t="n">
        <v>0</v>
      </c>
      <c r="P125" t="n">
        <v>0</v>
      </c>
      <c r="Q125" t="n">
        <v>0</v>
      </c>
      <c r="R125" s="2" t="inlineStr"/>
    </row>
    <row r="126" ht="15" customHeight="1">
      <c r="A126" t="inlineStr">
        <is>
          <t>A 67610-2018</t>
        </is>
      </c>
      <c r="B126" s="1" t="n">
        <v>43433</v>
      </c>
      <c r="C126" s="1" t="n">
        <v>45355</v>
      </c>
      <c r="D126" t="inlineStr">
        <is>
          <t>JÄMTLANDS LÄN</t>
        </is>
      </c>
      <c r="E126" t="inlineStr">
        <is>
          <t>BERG</t>
        </is>
      </c>
      <c r="G126" t="n">
        <v>1.7</v>
      </c>
      <c r="H126" t="n">
        <v>0</v>
      </c>
      <c r="I126" t="n">
        <v>0</v>
      </c>
      <c r="J126" t="n">
        <v>0</v>
      </c>
      <c r="K126" t="n">
        <v>0</v>
      </c>
      <c r="L126" t="n">
        <v>0</v>
      </c>
      <c r="M126" t="n">
        <v>0</v>
      </c>
      <c r="N126" t="n">
        <v>0</v>
      </c>
      <c r="O126" t="n">
        <v>0</v>
      </c>
      <c r="P126" t="n">
        <v>0</v>
      </c>
      <c r="Q126" t="n">
        <v>0</v>
      </c>
      <c r="R126" s="2" t="inlineStr"/>
    </row>
    <row r="127" ht="15" customHeight="1">
      <c r="A127" t="inlineStr">
        <is>
          <t>A 65709-2018</t>
        </is>
      </c>
      <c r="B127" s="1" t="n">
        <v>43433</v>
      </c>
      <c r="C127" s="1" t="n">
        <v>45355</v>
      </c>
      <c r="D127" t="inlineStr">
        <is>
          <t>JÄMTLANDS LÄN</t>
        </is>
      </c>
      <c r="E127" t="inlineStr">
        <is>
          <t>BERG</t>
        </is>
      </c>
      <c r="G127" t="n">
        <v>6.6</v>
      </c>
      <c r="H127" t="n">
        <v>0</v>
      </c>
      <c r="I127" t="n">
        <v>0</v>
      </c>
      <c r="J127" t="n">
        <v>0</v>
      </c>
      <c r="K127" t="n">
        <v>0</v>
      </c>
      <c r="L127" t="n">
        <v>0</v>
      </c>
      <c r="M127" t="n">
        <v>0</v>
      </c>
      <c r="N127" t="n">
        <v>0</v>
      </c>
      <c r="O127" t="n">
        <v>0</v>
      </c>
      <c r="P127" t="n">
        <v>0</v>
      </c>
      <c r="Q127" t="n">
        <v>0</v>
      </c>
      <c r="R127" s="2" t="inlineStr"/>
    </row>
    <row r="128" ht="15" customHeight="1">
      <c r="A128" t="inlineStr">
        <is>
          <t>A 66773-2018</t>
        </is>
      </c>
      <c r="B128" s="1" t="n">
        <v>43437</v>
      </c>
      <c r="C128" s="1" t="n">
        <v>45355</v>
      </c>
      <c r="D128" t="inlineStr">
        <is>
          <t>JÄMTLANDS LÄN</t>
        </is>
      </c>
      <c r="E128" t="inlineStr">
        <is>
          <t>BERG</t>
        </is>
      </c>
      <c r="G128" t="n">
        <v>0.6</v>
      </c>
      <c r="H128" t="n">
        <v>0</v>
      </c>
      <c r="I128" t="n">
        <v>0</v>
      </c>
      <c r="J128" t="n">
        <v>0</v>
      </c>
      <c r="K128" t="n">
        <v>0</v>
      </c>
      <c r="L128" t="n">
        <v>0</v>
      </c>
      <c r="M128" t="n">
        <v>0</v>
      </c>
      <c r="N128" t="n">
        <v>0</v>
      </c>
      <c r="O128" t="n">
        <v>0</v>
      </c>
      <c r="P128" t="n">
        <v>0</v>
      </c>
      <c r="Q128" t="n">
        <v>0</v>
      </c>
      <c r="R128" s="2" t="inlineStr"/>
    </row>
    <row r="129" ht="15" customHeight="1">
      <c r="A129" t="inlineStr">
        <is>
          <t>A 68713-2018</t>
        </is>
      </c>
      <c r="B129" s="1" t="n">
        <v>43444</v>
      </c>
      <c r="C129" s="1" t="n">
        <v>45355</v>
      </c>
      <c r="D129" t="inlineStr">
        <is>
          <t>JÄMTLANDS LÄN</t>
        </is>
      </c>
      <c r="E129" t="inlineStr">
        <is>
          <t>BERG</t>
        </is>
      </c>
      <c r="G129" t="n">
        <v>6.1</v>
      </c>
      <c r="H129" t="n">
        <v>0</v>
      </c>
      <c r="I129" t="n">
        <v>0</v>
      </c>
      <c r="J129" t="n">
        <v>0</v>
      </c>
      <c r="K129" t="n">
        <v>0</v>
      </c>
      <c r="L129" t="n">
        <v>0</v>
      </c>
      <c r="M129" t="n">
        <v>0</v>
      </c>
      <c r="N129" t="n">
        <v>0</v>
      </c>
      <c r="O129" t="n">
        <v>0</v>
      </c>
      <c r="P129" t="n">
        <v>0</v>
      </c>
      <c r="Q129" t="n">
        <v>0</v>
      </c>
      <c r="R129" s="2" t="inlineStr"/>
    </row>
    <row r="130" ht="15" customHeight="1">
      <c r="A130" t="inlineStr">
        <is>
          <t>A 69950-2018</t>
        </is>
      </c>
      <c r="B130" s="1" t="n">
        <v>43447</v>
      </c>
      <c r="C130" s="1" t="n">
        <v>45355</v>
      </c>
      <c r="D130" t="inlineStr">
        <is>
          <t>JÄMTLANDS LÄN</t>
        </is>
      </c>
      <c r="E130" t="inlineStr">
        <is>
          <t>BERG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71079-2018</t>
        </is>
      </c>
      <c r="B131" s="1" t="n">
        <v>43448</v>
      </c>
      <c r="C131" s="1" t="n">
        <v>45355</v>
      </c>
      <c r="D131" t="inlineStr">
        <is>
          <t>JÄMTLANDS LÄN</t>
        </is>
      </c>
      <c r="E131" t="inlineStr">
        <is>
          <t>BERG</t>
        </is>
      </c>
      <c r="G131" t="n">
        <v>5</v>
      </c>
      <c r="H131" t="n">
        <v>0</v>
      </c>
      <c r="I131" t="n">
        <v>0</v>
      </c>
      <c r="J131" t="n">
        <v>0</v>
      </c>
      <c r="K131" t="n">
        <v>0</v>
      </c>
      <c r="L131" t="n">
        <v>0</v>
      </c>
      <c r="M131" t="n">
        <v>0</v>
      </c>
      <c r="N131" t="n">
        <v>0</v>
      </c>
      <c r="O131" t="n">
        <v>0</v>
      </c>
      <c r="P131" t="n">
        <v>0</v>
      </c>
      <c r="Q131" t="n">
        <v>0</v>
      </c>
      <c r="R131" s="2" t="inlineStr"/>
    </row>
    <row r="132" ht="15" customHeight="1">
      <c r="A132" t="inlineStr">
        <is>
          <t>A 71348-2018</t>
        </is>
      </c>
      <c r="B132" s="1" t="n">
        <v>43448</v>
      </c>
      <c r="C132" s="1" t="n">
        <v>45355</v>
      </c>
      <c r="D132" t="inlineStr">
        <is>
          <t>JÄMTLANDS LÄN</t>
        </is>
      </c>
      <c r="E132" t="inlineStr">
        <is>
          <t>BERG</t>
        </is>
      </c>
      <c r="G132" t="n">
        <v>22.1</v>
      </c>
      <c r="H132" t="n">
        <v>0</v>
      </c>
      <c r="I132" t="n">
        <v>0</v>
      </c>
      <c r="J132" t="n">
        <v>0</v>
      </c>
      <c r="K132" t="n">
        <v>0</v>
      </c>
      <c r="L132" t="n">
        <v>0</v>
      </c>
      <c r="M132" t="n">
        <v>0</v>
      </c>
      <c r="N132" t="n">
        <v>0</v>
      </c>
      <c r="O132" t="n">
        <v>0</v>
      </c>
      <c r="P132" t="n">
        <v>0</v>
      </c>
      <c r="Q132" t="n">
        <v>0</v>
      </c>
      <c r="R132" s="2" t="inlineStr"/>
    </row>
    <row r="133" ht="15" customHeight="1">
      <c r="A133" t="inlineStr">
        <is>
          <t>A 71074-2018</t>
        </is>
      </c>
      <c r="B133" s="1" t="n">
        <v>43448</v>
      </c>
      <c r="C133" s="1" t="n">
        <v>45355</v>
      </c>
      <c r="D133" t="inlineStr">
        <is>
          <t>JÄMTLANDS LÄN</t>
        </is>
      </c>
      <c r="E133" t="inlineStr">
        <is>
          <t>BERG</t>
        </is>
      </c>
      <c r="G133" t="n">
        <v>1</v>
      </c>
      <c r="H133" t="n">
        <v>0</v>
      </c>
      <c r="I133" t="n">
        <v>0</v>
      </c>
      <c r="J133" t="n">
        <v>0</v>
      </c>
      <c r="K133" t="n">
        <v>0</v>
      </c>
      <c r="L133" t="n">
        <v>0</v>
      </c>
      <c r="M133" t="n">
        <v>0</v>
      </c>
      <c r="N133" t="n">
        <v>0</v>
      </c>
      <c r="O133" t="n">
        <v>0</v>
      </c>
      <c r="P133" t="n">
        <v>0</v>
      </c>
      <c r="Q133" t="n">
        <v>0</v>
      </c>
      <c r="R133" s="2" t="inlineStr"/>
    </row>
    <row r="134" ht="15" customHeight="1">
      <c r="A134" t="inlineStr">
        <is>
          <t>A 71351-2018</t>
        </is>
      </c>
      <c r="B134" s="1" t="n">
        <v>43448</v>
      </c>
      <c r="C134" s="1" t="n">
        <v>45355</v>
      </c>
      <c r="D134" t="inlineStr">
        <is>
          <t>JÄMTLANDS LÄN</t>
        </is>
      </c>
      <c r="E134" t="inlineStr">
        <is>
          <t>BERG</t>
        </is>
      </c>
      <c r="G134" t="n">
        <v>1.7</v>
      </c>
      <c r="H134" t="n">
        <v>0</v>
      </c>
      <c r="I134" t="n">
        <v>0</v>
      </c>
      <c r="J134" t="n">
        <v>0</v>
      </c>
      <c r="K134" t="n">
        <v>0</v>
      </c>
      <c r="L134" t="n">
        <v>0</v>
      </c>
      <c r="M134" t="n">
        <v>0</v>
      </c>
      <c r="N134" t="n">
        <v>0</v>
      </c>
      <c r="O134" t="n">
        <v>0</v>
      </c>
      <c r="P134" t="n">
        <v>0</v>
      </c>
      <c r="Q134" t="n">
        <v>0</v>
      </c>
      <c r="R134" s="2" t="inlineStr"/>
    </row>
    <row r="135" ht="15" customHeight="1">
      <c r="A135" t="inlineStr">
        <is>
          <t>A 71357-2018</t>
        </is>
      </c>
      <c r="B135" s="1" t="n">
        <v>43448</v>
      </c>
      <c r="C135" s="1" t="n">
        <v>45355</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71361-2018</t>
        </is>
      </c>
      <c r="B136" s="1" t="n">
        <v>43448</v>
      </c>
      <c r="C136" s="1" t="n">
        <v>45355</v>
      </c>
      <c r="D136" t="inlineStr">
        <is>
          <t>JÄMTLANDS LÄN</t>
        </is>
      </c>
      <c r="E136" t="inlineStr">
        <is>
          <t>BERG</t>
        </is>
      </c>
      <c r="G136" t="n">
        <v>1.9</v>
      </c>
      <c r="H136" t="n">
        <v>0</v>
      </c>
      <c r="I136" t="n">
        <v>0</v>
      </c>
      <c r="J136" t="n">
        <v>0</v>
      </c>
      <c r="K136" t="n">
        <v>0</v>
      </c>
      <c r="L136" t="n">
        <v>0</v>
      </c>
      <c r="M136" t="n">
        <v>0</v>
      </c>
      <c r="N136" t="n">
        <v>0</v>
      </c>
      <c r="O136" t="n">
        <v>0</v>
      </c>
      <c r="P136" t="n">
        <v>0</v>
      </c>
      <c r="Q136" t="n">
        <v>0</v>
      </c>
      <c r="R136" s="2" t="inlineStr"/>
    </row>
    <row r="137" ht="15" customHeight="1">
      <c r="A137" t="inlineStr">
        <is>
          <t>A 70805-2018</t>
        </is>
      </c>
      <c r="B137" s="1" t="n">
        <v>43451</v>
      </c>
      <c r="C137" s="1" t="n">
        <v>45355</v>
      </c>
      <c r="D137" t="inlineStr">
        <is>
          <t>JÄMTLANDS LÄN</t>
        </is>
      </c>
      <c r="E137" t="inlineStr">
        <is>
          <t>BERG</t>
        </is>
      </c>
      <c r="G137" t="n">
        <v>6.6</v>
      </c>
      <c r="H137" t="n">
        <v>0</v>
      </c>
      <c r="I137" t="n">
        <v>0</v>
      </c>
      <c r="J137" t="n">
        <v>0</v>
      </c>
      <c r="K137" t="n">
        <v>0</v>
      </c>
      <c r="L137" t="n">
        <v>0</v>
      </c>
      <c r="M137" t="n">
        <v>0</v>
      </c>
      <c r="N137" t="n">
        <v>0</v>
      </c>
      <c r="O137" t="n">
        <v>0</v>
      </c>
      <c r="P137" t="n">
        <v>0</v>
      </c>
      <c r="Q137" t="n">
        <v>0</v>
      </c>
      <c r="R137" s="2" t="inlineStr"/>
    </row>
    <row r="138" ht="15" customHeight="1">
      <c r="A138" t="inlineStr">
        <is>
          <t>A 71418-2018</t>
        </is>
      </c>
      <c r="B138" s="1" t="n">
        <v>43451</v>
      </c>
      <c r="C138" s="1" t="n">
        <v>45355</v>
      </c>
      <c r="D138" t="inlineStr">
        <is>
          <t>JÄMTLANDS LÄN</t>
        </is>
      </c>
      <c r="E138" t="inlineStr">
        <is>
          <t>BERG</t>
        </is>
      </c>
      <c r="G138" t="n">
        <v>3.7</v>
      </c>
      <c r="H138" t="n">
        <v>0</v>
      </c>
      <c r="I138" t="n">
        <v>0</v>
      </c>
      <c r="J138" t="n">
        <v>0</v>
      </c>
      <c r="K138" t="n">
        <v>0</v>
      </c>
      <c r="L138" t="n">
        <v>0</v>
      </c>
      <c r="M138" t="n">
        <v>0</v>
      </c>
      <c r="N138" t="n">
        <v>0</v>
      </c>
      <c r="O138" t="n">
        <v>0</v>
      </c>
      <c r="P138" t="n">
        <v>0</v>
      </c>
      <c r="Q138" t="n">
        <v>0</v>
      </c>
      <c r="R138" s="2" t="inlineStr"/>
    </row>
    <row r="139" ht="15" customHeight="1">
      <c r="A139" t="inlineStr">
        <is>
          <t>A 71726-2018</t>
        </is>
      </c>
      <c r="B139" s="1" t="n">
        <v>43453</v>
      </c>
      <c r="C139" s="1" t="n">
        <v>45355</v>
      </c>
      <c r="D139" t="inlineStr">
        <is>
          <t>JÄMTLANDS LÄN</t>
        </is>
      </c>
      <c r="E139" t="inlineStr">
        <is>
          <t>BERG</t>
        </is>
      </c>
      <c r="G139" t="n">
        <v>6.8</v>
      </c>
      <c r="H139" t="n">
        <v>0</v>
      </c>
      <c r="I139" t="n">
        <v>0</v>
      </c>
      <c r="J139" t="n">
        <v>0</v>
      </c>
      <c r="K139" t="n">
        <v>0</v>
      </c>
      <c r="L139" t="n">
        <v>0</v>
      </c>
      <c r="M139" t="n">
        <v>0</v>
      </c>
      <c r="N139" t="n">
        <v>0</v>
      </c>
      <c r="O139" t="n">
        <v>0</v>
      </c>
      <c r="P139" t="n">
        <v>0</v>
      </c>
      <c r="Q139" t="n">
        <v>0</v>
      </c>
      <c r="R139" s="2" t="inlineStr"/>
    </row>
    <row r="140" ht="15" customHeight="1">
      <c r="A140" t="inlineStr">
        <is>
          <t>A 72394-2018</t>
        </is>
      </c>
      <c r="B140" s="1" t="n">
        <v>43453</v>
      </c>
      <c r="C140" s="1" t="n">
        <v>45355</v>
      </c>
      <c r="D140" t="inlineStr">
        <is>
          <t>JÄMTLANDS LÄN</t>
        </is>
      </c>
      <c r="E140" t="inlineStr">
        <is>
          <t>BERG</t>
        </is>
      </c>
      <c r="G140" t="n">
        <v>3</v>
      </c>
      <c r="H140" t="n">
        <v>0</v>
      </c>
      <c r="I140" t="n">
        <v>0</v>
      </c>
      <c r="J140" t="n">
        <v>0</v>
      </c>
      <c r="K140" t="n">
        <v>0</v>
      </c>
      <c r="L140" t="n">
        <v>0</v>
      </c>
      <c r="M140" t="n">
        <v>0</v>
      </c>
      <c r="N140" t="n">
        <v>0</v>
      </c>
      <c r="O140" t="n">
        <v>0</v>
      </c>
      <c r="P140" t="n">
        <v>0</v>
      </c>
      <c r="Q140" t="n">
        <v>0</v>
      </c>
      <c r="R140" s="2" t="inlineStr"/>
    </row>
    <row r="141" ht="15" customHeight="1">
      <c r="A141" t="inlineStr">
        <is>
          <t>A 72412-2018</t>
        </is>
      </c>
      <c r="B141" s="1" t="n">
        <v>43453</v>
      </c>
      <c r="C141" s="1" t="n">
        <v>45355</v>
      </c>
      <c r="D141" t="inlineStr">
        <is>
          <t>JÄMTLANDS LÄN</t>
        </is>
      </c>
      <c r="E141" t="inlineStr">
        <is>
          <t>BERG</t>
        </is>
      </c>
      <c r="G141" t="n">
        <v>9.9</v>
      </c>
      <c r="H141" t="n">
        <v>0</v>
      </c>
      <c r="I141" t="n">
        <v>0</v>
      </c>
      <c r="J141" t="n">
        <v>0</v>
      </c>
      <c r="K141" t="n">
        <v>0</v>
      </c>
      <c r="L141" t="n">
        <v>0</v>
      </c>
      <c r="M141" t="n">
        <v>0</v>
      </c>
      <c r="N141" t="n">
        <v>0</v>
      </c>
      <c r="O141" t="n">
        <v>0</v>
      </c>
      <c r="P141" t="n">
        <v>0</v>
      </c>
      <c r="Q141" t="n">
        <v>0</v>
      </c>
      <c r="R141" s="2" t="inlineStr"/>
    </row>
    <row r="142" ht="15" customHeight="1">
      <c r="A142" t="inlineStr">
        <is>
          <t>A 72380-2018</t>
        </is>
      </c>
      <c r="B142" s="1" t="n">
        <v>43453</v>
      </c>
      <c r="C142" s="1" t="n">
        <v>45355</v>
      </c>
      <c r="D142" t="inlineStr">
        <is>
          <t>JÄMTLANDS LÄN</t>
        </is>
      </c>
      <c r="E142" t="inlineStr">
        <is>
          <t>BERG</t>
        </is>
      </c>
      <c r="G142" t="n">
        <v>4.4</v>
      </c>
      <c r="H142" t="n">
        <v>0</v>
      </c>
      <c r="I142" t="n">
        <v>0</v>
      </c>
      <c r="J142" t="n">
        <v>0</v>
      </c>
      <c r="K142" t="n">
        <v>0</v>
      </c>
      <c r="L142" t="n">
        <v>0</v>
      </c>
      <c r="M142" t="n">
        <v>0</v>
      </c>
      <c r="N142" t="n">
        <v>0</v>
      </c>
      <c r="O142" t="n">
        <v>0</v>
      </c>
      <c r="P142" t="n">
        <v>0</v>
      </c>
      <c r="Q142" t="n">
        <v>0</v>
      </c>
      <c r="R142" s="2" t="inlineStr"/>
    </row>
    <row r="143" ht="15" customHeight="1">
      <c r="A143" t="inlineStr">
        <is>
          <t>A 71850-2018</t>
        </is>
      </c>
      <c r="B143" s="1" t="n">
        <v>43454</v>
      </c>
      <c r="C143" s="1" t="n">
        <v>45355</v>
      </c>
      <c r="D143" t="inlineStr">
        <is>
          <t>JÄMTLANDS LÄN</t>
        </is>
      </c>
      <c r="E143" t="inlineStr">
        <is>
          <t>BERG</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71851-2018</t>
        </is>
      </c>
      <c r="B144" s="1" t="n">
        <v>43454</v>
      </c>
      <c r="C144" s="1" t="n">
        <v>45355</v>
      </c>
      <c r="D144" t="inlineStr">
        <is>
          <t>JÄMTLANDS LÄN</t>
        </is>
      </c>
      <c r="E144" t="inlineStr">
        <is>
          <t>BERG</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71881-2018</t>
        </is>
      </c>
      <c r="B145" s="1" t="n">
        <v>43454</v>
      </c>
      <c r="C145" s="1" t="n">
        <v>45355</v>
      </c>
      <c r="D145" t="inlineStr">
        <is>
          <t>JÄMTLANDS LÄN</t>
        </is>
      </c>
      <c r="E145" t="inlineStr">
        <is>
          <t>BERG</t>
        </is>
      </c>
      <c r="G145" t="n">
        <v>2</v>
      </c>
      <c r="H145" t="n">
        <v>0</v>
      </c>
      <c r="I145" t="n">
        <v>0</v>
      </c>
      <c r="J145" t="n">
        <v>0</v>
      </c>
      <c r="K145" t="n">
        <v>0</v>
      </c>
      <c r="L145" t="n">
        <v>0</v>
      </c>
      <c r="M145" t="n">
        <v>0</v>
      </c>
      <c r="N145" t="n">
        <v>0</v>
      </c>
      <c r="O145" t="n">
        <v>0</v>
      </c>
      <c r="P145" t="n">
        <v>0</v>
      </c>
      <c r="Q145" t="n">
        <v>0</v>
      </c>
      <c r="R145" s="2" t="inlineStr"/>
    </row>
    <row r="146" ht="15" customHeight="1">
      <c r="A146" t="inlineStr">
        <is>
          <t>A 71895-2018</t>
        </is>
      </c>
      <c r="B146" s="1" t="n">
        <v>43455</v>
      </c>
      <c r="C146" s="1" t="n">
        <v>45355</v>
      </c>
      <c r="D146" t="inlineStr">
        <is>
          <t>JÄMTLANDS LÄN</t>
        </is>
      </c>
      <c r="E146" t="inlineStr">
        <is>
          <t>BERG</t>
        </is>
      </c>
      <c r="G146" t="n">
        <v>5.4</v>
      </c>
      <c r="H146" t="n">
        <v>0</v>
      </c>
      <c r="I146" t="n">
        <v>0</v>
      </c>
      <c r="J146" t="n">
        <v>0</v>
      </c>
      <c r="K146" t="n">
        <v>0</v>
      </c>
      <c r="L146" t="n">
        <v>0</v>
      </c>
      <c r="M146" t="n">
        <v>0</v>
      </c>
      <c r="N146" t="n">
        <v>0</v>
      </c>
      <c r="O146" t="n">
        <v>0</v>
      </c>
      <c r="P146" t="n">
        <v>0</v>
      </c>
      <c r="Q146" t="n">
        <v>0</v>
      </c>
      <c r="R146" s="2" t="inlineStr"/>
    </row>
    <row r="147" ht="15" customHeight="1">
      <c r="A147" t="inlineStr">
        <is>
          <t>A 957-2019</t>
        </is>
      </c>
      <c r="B147" s="1" t="n">
        <v>43455</v>
      </c>
      <c r="C147" s="1" t="n">
        <v>45355</v>
      </c>
      <c r="D147" t="inlineStr">
        <is>
          <t>JÄMTLANDS LÄN</t>
        </is>
      </c>
      <c r="E147" t="inlineStr">
        <is>
          <t>BERG</t>
        </is>
      </c>
      <c r="F147" t="inlineStr">
        <is>
          <t>Övriga Aktiebolag</t>
        </is>
      </c>
      <c r="G147" t="n">
        <v>11.2</v>
      </c>
      <c r="H147" t="n">
        <v>0</v>
      </c>
      <c r="I147" t="n">
        <v>0</v>
      </c>
      <c r="J147" t="n">
        <v>0</v>
      </c>
      <c r="K147" t="n">
        <v>0</v>
      </c>
      <c r="L147" t="n">
        <v>0</v>
      </c>
      <c r="M147" t="n">
        <v>0</v>
      </c>
      <c r="N147" t="n">
        <v>0</v>
      </c>
      <c r="O147" t="n">
        <v>0</v>
      </c>
      <c r="P147" t="n">
        <v>0</v>
      </c>
      <c r="Q147" t="n">
        <v>0</v>
      </c>
      <c r="R147" s="2" t="inlineStr"/>
    </row>
    <row r="148" ht="15" customHeight="1">
      <c r="A148" t="inlineStr">
        <is>
          <t>A 882-2019</t>
        </is>
      </c>
      <c r="B148" s="1" t="n">
        <v>43472</v>
      </c>
      <c r="C148" s="1" t="n">
        <v>45355</v>
      </c>
      <c r="D148" t="inlineStr">
        <is>
          <t>JÄMTLANDS LÄN</t>
        </is>
      </c>
      <c r="E148" t="inlineStr">
        <is>
          <t>BERG</t>
        </is>
      </c>
      <c r="G148" t="n">
        <v>2.3</v>
      </c>
      <c r="H148" t="n">
        <v>0</v>
      </c>
      <c r="I148" t="n">
        <v>0</v>
      </c>
      <c r="J148" t="n">
        <v>0</v>
      </c>
      <c r="K148" t="n">
        <v>0</v>
      </c>
      <c r="L148" t="n">
        <v>0</v>
      </c>
      <c r="M148" t="n">
        <v>0</v>
      </c>
      <c r="N148" t="n">
        <v>0</v>
      </c>
      <c r="O148" t="n">
        <v>0</v>
      </c>
      <c r="P148" t="n">
        <v>0</v>
      </c>
      <c r="Q148" t="n">
        <v>0</v>
      </c>
      <c r="R148" s="2" t="inlineStr"/>
    </row>
    <row r="149" ht="15" customHeight="1">
      <c r="A149" t="inlineStr">
        <is>
          <t>A 2530-2019</t>
        </is>
      </c>
      <c r="B149" s="1" t="n">
        <v>43476</v>
      </c>
      <c r="C149" s="1" t="n">
        <v>45355</v>
      </c>
      <c r="D149" t="inlineStr">
        <is>
          <t>JÄMTLANDS LÄN</t>
        </is>
      </c>
      <c r="E149" t="inlineStr">
        <is>
          <t>BERG</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7370-2019</t>
        </is>
      </c>
      <c r="B150" s="1" t="n">
        <v>43490</v>
      </c>
      <c r="C150" s="1" t="n">
        <v>45355</v>
      </c>
      <c r="D150" t="inlineStr">
        <is>
          <t>JÄMTLANDS LÄN</t>
        </is>
      </c>
      <c r="E150" t="inlineStr">
        <is>
          <t>BERG</t>
        </is>
      </c>
      <c r="G150" t="n">
        <v>5.5</v>
      </c>
      <c r="H150" t="n">
        <v>0</v>
      </c>
      <c r="I150" t="n">
        <v>0</v>
      </c>
      <c r="J150" t="n">
        <v>0</v>
      </c>
      <c r="K150" t="n">
        <v>0</v>
      </c>
      <c r="L150" t="n">
        <v>0</v>
      </c>
      <c r="M150" t="n">
        <v>0</v>
      </c>
      <c r="N150" t="n">
        <v>0</v>
      </c>
      <c r="O150" t="n">
        <v>0</v>
      </c>
      <c r="P150" t="n">
        <v>0</v>
      </c>
      <c r="Q150" t="n">
        <v>0</v>
      </c>
      <c r="R150" s="2" t="inlineStr"/>
    </row>
    <row r="151" ht="15" customHeight="1">
      <c r="A151" t="inlineStr">
        <is>
          <t>A 7129-2019</t>
        </is>
      </c>
      <c r="B151" s="1" t="n">
        <v>43496</v>
      </c>
      <c r="C151" s="1" t="n">
        <v>45355</v>
      </c>
      <c r="D151" t="inlineStr">
        <is>
          <t>JÄMTLANDS LÄN</t>
        </is>
      </c>
      <c r="E151" t="inlineStr">
        <is>
          <t>BERG</t>
        </is>
      </c>
      <c r="F151" t="inlineStr">
        <is>
          <t>Kyrkan</t>
        </is>
      </c>
      <c r="G151" t="n">
        <v>21.7</v>
      </c>
      <c r="H151" t="n">
        <v>0</v>
      </c>
      <c r="I151" t="n">
        <v>0</v>
      </c>
      <c r="J151" t="n">
        <v>0</v>
      </c>
      <c r="K151" t="n">
        <v>0</v>
      </c>
      <c r="L151" t="n">
        <v>0</v>
      </c>
      <c r="M151" t="n">
        <v>0</v>
      </c>
      <c r="N151" t="n">
        <v>0</v>
      </c>
      <c r="O151" t="n">
        <v>0</v>
      </c>
      <c r="P151" t="n">
        <v>0</v>
      </c>
      <c r="Q151" t="n">
        <v>0</v>
      </c>
      <c r="R151" s="2" t="inlineStr"/>
    </row>
    <row r="152" ht="15" customHeight="1">
      <c r="A152" t="inlineStr">
        <is>
          <t>A 8215-2019</t>
        </is>
      </c>
      <c r="B152" s="1" t="n">
        <v>43501</v>
      </c>
      <c r="C152" s="1" t="n">
        <v>45355</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11824-2019</t>
        </is>
      </c>
      <c r="B153" s="1" t="n">
        <v>43521</v>
      </c>
      <c r="C153" s="1" t="n">
        <v>45355</v>
      </c>
      <c r="D153" t="inlineStr">
        <is>
          <t>JÄMTLANDS LÄN</t>
        </is>
      </c>
      <c r="E153" t="inlineStr">
        <is>
          <t>BERG</t>
        </is>
      </c>
      <c r="G153" t="n">
        <v>4.2</v>
      </c>
      <c r="H153" t="n">
        <v>0</v>
      </c>
      <c r="I153" t="n">
        <v>0</v>
      </c>
      <c r="J153" t="n">
        <v>0</v>
      </c>
      <c r="K153" t="n">
        <v>0</v>
      </c>
      <c r="L153" t="n">
        <v>0</v>
      </c>
      <c r="M153" t="n">
        <v>0</v>
      </c>
      <c r="N153" t="n">
        <v>0</v>
      </c>
      <c r="O153" t="n">
        <v>0</v>
      </c>
      <c r="P153" t="n">
        <v>0</v>
      </c>
      <c r="Q153" t="n">
        <v>0</v>
      </c>
      <c r="R153" s="2" t="inlineStr"/>
    </row>
    <row r="154" ht="15" customHeight="1">
      <c r="A154" t="inlineStr">
        <is>
          <t>A 12310-2019</t>
        </is>
      </c>
      <c r="B154" s="1" t="n">
        <v>43523</v>
      </c>
      <c r="C154" s="1" t="n">
        <v>45355</v>
      </c>
      <c r="D154" t="inlineStr">
        <is>
          <t>JÄMTLANDS LÄN</t>
        </is>
      </c>
      <c r="E154" t="inlineStr">
        <is>
          <t>BERG</t>
        </is>
      </c>
      <c r="G154" t="n">
        <v>1.9</v>
      </c>
      <c r="H154" t="n">
        <v>0</v>
      </c>
      <c r="I154" t="n">
        <v>0</v>
      </c>
      <c r="J154" t="n">
        <v>0</v>
      </c>
      <c r="K154" t="n">
        <v>0</v>
      </c>
      <c r="L154" t="n">
        <v>0</v>
      </c>
      <c r="M154" t="n">
        <v>0</v>
      </c>
      <c r="N154" t="n">
        <v>0</v>
      </c>
      <c r="O154" t="n">
        <v>0</v>
      </c>
      <c r="P154" t="n">
        <v>0</v>
      </c>
      <c r="Q154" t="n">
        <v>0</v>
      </c>
      <c r="R154" s="2" t="inlineStr"/>
    </row>
    <row r="155" ht="15" customHeight="1">
      <c r="A155" t="inlineStr">
        <is>
          <t>A 13243-2019</t>
        </is>
      </c>
      <c r="B155" s="1" t="n">
        <v>43529</v>
      </c>
      <c r="C155" s="1" t="n">
        <v>45355</v>
      </c>
      <c r="D155" t="inlineStr">
        <is>
          <t>JÄMTLANDS LÄN</t>
        </is>
      </c>
      <c r="E155" t="inlineStr">
        <is>
          <t>BERG</t>
        </is>
      </c>
      <c r="G155" t="n">
        <v>2.2</v>
      </c>
      <c r="H155" t="n">
        <v>0</v>
      </c>
      <c r="I155" t="n">
        <v>0</v>
      </c>
      <c r="J155" t="n">
        <v>0</v>
      </c>
      <c r="K155" t="n">
        <v>0</v>
      </c>
      <c r="L155" t="n">
        <v>0</v>
      </c>
      <c r="M155" t="n">
        <v>0</v>
      </c>
      <c r="N155" t="n">
        <v>0</v>
      </c>
      <c r="O155" t="n">
        <v>0</v>
      </c>
      <c r="P155" t="n">
        <v>0</v>
      </c>
      <c r="Q155" t="n">
        <v>0</v>
      </c>
      <c r="R155" s="2" t="inlineStr"/>
    </row>
    <row r="156" ht="15" customHeight="1">
      <c r="A156" t="inlineStr">
        <is>
          <t>A 14787-2019</t>
        </is>
      </c>
      <c r="B156" s="1" t="n">
        <v>43537</v>
      </c>
      <c r="C156" s="1" t="n">
        <v>45355</v>
      </c>
      <c r="D156" t="inlineStr">
        <is>
          <t>JÄMTLANDS LÄN</t>
        </is>
      </c>
      <c r="E156" t="inlineStr">
        <is>
          <t>BERG</t>
        </is>
      </c>
      <c r="G156" t="n">
        <v>3.1</v>
      </c>
      <c r="H156" t="n">
        <v>0</v>
      </c>
      <c r="I156" t="n">
        <v>0</v>
      </c>
      <c r="J156" t="n">
        <v>0</v>
      </c>
      <c r="K156" t="n">
        <v>0</v>
      </c>
      <c r="L156" t="n">
        <v>0</v>
      </c>
      <c r="M156" t="n">
        <v>0</v>
      </c>
      <c r="N156" t="n">
        <v>0</v>
      </c>
      <c r="O156" t="n">
        <v>0</v>
      </c>
      <c r="P156" t="n">
        <v>0</v>
      </c>
      <c r="Q156" t="n">
        <v>0</v>
      </c>
      <c r="R156" s="2" t="inlineStr"/>
    </row>
    <row r="157" ht="15" customHeight="1">
      <c r="A157" t="inlineStr">
        <is>
          <t>A 17791-2019</t>
        </is>
      </c>
      <c r="B157" s="1" t="n">
        <v>43556</v>
      </c>
      <c r="C157" s="1" t="n">
        <v>45355</v>
      </c>
      <c r="D157" t="inlineStr">
        <is>
          <t>JÄMTLANDS LÄN</t>
        </is>
      </c>
      <c r="E157" t="inlineStr">
        <is>
          <t>BERG</t>
        </is>
      </c>
      <c r="G157" t="n">
        <v>14.3</v>
      </c>
      <c r="H157" t="n">
        <v>0</v>
      </c>
      <c r="I157" t="n">
        <v>0</v>
      </c>
      <c r="J157" t="n">
        <v>0</v>
      </c>
      <c r="K157" t="n">
        <v>0</v>
      </c>
      <c r="L157" t="n">
        <v>0</v>
      </c>
      <c r="M157" t="n">
        <v>0</v>
      </c>
      <c r="N157" t="n">
        <v>0</v>
      </c>
      <c r="O157" t="n">
        <v>0</v>
      </c>
      <c r="P157" t="n">
        <v>0</v>
      </c>
      <c r="Q157" t="n">
        <v>0</v>
      </c>
      <c r="R157" s="2" t="inlineStr"/>
    </row>
    <row r="158" ht="15" customHeight="1">
      <c r="A158" t="inlineStr">
        <is>
          <t>A 21225-2019</t>
        </is>
      </c>
      <c r="B158" s="1" t="n">
        <v>43579</v>
      </c>
      <c r="C158" s="1" t="n">
        <v>45355</v>
      </c>
      <c r="D158" t="inlineStr">
        <is>
          <t>JÄMTLANDS LÄN</t>
        </is>
      </c>
      <c r="E158" t="inlineStr">
        <is>
          <t>BERG</t>
        </is>
      </c>
      <c r="G158" t="n">
        <v>6.3</v>
      </c>
      <c r="H158" t="n">
        <v>0</v>
      </c>
      <c r="I158" t="n">
        <v>0</v>
      </c>
      <c r="J158" t="n">
        <v>0</v>
      </c>
      <c r="K158" t="n">
        <v>0</v>
      </c>
      <c r="L158" t="n">
        <v>0</v>
      </c>
      <c r="M158" t="n">
        <v>0</v>
      </c>
      <c r="N158" t="n">
        <v>0</v>
      </c>
      <c r="O158" t="n">
        <v>0</v>
      </c>
      <c r="P158" t="n">
        <v>0</v>
      </c>
      <c r="Q158" t="n">
        <v>0</v>
      </c>
      <c r="R158" s="2" t="inlineStr"/>
    </row>
    <row r="159" ht="15" customHeight="1">
      <c r="A159" t="inlineStr">
        <is>
          <t>A 24710-2019</t>
        </is>
      </c>
      <c r="B159" s="1" t="n">
        <v>43601</v>
      </c>
      <c r="C159" s="1" t="n">
        <v>45355</v>
      </c>
      <c r="D159" t="inlineStr">
        <is>
          <t>JÄMTLANDS LÄN</t>
        </is>
      </c>
      <c r="E159" t="inlineStr">
        <is>
          <t>BERG</t>
        </is>
      </c>
      <c r="G159" t="n">
        <v>3.2</v>
      </c>
      <c r="H159" t="n">
        <v>0</v>
      </c>
      <c r="I159" t="n">
        <v>0</v>
      </c>
      <c r="J159" t="n">
        <v>0</v>
      </c>
      <c r="K159" t="n">
        <v>0</v>
      </c>
      <c r="L159" t="n">
        <v>0</v>
      </c>
      <c r="M159" t="n">
        <v>0</v>
      </c>
      <c r="N159" t="n">
        <v>0</v>
      </c>
      <c r="O159" t="n">
        <v>0</v>
      </c>
      <c r="P159" t="n">
        <v>0</v>
      </c>
      <c r="Q159" t="n">
        <v>0</v>
      </c>
      <c r="R159" s="2" t="inlineStr"/>
    </row>
    <row r="160" ht="15" customHeight="1">
      <c r="A160" t="inlineStr">
        <is>
          <t>A 24839-2019</t>
        </is>
      </c>
      <c r="B160" s="1" t="n">
        <v>43602</v>
      </c>
      <c r="C160" s="1" t="n">
        <v>45355</v>
      </c>
      <c r="D160" t="inlineStr">
        <is>
          <t>JÄMTLANDS LÄN</t>
        </is>
      </c>
      <c r="E160" t="inlineStr">
        <is>
          <t>BERG</t>
        </is>
      </c>
      <c r="G160" t="n">
        <v>5.9</v>
      </c>
      <c r="H160" t="n">
        <v>0</v>
      </c>
      <c r="I160" t="n">
        <v>0</v>
      </c>
      <c r="J160" t="n">
        <v>0</v>
      </c>
      <c r="K160" t="n">
        <v>0</v>
      </c>
      <c r="L160" t="n">
        <v>0</v>
      </c>
      <c r="M160" t="n">
        <v>0</v>
      </c>
      <c r="N160" t="n">
        <v>0</v>
      </c>
      <c r="O160" t="n">
        <v>0</v>
      </c>
      <c r="P160" t="n">
        <v>0</v>
      </c>
      <c r="Q160" t="n">
        <v>0</v>
      </c>
      <c r="R160" s="2" t="inlineStr"/>
    </row>
    <row r="161" ht="15" customHeight="1">
      <c r="A161" t="inlineStr">
        <is>
          <t>A 25844-2019</t>
        </is>
      </c>
      <c r="B161" s="1" t="n">
        <v>43605</v>
      </c>
      <c r="C161" s="1" t="n">
        <v>45355</v>
      </c>
      <c r="D161" t="inlineStr">
        <is>
          <t>JÄMTLANDS LÄN</t>
        </is>
      </c>
      <c r="E161" t="inlineStr">
        <is>
          <t>BERG</t>
        </is>
      </c>
      <c r="G161" t="n">
        <v>1.2</v>
      </c>
      <c r="H161" t="n">
        <v>0</v>
      </c>
      <c r="I161" t="n">
        <v>0</v>
      </c>
      <c r="J161" t="n">
        <v>0</v>
      </c>
      <c r="K161" t="n">
        <v>0</v>
      </c>
      <c r="L161" t="n">
        <v>0</v>
      </c>
      <c r="M161" t="n">
        <v>0</v>
      </c>
      <c r="N161" t="n">
        <v>0</v>
      </c>
      <c r="O161" t="n">
        <v>0</v>
      </c>
      <c r="P161" t="n">
        <v>0</v>
      </c>
      <c r="Q161" t="n">
        <v>0</v>
      </c>
      <c r="R161" s="2" t="inlineStr"/>
    </row>
    <row r="162" ht="15" customHeight="1">
      <c r="A162" t="inlineStr">
        <is>
          <t>A 25588-2019</t>
        </is>
      </c>
      <c r="B162" s="1" t="n">
        <v>43607</v>
      </c>
      <c r="C162" s="1" t="n">
        <v>45355</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25969-2019</t>
        </is>
      </c>
      <c r="B163" s="1" t="n">
        <v>43608</v>
      </c>
      <c r="C163" s="1" t="n">
        <v>45355</v>
      </c>
      <c r="D163" t="inlineStr">
        <is>
          <t>JÄMTLANDS LÄN</t>
        </is>
      </c>
      <c r="E163" t="inlineStr">
        <is>
          <t>BERG</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28788-2019</t>
        </is>
      </c>
      <c r="B164" s="1" t="n">
        <v>43616</v>
      </c>
      <c r="C164" s="1" t="n">
        <v>45355</v>
      </c>
      <c r="D164" t="inlineStr">
        <is>
          <t>JÄMTLANDS LÄN</t>
        </is>
      </c>
      <c r="E164" t="inlineStr">
        <is>
          <t>BERG</t>
        </is>
      </c>
      <c r="G164" t="n">
        <v>0.7</v>
      </c>
      <c r="H164" t="n">
        <v>0</v>
      </c>
      <c r="I164" t="n">
        <v>0</v>
      </c>
      <c r="J164" t="n">
        <v>0</v>
      </c>
      <c r="K164" t="n">
        <v>0</v>
      </c>
      <c r="L164" t="n">
        <v>0</v>
      </c>
      <c r="M164" t="n">
        <v>0</v>
      </c>
      <c r="N164" t="n">
        <v>0</v>
      </c>
      <c r="O164" t="n">
        <v>0</v>
      </c>
      <c r="P164" t="n">
        <v>0</v>
      </c>
      <c r="Q164" t="n">
        <v>0</v>
      </c>
      <c r="R164" s="2" t="inlineStr"/>
    </row>
    <row r="165" ht="15" customHeight="1">
      <c r="A165" t="inlineStr">
        <is>
          <t>A 27540-2019</t>
        </is>
      </c>
      <c r="B165" s="1" t="n">
        <v>43619</v>
      </c>
      <c r="C165" s="1" t="n">
        <v>45355</v>
      </c>
      <c r="D165" t="inlineStr">
        <is>
          <t>JÄMTLANDS LÄN</t>
        </is>
      </c>
      <c r="E165" t="inlineStr">
        <is>
          <t>BERG</t>
        </is>
      </c>
      <c r="G165" t="n">
        <v>2.1</v>
      </c>
      <c r="H165" t="n">
        <v>0</v>
      </c>
      <c r="I165" t="n">
        <v>0</v>
      </c>
      <c r="J165" t="n">
        <v>0</v>
      </c>
      <c r="K165" t="n">
        <v>0</v>
      </c>
      <c r="L165" t="n">
        <v>0</v>
      </c>
      <c r="M165" t="n">
        <v>0</v>
      </c>
      <c r="N165" t="n">
        <v>0</v>
      </c>
      <c r="O165" t="n">
        <v>0</v>
      </c>
      <c r="P165" t="n">
        <v>0</v>
      </c>
      <c r="Q165" t="n">
        <v>0</v>
      </c>
      <c r="R165" s="2" t="inlineStr"/>
    </row>
    <row r="166" ht="15" customHeight="1">
      <c r="A166" t="inlineStr">
        <is>
          <t>A 28250-2019</t>
        </is>
      </c>
      <c r="B166" s="1" t="n">
        <v>43622</v>
      </c>
      <c r="C166" s="1" t="n">
        <v>45355</v>
      </c>
      <c r="D166" t="inlineStr">
        <is>
          <t>JÄMTLANDS LÄN</t>
        </is>
      </c>
      <c r="E166" t="inlineStr">
        <is>
          <t>BERG</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29339-2019</t>
        </is>
      </c>
      <c r="B167" s="1" t="n">
        <v>43626</v>
      </c>
      <c r="C167" s="1" t="n">
        <v>45355</v>
      </c>
      <c r="D167" t="inlineStr">
        <is>
          <t>JÄMTLANDS LÄN</t>
        </is>
      </c>
      <c r="E167" t="inlineStr">
        <is>
          <t>BERG</t>
        </is>
      </c>
      <c r="G167" t="n">
        <v>1.4</v>
      </c>
      <c r="H167" t="n">
        <v>0</v>
      </c>
      <c r="I167" t="n">
        <v>0</v>
      </c>
      <c r="J167" t="n">
        <v>0</v>
      </c>
      <c r="K167" t="n">
        <v>0</v>
      </c>
      <c r="L167" t="n">
        <v>0</v>
      </c>
      <c r="M167" t="n">
        <v>0</v>
      </c>
      <c r="N167" t="n">
        <v>0</v>
      </c>
      <c r="O167" t="n">
        <v>0</v>
      </c>
      <c r="P167" t="n">
        <v>0</v>
      </c>
      <c r="Q167" t="n">
        <v>0</v>
      </c>
      <c r="R167" s="2" t="inlineStr"/>
    </row>
    <row r="168" ht="15" customHeight="1">
      <c r="A168" t="inlineStr">
        <is>
          <t>A 29202-2019</t>
        </is>
      </c>
      <c r="B168" s="1" t="n">
        <v>43629</v>
      </c>
      <c r="C168" s="1" t="n">
        <v>45355</v>
      </c>
      <c r="D168" t="inlineStr">
        <is>
          <t>JÄMTLANDS LÄN</t>
        </is>
      </c>
      <c r="E168" t="inlineStr">
        <is>
          <t>BERG</t>
        </is>
      </c>
      <c r="F168" t="inlineStr">
        <is>
          <t>Sveaskog</t>
        </is>
      </c>
      <c r="G168" t="n">
        <v>6.6</v>
      </c>
      <c r="H168" t="n">
        <v>0</v>
      </c>
      <c r="I168" t="n">
        <v>0</v>
      </c>
      <c r="J168" t="n">
        <v>0</v>
      </c>
      <c r="K168" t="n">
        <v>0</v>
      </c>
      <c r="L168" t="n">
        <v>0</v>
      </c>
      <c r="M168" t="n">
        <v>0</v>
      </c>
      <c r="N168" t="n">
        <v>0</v>
      </c>
      <c r="O168" t="n">
        <v>0</v>
      </c>
      <c r="P168" t="n">
        <v>0</v>
      </c>
      <c r="Q168" t="n">
        <v>0</v>
      </c>
      <c r="R168" s="2" t="inlineStr"/>
    </row>
    <row r="169" ht="15" customHeight="1">
      <c r="A169" t="inlineStr">
        <is>
          <t>A 29728-2019</t>
        </is>
      </c>
      <c r="B169" s="1" t="n">
        <v>43630</v>
      </c>
      <c r="C169" s="1" t="n">
        <v>45355</v>
      </c>
      <c r="D169" t="inlineStr">
        <is>
          <t>JÄMTLANDS LÄN</t>
        </is>
      </c>
      <c r="E169" t="inlineStr">
        <is>
          <t>BERG</t>
        </is>
      </c>
      <c r="G169" t="n">
        <v>8.1</v>
      </c>
      <c r="H169" t="n">
        <v>0</v>
      </c>
      <c r="I169" t="n">
        <v>0</v>
      </c>
      <c r="J169" t="n">
        <v>0</v>
      </c>
      <c r="K169" t="n">
        <v>0</v>
      </c>
      <c r="L169" t="n">
        <v>0</v>
      </c>
      <c r="M169" t="n">
        <v>0</v>
      </c>
      <c r="N169" t="n">
        <v>0</v>
      </c>
      <c r="O169" t="n">
        <v>0</v>
      </c>
      <c r="P169" t="n">
        <v>0</v>
      </c>
      <c r="Q169" t="n">
        <v>0</v>
      </c>
      <c r="R169" s="2" t="inlineStr"/>
    </row>
    <row r="170" ht="15" customHeight="1">
      <c r="A170" t="inlineStr">
        <is>
          <t>A 31238-2019</t>
        </is>
      </c>
      <c r="B170" s="1" t="n">
        <v>43640</v>
      </c>
      <c r="C170" s="1" t="n">
        <v>45355</v>
      </c>
      <c r="D170" t="inlineStr">
        <is>
          <t>JÄMTLANDS LÄN</t>
        </is>
      </c>
      <c r="E170" t="inlineStr">
        <is>
          <t>BERG</t>
        </is>
      </c>
      <c r="F170" t="inlineStr">
        <is>
          <t>Sveaskog</t>
        </is>
      </c>
      <c r="G170" t="n">
        <v>9.6</v>
      </c>
      <c r="H170" t="n">
        <v>0</v>
      </c>
      <c r="I170" t="n">
        <v>0</v>
      </c>
      <c r="J170" t="n">
        <v>0</v>
      </c>
      <c r="K170" t="n">
        <v>0</v>
      </c>
      <c r="L170" t="n">
        <v>0</v>
      </c>
      <c r="M170" t="n">
        <v>0</v>
      </c>
      <c r="N170" t="n">
        <v>0</v>
      </c>
      <c r="O170" t="n">
        <v>0</v>
      </c>
      <c r="P170" t="n">
        <v>0</v>
      </c>
      <c r="Q170" t="n">
        <v>0</v>
      </c>
      <c r="R170" s="2" t="inlineStr"/>
    </row>
    <row r="171" ht="15" customHeight="1">
      <c r="A171" t="inlineStr">
        <is>
          <t>A 31206-2019</t>
        </is>
      </c>
      <c r="B171" s="1" t="n">
        <v>43640</v>
      </c>
      <c r="C171" s="1" t="n">
        <v>45355</v>
      </c>
      <c r="D171" t="inlineStr">
        <is>
          <t>JÄMTLANDS LÄN</t>
        </is>
      </c>
      <c r="E171" t="inlineStr">
        <is>
          <t>BERG</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31568-2019</t>
        </is>
      </c>
      <c r="B172" s="1" t="n">
        <v>43641</v>
      </c>
      <c r="C172" s="1" t="n">
        <v>45355</v>
      </c>
      <c r="D172" t="inlineStr">
        <is>
          <t>JÄMTLANDS LÄN</t>
        </is>
      </c>
      <c r="E172" t="inlineStr">
        <is>
          <t>BERG</t>
        </is>
      </c>
      <c r="F172" t="inlineStr">
        <is>
          <t>SCA</t>
        </is>
      </c>
      <c r="G172" t="n">
        <v>16.4</v>
      </c>
      <c r="H172" t="n">
        <v>0</v>
      </c>
      <c r="I172" t="n">
        <v>0</v>
      </c>
      <c r="J172" t="n">
        <v>0</v>
      </c>
      <c r="K172" t="n">
        <v>0</v>
      </c>
      <c r="L172" t="n">
        <v>0</v>
      </c>
      <c r="M172" t="n">
        <v>0</v>
      </c>
      <c r="N172" t="n">
        <v>0</v>
      </c>
      <c r="O172" t="n">
        <v>0</v>
      </c>
      <c r="P172" t="n">
        <v>0</v>
      </c>
      <c r="Q172" t="n">
        <v>0</v>
      </c>
      <c r="R172" s="2" t="inlineStr"/>
    </row>
    <row r="173" ht="15" customHeight="1">
      <c r="A173" t="inlineStr">
        <is>
          <t>A 32054-2019</t>
        </is>
      </c>
      <c r="B173" s="1" t="n">
        <v>43643</v>
      </c>
      <c r="C173" s="1" t="n">
        <v>45355</v>
      </c>
      <c r="D173" t="inlineStr">
        <is>
          <t>JÄMTLANDS LÄN</t>
        </is>
      </c>
      <c r="E173" t="inlineStr">
        <is>
          <t>BERG</t>
        </is>
      </c>
      <c r="G173" t="n">
        <v>0.6</v>
      </c>
      <c r="H173" t="n">
        <v>0</v>
      </c>
      <c r="I173" t="n">
        <v>0</v>
      </c>
      <c r="J173" t="n">
        <v>0</v>
      </c>
      <c r="K173" t="n">
        <v>0</v>
      </c>
      <c r="L173" t="n">
        <v>0</v>
      </c>
      <c r="M173" t="n">
        <v>0</v>
      </c>
      <c r="N173" t="n">
        <v>0</v>
      </c>
      <c r="O173" t="n">
        <v>0</v>
      </c>
      <c r="P173" t="n">
        <v>0</v>
      </c>
      <c r="Q173" t="n">
        <v>0</v>
      </c>
      <c r="R173" s="2" t="inlineStr"/>
    </row>
    <row r="174" ht="15" customHeight="1">
      <c r="A174" t="inlineStr">
        <is>
          <t>A 32123-2019</t>
        </is>
      </c>
      <c r="B174" s="1" t="n">
        <v>43643</v>
      </c>
      <c r="C174" s="1" t="n">
        <v>45355</v>
      </c>
      <c r="D174" t="inlineStr">
        <is>
          <t>JÄMTLANDS LÄN</t>
        </is>
      </c>
      <c r="E174" t="inlineStr">
        <is>
          <t>BERG</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32121-2019</t>
        </is>
      </c>
      <c r="B175" s="1" t="n">
        <v>43643</v>
      </c>
      <c r="C175" s="1" t="n">
        <v>45355</v>
      </c>
      <c r="D175" t="inlineStr">
        <is>
          <t>JÄMTLANDS LÄN</t>
        </is>
      </c>
      <c r="E175" t="inlineStr">
        <is>
          <t>BERG</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32156-2019</t>
        </is>
      </c>
      <c r="B176" s="1" t="n">
        <v>43643</v>
      </c>
      <c r="C176" s="1" t="n">
        <v>45355</v>
      </c>
      <c r="D176" t="inlineStr">
        <is>
          <t>JÄMTLANDS LÄN</t>
        </is>
      </c>
      <c r="E176" t="inlineStr">
        <is>
          <t>BERG</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34469-2019</t>
        </is>
      </c>
      <c r="B177" s="1" t="n">
        <v>43656</v>
      </c>
      <c r="C177" s="1" t="n">
        <v>45355</v>
      </c>
      <c r="D177" t="inlineStr">
        <is>
          <t>JÄMTLANDS LÄN</t>
        </is>
      </c>
      <c r="E177" t="inlineStr">
        <is>
          <t>BERG</t>
        </is>
      </c>
      <c r="G177" t="n">
        <v>6.3</v>
      </c>
      <c r="H177" t="n">
        <v>0</v>
      </c>
      <c r="I177" t="n">
        <v>0</v>
      </c>
      <c r="J177" t="n">
        <v>0</v>
      </c>
      <c r="K177" t="n">
        <v>0</v>
      </c>
      <c r="L177" t="n">
        <v>0</v>
      </c>
      <c r="M177" t="n">
        <v>0</v>
      </c>
      <c r="N177" t="n">
        <v>0</v>
      </c>
      <c r="O177" t="n">
        <v>0</v>
      </c>
      <c r="P177" t="n">
        <v>0</v>
      </c>
      <c r="Q177" t="n">
        <v>0</v>
      </c>
      <c r="R177" s="2" t="inlineStr"/>
    </row>
    <row r="178" ht="15" customHeight="1">
      <c r="A178" t="inlineStr">
        <is>
          <t>A 34468-2019</t>
        </is>
      </c>
      <c r="B178" s="1" t="n">
        <v>43656</v>
      </c>
      <c r="C178" s="1" t="n">
        <v>45355</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34663-2019</t>
        </is>
      </c>
      <c r="B179" s="1" t="n">
        <v>43657</v>
      </c>
      <c r="C179" s="1" t="n">
        <v>45355</v>
      </c>
      <c r="D179" t="inlineStr">
        <is>
          <t>JÄMTLANDS LÄN</t>
        </is>
      </c>
      <c r="E179" t="inlineStr">
        <is>
          <t>BERG</t>
        </is>
      </c>
      <c r="G179" t="n">
        <v>0.5</v>
      </c>
      <c r="H179" t="n">
        <v>0</v>
      </c>
      <c r="I179" t="n">
        <v>0</v>
      </c>
      <c r="J179" t="n">
        <v>0</v>
      </c>
      <c r="K179" t="n">
        <v>0</v>
      </c>
      <c r="L179" t="n">
        <v>0</v>
      </c>
      <c r="M179" t="n">
        <v>0</v>
      </c>
      <c r="N179" t="n">
        <v>0</v>
      </c>
      <c r="O179" t="n">
        <v>0</v>
      </c>
      <c r="P179" t="n">
        <v>0</v>
      </c>
      <c r="Q179" t="n">
        <v>0</v>
      </c>
      <c r="R179" s="2" t="inlineStr"/>
    </row>
    <row r="180" ht="15" customHeight="1">
      <c r="A180" t="inlineStr">
        <is>
          <t>A 35043-2019</t>
        </is>
      </c>
      <c r="B180" s="1" t="n">
        <v>43661</v>
      </c>
      <c r="C180" s="1" t="n">
        <v>45355</v>
      </c>
      <c r="D180" t="inlineStr">
        <is>
          <t>JÄMTLANDS LÄN</t>
        </is>
      </c>
      <c r="E180" t="inlineStr">
        <is>
          <t>BERG</t>
        </is>
      </c>
      <c r="G180" t="n">
        <v>4</v>
      </c>
      <c r="H180" t="n">
        <v>0</v>
      </c>
      <c r="I180" t="n">
        <v>0</v>
      </c>
      <c r="J180" t="n">
        <v>0</v>
      </c>
      <c r="K180" t="n">
        <v>0</v>
      </c>
      <c r="L180" t="n">
        <v>0</v>
      </c>
      <c r="M180" t="n">
        <v>0</v>
      </c>
      <c r="N180" t="n">
        <v>0</v>
      </c>
      <c r="O180" t="n">
        <v>0</v>
      </c>
      <c r="P180" t="n">
        <v>0</v>
      </c>
      <c r="Q180" t="n">
        <v>0</v>
      </c>
      <c r="R180" s="2" t="inlineStr"/>
    </row>
    <row r="181" ht="15" customHeight="1">
      <c r="A181" t="inlineStr">
        <is>
          <t>A 36375-2019</t>
        </is>
      </c>
      <c r="B181" s="1" t="n">
        <v>43662</v>
      </c>
      <c r="C181" s="1" t="n">
        <v>45355</v>
      </c>
      <c r="D181" t="inlineStr">
        <is>
          <t>JÄMTLANDS LÄN</t>
        </is>
      </c>
      <c r="E181" t="inlineStr">
        <is>
          <t>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36702-2019</t>
        </is>
      </c>
      <c r="B182" s="1" t="n">
        <v>43671</v>
      </c>
      <c r="C182" s="1" t="n">
        <v>45355</v>
      </c>
      <c r="D182" t="inlineStr">
        <is>
          <t>JÄMTLANDS LÄN</t>
        </is>
      </c>
      <c r="E182" t="inlineStr">
        <is>
          <t>BERG</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37426-2019</t>
        </is>
      </c>
      <c r="B183" s="1" t="n">
        <v>43678</v>
      </c>
      <c r="C183" s="1" t="n">
        <v>45355</v>
      </c>
      <c r="D183" t="inlineStr">
        <is>
          <t>JÄMTLANDS LÄN</t>
        </is>
      </c>
      <c r="E183" t="inlineStr">
        <is>
          <t>BERG</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37890-2019</t>
        </is>
      </c>
      <c r="B184" s="1" t="n">
        <v>43682</v>
      </c>
      <c r="C184" s="1" t="n">
        <v>45355</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38319-2019</t>
        </is>
      </c>
      <c r="B185" s="1" t="n">
        <v>43684</v>
      </c>
      <c r="C185" s="1" t="n">
        <v>45355</v>
      </c>
      <c r="D185" t="inlineStr">
        <is>
          <t>JÄMTLANDS LÄN</t>
        </is>
      </c>
      <c r="E185" t="inlineStr">
        <is>
          <t>BERG</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39128-2019</t>
        </is>
      </c>
      <c r="B186" s="1" t="n">
        <v>43689</v>
      </c>
      <c r="C186" s="1" t="n">
        <v>45355</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39127-2019</t>
        </is>
      </c>
      <c r="B187" s="1" t="n">
        <v>43689</v>
      </c>
      <c r="C187" s="1" t="n">
        <v>45355</v>
      </c>
      <c r="D187" t="inlineStr">
        <is>
          <t>JÄMTLANDS LÄN</t>
        </is>
      </c>
      <c r="E187" t="inlineStr">
        <is>
          <t>BERG</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39130-2019</t>
        </is>
      </c>
      <c r="B188" s="1" t="n">
        <v>43689</v>
      </c>
      <c r="C188" s="1" t="n">
        <v>45355</v>
      </c>
      <c r="D188" t="inlineStr">
        <is>
          <t>JÄMTLANDS LÄN</t>
        </is>
      </c>
      <c r="E188" t="inlineStr">
        <is>
          <t>BERG</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40478-2019</t>
        </is>
      </c>
      <c r="B189" s="1" t="n">
        <v>43696</v>
      </c>
      <c r="C189" s="1" t="n">
        <v>45355</v>
      </c>
      <c r="D189" t="inlineStr">
        <is>
          <t>JÄMTLANDS LÄN</t>
        </is>
      </c>
      <c r="E189" t="inlineStr">
        <is>
          <t>BERG</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40529-2019</t>
        </is>
      </c>
      <c r="B190" s="1" t="n">
        <v>43696</v>
      </c>
      <c r="C190" s="1" t="n">
        <v>45355</v>
      </c>
      <c r="D190" t="inlineStr">
        <is>
          <t>JÄMTLANDS LÄN</t>
        </is>
      </c>
      <c r="E190" t="inlineStr">
        <is>
          <t>BERG</t>
        </is>
      </c>
      <c r="F190" t="inlineStr">
        <is>
          <t>SCA</t>
        </is>
      </c>
      <c r="G190" t="n">
        <v>0.4</v>
      </c>
      <c r="H190" t="n">
        <v>0</v>
      </c>
      <c r="I190" t="n">
        <v>0</v>
      </c>
      <c r="J190" t="n">
        <v>0</v>
      </c>
      <c r="K190" t="n">
        <v>0</v>
      </c>
      <c r="L190" t="n">
        <v>0</v>
      </c>
      <c r="M190" t="n">
        <v>0</v>
      </c>
      <c r="N190" t="n">
        <v>0</v>
      </c>
      <c r="O190" t="n">
        <v>0</v>
      </c>
      <c r="P190" t="n">
        <v>0</v>
      </c>
      <c r="Q190" t="n">
        <v>0</v>
      </c>
      <c r="R190" s="2" t="inlineStr"/>
    </row>
    <row r="191" ht="15" customHeight="1">
      <c r="A191" t="inlineStr">
        <is>
          <t>A 40479-2019</t>
        </is>
      </c>
      <c r="B191" s="1" t="n">
        <v>43696</v>
      </c>
      <c r="C191" s="1" t="n">
        <v>45355</v>
      </c>
      <c r="D191" t="inlineStr">
        <is>
          <t>JÄMTLANDS LÄN</t>
        </is>
      </c>
      <c r="E191" t="inlineStr">
        <is>
          <t>BERG</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40584-2019</t>
        </is>
      </c>
      <c r="B192" s="1" t="n">
        <v>43696</v>
      </c>
      <c r="C192" s="1" t="n">
        <v>45355</v>
      </c>
      <c r="D192" t="inlineStr">
        <is>
          <t>JÄMTLANDS LÄN</t>
        </is>
      </c>
      <c r="E192" t="inlineStr">
        <is>
          <t>BERG</t>
        </is>
      </c>
      <c r="G192" t="n">
        <v>7.1</v>
      </c>
      <c r="H192" t="n">
        <v>0</v>
      </c>
      <c r="I192" t="n">
        <v>0</v>
      </c>
      <c r="J192" t="n">
        <v>0</v>
      </c>
      <c r="K192" t="n">
        <v>0</v>
      </c>
      <c r="L192" t="n">
        <v>0</v>
      </c>
      <c r="M192" t="n">
        <v>0</v>
      </c>
      <c r="N192" t="n">
        <v>0</v>
      </c>
      <c r="O192" t="n">
        <v>0</v>
      </c>
      <c r="P192" t="n">
        <v>0</v>
      </c>
      <c r="Q192" t="n">
        <v>0</v>
      </c>
      <c r="R192" s="2" t="inlineStr"/>
    </row>
    <row r="193" ht="15" customHeight="1">
      <c r="A193" t="inlineStr">
        <is>
          <t>A 41452-2019</t>
        </is>
      </c>
      <c r="B193" s="1" t="n">
        <v>43699</v>
      </c>
      <c r="C193" s="1" t="n">
        <v>45355</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43210-2019</t>
        </is>
      </c>
      <c r="B194" s="1" t="n">
        <v>43705</v>
      </c>
      <c r="C194" s="1" t="n">
        <v>45355</v>
      </c>
      <c r="D194" t="inlineStr">
        <is>
          <t>JÄMTLANDS LÄN</t>
        </is>
      </c>
      <c r="E194" t="inlineStr">
        <is>
          <t>BERG</t>
        </is>
      </c>
      <c r="F194" t="inlineStr">
        <is>
          <t>SCA</t>
        </is>
      </c>
      <c r="G194" t="n">
        <v>11.7</v>
      </c>
      <c r="H194" t="n">
        <v>0</v>
      </c>
      <c r="I194" t="n">
        <v>0</v>
      </c>
      <c r="J194" t="n">
        <v>0</v>
      </c>
      <c r="K194" t="n">
        <v>0</v>
      </c>
      <c r="L194" t="n">
        <v>0</v>
      </c>
      <c r="M194" t="n">
        <v>0</v>
      </c>
      <c r="N194" t="n">
        <v>0</v>
      </c>
      <c r="O194" t="n">
        <v>0</v>
      </c>
      <c r="P194" t="n">
        <v>0</v>
      </c>
      <c r="Q194" t="n">
        <v>0</v>
      </c>
      <c r="R194" s="2" t="inlineStr"/>
    </row>
    <row r="195" ht="15" customHeight="1">
      <c r="A195" t="inlineStr">
        <is>
          <t>A 43942-2019</t>
        </is>
      </c>
      <c r="B195" s="1" t="n">
        <v>43707</v>
      </c>
      <c r="C195" s="1" t="n">
        <v>45355</v>
      </c>
      <c r="D195" t="inlineStr">
        <is>
          <t>JÄMTLANDS LÄN</t>
        </is>
      </c>
      <c r="E195" t="inlineStr">
        <is>
          <t>BERG</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44810-2019</t>
        </is>
      </c>
      <c r="B196" s="1" t="n">
        <v>43712</v>
      </c>
      <c r="C196" s="1" t="n">
        <v>45355</v>
      </c>
      <c r="D196" t="inlineStr">
        <is>
          <t>JÄMTLANDS LÄN</t>
        </is>
      </c>
      <c r="E196" t="inlineStr">
        <is>
          <t>BERG</t>
        </is>
      </c>
      <c r="G196" t="n">
        <v>3.3</v>
      </c>
      <c r="H196" t="n">
        <v>0</v>
      </c>
      <c r="I196" t="n">
        <v>0</v>
      </c>
      <c r="J196" t="n">
        <v>0</v>
      </c>
      <c r="K196" t="n">
        <v>0</v>
      </c>
      <c r="L196" t="n">
        <v>0</v>
      </c>
      <c r="M196" t="n">
        <v>0</v>
      </c>
      <c r="N196" t="n">
        <v>0</v>
      </c>
      <c r="O196" t="n">
        <v>0</v>
      </c>
      <c r="P196" t="n">
        <v>0</v>
      </c>
      <c r="Q196" t="n">
        <v>0</v>
      </c>
      <c r="R196" s="2" t="inlineStr"/>
    </row>
    <row r="197" ht="15" customHeight="1">
      <c r="A197" t="inlineStr">
        <is>
          <t>A 44631-2019</t>
        </is>
      </c>
      <c r="B197" s="1" t="n">
        <v>43712</v>
      </c>
      <c r="C197" s="1" t="n">
        <v>45355</v>
      </c>
      <c r="D197" t="inlineStr">
        <is>
          <t>JÄMTLANDS LÄN</t>
        </is>
      </c>
      <c r="E197" t="inlineStr">
        <is>
          <t>BERG</t>
        </is>
      </c>
      <c r="G197" t="n">
        <v>5.7</v>
      </c>
      <c r="H197" t="n">
        <v>0</v>
      </c>
      <c r="I197" t="n">
        <v>0</v>
      </c>
      <c r="J197" t="n">
        <v>0</v>
      </c>
      <c r="K197" t="n">
        <v>0</v>
      </c>
      <c r="L197" t="n">
        <v>0</v>
      </c>
      <c r="M197" t="n">
        <v>0</v>
      </c>
      <c r="N197" t="n">
        <v>0</v>
      </c>
      <c r="O197" t="n">
        <v>0</v>
      </c>
      <c r="P197" t="n">
        <v>0</v>
      </c>
      <c r="Q197" t="n">
        <v>0</v>
      </c>
      <c r="R197" s="2" t="inlineStr"/>
    </row>
    <row r="198" ht="15" customHeight="1">
      <c r="A198" t="inlineStr">
        <is>
          <t>A 45623-2019</t>
        </is>
      </c>
      <c r="B198" s="1" t="n">
        <v>43717</v>
      </c>
      <c r="C198" s="1" t="n">
        <v>45355</v>
      </c>
      <c r="D198" t="inlineStr">
        <is>
          <t>JÄMTLANDS LÄN</t>
        </is>
      </c>
      <c r="E198" t="inlineStr">
        <is>
          <t>BERG</t>
        </is>
      </c>
      <c r="G198" t="n">
        <v>7.5</v>
      </c>
      <c r="H198" t="n">
        <v>0</v>
      </c>
      <c r="I198" t="n">
        <v>0</v>
      </c>
      <c r="J198" t="n">
        <v>0</v>
      </c>
      <c r="K198" t="n">
        <v>0</v>
      </c>
      <c r="L198" t="n">
        <v>0</v>
      </c>
      <c r="M198" t="n">
        <v>0</v>
      </c>
      <c r="N198" t="n">
        <v>0</v>
      </c>
      <c r="O198" t="n">
        <v>0</v>
      </c>
      <c r="P198" t="n">
        <v>0</v>
      </c>
      <c r="Q198" t="n">
        <v>0</v>
      </c>
      <c r="R198" s="2" t="inlineStr"/>
    </row>
    <row r="199" ht="15" customHeight="1">
      <c r="A199" t="inlineStr">
        <is>
          <t>A 47918-2019</t>
        </is>
      </c>
      <c r="B199" s="1" t="n">
        <v>43725</v>
      </c>
      <c r="C199" s="1" t="n">
        <v>45355</v>
      </c>
      <c r="D199" t="inlineStr">
        <is>
          <t>JÄMTLANDS LÄN</t>
        </is>
      </c>
      <c r="E199" t="inlineStr">
        <is>
          <t>BERG</t>
        </is>
      </c>
      <c r="G199" t="n">
        <v>0.5</v>
      </c>
      <c r="H199" t="n">
        <v>0</v>
      </c>
      <c r="I199" t="n">
        <v>0</v>
      </c>
      <c r="J199" t="n">
        <v>0</v>
      </c>
      <c r="K199" t="n">
        <v>0</v>
      </c>
      <c r="L199" t="n">
        <v>0</v>
      </c>
      <c r="M199" t="n">
        <v>0</v>
      </c>
      <c r="N199" t="n">
        <v>0</v>
      </c>
      <c r="O199" t="n">
        <v>0</v>
      </c>
      <c r="P199" t="n">
        <v>0</v>
      </c>
      <c r="Q199" t="n">
        <v>0</v>
      </c>
      <c r="R199" s="2" t="inlineStr"/>
    </row>
    <row r="200" ht="15" customHeight="1">
      <c r="A200" t="inlineStr">
        <is>
          <t>A 50896-2019</t>
        </is>
      </c>
      <c r="B200" s="1" t="n">
        <v>43738</v>
      </c>
      <c r="C200" s="1" t="n">
        <v>45355</v>
      </c>
      <c r="D200" t="inlineStr">
        <is>
          <t>JÄMTLANDS LÄN</t>
        </is>
      </c>
      <c r="E200" t="inlineStr">
        <is>
          <t>BERG</t>
        </is>
      </c>
      <c r="G200" t="n">
        <v>1.1</v>
      </c>
      <c r="H200" t="n">
        <v>0</v>
      </c>
      <c r="I200" t="n">
        <v>0</v>
      </c>
      <c r="J200" t="n">
        <v>0</v>
      </c>
      <c r="K200" t="n">
        <v>0</v>
      </c>
      <c r="L200" t="n">
        <v>0</v>
      </c>
      <c r="M200" t="n">
        <v>0</v>
      </c>
      <c r="N200" t="n">
        <v>0</v>
      </c>
      <c r="O200" t="n">
        <v>0</v>
      </c>
      <c r="P200" t="n">
        <v>0</v>
      </c>
      <c r="Q200" t="n">
        <v>0</v>
      </c>
      <c r="R200" s="2" t="inlineStr"/>
    </row>
    <row r="201" ht="15" customHeight="1">
      <c r="A201" t="inlineStr">
        <is>
          <t>A 50969-2019</t>
        </is>
      </c>
      <c r="B201" s="1" t="n">
        <v>43738</v>
      </c>
      <c r="C201" s="1" t="n">
        <v>45355</v>
      </c>
      <c r="D201" t="inlineStr">
        <is>
          <t>JÄMTLANDS LÄN</t>
        </is>
      </c>
      <c r="E201" t="inlineStr">
        <is>
          <t>BERG</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51206-2019</t>
        </is>
      </c>
      <c r="B202" s="1" t="n">
        <v>43739</v>
      </c>
      <c r="C202" s="1" t="n">
        <v>45355</v>
      </c>
      <c r="D202" t="inlineStr">
        <is>
          <t>JÄMTLANDS LÄN</t>
        </is>
      </c>
      <c r="E202" t="inlineStr">
        <is>
          <t>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53415-2019</t>
        </is>
      </c>
      <c r="B203" s="1" t="n">
        <v>43740</v>
      </c>
      <c r="C203" s="1" t="n">
        <v>45355</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52470-2019</t>
        </is>
      </c>
      <c r="B204" s="1" t="n">
        <v>43745</v>
      </c>
      <c r="C204" s="1" t="n">
        <v>45355</v>
      </c>
      <c r="D204" t="inlineStr">
        <is>
          <t>JÄMTLANDS LÄN</t>
        </is>
      </c>
      <c r="E204" t="inlineStr">
        <is>
          <t>BERG</t>
        </is>
      </c>
      <c r="G204" t="n">
        <v>5.4</v>
      </c>
      <c r="H204" t="n">
        <v>0</v>
      </c>
      <c r="I204" t="n">
        <v>0</v>
      </c>
      <c r="J204" t="n">
        <v>0</v>
      </c>
      <c r="K204" t="n">
        <v>0</v>
      </c>
      <c r="L204" t="n">
        <v>0</v>
      </c>
      <c r="M204" t="n">
        <v>0</v>
      </c>
      <c r="N204" t="n">
        <v>0</v>
      </c>
      <c r="O204" t="n">
        <v>0</v>
      </c>
      <c r="P204" t="n">
        <v>0</v>
      </c>
      <c r="Q204" t="n">
        <v>0</v>
      </c>
      <c r="R204" s="2" t="inlineStr"/>
    </row>
    <row r="205" ht="15" customHeight="1">
      <c r="A205" t="inlineStr">
        <is>
          <t>A 52985-2019</t>
        </is>
      </c>
      <c r="B205" s="1" t="n">
        <v>43747</v>
      </c>
      <c r="C205" s="1" t="n">
        <v>45355</v>
      </c>
      <c r="D205" t="inlineStr">
        <is>
          <t>JÄMTLANDS LÄN</t>
        </is>
      </c>
      <c r="E205" t="inlineStr">
        <is>
          <t>BERG</t>
        </is>
      </c>
      <c r="G205" t="n">
        <v>8.4</v>
      </c>
      <c r="H205" t="n">
        <v>0</v>
      </c>
      <c r="I205" t="n">
        <v>0</v>
      </c>
      <c r="J205" t="n">
        <v>0</v>
      </c>
      <c r="K205" t="n">
        <v>0</v>
      </c>
      <c r="L205" t="n">
        <v>0</v>
      </c>
      <c r="M205" t="n">
        <v>0</v>
      </c>
      <c r="N205" t="n">
        <v>0</v>
      </c>
      <c r="O205" t="n">
        <v>0</v>
      </c>
      <c r="P205" t="n">
        <v>0</v>
      </c>
      <c r="Q205" t="n">
        <v>0</v>
      </c>
      <c r="R205" s="2" t="inlineStr"/>
    </row>
    <row r="206" ht="15" customHeight="1">
      <c r="A206" t="inlineStr">
        <is>
          <t>A 54594-2019</t>
        </is>
      </c>
      <c r="B206" s="1" t="n">
        <v>43754</v>
      </c>
      <c r="C206" s="1" t="n">
        <v>45355</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55611-2019</t>
        </is>
      </c>
      <c r="B207" s="1" t="n">
        <v>43760</v>
      </c>
      <c r="C207" s="1" t="n">
        <v>45355</v>
      </c>
      <c r="D207" t="inlineStr">
        <is>
          <t>JÄMTLANDS LÄN</t>
        </is>
      </c>
      <c r="E207" t="inlineStr">
        <is>
          <t>BERG</t>
        </is>
      </c>
      <c r="G207" t="n">
        <v>10</v>
      </c>
      <c r="H207" t="n">
        <v>0</v>
      </c>
      <c r="I207" t="n">
        <v>0</v>
      </c>
      <c r="J207" t="n">
        <v>0</v>
      </c>
      <c r="K207" t="n">
        <v>0</v>
      </c>
      <c r="L207" t="n">
        <v>0</v>
      </c>
      <c r="M207" t="n">
        <v>0</v>
      </c>
      <c r="N207" t="n">
        <v>0</v>
      </c>
      <c r="O207" t="n">
        <v>0</v>
      </c>
      <c r="P207" t="n">
        <v>0</v>
      </c>
      <c r="Q207" t="n">
        <v>0</v>
      </c>
      <c r="R207" s="2" t="inlineStr"/>
    </row>
    <row r="208" ht="15" customHeight="1">
      <c r="A208" t="inlineStr">
        <is>
          <t>A 55678-2019</t>
        </is>
      </c>
      <c r="B208" s="1" t="n">
        <v>43760</v>
      </c>
      <c r="C208" s="1" t="n">
        <v>45355</v>
      </c>
      <c r="D208" t="inlineStr">
        <is>
          <t>JÄMTLANDS LÄN</t>
        </is>
      </c>
      <c r="E208" t="inlineStr">
        <is>
          <t>BERG</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58364-2019</t>
        </is>
      </c>
      <c r="B209" s="1" t="n">
        <v>43770</v>
      </c>
      <c r="C209" s="1" t="n">
        <v>45355</v>
      </c>
      <c r="D209" t="inlineStr">
        <is>
          <t>JÄMTLANDS LÄN</t>
        </is>
      </c>
      <c r="E209" t="inlineStr">
        <is>
          <t>BERG</t>
        </is>
      </c>
      <c r="G209" t="n">
        <v>4.8</v>
      </c>
      <c r="H209" t="n">
        <v>0</v>
      </c>
      <c r="I209" t="n">
        <v>0</v>
      </c>
      <c r="J209" t="n">
        <v>0</v>
      </c>
      <c r="K209" t="n">
        <v>0</v>
      </c>
      <c r="L209" t="n">
        <v>0</v>
      </c>
      <c r="M209" t="n">
        <v>0</v>
      </c>
      <c r="N209" t="n">
        <v>0</v>
      </c>
      <c r="O209" t="n">
        <v>0</v>
      </c>
      <c r="P209" t="n">
        <v>0</v>
      </c>
      <c r="Q209" t="n">
        <v>0</v>
      </c>
      <c r="R209" s="2" t="inlineStr"/>
    </row>
    <row r="210" ht="15" customHeight="1">
      <c r="A210" t="inlineStr">
        <is>
          <t>A 58361-2019</t>
        </is>
      </c>
      <c r="B210" s="1" t="n">
        <v>43770</v>
      </c>
      <c r="C210" s="1" t="n">
        <v>45355</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62908-2019</t>
        </is>
      </c>
      <c r="B211" s="1" t="n">
        <v>43783</v>
      </c>
      <c r="C211" s="1" t="n">
        <v>45355</v>
      </c>
      <c r="D211" t="inlineStr">
        <is>
          <t>JÄMTLANDS LÄN</t>
        </is>
      </c>
      <c r="E211" t="inlineStr">
        <is>
          <t>BERG</t>
        </is>
      </c>
      <c r="G211" t="n">
        <v>1.7</v>
      </c>
      <c r="H211" t="n">
        <v>0</v>
      </c>
      <c r="I211" t="n">
        <v>0</v>
      </c>
      <c r="J211" t="n">
        <v>0</v>
      </c>
      <c r="K211" t="n">
        <v>0</v>
      </c>
      <c r="L211" t="n">
        <v>0</v>
      </c>
      <c r="M211" t="n">
        <v>0</v>
      </c>
      <c r="N211" t="n">
        <v>0</v>
      </c>
      <c r="O211" t="n">
        <v>0</v>
      </c>
      <c r="P211" t="n">
        <v>0</v>
      </c>
      <c r="Q211" t="n">
        <v>0</v>
      </c>
      <c r="R211" s="2" t="inlineStr"/>
    </row>
    <row r="212" ht="15" customHeight="1">
      <c r="A212" t="inlineStr">
        <is>
          <t>A 62943-2019</t>
        </is>
      </c>
      <c r="B212" s="1" t="n">
        <v>43783</v>
      </c>
      <c r="C212" s="1" t="n">
        <v>45355</v>
      </c>
      <c r="D212" t="inlineStr">
        <is>
          <t>JÄMTLANDS LÄN</t>
        </is>
      </c>
      <c r="E212" t="inlineStr">
        <is>
          <t>BERG</t>
        </is>
      </c>
      <c r="G212" t="n">
        <v>0.8</v>
      </c>
      <c r="H212" t="n">
        <v>0</v>
      </c>
      <c r="I212" t="n">
        <v>0</v>
      </c>
      <c r="J212" t="n">
        <v>0</v>
      </c>
      <c r="K212" t="n">
        <v>0</v>
      </c>
      <c r="L212" t="n">
        <v>0</v>
      </c>
      <c r="M212" t="n">
        <v>0</v>
      </c>
      <c r="N212" t="n">
        <v>0</v>
      </c>
      <c r="O212" t="n">
        <v>0</v>
      </c>
      <c r="P212" t="n">
        <v>0</v>
      </c>
      <c r="Q212" t="n">
        <v>0</v>
      </c>
      <c r="R212" s="2" t="inlineStr"/>
    </row>
    <row r="213" ht="15" customHeight="1">
      <c r="A213" t="inlineStr">
        <is>
          <t>A 62973-2019</t>
        </is>
      </c>
      <c r="B213" s="1" t="n">
        <v>43790</v>
      </c>
      <c r="C213" s="1" t="n">
        <v>45355</v>
      </c>
      <c r="D213" t="inlineStr">
        <is>
          <t>JÄMTLANDS LÄN</t>
        </is>
      </c>
      <c r="E213" t="inlineStr">
        <is>
          <t>BERG</t>
        </is>
      </c>
      <c r="G213" t="n">
        <v>1.6</v>
      </c>
      <c r="H213" t="n">
        <v>0</v>
      </c>
      <c r="I213" t="n">
        <v>0</v>
      </c>
      <c r="J213" t="n">
        <v>0</v>
      </c>
      <c r="K213" t="n">
        <v>0</v>
      </c>
      <c r="L213" t="n">
        <v>0</v>
      </c>
      <c r="M213" t="n">
        <v>0</v>
      </c>
      <c r="N213" t="n">
        <v>0</v>
      </c>
      <c r="O213" t="n">
        <v>0</v>
      </c>
      <c r="P213" t="n">
        <v>0</v>
      </c>
      <c r="Q213" t="n">
        <v>0</v>
      </c>
      <c r="R213" s="2" t="inlineStr"/>
    </row>
    <row r="214" ht="15" customHeight="1">
      <c r="A214" t="inlineStr">
        <is>
          <t>A 63144-2019</t>
        </is>
      </c>
      <c r="B214" s="1" t="n">
        <v>43791</v>
      </c>
      <c r="C214" s="1" t="n">
        <v>45355</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65893-2019</t>
        </is>
      </c>
      <c r="B215" s="1" t="n">
        <v>43805</v>
      </c>
      <c r="C215" s="1" t="n">
        <v>45355</v>
      </c>
      <c r="D215" t="inlineStr">
        <is>
          <t>JÄMTLANDS LÄN</t>
        </is>
      </c>
      <c r="E215" t="inlineStr">
        <is>
          <t>BERG</t>
        </is>
      </c>
      <c r="G215" t="n">
        <v>6.7</v>
      </c>
      <c r="H215" t="n">
        <v>0</v>
      </c>
      <c r="I215" t="n">
        <v>0</v>
      </c>
      <c r="J215" t="n">
        <v>0</v>
      </c>
      <c r="K215" t="n">
        <v>0</v>
      </c>
      <c r="L215" t="n">
        <v>0</v>
      </c>
      <c r="M215" t="n">
        <v>0</v>
      </c>
      <c r="N215" t="n">
        <v>0</v>
      </c>
      <c r="O215" t="n">
        <v>0</v>
      </c>
      <c r="P215" t="n">
        <v>0</v>
      </c>
      <c r="Q215" t="n">
        <v>0</v>
      </c>
      <c r="R215" s="2" t="inlineStr"/>
    </row>
    <row r="216" ht="15" customHeight="1">
      <c r="A216" t="inlineStr">
        <is>
          <t>A 66275-2019</t>
        </is>
      </c>
      <c r="B216" s="1" t="n">
        <v>43808</v>
      </c>
      <c r="C216" s="1" t="n">
        <v>45355</v>
      </c>
      <c r="D216" t="inlineStr">
        <is>
          <t>JÄMTLANDS LÄN</t>
        </is>
      </c>
      <c r="E216" t="inlineStr">
        <is>
          <t>BERG</t>
        </is>
      </c>
      <c r="G216" t="n">
        <v>4.5</v>
      </c>
      <c r="H216" t="n">
        <v>0</v>
      </c>
      <c r="I216" t="n">
        <v>0</v>
      </c>
      <c r="J216" t="n">
        <v>0</v>
      </c>
      <c r="K216" t="n">
        <v>0</v>
      </c>
      <c r="L216" t="n">
        <v>0</v>
      </c>
      <c r="M216" t="n">
        <v>0</v>
      </c>
      <c r="N216" t="n">
        <v>0</v>
      </c>
      <c r="O216" t="n">
        <v>0</v>
      </c>
      <c r="P216" t="n">
        <v>0</v>
      </c>
      <c r="Q216" t="n">
        <v>0</v>
      </c>
      <c r="R216" s="2" t="inlineStr"/>
    </row>
    <row r="217" ht="15" customHeight="1">
      <c r="A217" t="inlineStr">
        <is>
          <t>A 67556-2019</t>
        </is>
      </c>
      <c r="B217" s="1" t="n">
        <v>43808</v>
      </c>
      <c r="C217" s="1" t="n">
        <v>45355</v>
      </c>
      <c r="D217" t="inlineStr">
        <is>
          <t>JÄMTLANDS LÄN</t>
        </is>
      </c>
      <c r="E217" t="inlineStr">
        <is>
          <t>BERG</t>
        </is>
      </c>
      <c r="G217" t="n">
        <v>1</v>
      </c>
      <c r="H217" t="n">
        <v>0</v>
      </c>
      <c r="I217" t="n">
        <v>0</v>
      </c>
      <c r="J217" t="n">
        <v>0</v>
      </c>
      <c r="K217" t="n">
        <v>0</v>
      </c>
      <c r="L217" t="n">
        <v>0</v>
      </c>
      <c r="M217" t="n">
        <v>0</v>
      </c>
      <c r="N217" t="n">
        <v>0</v>
      </c>
      <c r="O217" t="n">
        <v>0</v>
      </c>
      <c r="P217" t="n">
        <v>0</v>
      </c>
      <c r="Q217" t="n">
        <v>0</v>
      </c>
      <c r="R217" s="2" t="inlineStr"/>
    </row>
    <row r="218" ht="15" customHeight="1">
      <c r="A218" t="inlineStr">
        <is>
          <t>A 67898-2019</t>
        </is>
      </c>
      <c r="B218" s="1" t="n">
        <v>43811</v>
      </c>
      <c r="C218" s="1" t="n">
        <v>45355</v>
      </c>
      <c r="D218" t="inlineStr">
        <is>
          <t>JÄMTLANDS LÄN</t>
        </is>
      </c>
      <c r="E218" t="inlineStr">
        <is>
          <t>BERG</t>
        </is>
      </c>
      <c r="G218" t="n">
        <v>3.2</v>
      </c>
      <c r="H218" t="n">
        <v>0</v>
      </c>
      <c r="I218" t="n">
        <v>0</v>
      </c>
      <c r="J218" t="n">
        <v>0</v>
      </c>
      <c r="K218" t="n">
        <v>0</v>
      </c>
      <c r="L218" t="n">
        <v>0</v>
      </c>
      <c r="M218" t="n">
        <v>0</v>
      </c>
      <c r="N218" t="n">
        <v>0</v>
      </c>
      <c r="O218" t="n">
        <v>0</v>
      </c>
      <c r="P218" t="n">
        <v>0</v>
      </c>
      <c r="Q218" t="n">
        <v>0</v>
      </c>
      <c r="R218" s="2" t="inlineStr"/>
    </row>
    <row r="219" ht="15" customHeight="1">
      <c r="A219" t="inlineStr">
        <is>
          <t>A 67225-2019</t>
        </is>
      </c>
      <c r="B219" s="1" t="n">
        <v>43811</v>
      </c>
      <c r="C219" s="1" t="n">
        <v>45355</v>
      </c>
      <c r="D219" t="inlineStr">
        <is>
          <t>JÄMTLANDS LÄN</t>
        </is>
      </c>
      <c r="E219" t="inlineStr">
        <is>
          <t>BERG</t>
        </is>
      </c>
      <c r="G219" t="n">
        <v>1.4</v>
      </c>
      <c r="H219" t="n">
        <v>0</v>
      </c>
      <c r="I219" t="n">
        <v>0</v>
      </c>
      <c r="J219" t="n">
        <v>0</v>
      </c>
      <c r="K219" t="n">
        <v>0</v>
      </c>
      <c r="L219" t="n">
        <v>0</v>
      </c>
      <c r="M219" t="n">
        <v>0</v>
      </c>
      <c r="N219" t="n">
        <v>0</v>
      </c>
      <c r="O219" t="n">
        <v>0</v>
      </c>
      <c r="P219" t="n">
        <v>0</v>
      </c>
      <c r="Q219" t="n">
        <v>0</v>
      </c>
      <c r="R219" s="2" t="inlineStr"/>
    </row>
    <row r="220" ht="15" customHeight="1">
      <c r="A220" t="inlineStr">
        <is>
          <t>A 67255-2019</t>
        </is>
      </c>
      <c r="B220" s="1" t="n">
        <v>43812</v>
      </c>
      <c r="C220" s="1" t="n">
        <v>45355</v>
      </c>
      <c r="D220" t="inlineStr">
        <is>
          <t>JÄMTLANDS LÄN</t>
        </is>
      </c>
      <c r="E220" t="inlineStr">
        <is>
          <t>BERG</t>
        </is>
      </c>
      <c r="G220" t="n">
        <v>14.7</v>
      </c>
      <c r="H220" t="n">
        <v>0</v>
      </c>
      <c r="I220" t="n">
        <v>0</v>
      </c>
      <c r="J220" t="n">
        <v>0</v>
      </c>
      <c r="K220" t="n">
        <v>0</v>
      </c>
      <c r="L220" t="n">
        <v>0</v>
      </c>
      <c r="M220" t="n">
        <v>0</v>
      </c>
      <c r="N220" t="n">
        <v>0</v>
      </c>
      <c r="O220" t="n">
        <v>0</v>
      </c>
      <c r="P220" t="n">
        <v>0</v>
      </c>
      <c r="Q220" t="n">
        <v>0</v>
      </c>
      <c r="R220" s="2" t="inlineStr"/>
    </row>
    <row r="221" ht="15" customHeight="1">
      <c r="A221" t="inlineStr">
        <is>
          <t>A 152-2020</t>
        </is>
      </c>
      <c r="B221" s="1" t="n">
        <v>43833</v>
      </c>
      <c r="C221" s="1" t="n">
        <v>45355</v>
      </c>
      <c r="D221" t="inlineStr">
        <is>
          <t>JÄMTLANDS LÄN</t>
        </is>
      </c>
      <c r="E221" t="inlineStr">
        <is>
          <t>BERG</t>
        </is>
      </c>
      <c r="G221" t="n">
        <v>1.9</v>
      </c>
      <c r="H221" t="n">
        <v>0</v>
      </c>
      <c r="I221" t="n">
        <v>0</v>
      </c>
      <c r="J221" t="n">
        <v>0</v>
      </c>
      <c r="K221" t="n">
        <v>0</v>
      </c>
      <c r="L221" t="n">
        <v>0</v>
      </c>
      <c r="M221" t="n">
        <v>0</v>
      </c>
      <c r="N221" t="n">
        <v>0</v>
      </c>
      <c r="O221" t="n">
        <v>0</v>
      </c>
      <c r="P221" t="n">
        <v>0</v>
      </c>
      <c r="Q221" t="n">
        <v>0</v>
      </c>
      <c r="R221" s="2" t="inlineStr"/>
    </row>
    <row r="222" ht="15" customHeight="1">
      <c r="A222" t="inlineStr">
        <is>
          <t>A 3389-2020</t>
        </is>
      </c>
      <c r="B222" s="1" t="n">
        <v>43844</v>
      </c>
      <c r="C222" s="1" t="n">
        <v>45355</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3321-2020</t>
        </is>
      </c>
      <c r="B223" s="1" t="n">
        <v>43844</v>
      </c>
      <c r="C223" s="1" t="n">
        <v>45355</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5556-2020</t>
        </is>
      </c>
      <c r="B224" s="1" t="n">
        <v>43860</v>
      </c>
      <c r="C224" s="1" t="n">
        <v>45355</v>
      </c>
      <c r="D224" t="inlineStr">
        <is>
          <t>JÄMTLANDS LÄN</t>
        </is>
      </c>
      <c r="E224" t="inlineStr">
        <is>
          <t>BERG</t>
        </is>
      </c>
      <c r="G224" t="n">
        <v>0.3</v>
      </c>
      <c r="H224" t="n">
        <v>0</v>
      </c>
      <c r="I224" t="n">
        <v>0</v>
      </c>
      <c r="J224" t="n">
        <v>0</v>
      </c>
      <c r="K224" t="n">
        <v>0</v>
      </c>
      <c r="L224" t="n">
        <v>0</v>
      </c>
      <c r="M224" t="n">
        <v>0</v>
      </c>
      <c r="N224" t="n">
        <v>0</v>
      </c>
      <c r="O224" t="n">
        <v>0</v>
      </c>
      <c r="P224" t="n">
        <v>0</v>
      </c>
      <c r="Q224" t="n">
        <v>0</v>
      </c>
      <c r="R224" s="2" t="inlineStr"/>
    </row>
    <row r="225" ht="15" customHeight="1">
      <c r="A225" t="inlineStr">
        <is>
          <t>A 6333-2020</t>
        </is>
      </c>
      <c r="B225" s="1" t="n">
        <v>43866</v>
      </c>
      <c r="C225" s="1" t="n">
        <v>45355</v>
      </c>
      <c r="D225" t="inlineStr">
        <is>
          <t>JÄMTLANDS LÄN</t>
        </is>
      </c>
      <c r="E225" t="inlineStr">
        <is>
          <t>BERG</t>
        </is>
      </c>
      <c r="G225" t="n">
        <v>7.8</v>
      </c>
      <c r="H225" t="n">
        <v>0</v>
      </c>
      <c r="I225" t="n">
        <v>0</v>
      </c>
      <c r="J225" t="n">
        <v>0</v>
      </c>
      <c r="K225" t="n">
        <v>0</v>
      </c>
      <c r="L225" t="n">
        <v>0</v>
      </c>
      <c r="M225" t="n">
        <v>0</v>
      </c>
      <c r="N225" t="n">
        <v>0</v>
      </c>
      <c r="O225" t="n">
        <v>0</v>
      </c>
      <c r="P225" t="n">
        <v>0</v>
      </c>
      <c r="Q225" t="n">
        <v>0</v>
      </c>
      <c r="R225" s="2" t="inlineStr"/>
    </row>
    <row r="226" ht="15" customHeight="1">
      <c r="A226" t="inlineStr">
        <is>
          <t>A 7228-2020</t>
        </is>
      </c>
      <c r="B226" s="1" t="n">
        <v>43871</v>
      </c>
      <c r="C226" s="1" t="n">
        <v>45355</v>
      </c>
      <c r="D226" t="inlineStr">
        <is>
          <t>JÄMTLANDS LÄN</t>
        </is>
      </c>
      <c r="E226" t="inlineStr">
        <is>
          <t>BERG</t>
        </is>
      </c>
      <c r="G226" t="n">
        <v>1</v>
      </c>
      <c r="H226" t="n">
        <v>0</v>
      </c>
      <c r="I226" t="n">
        <v>0</v>
      </c>
      <c r="J226" t="n">
        <v>0</v>
      </c>
      <c r="K226" t="n">
        <v>0</v>
      </c>
      <c r="L226" t="n">
        <v>0</v>
      </c>
      <c r="M226" t="n">
        <v>0</v>
      </c>
      <c r="N226" t="n">
        <v>0</v>
      </c>
      <c r="O226" t="n">
        <v>0</v>
      </c>
      <c r="P226" t="n">
        <v>0</v>
      </c>
      <c r="Q226" t="n">
        <v>0</v>
      </c>
      <c r="R226" s="2" t="inlineStr"/>
    </row>
    <row r="227" ht="15" customHeight="1">
      <c r="A227" t="inlineStr">
        <is>
          <t>A 8715-2020</t>
        </is>
      </c>
      <c r="B227" s="1" t="n">
        <v>43878</v>
      </c>
      <c r="C227" s="1" t="n">
        <v>45355</v>
      </c>
      <c r="D227" t="inlineStr">
        <is>
          <t>JÄMTLANDS LÄN</t>
        </is>
      </c>
      <c r="E227" t="inlineStr">
        <is>
          <t>BERG</t>
        </is>
      </c>
      <c r="G227" t="n">
        <v>11.1</v>
      </c>
      <c r="H227" t="n">
        <v>0</v>
      </c>
      <c r="I227" t="n">
        <v>0</v>
      </c>
      <c r="J227" t="n">
        <v>0</v>
      </c>
      <c r="K227" t="n">
        <v>0</v>
      </c>
      <c r="L227" t="n">
        <v>0</v>
      </c>
      <c r="M227" t="n">
        <v>0</v>
      </c>
      <c r="N227" t="n">
        <v>0</v>
      </c>
      <c r="O227" t="n">
        <v>0</v>
      </c>
      <c r="P227" t="n">
        <v>0</v>
      </c>
      <c r="Q227" t="n">
        <v>0</v>
      </c>
      <c r="R227" s="2" t="inlineStr"/>
    </row>
    <row r="228" ht="15" customHeight="1">
      <c r="A228" t="inlineStr">
        <is>
          <t>A 9627-2020</t>
        </is>
      </c>
      <c r="B228" s="1" t="n">
        <v>43881</v>
      </c>
      <c r="C228" s="1" t="n">
        <v>45355</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9670-2020</t>
        </is>
      </c>
      <c r="B229" s="1" t="n">
        <v>43881</v>
      </c>
      <c r="C229" s="1" t="n">
        <v>45355</v>
      </c>
      <c r="D229" t="inlineStr">
        <is>
          <t>JÄMTLANDS LÄN</t>
        </is>
      </c>
      <c r="E229" t="inlineStr">
        <is>
          <t>BERG</t>
        </is>
      </c>
      <c r="G229" t="n">
        <v>2</v>
      </c>
      <c r="H229" t="n">
        <v>0</v>
      </c>
      <c r="I229" t="n">
        <v>0</v>
      </c>
      <c r="J229" t="n">
        <v>0</v>
      </c>
      <c r="K229" t="n">
        <v>0</v>
      </c>
      <c r="L229" t="n">
        <v>0</v>
      </c>
      <c r="M229" t="n">
        <v>0</v>
      </c>
      <c r="N229" t="n">
        <v>0</v>
      </c>
      <c r="O229" t="n">
        <v>0</v>
      </c>
      <c r="P229" t="n">
        <v>0</v>
      </c>
      <c r="Q229" t="n">
        <v>0</v>
      </c>
      <c r="R229" s="2" t="inlineStr"/>
    </row>
    <row r="230" ht="15" customHeight="1">
      <c r="A230" t="inlineStr">
        <is>
          <t>A 10715-2020</t>
        </is>
      </c>
      <c r="B230" s="1" t="n">
        <v>43888</v>
      </c>
      <c r="C230" s="1" t="n">
        <v>45355</v>
      </c>
      <c r="D230" t="inlineStr">
        <is>
          <t>JÄMTLANDS LÄN</t>
        </is>
      </c>
      <c r="E230" t="inlineStr">
        <is>
          <t>BERG</t>
        </is>
      </c>
      <c r="G230" t="n">
        <v>6.4</v>
      </c>
      <c r="H230" t="n">
        <v>0</v>
      </c>
      <c r="I230" t="n">
        <v>0</v>
      </c>
      <c r="J230" t="n">
        <v>0</v>
      </c>
      <c r="K230" t="n">
        <v>0</v>
      </c>
      <c r="L230" t="n">
        <v>0</v>
      </c>
      <c r="M230" t="n">
        <v>0</v>
      </c>
      <c r="N230" t="n">
        <v>0</v>
      </c>
      <c r="O230" t="n">
        <v>0</v>
      </c>
      <c r="P230" t="n">
        <v>0</v>
      </c>
      <c r="Q230" t="n">
        <v>0</v>
      </c>
      <c r="R230" s="2" t="inlineStr"/>
    </row>
    <row r="231" ht="15" customHeight="1">
      <c r="A231" t="inlineStr">
        <is>
          <t>A 11788-2020</t>
        </is>
      </c>
      <c r="B231" s="1" t="n">
        <v>43894</v>
      </c>
      <c r="C231" s="1" t="n">
        <v>45355</v>
      </c>
      <c r="D231" t="inlineStr">
        <is>
          <t>JÄMTLANDS LÄN</t>
        </is>
      </c>
      <c r="E231" t="inlineStr">
        <is>
          <t>BERG</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11825-2020</t>
        </is>
      </c>
      <c r="B232" s="1" t="n">
        <v>43894</v>
      </c>
      <c r="C232" s="1" t="n">
        <v>45355</v>
      </c>
      <c r="D232" t="inlineStr">
        <is>
          <t>JÄMTLANDS LÄN</t>
        </is>
      </c>
      <c r="E232" t="inlineStr">
        <is>
          <t>BERG</t>
        </is>
      </c>
      <c r="F232" t="inlineStr">
        <is>
          <t>Holmen skog AB</t>
        </is>
      </c>
      <c r="G232" t="n">
        <v>17.7</v>
      </c>
      <c r="H232" t="n">
        <v>0</v>
      </c>
      <c r="I232" t="n">
        <v>0</v>
      </c>
      <c r="J232" t="n">
        <v>0</v>
      </c>
      <c r="K232" t="n">
        <v>0</v>
      </c>
      <c r="L232" t="n">
        <v>0</v>
      </c>
      <c r="M232" t="n">
        <v>0</v>
      </c>
      <c r="N232" t="n">
        <v>0</v>
      </c>
      <c r="O232" t="n">
        <v>0</v>
      </c>
      <c r="P232" t="n">
        <v>0</v>
      </c>
      <c r="Q232" t="n">
        <v>0</v>
      </c>
      <c r="R232" s="2" t="inlineStr"/>
    </row>
    <row r="233" ht="15" customHeight="1">
      <c r="A233" t="inlineStr">
        <is>
          <t>A 11890-2020</t>
        </is>
      </c>
      <c r="B233" s="1" t="n">
        <v>43894</v>
      </c>
      <c r="C233" s="1" t="n">
        <v>45355</v>
      </c>
      <c r="D233" t="inlineStr">
        <is>
          <t>JÄMTLANDS LÄN</t>
        </is>
      </c>
      <c r="E233" t="inlineStr">
        <is>
          <t>BERG</t>
        </is>
      </c>
      <c r="F233" t="inlineStr">
        <is>
          <t>Holmen skog AB</t>
        </is>
      </c>
      <c r="G233" t="n">
        <v>15.3</v>
      </c>
      <c r="H233" t="n">
        <v>0</v>
      </c>
      <c r="I233" t="n">
        <v>0</v>
      </c>
      <c r="J233" t="n">
        <v>0</v>
      </c>
      <c r="K233" t="n">
        <v>0</v>
      </c>
      <c r="L233" t="n">
        <v>0</v>
      </c>
      <c r="M233" t="n">
        <v>0</v>
      </c>
      <c r="N233" t="n">
        <v>0</v>
      </c>
      <c r="O233" t="n">
        <v>0</v>
      </c>
      <c r="P233" t="n">
        <v>0</v>
      </c>
      <c r="Q233" t="n">
        <v>0</v>
      </c>
      <c r="R233" s="2" t="inlineStr"/>
    </row>
    <row r="234" ht="15" customHeight="1">
      <c r="A234" t="inlineStr">
        <is>
          <t>A 11785-2020</t>
        </is>
      </c>
      <c r="B234" s="1" t="n">
        <v>43894</v>
      </c>
      <c r="C234" s="1" t="n">
        <v>45355</v>
      </c>
      <c r="D234" t="inlineStr">
        <is>
          <t>JÄMTLANDS LÄN</t>
        </is>
      </c>
      <c r="E234" t="inlineStr">
        <is>
          <t>BERG</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14854-2020</t>
        </is>
      </c>
      <c r="B235" s="1" t="n">
        <v>43909</v>
      </c>
      <c r="C235" s="1" t="n">
        <v>45355</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18047-2020</t>
        </is>
      </c>
      <c r="B236" s="1" t="n">
        <v>43927</v>
      </c>
      <c r="C236" s="1" t="n">
        <v>45355</v>
      </c>
      <c r="D236" t="inlineStr">
        <is>
          <t>JÄMTLANDS LÄN</t>
        </is>
      </c>
      <c r="E236" t="inlineStr">
        <is>
          <t>BERG</t>
        </is>
      </c>
      <c r="G236" t="n">
        <v>15.8</v>
      </c>
      <c r="H236" t="n">
        <v>0</v>
      </c>
      <c r="I236" t="n">
        <v>0</v>
      </c>
      <c r="J236" t="n">
        <v>0</v>
      </c>
      <c r="K236" t="n">
        <v>0</v>
      </c>
      <c r="L236" t="n">
        <v>0</v>
      </c>
      <c r="M236" t="n">
        <v>0</v>
      </c>
      <c r="N236" t="n">
        <v>0</v>
      </c>
      <c r="O236" t="n">
        <v>0</v>
      </c>
      <c r="P236" t="n">
        <v>0</v>
      </c>
      <c r="Q236" t="n">
        <v>0</v>
      </c>
      <c r="R236" s="2" t="inlineStr"/>
    </row>
    <row r="237" ht="15" customHeight="1">
      <c r="A237" t="inlineStr">
        <is>
          <t>A 18613-2020</t>
        </is>
      </c>
      <c r="B237" s="1" t="n">
        <v>43929</v>
      </c>
      <c r="C237" s="1" t="n">
        <v>45355</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19531-2020</t>
        </is>
      </c>
      <c r="B238" s="1" t="n">
        <v>43940</v>
      </c>
      <c r="C238" s="1" t="n">
        <v>45355</v>
      </c>
      <c r="D238" t="inlineStr">
        <is>
          <t>JÄMTLANDS LÄN</t>
        </is>
      </c>
      <c r="E238" t="inlineStr">
        <is>
          <t>BERG</t>
        </is>
      </c>
      <c r="G238" t="n">
        <v>4.2</v>
      </c>
      <c r="H238" t="n">
        <v>0</v>
      </c>
      <c r="I238" t="n">
        <v>0</v>
      </c>
      <c r="J238" t="n">
        <v>0</v>
      </c>
      <c r="K238" t="n">
        <v>0</v>
      </c>
      <c r="L238" t="n">
        <v>0</v>
      </c>
      <c r="M238" t="n">
        <v>0</v>
      </c>
      <c r="N238" t="n">
        <v>0</v>
      </c>
      <c r="O238" t="n">
        <v>0</v>
      </c>
      <c r="P238" t="n">
        <v>0</v>
      </c>
      <c r="Q238" t="n">
        <v>0</v>
      </c>
      <c r="R238" s="2" t="inlineStr"/>
    </row>
    <row r="239" ht="15" customHeight="1">
      <c r="A239" t="inlineStr">
        <is>
          <t>A 19532-2020</t>
        </is>
      </c>
      <c r="B239" s="1" t="n">
        <v>43941</v>
      </c>
      <c r="C239" s="1" t="n">
        <v>45355</v>
      </c>
      <c r="D239" t="inlineStr">
        <is>
          <t>JÄMTLANDS LÄN</t>
        </is>
      </c>
      <c r="E239" t="inlineStr">
        <is>
          <t>BERG</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20745-2020</t>
        </is>
      </c>
      <c r="B240" s="1" t="n">
        <v>43949</v>
      </c>
      <c r="C240" s="1" t="n">
        <v>45355</v>
      </c>
      <c r="D240" t="inlineStr">
        <is>
          <t>JÄMTLANDS LÄN</t>
        </is>
      </c>
      <c r="E240" t="inlineStr">
        <is>
          <t>BERG</t>
        </is>
      </c>
      <c r="G240" t="n">
        <v>9.1</v>
      </c>
      <c r="H240" t="n">
        <v>0</v>
      </c>
      <c r="I240" t="n">
        <v>0</v>
      </c>
      <c r="J240" t="n">
        <v>0</v>
      </c>
      <c r="K240" t="n">
        <v>0</v>
      </c>
      <c r="L240" t="n">
        <v>0</v>
      </c>
      <c r="M240" t="n">
        <v>0</v>
      </c>
      <c r="N240" t="n">
        <v>0</v>
      </c>
      <c r="O240" t="n">
        <v>0</v>
      </c>
      <c r="P240" t="n">
        <v>0</v>
      </c>
      <c r="Q240" t="n">
        <v>0</v>
      </c>
      <c r="R240" s="2" t="inlineStr"/>
    </row>
    <row r="241" ht="15" customHeight="1">
      <c r="A241" t="inlineStr">
        <is>
          <t>A 23490-2020</t>
        </is>
      </c>
      <c r="B241" s="1" t="n">
        <v>43966</v>
      </c>
      <c r="C241" s="1" t="n">
        <v>45355</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24292-2020</t>
        </is>
      </c>
      <c r="B242" s="1" t="n">
        <v>43976</v>
      </c>
      <c r="C242" s="1" t="n">
        <v>45355</v>
      </c>
      <c r="D242" t="inlineStr">
        <is>
          <t>JÄMTLANDS LÄN</t>
        </is>
      </c>
      <c r="E242" t="inlineStr">
        <is>
          <t>BERG</t>
        </is>
      </c>
      <c r="F242" t="inlineStr">
        <is>
          <t>Kyrkan</t>
        </is>
      </c>
      <c r="G242" t="n">
        <v>11</v>
      </c>
      <c r="H242" t="n">
        <v>0</v>
      </c>
      <c r="I242" t="n">
        <v>0</v>
      </c>
      <c r="J242" t="n">
        <v>0</v>
      </c>
      <c r="K242" t="n">
        <v>0</v>
      </c>
      <c r="L242" t="n">
        <v>0</v>
      </c>
      <c r="M242" t="n">
        <v>0</v>
      </c>
      <c r="N242" t="n">
        <v>0</v>
      </c>
      <c r="O242" t="n">
        <v>0</v>
      </c>
      <c r="P242" t="n">
        <v>0</v>
      </c>
      <c r="Q242" t="n">
        <v>0</v>
      </c>
      <c r="R242" s="2" t="inlineStr"/>
    </row>
    <row r="243" ht="15" customHeight="1">
      <c r="A243" t="inlineStr">
        <is>
          <t>A 24932-2020</t>
        </is>
      </c>
      <c r="B243" s="1" t="n">
        <v>43979</v>
      </c>
      <c r="C243" s="1" t="n">
        <v>45355</v>
      </c>
      <c r="D243" t="inlineStr">
        <is>
          <t>JÄMTLANDS LÄN</t>
        </is>
      </c>
      <c r="E243" t="inlineStr">
        <is>
          <t>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25017-2020</t>
        </is>
      </c>
      <c r="B244" s="1" t="n">
        <v>43979</v>
      </c>
      <c r="C244" s="1" t="n">
        <v>45355</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25978-2020</t>
        </is>
      </c>
      <c r="B245" s="1" t="n">
        <v>43985</v>
      </c>
      <c r="C245" s="1" t="n">
        <v>45355</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25993-2020</t>
        </is>
      </c>
      <c r="B246" s="1" t="n">
        <v>43985</v>
      </c>
      <c r="C246" s="1" t="n">
        <v>45355</v>
      </c>
      <c r="D246" t="inlineStr">
        <is>
          <t>JÄMTLANDS LÄN</t>
        </is>
      </c>
      <c r="E246" t="inlineStr">
        <is>
          <t>BERG</t>
        </is>
      </c>
      <c r="G246" t="n">
        <v>0.3</v>
      </c>
      <c r="H246" t="n">
        <v>0</v>
      </c>
      <c r="I246" t="n">
        <v>0</v>
      </c>
      <c r="J246" t="n">
        <v>0</v>
      </c>
      <c r="K246" t="n">
        <v>0</v>
      </c>
      <c r="L246" t="n">
        <v>0</v>
      </c>
      <c r="M246" t="n">
        <v>0</v>
      </c>
      <c r="N246" t="n">
        <v>0</v>
      </c>
      <c r="O246" t="n">
        <v>0</v>
      </c>
      <c r="P246" t="n">
        <v>0</v>
      </c>
      <c r="Q246" t="n">
        <v>0</v>
      </c>
      <c r="R246" s="2" t="inlineStr"/>
    </row>
    <row r="247" ht="15" customHeight="1">
      <c r="A247" t="inlineStr">
        <is>
          <t>A 25984-2020</t>
        </is>
      </c>
      <c r="B247" s="1" t="n">
        <v>43985</v>
      </c>
      <c r="C247" s="1" t="n">
        <v>45355</v>
      </c>
      <c r="D247" t="inlineStr">
        <is>
          <t>JÄMTLANDS LÄN</t>
        </is>
      </c>
      <c r="E247" t="inlineStr">
        <is>
          <t>BERG</t>
        </is>
      </c>
      <c r="G247" t="n">
        <v>3.6</v>
      </c>
      <c r="H247" t="n">
        <v>0</v>
      </c>
      <c r="I247" t="n">
        <v>0</v>
      </c>
      <c r="J247" t="n">
        <v>0</v>
      </c>
      <c r="K247" t="n">
        <v>0</v>
      </c>
      <c r="L247" t="n">
        <v>0</v>
      </c>
      <c r="M247" t="n">
        <v>0</v>
      </c>
      <c r="N247" t="n">
        <v>0</v>
      </c>
      <c r="O247" t="n">
        <v>0</v>
      </c>
      <c r="P247" t="n">
        <v>0</v>
      </c>
      <c r="Q247" t="n">
        <v>0</v>
      </c>
      <c r="R247" s="2" t="inlineStr"/>
    </row>
    <row r="248" ht="15" customHeight="1">
      <c r="A248" t="inlineStr">
        <is>
          <t>A 26175-2020</t>
        </is>
      </c>
      <c r="B248" s="1" t="n">
        <v>43985</v>
      </c>
      <c r="C248" s="1" t="n">
        <v>45355</v>
      </c>
      <c r="D248" t="inlineStr">
        <is>
          <t>JÄMTLANDS LÄN</t>
        </is>
      </c>
      <c r="E248" t="inlineStr">
        <is>
          <t>BERG</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25975-2020</t>
        </is>
      </c>
      <c r="B249" s="1" t="n">
        <v>43985</v>
      </c>
      <c r="C249" s="1" t="n">
        <v>45355</v>
      </c>
      <c r="D249" t="inlineStr">
        <is>
          <t>JÄMTLANDS LÄN</t>
        </is>
      </c>
      <c r="E249" t="inlineStr">
        <is>
          <t>BERG</t>
        </is>
      </c>
      <c r="G249" t="n">
        <v>5.4</v>
      </c>
      <c r="H249" t="n">
        <v>0</v>
      </c>
      <c r="I249" t="n">
        <v>0</v>
      </c>
      <c r="J249" t="n">
        <v>0</v>
      </c>
      <c r="K249" t="n">
        <v>0</v>
      </c>
      <c r="L249" t="n">
        <v>0</v>
      </c>
      <c r="M249" t="n">
        <v>0</v>
      </c>
      <c r="N249" t="n">
        <v>0</v>
      </c>
      <c r="O249" t="n">
        <v>0</v>
      </c>
      <c r="P249" t="n">
        <v>0</v>
      </c>
      <c r="Q249" t="n">
        <v>0</v>
      </c>
      <c r="R249" s="2" t="inlineStr"/>
    </row>
    <row r="250" ht="15" customHeight="1">
      <c r="A250" t="inlineStr">
        <is>
          <t>A 28767-2020</t>
        </is>
      </c>
      <c r="B250" s="1" t="n">
        <v>44000</v>
      </c>
      <c r="C250" s="1" t="n">
        <v>45355</v>
      </c>
      <c r="D250" t="inlineStr">
        <is>
          <t>JÄMTLANDS LÄN</t>
        </is>
      </c>
      <c r="E250" t="inlineStr">
        <is>
          <t>BERG</t>
        </is>
      </c>
      <c r="F250" t="inlineStr">
        <is>
          <t>SCA</t>
        </is>
      </c>
      <c r="G250" t="n">
        <v>4.6</v>
      </c>
      <c r="H250" t="n">
        <v>0</v>
      </c>
      <c r="I250" t="n">
        <v>0</v>
      </c>
      <c r="J250" t="n">
        <v>0</v>
      </c>
      <c r="K250" t="n">
        <v>0</v>
      </c>
      <c r="L250" t="n">
        <v>0</v>
      </c>
      <c r="M250" t="n">
        <v>0</v>
      </c>
      <c r="N250" t="n">
        <v>0</v>
      </c>
      <c r="O250" t="n">
        <v>0</v>
      </c>
      <c r="P250" t="n">
        <v>0</v>
      </c>
      <c r="Q250" t="n">
        <v>0</v>
      </c>
      <c r="R250" s="2" t="inlineStr"/>
    </row>
    <row r="251" ht="15" customHeight="1">
      <c r="A251" t="inlineStr">
        <is>
          <t>A 28961-2020</t>
        </is>
      </c>
      <c r="B251" s="1" t="n">
        <v>44000</v>
      </c>
      <c r="C251" s="1" t="n">
        <v>45355</v>
      </c>
      <c r="D251" t="inlineStr">
        <is>
          <t>JÄMTLANDS LÄN</t>
        </is>
      </c>
      <c r="E251" t="inlineStr">
        <is>
          <t>BERG</t>
        </is>
      </c>
      <c r="G251" t="n">
        <v>7.6</v>
      </c>
      <c r="H251" t="n">
        <v>0</v>
      </c>
      <c r="I251" t="n">
        <v>0</v>
      </c>
      <c r="J251" t="n">
        <v>0</v>
      </c>
      <c r="K251" t="n">
        <v>0</v>
      </c>
      <c r="L251" t="n">
        <v>0</v>
      </c>
      <c r="M251" t="n">
        <v>0</v>
      </c>
      <c r="N251" t="n">
        <v>0</v>
      </c>
      <c r="O251" t="n">
        <v>0</v>
      </c>
      <c r="P251" t="n">
        <v>0</v>
      </c>
      <c r="Q251" t="n">
        <v>0</v>
      </c>
      <c r="R251" s="2" t="inlineStr"/>
    </row>
    <row r="252" ht="15" customHeight="1">
      <c r="A252" t="inlineStr">
        <is>
          <t>A 29004-2020</t>
        </is>
      </c>
      <c r="B252" s="1" t="n">
        <v>44000</v>
      </c>
      <c r="C252" s="1" t="n">
        <v>45355</v>
      </c>
      <c r="D252" t="inlineStr">
        <is>
          <t>JÄMTLANDS LÄN</t>
        </is>
      </c>
      <c r="E252" t="inlineStr">
        <is>
          <t>BERG</t>
        </is>
      </c>
      <c r="G252" t="n">
        <v>6.4</v>
      </c>
      <c r="H252" t="n">
        <v>0</v>
      </c>
      <c r="I252" t="n">
        <v>0</v>
      </c>
      <c r="J252" t="n">
        <v>0</v>
      </c>
      <c r="K252" t="n">
        <v>0</v>
      </c>
      <c r="L252" t="n">
        <v>0</v>
      </c>
      <c r="M252" t="n">
        <v>0</v>
      </c>
      <c r="N252" t="n">
        <v>0</v>
      </c>
      <c r="O252" t="n">
        <v>0</v>
      </c>
      <c r="P252" t="n">
        <v>0</v>
      </c>
      <c r="Q252" t="n">
        <v>0</v>
      </c>
      <c r="R252" s="2" t="inlineStr"/>
    </row>
    <row r="253" ht="15" customHeight="1">
      <c r="A253" t="inlineStr">
        <is>
          <t>A 29052-2020</t>
        </is>
      </c>
      <c r="B253" s="1" t="n">
        <v>44000</v>
      </c>
      <c r="C253" s="1" t="n">
        <v>45355</v>
      </c>
      <c r="D253" t="inlineStr">
        <is>
          <t>JÄMTLANDS LÄN</t>
        </is>
      </c>
      <c r="E253" t="inlineStr">
        <is>
          <t>BERG</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29788-2020</t>
        </is>
      </c>
      <c r="B254" s="1" t="n">
        <v>44005</v>
      </c>
      <c r="C254" s="1" t="n">
        <v>45355</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30477-2020</t>
        </is>
      </c>
      <c r="B255" s="1" t="n">
        <v>44007</v>
      </c>
      <c r="C255" s="1" t="n">
        <v>45355</v>
      </c>
      <c r="D255" t="inlineStr">
        <is>
          <t>JÄMTLANDS LÄN</t>
        </is>
      </c>
      <c r="E255" t="inlineStr">
        <is>
          <t>BERG</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31970-2020</t>
        </is>
      </c>
      <c r="B256" s="1" t="n">
        <v>44015</v>
      </c>
      <c r="C256" s="1" t="n">
        <v>45355</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32744-2020</t>
        </is>
      </c>
      <c r="B257" s="1" t="n">
        <v>44019</v>
      </c>
      <c r="C257" s="1" t="n">
        <v>45355</v>
      </c>
      <c r="D257" t="inlineStr">
        <is>
          <t>JÄMTLANDS LÄN</t>
        </is>
      </c>
      <c r="E257" t="inlineStr">
        <is>
          <t>BERG</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33885-2020</t>
        </is>
      </c>
      <c r="B258" s="1" t="n">
        <v>44027</v>
      </c>
      <c r="C258" s="1" t="n">
        <v>45355</v>
      </c>
      <c r="D258" t="inlineStr">
        <is>
          <t>JÄMTLANDS LÄN</t>
        </is>
      </c>
      <c r="E258" t="inlineStr">
        <is>
          <t>BERG</t>
        </is>
      </c>
      <c r="G258" t="n">
        <v>7.2</v>
      </c>
      <c r="H258" t="n">
        <v>0</v>
      </c>
      <c r="I258" t="n">
        <v>0</v>
      </c>
      <c r="J258" t="n">
        <v>0</v>
      </c>
      <c r="K258" t="n">
        <v>0</v>
      </c>
      <c r="L258" t="n">
        <v>0</v>
      </c>
      <c r="M258" t="n">
        <v>0</v>
      </c>
      <c r="N258" t="n">
        <v>0</v>
      </c>
      <c r="O258" t="n">
        <v>0</v>
      </c>
      <c r="P258" t="n">
        <v>0</v>
      </c>
      <c r="Q258" t="n">
        <v>0</v>
      </c>
      <c r="R258" s="2" t="inlineStr"/>
    </row>
    <row r="259" ht="15" customHeight="1">
      <c r="A259" t="inlineStr">
        <is>
          <t>A 34584-2020</t>
        </is>
      </c>
      <c r="B259" s="1" t="n">
        <v>44033</v>
      </c>
      <c r="C259" s="1" t="n">
        <v>45355</v>
      </c>
      <c r="D259" t="inlineStr">
        <is>
          <t>JÄMTLANDS LÄN</t>
        </is>
      </c>
      <c r="E259" t="inlineStr">
        <is>
          <t>BERG</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34581-2020</t>
        </is>
      </c>
      <c r="B260" s="1" t="n">
        <v>44033</v>
      </c>
      <c r="C260" s="1" t="n">
        <v>45355</v>
      </c>
      <c r="D260" t="inlineStr">
        <is>
          <t>JÄMTLANDS LÄN</t>
        </is>
      </c>
      <c r="E260" t="inlineStr">
        <is>
          <t>BERG</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34738-2020</t>
        </is>
      </c>
      <c r="B261" s="1" t="n">
        <v>44035</v>
      </c>
      <c r="C261" s="1" t="n">
        <v>45355</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34804-2020</t>
        </is>
      </c>
      <c r="B262" s="1" t="n">
        <v>44036</v>
      </c>
      <c r="C262" s="1" t="n">
        <v>45355</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35620-2020</t>
        </is>
      </c>
      <c r="B263" s="1" t="n">
        <v>44045</v>
      </c>
      <c r="C263" s="1" t="n">
        <v>45355</v>
      </c>
      <c r="D263" t="inlineStr">
        <is>
          <t>JÄMTLANDS LÄN</t>
        </is>
      </c>
      <c r="E263" t="inlineStr">
        <is>
          <t>BERG</t>
        </is>
      </c>
      <c r="F263" t="inlineStr">
        <is>
          <t>SCA</t>
        </is>
      </c>
      <c r="G263" t="n">
        <v>5</v>
      </c>
      <c r="H263" t="n">
        <v>0</v>
      </c>
      <c r="I263" t="n">
        <v>0</v>
      </c>
      <c r="J263" t="n">
        <v>0</v>
      </c>
      <c r="K263" t="n">
        <v>0</v>
      </c>
      <c r="L263" t="n">
        <v>0</v>
      </c>
      <c r="M263" t="n">
        <v>0</v>
      </c>
      <c r="N263" t="n">
        <v>0</v>
      </c>
      <c r="O263" t="n">
        <v>0</v>
      </c>
      <c r="P263" t="n">
        <v>0</v>
      </c>
      <c r="Q263" t="n">
        <v>0</v>
      </c>
      <c r="R263" s="2" t="inlineStr"/>
    </row>
    <row r="264" ht="15" customHeight="1">
      <c r="A264" t="inlineStr">
        <is>
          <t>A 38077-2020</t>
        </is>
      </c>
      <c r="B264" s="1" t="n">
        <v>44057</v>
      </c>
      <c r="C264" s="1" t="n">
        <v>45355</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39137-2020</t>
        </is>
      </c>
      <c r="B265" s="1" t="n">
        <v>44062</v>
      </c>
      <c r="C265" s="1" t="n">
        <v>45355</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39220-2020</t>
        </is>
      </c>
      <c r="B266" s="1" t="n">
        <v>44063</v>
      </c>
      <c r="C266" s="1" t="n">
        <v>45355</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39200-2020</t>
        </is>
      </c>
      <c r="B267" s="1" t="n">
        <v>44063</v>
      </c>
      <c r="C267" s="1" t="n">
        <v>45355</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39212-2020</t>
        </is>
      </c>
      <c r="B268" s="1" t="n">
        <v>44063</v>
      </c>
      <c r="C268" s="1" t="n">
        <v>45355</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39228-2020</t>
        </is>
      </c>
      <c r="B269" s="1" t="n">
        <v>44063</v>
      </c>
      <c r="C269" s="1" t="n">
        <v>45355</v>
      </c>
      <c r="D269" t="inlineStr">
        <is>
          <t>JÄMTLANDS LÄN</t>
        </is>
      </c>
      <c r="E269" t="inlineStr">
        <is>
          <t>BERG</t>
        </is>
      </c>
      <c r="G269" t="n">
        <v>3.6</v>
      </c>
      <c r="H269" t="n">
        <v>0</v>
      </c>
      <c r="I269" t="n">
        <v>0</v>
      </c>
      <c r="J269" t="n">
        <v>0</v>
      </c>
      <c r="K269" t="n">
        <v>0</v>
      </c>
      <c r="L269" t="n">
        <v>0</v>
      </c>
      <c r="M269" t="n">
        <v>0</v>
      </c>
      <c r="N269" t="n">
        <v>0</v>
      </c>
      <c r="O269" t="n">
        <v>0</v>
      </c>
      <c r="P269" t="n">
        <v>0</v>
      </c>
      <c r="Q269" t="n">
        <v>0</v>
      </c>
      <c r="R269" s="2" t="inlineStr"/>
    </row>
    <row r="270" ht="15" customHeight="1">
      <c r="A270" t="inlineStr">
        <is>
          <t>A 39205-2020</t>
        </is>
      </c>
      <c r="B270" s="1" t="n">
        <v>44063</v>
      </c>
      <c r="C270" s="1" t="n">
        <v>45355</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40333-2020</t>
        </is>
      </c>
      <c r="B271" s="1" t="n">
        <v>44068</v>
      </c>
      <c r="C271" s="1" t="n">
        <v>45355</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44003-2020</t>
        </is>
      </c>
      <c r="B272" s="1" t="n">
        <v>44083</v>
      </c>
      <c r="C272" s="1" t="n">
        <v>45355</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44422-2020</t>
        </is>
      </c>
      <c r="B273" s="1" t="n">
        <v>44084</v>
      </c>
      <c r="C273" s="1" t="n">
        <v>45355</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46657-2020</t>
        </is>
      </c>
      <c r="B274" s="1" t="n">
        <v>44095</v>
      </c>
      <c r="C274" s="1" t="n">
        <v>45355</v>
      </c>
      <c r="D274" t="inlineStr">
        <is>
          <t>JÄMTLANDS LÄN</t>
        </is>
      </c>
      <c r="E274" t="inlineStr">
        <is>
          <t>BERG</t>
        </is>
      </c>
      <c r="F274" t="inlineStr">
        <is>
          <t>Kommuner</t>
        </is>
      </c>
      <c r="G274" t="n">
        <v>3.8</v>
      </c>
      <c r="H274" t="n">
        <v>0</v>
      </c>
      <c r="I274" t="n">
        <v>0</v>
      </c>
      <c r="J274" t="n">
        <v>0</v>
      </c>
      <c r="K274" t="n">
        <v>0</v>
      </c>
      <c r="L274" t="n">
        <v>0</v>
      </c>
      <c r="M274" t="n">
        <v>0</v>
      </c>
      <c r="N274" t="n">
        <v>0</v>
      </c>
      <c r="O274" t="n">
        <v>0</v>
      </c>
      <c r="P274" t="n">
        <v>0</v>
      </c>
      <c r="Q274" t="n">
        <v>0</v>
      </c>
      <c r="R274" s="2" t="inlineStr"/>
    </row>
    <row r="275" ht="15" customHeight="1">
      <c r="A275" t="inlineStr">
        <is>
          <t>A 46616-2020</t>
        </is>
      </c>
      <c r="B275" s="1" t="n">
        <v>44095</v>
      </c>
      <c r="C275" s="1" t="n">
        <v>45355</v>
      </c>
      <c r="D275" t="inlineStr">
        <is>
          <t>JÄMTLANDS LÄN</t>
        </is>
      </c>
      <c r="E275" t="inlineStr">
        <is>
          <t>BERG</t>
        </is>
      </c>
      <c r="F275" t="inlineStr">
        <is>
          <t>Kommuner</t>
        </is>
      </c>
      <c r="G275" t="n">
        <v>42.8</v>
      </c>
      <c r="H275" t="n">
        <v>0</v>
      </c>
      <c r="I275" t="n">
        <v>0</v>
      </c>
      <c r="J275" t="n">
        <v>0</v>
      </c>
      <c r="K275" t="n">
        <v>0</v>
      </c>
      <c r="L275" t="n">
        <v>0</v>
      </c>
      <c r="M275" t="n">
        <v>0</v>
      </c>
      <c r="N275" t="n">
        <v>0</v>
      </c>
      <c r="O275" t="n">
        <v>0</v>
      </c>
      <c r="P275" t="n">
        <v>0</v>
      </c>
      <c r="Q275" t="n">
        <v>0</v>
      </c>
      <c r="R275" s="2" t="inlineStr"/>
    </row>
    <row r="276" ht="15" customHeight="1">
      <c r="A276" t="inlineStr">
        <is>
          <t>A 46635-2020</t>
        </is>
      </c>
      <c r="B276" s="1" t="n">
        <v>44095</v>
      </c>
      <c r="C276" s="1" t="n">
        <v>45355</v>
      </c>
      <c r="D276" t="inlineStr">
        <is>
          <t>JÄMTLANDS LÄN</t>
        </is>
      </c>
      <c r="E276" t="inlineStr">
        <is>
          <t>BERG</t>
        </is>
      </c>
      <c r="F276" t="inlineStr">
        <is>
          <t>Kommuner</t>
        </is>
      </c>
      <c r="G276" t="n">
        <v>14.5</v>
      </c>
      <c r="H276" t="n">
        <v>0</v>
      </c>
      <c r="I276" t="n">
        <v>0</v>
      </c>
      <c r="J276" t="n">
        <v>0</v>
      </c>
      <c r="K276" t="n">
        <v>0</v>
      </c>
      <c r="L276" t="n">
        <v>0</v>
      </c>
      <c r="M276" t="n">
        <v>0</v>
      </c>
      <c r="N276" t="n">
        <v>0</v>
      </c>
      <c r="O276" t="n">
        <v>0</v>
      </c>
      <c r="P276" t="n">
        <v>0</v>
      </c>
      <c r="Q276" t="n">
        <v>0</v>
      </c>
      <c r="R276" s="2" t="inlineStr"/>
    </row>
    <row r="277" ht="15" customHeight="1">
      <c r="A277" t="inlineStr">
        <is>
          <t>A 46660-2020</t>
        </is>
      </c>
      <c r="B277" s="1" t="n">
        <v>44095</v>
      </c>
      <c r="C277" s="1" t="n">
        <v>45355</v>
      </c>
      <c r="D277" t="inlineStr">
        <is>
          <t>JÄMTLANDS LÄN</t>
        </is>
      </c>
      <c r="E277" t="inlineStr">
        <is>
          <t>BERG</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48801-2020</t>
        </is>
      </c>
      <c r="B278" s="1" t="n">
        <v>44103</v>
      </c>
      <c r="C278" s="1" t="n">
        <v>45355</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45355</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53958-2020</t>
        </is>
      </c>
      <c r="B280" s="1" t="n">
        <v>44123</v>
      </c>
      <c r="C280" s="1" t="n">
        <v>45355</v>
      </c>
      <c r="D280" t="inlineStr">
        <is>
          <t>JÄMTLANDS LÄN</t>
        </is>
      </c>
      <c r="E280" t="inlineStr">
        <is>
          <t>BERG</t>
        </is>
      </c>
      <c r="G280" t="n">
        <v>27.9</v>
      </c>
      <c r="H280" t="n">
        <v>0</v>
      </c>
      <c r="I280" t="n">
        <v>0</v>
      </c>
      <c r="J280" t="n">
        <v>0</v>
      </c>
      <c r="K280" t="n">
        <v>0</v>
      </c>
      <c r="L280" t="n">
        <v>0</v>
      </c>
      <c r="M280" t="n">
        <v>0</v>
      </c>
      <c r="N280" t="n">
        <v>0</v>
      </c>
      <c r="O280" t="n">
        <v>0</v>
      </c>
      <c r="P280" t="n">
        <v>0</v>
      </c>
      <c r="Q280" t="n">
        <v>0</v>
      </c>
      <c r="R280" s="2" t="inlineStr"/>
    </row>
    <row r="281" ht="15" customHeight="1">
      <c r="A281" t="inlineStr">
        <is>
          <t>A 53950-2020</t>
        </is>
      </c>
      <c r="B281" s="1" t="n">
        <v>44123</v>
      </c>
      <c r="C281" s="1" t="n">
        <v>45355</v>
      </c>
      <c r="D281" t="inlineStr">
        <is>
          <t>JÄMTLANDS LÄN</t>
        </is>
      </c>
      <c r="E281" t="inlineStr">
        <is>
          <t>BERG</t>
        </is>
      </c>
      <c r="G281" t="n">
        <v>11.8</v>
      </c>
      <c r="H281" t="n">
        <v>0</v>
      </c>
      <c r="I281" t="n">
        <v>0</v>
      </c>
      <c r="J281" t="n">
        <v>0</v>
      </c>
      <c r="K281" t="n">
        <v>0</v>
      </c>
      <c r="L281" t="n">
        <v>0</v>
      </c>
      <c r="M281" t="n">
        <v>0</v>
      </c>
      <c r="N281" t="n">
        <v>0</v>
      </c>
      <c r="O281" t="n">
        <v>0</v>
      </c>
      <c r="P281" t="n">
        <v>0</v>
      </c>
      <c r="Q281" t="n">
        <v>0</v>
      </c>
      <c r="R281" s="2" t="inlineStr"/>
    </row>
    <row r="282" ht="15" customHeight="1">
      <c r="A282" t="inlineStr">
        <is>
          <t>A 53877-2020</t>
        </is>
      </c>
      <c r="B282" s="1" t="n">
        <v>44123</v>
      </c>
      <c r="C282" s="1" t="n">
        <v>45355</v>
      </c>
      <c r="D282" t="inlineStr">
        <is>
          <t>JÄMTLANDS LÄN</t>
        </is>
      </c>
      <c r="E282" t="inlineStr">
        <is>
          <t>BERG</t>
        </is>
      </c>
      <c r="G282" t="n">
        <v>32.8</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45355</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45355</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54511-2020</t>
        </is>
      </c>
      <c r="B285" s="1" t="n">
        <v>44126</v>
      </c>
      <c r="C285" s="1" t="n">
        <v>45355</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55311-2020</t>
        </is>
      </c>
      <c r="B286" s="1" t="n">
        <v>44130</v>
      </c>
      <c r="C286" s="1" t="n">
        <v>45355</v>
      </c>
      <c r="D286" t="inlineStr">
        <is>
          <t>JÄMTLANDS LÄN</t>
        </is>
      </c>
      <c r="E286" t="inlineStr">
        <is>
          <t>BERG</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62340-2020</t>
        </is>
      </c>
      <c r="B287" s="1" t="n">
        <v>44158</v>
      </c>
      <c r="C287" s="1" t="n">
        <v>45355</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62490-2020</t>
        </is>
      </c>
      <c r="B288" s="1" t="n">
        <v>44160</v>
      </c>
      <c r="C288" s="1" t="n">
        <v>45355</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62494-2020</t>
        </is>
      </c>
      <c r="B289" s="1" t="n">
        <v>44160</v>
      </c>
      <c r="C289" s="1" t="n">
        <v>45355</v>
      </c>
      <c r="D289" t="inlineStr">
        <is>
          <t>JÄMTLANDS LÄN</t>
        </is>
      </c>
      <c r="E289" t="inlineStr">
        <is>
          <t>BERG</t>
        </is>
      </c>
      <c r="G289" t="n">
        <v>7.5</v>
      </c>
      <c r="H289" t="n">
        <v>0</v>
      </c>
      <c r="I289" t="n">
        <v>0</v>
      </c>
      <c r="J289" t="n">
        <v>0</v>
      </c>
      <c r="K289" t="n">
        <v>0</v>
      </c>
      <c r="L289" t="n">
        <v>0</v>
      </c>
      <c r="M289" t="n">
        <v>0</v>
      </c>
      <c r="N289" t="n">
        <v>0</v>
      </c>
      <c r="O289" t="n">
        <v>0</v>
      </c>
      <c r="P289" t="n">
        <v>0</v>
      </c>
      <c r="Q289" t="n">
        <v>0</v>
      </c>
      <c r="R289" s="2" t="inlineStr"/>
    </row>
    <row r="290" ht="15" customHeight="1">
      <c r="A290" t="inlineStr">
        <is>
          <t>A 63009-2020</t>
        </is>
      </c>
      <c r="B290" s="1" t="n">
        <v>44162</v>
      </c>
      <c r="C290" s="1" t="n">
        <v>45355</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63002-2020</t>
        </is>
      </c>
      <c r="B291" s="1" t="n">
        <v>44162</v>
      </c>
      <c r="C291" s="1" t="n">
        <v>45355</v>
      </c>
      <c r="D291" t="inlineStr">
        <is>
          <t>JÄMTLANDS LÄN</t>
        </is>
      </c>
      <c r="E291" t="inlineStr">
        <is>
          <t>BERG</t>
        </is>
      </c>
      <c r="G291" t="n">
        <v>6.6</v>
      </c>
      <c r="H291" t="n">
        <v>0</v>
      </c>
      <c r="I291" t="n">
        <v>0</v>
      </c>
      <c r="J291" t="n">
        <v>0</v>
      </c>
      <c r="K291" t="n">
        <v>0</v>
      </c>
      <c r="L291" t="n">
        <v>0</v>
      </c>
      <c r="M291" t="n">
        <v>0</v>
      </c>
      <c r="N291" t="n">
        <v>0</v>
      </c>
      <c r="O291" t="n">
        <v>0</v>
      </c>
      <c r="P291" t="n">
        <v>0</v>
      </c>
      <c r="Q291" t="n">
        <v>0</v>
      </c>
      <c r="R291" s="2" t="inlineStr"/>
    </row>
    <row r="292" ht="15" customHeight="1">
      <c r="A292" t="inlineStr">
        <is>
          <t>A 63522-2020</t>
        </is>
      </c>
      <c r="B292" s="1" t="n">
        <v>44165</v>
      </c>
      <c r="C292" s="1" t="n">
        <v>45355</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64492-2020</t>
        </is>
      </c>
      <c r="B293" s="1" t="n">
        <v>44168</v>
      </c>
      <c r="C293" s="1" t="n">
        <v>45355</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64490-2020</t>
        </is>
      </c>
      <c r="B294" s="1" t="n">
        <v>44168</v>
      </c>
      <c r="C294" s="1" t="n">
        <v>45355</v>
      </c>
      <c r="D294" t="inlineStr">
        <is>
          <t>JÄMTLANDS LÄN</t>
        </is>
      </c>
      <c r="E294" t="inlineStr">
        <is>
          <t>BERG</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68770-2020</t>
        </is>
      </c>
      <c r="B295" s="1" t="n">
        <v>44187</v>
      </c>
      <c r="C295" s="1" t="n">
        <v>45355</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68896-2020</t>
        </is>
      </c>
      <c r="B296" s="1" t="n">
        <v>44187</v>
      </c>
      <c r="C296" s="1" t="n">
        <v>45355</v>
      </c>
      <c r="D296" t="inlineStr">
        <is>
          <t>JÄMTLANDS LÄN</t>
        </is>
      </c>
      <c r="E296" t="inlineStr">
        <is>
          <t>BERG</t>
        </is>
      </c>
      <c r="G296" t="n">
        <v>9.6</v>
      </c>
      <c r="H296" t="n">
        <v>0</v>
      </c>
      <c r="I296" t="n">
        <v>0</v>
      </c>
      <c r="J296" t="n">
        <v>0</v>
      </c>
      <c r="K296" t="n">
        <v>0</v>
      </c>
      <c r="L296" t="n">
        <v>0</v>
      </c>
      <c r="M296" t="n">
        <v>0</v>
      </c>
      <c r="N296" t="n">
        <v>0</v>
      </c>
      <c r="O296" t="n">
        <v>0</v>
      </c>
      <c r="P296" t="n">
        <v>0</v>
      </c>
      <c r="Q296" t="n">
        <v>0</v>
      </c>
      <c r="R296" s="2" t="inlineStr"/>
    </row>
    <row r="297" ht="15" customHeight="1">
      <c r="A297" t="inlineStr">
        <is>
          <t>A 592-2021</t>
        </is>
      </c>
      <c r="B297" s="1" t="n">
        <v>44201</v>
      </c>
      <c r="C297" s="1" t="n">
        <v>45355</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702-2021</t>
        </is>
      </c>
      <c r="B298" s="1" t="n">
        <v>44203</v>
      </c>
      <c r="C298" s="1" t="n">
        <v>45355</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692-2021</t>
        </is>
      </c>
      <c r="B299" s="1" t="n">
        <v>44203</v>
      </c>
      <c r="C299" s="1" t="n">
        <v>45355</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1032-2021</t>
        </is>
      </c>
      <c r="B300" s="1" t="n">
        <v>44207</v>
      </c>
      <c r="C300" s="1" t="n">
        <v>45355</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1640-2021</t>
        </is>
      </c>
      <c r="B301" s="1" t="n">
        <v>44209</v>
      </c>
      <c r="C301" s="1" t="n">
        <v>45355</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1651-2021</t>
        </is>
      </c>
      <c r="B302" s="1" t="n">
        <v>44209</v>
      </c>
      <c r="C302" s="1" t="n">
        <v>45355</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1646-2021</t>
        </is>
      </c>
      <c r="B303" s="1" t="n">
        <v>44209</v>
      </c>
      <c r="C303" s="1" t="n">
        <v>45355</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1657-2021</t>
        </is>
      </c>
      <c r="B304" s="1" t="n">
        <v>44209</v>
      </c>
      <c r="C304" s="1" t="n">
        <v>45355</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3511-2021</t>
        </is>
      </c>
      <c r="B305" s="1" t="n">
        <v>44218</v>
      </c>
      <c r="C305" s="1" t="n">
        <v>45355</v>
      </c>
      <c r="D305" t="inlineStr">
        <is>
          <t>JÄMTLANDS LÄN</t>
        </is>
      </c>
      <c r="E305" t="inlineStr">
        <is>
          <t>BERG</t>
        </is>
      </c>
      <c r="G305" t="n">
        <v>3.9</v>
      </c>
      <c r="H305" t="n">
        <v>0</v>
      </c>
      <c r="I305" t="n">
        <v>0</v>
      </c>
      <c r="J305" t="n">
        <v>0</v>
      </c>
      <c r="K305" t="n">
        <v>0</v>
      </c>
      <c r="L305" t="n">
        <v>0</v>
      </c>
      <c r="M305" t="n">
        <v>0</v>
      </c>
      <c r="N305" t="n">
        <v>0</v>
      </c>
      <c r="O305" t="n">
        <v>0</v>
      </c>
      <c r="P305" t="n">
        <v>0</v>
      </c>
      <c r="Q305" t="n">
        <v>0</v>
      </c>
      <c r="R305" s="2" t="inlineStr"/>
    </row>
    <row r="306" ht="15" customHeight="1">
      <c r="A306" t="inlineStr">
        <is>
          <t>A 4651-2021</t>
        </is>
      </c>
      <c r="B306" s="1" t="n">
        <v>44224</v>
      </c>
      <c r="C306" s="1" t="n">
        <v>45355</v>
      </c>
      <c r="D306" t="inlineStr">
        <is>
          <t>JÄMTLANDS LÄN</t>
        </is>
      </c>
      <c r="E306" t="inlineStr">
        <is>
          <t>BERG</t>
        </is>
      </c>
      <c r="G306" t="n">
        <v>5.2</v>
      </c>
      <c r="H306" t="n">
        <v>0</v>
      </c>
      <c r="I306" t="n">
        <v>0</v>
      </c>
      <c r="J306" t="n">
        <v>0</v>
      </c>
      <c r="K306" t="n">
        <v>0</v>
      </c>
      <c r="L306" t="n">
        <v>0</v>
      </c>
      <c r="M306" t="n">
        <v>0</v>
      </c>
      <c r="N306" t="n">
        <v>0</v>
      </c>
      <c r="O306" t="n">
        <v>0</v>
      </c>
      <c r="P306" t="n">
        <v>0</v>
      </c>
      <c r="Q306" t="n">
        <v>0</v>
      </c>
      <c r="R306" s="2" t="inlineStr"/>
    </row>
    <row r="307" ht="15" customHeight="1">
      <c r="A307" t="inlineStr">
        <is>
          <t>A 8639-2021</t>
        </is>
      </c>
      <c r="B307" s="1" t="n">
        <v>44245</v>
      </c>
      <c r="C307" s="1" t="n">
        <v>45355</v>
      </c>
      <c r="D307" t="inlineStr">
        <is>
          <t>JÄMTLANDS LÄN</t>
        </is>
      </c>
      <c r="E307" t="inlineStr">
        <is>
          <t>BERG</t>
        </is>
      </c>
      <c r="F307" t="inlineStr">
        <is>
          <t>Naturvårdsverket</t>
        </is>
      </c>
      <c r="G307" t="n">
        <v>1.5</v>
      </c>
      <c r="H307" t="n">
        <v>0</v>
      </c>
      <c r="I307" t="n">
        <v>0</v>
      </c>
      <c r="J307" t="n">
        <v>0</v>
      </c>
      <c r="K307" t="n">
        <v>0</v>
      </c>
      <c r="L307" t="n">
        <v>0</v>
      </c>
      <c r="M307" t="n">
        <v>0</v>
      </c>
      <c r="N307" t="n">
        <v>0</v>
      </c>
      <c r="O307" t="n">
        <v>0</v>
      </c>
      <c r="P307" t="n">
        <v>0</v>
      </c>
      <c r="Q307" t="n">
        <v>0</v>
      </c>
      <c r="R307" s="2" t="inlineStr"/>
    </row>
    <row r="308" ht="15" customHeight="1">
      <c r="A308" t="inlineStr">
        <is>
          <t>A 9629-2021</t>
        </is>
      </c>
      <c r="B308" s="1" t="n">
        <v>44251</v>
      </c>
      <c r="C308" s="1" t="n">
        <v>45355</v>
      </c>
      <c r="D308" t="inlineStr">
        <is>
          <t>JÄMTLANDS LÄN</t>
        </is>
      </c>
      <c r="E308" t="inlineStr">
        <is>
          <t>BERG</t>
        </is>
      </c>
      <c r="F308" t="inlineStr">
        <is>
          <t>SCA</t>
        </is>
      </c>
      <c r="G308" t="n">
        <v>6.4</v>
      </c>
      <c r="H308" t="n">
        <v>0</v>
      </c>
      <c r="I308" t="n">
        <v>0</v>
      </c>
      <c r="J308" t="n">
        <v>0</v>
      </c>
      <c r="K308" t="n">
        <v>0</v>
      </c>
      <c r="L308" t="n">
        <v>0</v>
      </c>
      <c r="M308" t="n">
        <v>0</v>
      </c>
      <c r="N308" t="n">
        <v>0</v>
      </c>
      <c r="O308" t="n">
        <v>0</v>
      </c>
      <c r="P308" t="n">
        <v>0</v>
      </c>
      <c r="Q308" t="n">
        <v>0</v>
      </c>
      <c r="R308" s="2" t="inlineStr"/>
    </row>
    <row r="309" ht="15" customHeight="1">
      <c r="A309" t="inlineStr">
        <is>
          <t>A 9920-2021</t>
        </is>
      </c>
      <c r="B309" s="1" t="n">
        <v>44253</v>
      </c>
      <c r="C309" s="1" t="n">
        <v>45355</v>
      </c>
      <c r="D309" t="inlineStr">
        <is>
          <t>JÄMTLANDS LÄN</t>
        </is>
      </c>
      <c r="E309" t="inlineStr">
        <is>
          <t>BERG</t>
        </is>
      </c>
      <c r="G309" t="n">
        <v>3.5</v>
      </c>
      <c r="H309" t="n">
        <v>0</v>
      </c>
      <c r="I309" t="n">
        <v>0</v>
      </c>
      <c r="J309" t="n">
        <v>0</v>
      </c>
      <c r="K309" t="n">
        <v>0</v>
      </c>
      <c r="L309" t="n">
        <v>0</v>
      </c>
      <c r="M309" t="n">
        <v>0</v>
      </c>
      <c r="N309" t="n">
        <v>0</v>
      </c>
      <c r="O309" t="n">
        <v>0</v>
      </c>
      <c r="P309" t="n">
        <v>0</v>
      </c>
      <c r="Q309" t="n">
        <v>0</v>
      </c>
      <c r="R309" s="2" t="inlineStr"/>
    </row>
    <row r="310" ht="15" customHeight="1">
      <c r="A310" t="inlineStr">
        <is>
          <t>A 12499-2021</t>
        </is>
      </c>
      <c r="B310" s="1" t="n">
        <v>44267</v>
      </c>
      <c r="C310" s="1" t="n">
        <v>45355</v>
      </c>
      <c r="D310" t="inlineStr">
        <is>
          <t>JÄMTLANDS LÄN</t>
        </is>
      </c>
      <c r="E310" t="inlineStr">
        <is>
          <t>BERG</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45355</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14218-2021</t>
        </is>
      </c>
      <c r="B312" s="1" t="n">
        <v>44277</v>
      </c>
      <c r="C312" s="1" t="n">
        <v>45355</v>
      </c>
      <c r="D312" t="inlineStr">
        <is>
          <t>JÄMTLANDS LÄN</t>
        </is>
      </c>
      <c r="E312" t="inlineStr">
        <is>
          <t>BERG</t>
        </is>
      </c>
      <c r="G312" t="n">
        <v>19.9</v>
      </c>
      <c r="H312" t="n">
        <v>0</v>
      </c>
      <c r="I312" t="n">
        <v>0</v>
      </c>
      <c r="J312" t="n">
        <v>0</v>
      </c>
      <c r="K312" t="n">
        <v>0</v>
      </c>
      <c r="L312" t="n">
        <v>0</v>
      </c>
      <c r="M312" t="n">
        <v>0</v>
      </c>
      <c r="N312" t="n">
        <v>0</v>
      </c>
      <c r="O312" t="n">
        <v>0</v>
      </c>
      <c r="P312" t="n">
        <v>0</v>
      </c>
      <c r="Q312" t="n">
        <v>0</v>
      </c>
      <c r="R312" s="2" t="inlineStr"/>
    </row>
    <row r="313" ht="15" customHeight="1">
      <c r="A313" t="inlineStr">
        <is>
          <t>A 14163-2021</t>
        </is>
      </c>
      <c r="B313" s="1" t="n">
        <v>44277</v>
      </c>
      <c r="C313" s="1" t="n">
        <v>45355</v>
      </c>
      <c r="D313" t="inlineStr">
        <is>
          <t>JÄMTLANDS LÄN</t>
        </is>
      </c>
      <c r="E313" t="inlineStr">
        <is>
          <t>BERG</t>
        </is>
      </c>
      <c r="G313" t="n">
        <v>8.1</v>
      </c>
      <c r="H313" t="n">
        <v>0</v>
      </c>
      <c r="I313" t="n">
        <v>0</v>
      </c>
      <c r="J313" t="n">
        <v>0</v>
      </c>
      <c r="K313" t="n">
        <v>0</v>
      </c>
      <c r="L313" t="n">
        <v>0</v>
      </c>
      <c r="M313" t="n">
        <v>0</v>
      </c>
      <c r="N313" t="n">
        <v>0</v>
      </c>
      <c r="O313" t="n">
        <v>0</v>
      </c>
      <c r="P313" t="n">
        <v>0</v>
      </c>
      <c r="Q313" t="n">
        <v>0</v>
      </c>
      <c r="R313" s="2" t="inlineStr"/>
    </row>
    <row r="314" ht="15" customHeight="1">
      <c r="A314" t="inlineStr">
        <is>
          <t>A 14224-2021</t>
        </is>
      </c>
      <c r="B314" s="1" t="n">
        <v>44277</v>
      </c>
      <c r="C314" s="1" t="n">
        <v>45355</v>
      </c>
      <c r="D314" t="inlineStr">
        <is>
          <t>JÄMTLANDS LÄN</t>
        </is>
      </c>
      <c r="E314" t="inlineStr">
        <is>
          <t>BERG</t>
        </is>
      </c>
      <c r="G314" t="n">
        <v>24.9</v>
      </c>
      <c r="H314" t="n">
        <v>0</v>
      </c>
      <c r="I314" t="n">
        <v>0</v>
      </c>
      <c r="J314" t="n">
        <v>0</v>
      </c>
      <c r="K314" t="n">
        <v>0</v>
      </c>
      <c r="L314" t="n">
        <v>0</v>
      </c>
      <c r="M314" t="n">
        <v>0</v>
      </c>
      <c r="N314" t="n">
        <v>0</v>
      </c>
      <c r="O314" t="n">
        <v>0</v>
      </c>
      <c r="P314" t="n">
        <v>0</v>
      </c>
      <c r="Q314" t="n">
        <v>0</v>
      </c>
      <c r="R314" s="2" t="inlineStr"/>
    </row>
    <row r="315" ht="15" customHeight="1">
      <c r="A315" t="inlineStr">
        <is>
          <t>A 14325-2021</t>
        </is>
      </c>
      <c r="B315" s="1" t="n">
        <v>44278</v>
      </c>
      <c r="C315" s="1" t="n">
        <v>45355</v>
      </c>
      <c r="D315" t="inlineStr">
        <is>
          <t>JÄMTLANDS LÄN</t>
        </is>
      </c>
      <c r="E315" t="inlineStr">
        <is>
          <t>BERG</t>
        </is>
      </c>
      <c r="G315" t="n">
        <v>27.3</v>
      </c>
      <c r="H315" t="n">
        <v>0</v>
      </c>
      <c r="I315" t="n">
        <v>0</v>
      </c>
      <c r="J315" t="n">
        <v>0</v>
      </c>
      <c r="K315" t="n">
        <v>0</v>
      </c>
      <c r="L315" t="n">
        <v>0</v>
      </c>
      <c r="M315" t="n">
        <v>0</v>
      </c>
      <c r="N315" t="n">
        <v>0</v>
      </c>
      <c r="O315" t="n">
        <v>0</v>
      </c>
      <c r="P315" t="n">
        <v>0</v>
      </c>
      <c r="Q315" t="n">
        <v>0</v>
      </c>
      <c r="R315" s="2" t="inlineStr"/>
    </row>
    <row r="316" ht="15" customHeight="1">
      <c r="A316" t="inlineStr">
        <is>
          <t>A 14772-2021</t>
        </is>
      </c>
      <c r="B316" s="1" t="n">
        <v>44280</v>
      </c>
      <c r="C316" s="1" t="n">
        <v>45355</v>
      </c>
      <c r="D316" t="inlineStr">
        <is>
          <t>JÄMTLANDS LÄN</t>
        </is>
      </c>
      <c r="E316" t="inlineStr">
        <is>
          <t>BERG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15277-2021</t>
        </is>
      </c>
      <c r="B317" s="1" t="n">
        <v>44284</v>
      </c>
      <c r="C317" s="1" t="n">
        <v>45355</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15785-2021</t>
        </is>
      </c>
      <c r="B318" s="1" t="n">
        <v>44286</v>
      </c>
      <c r="C318" s="1" t="n">
        <v>45355</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16819-2021</t>
        </is>
      </c>
      <c r="B319" s="1" t="n">
        <v>44293</v>
      </c>
      <c r="C319" s="1" t="n">
        <v>45355</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16822-2021</t>
        </is>
      </c>
      <c r="B320" s="1" t="n">
        <v>44293</v>
      </c>
      <c r="C320" s="1" t="n">
        <v>45355</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16831-2021</t>
        </is>
      </c>
      <c r="B321" s="1" t="n">
        <v>44293</v>
      </c>
      <c r="C321" s="1" t="n">
        <v>45355</v>
      </c>
      <c r="D321" t="inlineStr">
        <is>
          <t>JÄMTLANDS LÄN</t>
        </is>
      </c>
      <c r="E321" t="inlineStr">
        <is>
          <t>BERG</t>
        </is>
      </c>
      <c r="G321" t="n">
        <v>13.7</v>
      </c>
      <c r="H321" t="n">
        <v>0</v>
      </c>
      <c r="I321" t="n">
        <v>0</v>
      </c>
      <c r="J321" t="n">
        <v>0</v>
      </c>
      <c r="K321" t="n">
        <v>0</v>
      </c>
      <c r="L321" t="n">
        <v>0</v>
      </c>
      <c r="M321" t="n">
        <v>0</v>
      </c>
      <c r="N321" t="n">
        <v>0</v>
      </c>
      <c r="O321" t="n">
        <v>0</v>
      </c>
      <c r="P321" t="n">
        <v>0</v>
      </c>
      <c r="Q321" t="n">
        <v>0</v>
      </c>
      <c r="R321" s="2" t="inlineStr"/>
    </row>
    <row r="322" ht="15" customHeight="1">
      <c r="A322" t="inlineStr">
        <is>
          <t>A 16828-2021</t>
        </is>
      </c>
      <c r="B322" s="1" t="n">
        <v>44293</v>
      </c>
      <c r="C322" s="1" t="n">
        <v>45355</v>
      </c>
      <c r="D322" t="inlineStr">
        <is>
          <t>JÄMTLANDS LÄN</t>
        </is>
      </c>
      <c r="E322" t="inlineStr">
        <is>
          <t>BERG</t>
        </is>
      </c>
      <c r="G322" t="n">
        <v>2.2</v>
      </c>
      <c r="H322" t="n">
        <v>0</v>
      </c>
      <c r="I322" t="n">
        <v>0</v>
      </c>
      <c r="J322" t="n">
        <v>0</v>
      </c>
      <c r="K322" t="n">
        <v>0</v>
      </c>
      <c r="L322" t="n">
        <v>0</v>
      </c>
      <c r="M322" t="n">
        <v>0</v>
      </c>
      <c r="N322" t="n">
        <v>0</v>
      </c>
      <c r="O322" t="n">
        <v>0</v>
      </c>
      <c r="P322" t="n">
        <v>0</v>
      </c>
      <c r="Q322" t="n">
        <v>0</v>
      </c>
      <c r="R322" s="2" t="inlineStr"/>
    </row>
    <row r="323" ht="15" customHeight="1">
      <c r="A323" t="inlineStr">
        <is>
          <t>A 16825-2021</t>
        </is>
      </c>
      <c r="B323" s="1" t="n">
        <v>44293</v>
      </c>
      <c r="C323" s="1" t="n">
        <v>45355</v>
      </c>
      <c r="D323" t="inlineStr">
        <is>
          <t>JÄMTLANDS LÄN</t>
        </is>
      </c>
      <c r="E323" t="inlineStr">
        <is>
          <t>BERG</t>
        </is>
      </c>
      <c r="G323" t="n">
        <v>20</v>
      </c>
      <c r="H323" t="n">
        <v>0</v>
      </c>
      <c r="I323" t="n">
        <v>0</v>
      </c>
      <c r="J323" t="n">
        <v>0</v>
      </c>
      <c r="K323" t="n">
        <v>0</v>
      </c>
      <c r="L323" t="n">
        <v>0</v>
      </c>
      <c r="M323" t="n">
        <v>0</v>
      </c>
      <c r="N323" t="n">
        <v>0</v>
      </c>
      <c r="O323" t="n">
        <v>0</v>
      </c>
      <c r="P323" t="n">
        <v>0</v>
      </c>
      <c r="Q323" t="n">
        <v>0</v>
      </c>
      <c r="R323" s="2" t="inlineStr"/>
    </row>
    <row r="324" ht="15" customHeight="1">
      <c r="A324" t="inlineStr">
        <is>
          <t>A 18569-2021</t>
        </is>
      </c>
      <c r="B324" s="1" t="n">
        <v>44306</v>
      </c>
      <c r="C324" s="1" t="n">
        <v>45355</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18567-2021</t>
        </is>
      </c>
      <c r="B325" s="1" t="n">
        <v>44306</v>
      </c>
      <c r="C325" s="1" t="n">
        <v>45355</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20179-2021</t>
        </is>
      </c>
      <c r="B326" s="1" t="n">
        <v>44314</v>
      </c>
      <c r="C326" s="1" t="n">
        <v>45355</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21629-2021</t>
        </is>
      </c>
      <c r="B327" s="1" t="n">
        <v>44321</v>
      </c>
      <c r="C327" s="1" t="n">
        <v>45355</v>
      </c>
      <c r="D327" t="inlineStr">
        <is>
          <t>JÄMTLANDS LÄN</t>
        </is>
      </c>
      <c r="E327" t="inlineStr">
        <is>
          <t>BERG</t>
        </is>
      </c>
      <c r="G327" t="n">
        <v>15.9</v>
      </c>
      <c r="H327" t="n">
        <v>0</v>
      </c>
      <c r="I327" t="n">
        <v>0</v>
      </c>
      <c r="J327" t="n">
        <v>0</v>
      </c>
      <c r="K327" t="n">
        <v>0</v>
      </c>
      <c r="L327" t="n">
        <v>0</v>
      </c>
      <c r="M327" t="n">
        <v>0</v>
      </c>
      <c r="N327" t="n">
        <v>0</v>
      </c>
      <c r="O327" t="n">
        <v>0</v>
      </c>
      <c r="P327" t="n">
        <v>0</v>
      </c>
      <c r="Q327" t="n">
        <v>0</v>
      </c>
      <c r="R327" s="2" t="inlineStr"/>
    </row>
    <row r="328" ht="15" customHeight="1">
      <c r="A328" t="inlineStr">
        <is>
          <t>A 21841-2021</t>
        </is>
      </c>
      <c r="B328" s="1" t="n">
        <v>44322</v>
      </c>
      <c r="C328" s="1" t="n">
        <v>45355</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21836-2021</t>
        </is>
      </c>
      <c r="B329" s="1" t="n">
        <v>44322</v>
      </c>
      <c r="C329" s="1" t="n">
        <v>45355</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24136-2021</t>
        </is>
      </c>
      <c r="B330" s="1" t="n">
        <v>44336</v>
      </c>
      <c r="C330" s="1" t="n">
        <v>45355</v>
      </c>
      <c r="D330" t="inlineStr">
        <is>
          <t>JÄMTLANDS LÄN</t>
        </is>
      </c>
      <c r="E330" t="inlineStr">
        <is>
          <t>BERG</t>
        </is>
      </c>
      <c r="G330" t="n">
        <v>12.6</v>
      </c>
      <c r="H330" t="n">
        <v>0</v>
      </c>
      <c r="I330" t="n">
        <v>0</v>
      </c>
      <c r="J330" t="n">
        <v>0</v>
      </c>
      <c r="K330" t="n">
        <v>0</v>
      </c>
      <c r="L330" t="n">
        <v>0</v>
      </c>
      <c r="M330" t="n">
        <v>0</v>
      </c>
      <c r="N330" t="n">
        <v>0</v>
      </c>
      <c r="O330" t="n">
        <v>0</v>
      </c>
      <c r="P330" t="n">
        <v>0</v>
      </c>
      <c r="Q330" t="n">
        <v>0</v>
      </c>
      <c r="R330" s="2" t="inlineStr"/>
    </row>
    <row r="331" ht="15" customHeight="1">
      <c r="A331" t="inlineStr">
        <is>
          <t>A 24843-2021</t>
        </is>
      </c>
      <c r="B331" s="1" t="n">
        <v>44340</v>
      </c>
      <c r="C331" s="1" t="n">
        <v>45355</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26721-2021</t>
        </is>
      </c>
      <c r="B332" s="1" t="n">
        <v>44349</v>
      </c>
      <c r="C332" s="1" t="n">
        <v>45355</v>
      </c>
      <c r="D332" t="inlineStr">
        <is>
          <t>JÄMTLANDS LÄN</t>
        </is>
      </c>
      <c r="E332" t="inlineStr">
        <is>
          <t>BERG</t>
        </is>
      </c>
      <c r="G332" t="n">
        <v>10.7</v>
      </c>
      <c r="H332" t="n">
        <v>0</v>
      </c>
      <c r="I332" t="n">
        <v>0</v>
      </c>
      <c r="J332" t="n">
        <v>0</v>
      </c>
      <c r="K332" t="n">
        <v>0</v>
      </c>
      <c r="L332" t="n">
        <v>0</v>
      </c>
      <c r="M332" t="n">
        <v>0</v>
      </c>
      <c r="N332" t="n">
        <v>0</v>
      </c>
      <c r="O332" t="n">
        <v>0</v>
      </c>
      <c r="P332" t="n">
        <v>0</v>
      </c>
      <c r="Q332" t="n">
        <v>0</v>
      </c>
      <c r="R332" s="2" t="inlineStr"/>
    </row>
    <row r="333" ht="15" customHeight="1">
      <c r="A333" t="inlineStr">
        <is>
          <t>A 26973-2021</t>
        </is>
      </c>
      <c r="B333" s="1" t="n">
        <v>44349</v>
      </c>
      <c r="C333" s="1" t="n">
        <v>45355</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27144-2021</t>
        </is>
      </c>
      <c r="B334" s="1" t="n">
        <v>44350</v>
      </c>
      <c r="C334" s="1" t="n">
        <v>45355</v>
      </c>
      <c r="D334" t="inlineStr">
        <is>
          <t>JÄMTLANDS LÄN</t>
        </is>
      </c>
      <c r="E334" t="inlineStr">
        <is>
          <t>BERG</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27395-2021</t>
        </is>
      </c>
      <c r="B335" s="1" t="n">
        <v>44350</v>
      </c>
      <c r="C335" s="1" t="n">
        <v>45355</v>
      </c>
      <c r="D335" t="inlineStr">
        <is>
          <t>JÄMTLANDS LÄN</t>
        </is>
      </c>
      <c r="E335" t="inlineStr">
        <is>
          <t>BERG</t>
        </is>
      </c>
      <c r="G335" t="n">
        <v>4.4</v>
      </c>
      <c r="H335" t="n">
        <v>0</v>
      </c>
      <c r="I335" t="n">
        <v>0</v>
      </c>
      <c r="J335" t="n">
        <v>0</v>
      </c>
      <c r="K335" t="n">
        <v>0</v>
      </c>
      <c r="L335" t="n">
        <v>0</v>
      </c>
      <c r="M335" t="n">
        <v>0</v>
      </c>
      <c r="N335" t="n">
        <v>0</v>
      </c>
      <c r="O335" t="n">
        <v>0</v>
      </c>
      <c r="P335" t="n">
        <v>0</v>
      </c>
      <c r="Q335" t="n">
        <v>0</v>
      </c>
      <c r="R335" s="2" t="inlineStr"/>
    </row>
    <row r="336" ht="15" customHeight="1">
      <c r="A336" t="inlineStr">
        <is>
          <t>A 27772-2021</t>
        </is>
      </c>
      <c r="B336" s="1" t="n">
        <v>44354</v>
      </c>
      <c r="C336" s="1" t="n">
        <v>45355</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28883-2021</t>
        </is>
      </c>
      <c r="B337" s="1" t="n">
        <v>44357</v>
      </c>
      <c r="C337" s="1" t="n">
        <v>45355</v>
      </c>
      <c r="D337" t="inlineStr">
        <is>
          <t>JÄMTLANDS LÄN</t>
        </is>
      </c>
      <c r="E337" t="inlineStr">
        <is>
          <t>BERG</t>
        </is>
      </c>
      <c r="F337" t="inlineStr">
        <is>
          <t>Kyrkan</t>
        </is>
      </c>
      <c r="G337" t="n">
        <v>7.3</v>
      </c>
      <c r="H337" t="n">
        <v>0</v>
      </c>
      <c r="I337" t="n">
        <v>0</v>
      </c>
      <c r="J337" t="n">
        <v>0</v>
      </c>
      <c r="K337" t="n">
        <v>0</v>
      </c>
      <c r="L337" t="n">
        <v>0</v>
      </c>
      <c r="M337" t="n">
        <v>0</v>
      </c>
      <c r="N337" t="n">
        <v>0</v>
      </c>
      <c r="O337" t="n">
        <v>0</v>
      </c>
      <c r="P337" t="n">
        <v>0</v>
      </c>
      <c r="Q337" t="n">
        <v>0</v>
      </c>
      <c r="R337" s="2" t="inlineStr"/>
    </row>
    <row r="338" ht="15" customHeight="1">
      <c r="A338" t="inlineStr">
        <is>
          <t>A 29019-2021</t>
        </is>
      </c>
      <c r="B338" s="1" t="n">
        <v>44358</v>
      </c>
      <c r="C338" s="1" t="n">
        <v>45355</v>
      </c>
      <c r="D338" t="inlineStr">
        <is>
          <t>JÄMTLANDS LÄN</t>
        </is>
      </c>
      <c r="E338" t="inlineStr">
        <is>
          <t>BERG</t>
        </is>
      </c>
      <c r="F338" t="inlineStr">
        <is>
          <t>Sveaskog</t>
        </is>
      </c>
      <c r="G338" t="n">
        <v>27.1</v>
      </c>
      <c r="H338" t="n">
        <v>0</v>
      </c>
      <c r="I338" t="n">
        <v>0</v>
      </c>
      <c r="J338" t="n">
        <v>0</v>
      </c>
      <c r="K338" t="n">
        <v>0</v>
      </c>
      <c r="L338" t="n">
        <v>0</v>
      </c>
      <c r="M338" t="n">
        <v>0</v>
      </c>
      <c r="N338" t="n">
        <v>0</v>
      </c>
      <c r="O338" t="n">
        <v>0</v>
      </c>
      <c r="P338" t="n">
        <v>0</v>
      </c>
      <c r="Q338" t="n">
        <v>0</v>
      </c>
      <c r="R338" s="2" t="inlineStr"/>
    </row>
    <row r="339" ht="15" customHeight="1">
      <c r="A339" t="inlineStr">
        <is>
          <t>A 29511-2021</t>
        </is>
      </c>
      <c r="B339" s="1" t="n">
        <v>44361</v>
      </c>
      <c r="C339" s="1" t="n">
        <v>45355</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33878-2021</t>
        </is>
      </c>
      <c r="B340" s="1" t="n">
        <v>44378</v>
      </c>
      <c r="C340" s="1" t="n">
        <v>45355</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35308-2021</t>
        </is>
      </c>
      <c r="B341" s="1" t="n">
        <v>44384</v>
      </c>
      <c r="C341" s="1" t="n">
        <v>45355</v>
      </c>
      <c r="D341" t="inlineStr">
        <is>
          <t>JÄMTLANDS LÄN</t>
        </is>
      </c>
      <c r="E341" t="inlineStr">
        <is>
          <t>BERG</t>
        </is>
      </c>
      <c r="G341" t="n">
        <v>2.9</v>
      </c>
      <c r="H341" t="n">
        <v>0</v>
      </c>
      <c r="I341" t="n">
        <v>0</v>
      </c>
      <c r="J341" t="n">
        <v>0</v>
      </c>
      <c r="K341" t="n">
        <v>0</v>
      </c>
      <c r="L341" t="n">
        <v>0</v>
      </c>
      <c r="M341" t="n">
        <v>0</v>
      </c>
      <c r="N341" t="n">
        <v>0</v>
      </c>
      <c r="O341" t="n">
        <v>0</v>
      </c>
      <c r="P341" t="n">
        <v>0</v>
      </c>
      <c r="Q341" t="n">
        <v>0</v>
      </c>
      <c r="R341" s="2" t="inlineStr"/>
      <c r="U341">
        <f>HYPERLINK("https://klasma.github.io/Logging_2326/knärot/A 35308-2021 karta knärot.png", "A 35308-2021")</f>
        <v/>
      </c>
      <c r="V341">
        <f>HYPERLINK("https://klasma.github.io/Logging_2326/klagomål/A 35308-2021 FSC-klagomål.docx", "A 35308-2021")</f>
        <v/>
      </c>
      <c r="W341">
        <f>HYPERLINK("https://klasma.github.io/Logging_2326/klagomålsmail/A 35308-2021 FSC-klagomål mail.docx", "A 35308-2021")</f>
        <v/>
      </c>
      <c r="X341">
        <f>HYPERLINK("https://klasma.github.io/Logging_2326/tillsyn/A 35308-2021 tillsynsbegäran.docx", "A 35308-2021")</f>
        <v/>
      </c>
      <c r="Y341">
        <f>HYPERLINK("https://klasma.github.io/Logging_2326/tillsynsmail/A 35308-2021 tillsynsbegäran mail.docx", "A 35308-2021")</f>
        <v/>
      </c>
    </row>
    <row r="342" ht="15" customHeight="1">
      <c r="A342" t="inlineStr">
        <is>
          <t>A 35867-2021</t>
        </is>
      </c>
      <c r="B342" s="1" t="n">
        <v>44387</v>
      </c>
      <c r="C342" s="1" t="n">
        <v>45355</v>
      </c>
      <c r="D342" t="inlineStr">
        <is>
          <t>JÄMTLANDS LÄN</t>
        </is>
      </c>
      <c r="E342" t="inlineStr">
        <is>
          <t>BERG</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36031-2021</t>
        </is>
      </c>
      <c r="B343" s="1" t="n">
        <v>44389</v>
      </c>
      <c r="C343" s="1" t="n">
        <v>45355</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36033-2021</t>
        </is>
      </c>
      <c r="B344" s="1" t="n">
        <v>44389</v>
      </c>
      <c r="C344" s="1" t="n">
        <v>45355</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36720-2021</t>
        </is>
      </c>
      <c r="B345" s="1" t="n">
        <v>44392</v>
      </c>
      <c r="C345" s="1" t="n">
        <v>45355</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37307-2021</t>
        </is>
      </c>
      <c r="B346" s="1" t="n">
        <v>44397</v>
      </c>
      <c r="C346" s="1" t="n">
        <v>45355</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37591-2021</t>
        </is>
      </c>
      <c r="B347" s="1" t="n">
        <v>44399</v>
      </c>
      <c r="C347" s="1" t="n">
        <v>45355</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37586-2021</t>
        </is>
      </c>
      <c r="B348" s="1" t="n">
        <v>44399</v>
      </c>
      <c r="C348" s="1" t="n">
        <v>45355</v>
      </c>
      <c r="D348" t="inlineStr">
        <is>
          <t>JÄMTLANDS LÄN</t>
        </is>
      </c>
      <c r="E348" t="inlineStr">
        <is>
          <t>BERG</t>
        </is>
      </c>
      <c r="G348" t="n">
        <v>15.4</v>
      </c>
      <c r="H348" t="n">
        <v>0</v>
      </c>
      <c r="I348" t="n">
        <v>0</v>
      </c>
      <c r="J348" t="n">
        <v>0</v>
      </c>
      <c r="K348" t="n">
        <v>0</v>
      </c>
      <c r="L348" t="n">
        <v>0</v>
      </c>
      <c r="M348" t="n">
        <v>0</v>
      </c>
      <c r="N348" t="n">
        <v>0</v>
      </c>
      <c r="O348" t="n">
        <v>0</v>
      </c>
      <c r="P348" t="n">
        <v>0</v>
      </c>
      <c r="Q348" t="n">
        <v>0</v>
      </c>
      <c r="R348" s="2" t="inlineStr"/>
    </row>
    <row r="349" ht="15" customHeight="1">
      <c r="A349" t="inlineStr">
        <is>
          <t>A 37589-2021</t>
        </is>
      </c>
      <c r="B349" s="1" t="n">
        <v>44399</v>
      </c>
      <c r="C349" s="1" t="n">
        <v>45355</v>
      </c>
      <c r="D349" t="inlineStr">
        <is>
          <t>JÄMTLANDS LÄN</t>
        </is>
      </c>
      <c r="E349" t="inlineStr">
        <is>
          <t>BERG</t>
        </is>
      </c>
      <c r="G349" t="n">
        <v>8.6</v>
      </c>
      <c r="H349" t="n">
        <v>0</v>
      </c>
      <c r="I349" t="n">
        <v>0</v>
      </c>
      <c r="J349" t="n">
        <v>0</v>
      </c>
      <c r="K349" t="n">
        <v>0</v>
      </c>
      <c r="L349" t="n">
        <v>0</v>
      </c>
      <c r="M349" t="n">
        <v>0</v>
      </c>
      <c r="N349" t="n">
        <v>0</v>
      </c>
      <c r="O349" t="n">
        <v>0</v>
      </c>
      <c r="P349" t="n">
        <v>0</v>
      </c>
      <c r="Q349" t="n">
        <v>0</v>
      </c>
      <c r="R349" s="2" t="inlineStr"/>
    </row>
    <row r="350" ht="15" customHeight="1">
      <c r="A350" t="inlineStr">
        <is>
          <t>A 37588-2021</t>
        </is>
      </c>
      <c r="B350" s="1" t="n">
        <v>44399</v>
      </c>
      <c r="C350" s="1" t="n">
        <v>45355</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37687-2021</t>
        </is>
      </c>
      <c r="B351" s="1" t="n">
        <v>44400</v>
      </c>
      <c r="C351" s="1" t="n">
        <v>45355</v>
      </c>
      <c r="D351" t="inlineStr">
        <is>
          <t>JÄMTLANDS LÄN</t>
        </is>
      </c>
      <c r="E351" t="inlineStr">
        <is>
          <t>BERG</t>
        </is>
      </c>
      <c r="F351" t="inlineStr">
        <is>
          <t>Sveaskog</t>
        </is>
      </c>
      <c r="G351" t="n">
        <v>15.7</v>
      </c>
      <c r="H351" t="n">
        <v>0</v>
      </c>
      <c r="I351" t="n">
        <v>0</v>
      </c>
      <c r="J351" t="n">
        <v>0</v>
      </c>
      <c r="K351" t="n">
        <v>0</v>
      </c>
      <c r="L351" t="n">
        <v>0</v>
      </c>
      <c r="M351" t="n">
        <v>0</v>
      </c>
      <c r="N351" t="n">
        <v>0</v>
      </c>
      <c r="O351" t="n">
        <v>0</v>
      </c>
      <c r="P351" t="n">
        <v>0</v>
      </c>
      <c r="Q351" t="n">
        <v>0</v>
      </c>
      <c r="R351" s="2" t="inlineStr"/>
    </row>
    <row r="352" ht="15" customHeight="1">
      <c r="A352" t="inlineStr">
        <is>
          <t>A 39943-2021</t>
        </is>
      </c>
      <c r="B352" s="1" t="n">
        <v>44417</v>
      </c>
      <c r="C352" s="1" t="n">
        <v>45355</v>
      </c>
      <c r="D352" t="inlineStr">
        <is>
          <t>JÄMTLANDS LÄN</t>
        </is>
      </c>
      <c r="E352" t="inlineStr">
        <is>
          <t>BERG</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44088-2021</t>
        </is>
      </c>
      <c r="B353" s="1" t="n">
        <v>44434</v>
      </c>
      <c r="C353" s="1" t="n">
        <v>45355</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44911-2021</t>
        </is>
      </c>
      <c r="B354" s="1" t="n">
        <v>44435</v>
      </c>
      <c r="C354" s="1" t="n">
        <v>45355</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44997-2021</t>
        </is>
      </c>
      <c r="B355" s="1" t="n">
        <v>44438</v>
      </c>
      <c r="C355" s="1" t="n">
        <v>45355</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45349-2021</t>
        </is>
      </c>
      <c r="B356" s="1" t="n">
        <v>44440</v>
      </c>
      <c r="C356" s="1" t="n">
        <v>45355</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46115-2021</t>
        </is>
      </c>
      <c r="B357" s="1" t="n">
        <v>44441</v>
      </c>
      <c r="C357" s="1" t="n">
        <v>45355</v>
      </c>
      <c r="D357" t="inlineStr">
        <is>
          <t>JÄMTLANDS LÄN</t>
        </is>
      </c>
      <c r="E357" t="inlineStr">
        <is>
          <t>BERG</t>
        </is>
      </c>
      <c r="G357" t="n">
        <v>15.1</v>
      </c>
      <c r="H357" t="n">
        <v>0</v>
      </c>
      <c r="I357" t="n">
        <v>0</v>
      </c>
      <c r="J357" t="n">
        <v>0</v>
      </c>
      <c r="K357" t="n">
        <v>0</v>
      </c>
      <c r="L357" t="n">
        <v>0</v>
      </c>
      <c r="M357" t="n">
        <v>0</v>
      </c>
      <c r="N357" t="n">
        <v>0</v>
      </c>
      <c r="O357" t="n">
        <v>0</v>
      </c>
      <c r="P357" t="n">
        <v>0</v>
      </c>
      <c r="Q357" t="n">
        <v>0</v>
      </c>
      <c r="R357" s="2" t="inlineStr"/>
    </row>
    <row r="358" ht="15" customHeight="1">
      <c r="A358" t="inlineStr">
        <is>
          <t>A 46515-2021</t>
        </is>
      </c>
      <c r="B358" s="1" t="n">
        <v>44445</v>
      </c>
      <c r="C358" s="1" t="n">
        <v>45355</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46853-2021</t>
        </is>
      </c>
      <c r="B359" s="1" t="n">
        <v>44446</v>
      </c>
      <c r="C359" s="1" t="n">
        <v>45355</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46937-2021</t>
        </is>
      </c>
      <c r="B360" s="1" t="n">
        <v>44446</v>
      </c>
      <c r="C360" s="1" t="n">
        <v>45355</v>
      </c>
      <c r="D360" t="inlineStr">
        <is>
          <t>JÄMTLANDS LÄN</t>
        </is>
      </c>
      <c r="E360" t="inlineStr">
        <is>
          <t>BERG</t>
        </is>
      </c>
      <c r="G360" t="n">
        <v>3</v>
      </c>
      <c r="H360" t="n">
        <v>0</v>
      </c>
      <c r="I360" t="n">
        <v>0</v>
      </c>
      <c r="J360" t="n">
        <v>0</v>
      </c>
      <c r="K360" t="n">
        <v>0</v>
      </c>
      <c r="L360" t="n">
        <v>0</v>
      </c>
      <c r="M360" t="n">
        <v>0</v>
      </c>
      <c r="N360" t="n">
        <v>0</v>
      </c>
      <c r="O360" t="n">
        <v>0</v>
      </c>
      <c r="P360" t="n">
        <v>0</v>
      </c>
      <c r="Q360" t="n">
        <v>0</v>
      </c>
      <c r="R360" s="2" t="inlineStr"/>
    </row>
    <row r="361" ht="15" customHeight="1">
      <c r="A361" t="inlineStr">
        <is>
          <t>A 50453-2021</t>
        </is>
      </c>
      <c r="B361" s="1" t="n">
        <v>44455</v>
      </c>
      <c r="C361" s="1" t="n">
        <v>45355</v>
      </c>
      <c r="D361" t="inlineStr">
        <is>
          <t>JÄMTLANDS LÄN</t>
        </is>
      </c>
      <c r="E361" t="inlineStr">
        <is>
          <t>BERG</t>
        </is>
      </c>
      <c r="G361" t="n">
        <v>3.9</v>
      </c>
      <c r="H361" t="n">
        <v>0</v>
      </c>
      <c r="I361" t="n">
        <v>0</v>
      </c>
      <c r="J361" t="n">
        <v>0</v>
      </c>
      <c r="K361" t="n">
        <v>0</v>
      </c>
      <c r="L361" t="n">
        <v>0</v>
      </c>
      <c r="M361" t="n">
        <v>0</v>
      </c>
      <c r="N361" t="n">
        <v>0</v>
      </c>
      <c r="O361" t="n">
        <v>0</v>
      </c>
      <c r="P361" t="n">
        <v>0</v>
      </c>
      <c r="Q361" t="n">
        <v>0</v>
      </c>
      <c r="R361" s="2" t="inlineStr"/>
    </row>
    <row r="362" ht="15" customHeight="1">
      <c r="A362" t="inlineStr">
        <is>
          <t>A 50780-2021</t>
        </is>
      </c>
      <c r="B362" s="1" t="n">
        <v>44459</v>
      </c>
      <c r="C362" s="1" t="n">
        <v>45355</v>
      </c>
      <c r="D362" t="inlineStr">
        <is>
          <t>JÄMTLANDS LÄN</t>
        </is>
      </c>
      <c r="E362" t="inlineStr">
        <is>
          <t>BERG</t>
        </is>
      </c>
      <c r="G362" t="n">
        <v>3.5</v>
      </c>
      <c r="H362" t="n">
        <v>0</v>
      </c>
      <c r="I362" t="n">
        <v>0</v>
      </c>
      <c r="J362" t="n">
        <v>0</v>
      </c>
      <c r="K362" t="n">
        <v>0</v>
      </c>
      <c r="L362" t="n">
        <v>0</v>
      </c>
      <c r="M362" t="n">
        <v>0</v>
      </c>
      <c r="N362" t="n">
        <v>0</v>
      </c>
      <c r="O362" t="n">
        <v>0</v>
      </c>
      <c r="P362" t="n">
        <v>0</v>
      </c>
      <c r="Q362" t="n">
        <v>0</v>
      </c>
      <c r="R362" s="2" t="inlineStr"/>
    </row>
    <row r="363" ht="15" customHeight="1">
      <c r="A363" t="inlineStr">
        <is>
          <t>A 51951-2021</t>
        </is>
      </c>
      <c r="B363" s="1" t="n">
        <v>44462</v>
      </c>
      <c r="C363" s="1" t="n">
        <v>45355</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54766-2021</t>
        </is>
      </c>
      <c r="B364" s="1" t="n">
        <v>44473</v>
      </c>
      <c r="C364" s="1" t="n">
        <v>45355</v>
      </c>
      <c r="D364" t="inlineStr">
        <is>
          <t>JÄMTLANDS LÄN</t>
        </is>
      </c>
      <c r="E364" t="inlineStr">
        <is>
          <t>BERG</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45355</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45355</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45355</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45355</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45355</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45355</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45355</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45355</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45355</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45355</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45355</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45355</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45355</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45355</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45355</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45355</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45355</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45355</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45355</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45355</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45355</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45355</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45355</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45355</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45355</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45355</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45355</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45355</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45355</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45355</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45355</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45355</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45355</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45355</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45355</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45355</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45355</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45355</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45355</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45355</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45355</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45355</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45355</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45355</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45355</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45355</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45355</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45355</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45355</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45355</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45355</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45355</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45355</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45355</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45355</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45355</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45355</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45355</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45355</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45355</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45355</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45355</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45355</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45355</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45355</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45355</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45355</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45355</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45355</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45355</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45355</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45355</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45355</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45355</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45355</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45355</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45355</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45355</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45355</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45355</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45355</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45355</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45355</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45355</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45355</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45355</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45355</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45355</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45355</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45355</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45355</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45355</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45355</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45355</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45355</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45355</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45355</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45355</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45355</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45355</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45355</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45355</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45355</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45355</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45355</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45355</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45355</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45355</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45355</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45355</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45355</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45355</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45355</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45355</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45355</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45355</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45355</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45355</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45355</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45355</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45355</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45355</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45355</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45355</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45355</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45355</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45355</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45355</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45355</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45355</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45355</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45355</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45355</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45355</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45355</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45355</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45355</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45355</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45355</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45355</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45355</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45355</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45355</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45355</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45355</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45355</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45355</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45355</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45355</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45355</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45355</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45355</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45355</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45355</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45355</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45355</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45355</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45355</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45355</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45355</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45355</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45355</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45355</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45355</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45355</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45355</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45355</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45355</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45355</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45355</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45355</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45355</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45355</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45355</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45355</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45355</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45355</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45355</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45355</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45355</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45355</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45355</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45355</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45355</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45355</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45355</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45355</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45355</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45355</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45355</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45355</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45355</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45355</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45355</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45355</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45355</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45355</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45355</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45355</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45355</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45355</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45355</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45355</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45355</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45355</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45355</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45355</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45355</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45355</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45355</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45355</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45355</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45355</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45355</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45355</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45355</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45355</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45355</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45355</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45355</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45355</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45355</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45355</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45355</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45355</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45355</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45355</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45355</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45355</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45355</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45355</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45355</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45355</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45355</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45355</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45355</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45355</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45355</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45355</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45355</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45355</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45355</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45355</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45355</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45355</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45355</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45355</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45355</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45355</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45355</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45355</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45355</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45355</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45355</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45355</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45355</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45355</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45355</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45355</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45355</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45355</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45355</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45355</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45355</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45355</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45355</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45355</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45355</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45355</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45355</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45355</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45355</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45355</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45355</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45355</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45355</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45355</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45355</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45355</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45355</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45355</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45355</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45355</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45355</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45355</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45355</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45355</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45355</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45355</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45355</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45355</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45355</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45355</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45355</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45355</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45355</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45355</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45355</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45355</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45355</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45355</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45355</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45355</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45355</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45355</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45355</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45355</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45355</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45355</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45355</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45355</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45355</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45355</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45355</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45355</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45355</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45355</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45355</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45355</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45355</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45355</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45355</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45355</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45355</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45355</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45355</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45355</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45355</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45355</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45355</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45355</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45355</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45355</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45355</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45355</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45355</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45355</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45355</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45355</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45355</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45355</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45355</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45355</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45355</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45355</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45355</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45355</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45355</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45355</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45355</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45355</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45355</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45355</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45355</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45355</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45355</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45355</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45355</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45355</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45355</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45355</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45355</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45355</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45355</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45355</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45355</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45355</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45355</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45355</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45355</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45355</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45355</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45355</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45355</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45355</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45355</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45355</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45355</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45355</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45355</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45355</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45355</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45355</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45355</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45355</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45355</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45355</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45355</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45355</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45355</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45355</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45355</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45355</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45355</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45355</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45355</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45355</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45355</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45355</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45355</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45355</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45355</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45355</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45355</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45355</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45355</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45355</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45355</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45355</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45355</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45355</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45355</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45355</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45355</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45355</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45355</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45355</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45355</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45355</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45355</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45355</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45355</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45355</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45355</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45355</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45355</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45355</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45355</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45355</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45355</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45355</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45355</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45355</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45355</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45355</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45355</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45355</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45355</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45355</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45355</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45355</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45355</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45355</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45355</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45355</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45355</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45355</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45355</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45355</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45355</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45355</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45355</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45355</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45355</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45355</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45355</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45355</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45355</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45355</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45355</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45355</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45355</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45355</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45355</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45355</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45355</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45355</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45355</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45355</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45355</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45355</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45355</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45355</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45355</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45355</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45355</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45355</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45355</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45355</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45355</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45355</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45355</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45355</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45355</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45355</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45355</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45355</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45355</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45355</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45355</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45355</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45355</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45355</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45355</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45355</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45355</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45355</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45355</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45355</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45355</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45355</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45355</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45355</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45355</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45355</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45355</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45355</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45355</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45355</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45355</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45355</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45355</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45355</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45355</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45355</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45355</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45355</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45355</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45355</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45355</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45355</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45355</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45355</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45355</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45355</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45355</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45355</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45355</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45355</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45355</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45355</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45355</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45355</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45355</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45355</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45355</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45355</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45355</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45355</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45355</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45355</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45355</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45355</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45355</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45355</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45355</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45355</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45355</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45355</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45355</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45355</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45355</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45355</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45355</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45355</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45355</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45355</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4561-2024</t>
        </is>
      </c>
      <c r="B922" s="1" t="n">
        <v>45327</v>
      </c>
      <c r="C922" s="1" t="n">
        <v>45355</v>
      </c>
      <c r="D922" t="inlineStr">
        <is>
          <t>JÄMTLANDS LÄN</t>
        </is>
      </c>
      <c r="E922" t="inlineStr">
        <is>
          <t>BERG</t>
        </is>
      </c>
      <c r="G922" t="n">
        <v>7.4</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45355</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45355</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45355</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45355</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45355</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45355</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45355</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45355</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45355</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7195-2024</t>
        </is>
      </c>
      <c r="B932" s="1" t="n">
        <v>45344</v>
      </c>
      <c r="C932" s="1" t="n">
        <v>45355</v>
      </c>
      <c r="D932" t="inlineStr">
        <is>
          <t>JÄMTLANDS LÄN</t>
        </is>
      </c>
      <c r="E932" t="inlineStr">
        <is>
          <t>BERG</t>
        </is>
      </c>
      <c r="G932" t="n">
        <v>4.2</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45355</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45355</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ht="15" customHeight="1">
      <c r="A935" t="inlineStr">
        <is>
          <t>A 7744-2024</t>
        </is>
      </c>
      <c r="B935" s="1" t="n">
        <v>45349</v>
      </c>
      <c r="C935" s="1" t="n">
        <v>45355</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8052-2024</t>
        </is>
      </c>
      <c r="B936" s="1" t="n">
        <v>45351</v>
      </c>
      <c r="C936" s="1" t="n">
        <v>45355</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8067-2024</t>
        </is>
      </c>
      <c r="B937" s="1" t="n">
        <v>45351</v>
      </c>
      <c r="C937" s="1" t="n">
        <v>45355</v>
      </c>
      <c r="D937" t="inlineStr">
        <is>
          <t>JÄMTLANDS LÄN</t>
        </is>
      </c>
      <c r="E937" t="inlineStr">
        <is>
          <t>BERG</t>
        </is>
      </c>
      <c r="G937" t="n">
        <v>1.3</v>
      </c>
      <c r="H937" t="n">
        <v>0</v>
      </c>
      <c r="I937" t="n">
        <v>0</v>
      </c>
      <c r="J937" t="n">
        <v>0</v>
      </c>
      <c r="K937" t="n">
        <v>0</v>
      </c>
      <c r="L937" t="n">
        <v>0</v>
      </c>
      <c r="M937" t="n">
        <v>0</v>
      </c>
      <c r="N937" t="n">
        <v>0</v>
      </c>
      <c r="O937" t="n">
        <v>0</v>
      </c>
      <c r="P937" t="n">
        <v>0</v>
      </c>
      <c r="Q937" t="n">
        <v>0</v>
      </c>
      <c r="R937" s="2" t="inlineStr"/>
    </row>
    <row r="938" ht="15" customHeight="1">
      <c r="A938" t="inlineStr">
        <is>
          <t>A 8070-2024</t>
        </is>
      </c>
      <c r="B938" s="1" t="n">
        <v>45351</v>
      </c>
      <c r="C938" s="1" t="n">
        <v>45355</v>
      </c>
      <c r="D938" t="inlineStr">
        <is>
          <t>JÄMTLANDS LÄN</t>
        </is>
      </c>
      <c r="E938" t="inlineStr">
        <is>
          <t>BERG</t>
        </is>
      </c>
      <c r="G938" t="n">
        <v>3.9</v>
      </c>
      <c r="H938" t="n">
        <v>0</v>
      </c>
      <c r="I938" t="n">
        <v>0</v>
      </c>
      <c r="J938" t="n">
        <v>0</v>
      </c>
      <c r="K938" t="n">
        <v>0</v>
      </c>
      <c r="L938" t="n">
        <v>0</v>
      </c>
      <c r="M938" t="n">
        <v>0</v>
      </c>
      <c r="N938" t="n">
        <v>0</v>
      </c>
      <c r="O938" t="n">
        <v>0</v>
      </c>
      <c r="P938" t="n">
        <v>0</v>
      </c>
      <c r="Q938" t="n">
        <v>0</v>
      </c>
      <c r="R938" s="2" t="inlineStr"/>
    </row>
    <row r="939" ht="15" customHeight="1">
      <c r="A939" t="inlineStr">
        <is>
          <t>A 8065-2024</t>
        </is>
      </c>
      <c r="B939" s="1" t="n">
        <v>45351</v>
      </c>
      <c r="C939" s="1" t="n">
        <v>45355</v>
      </c>
      <c r="D939" t="inlineStr">
        <is>
          <t>JÄMTLANDS LÄN</t>
        </is>
      </c>
      <c r="E939" t="inlineStr">
        <is>
          <t>BERG</t>
        </is>
      </c>
      <c r="G939" t="n">
        <v>6.9</v>
      </c>
      <c r="H939" t="n">
        <v>0</v>
      </c>
      <c r="I939" t="n">
        <v>0</v>
      </c>
      <c r="J939" t="n">
        <v>0</v>
      </c>
      <c r="K939" t="n">
        <v>0</v>
      </c>
      <c r="L939" t="n">
        <v>0</v>
      </c>
      <c r="M939" t="n">
        <v>0</v>
      </c>
      <c r="N939" t="n">
        <v>0</v>
      </c>
      <c r="O939" t="n">
        <v>0</v>
      </c>
      <c r="P939" t="n">
        <v>0</v>
      </c>
      <c r="Q939" t="n">
        <v>0</v>
      </c>
      <c r="R939" s="2" t="inlineStr"/>
    </row>
    <row r="940" ht="15" customHeight="1">
      <c r="A940" t="inlineStr">
        <is>
          <t>A 8069-2024</t>
        </is>
      </c>
      <c r="B940" s="1" t="n">
        <v>45351</v>
      </c>
      <c r="C940" s="1" t="n">
        <v>45355</v>
      </c>
      <c r="D940" t="inlineStr">
        <is>
          <t>JÄMTLANDS LÄN</t>
        </is>
      </c>
      <c r="E940" t="inlineStr">
        <is>
          <t>BERG</t>
        </is>
      </c>
      <c r="G940" t="n">
        <v>1.2</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45355</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8238-2024</t>
        </is>
      </c>
      <c r="B942" s="1" t="n">
        <v>45352</v>
      </c>
      <c r="C942" s="1" t="n">
        <v>45355</v>
      </c>
      <c r="D942" t="inlineStr">
        <is>
          <t>JÄMTLANDS LÄN</t>
        </is>
      </c>
      <c r="E942" t="inlineStr">
        <is>
          <t>BERG</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8239-2024</t>
        </is>
      </c>
      <c r="B943" s="1" t="n">
        <v>45352</v>
      </c>
      <c r="C943" s="1" t="n">
        <v>45355</v>
      </c>
      <c r="D943" t="inlineStr">
        <is>
          <t>JÄMTLANDS LÄN</t>
        </is>
      </c>
      <c r="E943" t="inlineStr">
        <is>
          <t>BERG</t>
        </is>
      </c>
      <c r="F943" t="inlineStr">
        <is>
          <t>SCA</t>
        </is>
      </c>
      <c r="G943" t="n">
        <v>3.6</v>
      </c>
      <c r="H943" t="n">
        <v>0</v>
      </c>
      <c r="I943" t="n">
        <v>0</v>
      </c>
      <c r="J943" t="n">
        <v>0</v>
      </c>
      <c r="K943" t="n">
        <v>0</v>
      </c>
      <c r="L943" t="n">
        <v>0</v>
      </c>
      <c r="M943" t="n">
        <v>0</v>
      </c>
      <c r="N943" t="n">
        <v>0</v>
      </c>
      <c r="O943" t="n">
        <v>0</v>
      </c>
      <c r="P943" t="n">
        <v>0</v>
      </c>
      <c r="Q943" t="n">
        <v>0</v>
      </c>
      <c r="R943" s="2" t="inlineStr"/>
    </row>
    <row r="944">
      <c r="A944" t="inlineStr">
        <is>
          <t>A 8424-2024</t>
        </is>
      </c>
      <c r="B944" s="1" t="n">
        <v>45353</v>
      </c>
      <c r="C944" s="1" t="n">
        <v>45355</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2024-03-04T12:59:32Z</dcterms:created>
  <dcterms:modified xmlns:dcterms="http://purl.org/dc/terms/" xmlns:xsi="http://www.w3.org/2001/XMLSchema-instance" xsi:type="dcterms:W3CDTF">2024-03-04T12:59:33Z</dcterms:modified>
</cp:coreProperties>
</file>