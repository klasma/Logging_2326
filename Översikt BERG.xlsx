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45986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45986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45986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45986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45986</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45986</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45986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58015-2025</t>
        </is>
      </c>
      <c r="B13" s="1" t="n">
        <v>45982.46971064815</v>
      </c>
      <c r="C13" s="1" t="n">
        <v>45986</v>
      </c>
      <c r="D13" t="inlineStr">
        <is>
          <t>JÄMTLANDS LÄN</t>
        </is>
      </c>
      <c r="E13" t="inlineStr">
        <is>
          <t>BERG</t>
        </is>
      </c>
      <c r="F13" t="inlineStr">
        <is>
          <t>SCA</t>
        </is>
      </c>
      <c r="G13" t="n">
        <v>5.3</v>
      </c>
      <c r="H13" t="n">
        <v>3</v>
      </c>
      <c r="I13" t="n">
        <v>2</v>
      </c>
      <c r="J13" t="n">
        <v>15</v>
      </c>
      <c r="K13" t="n">
        <v>2</v>
      </c>
      <c r="L13" t="n">
        <v>0</v>
      </c>
      <c r="M13" t="n">
        <v>0</v>
      </c>
      <c r="N13" t="n">
        <v>0</v>
      </c>
      <c r="O13" t="n">
        <v>17</v>
      </c>
      <c r="P13" t="n">
        <v>2</v>
      </c>
      <c r="Q13" t="n">
        <v>19</v>
      </c>
      <c r="R1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3">
        <f>HYPERLINK("https://klasma.github.io/Logging_2326/artfynd/A 58015-2025 artfynd.xlsx", "A 58015-2025")</f>
        <v/>
      </c>
      <c r="T13">
        <f>HYPERLINK("https://klasma.github.io/Logging_2326/kartor/A 58015-2025 karta.png", "A 58015-2025")</f>
        <v/>
      </c>
      <c r="V13">
        <f>HYPERLINK("https://klasma.github.io/Logging_2326/klagomål/A 58015-2025 FSC-klagomål.docx", "A 58015-2025")</f>
        <v/>
      </c>
      <c r="W13">
        <f>HYPERLINK("https://klasma.github.io/Logging_2326/klagomålsmail/A 58015-2025 FSC-klagomål mail.docx", "A 58015-2025")</f>
        <v/>
      </c>
      <c r="X13">
        <f>HYPERLINK("https://klasma.github.io/Logging_2326/tillsyn/A 58015-2025 tillsynsbegäran.docx", "A 58015-2025")</f>
        <v/>
      </c>
      <c r="Y13">
        <f>HYPERLINK("https://klasma.github.io/Logging_2326/tillsynsmail/A 58015-2025 tillsynsbegäran mail.docx", "A 58015-2025")</f>
        <v/>
      </c>
      <c r="Z13">
        <f>HYPERLINK("https://klasma.github.io/Logging_2326/fåglar/A 58015-2025 prioriterade fågelarter.docx", "A 58015-2025")</f>
        <v/>
      </c>
    </row>
    <row r="14" ht="15" customHeight="1">
      <c r="A14" t="inlineStr">
        <is>
          <t>A 40429-2025</t>
        </is>
      </c>
      <c r="B14" s="1" t="n">
        <v>45895</v>
      </c>
      <c r="C14" s="1" t="n">
        <v>45986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45986</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45986</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45986</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45986</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45986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45986</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33400-2024</t>
        </is>
      </c>
      <c r="B21" s="1" t="n">
        <v>45519</v>
      </c>
      <c r="C21" s="1" t="n">
        <v>45986</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45986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45986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45986</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45986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45986</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45986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45986</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45986</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45986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45986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45986</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45986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45986</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45986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45986</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45986</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45986</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45986</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39288-2025</t>
        </is>
      </c>
      <c r="B40" s="1" t="n">
        <v>45889</v>
      </c>
      <c r="C40" s="1" t="n">
        <v>45986</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45986</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43991-2023</t>
        </is>
      </c>
      <c r="B42" s="1" t="n">
        <v>45187</v>
      </c>
      <c r="C42" s="1" t="n">
        <v>45986</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45986</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45986</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40860-2025</t>
        </is>
      </c>
      <c r="B45" s="1" t="n">
        <v>45897.56300925926</v>
      </c>
      <c r="C45" s="1" t="n">
        <v>45986</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37406-2022</t>
        </is>
      </c>
      <c r="B46" s="1" t="n">
        <v>44806</v>
      </c>
      <c r="C46" s="1" t="n">
        <v>45986</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45986</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33044-2024</t>
        </is>
      </c>
      <c r="B48" s="1" t="n">
        <v>45517</v>
      </c>
      <c r="C48" s="1" t="n">
        <v>45986</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45986</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35538-2025</t>
        </is>
      </c>
      <c r="B50" s="1" t="n">
        <v>45856.4552662037</v>
      </c>
      <c r="C50" s="1" t="n">
        <v>45986</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12752-2024</t>
        </is>
      </c>
      <c r="B51" s="1" t="n">
        <v>45384</v>
      </c>
      <c r="C51" s="1" t="n">
        <v>45986</v>
      </c>
      <c r="D51" t="inlineStr">
        <is>
          <t>JÄMTLANDS LÄN</t>
        </is>
      </c>
      <c r="E51" t="inlineStr">
        <is>
          <t>BERG</t>
        </is>
      </c>
      <c r="G51" t="n">
        <v>15.3</v>
      </c>
      <c r="H51" t="n">
        <v>3</v>
      </c>
      <c r="I51" t="n">
        <v>1</v>
      </c>
      <c r="J51" t="n">
        <v>4</v>
      </c>
      <c r="K51" t="n">
        <v>1</v>
      </c>
      <c r="L51" t="n">
        <v>0</v>
      </c>
      <c r="M51" t="n">
        <v>0</v>
      </c>
      <c r="N51" t="n">
        <v>0</v>
      </c>
      <c r="O51" t="n">
        <v>5</v>
      </c>
      <c r="P51" t="n">
        <v>1</v>
      </c>
      <c r="Q51" t="n">
        <v>7</v>
      </c>
      <c r="R51" s="2" t="inlineStr">
        <is>
          <t>Ulltickeporing
Garnlav
Lunglav
Tretåig hackspett
Ullticka
Spindelblomster
Fläcknycklar</t>
        </is>
      </c>
      <c r="S51">
        <f>HYPERLINK("https://klasma.github.io/Logging_2326/artfynd/A 12752-2024 artfynd.xlsx", "A 12752-2024")</f>
        <v/>
      </c>
      <c r="T51">
        <f>HYPERLINK("https://klasma.github.io/Logging_2326/kartor/A 12752-2024 karta.png", "A 12752-2024")</f>
        <v/>
      </c>
      <c r="V51">
        <f>HYPERLINK("https://klasma.github.io/Logging_2326/klagomål/A 12752-2024 FSC-klagomål.docx", "A 12752-2024")</f>
        <v/>
      </c>
      <c r="W51">
        <f>HYPERLINK("https://klasma.github.io/Logging_2326/klagomålsmail/A 12752-2024 FSC-klagomål mail.docx", "A 12752-2024")</f>
        <v/>
      </c>
      <c r="X51">
        <f>HYPERLINK("https://klasma.github.io/Logging_2326/tillsyn/A 12752-2024 tillsynsbegäran.docx", "A 12752-2024")</f>
        <v/>
      </c>
      <c r="Y51">
        <f>HYPERLINK("https://klasma.github.io/Logging_2326/tillsynsmail/A 12752-2024 tillsynsbegäran mail.docx", "A 12752-2024")</f>
        <v/>
      </c>
      <c r="Z51">
        <f>HYPERLINK("https://klasma.github.io/Logging_2326/fåglar/A 12752-2024 prioriterade fågelarter.docx", "A 12752-2024")</f>
        <v/>
      </c>
    </row>
    <row r="52" ht="15" customHeight="1">
      <c r="A52" t="inlineStr">
        <is>
          <t>A 21519-2025</t>
        </is>
      </c>
      <c r="B52" s="1" t="n">
        <v>45782</v>
      </c>
      <c r="C52" s="1" t="n">
        <v>45986</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45986</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31719-2022</t>
        </is>
      </c>
      <c r="B54" s="1" t="n">
        <v>44776</v>
      </c>
      <c r="C54" s="1" t="n">
        <v>45986</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45986</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45986</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49626-2024</t>
        </is>
      </c>
      <c r="B57" s="1" t="n">
        <v>45596.59109953704</v>
      </c>
      <c r="C57" s="1" t="n">
        <v>45986</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54406-2023</t>
        </is>
      </c>
      <c r="B58" s="1" t="n">
        <v>45233.38612268519</v>
      </c>
      <c r="C58" s="1" t="n">
        <v>45986</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45986</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45986</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45986</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45986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45986</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46938-2025</t>
        </is>
      </c>
      <c r="B64" s="1" t="n">
        <v>45929.45290509259</v>
      </c>
      <c r="C64" s="1" t="n">
        <v>45986</v>
      </c>
      <c r="D64" t="inlineStr">
        <is>
          <t>JÄMTLANDS LÄN</t>
        </is>
      </c>
      <c r="E64" t="inlineStr">
        <is>
          <t>BERG</t>
        </is>
      </c>
      <c r="G64" t="n">
        <v>10.7</v>
      </c>
      <c r="H64" t="n">
        <v>2</v>
      </c>
      <c r="I64" t="n">
        <v>3</v>
      </c>
      <c r="J64" t="n">
        <v>2</v>
      </c>
      <c r="K64" t="n">
        <v>0</v>
      </c>
      <c r="L64" t="n">
        <v>0</v>
      </c>
      <c r="M64" t="n">
        <v>0</v>
      </c>
      <c r="N64" t="n">
        <v>0</v>
      </c>
      <c r="O64" t="n">
        <v>2</v>
      </c>
      <c r="P64" t="n">
        <v>0</v>
      </c>
      <c r="Q64" t="n">
        <v>5</v>
      </c>
      <c r="R64" s="2" t="inlineStr">
        <is>
          <t>Harticka
Ullticka
Korallrot
Spindelblomster
Ögonpyrola</t>
        </is>
      </c>
      <c r="S64">
        <f>HYPERLINK("https://klasma.github.io/Logging_2326/artfynd/A 46938-2025 artfynd.xlsx", "A 46938-2025")</f>
        <v/>
      </c>
      <c r="T64">
        <f>HYPERLINK("https://klasma.github.io/Logging_2326/kartor/A 46938-2025 karta.png", "A 46938-2025")</f>
        <v/>
      </c>
      <c r="V64">
        <f>HYPERLINK("https://klasma.github.io/Logging_2326/klagomål/A 46938-2025 FSC-klagomål.docx", "A 46938-2025")</f>
        <v/>
      </c>
      <c r="W64">
        <f>HYPERLINK("https://klasma.github.io/Logging_2326/klagomålsmail/A 46938-2025 FSC-klagomål mail.docx", "A 46938-2025")</f>
        <v/>
      </c>
      <c r="X64">
        <f>HYPERLINK("https://klasma.github.io/Logging_2326/tillsyn/A 46938-2025 tillsynsbegäran.docx", "A 46938-2025")</f>
        <v/>
      </c>
      <c r="Y64">
        <f>HYPERLINK("https://klasma.github.io/Logging_2326/tillsynsmail/A 46938-2025 tillsynsbegäran mail.docx", "A 46938-2025")</f>
        <v/>
      </c>
    </row>
    <row r="65" ht="15" customHeight="1">
      <c r="A65" t="inlineStr">
        <is>
          <t>A 12966-2024</t>
        </is>
      </c>
      <c r="B65" s="1" t="n">
        <v>45385</v>
      </c>
      <c r="C65" s="1" t="n">
        <v>45986</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45986</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20337-2025</t>
        </is>
      </c>
      <c r="B67" s="1" t="n">
        <v>45775.36545138889</v>
      </c>
      <c r="C67" s="1" t="n">
        <v>45986</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12973-2024</t>
        </is>
      </c>
      <c r="B68" s="1" t="n">
        <v>45385.51104166666</v>
      </c>
      <c r="C68" s="1" t="n">
        <v>45986</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19530-2025</t>
        </is>
      </c>
      <c r="B69" s="1" t="n">
        <v>45770.46903935185</v>
      </c>
      <c r="C69" s="1" t="n">
        <v>45986</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54841-2022</t>
        </is>
      </c>
      <c r="B70" s="1" t="n">
        <v>44883</v>
      </c>
      <c r="C70" s="1" t="n">
        <v>45986</v>
      </c>
      <c r="D70" t="inlineStr">
        <is>
          <t>JÄMTLANDS LÄN</t>
        </is>
      </c>
      <c r="E70" t="inlineStr">
        <is>
          <t>BERG</t>
        </is>
      </c>
      <c r="F70" t="inlineStr">
        <is>
          <t>SCA</t>
        </is>
      </c>
      <c r="G70" t="n">
        <v>21.9</v>
      </c>
      <c r="H70" t="n">
        <v>0</v>
      </c>
      <c r="I70" t="n">
        <v>0</v>
      </c>
      <c r="J70" t="n">
        <v>2</v>
      </c>
      <c r="K70" t="n">
        <v>3</v>
      </c>
      <c r="L70" t="n">
        <v>0</v>
      </c>
      <c r="M70" t="n">
        <v>0</v>
      </c>
      <c r="N70" t="n">
        <v>0</v>
      </c>
      <c r="O70" t="n">
        <v>5</v>
      </c>
      <c r="P70" t="n">
        <v>3</v>
      </c>
      <c r="Q70" t="n">
        <v>5</v>
      </c>
      <c r="R70" s="2" t="inlineStr">
        <is>
          <t>Fläckporing
Gräddporing
Smalfotad taggsvamp
Dvärgbägarlav
Vedflamlav</t>
        </is>
      </c>
      <c r="S70">
        <f>HYPERLINK("https://klasma.github.io/Logging_2326/artfynd/A 54841-2022 artfynd.xlsx", "A 54841-2022")</f>
        <v/>
      </c>
      <c r="T70">
        <f>HYPERLINK("https://klasma.github.io/Logging_2326/kartor/A 54841-2022 karta.png", "A 54841-2022")</f>
        <v/>
      </c>
      <c r="V70">
        <f>HYPERLINK("https://klasma.github.io/Logging_2326/klagomål/A 54841-2022 FSC-klagomål.docx", "A 54841-2022")</f>
        <v/>
      </c>
      <c r="W70">
        <f>HYPERLINK("https://klasma.github.io/Logging_2326/klagomålsmail/A 54841-2022 FSC-klagomål mail.docx", "A 54841-2022")</f>
        <v/>
      </c>
      <c r="X70">
        <f>HYPERLINK("https://klasma.github.io/Logging_2326/tillsyn/A 54841-2022 tillsynsbegäran.docx", "A 54841-2022")</f>
        <v/>
      </c>
      <c r="Y70">
        <f>HYPERLINK("https://klasma.github.io/Logging_2326/tillsynsmail/A 54841-2022 tillsynsbegäran mail.docx", "A 54841-2022")</f>
        <v/>
      </c>
    </row>
    <row r="71" ht="15" customHeight="1">
      <c r="A71" t="inlineStr">
        <is>
          <t>A 54979-2021</t>
        </is>
      </c>
      <c r="B71" s="1" t="n">
        <v>44474.53888888889</v>
      </c>
      <c r="C71" s="1" t="n">
        <v>45986</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45986</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45986</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12962-2024</t>
        </is>
      </c>
      <c r="B74" s="1" t="n">
        <v>45385.49314814815</v>
      </c>
      <c r="C74" s="1" t="n">
        <v>45986</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45986</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25871-2025</t>
        </is>
      </c>
      <c r="B76" s="1" t="n">
        <v>45804.4903125</v>
      </c>
      <c r="C76" s="1" t="n">
        <v>45986</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59823-2022</t>
        </is>
      </c>
      <c r="B77" s="1" t="n">
        <v>44900</v>
      </c>
      <c r="C77" s="1" t="n">
        <v>45986</v>
      </c>
      <c r="D77" t="inlineStr">
        <is>
          <t>JÄMTLANDS LÄN</t>
        </is>
      </c>
      <c r="E77" t="inlineStr">
        <is>
          <t>BERG</t>
        </is>
      </c>
      <c r="G77" t="n">
        <v>14.8</v>
      </c>
      <c r="H77" t="n">
        <v>2</v>
      </c>
      <c r="I77" t="n">
        <v>0</v>
      </c>
      <c r="J77" t="n">
        <v>2</v>
      </c>
      <c r="K77" t="n">
        <v>0</v>
      </c>
      <c r="L77" t="n">
        <v>0</v>
      </c>
      <c r="M77" t="n">
        <v>0</v>
      </c>
      <c r="N77" t="n">
        <v>0</v>
      </c>
      <c r="O77" t="n">
        <v>2</v>
      </c>
      <c r="P77" t="n">
        <v>0</v>
      </c>
      <c r="Q77" t="n">
        <v>4</v>
      </c>
      <c r="R77" s="2" t="inlineStr">
        <is>
          <t>Garnlav
Granticka
Orre
Fläcknycklar</t>
        </is>
      </c>
      <c r="S77">
        <f>HYPERLINK("https://klasma.github.io/Logging_2326/artfynd/A 59823-2022 artfynd.xlsx", "A 59823-2022")</f>
        <v/>
      </c>
      <c r="T77">
        <f>HYPERLINK("https://klasma.github.io/Logging_2326/kartor/A 59823-2022 karta.png", "A 59823-2022")</f>
        <v/>
      </c>
      <c r="V77">
        <f>HYPERLINK("https://klasma.github.io/Logging_2326/klagomål/A 59823-2022 FSC-klagomål.docx", "A 59823-2022")</f>
        <v/>
      </c>
      <c r="W77">
        <f>HYPERLINK("https://klasma.github.io/Logging_2326/klagomålsmail/A 59823-2022 FSC-klagomål mail.docx", "A 59823-2022")</f>
        <v/>
      </c>
      <c r="X77">
        <f>HYPERLINK("https://klasma.github.io/Logging_2326/tillsyn/A 59823-2022 tillsynsbegäran.docx", "A 59823-2022")</f>
        <v/>
      </c>
      <c r="Y77">
        <f>HYPERLINK("https://klasma.github.io/Logging_2326/tillsynsmail/A 59823-2022 tillsynsbegäran mail.docx", "A 59823-2022")</f>
        <v/>
      </c>
      <c r="Z77">
        <f>HYPERLINK("https://klasma.github.io/Logging_2326/fåglar/A 59823-2022 prioriterade fågelarter.docx", "A 59823-2022")</f>
        <v/>
      </c>
    </row>
    <row r="78" ht="15" customHeight="1">
      <c r="A78" t="inlineStr">
        <is>
          <t>A 27574-2025</t>
        </is>
      </c>
      <c r="B78" s="1" t="n">
        <v>45813.49072916667</v>
      </c>
      <c r="C78" s="1" t="n">
        <v>45986</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27100-2025</t>
        </is>
      </c>
      <c r="B79" s="1" t="n">
        <v>45811.67803240741</v>
      </c>
      <c r="C79" s="1" t="n">
        <v>45986</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56224-2024</t>
        </is>
      </c>
      <c r="B80" s="1" t="n">
        <v>45624.61491898148</v>
      </c>
      <c r="C80" s="1" t="n">
        <v>45986</v>
      </c>
      <c r="D80" t="inlineStr">
        <is>
          <t>JÄMTLANDS LÄN</t>
        </is>
      </c>
      <c r="E80" t="inlineStr">
        <is>
          <t>BERG</t>
        </is>
      </c>
      <c r="F80" t="inlineStr">
        <is>
          <t>SCA</t>
        </is>
      </c>
      <c r="G80" t="n">
        <v>21</v>
      </c>
      <c r="H80" t="n">
        <v>0</v>
      </c>
      <c r="I80" t="n">
        <v>0</v>
      </c>
      <c r="J80" t="n">
        <v>4</v>
      </c>
      <c r="K80" t="n">
        <v>0</v>
      </c>
      <c r="L80" t="n">
        <v>0</v>
      </c>
      <c r="M80" t="n">
        <v>0</v>
      </c>
      <c r="N80" t="n">
        <v>0</v>
      </c>
      <c r="O80" t="n">
        <v>4</v>
      </c>
      <c r="P80" t="n">
        <v>0</v>
      </c>
      <c r="Q80" t="n">
        <v>4</v>
      </c>
      <c r="R80" s="2" t="inlineStr">
        <is>
          <t>Dvärgbägarlav
Nordtagging
Vedflamlav
Vedskivlav</t>
        </is>
      </c>
      <c r="S80">
        <f>HYPERLINK("https://klasma.github.io/Logging_2326/artfynd/A 56224-2024 artfynd.xlsx", "A 56224-2024")</f>
        <v/>
      </c>
      <c r="T80">
        <f>HYPERLINK("https://klasma.github.io/Logging_2326/kartor/A 56224-2024 karta.png", "A 56224-2024")</f>
        <v/>
      </c>
      <c r="V80">
        <f>HYPERLINK("https://klasma.github.io/Logging_2326/klagomål/A 56224-2024 FSC-klagomål.docx", "A 56224-2024")</f>
        <v/>
      </c>
      <c r="W80">
        <f>HYPERLINK("https://klasma.github.io/Logging_2326/klagomålsmail/A 56224-2024 FSC-klagomål mail.docx", "A 56224-2024")</f>
        <v/>
      </c>
      <c r="X80">
        <f>HYPERLINK("https://klasma.github.io/Logging_2326/tillsyn/A 56224-2024 tillsynsbegäran.docx", "A 56224-2024")</f>
        <v/>
      </c>
      <c r="Y80">
        <f>HYPERLINK("https://klasma.github.io/Logging_2326/tillsynsmail/A 56224-2024 tillsynsbegäran mail.docx", "A 56224-2024")</f>
        <v/>
      </c>
    </row>
    <row r="81" ht="15" customHeight="1">
      <c r="A81" t="inlineStr">
        <is>
          <t>A 37381-2022</t>
        </is>
      </c>
      <c r="B81" s="1" t="n">
        <v>44806</v>
      </c>
      <c r="C81" s="1" t="n">
        <v>45986</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13487-2024</t>
        </is>
      </c>
      <c r="B82" s="1" t="n">
        <v>45387</v>
      </c>
      <c r="C82" s="1" t="n">
        <v>45986</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46795-2025</t>
        </is>
      </c>
      <c r="B83" s="1" t="n">
        <v>45926.65668981482</v>
      </c>
      <c r="C83" s="1" t="n">
        <v>45986</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7891-2022</t>
        </is>
      </c>
      <c r="B84" s="1" t="n">
        <v>44607</v>
      </c>
      <c r="C84" s="1" t="n">
        <v>45986</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31715-2025</t>
        </is>
      </c>
      <c r="B85" s="1" t="n">
        <v>45834.45671296296</v>
      </c>
      <c r="C85" s="1" t="n">
        <v>45986</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45986</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38156-2024</t>
        </is>
      </c>
      <c r="B87" s="1" t="n">
        <v>45545</v>
      </c>
      <c r="C87" s="1" t="n">
        <v>45986</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45424-2024</t>
        </is>
      </c>
      <c r="B88" s="1" t="n">
        <v>45576.60398148148</v>
      </c>
      <c r="C88" s="1" t="n">
        <v>45986</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45986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45986</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45986</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3062-2025</t>
        </is>
      </c>
      <c r="B92" s="1" t="n">
        <v>45678</v>
      </c>
      <c r="C92" s="1" t="n">
        <v>45986</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47122-2024</t>
        </is>
      </c>
      <c r="B93" s="1" t="n">
        <v>45586.5674074074</v>
      </c>
      <c r="C93" s="1" t="n">
        <v>45986</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45986</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52007-2025</t>
        </is>
      </c>
      <c r="B95" s="1" t="n">
        <v>45952.59424768519</v>
      </c>
      <c r="C95" s="1" t="n">
        <v>45986</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68433-2021</t>
        </is>
      </c>
      <c r="B96" s="1" t="n">
        <v>44529</v>
      </c>
      <c r="C96" s="1" t="n">
        <v>45986</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45986</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12995-2024</t>
        </is>
      </c>
      <c r="B98" s="1" t="n">
        <v>45385</v>
      </c>
      <c r="C98" s="1" t="n">
        <v>45986</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20242-2025</t>
        </is>
      </c>
      <c r="B99" s="1" t="n">
        <v>45772.69864583333</v>
      </c>
      <c r="C99" s="1" t="n">
        <v>45986</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49611-2025</t>
        </is>
      </c>
      <c r="B100" s="1" t="n">
        <v>45939.5735300926</v>
      </c>
      <c r="C100" s="1" t="n">
        <v>45986</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52189-2024</t>
        </is>
      </c>
      <c r="B101" s="1" t="n">
        <v>45608</v>
      </c>
      <c r="C101" s="1" t="n">
        <v>45986</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45986</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37063-2025</t>
        </is>
      </c>
      <c r="B103" s="1" t="n">
        <v>45875.38596064815</v>
      </c>
      <c r="C103" s="1" t="n">
        <v>45986</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56368-2024</t>
        </is>
      </c>
      <c r="B104" s="1" t="n">
        <v>45625.32978009259</v>
      </c>
      <c r="C104" s="1" t="n">
        <v>45986</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14599-2021</t>
        </is>
      </c>
      <c r="B105" s="1" t="n">
        <v>44279</v>
      </c>
      <c r="C105" s="1" t="n">
        <v>45986</v>
      </c>
      <c r="D105" t="inlineStr">
        <is>
          <t>JÄMTLANDS LÄN</t>
        </is>
      </c>
      <c r="E105" t="inlineStr">
        <is>
          <t>BERG</t>
        </is>
      </c>
      <c r="G105" t="n">
        <v>25.7</v>
      </c>
      <c r="H105" t="n">
        <v>1</v>
      </c>
      <c r="I105" t="n">
        <v>0</v>
      </c>
      <c r="J105" t="n">
        <v>3</v>
      </c>
      <c r="K105" t="n">
        <v>0</v>
      </c>
      <c r="L105" t="n">
        <v>0</v>
      </c>
      <c r="M105" t="n">
        <v>0</v>
      </c>
      <c r="N105" t="n">
        <v>0</v>
      </c>
      <c r="O105" t="n">
        <v>3</v>
      </c>
      <c r="P105" t="n">
        <v>0</v>
      </c>
      <c r="Q105" t="n">
        <v>3</v>
      </c>
      <c r="R105" s="2" t="inlineStr">
        <is>
          <t>Garnlav
Harticka
Tretåig hackspett</t>
        </is>
      </c>
      <c r="S105">
        <f>HYPERLINK("https://klasma.github.io/Logging_2326/artfynd/A 14599-2021 artfynd.xlsx", "A 14599-2021")</f>
        <v/>
      </c>
      <c r="T105">
        <f>HYPERLINK("https://klasma.github.io/Logging_2326/kartor/A 14599-2021 karta.png", "A 14599-2021")</f>
        <v/>
      </c>
      <c r="V105">
        <f>HYPERLINK("https://klasma.github.io/Logging_2326/klagomål/A 14599-2021 FSC-klagomål.docx", "A 14599-2021")</f>
        <v/>
      </c>
      <c r="W105">
        <f>HYPERLINK("https://klasma.github.io/Logging_2326/klagomålsmail/A 14599-2021 FSC-klagomål mail.docx", "A 14599-2021")</f>
        <v/>
      </c>
      <c r="X105">
        <f>HYPERLINK("https://klasma.github.io/Logging_2326/tillsyn/A 14599-2021 tillsynsbegäran.docx", "A 14599-2021")</f>
        <v/>
      </c>
      <c r="Y105">
        <f>HYPERLINK("https://klasma.github.io/Logging_2326/tillsynsmail/A 14599-2021 tillsynsbegäran mail.docx", "A 14599-2021")</f>
        <v/>
      </c>
      <c r="Z105">
        <f>HYPERLINK("https://klasma.github.io/Logging_2326/fåglar/A 14599-2021 prioriterade fågelarter.docx", "A 14599-2021")</f>
        <v/>
      </c>
    </row>
    <row r="106" ht="15" customHeight="1">
      <c r="A106" t="inlineStr">
        <is>
          <t>A 35925-2024</t>
        </is>
      </c>
      <c r="B106" s="1" t="n">
        <v>45533.43868055556</v>
      </c>
      <c r="C106" s="1" t="n">
        <v>45986</v>
      </c>
      <c r="D106" t="inlineStr">
        <is>
          <t>JÄMTLANDS LÄN</t>
        </is>
      </c>
      <c r="E106" t="inlineStr">
        <is>
          <t>BERG</t>
        </is>
      </c>
      <c r="G106" t="n">
        <v>21.3</v>
      </c>
      <c r="H106" t="n">
        <v>0</v>
      </c>
      <c r="I106" t="n">
        <v>1</v>
      </c>
      <c r="J106" t="n">
        <v>2</v>
      </c>
      <c r="K106" t="n">
        <v>0</v>
      </c>
      <c r="L106" t="n">
        <v>0</v>
      </c>
      <c r="M106" t="n">
        <v>0</v>
      </c>
      <c r="N106" t="n">
        <v>0</v>
      </c>
      <c r="O106" t="n">
        <v>2</v>
      </c>
      <c r="P106" t="n">
        <v>0</v>
      </c>
      <c r="Q106" t="n">
        <v>3</v>
      </c>
      <c r="R106" s="2" t="inlineStr">
        <is>
          <t>Lunglav
Parknål
Bårdlav</t>
        </is>
      </c>
      <c r="S106">
        <f>HYPERLINK("https://klasma.github.io/Logging_2326/artfynd/A 35925-2024 artfynd.xlsx", "A 35925-2024")</f>
        <v/>
      </c>
      <c r="T106">
        <f>HYPERLINK("https://klasma.github.io/Logging_2326/kartor/A 35925-2024 karta.png", "A 35925-2024")</f>
        <v/>
      </c>
      <c r="V106">
        <f>HYPERLINK("https://klasma.github.io/Logging_2326/klagomål/A 35925-2024 FSC-klagomål.docx", "A 35925-2024")</f>
        <v/>
      </c>
      <c r="W106">
        <f>HYPERLINK("https://klasma.github.io/Logging_2326/klagomålsmail/A 35925-2024 FSC-klagomål mail.docx", "A 35925-2024")</f>
        <v/>
      </c>
      <c r="X106">
        <f>HYPERLINK("https://klasma.github.io/Logging_2326/tillsyn/A 35925-2024 tillsynsbegäran.docx", "A 35925-2024")</f>
        <v/>
      </c>
      <c r="Y106">
        <f>HYPERLINK("https://klasma.github.io/Logging_2326/tillsynsmail/A 35925-2024 tillsynsbegäran mail.docx", "A 35925-2024")</f>
        <v/>
      </c>
    </row>
    <row r="107" ht="15" customHeight="1">
      <c r="A107" t="inlineStr">
        <is>
          <t>A 54999-2023</t>
        </is>
      </c>
      <c r="B107" s="1" t="n">
        <v>45236</v>
      </c>
      <c r="C107" s="1" t="n">
        <v>45986</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51950-2021</t>
        </is>
      </c>
      <c r="B108" s="1" t="n">
        <v>44462.9562037037</v>
      </c>
      <c r="C108" s="1" t="n">
        <v>45986</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45986</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50389-2025</t>
        </is>
      </c>
      <c r="B110" s="1" t="n">
        <v>45944.61539351852</v>
      </c>
      <c r="C110" s="1" t="n">
        <v>45986</v>
      </c>
      <c r="D110" t="inlineStr">
        <is>
          <t>JÄMTLANDS LÄN</t>
        </is>
      </c>
      <c r="E110" t="inlineStr">
        <is>
          <t>BERG</t>
        </is>
      </c>
      <c r="F110" t="inlineStr">
        <is>
          <t>SCA</t>
        </is>
      </c>
      <c r="G110" t="n">
        <v>11.4</v>
      </c>
      <c r="H110" t="n">
        <v>1</v>
      </c>
      <c r="I110" t="n">
        <v>0</v>
      </c>
      <c r="J110" t="n">
        <v>0</v>
      </c>
      <c r="K110" t="n">
        <v>0</v>
      </c>
      <c r="L110" t="n">
        <v>0</v>
      </c>
      <c r="M110" t="n">
        <v>0</v>
      </c>
      <c r="N110" t="n">
        <v>0</v>
      </c>
      <c r="O110" t="n">
        <v>1</v>
      </c>
      <c r="P110" t="n">
        <v>0</v>
      </c>
      <c r="Q110" t="n">
        <v>2</v>
      </c>
      <c r="R110" s="2" t="inlineStr">
        <is>
          <t>Halsfibbla
Fläcknycklar</t>
        </is>
      </c>
      <c r="S110">
        <f>HYPERLINK("https://klasma.github.io/Logging_2326/artfynd/A 50389-2025 artfynd.xlsx", "A 50389-2025")</f>
        <v/>
      </c>
      <c r="T110">
        <f>HYPERLINK("https://klasma.github.io/Logging_2326/kartor/A 50389-2025 karta.png", "A 50389-2025")</f>
        <v/>
      </c>
      <c r="V110">
        <f>HYPERLINK("https://klasma.github.io/Logging_2326/klagomål/A 50389-2025 FSC-klagomål.docx", "A 50389-2025")</f>
        <v/>
      </c>
      <c r="W110">
        <f>HYPERLINK("https://klasma.github.io/Logging_2326/klagomålsmail/A 50389-2025 FSC-klagomål mail.docx", "A 50389-2025")</f>
        <v/>
      </c>
      <c r="X110">
        <f>HYPERLINK("https://klasma.github.io/Logging_2326/tillsyn/A 50389-2025 tillsynsbegäran.docx", "A 50389-2025")</f>
        <v/>
      </c>
      <c r="Y110">
        <f>HYPERLINK("https://klasma.github.io/Logging_2326/tillsynsmail/A 50389-2025 tillsynsbegäran mail.docx", "A 50389-2025")</f>
        <v/>
      </c>
    </row>
    <row r="111" ht="15" customHeight="1">
      <c r="A111" t="inlineStr">
        <is>
          <t>A 42120-2025</t>
        </is>
      </c>
      <c r="B111" s="1" t="n">
        <v>45904.34236111111</v>
      </c>
      <c r="C111" s="1" t="n">
        <v>45986</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26748-2025</t>
        </is>
      </c>
      <c r="B112" s="1" t="n">
        <v>45810.53988425926</v>
      </c>
      <c r="C112" s="1" t="n">
        <v>45986</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52611-2025</t>
        </is>
      </c>
      <c r="B113" s="1" t="n">
        <v>45954.66971064815</v>
      </c>
      <c r="C113" s="1" t="n">
        <v>45986</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45986</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27647-2025</t>
        </is>
      </c>
      <c r="B115" s="1" t="n">
        <v>45813.59454861111</v>
      </c>
      <c r="C115" s="1" t="n">
        <v>45986</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47858-2025</t>
        </is>
      </c>
      <c r="B116" s="1" t="n">
        <v>45932.40699074074</v>
      </c>
      <c r="C116" s="1" t="n">
        <v>45986</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31709-2025</t>
        </is>
      </c>
      <c r="B117" s="1" t="n">
        <v>45834.42543981481</v>
      </c>
      <c r="C117" s="1" t="n">
        <v>45986</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19948-2025</t>
        </is>
      </c>
      <c r="B118" s="1" t="n">
        <v>45771.65668981482</v>
      </c>
      <c r="C118" s="1" t="n">
        <v>45986</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8734-2025</t>
        </is>
      </c>
      <c r="B119" s="1" t="n">
        <v>45712.53209490741</v>
      </c>
      <c r="C119" s="1" t="n">
        <v>45986</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14344-2025</t>
        </is>
      </c>
      <c r="B120" s="1" t="n">
        <v>45741</v>
      </c>
      <c r="C120" s="1" t="n">
        <v>45986</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27919-2024</t>
        </is>
      </c>
      <c r="B121" s="1" t="n">
        <v>45475.94865740741</v>
      </c>
      <c r="C121" s="1" t="n">
        <v>45986</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45986</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14588-2021</t>
        </is>
      </c>
      <c r="B123" s="1" t="n">
        <v>44279</v>
      </c>
      <c r="C123" s="1" t="n">
        <v>45986</v>
      </c>
      <c r="D123" t="inlineStr">
        <is>
          <t>JÄMTLANDS LÄN</t>
        </is>
      </c>
      <c r="E123" t="inlineStr">
        <is>
          <t>BERG</t>
        </is>
      </c>
      <c r="G123" t="n">
        <v>6.3</v>
      </c>
      <c r="H123" t="n">
        <v>0</v>
      </c>
      <c r="I123" t="n">
        <v>0</v>
      </c>
      <c r="J123" t="n">
        <v>2</v>
      </c>
      <c r="K123" t="n">
        <v>0</v>
      </c>
      <c r="L123" t="n">
        <v>0</v>
      </c>
      <c r="M123" t="n">
        <v>0</v>
      </c>
      <c r="N123" t="n">
        <v>0</v>
      </c>
      <c r="O123" t="n">
        <v>2</v>
      </c>
      <c r="P123" t="n">
        <v>0</v>
      </c>
      <c r="Q123" t="n">
        <v>2</v>
      </c>
      <c r="R123" s="2" t="inlineStr">
        <is>
          <t>Garnlav
Harticka</t>
        </is>
      </c>
      <c r="S123">
        <f>HYPERLINK("https://klasma.github.io/Logging_2326/artfynd/A 14588-2021 artfynd.xlsx", "A 14588-2021")</f>
        <v/>
      </c>
      <c r="T123">
        <f>HYPERLINK("https://klasma.github.io/Logging_2326/kartor/A 14588-2021 karta.png", "A 14588-2021")</f>
        <v/>
      </c>
      <c r="V123">
        <f>HYPERLINK("https://klasma.github.io/Logging_2326/klagomål/A 14588-2021 FSC-klagomål.docx", "A 14588-2021")</f>
        <v/>
      </c>
      <c r="W123">
        <f>HYPERLINK("https://klasma.github.io/Logging_2326/klagomålsmail/A 14588-2021 FSC-klagomål mail.docx", "A 14588-2021")</f>
        <v/>
      </c>
      <c r="X123">
        <f>HYPERLINK("https://klasma.github.io/Logging_2326/tillsyn/A 14588-2021 tillsynsbegäran.docx", "A 14588-2021")</f>
        <v/>
      </c>
      <c r="Y123">
        <f>HYPERLINK("https://klasma.github.io/Logging_2326/tillsynsmail/A 14588-2021 tillsynsbegäran mail.docx", "A 14588-2021")</f>
        <v/>
      </c>
    </row>
    <row r="124" ht="15" customHeight="1">
      <c r="A124" t="inlineStr">
        <is>
          <t>A 12745-2024</t>
        </is>
      </c>
      <c r="B124" s="1" t="n">
        <v>45384</v>
      </c>
      <c r="C124" s="1" t="n">
        <v>45986</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48880-2023</t>
        </is>
      </c>
      <c r="B125" s="1" t="n">
        <v>45209</v>
      </c>
      <c r="C125" s="1" t="n">
        <v>45986</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47-2023</t>
        </is>
      </c>
      <c r="B126" s="1" t="n">
        <v>44928</v>
      </c>
      <c r="C126" s="1" t="n">
        <v>45986</v>
      </c>
      <c r="D126" t="inlineStr">
        <is>
          <t>JÄMTLANDS LÄN</t>
        </is>
      </c>
      <c r="E126" t="inlineStr">
        <is>
          <t>BERG</t>
        </is>
      </c>
      <c r="F126" t="inlineStr">
        <is>
          <t>Naturvårdsverket</t>
        </is>
      </c>
      <c r="G126" t="n">
        <v>1.5</v>
      </c>
      <c r="H126" t="n">
        <v>1</v>
      </c>
      <c r="I126" t="n">
        <v>0</v>
      </c>
      <c r="J126" t="n">
        <v>1</v>
      </c>
      <c r="K126" t="n">
        <v>1</v>
      </c>
      <c r="L126" t="n">
        <v>0</v>
      </c>
      <c r="M126" t="n">
        <v>0</v>
      </c>
      <c r="N126" t="n">
        <v>0</v>
      </c>
      <c r="O126" t="n">
        <v>2</v>
      </c>
      <c r="P126" t="n">
        <v>1</v>
      </c>
      <c r="Q126" t="n">
        <v>2</v>
      </c>
      <c r="R126" s="2" t="inlineStr">
        <is>
          <t>Knärot
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30334-2024</t>
        </is>
      </c>
      <c r="B127" s="1" t="n">
        <v>45490.95396990741</v>
      </c>
      <c r="C127" s="1" t="n">
        <v>45986</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26944-2024</t>
        </is>
      </c>
      <c r="B128" s="1" t="n">
        <v>45470.96880787037</v>
      </c>
      <c r="C128" s="1" t="n">
        <v>45986</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45986</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45986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45986</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45986</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45986</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45986</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45986</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45986</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45986</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53708-2024</t>
        </is>
      </c>
      <c r="B138" s="1" t="n">
        <v>45615.40983796296</v>
      </c>
      <c r="C138" s="1" t="n">
        <v>45986</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33126-2024</t>
        </is>
      </c>
      <c r="B139" s="1" t="n">
        <v>45517.9575462963</v>
      </c>
      <c r="C139" s="1" t="n">
        <v>45986</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39001-2025</t>
        </is>
      </c>
      <c r="B140" s="1" t="n">
        <v>45888.344375</v>
      </c>
      <c r="C140" s="1" t="n">
        <v>45986</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24331-2025</t>
        </is>
      </c>
      <c r="B141" s="1" t="n">
        <v>45797</v>
      </c>
      <c r="C141" s="1" t="n">
        <v>45986</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49276-2024</t>
        </is>
      </c>
      <c r="B142" s="1" t="n">
        <v>45595.50819444445</v>
      </c>
      <c r="C142" s="1" t="n">
        <v>45986</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25556-2025</t>
        </is>
      </c>
      <c r="B143" s="1" t="n">
        <v>45803.45106481481</v>
      </c>
      <c r="C143" s="1" t="n">
        <v>45986</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25853-2025</t>
        </is>
      </c>
      <c r="B144" s="1" t="n">
        <v>45804.46908564815</v>
      </c>
      <c r="C144" s="1" t="n">
        <v>45986</v>
      </c>
      <c r="D144" t="inlineStr">
        <is>
          <t>JÄMTLANDS LÄN</t>
        </is>
      </c>
      <c r="E144" t="inlineStr">
        <is>
          <t>BERG</t>
        </is>
      </c>
      <c r="F144" t="inlineStr">
        <is>
          <t>SCA</t>
        </is>
      </c>
      <c r="G144" t="n">
        <v>24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25853-2025 artfynd.xlsx", "A 25853-2025")</f>
        <v/>
      </c>
      <c r="T144">
        <f>HYPERLINK("https://klasma.github.io/Logging_2326/kartor/A 25853-2025 karta.png", "A 25853-2025")</f>
        <v/>
      </c>
      <c r="V144">
        <f>HYPERLINK("https://klasma.github.io/Logging_2326/klagomål/A 25853-2025 FSC-klagomål.docx", "A 25853-2025")</f>
        <v/>
      </c>
      <c r="W144">
        <f>HYPERLINK("https://klasma.github.io/Logging_2326/klagomålsmail/A 25853-2025 FSC-klagomål mail.docx", "A 25853-2025")</f>
        <v/>
      </c>
      <c r="X144">
        <f>HYPERLINK("https://klasma.github.io/Logging_2326/tillsyn/A 25853-2025 tillsynsbegäran.docx", "A 25853-2025")</f>
        <v/>
      </c>
      <c r="Y144">
        <f>HYPERLINK("https://klasma.github.io/Logging_2326/tillsynsmail/A 25853-2025 tillsynsbegäran mail.docx", "A 25853-2025")</f>
        <v/>
      </c>
      <c r="Z144">
        <f>HYPERLINK("https://klasma.github.io/Logging_2326/fåglar/A 25853-2025 prioriterade fågelarter.docx", "A 25853-2025")</f>
        <v/>
      </c>
    </row>
    <row r="145" ht="15" customHeight="1">
      <c r="A145" t="inlineStr">
        <is>
          <t>A 56202-2021</t>
        </is>
      </c>
      <c r="B145" s="1" t="n">
        <v>44477</v>
      </c>
      <c r="C145" s="1" t="n">
        <v>45986</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53427-2025</t>
        </is>
      </c>
      <c r="B146" s="1" t="n">
        <v>45959</v>
      </c>
      <c r="C146" s="1" t="n">
        <v>45986</v>
      </c>
      <c r="D146" t="inlineStr">
        <is>
          <t>JÄMTLANDS LÄN</t>
        </is>
      </c>
      <c r="E146" t="inlineStr">
        <is>
          <t>BERG</t>
        </is>
      </c>
      <c r="F146" t="inlineStr">
        <is>
          <t>SCA</t>
        </is>
      </c>
      <c r="G146" t="n">
        <v>16.8</v>
      </c>
      <c r="H146" t="n">
        <v>1</v>
      </c>
      <c r="I146" t="n">
        <v>0</v>
      </c>
      <c r="J146" t="n">
        <v>1</v>
      </c>
      <c r="K146" t="n">
        <v>0</v>
      </c>
      <c r="L146" t="n">
        <v>0</v>
      </c>
      <c r="M146" t="n">
        <v>0</v>
      </c>
      <c r="N146" t="n">
        <v>0</v>
      </c>
      <c r="O146" t="n">
        <v>1</v>
      </c>
      <c r="P146" t="n">
        <v>0</v>
      </c>
      <c r="Q146" t="n">
        <v>1</v>
      </c>
      <c r="R146" s="2" t="inlineStr">
        <is>
          <t>Grönsångare</t>
        </is>
      </c>
      <c r="S146">
        <f>HYPERLINK("https://klasma.github.io/Logging_2326/artfynd/A 53427-2025 artfynd.xlsx", "A 53427-2025")</f>
        <v/>
      </c>
      <c r="T146">
        <f>HYPERLINK("https://klasma.github.io/Logging_2326/kartor/A 53427-2025 karta.png", "A 53427-2025")</f>
        <v/>
      </c>
      <c r="V146">
        <f>HYPERLINK("https://klasma.github.io/Logging_2326/klagomål/A 53427-2025 FSC-klagomål.docx", "A 53427-2025")</f>
        <v/>
      </c>
      <c r="W146">
        <f>HYPERLINK("https://klasma.github.io/Logging_2326/klagomålsmail/A 53427-2025 FSC-klagomål mail.docx", "A 53427-2025")</f>
        <v/>
      </c>
      <c r="X146">
        <f>HYPERLINK("https://klasma.github.io/Logging_2326/tillsyn/A 53427-2025 tillsynsbegäran.docx", "A 53427-2025")</f>
        <v/>
      </c>
      <c r="Y146">
        <f>HYPERLINK("https://klasma.github.io/Logging_2326/tillsynsmail/A 53427-2025 tillsynsbegäran mail.docx", "A 53427-2025")</f>
        <v/>
      </c>
      <c r="Z146">
        <f>HYPERLINK("https://klasma.github.io/Logging_2326/fåglar/A 53427-2025 prioriterade fågelarter.docx", "A 53427-2025")</f>
        <v/>
      </c>
    </row>
    <row r="147" ht="15" customHeight="1">
      <c r="A147" t="inlineStr">
        <is>
          <t>A 52193-2024</t>
        </is>
      </c>
      <c r="B147" s="1" t="n">
        <v>45608</v>
      </c>
      <c r="C147" s="1" t="n">
        <v>45986</v>
      </c>
      <c r="D147" t="inlineStr">
        <is>
          <t>JÄMTLANDS LÄN</t>
        </is>
      </c>
      <c r="E147" t="inlineStr">
        <is>
          <t>BERG</t>
        </is>
      </c>
      <c r="G147" t="n">
        <v>7.4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52193-2024 artfynd.xlsx", "A 52193-2024")</f>
        <v/>
      </c>
      <c r="T147">
        <f>HYPERLINK("https://klasma.github.io/Logging_2326/kartor/A 52193-2024 karta.png", "A 52193-2024")</f>
        <v/>
      </c>
      <c r="V147">
        <f>HYPERLINK("https://klasma.github.io/Logging_2326/klagomål/A 52193-2024 FSC-klagomål.docx", "A 52193-2024")</f>
        <v/>
      </c>
      <c r="W147">
        <f>HYPERLINK("https://klasma.github.io/Logging_2326/klagomålsmail/A 52193-2024 FSC-klagomål mail.docx", "A 52193-2024")</f>
        <v/>
      </c>
      <c r="X147">
        <f>HYPERLINK("https://klasma.github.io/Logging_2326/tillsyn/A 52193-2024 tillsynsbegäran.docx", "A 52193-2024")</f>
        <v/>
      </c>
      <c r="Y147">
        <f>HYPERLINK("https://klasma.github.io/Logging_2326/tillsynsmail/A 52193-2024 tillsynsbegäran mail.docx", "A 52193-2024")</f>
        <v/>
      </c>
      <c r="Z147">
        <f>HYPERLINK("https://klasma.github.io/Logging_2326/fåglar/A 52193-2024 prioriterade fågelarter.docx", "A 52193-2024")</f>
        <v/>
      </c>
    </row>
    <row r="148" ht="15" customHeight="1">
      <c r="A148" t="inlineStr">
        <is>
          <t>A 44259-2024</t>
        </is>
      </c>
      <c r="B148" s="1" t="n">
        <v>45573</v>
      </c>
      <c r="C148" s="1" t="n">
        <v>45986</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44259-2024 artfynd.xlsx", "A 44259-2024")</f>
        <v/>
      </c>
      <c r="T148">
        <f>HYPERLINK("https://klasma.github.io/Logging_2326/kartor/A 44259-2024 karta.png", "A 44259-2024")</f>
        <v/>
      </c>
      <c r="V148">
        <f>HYPERLINK("https://klasma.github.io/Logging_2326/klagomål/A 44259-2024 FSC-klagomål.docx", "A 44259-2024")</f>
        <v/>
      </c>
      <c r="W148">
        <f>HYPERLINK("https://klasma.github.io/Logging_2326/klagomålsmail/A 44259-2024 FSC-klagomål mail.docx", "A 44259-2024")</f>
        <v/>
      </c>
      <c r="X148">
        <f>HYPERLINK("https://klasma.github.io/Logging_2326/tillsyn/A 44259-2024 tillsynsbegäran.docx", "A 44259-2024")</f>
        <v/>
      </c>
      <c r="Y148">
        <f>HYPERLINK("https://klasma.github.io/Logging_2326/tillsynsmail/A 44259-2024 tillsynsbegäran mail.docx", "A 44259-2024")</f>
        <v/>
      </c>
      <c r="Z148">
        <f>HYPERLINK("https://klasma.github.io/Logging_2326/fåglar/A 44259-2024 prioriterade fågelarter.docx", "A 44259-2024")</f>
        <v/>
      </c>
    </row>
    <row r="149" ht="15" customHeight="1">
      <c r="A149" t="inlineStr">
        <is>
          <t>A 32171-2024</t>
        </is>
      </c>
      <c r="B149" s="1" t="n">
        <v>45511</v>
      </c>
      <c r="C149" s="1" t="n">
        <v>45986</v>
      </c>
      <c r="D149" t="inlineStr">
        <is>
          <t>JÄMTLANDS LÄN</t>
        </is>
      </c>
      <c r="E149" t="inlineStr">
        <is>
          <t>BERG</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32171-2024 artfynd.xlsx", "A 32171-2024")</f>
        <v/>
      </c>
      <c r="T149">
        <f>HYPERLINK("https://klasma.github.io/Logging_2326/kartor/A 32171-2024 karta.png", "A 32171-2024")</f>
        <v/>
      </c>
      <c r="V149">
        <f>HYPERLINK("https://klasma.github.io/Logging_2326/klagomål/A 32171-2024 FSC-klagomål.docx", "A 32171-2024")</f>
        <v/>
      </c>
      <c r="W149">
        <f>HYPERLINK("https://klasma.github.io/Logging_2326/klagomålsmail/A 32171-2024 FSC-klagomål mail.docx", "A 32171-2024")</f>
        <v/>
      </c>
      <c r="X149">
        <f>HYPERLINK("https://klasma.github.io/Logging_2326/tillsyn/A 32171-2024 tillsynsbegäran.docx", "A 32171-2024")</f>
        <v/>
      </c>
      <c r="Y149">
        <f>HYPERLINK("https://klasma.github.io/Logging_2326/tillsynsmail/A 32171-2024 tillsynsbegäran mail.docx", "A 32171-2024")</f>
        <v/>
      </c>
      <c r="Z149">
        <f>HYPERLINK("https://klasma.github.io/Logging_2326/fåglar/A 32171-2024 prioriterade fågelarter.docx", "A 32171-2024")</f>
        <v/>
      </c>
    </row>
    <row r="150" ht="15" customHeight="1">
      <c r="A150" t="inlineStr">
        <is>
          <t>A 54595-2024</t>
        </is>
      </c>
      <c r="B150" s="1" t="n">
        <v>45617.67353009259</v>
      </c>
      <c r="C150" s="1" t="n">
        <v>45986</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47656-2025</t>
        </is>
      </c>
      <c r="B151" s="1" t="n">
        <v>45931.55247685185</v>
      </c>
      <c r="C151" s="1" t="n">
        <v>45986</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45986</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47946-2025</t>
        </is>
      </c>
      <c r="B153" s="1" t="n">
        <v>45932.57346064815</v>
      </c>
      <c r="C153" s="1" t="n">
        <v>45986</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31837-2025</t>
        </is>
      </c>
      <c r="B154" s="1" t="n">
        <v>45834.59467592592</v>
      </c>
      <c r="C154" s="1" t="n">
        <v>45986</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56198-2025</t>
        </is>
      </c>
      <c r="B155" s="1" t="n">
        <v>45974.45760416667</v>
      </c>
      <c r="C155" s="1" t="n">
        <v>45986</v>
      </c>
      <c r="D155" t="inlineStr">
        <is>
          <t>JÄMTLANDS LÄN</t>
        </is>
      </c>
      <c r="E155" t="inlineStr">
        <is>
          <t>BERG</t>
        </is>
      </c>
      <c r="G155" t="n">
        <v>8.6</v>
      </c>
      <c r="H155" t="n">
        <v>0</v>
      </c>
      <c r="I155" t="n">
        <v>0</v>
      </c>
      <c r="J155" t="n">
        <v>1</v>
      </c>
      <c r="K155" t="n">
        <v>0</v>
      </c>
      <c r="L155" t="n">
        <v>0</v>
      </c>
      <c r="M155" t="n">
        <v>0</v>
      </c>
      <c r="N155" t="n">
        <v>0</v>
      </c>
      <c r="O155" t="n">
        <v>1</v>
      </c>
      <c r="P155" t="n">
        <v>0</v>
      </c>
      <c r="Q155" t="n">
        <v>1</v>
      </c>
      <c r="R155" s="2" t="inlineStr">
        <is>
          <t>Knottrig blåslav</t>
        </is>
      </c>
      <c r="S155">
        <f>HYPERLINK("https://klasma.github.io/Logging_2326/artfynd/A 56198-2025 artfynd.xlsx", "A 56198-2025")</f>
        <v/>
      </c>
      <c r="T155">
        <f>HYPERLINK("https://klasma.github.io/Logging_2326/kartor/A 56198-2025 karta.png", "A 56198-2025")</f>
        <v/>
      </c>
      <c r="V155">
        <f>HYPERLINK("https://klasma.github.io/Logging_2326/klagomål/A 56198-2025 FSC-klagomål.docx", "A 56198-2025")</f>
        <v/>
      </c>
      <c r="W155">
        <f>HYPERLINK("https://klasma.github.io/Logging_2326/klagomålsmail/A 56198-2025 FSC-klagomål mail.docx", "A 56198-2025")</f>
        <v/>
      </c>
      <c r="X155">
        <f>HYPERLINK("https://klasma.github.io/Logging_2326/tillsyn/A 56198-2025 tillsynsbegäran.docx", "A 56198-2025")</f>
        <v/>
      </c>
      <c r="Y155">
        <f>HYPERLINK("https://klasma.github.io/Logging_2326/tillsynsmail/A 56198-2025 tillsynsbegäran mail.docx", "A 56198-2025")</f>
        <v/>
      </c>
    </row>
    <row r="156" ht="15" customHeight="1">
      <c r="A156" t="inlineStr">
        <is>
          <t>A 21632-2025</t>
        </is>
      </c>
      <c r="B156" s="1" t="n">
        <v>45783.42753472222</v>
      </c>
      <c r="C156" s="1" t="n">
        <v>45986</v>
      </c>
      <c r="D156" t="inlineStr">
        <is>
          <t>JÄMTLANDS LÄN</t>
        </is>
      </c>
      <c r="E156" t="inlineStr">
        <is>
          <t>BERG</t>
        </is>
      </c>
      <c r="F156" t="inlineStr">
        <is>
          <t>SCA</t>
        </is>
      </c>
      <c r="G156" t="n">
        <v>2.9</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21632-2025 artfynd.xlsx", "A 21632-2025")</f>
        <v/>
      </c>
      <c r="T156">
        <f>HYPERLINK("https://klasma.github.io/Logging_2326/kartor/A 21632-2025 karta.png", "A 21632-2025")</f>
        <v/>
      </c>
      <c r="V156">
        <f>HYPERLINK("https://klasma.github.io/Logging_2326/klagomål/A 21632-2025 FSC-klagomål.docx", "A 21632-2025")</f>
        <v/>
      </c>
      <c r="W156">
        <f>HYPERLINK("https://klasma.github.io/Logging_2326/klagomålsmail/A 21632-2025 FSC-klagomål mail.docx", "A 21632-2025")</f>
        <v/>
      </c>
      <c r="X156">
        <f>HYPERLINK("https://klasma.github.io/Logging_2326/tillsyn/A 21632-2025 tillsynsbegäran.docx", "A 21632-2025")</f>
        <v/>
      </c>
      <c r="Y156">
        <f>HYPERLINK("https://klasma.github.io/Logging_2326/tillsynsmail/A 21632-2025 tillsynsbegäran mail.docx", "A 21632-2025")</f>
        <v/>
      </c>
      <c r="Z156">
        <f>HYPERLINK("https://klasma.github.io/Logging_2326/fåglar/A 21632-2025 prioriterade fågelarter.docx", "A 21632-2025")</f>
        <v/>
      </c>
    </row>
    <row r="157" ht="15" customHeight="1">
      <c r="A157" t="inlineStr">
        <is>
          <t>A 21370-2025</t>
        </is>
      </c>
      <c r="B157" s="1" t="n">
        <v>45782.4484375</v>
      </c>
      <c r="C157" s="1" t="n">
        <v>45986</v>
      </c>
      <c r="D157" t="inlineStr">
        <is>
          <t>JÄMTLANDS LÄN</t>
        </is>
      </c>
      <c r="E157" t="inlineStr">
        <is>
          <t>BERG</t>
        </is>
      </c>
      <c r="F157" t="inlineStr">
        <is>
          <t>SCA</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21370-2025 artfynd.xlsx", "A 21370-2025")</f>
        <v/>
      </c>
      <c r="T157">
        <f>HYPERLINK("https://klasma.github.io/Logging_2326/kartor/A 21370-2025 karta.png", "A 21370-2025")</f>
        <v/>
      </c>
      <c r="V157">
        <f>HYPERLINK("https://klasma.github.io/Logging_2326/klagomål/A 21370-2025 FSC-klagomål.docx", "A 21370-2025")</f>
        <v/>
      </c>
      <c r="W157">
        <f>HYPERLINK("https://klasma.github.io/Logging_2326/klagomålsmail/A 21370-2025 FSC-klagomål mail.docx", "A 21370-2025")</f>
        <v/>
      </c>
      <c r="X157">
        <f>HYPERLINK("https://klasma.github.io/Logging_2326/tillsyn/A 21370-2025 tillsynsbegäran.docx", "A 21370-2025")</f>
        <v/>
      </c>
      <c r="Y157">
        <f>HYPERLINK("https://klasma.github.io/Logging_2326/tillsynsmail/A 21370-2025 tillsynsbegäran mail.docx", "A 21370-2025")</f>
        <v/>
      </c>
      <c r="Z157">
        <f>HYPERLINK("https://klasma.github.io/Logging_2326/fåglar/A 21370-2025 prioriterade fågelarter.docx", "A 21370-2025")</f>
        <v/>
      </c>
    </row>
    <row r="158" ht="15" customHeight="1">
      <c r="A158" t="inlineStr">
        <is>
          <t>A 20808-2024</t>
        </is>
      </c>
      <c r="B158" s="1" t="n">
        <v>45439</v>
      </c>
      <c r="C158" s="1" t="n">
        <v>45986</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33501-2025</t>
        </is>
      </c>
      <c r="B159" s="1" t="n">
        <v>45841</v>
      </c>
      <c r="C159" s="1" t="n">
        <v>45986</v>
      </c>
      <c r="D159" t="inlineStr">
        <is>
          <t>JÄMTLANDS LÄN</t>
        </is>
      </c>
      <c r="E159" t="inlineStr">
        <is>
          <t>BERG</t>
        </is>
      </c>
      <c r="G159" t="n">
        <v>6.9</v>
      </c>
      <c r="H159" t="n">
        <v>1</v>
      </c>
      <c r="I159" t="n">
        <v>1</v>
      </c>
      <c r="J159" t="n">
        <v>0</v>
      </c>
      <c r="K159" t="n">
        <v>0</v>
      </c>
      <c r="L159" t="n">
        <v>0</v>
      </c>
      <c r="M159" t="n">
        <v>0</v>
      </c>
      <c r="N159" t="n">
        <v>0</v>
      </c>
      <c r="O159" t="n">
        <v>0</v>
      </c>
      <c r="P159" t="n">
        <v>0</v>
      </c>
      <c r="Q159" t="n">
        <v>1</v>
      </c>
      <c r="R159" s="2" t="inlineStr">
        <is>
          <t>Korallrot</t>
        </is>
      </c>
      <c r="S159">
        <f>HYPERLINK("https://klasma.github.io/Logging_2326/artfynd/A 33501-2025 artfynd.xlsx", "A 33501-2025")</f>
        <v/>
      </c>
      <c r="T159">
        <f>HYPERLINK("https://klasma.github.io/Logging_2326/kartor/A 33501-2025 karta.png", "A 33501-2025")</f>
        <v/>
      </c>
      <c r="V159">
        <f>HYPERLINK("https://klasma.github.io/Logging_2326/klagomål/A 33501-2025 FSC-klagomål.docx", "A 33501-2025")</f>
        <v/>
      </c>
      <c r="W159">
        <f>HYPERLINK("https://klasma.github.io/Logging_2326/klagomålsmail/A 33501-2025 FSC-klagomål mail.docx", "A 33501-2025")</f>
        <v/>
      </c>
      <c r="X159">
        <f>HYPERLINK("https://klasma.github.io/Logging_2326/tillsyn/A 33501-2025 tillsynsbegäran.docx", "A 33501-2025")</f>
        <v/>
      </c>
      <c r="Y159">
        <f>HYPERLINK("https://klasma.github.io/Logging_2326/tillsynsmail/A 33501-2025 tillsynsbegäran mail.docx", "A 33501-2025")</f>
        <v/>
      </c>
    </row>
    <row r="160" ht="15" customHeight="1">
      <c r="A160" t="inlineStr">
        <is>
          <t>A 53086-2024</t>
        </is>
      </c>
      <c r="B160" s="1" t="n">
        <v>45611.51084490741</v>
      </c>
      <c r="C160" s="1" t="n">
        <v>45986</v>
      </c>
      <c r="D160" t="inlineStr">
        <is>
          <t>JÄMTLANDS LÄN</t>
        </is>
      </c>
      <c r="E160" t="inlineStr">
        <is>
          <t>BERG</t>
        </is>
      </c>
      <c r="F160" t="inlineStr">
        <is>
          <t>SCA</t>
        </is>
      </c>
      <c r="G160" t="n">
        <v>7.7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53086-2024 artfynd.xlsx", "A 53086-2024")</f>
        <v/>
      </c>
      <c r="T160">
        <f>HYPERLINK("https://klasma.github.io/Logging_2326/kartor/A 53086-2024 karta.png", "A 53086-2024")</f>
        <v/>
      </c>
      <c r="V160">
        <f>HYPERLINK("https://klasma.github.io/Logging_2326/klagomål/A 53086-2024 FSC-klagomål.docx", "A 53086-2024")</f>
        <v/>
      </c>
      <c r="W160">
        <f>HYPERLINK("https://klasma.github.io/Logging_2326/klagomålsmail/A 53086-2024 FSC-klagomål mail.docx", "A 53086-2024")</f>
        <v/>
      </c>
      <c r="X160">
        <f>HYPERLINK("https://klasma.github.io/Logging_2326/tillsyn/A 53086-2024 tillsynsbegäran.docx", "A 53086-2024")</f>
        <v/>
      </c>
      <c r="Y160">
        <f>HYPERLINK("https://klasma.github.io/Logging_2326/tillsynsmail/A 53086-2024 tillsynsbegäran mail.docx", "A 53086-2024")</f>
        <v/>
      </c>
    </row>
    <row r="161" ht="15" customHeight="1">
      <c r="A161" t="inlineStr">
        <is>
          <t>A 50182-2025</t>
        </is>
      </c>
      <c r="B161" s="1" t="n">
        <v>45943.61550925926</v>
      </c>
      <c r="C161" s="1" t="n">
        <v>45986</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34891-2024</t>
        </is>
      </c>
      <c r="B162" s="1" t="n">
        <v>45527.36498842593</v>
      </c>
      <c r="C162" s="1" t="n">
        <v>45986</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35211-2025</t>
        </is>
      </c>
      <c r="B163" s="1" t="n">
        <v>45853.45060185185</v>
      </c>
      <c r="C163" s="1" t="n">
        <v>45986</v>
      </c>
      <c r="D163" t="inlineStr">
        <is>
          <t>JÄMTLANDS LÄN</t>
        </is>
      </c>
      <c r="E163" t="inlineStr">
        <is>
          <t>BERG</t>
        </is>
      </c>
      <c r="G163" t="n">
        <v>0.8</v>
      </c>
      <c r="H163" t="n">
        <v>1</v>
      </c>
      <c r="I163" t="n">
        <v>0</v>
      </c>
      <c r="J163" t="n">
        <v>0</v>
      </c>
      <c r="K163" t="n">
        <v>1</v>
      </c>
      <c r="L163" t="n">
        <v>0</v>
      </c>
      <c r="M163" t="n">
        <v>0</v>
      </c>
      <c r="N163" t="n">
        <v>0</v>
      </c>
      <c r="O163" t="n">
        <v>1</v>
      </c>
      <c r="P163" t="n">
        <v>1</v>
      </c>
      <c r="Q163" t="n">
        <v>1</v>
      </c>
      <c r="R163" s="2" t="inlineStr">
        <is>
          <t>Knärot</t>
        </is>
      </c>
      <c r="S163">
        <f>HYPERLINK("https://klasma.github.io/Logging_2326/artfynd/A 35211-2025 artfynd.xlsx", "A 35211-2025")</f>
        <v/>
      </c>
      <c r="T163">
        <f>HYPERLINK("https://klasma.github.io/Logging_2326/kartor/A 35211-2025 karta.png", "A 35211-2025")</f>
        <v/>
      </c>
      <c r="U163">
        <f>HYPERLINK("https://klasma.github.io/Logging_2326/knärot/A 35211-2025 karta knärot.png", "A 35211-2025")</f>
        <v/>
      </c>
      <c r="V163">
        <f>HYPERLINK("https://klasma.github.io/Logging_2326/klagomål/A 35211-2025 FSC-klagomål.docx", "A 35211-2025")</f>
        <v/>
      </c>
      <c r="W163">
        <f>HYPERLINK("https://klasma.github.io/Logging_2326/klagomålsmail/A 35211-2025 FSC-klagomål mail.docx", "A 35211-2025")</f>
        <v/>
      </c>
      <c r="X163">
        <f>HYPERLINK("https://klasma.github.io/Logging_2326/tillsyn/A 35211-2025 tillsynsbegäran.docx", "A 35211-2025")</f>
        <v/>
      </c>
      <c r="Y163">
        <f>HYPERLINK("https://klasma.github.io/Logging_2326/tillsynsmail/A 35211-2025 tillsynsbegäran mail.docx", "A 35211-2025")</f>
        <v/>
      </c>
    </row>
    <row r="164" ht="15" customHeight="1">
      <c r="A164" t="inlineStr">
        <is>
          <t>A 35535-2025</t>
        </is>
      </c>
      <c r="B164" s="1" t="n">
        <v>45856.45047453704</v>
      </c>
      <c r="C164" s="1" t="n">
        <v>45986</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37513-2025</t>
        </is>
      </c>
      <c r="B165" s="1" t="n">
        <v>45877.69828703703</v>
      </c>
      <c r="C165" s="1" t="n">
        <v>45986</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9657-2023</t>
        </is>
      </c>
      <c r="B166" s="1" t="n">
        <v>44978</v>
      </c>
      <c r="C166" s="1" t="n">
        <v>45986</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37651-2025</t>
        </is>
      </c>
      <c r="B167" s="1" t="n">
        <v>45880.49006944444</v>
      </c>
      <c r="C167" s="1" t="n">
        <v>45986</v>
      </c>
      <c r="D167" t="inlineStr">
        <is>
          <t>JÄMTLANDS LÄN</t>
        </is>
      </c>
      <c r="E167" t="inlineStr">
        <is>
          <t>BERG</t>
        </is>
      </c>
      <c r="F167" t="inlineStr">
        <is>
          <t>SCA</t>
        </is>
      </c>
      <c r="G167" t="n">
        <v>8.5</v>
      </c>
      <c r="H167" t="n">
        <v>0</v>
      </c>
      <c r="I167" t="n">
        <v>0</v>
      </c>
      <c r="J167" t="n">
        <v>1</v>
      </c>
      <c r="K167" t="n">
        <v>0</v>
      </c>
      <c r="L167" t="n">
        <v>0</v>
      </c>
      <c r="M167" t="n">
        <v>0</v>
      </c>
      <c r="N167" t="n">
        <v>0</v>
      </c>
      <c r="O167" t="n">
        <v>1</v>
      </c>
      <c r="P167" t="n">
        <v>0</v>
      </c>
      <c r="Q167" t="n">
        <v>1</v>
      </c>
      <c r="R167" s="2" t="inlineStr">
        <is>
          <t>Vedflamlav</t>
        </is>
      </c>
      <c r="S167">
        <f>HYPERLINK("https://klasma.github.io/Logging_2326/artfynd/A 37651-2025 artfynd.xlsx", "A 37651-2025")</f>
        <v/>
      </c>
      <c r="T167">
        <f>HYPERLINK("https://klasma.github.io/Logging_2326/kartor/A 37651-2025 karta.png", "A 37651-2025")</f>
        <v/>
      </c>
      <c r="V167">
        <f>HYPERLINK("https://klasma.github.io/Logging_2326/klagomål/A 37651-2025 FSC-klagomål.docx", "A 37651-2025")</f>
        <v/>
      </c>
      <c r="W167">
        <f>HYPERLINK("https://klasma.github.io/Logging_2326/klagomålsmail/A 37651-2025 FSC-klagomål mail.docx", "A 37651-2025")</f>
        <v/>
      </c>
      <c r="X167">
        <f>HYPERLINK("https://klasma.github.io/Logging_2326/tillsyn/A 37651-2025 tillsynsbegäran.docx", "A 37651-2025")</f>
        <v/>
      </c>
      <c r="Y167">
        <f>HYPERLINK("https://klasma.github.io/Logging_2326/tillsynsmail/A 37651-2025 tillsynsbegäran mail.docx", "A 37651-2025")</f>
        <v/>
      </c>
    </row>
    <row r="168" ht="15" customHeight="1">
      <c r="A168" t="inlineStr">
        <is>
          <t>A 49049-2024</t>
        </is>
      </c>
      <c r="B168" s="1" t="n">
        <v>45594.5742824074</v>
      </c>
      <c r="C168" s="1" t="n">
        <v>45986</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23177-2024</t>
        </is>
      </c>
      <c r="B169" s="1" t="n">
        <v>45450</v>
      </c>
      <c r="C169" s="1" t="n">
        <v>45986</v>
      </c>
      <c r="D169" t="inlineStr">
        <is>
          <t>JÄMTLANDS LÄN</t>
        </is>
      </c>
      <c r="E169" t="inlineStr">
        <is>
          <t>BERG</t>
        </is>
      </c>
      <c r="F169" t="inlineStr">
        <is>
          <t>SCA</t>
        </is>
      </c>
      <c r="G169" t="n">
        <v>3.2</v>
      </c>
      <c r="H169" t="n">
        <v>0</v>
      </c>
      <c r="I169" t="n">
        <v>1</v>
      </c>
      <c r="J169" t="n">
        <v>0</v>
      </c>
      <c r="K169" t="n">
        <v>0</v>
      </c>
      <c r="L169" t="n">
        <v>0</v>
      </c>
      <c r="M169" t="n">
        <v>0</v>
      </c>
      <c r="N169" t="n">
        <v>0</v>
      </c>
      <c r="O169" t="n">
        <v>0</v>
      </c>
      <c r="P169" t="n">
        <v>0</v>
      </c>
      <c r="Q169" t="n">
        <v>1</v>
      </c>
      <c r="R169" s="2" t="inlineStr">
        <is>
          <t>Stuplav</t>
        </is>
      </c>
      <c r="S169">
        <f>HYPERLINK("https://klasma.github.io/Logging_2326/artfynd/A 23177-2024 artfynd.xlsx", "A 23177-2024")</f>
        <v/>
      </c>
      <c r="T169">
        <f>HYPERLINK("https://klasma.github.io/Logging_2326/kartor/A 23177-2024 karta.png", "A 23177-2024")</f>
        <v/>
      </c>
      <c r="V169">
        <f>HYPERLINK("https://klasma.github.io/Logging_2326/klagomål/A 23177-2024 FSC-klagomål.docx", "A 23177-2024")</f>
        <v/>
      </c>
      <c r="W169">
        <f>HYPERLINK("https://klasma.github.io/Logging_2326/klagomålsmail/A 23177-2024 FSC-klagomål mail.docx", "A 23177-2024")</f>
        <v/>
      </c>
      <c r="X169">
        <f>HYPERLINK("https://klasma.github.io/Logging_2326/tillsyn/A 23177-2024 tillsynsbegäran.docx", "A 23177-2024")</f>
        <v/>
      </c>
      <c r="Y169">
        <f>HYPERLINK("https://klasma.github.io/Logging_2326/tillsynsmail/A 23177-2024 tillsynsbegäran mail.docx", "A 23177-2024")</f>
        <v/>
      </c>
    </row>
    <row r="170" ht="15" customHeight="1">
      <c r="A170" t="inlineStr">
        <is>
          <t>A 53014-2022</t>
        </is>
      </c>
      <c r="B170" s="1" t="n">
        <v>44875</v>
      </c>
      <c r="C170" s="1" t="n">
        <v>45986</v>
      </c>
      <c r="D170" t="inlineStr">
        <is>
          <t>JÄMTLANDS LÄN</t>
        </is>
      </c>
      <c r="E170" t="inlineStr">
        <is>
          <t>BERG</t>
        </is>
      </c>
      <c r="F170" t="inlineStr">
        <is>
          <t>SCA</t>
        </is>
      </c>
      <c r="G170" t="n">
        <v>13</v>
      </c>
      <c r="H170" t="n">
        <v>0</v>
      </c>
      <c r="I170" t="n">
        <v>0</v>
      </c>
      <c r="J170" t="n">
        <v>0</v>
      </c>
      <c r="K170" t="n">
        <v>1</v>
      </c>
      <c r="L170" t="n">
        <v>0</v>
      </c>
      <c r="M170" t="n">
        <v>0</v>
      </c>
      <c r="N170" t="n">
        <v>0</v>
      </c>
      <c r="O170" t="n">
        <v>1</v>
      </c>
      <c r="P170" t="n">
        <v>1</v>
      </c>
      <c r="Q170" t="n">
        <v>1</v>
      </c>
      <c r="R170" s="2" t="inlineStr">
        <is>
          <t>Gräddporing</t>
        </is>
      </c>
      <c r="S170">
        <f>HYPERLINK("https://klasma.github.io/Logging_2326/artfynd/A 53014-2022 artfynd.xlsx", "A 53014-2022")</f>
        <v/>
      </c>
      <c r="T170">
        <f>HYPERLINK("https://klasma.github.io/Logging_2326/kartor/A 53014-2022 karta.png", "A 53014-2022")</f>
        <v/>
      </c>
      <c r="V170">
        <f>HYPERLINK("https://klasma.github.io/Logging_2326/klagomål/A 53014-2022 FSC-klagomål.docx", "A 53014-2022")</f>
        <v/>
      </c>
      <c r="W170">
        <f>HYPERLINK("https://klasma.github.io/Logging_2326/klagomålsmail/A 53014-2022 FSC-klagomål mail.docx", "A 53014-2022")</f>
        <v/>
      </c>
      <c r="X170">
        <f>HYPERLINK("https://klasma.github.io/Logging_2326/tillsyn/A 53014-2022 tillsynsbegäran.docx", "A 53014-2022")</f>
        <v/>
      </c>
      <c r="Y170">
        <f>HYPERLINK("https://klasma.github.io/Logging_2326/tillsynsmail/A 53014-2022 tillsynsbegäran mail.docx", "A 53014-2022")</f>
        <v/>
      </c>
    </row>
    <row r="171" ht="15" customHeight="1">
      <c r="A171" t="inlineStr">
        <is>
          <t>A 24309-2023</t>
        </is>
      </c>
      <c r="B171" s="1" t="n">
        <v>45079</v>
      </c>
      <c r="C171" s="1" t="n">
        <v>45986</v>
      </c>
      <c r="D171" t="inlineStr">
        <is>
          <t>JÄMTLANDS LÄN</t>
        </is>
      </c>
      <c r="E171" t="inlineStr">
        <is>
          <t>BERG</t>
        </is>
      </c>
      <c r="F171" t="inlineStr">
        <is>
          <t>SCA</t>
        </is>
      </c>
      <c r="G171" t="n">
        <v>3.3</v>
      </c>
      <c r="H171" t="n">
        <v>1</v>
      </c>
      <c r="I171" t="n">
        <v>0</v>
      </c>
      <c r="J171" t="n">
        <v>0</v>
      </c>
      <c r="K171" t="n">
        <v>0</v>
      </c>
      <c r="L171" t="n">
        <v>0</v>
      </c>
      <c r="M171" t="n">
        <v>0</v>
      </c>
      <c r="N171" t="n">
        <v>0</v>
      </c>
      <c r="O171" t="n">
        <v>0</v>
      </c>
      <c r="P171" t="n">
        <v>0</v>
      </c>
      <c r="Q171" t="n">
        <v>1</v>
      </c>
      <c r="R171" s="2" t="inlineStr">
        <is>
          <t>Vanlig groda</t>
        </is>
      </c>
      <c r="S171">
        <f>HYPERLINK("https://klasma.github.io/Logging_2326/artfynd/A 24309-2023 artfynd.xlsx", "A 24309-2023")</f>
        <v/>
      </c>
      <c r="T171">
        <f>HYPERLINK("https://klasma.github.io/Logging_2326/kartor/A 24309-2023 karta.png", "A 24309-2023")</f>
        <v/>
      </c>
      <c r="V171">
        <f>HYPERLINK("https://klasma.github.io/Logging_2326/klagomål/A 24309-2023 FSC-klagomål.docx", "A 24309-2023")</f>
        <v/>
      </c>
      <c r="W171">
        <f>HYPERLINK("https://klasma.github.io/Logging_2326/klagomålsmail/A 24309-2023 FSC-klagomål mail.docx", "A 24309-2023")</f>
        <v/>
      </c>
      <c r="X171">
        <f>HYPERLINK("https://klasma.github.io/Logging_2326/tillsyn/A 24309-2023 tillsynsbegäran.docx", "A 24309-2023")</f>
        <v/>
      </c>
      <c r="Y171">
        <f>HYPERLINK("https://klasma.github.io/Logging_2326/tillsynsmail/A 24309-2023 tillsynsbegäran mail.docx", "A 24309-2023")</f>
        <v/>
      </c>
    </row>
    <row r="172" ht="15" customHeight="1">
      <c r="A172" t="inlineStr">
        <is>
          <t>A 32686-2022</t>
        </is>
      </c>
      <c r="B172" s="1" t="n">
        <v>44776</v>
      </c>
      <c r="C172" s="1" t="n">
        <v>45986</v>
      </c>
      <c r="D172" t="inlineStr">
        <is>
          <t>JÄMTLANDS LÄN</t>
        </is>
      </c>
      <c r="E172" t="inlineStr">
        <is>
          <t>BERG</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HYPERLINK("https://klasma.github.io/Logging_2326/artfynd/A 32686-2022 artfynd.xlsx", "A 32686-2022")</f>
        <v/>
      </c>
      <c r="T172">
        <f>HYPERLINK("https://klasma.github.io/Logging_2326/kartor/A 32686-2022 karta.png", "A 32686-2022")</f>
        <v/>
      </c>
      <c r="U172">
        <f>HYPERLINK("https://klasma.github.io/Logging_2326/knärot/A 32686-2022 karta knärot.png", "A 32686-2022")</f>
        <v/>
      </c>
      <c r="V172">
        <f>HYPERLINK("https://klasma.github.io/Logging_2326/klagomål/A 32686-2022 FSC-klagomål.docx", "A 32686-2022")</f>
        <v/>
      </c>
      <c r="W172">
        <f>HYPERLINK("https://klasma.github.io/Logging_2326/klagomålsmail/A 32686-2022 FSC-klagomål mail.docx", "A 32686-2022")</f>
        <v/>
      </c>
      <c r="X172">
        <f>HYPERLINK("https://klasma.github.io/Logging_2326/tillsyn/A 32686-2022 tillsynsbegäran.docx", "A 32686-2022")</f>
        <v/>
      </c>
      <c r="Y172">
        <f>HYPERLINK("https://klasma.github.io/Logging_2326/tillsynsmail/A 32686-2022 tillsynsbegäran mail.docx", "A 32686-2022")</f>
        <v/>
      </c>
    </row>
    <row r="173" ht="15" customHeight="1">
      <c r="A173" t="inlineStr">
        <is>
          <t>A 68434-2021</t>
        </is>
      </c>
      <c r="B173" s="1" t="n">
        <v>44529</v>
      </c>
      <c r="C173" s="1" t="n">
        <v>45986</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33083-2024</t>
        </is>
      </c>
      <c r="B174" s="1" t="n">
        <v>45517.675</v>
      </c>
      <c r="C174" s="1" t="n">
        <v>45986</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40440-2024</t>
        </is>
      </c>
      <c r="B175" s="1" t="n">
        <v>45555.48267361111</v>
      </c>
      <c r="C175" s="1" t="n">
        <v>45986</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45986</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50556-2024</t>
        </is>
      </c>
      <c r="B177" s="1" t="n">
        <v>45601.59604166666</v>
      </c>
      <c r="C177" s="1" t="n">
        <v>45986</v>
      </c>
      <c r="D177" t="inlineStr">
        <is>
          <t>JÄMTLANDS LÄN</t>
        </is>
      </c>
      <c r="E177" t="inlineStr">
        <is>
          <t>BERG</t>
        </is>
      </c>
      <c r="G177" t="n">
        <v>5.7</v>
      </c>
      <c r="H177" t="n">
        <v>0</v>
      </c>
      <c r="I177" t="n">
        <v>0</v>
      </c>
      <c r="J177" t="n">
        <v>1</v>
      </c>
      <c r="K177" t="n">
        <v>0</v>
      </c>
      <c r="L177" t="n">
        <v>0</v>
      </c>
      <c r="M177" t="n">
        <v>0</v>
      </c>
      <c r="N177" t="n">
        <v>0</v>
      </c>
      <c r="O177" t="n">
        <v>1</v>
      </c>
      <c r="P177" t="n">
        <v>0</v>
      </c>
      <c r="Q177" t="n">
        <v>1</v>
      </c>
      <c r="R177" s="2" t="inlineStr">
        <is>
          <t>Kalkbräken</t>
        </is>
      </c>
      <c r="S177">
        <f>HYPERLINK("https://klasma.github.io/Logging_2326/artfynd/A 50556-2024 artfynd.xlsx", "A 50556-2024")</f>
        <v/>
      </c>
      <c r="T177">
        <f>HYPERLINK("https://klasma.github.io/Logging_2326/kartor/A 50556-2024 karta.png", "A 50556-2024")</f>
        <v/>
      </c>
      <c r="V177">
        <f>HYPERLINK("https://klasma.github.io/Logging_2326/klagomål/A 50556-2024 FSC-klagomål.docx", "A 50556-2024")</f>
        <v/>
      </c>
      <c r="W177">
        <f>HYPERLINK("https://klasma.github.io/Logging_2326/klagomålsmail/A 50556-2024 FSC-klagomål mail.docx", "A 50556-2024")</f>
        <v/>
      </c>
      <c r="X177">
        <f>HYPERLINK("https://klasma.github.io/Logging_2326/tillsyn/A 50556-2024 tillsynsbegäran.docx", "A 50556-2024")</f>
        <v/>
      </c>
      <c r="Y177">
        <f>HYPERLINK("https://klasma.github.io/Logging_2326/tillsynsmail/A 50556-2024 tillsynsbegäran mail.docx", "A 50556-2024")</f>
        <v/>
      </c>
    </row>
    <row r="178" ht="15" customHeight="1">
      <c r="A178" t="inlineStr">
        <is>
          <t>A 41635-2024</t>
        </is>
      </c>
      <c r="B178" s="1" t="n">
        <v>45560.61601851852</v>
      </c>
      <c r="C178" s="1" t="n">
        <v>45986</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40382-2024</t>
        </is>
      </c>
      <c r="B179" s="1" t="n">
        <v>45555.42225694445</v>
      </c>
      <c r="C179" s="1" t="n">
        <v>45986</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20444-2025</t>
        </is>
      </c>
      <c r="B180" s="1" t="n">
        <v>45775.48989583334</v>
      </c>
      <c r="C180" s="1" t="n">
        <v>45986</v>
      </c>
      <c r="D180" t="inlineStr">
        <is>
          <t>JÄMTLANDS LÄN</t>
        </is>
      </c>
      <c r="E180" t="inlineStr">
        <is>
          <t>BERG</t>
        </is>
      </c>
      <c r="F180" t="inlineStr">
        <is>
          <t>SCA</t>
        </is>
      </c>
      <c r="G180" t="n">
        <v>2.3</v>
      </c>
      <c r="H180" t="n">
        <v>0</v>
      </c>
      <c r="I180" t="n">
        <v>0</v>
      </c>
      <c r="J180" t="n">
        <v>0</v>
      </c>
      <c r="K180" t="n">
        <v>1</v>
      </c>
      <c r="L180" t="n">
        <v>0</v>
      </c>
      <c r="M180" t="n">
        <v>0</v>
      </c>
      <c r="N180" t="n">
        <v>0</v>
      </c>
      <c r="O180" t="n">
        <v>1</v>
      </c>
      <c r="P180" t="n">
        <v>1</v>
      </c>
      <c r="Q180" t="n">
        <v>1</v>
      </c>
      <c r="R180" s="2" t="inlineStr">
        <is>
          <t>Gräddporing</t>
        </is>
      </c>
      <c r="S180">
        <f>HYPERLINK("https://klasma.github.io/Logging_2326/artfynd/A 20444-2025 artfynd.xlsx", "A 20444-2025")</f>
        <v/>
      </c>
      <c r="T180">
        <f>HYPERLINK("https://klasma.github.io/Logging_2326/kartor/A 20444-2025 karta.png", "A 20444-2025")</f>
        <v/>
      </c>
      <c r="V180">
        <f>HYPERLINK("https://klasma.github.io/Logging_2326/klagomål/A 20444-2025 FSC-klagomål.docx", "A 20444-2025")</f>
        <v/>
      </c>
      <c r="W180">
        <f>HYPERLINK("https://klasma.github.io/Logging_2326/klagomålsmail/A 20444-2025 FSC-klagomål mail.docx", "A 20444-2025")</f>
        <v/>
      </c>
      <c r="X180">
        <f>HYPERLINK("https://klasma.github.io/Logging_2326/tillsyn/A 20444-2025 tillsynsbegäran.docx", "A 20444-2025")</f>
        <v/>
      </c>
      <c r="Y180">
        <f>HYPERLINK("https://klasma.github.io/Logging_2326/tillsynsmail/A 20444-2025 tillsynsbegäran mail.docx", "A 20444-2025")</f>
        <v/>
      </c>
    </row>
    <row r="181" ht="15" customHeight="1">
      <c r="A181" t="inlineStr">
        <is>
          <t>A 21681-2025</t>
        </is>
      </c>
      <c r="B181" s="1" t="n">
        <v>45783.49015046296</v>
      </c>
      <c r="C181" s="1" t="n">
        <v>45986</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49196-2022</t>
        </is>
      </c>
      <c r="B182" s="1" t="n">
        <v>44860.95508101852</v>
      </c>
      <c r="C182" s="1" t="n">
        <v>45986</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45986</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62490-2020</t>
        </is>
      </c>
      <c r="B184" s="1" t="n">
        <v>44160</v>
      </c>
      <c r="C184" s="1" t="n">
        <v>45986</v>
      </c>
      <c r="D184" t="inlineStr">
        <is>
          <t>JÄMTLANDS LÄN</t>
        </is>
      </c>
      <c r="E184" t="inlineStr">
        <is>
          <t>BERG</t>
        </is>
      </c>
      <c r="G184" t="n">
        <v>18</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45986</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45986</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45986</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45986</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45986</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70463-2021</t>
        </is>
      </c>
      <c r="B190" s="1" t="n">
        <v>44536.65293981481</v>
      </c>
      <c r="C190" s="1" t="n">
        <v>45986</v>
      </c>
      <c r="D190" t="inlineStr">
        <is>
          <t>JÄMTLANDS LÄN</t>
        </is>
      </c>
      <c r="E190" t="inlineStr">
        <is>
          <t>BERG</t>
        </is>
      </c>
      <c r="G190" t="n">
        <v>10.8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45986</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45986</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45986</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16828-2021</t>
        </is>
      </c>
      <c r="B194" s="1" t="n">
        <v>44293</v>
      </c>
      <c r="C194" s="1" t="n">
        <v>45986</v>
      </c>
      <c r="D194" t="inlineStr">
        <is>
          <t>JÄMTLANDS LÄN</t>
        </is>
      </c>
      <c r="E194" t="inlineStr">
        <is>
          <t>BERG</t>
        </is>
      </c>
      <c r="G194" t="n">
        <v>2.2</v>
      </c>
      <c r="H194" t="n">
        <v>0</v>
      </c>
      <c r="I194" t="n">
        <v>0</v>
      </c>
      <c r="J194" t="n">
        <v>0</v>
      </c>
      <c r="K194" t="n">
        <v>0</v>
      </c>
      <c r="L194" t="n">
        <v>0</v>
      </c>
      <c r="M194" t="n">
        <v>0</v>
      </c>
      <c r="N194" t="n">
        <v>0</v>
      </c>
      <c r="O194" t="n">
        <v>0</v>
      </c>
      <c r="P194" t="n">
        <v>0</v>
      </c>
      <c r="Q194" t="n">
        <v>0</v>
      </c>
      <c r="R194" s="2" t="inlineStr"/>
    </row>
    <row r="195" ht="15" customHeight="1">
      <c r="A195" t="inlineStr">
        <is>
          <t>A 43296-2022</t>
        </is>
      </c>
      <c r="B195" s="1" t="n">
        <v>44834</v>
      </c>
      <c r="C195" s="1" t="n">
        <v>45986</v>
      </c>
      <c r="D195" t="inlineStr">
        <is>
          <t>JÄMTLANDS LÄN</t>
        </is>
      </c>
      <c r="E195" t="inlineStr">
        <is>
          <t>BERG</t>
        </is>
      </c>
      <c r="G195" t="n">
        <v>3.7</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45986</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45986</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45986</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45986</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45986</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45986</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45986</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45986</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45986</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45986</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45986</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45986</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45986</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45986</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45986</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45986</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45986</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45986</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62494-2020</t>
        </is>
      </c>
      <c r="B214" s="1" t="n">
        <v>44160</v>
      </c>
      <c r="C214" s="1" t="n">
        <v>45986</v>
      </c>
      <c r="D214" t="inlineStr">
        <is>
          <t>JÄMTLANDS LÄN</t>
        </is>
      </c>
      <c r="E214" t="inlineStr">
        <is>
          <t>BERG</t>
        </is>
      </c>
      <c r="G214" t="n">
        <v>7.5</v>
      </c>
      <c r="H214" t="n">
        <v>0</v>
      </c>
      <c r="I214" t="n">
        <v>0</v>
      </c>
      <c r="J214" t="n">
        <v>0</v>
      </c>
      <c r="K214" t="n">
        <v>0</v>
      </c>
      <c r="L214" t="n">
        <v>0</v>
      </c>
      <c r="M214" t="n">
        <v>0</v>
      </c>
      <c r="N214" t="n">
        <v>0</v>
      </c>
      <c r="O214" t="n">
        <v>0</v>
      </c>
      <c r="P214" t="n">
        <v>0</v>
      </c>
      <c r="Q214" t="n">
        <v>0</v>
      </c>
      <c r="R214" s="2" t="inlineStr"/>
    </row>
    <row r="215" ht="15" customHeight="1">
      <c r="A215" t="inlineStr">
        <is>
          <t>A 70468-2021</t>
        </is>
      </c>
      <c r="B215" s="1" t="n">
        <v>44536.66070601852</v>
      </c>
      <c r="C215" s="1" t="n">
        <v>45986</v>
      </c>
      <c r="D215" t="inlineStr">
        <is>
          <t>JÄMTLANDS LÄN</t>
        </is>
      </c>
      <c r="E215" t="inlineStr">
        <is>
          <t>BERG</t>
        </is>
      </c>
      <c r="G215" t="n">
        <v>3.9</v>
      </c>
      <c r="H215" t="n">
        <v>0</v>
      </c>
      <c r="I215" t="n">
        <v>0</v>
      </c>
      <c r="J215" t="n">
        <v>0</v>
      </c>
      <c r="K215" t="n">
        <v>0</v>
      </c>
      <c r="L215" t="n">
        <v>0</v>
      </c>
      <c r="M215" t="n">
        <v>0</v>
      </c>
      <c r="N215" t="n">
        <v>0</v>
      </c>
      <c r="O215" t="n">
        <v>0</v>
      </c>
      <c r="P215" t="n">
        <v>0</v>
      </c>
      <c r="Q215" t="n">
        <v>0</v>
      </c>
      <c r="R215" s="2" t="inlineStr"/>
    </row>
    <row r="216" ht="15" customHeight="1">
      <c r="A216" t="inlineStr">
        <is>
          <t>A 58088-2021</t>
        </is>
      </c>
      <c r="B216" s="1" t="n">
        <v>44487.50133101852</v>
      </c>
      <c r="C216" s="1" t="n">
        <v>45986</v>
      </c>
      <c r="D216" t="inlineStr">
        <is>
          <t>JÄMTLANDS LÄN</t>
        </is>
      </c>
      <c r="E216" t="inlineStr">
        <is>
          <t>BERG</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45986</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45986</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3891-2022</t>
        </is>
      </c>
      <c r="B219" s="1" t="n">
        <v>44587</v>
      </c>
      <c r="C219" s="1" t="n">
        <v>45986</v>
      </c>
      <c r="D219" t="inlineStr">
        <is>
          <t>JÄMTLANDS LÄN</t>
        </is>
      </c>
      <c r="E219" t="inlineStr">
        <is>
          <t>BERG</t>
        </is>
      </c>
      <c r="G219" t="n">
        <v>2.6</v>
      </c>
      <c r="H219" t="n">
        <v>0</v>
      </c>
      <c r="I219" t="n">
        <v>0</v>
      </c>
      <c r="J219" t="n">
        <v>0</v>
      </c>
      <c r="K219" t="n">
        <v>0</v>
      </c>
      <c r="L219" t="n">
        <v>0</v>
      </c>
      <c r="M219" t="n">
        <v>0</v>
      </c>
      <c r="N219" t="n">
        <v>0</v>
      </c>
      <c r="O219" t="n">
        <v>0</v>
      </c>
      <c r="P219" t="n">
        <v>0</v>
      </c>
      <c r="Q219" t="n">
        <v>0</v>
      </c>
      <c r="R219" s="2" t="inlineStr"/>
    </row>
    <row r="220" ht="15" customHeight="1">
      <c r="A220" t="inlineStr">
        <is>
          <t>A 8639-2021</t>
        </is>
      </c>
      <c r="B220" s="1" t="n">
        <v>44245</v>
      </c>
      <c r="C220" s="1" t="n">
        <v>45986</v>
      </c>
      <c r="D220" t="inlineStr">
        <is>
          <t>JÄMTLANDS LÄN</t>
        </is>
      </c>
      <c r="E220" t="inlineStr">
        <is>
          <t>BERG</t>
        </is>
      </c>
      <c r="F220" t="inlineStr">
        <is>
          <t>Naturvårdsverket</t>
        </is>
      </c>
      <c r="G220" t="n">
        <v>1.5</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45986</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45986</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45986</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63522-2020</t>
        </is>
      </c>
      <c r="B224" s="1" t="n">
        <v>44165</v>
      </c>
      <c r="C224" s="1" t="n">
        <v>45986</v>
      </c>
      <c r="D224" t="inlineStr">
        <is>
          <t>JÄMTLANDS LÄN</t>
        </is>
      </c>
      <c r="E224" t="inlineStr">
        <is>
          <t>BERG</t>
        </is>
      </c>
      <c r="G224" t="n">
        <v>2.4</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45986</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45986</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45986</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45986</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45986</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45986</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45986</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63002-2020</t>
        </is>
      </c>
      <c r="B232" s="1" t="n">
        <v>44162.47145833333</v>
      </c>
      <c r="C232" s="1" t="n">
        <v>45986</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63009-2020</t>
        </is>
      </c>
      <c r="B233" s="1" t="n">
        <v>44162.48234953704</v>
      </c>
      <c r="C233" s="1" t="n">
        <v>45986</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45986</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45986</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45986</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22680-2022</t>
        </is>
      </c>
      <c r="B237" s="1" t="n">
        <v>44714</v>
      </c>
      <c r="C237" s="1" t="n">
        <v>45986</v>
      </c>
      <c r="D237" t="inlineStr">
        <is>
          <t>JÄMTLANDS LÄN</t>
        </is>
      </c>
      <c r="E237" t="inlineStr">
        <is>
          <t>BERG</t>
        </is>
      </c>
      <c r="G237" t="n">
        <v>15.4</v>
      </c>
      <c r="H237" t="n">
        <v>0</v>
      </c>
      <c r="I237" t="n">
        <v>0</v>
      </c>
      <c r="J237" t="n">
        <v>0</v>
      </c>
      <c r="K237" t="n">
        <v>0</v>
      </c>
      <c r="L237" t="n">
        <v>0</v>
      </c>
      <c r="M237" t="n">
        <v>0</v>
      </c>
      <c r="N237" t="n">
        <v>0</v>
      </c>
      <c r="O237" t="n">
        <v>0</v>
      </c>
      <c r="P237" t="n">
        <v>0</v>
      </c>
      <c r="Q237" t="n">
        <v>0</v>
      </c>
      <c r="R237" s="2" t="inlineStr"/>
    </row>
    <row r="238" ht="15" customHeight="1">
      <c r="A238" t="inlineStr">
        <is>
          <t>A 46199-2022</t>
        </is>
      </c>
      <c r="B238" s="1" t="n">
        <v>44847.53822916667</v>
      </c>
      <c r="C238" s="1" t="n">
        <v>45986</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13636-2022</t>
        </is>
      </c>
      <c r="B239" s="1" t="n">
        <v>44648</v>
      </c>
      <c r="C239" s="1" t="n">
        <v>45986</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44442-2022</t>
        </is>
      </c>
      <c r="B240" s="1" t="n">
        <v>44839</v>
      </c>
      <c r="C240" s="1" t="n">
        <v>45986</v>
      </c>
      <c r="D240" t="inlineStr">
        <is>
          <t>JÄMTLANDS LÄN</t>
        </is>
      </c>
      <c r="E240" t="inlineStr">
        <is>
          <t>BERG</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9920-2021</t>
        </is>
      </c>
      <c r="B241" s="1" t="n">
        <v>44253</v>
      </c>
      <c r="C241" s="1" t="n">
        <v>45986</v>
      </c>
      <c r="D241" t="inlineStr">
        <is>
          <t>JÄMTLANDS LÄN</t>
        </is>
      </c>
      <c r="E241" t="inlineStr">
        <is>
          <t>BERG</t>
        </is>
      </c>
      <c r="G241" t="n">
        <v>3.5</v>
      </c>
      <c r="H241" t="n">
        <v>0</v>
      </c>
      <c r="I241" t="n">
        <v>0</v>
      </c>
      <c r="J241" t="n">
        <v>0</v>
      </c>
      <c r="K241" t="n">
        <v>0</v>
      </c>
      <c r="L241" t="n">
        <v>0</v>
      </c>
      <c r="M241" t="n">
        <v>0</v>
      </c>
      <c r="N241" t="n">
        <v>0</v>
      </c>
      <c r="O241" t="n">
        <v>0</v>
      </c>
      <c r="P241" t="n">
        <v>0</v>
      </c>
      <c r="Q241" t="n">
        <v>0</v>
      </c>
      <c r="R241" s="2" t="inlineStr"/>
    </row>
    <row r="242" ht="15" customHeight="1">
      <c r="A242" t="inlineStr">
        <is>
          <t>A 20179-2021</t>
        </is>
      </c>
      <c r="B242" s="1" t="n">
        <v>44314.56744212963</v>
      </c>
      <c r="C242" s="1" t="n">
        <v>45986</v>
      </c>
      <c r="D242" t="inlineStr">
        <is>
          <t>JÄMTLANDS LÄN</t>
        </is>
      </c>
      <c r="E242" t="inlineStr">
        <is>
          <t>BERG</t>
        </is>
      </c>
      <c r="G242" t="n">
        <v>1.9</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45986</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45986</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45986</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35308-2021</t>
        </is>
      </c>
      <c r="B246" s="1" t="n">
        <v>44384</v>
      </c>
      <c r="C246" s="1" t="n">
        <v>45986</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c r="U246">
        <f>HYPERLINK("https://klasma.github.io/Logging_2326/knärot/A 35308-2021 karta knärot.png", "A 35308-2021")</f>
        <v/>
      </c>
      <c r="V246">
        <f>HYPERLINK("https://klasma.github.io/Logging_2326/klagomål/A 35308-2021 FSC-klagomål.docx", "A 35308-2021")</f>
        <v/>
      </c>
      <c r="W246">
        <f>HYPERLINK("https://klasma.github.io/Logging_2326/klagomålsmail/A 35308-2021 FSC-klagomål mail.docx", "A 35308-2021")</f>
        <v/>
      </c>
      <c r="X246">
        <f>HYPERLINK("https://klasma.github.io/Logging_2326/tillsyn/A 35308-2021 tillsynsbegäran.docx", "A 35308-2021")</f>
        <v/>
      </c>
      <c r="Y246">
        <f>HYPERLINK("https://klasma.github.io/Logging_2326/tillsynsmail/A 35308-2021 tillsynsbegäran mail.docx", "A 35308-2021")</f>
        <v/>
      </c>
    </row>
    <row r="247" ht="15" customHeight="1">
      <c r="A247" t="inlineStr">
        <is>
          <t>A 37726-2022</t>
        </is>
      </c>
      <c r="B247" s="1" t="n">
        <v>44810.56636574074</v>
      </c>
      <c r="C247" s="1" t="n">
        <v>45986</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5221-2022</t>
        </is>
      </c>
      <c r="B248" s="1" t="n">
        <v>44594.48864583333</v>
      </c>
      <c r="C248" s="1" t="n">
        <v>45986</v>
      </c>
      <c r="D248" t="inlineStr">
        <is>
          <t>JÄMTLANDS LÄN</t>
        </is>
      </c>
      <c r="E248" t="inlineStr">
        <is>
          <t>BERG</t>
        </is>
      </c>
      <c r="G248" t="n">
        <v>4.9</v>
      </c>
      <c r="H248" t="n">
        <v>0</v>
      </c>
      <c r="I248" t="n">
        <v>0</v>
      </c>
      <c r="J248" t="n">
        <v>0</v>
      </c>
      <c r="K248" t="n">
        <v>0</v>
      </c>
      <c r="L248" t="n">
        <v>0</v>
      </c>
      <c r="M248" t="n">
        <v>0</v>
      </c>
      <c r="N248" t="n">
        <v>0</v>
      </c>
      <c r="O248" t="n">
        <v>0</v>
      </c>
      <c r="P248" t="n">
        <v>0</v>
      </c>
      <c r="Q248" t="n">
        <v>0</v>
      </c>
      <c r="R248" s="2" t="inlineStr"/>
    </row>
    <row r="249" ht="15" customHeight="1">
      <c r="A249" t="inlineStr">
        <is>
          <t>A 5222-2022</t>
        </is>
      </c>
      <c r="B249" s="1" t="n">
        <v>44594.4892824074</v>
      </c>
      <c r="C249" s="1" t="n">
        <v>45986</v>
      </c>
      <c r="D249" t="inlineStr">
        <is>
          <t>JÄMTLANDS LÄN</t>
        </is>
      </c>
      <c r="E249" t="inlineStr">
        <is>
          <t>BERG</t>
        </is>
      </c>
      <c r="G249" t="n">
        <v>12.3</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45986</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68896-2020</t>
        </is>
      </c>
      <c r="B251" s="1" t="n">
        <v>44187</v>
      </c>
      <c r="C251" s="1" t="n">
        <v>45986</v>
      </c>
      <c r="D251" t="inlineStr">
        <is>
          <t>JÄMTLANDS LÄN</t>
        </is>
      </c>
      <c r="E251" t="inlineStr">
        <is>
          <t>BERG</t>
        </is>
      </c>
      <c r="G251" t="n">
        <v>9.6</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45986</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45986</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45986</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10230-2024</t>
        </is>
      </c>
      <c r="B255" s="1" t="n">
        <v>45365.31883101852</v>
      </c>
      <c r="C255" s="1" t="n">
        <v>45986</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36079-2024</t>
        </is>
      </c>
      <c r="B256" s="1" t="n">
        <v>45533.66685185185</v>
      </c>
      <c r="C256" s="1" t="n">
        <v>45986</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51951-2021</t>
        </is>
      </c>
      <c r="B257" s="1" t="n">
        <v>44462</v>
      </c>
      <c r="C257" s="1" t="n">
        <v>45986</v>
      </c>
      <c r="D257" t="inlineStr">
        <is>
          <t>JÄMTLANDS LÄN</t>
        </is>
      </c>
      <c r="E257" t="inlineStr">
        <is>
          <t>BERG</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36287-2024</t>
        </is>
      </c>
      <c r="B258" s="1" t="n">
        <v>45534</v>
      </c>
      <c r="C258" s="1" t="n">
        <v>45986</v>
      </c>
      <c r="D258" t="inlineStr">
        <is>
          <t>JÄMTLANDS LÄN</t>
        </is>
      </c>
      <c r="E258" t="inlineStr">
        <is>
          <t>BERG</t>
        </is>
      </c>
      <c r="F258" t="inlineStr">
        <is>
          <t>Kyrkan</t>
        </is>
      </c>
      <c r="G258" t="n">
        <v>0.8</v>
      </c>
      <c r="H258" t="n">
        <v>0</v>
      </c>
      <c r="I258" t="n">
        <v>0</v>
      </c>
      <c r="J258" t="n">
        <v>0</v>
      </c>
      <c r="K258" t="n">
        <v>0</v>
      </c>
      <c r="L258" t="n">
        <v>0</v>
      </c>
      <c r="M258" t="n">
        <v>0</v>
      </c>
      <c r="N258" t="n">
        <v>0</v>
      </c>
      <c r="O258" t="n">
        <v>0</v>
      </c>
      <c r="P258" t="n">
        <v>0</v>
      </c>
      <c r="Q258" t="n">
        <v>0</v>
      </c>
      <c r="R258" s="2" t="inlineStr"/>
    </row>
    <row r="259" ht="15" customHeight="1">
      <c r="A259" t="inlineStr">
        <is>
          <t>A 9482-2024</t>
        </is>
      </c>
      <c r="B259" s="1" t="n">
        <v>45359.57847222222</v>
      </c>
      <c r="C259" s="1" t="n">
        <v>45986</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65209-2023</t>
        </is>
      </c>
      <c r="B260" s="1" t="n">
        <v>45289</v>
      </c>
      <c r="C260" s="1" t="n">
        <v>45986</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45986</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43616-2024</t>
        </is>
      </c>
      <c r="B262" s="1" t="n">
        <v>45569</v>
      </c>
      <c r="C262" s="1" t="n">
        <v>45986</v>
      </c>
      <c r="D262" t="inlineStr">
        <is>
          <t>JÄMTLANDS LÄN</t>
        </is>
      </c>
      <c r="E262" t="inlineStr">
        <is>
          <t>BERG</t>
        </is>
      </c>
      <c r="G262" t="n">
        <v>12.3</v>
      </c>
      <c r="H262" t="n">
        <v>0</v>
      </c>
      <c r="I262" t="n">
        <v>0</v>
      </c>
      <c r="J262" t="n">
        <v>0</v>
      </c>
      <c r="K262" t="n">
        <v>0</v>
      </c>
      <c r="L262" t="n">
        <v>0</v>
      </c>
      <c r="M262" t="n">
        <v>0</v>
      </c>
      <c r="N262" t="n">
        <v>0</v>
      </c>
      <c r="O262" t="n">
        <v>0</v>
      </c>
      <c r="P262" t="n">
        <v>0</v>
      </c>
      <c r="Q262" t="n">
        <v>0</v>
      </c>
      <c r="R262" s="2" t="inlineStr"/>
    </row>
    <row r="263" ht="15" customHeight="1">
      <c r="A263" t="inlineStr">
        <is>
          <t>A 44110-2022</t>
        </is>
      </c>
      <c r="B263" s="1" t="n">
        <v>44837</v>
      </c>
      <c r="C263" s="1" t="n">
        <v>45986</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18685-2024</t>
        </is>
      </c>
      <c r="B264" s="1" t="n">
        <v>45426.38322916667</v>
      </c>
      <c r="C264" s="1" t="n">
        <v>45986</v>
      </c>
      <c r="D264" t="inlineStr">
        <is>
          <t>JÄMTLANDS LÄN</t>
        </is>
      </c>
      <c r="E264" t="inlineStr">
        <is>
          <t>BERG</t>
        </is>
      </c>
      <c r="G264" t="n">
        <v>5.1</v>
      </c>
      <c r="H264" t="n">
        <v>0</v>
      </c>
      <c r="I264" t="n">
        <v>0</v>
      </c>
      <c r="J264" t="n">
        <v>0</v>
      </c>
      <c r="K264" t="n">
        <v>0</v>
      </c>
      <c r="L264" t="n">
        <v>0</v>
      </c>
      <c r="M264" t="n">
        <v>0</v>
      </c>
      <c r="N264" t="n">
        <v>0</v>
      </c>
      <c r="O264" t="n">
        <v>0</v>
      </c>
      <c r="P264" t="n">
        <v>0</v>
      </c>
      <c r="Q264" t="n">
        <v>0</v>
      </c>
      <c r="R264" s="2" t="inlineStr"/>
    </row>
    <row r="265" ht="15" customHeight="1">
      <c r="A265" t="inlineStr">
        <is>
          <t>A 56490-2024</t>
        </is>
      </c>
      <c r="B265" s="1" t="n">
        <v>45625.48765046296</v>
      </c>
      <c r="C265" s="1" t="n">
        <v>45986</v>
      </c>
      <c r="D265" t="inlineStr">
        <is>
          <t>JÄMTLANDS LÄN</t>
        </is>
      </c>
      <c r="E265" t="inlineStr">
        <is>
          <t>BERG</t>
        </is>
      </c>
      <c r="G265" t="n">
        <v>5.9</v>
      </c>
      <c r="H265" t="n">
        <v>0</v>
      </c>
      <c r="I265" t="n">
        <v>0</v>
      </c>
      <c r="J265" t="n">
        <v>0</v>
      </c>
      <c r="K265" t="n">
        <v>0</v>
      </c>
      <c r="L265" t="n">
        <v>0</v>
      </c>
      <c r="M265" t="n">
        <v>0</v>
      </c>
      <c r="N265" t="n">
        <v>0</v>
      </c>
      <c r="O265" t="n">
        <v>0</v>
      </c>
      <c r="P265" t="n">
        <v>0</v>
      </c>
      <c r="Q265" t="n">
        <v>0</v>
      </c>
      <c r="R265" s="2" t="inlineStr"/>
    </row>
    <row r="266" ht="15" customHeight="1">
      <c r="A266" t="inlineStr">
        <is>
          <t>A 10974-2025</t>
        </is>
      </c>
      <c r="B266" s="1" t="n">
        <v>45723.38790509259</v>
      </c>
      <c r="C266" s="1" t="n">
        <v>45986</v>
      </c>
      <c r="D266" t="inlineStr">
        <is>
          <t>JÄMTLANDS LÄN</t>
        </is>
      </c>
      <c r="E266" t="inlineStr">
        <is>
          <t>BERG</t>
        </is>
      </c>
      <c r="G266" t="n">
        <v>6.9</v>
      </c>
      <c r="H266" t="n">
        <v>0</v>
      </c>
      <c r="I266" t="n">
        <v>0</v>
      </c>
      <c r="J266" t="n">
        <v>0</v>
      </c>
      <c r="K266" t="n">
        <v>0</v>
      </c>
      <c r="L266" t="n">
        <v>0</v>
      </c>
      <c r="M266" t="n">
        <v>0</v>
      </c>
      <c r="N266" t="n">
        <v>0</v>
      </c>
      <c r="O266" t="n">
        <v>0</v>
      </c>
      <c r="P266" t="n">
        <v>0</v>
      </c>
      <c r="Q266" t="n">
        <v>0</v>
      </c>
      <c r="R266" s="2" t="inlineStr"/>
    </row>
    <row r="267" ht="15" customHeight="1">
      <c r="A267" t="inlineStr">
        <is>
          <t>A 47674-2024</t>
        </is>
      </c>
      <c r="B267" s="1" t="n">
        <v>45588.40413194444</v>
      </c>
      <c r="C267" s="1" t="n">
        <v>45986</v>
      </c>
      <c r="D267" t="inlineStr">
        <is>
          <t>JÄMTLANDS LÄN</t>
        </is>
      </c>
      <c r="E267" t="inlineStr">
        <is>
          <t>BERG</t>
        </is>
      </c>
      <c r="G267" t="n">
        <v>0.5</v>
      </c>
      <c r="H267" t="n">
        <v>0</v>
      </c>
      <c r="I267" t="n">
        <v>0</v>
      </c>
      <c r="J267" t="n">
        <v>0</v>
      </c>
      <c r="K267" t="n">
        <v>0</v>
      </c>
      <c r="L267" t="n">
        <v>0</v>
      </c>
      <c r="M267" t="n">
        <v>0</v>
      </c>
      <c r="N267" t="n">
        <v>0</v>
      </c>
      <c r="O267" t="n">
        <v>0</v>
      </c>
      <c r="P267" t="n">
        <v>0</v>
      </c>
      <c r="Q267" t="n">
        <v>0</v>
      </c>
      <c r="R267" s="2" t="inlineStr"/>
    </row>
    <row r="268" ht="15" customHeight="1">
      <c r="A268" t="inlineStr">
        <is>
          <t>A 62360-2023</t>
        </is>
      </c>
      <c r="B268" s="1" t="n">
        <v>45267</v>
      </c>
      <c r="C268" s="1" t="n">
        <v>45986</v>
      </c>
      <c r="D268" t="inlineStr">
        <is>
          <t>JÄMTLANDS LÄN</t>
        </is>
      </c>
      <c r="E268" t="inlineStr">
        <is>
          <t>BERG</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35792-2024</t>
        </is>
      </c>
      <c r="B269" s="1" t="n">
        <v>45532.62950231481</v>
      </c>
      <c r="C269" s="1" t="n">
        <v>45986</v>
      </c>
      <c r="D269" t="inlineStr">
        <is>
          <t>JÄMTLANDS LÄN</t>
        </is>
      </c>
      <c r="E269" t="inlineStr">
        <is>
          <t>BERG</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1499-2025</t>
        </is>
      </c>
      <c r="B270" s="1" t="n">
        <v>45670.41112268518</v>
      </c>
      <c r="C270" s="1" t="n">
        <v>45986</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48069-2023</t>
        </is>
      </c>
      <c r="B271" s="1" t="n">
        <v>45204</v>
      </c>
      <c r="C271" s="1" t="n">
        <v>45986</v>
      </c>
      <c r="D271" t="inlineStr">
        <is>
          <t>JÄMTLANDS LÄN</t>
        </is>
      </c>
      <c r="E271" t="inlineStr">
        <is>
          <t>BERG</t>
        </is>
      </c>
      <c r="F271" t="inlineStr">
        <is>
          <t>SCA</t>
        </is>
      </c>
      <c r="G271" t="n">
        <v>11.2</v>
      </c>
      <c r="H271" t="n">
        <v>0</v>
      </c>
      <c r="I271" t="n">
        <v>0</v>
      </c>
      <c r="J271" t="n">
        <v>0</v>
      </c>
      <c r="K271" t="n">
        <v>0</v>
      </c>
      <c r="L271" t="n">
        <v>0</v>
      </c>
      <c r="M271" t="n">
        <v>0</v>
      </c>
      <c r="N271" t="n">
        <v>0</v>
      </c>
      <c r="O271" t="n">
        <v>0</v>
      </c>
      <c r="P271" t="n">
        <v>0</v>
      </c>
      <c r="Q271" t="n">
        <v>0</v>
      </c>
      <c r="R271" s="2" t="inlineStr"/>
    </row>
    <row r="272" ht="15" customHeight="1">
      <c r="A272" t="inlineStr">
        <is>
          <t>A 53894-2023</t>
        </is>
      </c>
      <c r="B272" s="1" t="n">
        <v>45231.53321759259</v>
      </c>
      <c r="C272" s="1" t="n">
        <v>45986</v>
      </c>
      <c r="D272" t="inlineStr">
        <is>
          <t>JÄMTLANDS LÄN</t>
        </is>
      </c>
      <c r="E272" t="inlineStr">
        <is>
          <t>BERG</t>
        </is>
      </c>
      <c r="G272" t="n">
        <v>0.5</v>
      </c>
      <c r="H272" t="n">
        <v>0</v>
      </c>
      <c r="I272" t="n">
        <v>0</v>
      </c>
      <c r="J272" t="n">
        <v>0</v>
      </c>
      <c r="K272" t="n">
        <v>0</v>
      </c>
      <c r="L272" t="n">
        <v>0</v>
      </c>
      <c r="M272" t="n">
        <v>0</v>
      </c>
      <c r="N272" t="n">
        <v>0</v>
      </c>
      <c r="O272" t="n">
        <v>0</v>
      </c>
      <c r="P272" t="n">
        <v>0</v>
      </c>
      <c r="Q272" t="n">
        <v>0</v>
      </c>
      <c r="R272" s="2" t="inlineStr"/>
    </row>
    <row r="273" ht="15" customHeight="1">
      <c r="A273" t="inlineStr">
        <is>
          <t>A 22180-2025</t>
        </is>
      </c>
      <c r="B273" s="1" t="n">
        <v>45785</v>
      </c>
      <c r="C273" s="1" t="n">
        <v>45986</v>
      </c>
      <c r="D273" t="inlineStr">
        <is>
          <t>JÄMTLANDS LÄN</t>
        </is>
      </c>
      <c r="E273" t="inlineStr">
        <is>
          <t>BERG</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45986</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45346-2023</t>
        </is>
      </c>
      <c r="B275" s="1" t="n">
        <v>45191</v>
      </c>
      <c r="C275" s="1" t="n">
        <v>45986</v>
      </c>
      <c r="D275" t="inlineStr">
        <is>
          <t>JÄMTLANDS LÄN</t>
        </is>
      </c>
      <c r="E275" t="inlineStr">
        <is>
          <t>BERG</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60847-2023</t>
        </is>
      </c>
      <c r="B276" s="1" t="n">
        <v>45260</v>
      </c>
      <c r="C276" s="1" t="n">
        <v>45986</v>
      </c>
      <c r="D276" t="inlineStr">
        <is>
          <t>JÄMTLANDS LÄN</t>
        </is>
      </c>
      <c r="E276" t="inlineStr">
        <is>
          <t>BERG</t>
        </is>
      </c>
      <c r="G276" t="n">
        <v>2.5</v>
      </c>
      <c r="H276" t="n">
        <v>0</v>
      </c>
      <c r="I276" t="n">
        <v>0</v>
      </c>
      <c r="J276" t="n">
        <v>0</v>
      </c>
      <c r="K276" t="n">
        <v>0</v>
      </c>
      <c r="L276" t="n">
        <v>0</v>
      </c>
      <c r="M276" t="n">
        <v>0</v>
      </c>
      <c r="N276" t="n">
        <v>0</v>
      </c>
      <c r="O276" t="n">
        <v>0</v>
      </c>
      <c r="P276" t="n">
        <v>0</v>
      </c>
      <c r="Q276" t="n">
        <v>0</v>
      </c>
      <c r="R276" s="2" t="inlineStr"/>
    </row>
    <row r="277" ht="15" customHeight="1">
      <c r="A277" t="inlineStr">
        <is>
          <t>A 21851-2025</t>
        </is>
      </c>
      <c r="B277" s="1" t="n">
        <v>45784.34417824074</v>
      </c>
      <c r="C277" s="1" t="n">
        <v>45986</v>
      </c>
      <c r="D277" t="inlineStr">
        <is>
          <t>JÄMTLANDS LÄN</t>
        </is>
      </c>
      <c r="E277" t="inlineStr">
        <is>
          <t>BERG</t>
        </is>
      </c>
      <c r="F277" t="inlineStr">
        <is>
          <t>SCA</t>
        </is>
      </c>
      <c r="G277" t="n">
        <v>10</v>
      </c>
      <c r="H277" t="n">
        <v>0</v>
      </c>
      <c r="I277" t="n">
        <v>0</v>
      </c>
      <c r="J277" t="n">
        <v>0</v>
      </c>
      <c r="K277" t="n">
        <v>0</v>
      </c>
      <c r="L277" t="n">
        <v>0</v>
      </c>
      <c r="M277" t="n">
        <v>0</v>
      </c>
      <c r="N277" t="n">
        <v>0</v>
      </c>
      <c r="O277" t="n">
        <v>0</v>
      </c>
      <c r="P277" t="n">
        <v>0</v>
      </c>
      <c r="Q277" t="n">
        <v>0</v>
      </c>
      <c r="R277" s="2" t="inlineStr"/>
    </row>
    <row r="278" ht="15" customHeight="1">
      <c r="A278" t="inlineStr">
        <is>
          <t>A 8238-2024</t>
        </is>
      </c>
      <c r="B278" s="1" t="n">
        <v>45351.98450231482</v>
      </c>
      <c r="C278" s="1" t="n">
        <v>45986</v>
      </c>
      <c r="D278" t="inlineStr">
        <is>
          <t>JÄMTLANDS LÄN</t>
        </is>
      </c>
      <c r="E278" t="inlineStr">
        <is>
          <t>BERG</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29581-2024</t>
        </is>
      </c>
      <c r="B279" s="1" t="n">
        <v>45484.5740162037</v>
      </c>
      <c r="C279" s="1" t="n">
        <v>45986</v>
      </c>
      <c r="D279" t="inlineStr">
        <is>
          <t>JÄMTLANDS LÄN</t>
        </is>
      </c>
      <c r="E279" t="inlineStr">
        <is>
          <t>BERG</t>
        </is>
      </c>
      <c r="G279" t="n">
        <v>16.7</v>
      </c>
      <c r="H279" t="n">
        <v>0</v>
      </c>
      <c r="I279" t="n">
        <v>0</v>
      </c>
      <c r="J279" t="n">
        <v>0</v>
      </c>
      <c r="K279" t="n">
        <v>0</v>
      </c>
      <c r="L279" t="n">
        <v>0</v>
      </c>
      <c r="M279" t="n">
        <v>0</v>
      </c>
      <c r="N279" t="n">
        <v>0</v>
      </c>
      <c r="O279" t="n">
        <v>0</v>
      </c>
      <c r="P279" t="n">
        <v>0</v>
      </c>
      <c r="Q279" t="n">
        <v>0</v>
      </c>
      <c r="R279" s="2" t="inlineStr"/>
    </row>
    <row r="280" ht="15" customHeight="1">
      <c r="A280" t="inlineStr">
        <is>
          <t>A 32654-2025</t>
        </is>
      </c>
      <c r="B280" s="1" t="n">
        <v>45838.6778587963</v>
      </c>
      <c r="C280" s="1" t="n">
        <v>45986</v>
      </c>
      <c r="D280" t="inlineStr">
        <is>
          <t>JÄMTLANDS LÄN</t>
        </is>
      </c>
      <c r="E280" t="inlineStr">
        <is>
          <t>BERG</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43403-2023</t>
        </is>
      </c>
      <c r="B281" s="1" t="n">
        <v>45183</v>
      </c>
      <c r="C281" s="1" t="n">
        <v>45986</v>
      </c>
      <c r="D281" t="inlineStr">
        <is>
          <t>JÄMTLANDS LÄN</t>
        </is>
      </c>
      <c r="E281" t="inlineStr">
        <is>
          <t>BERG</t>
        </is>
      </c>
      <c r="F281" t="inlineStr">
        <is>
          <t>SCA</t>
        </is>
      </c>
      <c r="G281" t="n">
        <v>0.1</v>
      </c>
      <c r="H281" t="n">
        <v>0</v>
      </c>
      <c r="I281" t="n">
        <v>0</v>
      </c>
      <c r="J281" t="n">
        <v>0</v>
      </c>
      <c r="K281" t="n">
        <v>0</v>
      </c>
      <c r="L281" t="n">
        <v>0</v>
      </c>
      <c r="M281" t="n">
        <v>0</v>
      </c>
      <c r="N281" t="n">
        <v>0</v>
      </c>
      <c r="O281" t="n">
        <v>0</v>
      </c>
      <c r="P281" t="n">
        <v>0</v>
      </c>
      <c r="Q281" t="n">
        <v>0</v>
      </c>
      <c r="R281" s="2" t="inlineStr"/>
    </row>
    <row r="282" ht="15" customHeight="1">
      <c r="A282" t="inlineStr">
        <is>
          <t>A 46366-2024</t>
        </is>
      </c>
      <c r="B282" s="1" t="n">
        <v>45582.36490740741</v>
      </c>
      <c r="C282" s="1" t="n">
        <v>45986</v>
      </c>
      <c r="D282" t="inlineStr">
        <is>
          <t>JÄMTLANDS LÄN</t>
        </is>
      </c>
      <c r="E282" t="inlineStr">
        <is>
          <t>BERG</t>
        </is>
      </c>
      <c r="G282" t="n">
        <v>5</v>
      </c>
      <c r="H282" t="n">
        <v>0</v>
      </c>
      <c r="I282" t="n">
        <v>0</v>
      </c>
      <c r="J282" t="n">
        <v>0</v>
      </c>
      <c r="K282" t="n">
        <v>0</v>
      </c>
      <c r="L282" t="n">
        <v>0</v>
      </c>
      <c r="M282" t="n">
        <v>0</v>
      </c>
      <c r="N282" t="n">
        <v>0</v>
      </c>
      <c r="O282" t="n">
        <v>0</v>
      </c>
      <c r="P282" t="n">
        <v>0</v>
      </c>
      <c r="Q282" t="n">
        <v>0</v>
      </c>
      <c r="R282" s="2" t="inlineStr"/>
    </row>
    <row r="283" ht="15" customHeight="1">
      <c r="A283" t="inlineStr">
        <is>
          <t>A 17899-2024</t>
        </is>
      </c>
      <c r="B283" s="1" t="n">
        <v>45419.49334490741</v>
      </c>
      <c r="C283" s="1" t="n">
        <v>45986</v>
      </c>
      <c r="D283" t="inlineStr">
        <is>
          <t>JÄMTLANDS LÄN</t>
        </is>
      </c>
      <c r="E283" t="inlineStr">
        <is>
          <t>BERG</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17922-2024</t>
        </is>
      </c>
      <c r="B284" s="1" t="n">
        <v>45419.5853587963</v>
      </c>
      <c r="C284" s="1" t="n">
        <v>45986</v>
      </c>
      <c r="D284" t="inlineStr">
        <is>
          <t>JÄMTLANDS LÄN</t>
        </is>
      </c>
      <c r="E284" t="inlineStr">
        <is>
          <t>BERG</t>
        </is>
      </c>
      <c r="F284" t="inlineStr">
        <is>
          <t>Holmen skog AB</t>
        </is>
      </c>
      <c r="G284" t="n">
        <v>6.8</v>
      </c>
      <c r="H284" t="n">
        <v>0</v>
      </c>
      <c r="I284" t="n">
        <v>0</v>
      </c>
      <c r="J284" t="n">
        <v>0</v>
      </c>
      <c r="K284" t="n">
        <v>0</v>
      </c>
      <c r="L284" t="n">
        <v>0</v>
      </c>
      <c r="M284" t="n">
        <v>0</v>
      </c>
      <c r="N284" t="n">
        <v>0</v>
      </c>
      <c r="O284" t="n">
        <v>0</v>
      </c>
      <c r="P284" t="n">
        <v>0</v>
      </c>
      <c r="Q284" t="n">
        <v>0</v>
      </c>
      <c r="R284" s="2" t="inlineStr"/>
    </row>
    <row r="285" ht="15" customHeight="1">
      <c r="A285" t="inlineStr">
        <is>
          <t>A 46902-2024</t>
        </is>
      </c>
      <c r="B285" s="1" t="n">
        <v>45583.69847222222</v>
      </c>
      <c r="C285" s="1" t="n">
        <v>45986</v>
      </c>
      <c r="D285" t="inlineStr">
        <is>
          <t>JÄMTLANDS LÄN</t>
        </is>
      </c>
      <c r="E285" t="inlineStr">
        <is>
          <t>BERG</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14834-2025</t>
        </is>
      </c>
      <c r="B286" s="1" t="n">
        <v>45743.38224537037</v>
      </c>
      <c r="C286" s="1" t="n">
        <v>45986</v>
      </c>
      <c r="D286" t="inlineStr">
        <is>
          <t>JÄMTLANDS LÄN</t>
        </is>
      </c>
      <c r="E286" t="inlineStr">
        <is>
          <t>BERG</t>
        </is>
      </c>
      <c r="G286" t="n">
        <v>3.8</v>
      </c>
      <c r="H286" t="n">
        <v>0</v>
      </c>
      <c r="I286" t="n">
        <v>0</v>
      </c>
      <c r="J286" t="n">
        <v>0</v>
      </c>
      <c r="K286" t="n">
        <v>0</v>
      </c>
      <c r="L286" t="n">
        <v>0</v>
      </c>
      <c r="M286" t="n">
        <v>0</v>
      </c>
      <c r="N286" t="n">
        <v>0</v>
      </c>
      <c r="O286" t="n">
        <v>0</v>
      </c>
      <c r="P286" t="n">
        <v>0</v>
      </c>
      <c r="Q286" t="n">
        <v>0</v>
      </c>
      <c r="R286" s="2" t="inlineStr"/>
    </row>
    <row r="287" ht="15" customHeight="1">
      <c r="A287" t="inlineStr">
        <is>
          <t>A 44911-2021</t>
        </is>
      </c>
      <c r="B287" s="1" t="n">
        <v>44435</v>
      </c>
      <c r="C287" s="1" t="n">
        <v>45986</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22724-2025</t>
        </is>
      </c>
      <c r="B288" s="1" t="n">
        <v>45789.57361111111</v>
      </c>
      <c r="C288" s="1" t="n">
        <v>45986</v>
      </c>
      <c r="D288" t="inlineStr">
        <is>
          <t>JÄMTLANDS LÄN</t>
        </is>
      </c>
      <c r="E288" t="inlineStr">
        <is>
          <t>BERG</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22672-2025</t>
        </is>
      </c>
      <c r="B289" s="1" t="n">
        <v>45789.4903587963</v>
      </c>
      <c r="C289" s="1" t="n">
        <v>45986</v>
      </c>
      <c r="D289" t="inlineStr">
        <is>
          <t>JÄMTLANDS LÄN</t>
        </is>
      </c>
      <c r="E289" t="inlineStr">
        <is>
          <t>BERG</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22653-2025</t>
        </is>
      </c>
      <c r="B290" s="1" t="n">
        <v>45789.46931712963</v>
      </c>
      <c r="C290" s="1" t="n">
        <v>45986</v>
      </c>
      <c r="D290" t="inlineStr">
        <is>
          <t>JÄMTLANDS LÄN</t>
        </is>
      </c>
      <c r="E290" t="inlineStr">
        <is>
          <t>BERG</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22478-2025</t>
        </is>
      </c>
      <c r="B291" s="1" t="n">
        <v>45786.6349537037</v>
      </c>
      <c r="C291" s="1" t="n">
        <v>45986</v>
      </c>
      <c r="D291" t="inlineStr">
        <is>
          <t>JÄMTLANDS LÄN</t>
        </is>
      </c>
      <c r="E291" t="inlineStr">
        <is>
          <t>BERG</t>
        </is>
      </c>
      <c r="G291" t="n">
        <v>2.5</v>
      </c>
      <c r="H291" t="n">
        <v>0</v>
      </c>
      <c r="I291" t="n">
        <v>0</v>
      </c>
      <c r="J291" t="n">
        <v>0</v>
      </c>
      <c r="K291" t="n">
        <v>0</v>
      </c>
      <c r="L291" t="n">
        <v>0</v>
      </c>
      <c r="M291" t="n">
        <v>0</v>
      </c>
      <c r="N291" t="n">
        <v>0</v>
      </c>
      <c r="O291" t="n">
        <v>0</v>
      </c>
      <c r="P291" t="n">
        <v>0</v>
      </c>
      <c r="Q291" t="n">
        <v>0</v>
      </c>
      <c r="R291" s="2" t="inlineStr"/>
    </row>
    <row r="292" ht="15" customHeight="1">
      <c r="A292" t="inlineStr">
        <is>
          <t>A 4476-2025</t>
        </is>
      </c>
      <c r="B292" s="1" t="n">
        <v>45686.62828703703</v>
      </c>
      <c r="C292" s="1" t="n">
        <v>45986</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46991-2024</t>
        </is>
      </c>
      <c r="B293" s="1" t="n">
        <v>45586.365625</v>
      </c>
      <c r="C293" s="1" t="n">
        <v>45986</v>
      </c>
      <c r="D293" t="inlineStr">
        <is>
          <t>JÄMTLANDS LÄN</t>
        </is>
      </c>
      <c r="E293" t="inlineStr">
        <is>
          <t>BERG</t>
        </is>
      </c>
      <c r="G293" t="n">
        <v>2.9</v>
      </c>
      <c r="H293" t="n">
        <v>0</v>
      </c>
      <c r="I293" t="n">
        <v>0</v>
      </c>
      <c r="J293" t="n">
        <v>0</v>
      </c>
      <c r="K293" t="n">
        <v>0</v>
      </c>
      <c r="L293" t="n">
        <v>0</v>
      </c>
      <c r="M293" t="n">
        <v>0</v>
      </c>
      <c r="N293" t="n">
        <v>0</v>
      </c>
      <c r="O293" t="n">
        <v>0</v>
      </c>
      <c r="P293" t="n">
        <v>0</v>
      </c>
      <c r="Q293" t="n">
        <v>0</v>
      </c>
      <c r="R293" s="2" t="inlineStr"/>
    </row>
    <row r="294" ht="15" customHeight="1">
      <c r="A294" t="inlineStr">
        <is>
          <t>A 34650-2024</t>
        </is>
      </c>
      <c r="B294" s="1" t="n">
        <v>45526.48329861111</v>
      </c>
      <c r="C294" s="1" t="n">
        <v>45986</v>
      </c>
      <c r="D294" t="inlineStr">
        <is>
          <t>JÄMTLANDS LÄN</t>
        </is>
      </c>
      <c r="E294" t="inlineStr">
        <is>
          <t>BERG</t>
        </is>
      </c>
      <c r="G294" t="n">
        <v>4.9</v>
      </c>
      <c r="H294" t="n">
        <v>0</v>
      </c>
      <c r="I294" t="n">
        <v>0</v>
      </c>
      <c r="J294" t="n">
        <v>0</v>
      </c>
      <c r="K294" t="n">
        <v>0</v>
      </c>
      <c r="L294" t="n">
        <v>0</v>
      </c>
      <c r="M294" t="n">
        <v>0</v>
      </c>
      <c r="N294" t="n">
        <v>0</v>
      </c>
      <c r="O294" t="n">
        <v>0</v>
      </c>
      <c r="P294" t="n">
        <v>0</v>
      </c>
      <c r="Q294" t="n">
        <v>0</v>
      </c>
      <c r="R294" s="2" t="inlineStr"/>
    </row>
    <row r="295" ht="15" customHeight="1">
      <c r="A295" t="inlineStr">
        <is>
          <t>A 22991-2025</t>
        </is>
      </c>
      <c r="B295" s="1" t="n">
        <v>45790.57836805555</v>
      </c>
      <c r="C295" s="1" t="n">
        <v>45986</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19428-2025</t>
        </is>
      </c>
      <c r="B296" s="1" t="n">
        <v>45769.79763888889</v>
      </c>
      <c r="C296" s="1" t="n">
        <v>45986</v>
      </c>
      <c r="D296" t="inlineStr">
        <is>
          <t>JÄMTLANDS LÄN</t>
        </is>
      </c>
      <c r="E296" t="inlineStr">
        <is>
          <t>BERG</t>
        </is>
      </c>
      <c r="G296" t="n">
        <v>7.1</v>
      </c>
      <c r="H296" t="n">
        <v>0</v>
      </c>
      <c r="I296" t="n">
        <v>0</v>
      </c>
      <c r="J296" t="n">
        <v>0</v>
      </c>
      <c r="K296" t="n">
        <v>0</v>
      </c>
      <c r="L296" t="n">
        <v>0</v>
      </c>
      <c r="M296" t="n">
        <v>0</v>
      </c>
      <c r="N296" t="n">
        <v>0</v>
      </c>
      <c r="O296" t="n">
        <v>0</v>
      </c>
      <c r="P296" t="n">
        <v>0</v>
      </c>
      <c r="Q296" t="n">
        <v>0</v>
      </c>
      <c r="R296" s="2" t="inlineStr"/>
    </row>
    <row r="297" ht="15" customHeight="1">
      <c r="A297" t="inlineStr">
        <is>
          <t>A 23026-2025</t>
        </is>
      </c>
      <c r="B297" s="1" t="n">
        <v>45790.65690972222</v>
      </c>
      <c r="C297" s="1" t="n">
        <v>45986</v>
      </c>
      <c r="D297" t="inlineStr">
        <is>
          <t>JÄMTLANDS LÄN</t>
        </is>
      </c>
      <c r="E297" t="inlineStr">
        <is>
          <t>BERG</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22995-2025</t>
        </is>
      </c>
      <c r="B298" s="1" t="n">
        <v>45790.58265046297</v>
      </c>
      <c r="C298" s="1" t="n">
        <v>45986</v>
      </c>
      <c r="D298" t="inlineStr">
        <is>
          <t>JÄMTLANDS LÄN</t>
        </is>
      </c>
      <c r="E298" t="inlineStr">
        <is>
          <t>BERG</t>
        </is>
      </c>
      <c r="G298" t="n">
        <v>0.6</v>
      </c>
      <c r="H298" t="n">
        <v>0</v>
      </c>
      <c r="I298" t="n">
        <v>0</v>
      </c>
      <c r="J298" t="n">
        <v>0</v>
      </c>
      <c r="K298" t="n">
        <v>0</v>
      </c>
      <c r="L298" t="n">
        <v>0</v>
      </c>
      <c r="M298" t="n">
        <v>0</v>
      </c>
      <c r="N298" t="n">
        <v>0</v>
      </c>
      <c r="O298" t="n">
        <v>0</v>
      </c>
      <c r="P298" t="n">
        <v>0</v>
      </c>
      <c r="Q298" t="n">
        <v>0</v>
      </c>
      <c r="R298" s="2" t="inlineStr"/>
    </row>
    <row r="299" ht="15" customHeight="1">
      <c r="A299" t="inlineStr">
        <is>
          <t>A 39418-2025</t>
        </is>
      </c>
      <c r="B299" s="1" t="n">
        <v>45889</v>
      </c>
      <c r="C299" s="1" t="n">
        <v>45986</v>
      </c>
      <c r="D299" t="inlineStr">
        <is>
          <t>JÄMTLANDS LÄN</t>
        </is>
      </c>
      <c r="E299" t="inlineStr">
        <is>
          <t>BERG</t>
        </is>
      </c>
      <c r="G299" t="n">
        <v>19.8</v>
      </c>
      <c r="H299" t="n">
        <v>0</v>
      </c>
      <c r="I299" t="n">
        <v>0</v>
      </c>
      <c r="J299" t="n">
        <v>0</v>
      </c>
      <c r="K299" t="n">
        <v>0</v>
      </c>
      <c r="L299" t="n">
        <v>0</v>
      </c>
      <c r="M299" t="n">
        <v>0</v>
      </c>
      <c r="N299" t="n">
        <v>0</v>
      </c>
      <c r="O299" t="n">
        <v>0</v>
      </c>
      <c r="P299" t="n">
        <v>0</v>
      </c>
      <c r="Q299" t="n">
        <v>0</v>
      </c>
      <c r="R299" s="2" t="inlineStr"/>
    </row>
    <row r="300" ht="15" customHeight="1">
      <c r="A300" t="inlineStr">
        <is>
          <t>A 39004-2025</t>
        </is>
      </c>
      <c r="B300" s="1" t="n">
        <v>45888.34472222222</v>
      </c>
      <c r="C300" s="1" t="n">
        <v>45986</v>
      </c>
      <c r="D300" t="inlineStr">
        <is>
          <t>JÄMTLANDS LÄN</t>
        </is>
      </c>
      <c r="E300" t="inlineStr">
        <is>
          <t>BERG</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33386-2025</t>
        </is>
      </c>
      <c r="B301" s="1" t="n">
        <v>45841.40587962963</v>
      </c>
      <c r="C301" s="1" t="n">
        <v>45986</v>
      </c>
      <c r="D301" t="inlineStr">
        <is>
          <t>JÄMTLANDS LÄN</t>
        </is>
      </c>
      <c r="E301" t="inlineStr">
        <is>
          <t>BERG</t>
        </is>
      </c>
      <c r="G301" t="n">
        <v>37.7</v>
      </c>
      <c r="H301" t="n">
        <v>0</v>
      </c>
      <c r="I301" t="n">
        <v>0</v>
      </c>
      <c r="J301" t="n">
        <v>0</v>
      </c>
      <c r="K301" t="n">
        <v>0</v>
      </c>
      <c r="L301" t="n">
        <v>0</v>
      </c>
      <c r="M301" t="n">
        <v>0</v>
      </c>
      <c r="N301" t="n">
        <v>0</v>
      </c>
      <c r="O301" t="n">
        <v>0</v>
      </c>
      <c r="P301" t="n">
        <v>0</v>
      </c>
      <c r="Q301" t="n">
        <v>0</v>
      </c>
      <c r="R301" s="2" t="inlineStr"/>
    </row>
    <row r="302" ht="15" customHeight="1">
      <c r="A302" t="inlineStr">
        <is>
          <t>A 39601-2025</t>
        </is>
      </c>
      <c r="B302" s="1" t="n">
        <v>45890.55284722222</v>
      </c>
      <c r="C302" s="1" t="n">
        <v>45986</v>
      </c>
      <c r="D302" t="inlineStr">
        <is>
          <t>JÄMTLANDS LÄN</t>
        </is>
      </c>
      <c r="E302" t="inlineStr">
        <is>
          <t>BERG</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23766-2025</t>
        </is>
      </c>
      <c r="B303" s="1" t="n">
        <v>45793.46954861111</v>
      </c>
      <c r="C303" s="1" t="n">
        <v>45986</v>
      </c>
      <c r="D303" t="inlineStr">
        <is>
          <t>JÄMTLANDS LÄN</t>
        </is>
      </c>
      <c r="E303" t="inlineStr">
        <is>
          <t>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39698-2025</t>
        </is>
      </c>
      <c r="B304" s="1" t="n">
        <v>45890.69837962963</v>
      </c>
      <c r="C304" s="1" t="n">
        <v>45986</v>
      </c>
      <c r="D304" t="inlineStr">
        <is>
          <t>JÄMTLANDS LÄN</t>
        </is>
      </c>
      <c r="E304" t="inlineStr">
        <is>
          <t>BERG</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23913-2025</t>
        </is>
      </c>
      <c r="B305" s="1" t="n">
        <v>45795.34442129629</v>
      </c>
      <c r="C305" s="1" t="n">
        <v>45986</v>
      </c>
      <c r="D305" t="inlineStr">
        <is>
          <t>JÄMTLANDS LÄN</t>
        </is>
      </c>
      <c r="E305" t="inlineStr">
        <is>
          <t>BERG</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23919-2025</t>
        </is>
      </c>
      <c r="B306" s="1" t="n">
        <v>45795.34497685185</v>
      </c>
      <c r="C306" s="1" t="n">
        <v>45986</v>
      </c>
      <c r="D306" t="inlineStr">
        <is>
          <t>JÄMTLANDS LÄN</t>
        </is>
      </c>
      <c r="E306" t="inlineStr">
        <is>
          <t>BERG</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39544-2025</t>
        </is>
      </c>
      <c r="B307" s="1" t="n">
        <v>45890.45547453704</v>
      </c>
      <c r="C307" s="1" t="n">
        <v>45986</v>
      </c>
      <c r="D307" t="inlineStr">
        <is>
          <t>JÄMTLANDS LÄN</t>
        </is>
      </c>
      <c r="E307" t="inlineStr">
        <is>
          <t>BERG</t>
        </is>
      </c>
      <c r="G307" t="n">
        <v>7.5</v>
      </c>
      <c r="H307" t="n">
        <v>0</v>
      </c>
      <c r="I307" t="n">
        <v>0</v>
      </c>
      <c r="J307" t="n">
        <v>0</v>
      </c>
      <c r="K307" t="n">
        <v>0</v>
      </c>
      <c r="L307" t="n">
        <v>0</v>
      </c>
      <c r="M307" t="n">
        <v>0</v>
      </c>
      <c r="N307" t="n">
        <v>0</v>
      </c>
      <c r="O307" t="n">
        <v>0</v>
      </c>
      <c r="P307" t="n">
        <v>0</v>
      </c>
      <c r="Q307" t="n">
        <v>0</v>
      </c>
      <c r="R307" s="2" t="inlineStr"/>
    </row>
    <row r="308" ht="15" customHeight="1">
      <c r="A308" t="inlineStr">
        <is>
          <t>A 24324-2025</t>
        </is>
      </c>
      <c r="B308" s="1" t="n">
        <v>45797.56049768518</v>
      </c>
      <c r="C308" s="1" t="n">
        <v>45986</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39539-2025</t>
        </is>
      </c>
      <c r="B309" s="1" t="n">
        <v>45890.4525</v>
      </c>
      <c r="C309" s="1" t="n">
        <v>45986</v>
      </c>
      <c r="D309" t="inlineStr">
        <is>
          <t>JÄMTLANDS LÄN</t>
        </is>
      </c>
      <c r="E309" t="inlineStr">
        <is>
          <t>BERG</t>
        </is>
      </c>
      <c r="G309" t="n">
        <v>7.7</v>
      </c>
      <c r="H309" t="n">
        <v>0</v>
      </c>
      <c r="I309" t="n">
        <v>0</v>
      </c>
      <c r="J309" t="n">
        <v>0</v>
      </c>
      <c r="K309" t="n">
        <v>0</v>
      </c>
      <c r="L309" t="n">
        <v>0</v>
      </c>
      <c r="M309" t="n">
        <v>0</v>
      </c>
      <c r="N309" t="n">
        <v>0</v>
      </c>
      <c r="O309" t="n">
        <v>0</v>
      </c>
      <c r="P309" t="n">
        <v>0</v>
      </c>
      <c r="Q309" t="n">
        <v>0</v>
      </c>
      <c r="R309" s="2" t="inlineStr"/>
    </row>
    <row r="310" ht="15" customHeight="1">
      <c r="A310" t="inlineStr">
        <is>
          <t>A 40266-2025</t>
        </is>
      </c>
      <c r="B310" s="1" t="n">
        <v>45895.34478009259</v>
      </c>
      <c r="C310" s="1" t="n">
        <v>45986</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40060-2025</t>
        </is>
      </c>
      <c r="B311" s="1" t="n">
        <v>45894.42746527777</v>
      </c>
      <c r="C311" s="1" t="n">
        <v>45986</v>
      </c>
      <c r="D311" t="inlineStr">
        <is>
          <t>JÄMTLANDS LÄN</t>
        </is>
      </c>
      <c r="E311" t="inlineStr">
        <is>
          <t>BERG</t>
        </is>
      </c>
      <c r="F311" t="inlineStr">
        <is>
          <t>SCA</t>
        </is>
      </c>
      <c r="G311" t="n">
        <v>8</v>
      </c>
      <c r="H311" t="n">
        <v>0</v>
      </c>
      <c r="I311" t="n">
        <v>0</v>
      </c>
      <c r="J311" t="n">
        <v>0</v>
      </c>
      <c r="K311" t="n">
        <v>0</v>
      </c>
      <c r="L311" t="n">
        <v>0</v>
      </c>
      <c r="M311" t="n">
        <v>0</v>
      </c>
      <c r="N311" t="n">
        <v>0</v>
      </c>
      <c r="O311" t="n">
        <v>0</v>
      </c>
      <c r="P311" t="n">
        <v>0</v>
      </c>
      <c r="Q311" t="n">
        <v>0</v>
      </c>
      <c r="R311" s="2" t="inlineStr"/>
    </row>
    <row r="312" ht="15" customHeight="1">
      <c r="A312" t="inlineStr">
        <is>
          <t>A 40339-2025</t>
        </is>
      </c>
      <c r="B312" s="1" t="n">
        <v>45895</v>
      </c>
      <c r="C312" s="1" t="n">
        <v>45986</v>
      </c>
      <c r="D312" t="inlineStr">
        <is>
          <t>JÄMTLANDS LÄN</t>
        </is>
      </c>
      <c r="E312" t="inlineStr">
        <is>
          <t>BERG</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40340-2025</t>
        </is>
      </c>
      <c r="B313" s="1" t="n">
        <v>45895.46922453704</v>
      </c>
      <c r="C313" s="1" t="n">
        <v>45986</v>
      </c>
      <c r="D313" t="inlineStr">
        <is>
          <t>JÄMTLANDS LÄN</t>
        </is>
      </c>
      <c r="E313" t="inlineStr">
        <is>
          <t>BERG</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40410-2025</t>
        </is>
      </c>
      <c r="B314" s="1" t="n">
        <v>45895.57349537037</v>
      </c>
      <c r="C314" s="1" t="n">
        <v>45986</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23900-2025</t>
        </is>
      </c>
      <c r="B315" s="1" t="n">
        <v>45794.34425925926</v>
      </c>
      <c r="C315" s="1" t="n">
        <v>45986</v>
      </c>
      <c r="D315" t="inlineStr">
        <is>
          <t>JÄMTLANDS LÄN</t>
        </is>
      </c>
      <c r="E315" t="inlineStr">
        <is>
          <t>BERG</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23915-2025</t>
        </is>
      </c>
      <c r="B316" s="1" t="n">
        <v>45795.3446412037</v>
      </c>
      <c r="C316" s="1" t="n">
        <v>45986</v>
      </c>
      <c r="D316" t="inlineStr">
        <is>
          <t>JÄMTLANDS LÄN</t>
        </is>
      </c>
      <c r="E316" t="inlineStr">
        <is>
          <t>BERG</t>
        </is>
      </c>
      <c r="F316" t="inlineStr">
        <is>
          <t>SCA</t>
        </is>
      </c>
      <c r="G316" t="n">
        <v>16.7</v>
      </c>
      <c r="H316" t="n">
        <v>0</v>
      </c>
      <c r="I316" t="n">
        <v>0</v>
      </c>
      <c r="J316" t="n">
        <v>0</v>
      </c>
      <c r="K316" t="n">
        <v>0</v>
      </c>
      <c r="L316" t="n">
        <v>0</v>
      </c>
      <c r="M316" t="n">
        <v>0</v>
      </c>
      <c r="N316" t="n">
        <v>0</v>
      </c>
      <c r="O316" t="n">
        <v>0</v>
      </c>
      <c r="P316" t="n">
        <v>0</v>
      </c>
      <c r="Q316" t="n">
        <v>0</v>
      </c>
      <c r="R316" s="2" t="inlineStr"/>
    </row>
    <row r="317" ht="15" customHeight="1">
      <c r="A317" t="inlineStr">
        <is>
          <t>A 23916-2025</t>
        </is>
      </c>
      <c r="B317" s="1" t="n">
        <v>45795.34472222222</v>
      </c>
      <c r="C317" s="1" t="n">
        <v>45986</v>
      </c>
      <c r="D317" t="inlineStr">
        <is>
          <t>JÄMTLANDS LÄN</t>
        </is>
      </c>
      <c r="E317" t="inlineStr">
        <is>
          <t>BERG</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40341-2025</t>
        </is>
      </c>
      <c r="B318" s="1" t="n">
        <v>45895</v>
      </c>
      <c r="C318" s="1" t="n">
        <v>45986</v>
      </c>
      <c r="D318" t="inlineStr">
        <is>
          <t>JÄMTLANDS LÄN</t>
        </is>
      </c>
      <c r="E318" t="inlineStr">
        <is>
          <t>BERG</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24360-2025</t>
        </is>
      </c>
      <c r="B319" s="1" t="n">
        <v>45797.59502314815</v>
      </c>
      <c r="C319" s="1" t="n">
        <v>45986</v>
      </c>
      <c r="D319" t="inlineStr">
        <is>
          <t>JÄMTLANDS LÄN</t>
        </is>
      </c>
      <c r="E319" t="inlineStr">
        <is>
          <t>BERG</t>
        </is>
      </c>
      <c r="F319" t="inlineStr">
        <is>
          <t>SCA</t>
        </is>
      </c>
      <c r="G319" t="n">
        <v>10.5</v>
      </c>
      <c r="H319" t="n">
        <v>0</v>
      </c>
      <c r="I319" t="n">
        <v>0</v>
      </c>
      <c r="J319" t="n">
        <v>0</v>
      </c>
      <c r="K319" t="n">
        <v>0</v>
      </c>
      <c r="L319" t="n">
        <v>0</v>
      </c>
      <c r="M319" t="n">
        <v>0</v>
      </c>
      <c r="N319" t="n">
        <v>0</v>
      </c>
      <c r="O319" t="n">
        <v>0</v>
      </c>
      <c r="P319" t="n">
        <v>0</v>
      </c>
      <c r="Q319" t="n">
        <v>0</v>
      </c>
      <c r="R319" s="2" t="inlineStr"/>
    </row>
    <row r="320" ht="15" customHeight="1">
      <c r="A320" t="inlineStr">
        <is>
          <t>A 24060-2025</t>
        </is>
      </c>
      <c r="B320" s="1" t="n">
        <v>45796.5216087963</v>
      </c>
      <c r="C320" s="1" t="n">
        <v>45986</v>
      </c>
      <c r="D320" t="inlineStr">
        <is>
          <t>JÄMTLANDS LÄN</t>
        </is>
      </c>
      <c r="E320" t="inlineStr">
        <is>
          <t>BERG</t>
        </is>
      </c>
      <c r="G320" t="n">
        <v>4.7</v>
      </c>
      <c r="H320" t="n">
        <v>0</v>
      </c>
      <c r="I320" t="n">
        <v>0</v>
      </c>
      <c r="J320" t="n">
        <v>0</v>
      </c>
      <c r="K320" t="n">
        <v>0</v>
      </c>
      <c r="L320" t="n">
        <v>0</v>
      </c>
      <c r="M320" t="n">
        <v>0</v>
      </c>
      <c r="N320" t="n">
        <v>0</v>
      </c>
      <c r="O320" t="n">
        <v>0</v>
      </c>
      <c r="P320" t="n">
        <v>0</v>
      </c>
      <c r="Q320" t="n">
        <v>0</v>
      </c>
      <c r="R320" s="2" t="inlineStr"/>
    </row>
    <row r="321" ht="15" customHeight="1">
      <c r="A321" t="inlineStr">
        <is>
          <t>A 18775-2024</t>
        </is>
      </c>
      <c r="B321" s="1" t="n">
        <v>45426</v>
      </c>
      <c r="C321" s="1" t="n">
        <v>45986</v>
      </c>
      <c r="D321" t="inlineStr">
        <is>
          <t>JÄMTLANDS LÄN</t>
        </is>
      </c>
      <c r="E321" t="inlineStr">
        <is>
          <t>BERG</t>
        </is>
      </c>
      <c r="G321" t="n">
        <v>13.9</v>
      </c>
      <c r="H321" t="n">
        <v>0</v>
      </c>
      <c r="I321" t="n">
        <v>0</v>
      </c>
      <c r="J321" t="n">
        <v>0</v>
      </c>
      <c r="K321" t="n">
        <v>0</v>
      </c>
      <c r="L321" t="n">
        <v>0</v>
      </c>
      <c r="M321" t="n">
        <v>0</v>
      </c>
      <c r="N321" t="n">
        <v>0</v>
      </c>
      <c r="O321" t="n">
        <v>0</v>
      </c>
      <c r="P321" t="n">
        <v>0</v>
      </c>
      <c r="Q321" t="n">
        <v>0</v>
      </c>
      <c r="R321" s="2" t="inlineStr"/>
    </row>
    <row r="322" ht="15" customHeight="1">
      <c r="A322" t="inlineStr">
        <is>
          <t>A 24390-2025</t>
        </is>
      </c>
      <c r="B322" s="1" t="n">
        <v>45797.63576388889</v>
      </c>
      <c r="C322" s="1" t="n">
        <v>45986</v>
      </c>
      <c r="D322" t="inlineStr">
        <is>
          <t>JÄMTLANDS LÄN</t>
        </is>
      </c>
      <c r="E322" t="inlineStr">
        <is>
          <t>BERG</t>
        </is>
      </c>
      <c r="F322" t="inlineStr">
        <is>
          <t>SCA</t>
        </is>
      </c>
      <c r="G322" t="n">
        <v>4.7</v>
      </c>
      <c r="H322" t="n">
        <v>0</v>
      </c>
      <c r="I322" t="n">
        <v>0</v>
      </c>
      <c r="J322" t="n">
        <v>0</v>
      </c>
      <c r="K322" t="n">
        <v>0</v>
      </c>
      <c r="L322" t="n">
        <v>0</v>
      </c>
      <c r="M322" t="n">
        <v>0</v>
      </c>
      <c r="N322" t="n">
        <v>0</v>
      </c>
      <c r="O322" t="n">
        <v>0</v>
      </c>
      <c r="P322" t="n">
        <v>0</v>
      </c>
      <c r="Q322" t="n">
        <v>0</v>
      </c>
      <c r="R322" s="2" t="inlineStr"/>
    </row>
    <row r="323" ht="15" customHeight="1">
      <c r="A323" t="inlineStr">
        <is>
          <t>A 23901-2025</t>
        </is>
      </c>
      <c r="B323" s="1" t="n">
        <v>45794.34436342592</v>
      </c>
      <c r="C323" s="1" t="n">
        <v>45986</v>
      </c>
      <c r="D323" t="inlineStr">
        <is>
          <t>JÄMTLANDS LÄN</t>
        </is>
      </c>
      <c r="E323" t="inlineStr">
        <is>
          <t>BERG</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45986</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40918-2025</t>
        </is>
      </c>
      <c r="B325" s="1" t="n">
        <v>45897.6292824074</v>
      </c>
      <c r="C325" s="1" t="n">
        <v>45986</v>
      </c>
      <c r="D325" t="inlineStr">
        <is>
          <t>JÄMTLANDS LÄN</t>
        </is>
      </c>
      <c r="E325" t="inlineStr">
        <is>
          <t>BERG</t>
        </is>
      </c>
      <c r="G325" t="n">
        <v>1.7</v>
      </c>
      <c r="H325" t="n">
        <v>0</v>
      </c>
      <c r="I325" t="n">
        <v>0</v>
      </c>
      <c r="J325" t="n">
        <v>0</v>
      </c>
      <c r="K325" t="n">
        <v>0</v>
      </c>
      <c r="L325" t="n">
        <v>0</v>
      </c>
      <c r="M325" t="n">
        <v>0</v>
      </c>
      <c r="N325" t="n">
        <v>0</v>
      </c>
      <c r="O325" t="n">
        <v>0</v>
      </c>
      <c r="P325" t="n">
        <v>0</v>
      </c>
      <c r="Q325" t="n">
        <v>0</v>
      </c>
      <c r="R325" s="2" t="inlineStr"/>
    </row>
    <row r="326" ht="15" customHeight="1">
      <c r="A326" t="inlineStr">
        <is>
          <t>A 23902-2025</t>
        </is>
      </c>
      <c r="B326" s="1" t="n">
        <v>45794.34447916667</v>
      </c>
      <c r="C326" s="1" t="n">
        <v>45986</v>
      </c>
      <c r="D326" t="inlineStr">
        <is>
          <t>JÄMTLANDS LÄN</t>
        </is>
      </c>
      <c r="E326" t="inlineStr">
        <is>
          <t>BERG</t>
        </is>
      </c>
      <c r="F326" t="inlineStr">
        <is>
          <t>SCA</t>
        </is>
      </c>
      <c r="G326" t="n">
        <v>14.3</v>
      </c>
      <c r="H326" t="n">
        <v>0</v>
      </c>
      <c r="I326" t="n">
        <v>0</v>
      </c>
      <c r="J326" t="n">
        <v>0</v>
      </c>
      <c r="K326" t="n">
        <v>0</v>
      </c>
      <c r="L326" t="n">
        <v>0</v>
      </c>
      <c r="M326" t="n">
        <v>0</v>
      </c>
      <c r="N326" t="n">
        <v>0</v>
      </c>
      <c r="O326" t="n">
        <v>0</v>
      </c>
      <c r="P326" t="n">
        <v>0</v>
      </c>
      <c r="Q326" t="n">
        <v>0</v>
      </c>
      <c r="R326" s="2" t="inlineStr"/>
    </row>
    <row r="327" ht="15" customHeight="1">
      <c r="A327" t="inlineStr">
        <is>
          <t>A 40737-2025</t>
        </is>
      </c>
      <c r="B327" s="1" t="n">
        <v>45897.36572916667</v>
      </c>
      <c r="C327" s="1" t="n">
        <v>45986</v>
      </c>
      <c r="D327" t="inlineStr">
        <is>
          <t>JÄMTLANDS LÄN</t>
        </is>
      </c>
      <c r="E327" t="inlineStr">
        <is>
          <t>BERG</t>
        </is>
      </c>
      <c r="G327" t="n">
        <v>2.8</v>
      </c>
      <c r="H327" t="n">
        <v>0</v>
      </c>
      <c r="I327" t="n">
        <v>0</v>
      </c>
      <c r="J327" t="n">
        <v>0</v>
      </c>
      <c r="K327" t="n">
        <v>0</v>
      </c>
      <c r="L327" t="n">
        <v>0</v>
      </c>
      <c r="M327" t="n">
        <v>0</v>
      </c>
      <c r="N327" t="n">
        <v>0</v>
      </c>
      <c r="O327" t="n">
        <v>0</v>
      </c>
      <c r="P327" t="n">
        <v>0</v>
      </c>
      <c r="Q327" t="n">
        <v>0</v>
      </c>
      <c r="R327" s="2" t="inlineStr"/>
    </row>
    <row r="328" ht="15" customHeight="1">
      <c r="A328" t="inlineStr">
        <is>
          <t>A 40630-2025</t>
        </is>
      </c>
      <c r="B328" s="1" t="n">
        <v>45896</v>
      </c>
      <c r="C328" s="1" t="n">
        <v>45986</v>
      </c>
      <c r="D328" t="inlineStr">
        <is>
          <t>JÄMTLANDS LÄN</t>
        </is>
      </c>
      <c r="E328" t="inlineStr">
        <is>
          <t>BERG</t>
        </is>
      </c>
      <c r="G328" t="n">
        <v>2.1</v>
      </c>
      <c r="H328" t="n">
        <v>0</v>
      </c>
      <c r="I328" t="n">
        <v>0</v>
      </c>
      <c r="J328" t="n">
        <v>0</v>
      </c>
      <c r="K328" t="n">
        <v>0</v>
      </c>
      <c r="L328" t="n">
        <v>0</v>
      </c>
      <c r="M328" t="n">
        <v>0</v>
      </c>
      <c r="N328" t="n">
        <v>0</v>
      </c>
      <c r="O328" t="n">
        <v>0</v>
      </c>
      <c r="P328" t="n">
        <v>0</v>
      </c>
      <c r="Q328" t="n">
        <v>0</v>
      </c>
      <c r="R328" s="2" t="inlineStr"/>
    </row>
    <row r="329" ht="15" customHeight="1">
      <c r="A329" t="inlineStr">
        <is>
          <t>A 40708-2025</t>
        </is>
      </c>
      <c r="B329" s="1" t="n">
        <v>45897</v>
      </c>
      <c r="C329" s="1" t="n">
        <v>45986</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40873-2025</t>
        </is>
      </c>
      <c r="B330" s="1" t="n">
        <v>45897.5744675926</v>
      </c>
      <c r="C330" s="1" t="n">
        <v>45986</v>
      </c>
      <c r="D330" t="inlineStr">
        <is>
          <t>JÄMTLANDS LÄN</t>
        </is>
      </c>
      <c r="E330" t="inlineStr">
        <is>
          <t>BERG</t>
        </is>
      </c>
      <c r="G330" t="n">
        <v>0.6</v>
      </c>
      <c r="H330" t="n">
        <v>0</v>
      </c>
      <c r="I330" t="n">
        <v>0</v>
      </c>
      <c r="J330" t="n">
        <v>0</v>
      </c>
      <c r="K330" t="n">
        <v>0</v>
      </c>
      <c r="L330" t="n">
        <v>0</v>
      </c>
      <c r="M330" t="n">
        <v>0</v>
      </c>
      <c r="N330" t="n">
        <v>0</v>
      </c>
      <c r="O330" t="n">
        <v>0</v>
      </c>
      <c r="P330" t="n">
        <v>0</v>
      </c>
      <c r="Q330" t="n">
        <v>0</v>
      </c>
      <c r="R330" s="2" t="inlineStr"/>
    </row>
    <row r="331" ht="15" customHeight="1">
      <c r="A331" t="inlineStr">
        <is>
          <t>A 24954-2025</t>
        </is>
      </c>
      <c r="B331" s="1" t="n">
        <v>45799.57385416667</v>
      </c>
      <c r="C331" s="1" t="n">
        <v>45986</v>
      </c>
      <c r="D331" t="inlineStr">
        <is>
          <t>JÄMTLANDS LÄN</t>
        </is>
      </c>
      <c r="E331" t="inlineStr">
        <is>
          <t>BERG</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40617-2025</t>
        </is>
      </c>
      <c r="B332" s="1" t="n">
        <v>45896.58326388889</v>
      </c>
      <c r="C332" s="1" t="n">
        <v>45986</v>
      </c>
      <c r="D332" t="inlineStr">
        <is>
          <t>JÄMTLANDS LÄN</t>
        </is>
      </c>
      <c r="E332" t="inlineStr">
        <is>
          <t>BERG</t>
        </is>
      </c>
      <c r="G332" t="n">
        <v>3.5</v>
      </c>
      <c r="H332" t="n">
        <v>0</v>
      </c>
      <c r="I332" t="n">
        <v>0</v>
      </c>
      <c r="J332" t="n">
        <v>0</v>
      </c>
      <c r="K332" t="n">
        <v>0</v>
      </c>
      <c r="L332" t="n">
        <v>0</v>
      </c>
      <c r="M332" t="n">
        <v>0</v>
      </c>
      <c r="N332" t="n">
        <v>0</v>
      </c>
      <c r="O332" t="n">
        <v>0</v>
      </c>
      <c r="P332" t="n">
        <v>0</v>
      </c>
      <c r="Q332" t="n">
        <v>0</v>
      </c>
      <c r="R332" s="2" t="inlineStr"/>
    </row>
    <row r="333" ht="15" customHeight="1">
      <c r="A333" t="inlineStr">
        <is>
          <t>A 24786-2025</t>
        </is>
      </c>
      <c r="B333" s="1" t="n">
        <v>45799.42777777778</v>
      </c>
      <c r="C333" s="1" t="n">
        <v>45986</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24869-2025</t>
        </is>
      </c>
      <c r="B334" s="1" t="n">
        <v>45799.48994212963</v>
      </c>
      <c r="C334" s="1" t="n">
        <v>45986</v>
      </c>
      <c r="D334" t="inlineStr">
        <is>
          <t>JÄMTLANDS LÄN</t>
        </is>
      </c>
      <c r="E334" t="inlineStr">
        <is>
          <t>BERG</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41247-2025</t>
        </is>
      </c>
      <c r="B335" s="1" t="n">
        <v>45898.60109953704</v>
      </c>
      <c r="C335" s="1" t="n">
        <v>45986</v>
      </c>
      <c r="D335" t="inlineStr">
        <is>
          <t>JÄMTLANDS LÄN</t>
        </is>
      </c>
      <c r="E335" t="inlineStr">
        <is>
          <t>BERG</t>
        </is>
      </c>
      <c r="G335" t="n">
        <v>17.5</v>
      </c>
      <c r="H335" t="n">
        <v>0</v>
      </c>
      <c r="I335" t="n">
        <v>0</v>
      </c>
      <c r="J335" t="n">
        <v>0</v>
      </c>
      <c r="K335" t="n">
        <v>0</v>
      </c>
      <c r="L335" t="n">
        <v>0</v>
      </c>
      <c r="M335" t="n">
        <v>0</v>
      </c>
      <c r="N335" t="n">
        <v>0</v>
      </c>
      <c r="O335" t="n">
        <v>0</v>
      </c>
      <c r="P335" t="n">
        <v>0</v>
      </c>
      <c r="Q335" t="n">
        <v>0</v>
      </c>
      <c r="R335" s="2" t="inlineStr"/>
    </row>
    <row r="336" ht="15" customHeight="1">
      <c r="A336" t="inlineStr">
        <is>
          <t>A 41263-2025</t>
        </is>
      </c>
      <c r="B336" s="1" t="n">
        <v>45898.61517361111</v>
      </c>
      <c r="C336" s="1" t="n">
        <v>45986</v>
      </c>
      <c r="D336" t="inlineStr">
        <is>
          <t>JÄMTLANDS LÄN</t>
        </is>
      </c>
      <c r="E336" t="inlineStr">
        <is>
          <t>BERG</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24442-2025</t>
        </is>
      </c>
      <c r="B337" s="1" t="n">
        <v>45797.96236111111</v>
      </c>
      <c r="C337" s="1" t="n">
        <v>45986</v>
      </c>
      <c r="D337" t="inlineStr">
        <is>
          <t>JÄMTLANDS LÄN</t>
        </is>
      </c>
      <c r="E337" t="inlineStr">
        <is>
          <t>BERG</t>
        </is>
      </c>
      <c r="G337" t="n">
        <v>9</v>
      </c>
      <c r="H337" t="n">
        <v>0</v>
      </c>
      <c r="I337" t="n">
        <v>0</v>
      </c>
      <c r="J337" t="n">
        <v>0</v>
      </c>
      <c r="K337" t="n">
        <v>0</v>
      </c>
      <c r="L337" t="n">
        <v>0</v>
      </c>
      <c r="M337" t="n">
        <v>0</v>
      </c>
      <c r="N337" t="n">
        <v>0</v>
      </c>
      <c r="O337" t="n">
        <v>0</v>
      </c>
      <c r="P337" t="n">
        <v>0</v>
      </c>
      <c r="Q337" t="n">
        <v>0</v>
      </c>
      <c r="R337" s="2" t="inlineStr"/>
    </row>
    <row r="338" ht="15" customHeight="1">
      <c r="A338" t="inlineStr">
        <is>
          <t>A 24849-2025</t>
        </is>
      </c>
      <c r="B338" s="1" t="n">
        <v>45799.46949074074</v>
      </c>
      <c r="C338" s="1" t="n">
        <v>45986</v>
      </c>
      <c r="D338" t="inlineStr">
        <is>
          <t>JÄMTLANDS LÄN</t>
        </is>
      </c>
      <c r="E338" t="inlineStr">
        <is>
          <t>BERG</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41295-2025</t>
        </is>
      </c>
      <c r="B339" s="1" t="n">
        <v>45898.65660879629</v>
      </c>
      <c r="C339" s="1" t="n">
        <v>45986</v>
      </c>
      <c r="D339" t="inlineStr">
        <is>
          <t>JÄMTLANDS LÄN</t>
        </is>
      </c>
      <c r="E339" t="inlineStr">
        <is>
          <t>BERG</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25452-2025</t>
        </is>
      </c>
      <c r="B340" s="1" t="n">
        <v>45802.34440972222</v>
      </c>
      <c r="C340" s="1" t="n">
        <v>45986</v>
      </c>
      <c r="D340" t="inlineStr">
        <is>
          <t>JÄMTLANDS LÄN</t>
        </is>
      </c>
      <c r="E340" t="inlineStr">
        <is>
          <t>BERG</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60409-2023</t>
        </is>
      </c>
      <c r="B341" s="1" t="n">
        <v>45259.47972222222</v>
      </c>
      <c r="C341" s="1" t="n">
        <v>45986</v>
      </c>
      <c r="D341" t="inlineStr">
        <is>
          <t>JÄMTLANDS LÄN</t>
        </is>
      </c>
      <c r="E341" t="inlineStr">
        <is>
          <t>BERG</t>
        </is>
      </c>
      <c r="G341" t="n">
        <v>5.8</v>
      </c>
      <c r="H341" t="n">
        <v>0</v>
      </c>
      <c r="I341" t="n">
        <v>0</v>
      </c>
      <c r="J341" t="n">
        <v>0</v>
      </c>
      <c r="K341" t="n">
        <v>0</v>
      </c>
      <c r="L341" t="n">
        <v>0</v>
      </c>
      <c r="M341" t="n">
        <v>0</v>
      </c>
      <c r="N341" t="n">
        <v>0</v>
      </c>
      <c r="O341" t="n">
        <v>0</v>
      </c>
      <c r="P341" t="n">
        <v>0</v>
      </c>
      <c r="Q341" t="n">
        <v>0</v>
      </c>
      <c r="R341" s="2" t="inlineStr"/>
    </row>
    <row r="342" ht="15" customHeight="1">
      <c r="A342" t="inlineStr">
        <is>
          <t>A 29378-2024</t>
        </is>
      </c>
      <c r="B342" s="1" t="n">
        <v>45483.59328703704</v>
      </c>
      <c r="C342" s="1" t="n">
        <v>45986</v>
      </c>
      <c r="D342" t="inlineStr">
        <is>
          <t>JÄMTLANDS LÄN</t>
        </is>
      </c>
      <c r="E342" t="inlineStr">
        <is>
          <t>BERG</t>
        </is>
      </c>
      <c r="G342" t="n">
        <v>5.6</v>
      </c>
      <c r="H342" t="n">
        <v>0</v>
      </c>
      <c r="I342" t="n">
        <v>0</v>
      </c>
      <c r="J342" t="n">
        <v>0</v>
      </c>
      <c r="K342" t="n">
        <v>0</v>
      </c>
      <c r="L342" t="n">
        <v>0</v>
      </c>
      <c r="M342" t="n">
        <v>0</v>
      </c>
      <c r="N342" t="n">
        <v>0</v>
      </c>
      <c r="O342" t="n">
        <v>0</v>
      </c>
      <c r="P342" t="n">
        <v>0</v>
      </c>
      <c r="Q342" t="n">
        <v>0</v>
      </c>
      <c r="R342" s="2" t="inlineStr"/>
    </row>
    <row r="343" ht="15" customHeight="1">
      <c r="A343" t="inlineStr">
        <is>
          <t>A 21508-2024</t>
        </is>
      </c>
      <c r="B343" s="1" t="n">
        <v>45441.56905092593</v>
      </c>
      <c r="C343" s="1" t="n">
        <v>45986</v>
      </c>
      <c r="D343" t="inlineStr">
        <is>
          <t>JÄMTLANDS LÄN</t>
        </is>
      </c>
      <c r="E343" t="inlineStr">
        <is>
          <t>BERG</t>
        </is>
      </c>
      <c r="G343" t="n">
        <v>3.2</v>
      </c>
      <c r="H343" t="n">
        <v>0</v>
      </c>
      <c r="I343" t="n">
        <v>0</v>
      </c>
      <c r="J343" t="n">
        <v>0</v>
      </c>
      <c r="K343" t="n">
        <v>0</v>
      </c>
      <c r="L343" t="n">
        <v>0</v>
      </c>
      <c r="M343" t="n">
        <v>0</v>
      </c>
      <c r="N343" t="n">
        <v>0</v>
      </c>
      <c r="O343" t="n">
        <v>0</v>
      </c>
      <c r="P343" t="n">
        <v>0</v>
      </c>
      <c r="Q343" t="n">
        <v>0</v>
      </c>
      <c r="R343" s="2" t="inlineStr"/>
    </row>
    <row r="344" ht="15" customHeight="1">
      <c r="A344" t="inlineStr">
        <is>
          <t>A 41265-2025</t>
        </is>
      </c>
      <c r="B344" s="1" t="n">
        <v>45898.6153587963</v>
      </c>
      <c r="C344" s="1" t="n">
        <v>45986</v>
      </c>
      <c r="D344" t="inlineStr">
        <is>
          <t>JÄMTLANDS LÄN</t>
        </is>
      </c>
      <c r="E344" t="inlineStr">
        <is>
          <t>BERG</t>
        </is>
      </c>
      <c r="G344" t="n">
        <v>1.6</v>
      </c>
      <c r="H344" t="n">
        <v>0</v>
      </c>
      <c r="I344" t="n">
        <v>0</v>
      </c>
      <c r="J344" t="n">
        <v>0</v>
      </c>
      <c r="K344" t="n">
        <v>0</v>
      </c>
      <c r="L344" t="n">
        <v>0</v>
      </c>
      <c r="M344" t="n">
        <v>0</v>
      </c>
      <c r="N344" t="n">
        <v>0</v>
      </c>
      <c r="O344" t="n">
        <v>0</v>
      </c>
      <c r="P344" t="n">
        <v>0</v>
      </c>
      <c r="Q344" t="n">
        <v>0</v>
      </c>
      <c r="R344" s="2" t="inlineStr"/>
    </row>
    <row r="345" ht="15" customHeight="1">
      <c r="A345" t="inlineStr">
        <is>
          <t>A 25454-2025</t>
        </is>
      </c>
      <c r="B345" s="1" t="n">
        <v>45802.34460648148</v>
      </c>
      <c r="C345" s="1" t="n">
        <v>45986</v>
      </c>
      <c r="D345" t="inlineStr">
        <is>
          <t>JÄMTLANDS LÄN</t>
        </is>
      </c>
      <c r="E345" t="inlineStr">
        <is>
          <t>BERG</t>
        </is>
      </c>
      <c r="F345" t="inlineStr">
        <is>
          <t>SCA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50273-2025</t>
        </is>
      </c>
      <c r="B346" s="1" t="n">
        <v>45944.36600694444</v>
      </c>
      <c r="C346" s="1" t="n">
        <v>45986</v>
      </c>
      <c r="D346" t="inlineStr">
        <is>
          <t>JÄMTLANDS LÄN</t>
        </is>
      </c>
      <c r="E346" t="inlineStr">
        <is>
          <t>BERG</t>
        </is>
      </c>
      <c r="G346" t="n">
        <v>5.7</v>
      </c>
      <c r="H346" t="n">
        <v>0</v>
      </c>
      <c r="I346" t="n">
        <v>0</v>
      </c>
      <c r="J346" t="n">
        <v>0</v>
      </c>
      <c r="K346" t="n">
        <v>0</v>
      </c>
      <c r="L346" t="n">
        <v>0</v>
      </c>
      <c r="M346" t="n">
        <v>0</v>
      </c>
      <c r="N346" t="n">
        <v>0</v>
      </c>
      <c r="O346" t="n">
        <v>0</v>
      </c>
      <c r="P346" t="n">
        <v>0</v>
      </c>
      <c r="Q346" t="n">
        <v>0</v>
      </c>
      <c r="R346" s="2" t="inlineStr"/>
    </row>
    <row r="347" ht="15" customHeight="1">
      <c r="A347" t="inlineStr">
        <is>
          <t>A 42003-2025</t>
        </is>
      </c>
      <c r="B347" s="1" t="n">
        <v>45903.55403935185</v>
      </c>
      <c r="C347" s="1" t="n">
        <v>45986</v>
      </c>
      <c r="D347" t="inlineStr">
        <is>
          <t>JÄMTLANDS LÄN</t>
        </is>
      </c>
      <c r="E347" t="inlineStr">
        <is>
          <t>BERG</t>
        </is>
      </c>
      <c r="F347" t="inlineStr">
        <is>
          <t>Övriga statliga verk och myndigheter</t>
        </is>
      </c>
      <c r="G347" t="n">
        <v>10.5</v>
      </c>
      <c r="H347" t="n">
        <v>0</v>
      </c>
      <c r="I347" t="n">
        <v>0</v>
      </c>
      <c r="J347" t="n">
        <v>0</v>
      </c>
      <c r="K347" t="n">
        <v>0</v>
      </c>
      <c r="L347" t="n">
        <v>0</v>
      </c>
      <c r="M347" t="n">
        <v>0</v>
      </c>
      <c r="N347" t="n">
        <v>0</v>
      </c>
      <c r="O347" t="n">
        <v>0</v>
      </c>
      <c r="P347" t="n">
        <v>0</v>
      </c>
      <c r="Q347" t="n">
        <v>0</v>
      </c>
      <c r="R347" s="2" t="inlineStr"/>
    </row>
    <row r="348" ht="15" customHeight="1">
      <c r="A348" t="inlineStr">
        <is>
          <t>A 18217-2023</t>
        </is>
      </c>
      <c r="B348" s="1" t="n">
        <v>45040</v>
      </c>
      <c r="C348" s="1" t="n">
        <v>45986</v>
      </c>
      <c r="D348" t="inlineStr">
        <is>
          <t>JÄMTLANDS LÄN</t>
        </is>
      </c>
      <c r="E348" t="inlineStr">
        <is>
          <t>BERG</t>
        </is>
      </c>
      <c r="G348" t="n">
        <v>4.5</v>
      </c>
      <c r="H348" t="n">
        <v>0</v>
      </c>
      <c r="I348" t="n">
        <v>0</v>
      </c>
      <c r="J348" t="n">
        <v>0</v>
      </c>
      <c r="K348" t="n">
        <v>0</v>
      </c>
      <c r="L348" t="n">
        <v>0</v>
      </c>
      <c r="M348" t="n">
        <v>0</v>
      </c>
      <c r="N348" t="n">
        <v>0</v>
      </c>
      <c r="O348" t="n">
        <v>0</v>
      </c>
      <c r="P348" t="n">
        <v>0</v>
      </c>
      <c r="Q348" t="n">
        <v>0</v>
      </c>
      <c r="R348" s="2" t="inlineStr"/>
    </row>
    <row r="349" ht="15" customHeight="1">
      <c r="A349" t="inlineStr">
        <is>
          <t>A 50435-2025</t>
        </is>
      </c>
      <c r="B349" s="1" t="n">
        <v>45944.6984837963</v>
      </c>
      <c r="C349" s="1" t="n">
        <v>45986</v>
      </c>
      <c r="D349" t="inlineStr">
        <is>
          <t>JÄMTLANDS LÄN</t>
        </is>
      </c>
      <c r="E349" t="inlineStr">
        <is>
          <t>BERG</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41930-2025</t>
        </is>
      </c>
      <c r="B350" s="1" t="n">
        <v>45903.43454861111</v>
      </c>
      <c r="C350" s="1" t="n">
        <v>45986</v>
      </c>
      <c r="D350" t="inlineStr">
        <is>
          <t>JÄMTLANDS LÄN</t>
        </is>
      </c>
      <c r="E350" t="inlineStr">
        <is>
          <t>BERG</t>
        </is>
      </c>
      <c r="F350" t="inlineStr">
        <is>
          <t>Övriga statliga verk och myndigheter</t>
        </is>
      </c>
      <c r="G350" t="n">
        <v>2.4</v>
      </c>
      <c r="H350" t="n">
        <v>0</v>
      </c>
      <c r="I350" t="n">
        <v>0</v>
      </c>
      <c r="J350" t="n">
        <v>0</v>
      </c>
      <c r="K350" t="n">
        <v>0</v>
      </c>
      <c r="L350" t="n">
        <v>0</v>
      </c>
      <c r="M350" t="n">
        <v>0</v>
      </c>
      <c r="N350" t="n">
        <v>0</v>
      </c>
      <c r="O350" t="n">
        <v>0</v>
      </c>
      <c r="P350" t="n">
        <v>0</v>
      </c>
      <c r="Q350" t="n">
        <v>0</v>
      </c>
      <c r="R350" s="2" t="inlineStr"/>
    </row>
    <row r="351" ht="15" customHeight="1">
      <c r="A351" t="inlineStr">
        <is>
          <t>A 50408-2025</t>
        </is>
      </c>
      <c r="B351" s="1" t="n">
        <v>45944.64006944445</v>
      </c>
      <c r="C351" s="1" t="n">
        <v>45986</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50531-2025</t>
        </is>
      </c>
      <c r="B352" s="1" t="n">
        <v>45945.47693287037</v>
      </c>
      <c r="C352" s="1" t="n">
        <v>45986</v>
      </c>
      <c r="D352" t="inlineStr">
        <is>
          <t>JÄMTLANDS LÄN</t>
        </is>
      </c>
      <c r="E352" t="inlineStr">
        <is>
          <t>BERG</t>
        </is>
      </c>
      <c r="G352" t="n">
        <v>13.9</v>
      </c>
      <c r="H352" t="n">
        <v>0</v>
      </c>
      <c r="I352" t="n">
        <v>0</v>
      </c>
      <c r="J352" t="n">
        <v>0</v>
      </c>
      <c r="K352" t="n">
        <v>0</v>
      </c>
      <c r="L352" t="n">
        <v>0</v>
      </c>
      <c r="M352" t="n">
        <v>0</v>
      </c>
      <c r="N352" t="n">
        <v>0</v>
      </c>
      <c r="O352" t="n">
        <v>0</v>
      </c>
      <c r="P352" t="n">
        <v>0</v>
      </c>
      <c r="Q352" t="n">
        <v>0</v>
      </c>
      <c r="R352" s="2" t="inlineStr"/>
    </row>
    <row r="353" ht="15" customHeight="1">
      <c r="A353" t="inlineStr">
        <is>
          <t>A 50458-2025</t>
        </is>
      </c>
      <c r="B353" s="1" t="n">
        <v>45945</v>
      </c>
      <c r="C353" s="1" t="n">
        <v>45986</v>
      </c>
      <c r="D353" t="inlineStr">
        <is>
          <t>JÄMTLANDS LÄN</t>
        </is>
      </c>
      <c r="E353" t="inlineStr">
        <is>
          <t>BERG</t>
        </is>
      </c>
      <c r="F353" t="inlineStr">
        <is>
          <t>SCA</t>
        </is>
      </c>
      <c r="G353" t="n">
        <v>3.9</v>
      </c>
      <c r="H353" t="n">
        <v>0</v>
      </c>
      <c r="I353" t="n">
        <v>0</v>
      </c>
      <c r="J353" t="n">
        <v>0</v>
      </c>
      <c r="K353" t="n">
        <v>0</v>
      </c>
      <c r="L353" t="n">
        <v>0</v>
      </c>
      <c r="M353" t="n">
        <v>0</v>
      </c>
      <c r="N353" t="n">
        <v>0</v>
      </c>
      <c r="O353" t="n">
        <v>0</v>
      </c>
      <c r="P353" t="n">
        <v>0</v>
      </c>
      <c r="Q353" t="n">
        <v>0</v>
      </c>
      <c r="R353" s="2" t="inlineStr"/>
    </row>
    <row r="354" ht="15" customHeight="1">
      <c r="A354" t="inlineStr">
        <is>
          <t>A 25453-2025</t>
        </is>
      </c>
      <c r="B354" s="1" t="n">
        <v>45802.34451388889</v>
      </c>
      <c r="C354" s="1" t="n">
        <v>45986</v>
      </c>
      <c r="D354" t="inlineStr">
        <is>
          <t>JÄMTLANDS LÄN</t>
        </is>
      </c>
      <c r="E354" t="inlineStr">
        <is>
          <t>BERG</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63819-2023</t>
        </is>
      </c>
      <c r="B355" s="1" t="n">
        <v>45278.44128472222</v>
      </c>
      <c r="C355" s="1" t="n">
        <v>45986</v>
      </c>
      <c r="D355" t="inlineStr">
        <is>
          <t>JÄMTLANDS LÄN</t>
        </is>
      </c>
      <c r="E355" t="inlineStr">
        <is>
          <t>BERG</t>
        </is>
      </c>
      <c r="G355" t="n">
        <v>1.8</v>
      </c>
      <c r="H355" t="n">
        <v>0</v>
      </c>
      <c r="I355" t="n">
        <v>0</v>
      </c>
      <c r="J355" t="n">
        <v>0</v>
      </c>
      <c r="K355" t="n">
        <v>0</v>
      </c>
      <c r="L355" t="n">
        <v>0</v>
      </c>
      <c r="M355" t="n">
        <v>0</v>
      </c>
      <c r="N355" t="n">
        <v>0</v>
      </c>
      <c r="O355" t="n">
        <v>0</v>
      </c>
      <c r="P355" t="n">
        <v>0</v>
      </c>
      <c r="Q355" t="n">
        <v>0</v>
      </c>
      <c r="R355" s="2" t="inlineStr"/>
    </row>
    <row r="356" ht="15" customHeight="1">
      <c r="A356" t="inlineStr">
        <is>
          <t>A 64490-2023</t>
        </is>
      </c>
      <c r="B356" s="1" t="n">
        <v>45280</v>
      </c>
      <c r="C356" s="1" t="n">
        <v>45986</v>
      </c>
      <c r="D356" t="inlineStr">
        <is>
          <t>JÄMTLANDS LÄN</t>
        </is>
      </c>
      <c r="E356" t="inlineStr">
        <is>
          <t>BERG</t>
        </is>
      </c>
      <c r="F356" t="inlineStr">
        <is>
          <t>Övriga Aktiebolag</t>
        </is>
      </c>
      <c r="G356" t="n">
        <v>7.7</v>
      </c>
      <c r="H356" t="n">
        <v>0</v>
      </c>
      <c r="I356" t="n">
        <v>0</v>
      </c>
      <c r="J356" t="n">
        <v>0</v>
      </c>
      <c r="K356" t="n">
        <v>0</v>
      </c>
      <c r="L356" t="n">
        <v>0</v>
      </c>
      <c r="M356" t="n">
        <v>0</v>
      </c>
      <c r="N356" t="n">
        <v>0</v>
      </c>
      <c r="O356" t="n">
        <v>0</v>
      </c>
      <c r="P356" t="n">
        <v>0</v>
      </c>
      <c r="Q356" t="n">
        <v>0</v>
      </c>
      <c r="R356" s="2" t="inlineStr"/>
    </row>
    <row r="357" ht="15" customHeight="1">
      <c r="A357" t="inlineStr">
        <is>
          <t>A 41997-2025</t>
        </is>
      </c>
      <c r="B357" s="1" t="n">
        <v>45903.55162037037</v>
      </c>
      <c r="C357" s="1" t="n">
        <v>45986</v>
      </c>
      <c r="D357" t="inlineStr">
        <is>
          <t>JÄMTLANDS LÄN</t>
        </is>
      </c>
      <c r="E357" t="inlineStr">
        <is>
          <t>BERG</t>
        </is>
      </c>
      <c r="F357" t="inlineStr">
        <is>
          <t>Övriga statliga verk och myndigheter</t>
        </is>
      </c>
      <c r="G357" t="n">
        <v>2.2</v>
      </c>
      <c r="H357" t="n">
        <v>0</v>
      </c>
      <c r="I357" t="n">
        <v>0</v>
      </c>
      <c r="J357" t="n">
        <v>0</v>
      </c>
      <c r="K357" t="n">
        <v>0</v>
      </c>
      <c r="L357" t="n">
        <v>0</v>
      </c>
      <c r="M357" t="n">
        <v>0</v>
      </c>
      <c r="N357" t="n">
        <v>0</v>
      </c>
      <c r="O357" t="n">
        <v>0</v>
      </c>
      <c r="P357" t="n">
        <v>0</v>
      </c>
      <c r="Q357" t="n">
        <v>0</v>
      </c>
      <c r="R357" s="2" t="inlineStr"/>
    </row>
    <row r="358" ht="15" customHeight="1">
      <c r="A358" t="inlineStr">
        <is>
          <t>A 25441-2025</t>
        </is>
      </c>
      <c r="B358" s="1" t="n">
        <v>45801.34476851852</v>
      </c>
      <c r="C358" s="1" t="n">
        <v>45986</v>
      </c>
      <c r="D358" t="inlineStr">
        <is>
          <t>JÄMTLANDS LÄN</t>
        </is>
      </c>
      <c r="E358" t="inlineStr">
        <is>
          <t>BERG</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50547-2025</t>
        </is>
      </c>
      <c r="B359" s="1" t="n">
        <v>45945.51104166666</v>
      </c>
      <c r="C359" s="1" t="n">
        <v>45986</v>
      </c>
      <c r="D359" t="inlineStr">
        <is>
          <t>JÄMTLANDS LÄN</t>
        </is>
      </c>
      <c r="E359" t="inlineStr">
        <is>
          <t>BERG</t>
        </is>
      </c>
      <c r="F359" t="inlineStr">
        <is>
          <t>SCA</t>
        </is>
      </c>
      <c r="G359" t="n">
        <v>12.6</v>
      </c>
      <c r="H359" t="n">
        <v>0</v>
      </c>
      <c r="I359" t="n">
        <v>0</v>
      </c>
      <c r="J359" t="n">
        <v>0</v>
      </c>
      <c r="K359" t="n">
        <v>0</v>
      </c>
      <c r="L359" t="n">
        <v>0</v>
      </c>
      <c r="M359" t="n">
        <v>0</v>
      </c>
      <c r="N359" t="n">
        <v>0</v>
      </c>
      <c r="O359" t="n">
        <v>0</v>
      </c>
      <c r="P359" t="n">
        <v>0</v>
      </c>
      <c r="Q359" t="n">
        <v>0</v>
      </c>
      <c r="R359" s="2" t="inlineStr"/>
    </row>
    <row r="360" ht="15" customHeight="1">
      <c r="A360" t="inlineStr">
        <is>
          <t>A 50562-2025</t>
        </is>
      </c>
      <c r="B360" s="1" t="n">
        <v>45945.55256944444</v>
      </c>
      <c r="C360" s="1" t="n">
        <v>45986</v>
      </c>
      <c r="D360" t="inlineStr">
        <is>
          <t>JÄMTLANDS LÄN</t>
        </is>
      </c>
      <c r="E360" t="inlineStr">
        <is>
          <t>BERG</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3419-2025</t>
        </is>
      </c>
      <c r="B361" s="1" t="n">
        <v>45680.4165625</v>
      </c>
      <c r="C361" s="1" t="n">
        <v>45986</v>
      </c>
      <c r="D361" t="inlineStr">
        <is>
          <t>JÄMTLANDS LÄN</t>
        </is>
      </c>
      <c r="E361" t="inlineStr">
        <is>
          <t>BERG</t>
        </is>
      </c>
      <c r="G361" t="n">
        <v>0.8</v>
      </c>
      <c r="H361" t="n">
        <v>0</v>
      </c>
      <c r="I361" t="n">
        <v>0</v>
      </c>
      <c r="J361" t="n">
        <v>0</v>
      </c>
      <c r="K361" t="n">
        <v>0</v>
      </c>
      <c r="L361" t="n">
        <v>0</v>
      </c>
      <c r="M361" t="n">
        <v>0</v>
      </c>
      <c r="N361" t="n">
        <v>0</v>
      </c>
      <c r="O361" t="n">
        <v>0</v>
      </c>
      <c r="P361" t="n">
        <v>0</v>
      </c>
      <c r="Q361" t="n">
        <v>0</v>
      </c>
      <c r="R361" s="2" t="inlineStr"/>
    </row>
    <row r="362" ht="15" customHeight="1">
      <c r="A362" t="inlineStr">
        <is>
          <t>A 31024-2025</t>
        </is>
      </c>
      <c r="B362" s="1" t="n">
        <v>45832.52571759259</v>
      </c>
      <c r="C362" s="1" t="n">
        <v>45986</v>
      </c>
      <c r="D362" t="inlineStr">
        <is>
          <t>JÄMTLANDS LÄN</t>
        </is>
      </c>
      <c r="E362" t="inlineStr">
        <is>
          <t>BERG</t>
        </is>
      </c>
      <c r="G362" t="n">
        <v>3.6</v>
      </c>
      <c r="H362" t="n">
        <v>0</v>
      </c>
      <c r="I362" t="n">
        <v>0</v>
      </c>
      <c r="J362" t="n">
        <v>0</v>
      </c>
      <c r="K362" t="n">
        <v>0</v>
      </c>
      <c r="L362" t="n">
        <v>0</v>
      </c>
      <c r="M362" t="n">
        <v>0</v>
      </c>
      <c r="N362" t="n">
        <v>0</v>
      </c>
      <c r="O362" t="n">
        <v>0</v>
      </c>
      <c r="P362" t="n">
        <v>0</v>
      </c>
      <c r="Q362" t="n">
        <v>0</v>
      </c>
      <c r="R362" s="2" t="inlineStr"/>
    </row>
    <row r="363" ht="15" customHeight="1">
      <c r="A363" t="inlineStr">
        <is>
          <t>A 26013-2025</t>
        </is>
      </c>
      <c r="B363" s="1" t="n">
        <v>45804.67760416667</v>
      </c>
      <c r="C363" s="1" t="n">
        <v>45986</v>
      </c>
      <c r="D363" t="inlineStr">
        <is>
          <t>JÄMTLANDS LÄN</t>
        </is>
      </c>
      <c r="E363" t="inlineStr">
        <is>
          <t>BERG</t>
        </is>
      </c>
      <c r="F363" t="inlineStr">
        <is>
          <t>SCA</t>
        </is>
      </c>
      <c r="G363" t="n">
        <v>11.7</v>
      </c>
      <c r="H363" t="n">
        <v>0</v>
      </c>
      <c r="I363" t="n">
        <v>0</v>
      </c>
      <c r="J363" t="n">
        <v>0</v>
      </c>
      <c r="K363" t="n">
        <v>0</v>
      </c>
      <c r="L363" t="n">
        <v>0</v>
      </c>
      <c r="M363" t="n">
        <v>0</v>
      </c>
      <c r="N363" t="n">
        <v>0</v>
      </c>
      <c r="O363" t="n">
        <v>0</v>
      </c>
      <c r="P363" t="n">
        <v>0</v>
      </c>
      <c r="Q363" t="n">
        <v>0</v>
      </c>
      <c r="R363" s="2" t="inlineStr"/>
    </row>
    <row r="364" ht="15" customHeight="1">
      <c r="A364" t="inlineStr">
        <is>
          <t>A 25976-2025</t>
        </is>
      </c>
      <c r="B364" s="1" t="n">
        <v>45804.63596064815</v>
      </c>
      <c r="C364" s="1" t="n">
        <v>45986</v>
      </c>
      <c r="D364" t="inlineStr">
        <is>
          <t>JÄMTLANDS LÄN</t>
        </is>
      </c>
      <c r="E364" t="inlineStr">
        <is>
          <t>BERG</t>
        </is>
      </c>
      <c r="F364" t="inlineStr">
        <is>
          <t>SCA</t>
        </is>
      </c>
      <c r="G364" t="n">
        <v>5.5</v>
      </c>
      <c r="H364" t="n">
        <v>0</v>
      </c>
      <c r="I364" t="n">
        <v>0</v>
      </c>
      <c r="J364" t="n">
        <v>0</v>
      </c>
      <c r="K364" t="n">
        <v>0</v>
      </c>
      <c r="L364" t="n">
        <v>0</v>
      </c>
      <c r="M364" t="n">
        <v>0</v>
      </c>
      <c r="N364" t="n">
        <v>0</v>
      </c>
      <c r="O364" t="n">
        <v>0</v>
      </c>
      <c r="P364" t="n">
        <v>0</v>
      </c>
      <c r="Q364" t="n">
        <v>0</v>
      </c>
      <c r="R364" s="2" t="inlineStr"/>
    </row>
    <row r="365" ht="15" customHeight="1">
      <c r="A365" t="inlineStr">
        <is>
          <t>A 25979-2025</t>
        </is>
      </c>
      <c r="B365" s="1" t="n">
        <v>45804.63642361111</v>
      </c>
      <c r="C365" s="1" t="n">
        <v>45986</v>
      </c>
      <c r="D365" t="inlineStr">
        <is>
          <t>JÄMTLANDS LÄN</t>
        </is>
      </c>
      <c r="E365" t="inlineStr">
        <is>
          <t>BERG</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51079-2025</t>
        </is>
      </c>
      <c r="B366" s="1" t="n">
        <v>45947.465</v>
      </c>
      <c r="C366" s="1" t="n">
        <v>45986</v>
      </c>
      <c r="D366" t="inlineStr">
        <is>
          <t>JÄMTLANDS LÄN</t>
        </is>
      </c>
      <c r="E366" t="inlineStr">
        <is>
          <t>BERG</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50698-2025</t>
        </is>
      </c>
      <c r="B367" s="1" t="n">
        <v>45945.91894675926</v>
      </c>
      <c r="C367" s="1" t="n">
        <v>45986</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51203-2025</t>
        </is>
      </c>
      <c r="B368" s="1" t="n">
        <v>45947.63592592593</v>
      </c>
      <c r="C368" s="1" t="n">
        <v>45986</v>
      </c>
      <c r="D368" t="inlineStr">
        <is>
          <t>JÄMTLANDS LÄN</t>
        </is>
      </c>
      <c r="E368" t="inlineStr">
        <is>
          <t>BERG</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29540-2024</t>
        </is>
      </c>
      <c r="B369" s="1" t="n">
        <v>45484</v>
      </c>
      <c r="C369" s="1" t="n">
        <v>45986</v>
      </c>
      <c r="D369" t="inlineStr">
        <is>
          <t>JÄMTLANDS LÄN</t>
        </is>
      </c>
      <c r="E369" t="inlineStr">
        <is>
          <t>BERG</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54799-2021</t>
        </is>
      </c>
      <c r="B370" s="1" t="n">
        <v>44473</v>
      </c>
      <c r="C370" s="1" t="n">
        <v>45986</v>
      </c>
      <c r="D370" t="inlineStr">
        <is>
          <t>JÄMTLANDS LÄN</t>
        </is>
      </c>
      <c r="E370" t="inlineStr">
        <is>
          <t>BERG</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26053-2025</t>
        </is>
      </c>
      <c r="B371" s="1" t="n">
        <v>45804.75445601852</v>
      </c>
      <c r="C371" s="1" t="n">
        <v>45986</v>
      </c>
      <c r="D371" t="inlineStr">
        <is>
          <t>JÄMTLANDS LÄN</t>
        </is>
      </c>
      <c r="E371" t="inlineStr">
        <is>
          <t>BERG</t>
        </is>
      </c>
      <c r="G371" t="n">
        <v>6</v>
      </c>
      <c r="H371" t="n">
        <v>0</v>
      </c>
      <c r="I371" t="n">
        <v>0</v>
      </c>
      <c r="J371" t="n">
        <v>0</v>
      </c>
      <c r="K371" t="n">
        <v>0</v>
      </c>
      <c r="L371" t="n">
        <v>0</v>
      </c>
      <c r="M371" t="n">
        <v>0</v>
      </c>
      <c r="N371" t="n">
        <v>0</v>
      </c>
      <c r="O371" t="n">
        <v>0</v>
      </c>
      <c r="P371" t="n">
        <v>0</v>
      </c>
      <c r="Q371" t="n">
        <v>0</v>
      </c>
      <c r="R371" s="2" t="inlineStr"/>
    </row>
    <row r="372" ht="15" customHeight="1">
      <c r="A372" t="inlineStr">
        <is>
          <t>A 17266-2025</t>
        </is>
      </c>
      <c r="B372" s="1" t="n">
        <v>45756</v>
      </c>
      <c r="C372" s="1" t="n">
        <v>45986</v>
      </c>
      <c r="D372" t="inlineStr">
        <is>
          <t>JÄMTLANDS LÄN</t>
        </is>
      </c>
      <c r="E372" t="inlineStr">
        <is>
          <t>BERG</t>
        </is>
      </c>
      <c r="G372" t="n">
        <v>20.1</v>
      </c>
      <c r="H372" t="n">
        <v>0</v>
      </c>
      <c r="I372" t="n">
        <v>0</v>
      </c>
      <c r="J372" t="n">
        <v>0</v>
      </c>
      <c r="K372" t="n">
        <v>0</v>
      </c>
      <c r="L372" t="n">
        <v>0</v>
      </c>
      <c r="M372" t="n">
        <v>0</v>
      </c>
      <c r="N372" t="n">
        <v>0</v>
      </c>
      <c r="O372" t="n">
        <v>0</v>
      </c>
      <c r="P372" t="n">
        <v>0</v>
      </c>
      <c r="Q372" t="n">
        <v>0</v>
      </c>
      <c r="R372" s="2" t="inlineStr"/>
    </row>
    <row r="373" ht="15" customHeight="1">
      <c r="A373" t="inlineStr">
        <is>
          <t>A 25951-2025</t>
        </is>
      </c>
      <c r="B373" s="1" t="n">
        <v>45804.5984375</v>
      </c>
      <c r="C373" s="1" t="n">
        <v>45986</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25885-2025</t>
        </is>
      </c>
      <c r="B374" s="1" t="n">
        <v>45804.51075231482</v>
      </c>
      <c r="C374" s="1" t="n">
        <v>45986</v>
      </c>
      <c r="D374" t="inlineStr">
        <is>
          <t>JÄMTLANDS LÄN</t>
        </is>
      </c>
      <c r="E374" t="inlineStr">
        <is>
          <t>BERG</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25887-2025</t>
        </is>
      </c>
      <c r="B375" s="1" t="n">
        <v>45804.51104166666</v>
      </c>
      <c r="C375" s="1" t="n">
        <v>45986</v>
      </c>
      <c r="D375" t="inlineStr">
        <is>
          <t>JÄMTLANDS LÄN</t>
        </is>
      </c>
      <c r="E375" t="inlineStr">
        <is>
          <t>BERG</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51080-2025</t>
        </is>
      </c>
      <c r="B376" s="1" t="n">
        <v>45947.46655092593</v>
      </c>
      <c r="C376" s="1" t="n">
        <v>45986</v>
      </c>
      <c r="D376" t="inlineStr">
        <is>
          <t>JÄMTLANDS LÄN</t>
        </is>
      </c>
      <c r="E376" t="inlineStr">
        <is>
          <t>BERG</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42415-2025</t>
        </is>
      </c>
      <c r="B377" s="1" t="n">
        <v>45905.39195601852</v>
      </c>
      <c r="C377" s="1" t="n">
        <v>45986</v>
      </c>
      <c r="D377" t="inlineStr">
        <is>
          <t>JÄMTLANDS LÄN</t>
        </is>
      </c>
      <c r="E377" t="inlineStr">
        <is>
          <t>BERG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42378-2025</t>
        </is>
      </c>
      <c r="B378" s="1" t="n">
        <v>45905.34423611111</v>
      </c>
      <c r="C378" s="1" t="n">
        <v>45986</v>
      </c>
      <c r="D378" t="inlineStr">
        <is>
          <t>JÄMTLANDS LÄN</t>
        </is>
      </c>
      <c r="E378" t="inlineStr">
        <is>
          <t>BERG</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25960-2025</t>
        </is>
      </c>
      <c r="B379" s="1" t="n">
        <v>45804.60972222222</v>
      </c>
      <c r="C379" s="1" t="n">
        <v>45986</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42439-2025</t>
        </is>
      </c>
      <c r="B380" s="1" t="n">
        <v>45905.42969907408</v>
      </c>
      <c r="C380" s="1" t="n">
        <v>45986</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5014-2024</t>
        </is>
      </c>
      <c r="B381" s="1" t="n">
        <v>45329</v>
      </c>
      <c r="C381" s="1" t="n">
        <v>45986</v>
      </c>
      <c r="D381" t="inlineStr">
        <is>
          <t>JÄMTLANDS LÄN</t>
        </is>
      </c>
      <c r="E381" t="inlineStr">
        <is>
          <t>BERG</t>
        </is>
      </c>
      <c r="G381" t="n">
        <v>1.1</v>
      </c>
      <c r="H381" t="n">
        <v>0</v>
      </c>
      <c r="I381" t="n">
        <v>0</v>
      </c>
      <c r="J381" t="n">
        <v>0</v>
      </c>
      <c r="K381" t="n">
        <v>0</v>
      </c>
      <c r="L381" t="n">
        <v>0</v>
      </c>
      <c r="M381" t="n">
        <v>0</v>
      </c>
      <c r="N381" t="n">
        <v>0</v>
      </c>
      <c r="O381" t="n">
        <v>0</v>
      </c>
      <c r="P381" t="n">
        <v>0</v>
      </c>
      <c r="Q381" t="n">
        <v>0</v>
      </c>
      <c r="R381" s="2" t="inlineStr"/>
    </row>
    <row r="382" ht="15" customHeight="1">
      <c r="A382" t="inlineStr">
        <is>
          <t>A 64709-2021</t>
        </is>
      </c>
      <c r="B382" s="1" t="n">
        <v>44512</v>
      </c>
      <c r="C382" s="1" t="n">
        <v>45986</v>
      </c>
      <c r="D382" t="inlineStr">
        <is>
          <t>JÄMTLANDS LÄN</t>
        </is>
      </c>
      <c r="E382" t="inlineStr">
        <is>
          <t>BERG</t>
        </is>
      </c>
      <c r="G382" t="n">
        <v>1.1</v>
      </c>
      <c r="H382" t="n">
        <v>0</v>
      </c>
      <c r="I382" t="n">
        <v>0</v>
      </c>
      <c r="J382" t="n">
        <v>0</v>
      </c>
      <c r="K382" t="n">
        <v>0</v>
      </c>
      <c r="L382" t="n">
        <v>0</v>
      </c>
      <c r="M382" t="n">
        <v>0</v>
      </c>
      <c r="N382" t="n">
        <v>0</v>
      </c>
      <c r="O382" t="n">
        <v>0</v>
      </c>
      <c r="P382" t="n">
        <v>0</v>
      </c>
      <c r="Q382" t="n">
        <v>0</v>
      </c>
      <c r="R382" s="2" t="inlineStr"/>
    </row>
    <row r="383" ht="15" customHeight="1">
      <c r="A383" t="inlineStr">
        <is>
          <t>A 25938-2025</t>
        </is>
      </c>
      <c r="B383" s="1" t="n">
        <v>45804.59414351852</v>
      </c>
      <c r="C383" s="1" t="n">
        <v>45986</v>
      </c>
      <c r="D383" t="inlineStr">
        <is>
          <t>JÄMTLANDS LÄN</t>
        </is>
      </c>
      <c r="E383" t="inlineStr">
        <is>
          <t>BERG</t>
        </is>
      </c>
      <c r="F383" t="inlineStr">
        <is>
          <t>SCA</t>
        </is>
      </c>
      <c r="G383" t="n">
        <v>4.5</v>
      </c>
      <c r="H383" t="n">
        <v>0</v>
      </c>
      <c r="I383" t="n">
        <v>0</v>
      </c>
      <c r="J383" t="n">
        <v>0</v>
      </c>
      <c r="K383" t="n">
        <v>0</v>
      </c>
      <c r="L383" t="n">
        <v>0</v>
      </c>
      <c r="M383" t="n">
        <v>0</v>
      </c>
      <c r="N383" t="n">
        <v>0</v>
      </c>
      <c r="O383" t="n">
        <v>0</v>
      </c>
      <c r="P383" t="n">
        <v>0</v>
      </c>
      <c r="Q383" t="n">
        <v>0</v>
      </c>
      <c r="R383" s="2" t="inlineStr"/>
    </row>
    <row r="384" ht="15" customHeight="1">
      <c r="A384" t="inlineStr">
        <is>
          <t>A 25886-2025</t>
        </is>
      </c>
      <c r="B384" s="1" t="n">
        <v>45804.51092592593</v>
      </c>
      <c r="C384" s="1" t="n">
        <v>45986</v>
      </c>
      <c r="D384" t="inlineStr">
        <is>
          <t>JÄMTLANDS LÄN</t>
        </is>
      </c>
      <c r="E384" t="inlineStr">
        <is>
          <t>BERG</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51083-2025</t>
        </is>
      </c>
      <c r="B385" s="1" t="n">
        <v>45947.4678587963</v>
      </c>
      <c r="C385" s="1" t="n">
        <v>45986</v>
      </c>
      <c r="D385" t="inlineStr">
        <is>
          <t>JÄMTLANDS LÄN</t>
        </is>
      </c>
      <c r="E385" t="inlineStr">
        <is>
          <t>BERG</t>
        </is>
      </c>
      <c r="F385" t="inlineStr">
        <is>
          <t>Övriga Aktiebolag</t>
        </is>
      </c>
      <c r="G385" t="n">
        <v>10.4</v>
      </c>
      <c r="H385" t="n">
        <v>0</v>
      </c>
      <c r="I385" t="n">
        <v>0</v>
      </c>
      <c r="J385" t="n">
        <v>0</v>
      </c>
      <c r="K385" t="n">
        <v>0</v>
      </c>
      <c r="L385" t="n">
        <v>0</v>
      </c>
      <c r="M385" t="n">
        <v>0</v>
      </c>
      <c r="N385" t="n">
        <v>0</v>
      </c>
      <c r="O385" t="n">
        <v>0</v>
      </c>
      <c r="P385" t="n">
        <v>0</v>
      </c>
      <c r="Q385" t="n">
        <v>0</v>
      </c>
      <c r="R385" s="2" t="inlineStr"/>
    </row>
    <row r="386" ht="15" customHeight="1">
      <c r="A386" t="inlineStr">
        <is>
          <t>A 26186-2025</t>
        </is>
      </c>
      <c r="B386" s="1" t="n">
        <v>45805.47840277778</v>
      </c>
      <c r="C386" s="1" t="n">
        <v>45986</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26275-2025</t>
        </is>
      </c>
      <c r="B387" s="1" t="n">
        <v>45805.60230324074</v>
      </c>
      <c r="C387" s="1" t="n">
        <v>45986</v>
      </c>
      <c r="D387" t="inlineStr">
        <is>
          <t>JÄMTLANDS LÄN</t>
        </is>
      </c>
      <c r="E387" t="inlineStr">
        <is>
          <t>BERG</t>
        </is>
      </c>
      <c r="G387" t="n">
        <v>10.2</v>
      </c>
      <c r="H387" t="n">
        <v>0</v>
      </c>
      <c r="I387" t="n">
        <v>0</v>
      </c>
      <c r="J387" t="n">
        <v>0</v>
      </c>
      <c r="K387" t="n">
        <v>0</v>
      </c>
      <c r="L387" t="n">
        <v>0</v>
      </c>
      <c r="M387" t="n">
        <v>0</v>
      </c>
      <c r="N387" t="n">
        <v>0</v>
      </c>
      <c r="O387" t="n">
        <v>0</v>
      </c>
      <c r="P387" t="n">
        <v>0</v>
      </c>
      <c r="Q387" t="n">
        <v>0</v>
      </c>
      <c r="R387" s="2" t="inlineStr"/>
    </row>
    <row r="388" ht="15" customHeight="1">
      <c r="A388" t="inlineStr">
        <is>
          <t>A 25980-2025</t>
        </is>
      </c>
      <c r="B388" s="1" t="n">
        <v>45804.63658564815</v>
      </c>
      <c r="C388" s="1" t="n">
        <v>45986</v>
      </c>
      <c r="D388" t="inlineStr">
        <is>
          <t>JÄMTLANDS LÄN</t>
        </is>
      </c>
      <c r="E388" t="inlineStr">
        <is>
          <t>BERG</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51495-2025</t>
        </is>
      </c>
      <c r="B389" s="1" t="n">
        <v>45950.6366550926</v>
      </c>
      <c r="C389" s="1" t="n">
        <v>45986</v>
      </c>
      <c r="D389" t="inlineStr">
        <is>
          <t>JÄMTLANDS LÄN</t>
        </is>
      </c>
      <c r="E389" t="inlineStr">
        <is>
          <t>BERG</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61085-2024</t>
        </is>
      </c>
      <c r="B390" s="1" t="n">
        <v>45645.53202546296</v>
      </c>
      <c r="C390" s="1" t="n">
        <v>45986</v>
      </c>
      <c r="D390" t="inlineStr">
        <is>
          <t>JÄMTLANDS LÄN</t>
        </is>
      </c>
      <c r="E390" t="inlineStr">
        <is>
          <t>BERG</t>
        </is>
      </c>
      <c r="F390" t="inlineStr">
        <is>
          <t>SCA</t>
        </is>
      </c>
      <c r="G390" t="n">
        <v>12.2</v>
      </c>
      <c r="H390" t="n">
        <v>0</v>
      </c>
      <c r="I390" t="n">
        <v>0</v>
      </c>
      <c r="J390" t="n">
        <v>0</v>
      </c>
      <c r="K390" t="n">
        <v>0</v>
      </c>
      <c r="L390" t="n">
        <v>0</v>
      </c>
      <c r="M390" t="n">
        <v>0</v>
      </c>
      <c r="N390" t="n">
        <v>0</v>
      </c>
      <c r="O390" t="n">
        <v>0</v>
      </c>
      <c r="P390" t="n">
        <v>0</v>
      </c>
      <c r="Q390" t="n">
        <v>0</v>
      </c>
      <c r="R390" s="2" t="inlineStr"/>
    </row>
    <row r="391" ht="15" customHeight="1">
      <c r="A391" t="inlineStr">
        <is>
          <t>A 26378-2025</t>
        </is>
      </c>
      <c r="B391" s="1" t="n">
        <v>45806.48989583334</v>
      </c>
      <c r="C391" s="1" t="n">
        <v>45986</v>
      </c>
      <c r="D391" t="inlineStr">
        <is>
          <t>JÄMTLANDS LÄN</t>
        </is>
      </c>
      <c r="E391" t="inlineStr">
        <is>
          <t>BERG</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51675-2025</t>
        </is>
      </c>
      <c r="B392" s="1" t="n">
        <v>45951.50565972222</v>
      </c>
      <c r="C392" s="1" t="n">
        <v>45986</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41927-2023</t>
        </is>
      </c>
      <c r="B393" s="1" t="n">
        <v>45176</v>
      </c>
      <c r="C393" s="1" t="n">
        <v>45986</v>
      </c>
      <c r="D393" t="inlineStr">
        <is>
          <t>JÄMTLANDS LÄN</t>
        </is>
      </c>
      <c r="E393" t="inlineStr">
        <is>
          <t>BERG</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5187-2025</t>
        </is>
      </c>
      <c r="B394" s="1" t="n">
        <v>45691.64266203704</v>
      </c>
      <c r="C394" s="1" t="n">
        <v>45986</v>
      </c>
      <c r="D394" t="inlineStr">
        <is>
          <t>JÄMTLANDS LÄN</t>
        </is>
      </c>
      <c r="E394" t="inlineStr">
        <is>
          <t>BERG</t>
        </is>
      </c>
      <c r="G394" t="n">
        <v>2.5</v>
      </c>
      <c r="H394" t="n">
        <v>0</v>
      </c>
      <c r="I394" t="n">
        <v>0</v>
      </c>
      <c r="J394" t="n">
        <v>0</v>
      </c>
      <c r="K394" t="n">
        <v>0</v>
      </c>
      <c r="L394" t="n">
        <v>0</v>
      </c>
      <c r="M394" t="n">
        <v>0</v>
      </c>
      <c r="N394" t="n">
        <v>0</v>
      </c>
      <c r="O394" t="n">
        <v>0</v>
      </c>
      <c r="P394" t="n">
        <v>0</v>
      </c>
      <c r="Q394" t="n">
        <v>0</v>
      </c>
      <c r="R394" s="2" t="inlineStr"/>
    </row>
    <row r="395" ht="15" customHeight="1">
      <c r="A395" t="inlineStr">
        <is>
          <t>A 42862-2025</t>
        </is>
      </c>
      <c r="B395" s="1" t="n">
        <v>45908.61515046296</v>
      </c>
      <c r="C395" s="1" t="n">
        <v>45986</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26374-2025</t>
        </is>
      </c>
      <c r="B396" s="1" t="n">
        <v>45806.42745370371</v>
      </c>
      <c r="C396" s="1" t="n">
        <v>45986</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33962-2024</t>
        </is>
      </c>
      <c r="B397" s="1" t="n">
        <v>45523.48854166667</v>
      </c>
      <c r="C397" s="1" t="n">
        <v>45986</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18007-2024</t>
        </is>
      </c>
      <c r="B398" s="1" t="n">
        <v>45419.94912037037</v>
      </c>
      <c r="C398" s="1" t="n">
        <v>45986</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43015-2025</t>
        </is>
      </c>
      <c r="B399" s="1" t="n">
        <v>45909.49278935185</v>
      </c>
      <c r="C399" s="1" t="n">
        <v>45986</v>
      </c>
      <c r="D399" t="inlineStr">
        <is>
          <t>JÄMTLANDS LÄN</t>
        </is>
      </c>
      <c r="E399" t="inlineStr">
        <is>
          <t>BERG</t>
        </is>
      </c>
      <c r="G399" t="n">
        <v>1.3</v>
      </c>
      <c r="H399" t="n">
        <v>0</v>
      </c>
      <c r="I399" t="n">
        <v>0</v>
      </c>
      <c r="J399" t="n">
        <v>0</v>
      </c>
      <c r="K399" t="n">
        <v>0</v>
      </c>
      <c r="L399" t="n">
        <v>0</v>
      </c>
      <c r="M399" t="n">
        <v>0</v>
      </c>
      <c r="N399" t="n">
        <v>0</v>
      </c>
      <c r="O399" t="n">
        <v>0</v>
      </c>
      <c r="P399" t="n">
        <v>0</v>
      </c>
      <c r="Q399" t="n">
        <v>0</v>
      </c>
      <c r="R399" s="2" t="inlineStr"/>
    </row>
    <row r="400" ht="15" customHeight="1">
      <c r="A400" t="inlineStr">
        <is>
          <t>A 26743-2025</t>
        </is>
      </c>
      <c r="B400" s="1" t="n">
        <v>45810.53163194445</v>
      </c>
      <c r="C400" s="1" t="n">
        <v>45986</v>
      </c>
      <c r="D400" t="inlineStr">
        <is>
          <t>JÄMTLANDS LÄN</t>
        </is>
      </c>
      <c r="E400" t="inlineStr">
        <is>
          <t>BERG</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51301-2025</t>
        </is>
      </c>
      <c r="B401" s="1" t="n">
        <v>45950.36480324074</v>
      </c>
      <c r="C401" s="1" t="n">
        <v>45986</v>
      </c>
      <c r="D401" t="inlineStr">
        <is>
          <t>JÄMTLANDS LÄN</t>
        </is>
      </c>
      <c r="E401" t="inlineStr">
        <is>
          <t>BERG</t>
        </is>
      </c>
      <c r="G401" t="n">
        <v>3.1</v>
      </c>
      <c r="H401" t="n">
        <v>0</v>
      </c>
      <c r="I401" t="n">
        <v>0</v>
      </c>
      <c r="J401" t="n">
        <v>0</v>
      </c>
      <c r="K401" t="n">
        <v>0</v>
      </c>
      <c r="L401" t="n">
        <v>0</v>
      </c>
      <c r="M401" t="n">
        <v>0</v>
      </c>
      <c r="N401" t="n">
        <v>0</v>
      </c>
      <c r="O401" t="n">
        <v>0</v>
      </c>
      <c r="P401" t="n">
        <v>0</v>
      </c>
      <c r="Q401" t="n">
        <v>0</v>
      </c>
      <c r="R401" s="2" t="inlineStr"/>
    </row>
    <row r="402" ht="15" customHeight="1">
      <c r="A402" t="inlineStr">
        <is>
          <t>A 3842-2023</t>
        </is>
      </c>
      <c r="B402" s="1" t="n">
        <v>44951</v>
      </c>
      <c r="C402" s="1" t="n">
        <v>45986</v>
      </c>
      <c r="D402" t="inlineStr">
        <is>
          <t>JÄMTLANDS LÄN</t>
        </is>
      </c>
      <c r="E402" t="inlineStr">
        <is>
          <t>BERG</t>
        </is>
      </c>
      <c r="G402" t="n">
        <v>0.3</v>
      </c>
      <c r="H402" t="n">
        <v>0</v>
      </c>
      <c r="I402" t="n">
        <v>0</v>
      </c>
      <c r="J402" t="n">
        <v>0</v>
      </c>
      <c r="K402" t="n">
        <v>0</v>
      </c>
      <c r="L402" t="n">
        <v>0</v>
      </c>
      <c r="M402" t="n">
        <v>0</v>
      </c>
      <c r="N402" t="n">
        <v>0</v>
      </c>
      <c r="O402" t="n">
        <v>0</v>
      </c>
      <c r="P402" t="n">
        <v>0</v>
      </c>
      <c r="Q402" t="n">
        <v>0</v>
      </c>
      <c r="R402" s="2" t="inlineStr"/>
    </row>
    <row r="403" ht="15" customHeight="1">
      <c r="A403" t="inlineStr">
        <is>
          <t>A 27044-2025</t>
        </is>
      </c>
      <c r="B403" s="1" t="n">
        <v>45811.61496527777</v>
      </c>
      <c r="C403" s="1" t="n">
        <v>45986</v>
      </c>
      <c r="D403" t="inlineStr">
        <is>
          <t>JÄMTLANDS LÄN</t>
        </is>
      </c>
      <c r="E403" t="inlineStr">
        <is>
          <t>BERG</t>
        </is>
      </c>
      <c r="F403" t="inlineStr">
        <is>
          <t>SCA</t>
        </is>
      </c>
      <c r="G403" t="n">
        <v>26.1</v>
      </c>
      <c r="H403" t="n">
        <v>0</v>
      </c>
      <c r="I403" t="n">
        <v>0</v>
      </c>
      <c r="J403" t="n">
        <v>0</v>
      </c>
      <c r="K403" t="n">
        <v>0</v>
      </c>
      <c r="L403" t="n">
        <v>0</v>
      </c>
      <c r="M403" t="n">
        <v>0</v>
      </c>
      <c r="N403" t="n">
        <v>0</v>
      </c>
      <c r="O403" t="n">
        <v>0</v>
      </c>
      <c r="P403" t="n">
        <v>0</v>
      </c>
      <c r="Q403" t="n">
        <v>0</v>
      </c>
      <c r="R403" s="2" t="inlineStr"/>
    </row>
    <row r="404" ht="15" customHeight="1">
      <c r="A404" t="inlineStr">
        <is>
          <t>A 52256-2025</t>
        </is>
      </c>
      <c r="B404" s="1" t="n">
        <v>45953.50086805555</v>
      </c>
      <c r="C404" s="1" t="n">
        <v>45986</v>
      </c>
      <c r="D404" t="inlineStr">
        <is>
          <t>JÄMTLANDS LÄN</t>
        </is>
      </c>
      <c r="E404" t="inlineStr">
        <is>
          <t>BERG</t>
        </is>
      </c>
      <c r="G404" t="n">
        <v>3.9</v>
      </c>
      <c r="H404" t="n">
        <v>0</v>
      </c>
      <c r="I404" t="n">
        <v>0</v>
      </c>
      <c r="J404" t="n">
        <v>0</v>
      </c>
      <c r="K404" t="n">
        <v>0</v>
      </c>
      <c r="L404" t="n">
        <v>0</v>
      </c>
      <c r="M404" t="n">
        <v>0</v>
      </c>
      <c r="N404" t="n">
        <v>0</v>
      </c>
      <c r="O404" t="n">
        <v>0</v>
      </c>
      <c r="P404" t="n">
        <v>0</v>
      </c>
      <c r="Q404" t="n">
        <v>0</v>
      </c>
      <c r="R404" s="2" t="inlineStr"/>
    </row>
    <row r="405" ht="15" customHeight="1">
      <c r="A405" t="inlineStr">
        <is>
          <t>A 43442-2025</t>
        </is>
      </c>
      <c r="B405" s="1" t="n">
        <v>45911.44244212963</v>
      </c>
      <c r="C405" s="1" t="n">
        <v>45986</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43443-2025</t>
        </is>
      </c>
      <c r="B406" s="1" t="n">
        <v>45911.44350694444</v>
      </c>
      <c r="C406" s="1" t="n">
        <v>45986</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59526-2024</t>
        </is>
      </c>
      <c r="B407" s="1" t="n">
        <v>45638.58019675926</v>
      </c>
      <c r="C407" s="1" t="n">
        <v>45986</v>
      </c>
      <c r="D407" t="inlineStr">
        <is>
          <t>JÄMTLANDS LÄN</t>
        </is>
      </c>
      <c r="E407" t="inlineStr">
        <is>
          <t>BERG</t>
        </is>
      </c>
      <c r="G407" t="n">
        <v>1</v>
      </c>
      <c r="H407" t="n">
        <v>0</v>
      </c>
      <c r="I407" t="n">
        <v>0</v>
      </c>
      <c r="J407" t="n">
        <v>0</v>
      </c>
      <c r="K407" t="n">
        <v>0</v>
      </c>
      <c r="L407" t="n">
        <v>0</v>
      </c>
      <c r="M407" t="n">
        <v>0</v>
      </c>
      <c r="N407" t="n">
        <v>0</v>
      </c>
      <c r="O407" t="n">
        <v>0</v>
      </c>
      <c r="P407" t="n">
        <v>0</v>
      </c>
      <c r="Q407" t="n">
        <v>0</v>
      </c>
      <c r="R407" s="2" t="inlineStr"/>
    </row>
    <row r="408" ht="15" customHeight="1">
      <c r="A408" t="inlineStr">
        <is>
          <t>A 29511-2021</t>
        </is>
      </c>
      <c r="B408" s="1" t="n">
        <v>44361</v>
      </c>
      <c r="C408" s="1" t="n">
        <v>45986</v>
      </c>
      <c r="D408" t="inlineStr">
        <is>
          <t>JÄMTLANDS LÄN</t>
        </is>
      </c>
      <c r="E408" t="inlineStr">
        <is>
          <t>BERG</t>
        </is>
      </c>
      <c r="G408" t="n">
        <v>5.6</v>
      </c>
      <c r="H408" t="n">
        <v>0</v>
      </c>
      <c r="I408" t="n">
        <v>0</v>
      </c>
      <c r="J408" t="n">
        <v>0</v>
      </c>
      <c r="K408" t="n">
        <v>0</v>
      </c>
      <c r="L408" t="n">
        <v>0</v>
      </c>
      <c r="M408" t="n">
        <v>0</v>
      </c>
      <c r="N408" t="n">
        <v>0</v>
      </c>
      <c r="O408" t="n">
        <v>0</v>
      </c>
      <c r="P408" t="n">
        <v>0</v>
      </c>
      <c r="Q408" t="n">
        <v>0</v>
      </c>
      <c r="R408" s="2" t="inlineStr"/>
    </row>
    <row r="409" ht="15" customHeight="1">
      <c r="A409" t="inlineStr">
        <is>
          <t>A 52341-2025</t>
        </is>
      </c>
      <c r="B409" s="1" t="n">
        <v>45953.71564814815</v>
      </c>
      <c r="C409" s="1" t="n">
        <v>45986</v>
      </c>
      <c r="D409" t="inlineStr">
        <is>
          <t>JÄMTLANDS LÄN</t>
        </is>
      </c>
      <c r="E409" t="inlineStr">
        <is>
          <t>BERG</t>
        </is>
      </c>
      <c r="G409" t="n">
        <v>12.2</v>
      </c>
      <c r="H409" t="n">
        <v>0</v>
      </c>
      <c r="I409" t="n">
        <v>0</v>
      </c>
      <c r="J409" t="n">
        <v>0</v>
      </c>
      <c r="K409" t="n">
        <v>0</v>
      </c>
      <c r="L409" t="n">
        <v>0</v>
      </c>
      <c r="M409" t="n">
        <v>0</v>
      </c>
      <c r="N409" t="n">
        <v>0</v>
      </c>
      <c r="O409" t="n">
        <v>0</v>
      </c>
      <c r="P409" t="n">
        <v>0</v>
      </c>
      <c r="Q409" t="n">
        <v>0</v>
      </c>
      <c r="R409" s="2" t="inlineStr"/>
    </row>
    <row r="410" ht="15" customHeight="1">
      <c r="A410" t="inlineStr">
        <is>
          <t>A 41264-2025</t>
        </is>
      </c>
      <c r="B410" s="1" t="n">
        <v>45898</v>
      </c>
      <c r="C410" s="1" t="n">
        <v>45986</v>
      </c>
      <c r="D410" t="inlineStr">
        <is>
          <t>JÄMTLANDS LÄN</t>
        </is>
      </c>
      <c r="E410" t="inlineStr">
        <is>
          <t>BERG</t>
        </is>
      </c>
      <c r="G410" t="n">
        <v>17.4</v>
      </c>
      <c r="H410" t="n">
        <v>0</v>
      </c>
      <c r="I410" t="n">
        <v>0</v>
      </c>
      <c r="J410" t="n">
        <v>0</v>
      </c>
      <c r="K410" t="n">
        <v>0</v>
      </c>
      <c r="L410" t="n">
        <v>0</v>
      </c>
      <c r="M410" t="n">
        <v>0</v>
      </c>
      <c r="N410" t="n">
        <v>0</v>
      </c>
      <c r="O410" t="n">
        <v>0</v>
      </c>
      <c r="P410" t="n">
        <v>0</v>
      </c>
      <c r="Q410" t="n">
        <v>0</v>
      </c>
      <c r="R410" s="2" t="inlineStr"/>
    </row>
    <row r="411" ht="15" customHeight="1">
      <c r="A411" t="inlineStr">
        <is>
          <t>A 43458-2025</t>
        </is>
      </c>
      <c r="B411" s="1" t="n">
        <v>45911.46315972223</v>
      </c>
      <c r="C411" s="1" t="n">
        <v>45986</v>
      </c>
      <c r="D411" t="inlineStr">
        <is>
          <t>JÄMTLANDS LÄN</t>
        </is>
      </c>
      <c r="E411" t="inlineStr">
        <is>
          <t>BERG</t>
        </is>
      </c>
      <c r="G411" t="n">
        <v>11.2</v>
      </c>
      <c r="H411" t="n">
        <v>0</v>
      </c>
      <c r="I411" t="n">
        <v>0</v>
      </c>
      <c r="J411" t="n">
        <v>0</v>
      </c>
      <c r="K411" t="n">
        <v>0</v>
      </c>
      <c r="L411" t="n">
        <v>0</v>
      </c>
      <c r="M411" t="n">
        <v>0</v>
      </c>
      <c r="N411" t="n">
        <v>0</v>
      </c>
      <c r="O411" t="n">
        <v>0</v>
      </c>
      <c r="P411" t="n">
        <v>0</v>
      </c>
      <c r="Q411" t="n">
        <v>0</v>
      </c>
      <c r="R411" s="2" t="inlineStr"/>
    </row>
    <row r="412" ht="15" customHeight="1">
      <c r="A412" t="inlineStr">
        <is>
          <t>A 27063-2025</t>
        </is>
      </c>
      <c r="B412" s="1" t="n">
        <v>45811.63626157407</v>
      </c>
      <c r="C412" s="1" t="n">
        <v>45986</v>
      </c>
      <c r="D412" t="inlineStr">
        <is>
          <t>JÄMTLANDS LÄN</t>
        </is>
      </c>
      <c r="E412" t="inlineStr">
        <is>
          <t>BERG</t>
        </is>
      </c>
      <c r="F412" t="inlineStr">
        <is>
          <t>SCA</t>
        </is>
      </c>
      <c r="G412" t="n">
        <v>18.9</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45986</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52128-2025</t>
        </is>
      </c>
      <c r="B414" s="1" t="n">
        <v>45952.72754629629</v>
      </c>
      <c r="C414" s="1" t="n">
        <v>45986</v>
      </c>
      <c r="D414" t="inlineStr">
        <is>
          <t>JÄMTLANDS LÄN</t>
        </is>
      </c>
      <c r="E414" t="inlineStr">
        <is>
          <t>BERG</t>
        </is>
      </c>
      <c r="G414" t="n">
        <v>2.1</v>
      </c>
      <c r="H414" t="n">
        <v>0</v>
      </c>
      <c r="I414" t="n">
        <v>0</v>
      </c>
      <c r="J414" t="n">
        <v>0</v>
      </c>
      <c r="K414" t="n">
        <v>0</v>
      </c>
      <c r="L414" t="n">
        <v>0</v>
      </c>
      <c r="M414" t="n">
        <v>0</v>
      </c>
      <c r="N414" t="n">
        <v>0</v>
      </c>
      <c r="O414" t="n">
        <v>0</v>
      </c>
      <c r="P414" t="n">
        <v>0</v>
      </c>
      <c r="Q414" t="n">
        <v>0</v>
      </c>
      <c r="R414" s="2" t="inlineStr"/>
    </row>
    <row r="415" ht="15" customHeight="1">
      <c r="A415" t="inlineStr">
        <is>
          <t>A 43441-2025</t>
        </is>
      </c>
      <c r="B415" s="1" t="n">
        <v>45911.44184027778</v>
      </c>
      <c r="C415" s="1" t="n">
        <v>45986</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43456-2025</t>
        </is>
      </c>
      <c r="B416" s="1" t="n">
        <v>45911.46148148148</v>
      </c>
      <c r="C416" s="1" t="n">
        <v>45986</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43560-2025</t>
        </is>
      </c>
      <c r="B417" s="1" t="n">
        <v>45911.62758101852</v>
      </c>
      <c r="C417" s="1" t="n">
        <v>45986</v>
      </c>
      <c r="D417" t="inlineStr">
        <is>
          <t>JÄMTLANDS LÄN</t>
        </is>
      </c>
      <c r="E417" t="inlineStr">
        <is>
          <t>BERG</t>
        </is>
      </c>
      <c r="G417" t="n">
        <v>10</v>
      </c>
      <c r="H417" t="n">
        <v>0</v>
      </c>
      <c r="I417" t="n">
        <v>0</v>
      </c>
      <c r="J417" t="n">
        <v>0</v>
      </c>
      <c r="K417" t="n">
        <v>0</v>
      </c>
      <c r="L417" t="n">
        <v>0</v>
      </c>
      <c r="M417" t="n">
        <v>0</v>
      </c>
      <c r="N417" t="n">
        <v>0</v>
      </c>
      <c r="O417" t="n">
        <v>0</v>
      </c>
      <c r="P417" t="n">
        <v>0</v>
      </c>
      <c r="Q417" t="n">
        <v>0</v>
      </c>
      <c r="R417" s="2" t="inlineStr"/>
    </row>
    <row r="418" ht="15" customHeight="1">
      <c r="A418" t="inlineStr">
        <is>
          <t>A 52260-2025</t>
        </is>
      </c>
      <c r="B418" s="1" t="n">
        <v>45953.51113425926</v>
      </c>
      <c r="C418" s="1" t="n">
        <v>45986</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43364-2025</t>
        </is>
      </c>
      <c r="B419" s="1" t="n">
        <v>45911.34483796296</v>
      </c>
      <c r="C419" s="1" t="n">
        <v>45986</v>
      </c>
      <c r="D419" t="inlineStr">
        <is>
          <t>JÄMTLANDS LÄN</t>
        </is>
      </c>
      <c r="E419" t="inlineStr">
        <is>
          <t>BERG</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52062-2025</t>
        </is>
      </c>
      <c r="B420" s="1" t="n">
        <v>45952.63679398148</v>
      </c>
      <c r="C420" s="1" t="n">
        <v>45986</v>
      </c>
      <c r="D420" t="inlineStr">
        <is>
          <t>JÄMTLANDS LÄN</t>
        </is>
      </c>
      <c r="E420" t="inlineStr">
        <is>
          <t>BERG</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52225-2025</t>
        </is>
      </c>
      <c r="B421" s="1" t="n">
        <v>45953.44831018519</v>
      </c>
      <c r="C421" s="1" t="n">
        <v>45986</v>
      </c>
      <c r="D421" t="inlineStr">
        <is>
          <t>JÄMTLANDS LÄN</t>
        </is>
      </c>
      <c r="E421" t="inlineStr">
        <is>
          <t>BERG</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52340-2025</t>
        </is>
      </c>
      <c r="B422" s="1" t="n">
        <v>45953.70571759259</v>
      </c>
      <c r="C422" s="1" t="n">
        <v>45986</v>
      </c>
      <c r="D422" t="inlineStr">
        <is>
          <t>JÄMTLANDS LÄN</t>
        </is>
      </c>
      <c r="E422" t="inlineStr">
        <is>
          <t>BERG</t>
        </is>
      </c>
      <c r="G422" t="n">
        <v>6.7</v>
      </c>
      <c r="H422" t="n">
        <v>0</v>
      </c>
      <c r="I422" t="n">
        <v>0</v>
      </c>
      <c r="J422" t="n">
        <v>0</v>
      </c>
      <c r="K422" t="n">
        <v>0</v>
      </c>
      <c r="L422" t="n">
        <v>0</v>
      </c>
      <c r="M422" t="n">
        <v>0</v>
      </c>
      <c r="N422" t="n">
        <v>0</v>
      </c>
      <c r="O422" t="n">
        <v>0</v>
      </c>
      <c r="P422" t="n">
        <v>0</v>
      </c>
      <c r="Q422" t="n">
        <v>0</v>
      </c>
      <c r="R422" s="2" t="inlineStr"/>
    </row>
    <row r="423" ht="15" customHeight="1">
      <c r="A423" t="inlineStr">
        <is>
          <t>A 51883-2025</t>
        </is>
      </c>
      <c r="B423" s="1" t="n">
        <v>45952.40701388889</v>
      </c>
      <c r="C423" s="1" t="n">
        <v>45986</v>
      </c>
      <c r="D423" t="inlineStr">
        <is>
          <t>JÄMTLANDS LÄN</t>
        </is>
      </c>
      <c r="E423" t="inlineStr">
        <is>
          <t>BERG</t>
        </is>
      </c>
      <c r="G423" t="n">
        <v>0.9</v>
      </c>
      <c r="H423" t="n">
        <v>0</v>
      </c>
      <c r="I423" t="n">
        <v>0</v>
      </c>
      <c r="J423" t="n">
        <v>0</v>
      </c>
      <c r="K423" t="n">
        <v>0</v>
      </c>
      <c r="L423" t="n">
        <v>0</v>
      </c>
      <c r="M423" t="n">
        <v>0</v>
      </c>
      <c r="N423" t="n">
        <v>0</v>
      </c>
      <c r="O423" t="n">
        <v>0</v>
      </c>
      <c r="P423" t="n">
        <v>0</v>
      </c>
      <c r="Q423" t="n">
        <v>0</v>
      </c>
      <c r="R423" s="2" t="inlineStr"/>
    </row>
    <row r="424" ht="15" customHeight="1">
      <c r="A424" t="inlineStr">
        <is>
          <t>A 52348-2025</t>
        </is>
      </c>
      <c r="B424" s="1" t="n">
        <v>45953.72064814815</v>
      </c>
      <c r="C424" s="1" t="n">
        <v>45986</v>
      </c>
      <c r="D424" t="inlineStr">
        <is>
          <t>JÄMTLANDS LÄN</t>
        </is>
      </c>
      <c r="E424" t="inlineStr">
        <is>
          <t>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45986</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45986</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52938-2025</t>
        </is>
      </c>
      <c r="B427" s="1" t="n">
        <v>45957.63680555556</v>
      </c>
      <c r="C427" s="1" t="n">
        <v>45986</v>
      </c>
      <c r="D427" t="inlineStr">
        <is>
          <t>JÄMTLANDS LÄN</t>
        </is>
      </c>
      <c r="E427" t="inlineStr">
        <is>
          <t>BERG</t>
        </is>
      </c>
      <c r="G427" t="n">
        <v>3.6</v>
      </c>
      <c r="H427" t="n">
        <v>0</v>
      </c>
      <c r="I427" t="n">
        <v>0</v>
      </c>
      <c r="J427" t="n">
        <v>0</v>
      </c>
      <c r="K427" t="n">
        <v>0</v>
      </c>
      <c r="L427" t="n">
        <v>0</v>
      </c>
      <c r="M427" t="n">
        <v>0</v>
      </c>
      <c r="N427" t="n">
        <v>0</v>
      </c>
      <c r="O427" t="n">
        <v>0</v>
      </c>
      <c r="P427" t="n">
        <v>0</v>
      </c>
      <c r="Q427" t="n">
        <v>0</v>
      </c>
      <c r="R427" s="2" t="inlineStr"/>
    </row>
    <row r="428" ht="15" customHeight="1">
      <c r="A428" t="inlineStr">
        <is>
          <t>A 41098-2023</t>
        </is>
      </c>
      <c r="B428" s="1" t="n">
        <v>45170</v>
      </c>
      <c r="C428" s="1" t="n">
        <v>45986</v>
      </c>
      <c r="D428" t="inlineStr">
        <is>
          <t>JÄMTLANDS LÄN</t>
        </is>
      </c>
      <c r="E428" t="inlineStr">
        <is>
          <t>BERG</t>
        </is>
      </c>
      <c r="G428" t="n">
        <v>3.1</v>
      </c>
      <c r="H428" t="n">
        <v>0</v>
      </c>
      <c r="I428" t="n">
        <v>0</v>
      </c>
      <c r="J428" t="n">
        <v>0</v>
      </c>
      <c r="K428" t="n">
        <v>0</v>
      </c>
      <c r="L428" t="n">
        <v>0</v>
      </c>
      <c r="M428" t="n">
        <v>0</v>
      </c>
      <c r="N428" t="n">
        <v>0</v>
      </c>
      <c r="O428" t="n">
        <v>0</v>
      </c>
      <c r="P428" t="n">
        <v>0</v>
      </c>
      <c r="Q428" t="n">
        <v>0</v>
      </c>
      <c r="R428" s="2" t="inlineStr"/>
    </row>
    <row r="429" ht="15" customHeight="1">
      <c r="A429" t="inlineStr">
        <is>
          <t>A 44051-2025</t>
        </is>
      </c>
      <c r="B429" s="1" t="n">
        <v>45915.51079861111</v>
      </c>
      <c r="C429" s="1" t="n">
        <v>45986</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433-2023</t>
        </is>
      </c>
      <c r="B430" s="1" t="n">
        <v>44923</v>
      </c>
      <c r="C430" s="1" t="n">
        <v>45986</v>
      </c>
      <c r="D430" t="inlineStr">
        <is>
          <t>JÄMTLANDS LÄN</t>
        </is>
      </c>
      <c r="E430" t="inlineStr">
        <is>
          <t>BERG</t>
        </is>
      </c>
      <c r="G430" t="n">
        <v>1.5</v>
      </c>
      <c r="H430" t="n">
        <v>0</v>
      </c>
      <c r="I430" t="n">
        <v>0</v>
      </c>
      <c r="J430" t="n">
        <v>0</v>
      </c>
      <c r="K430" t="n">
        <v>0</v>
      </c>
      <c r="L430" t="n">
        <v>0</v>
      </c>
      <c r="M430" t="n">
        <v>0</v>
      </c>
      <c r="N430" t="n">
        <v>0</v>
      </c>
      <c r="O430" t="n">
        <v>0</v>
      </c>
      <c r="P430" t="n">
        <v>0</v>
      </c>
      <c r="Q430" t="n">
        <v>0</v>
      </c>
      <c r="R430" s="2" t="inlineStr"/>
    </row>
    <row r="431" ht="15" customHeight="1">
      <c r="A431" t="inlineStr">
        <is>
          <t>A 27317-2025</t>
        </is>
      </c>
      <c r="B431" s="1" t="n">
        <v>45812.59011574074</v>
      </c>
      <c r="C431" s="1" t="n">
        <v>45986</v>
      </c>
      <c r="D431" t="inlineStr">
        <is>
          <t>JÄMTLANDS LÄN</t>
        </is>
      </c>
      <c r="E431" t="inlineStr">
        <is>
          <t>BERG</t>
        </is>
      </c>
      <c r="G431" t="n">
        <v>6.2</v>
      </c>
      <c r="H431" t="n">
        <v>0</v>
      </c>
      <c r="I431" t="n">
        <v>0</v>
      </c>
      <c r="J431" t="n">
        <v>0</v>
      </c>
      <c r="K431" t="n">
        <v>0</v>
      </c>
      <c r="L431" t="n">
        <v>0</v>
      </c>
      <c r="M431" t="n">
        <v>0</v>
      </c>
      <c r="N431" t="n">
        <v>0</v>
      </c>
      <c r="O431" t="n">
        <v>0</v>
      </c>
      <c r="P431" t="n">
        <v>0</v>
      </c>
      <c r="Q431" t="n">
        <v>0</v>
      </c>
      <c r="R431" s="2" t="inlineStr"/>
    </row>
    <row r="432" ht="15" customHeight="1">
      <c r="A432" t="inlineStr">
        <is>
          <t>A 27459-2025</t>
        </is>
      </c>
      <c r="B432" s="1" t="n">
        <v>45813.34561342592</v>
      </c>
      <c r="C432" s="1" t="n">
        <v>45986</v>
      </c>
      <c r="D432" t="inlineStr">
        <is>
          <t>JÄMTLANDS LÄN</t>
        </is>
      </c>
      <c r="E432" t="inlineStr">
        <is>
          <t>BERG</t>
        </is>
      </c>
      <c r="F432" t="inlineStr">
        <is>
          <t>SCA</t>
        </is>
      </c>
      <c r="G432" t="n">
        <v>19.2</v>
      </c>
      <c r="H432" t="n">
        <v>0</v>
      </c>
      <c r="I432" t="n">
        <v>0</v>
      </c>
      <c r="J432" t="n">
        <v>0</v>
      </c>
      <c r="K432" t="n">
        <v>0</v>
      </c>
      <c r="L432" t="n">
        <v>0</v>
      </c>
      <c r="M432" t="n">
        <v>0</v>
      </c>
      <c r="N432" t="n">
        <v>0</v>
      </c>
      <c r="O432" t="n">
        <v>0</v>
      </c>
      <c r="P432" t="n">
        <v>0</v>
      </c>
      <c r="Q432" t="n">
        <v>0</v>
      </c>
      <c r="R432" s="2" t="inlineStr"/>
    </row>
    <row r="433" ht="15" customHeight="1">
      <c r="A433" t="inlineStr">
        <is>
          <t>A 32147-2024</t>
        </is>
      </c>
      <c r="B433" s="1" t="n">
        <v>45511.55600694445</v>
      </c>
      <c r="C433" s="1" t="n">
        <v>45986</v>
      </c>
      <c r="D433" t="inlineStr">
        <is>
          <t>JÄMTLANDS LÄN</t>
        </is>
      </c>
      <c r="E433" t="inlineStr">
        <is>
          <t>BERG</t>
        </is>
      </c>
      <c r="G433" t="n">
        <v>2.3</v>
      </c>
      <c r="H433" t="n">
        <v>0</v>
      </c>
      <c r="I433" t="n">
        <v>0</v>
      </c>
      <c r="J433" t="n">
        <v>0</v>
      </c>
      <c r="K433" t="n">
        <v>0</v>
      </c>
      <c r="L433" t="n">
        <v>0</v>
      </c>
      <c r="M433" t="n">
        <v>0</v>
      </c>
      <c r="N433" t="n">
        <v>0</v>
      </c>
      <c r="O433" t="n">
        <v>0</v>
      </c>
      <c r="P433" t="n">
        <v>0</v>
      </c>
      <c r="Q433" t="n">
        <v>0</v>
      </c>
      <c r="R433" s="2" t="inlineStr"/>
    </row>
    <row r="434" ht="15" customHeight="1">
      <c r="A434" t="inlineStr">
        <is>
          <t>A 46872-2023</t>
        </is>
      </c>
      <c r="B434" s="1" t="n">
        <v>45200</v>
      </c>
      <c r="C434" s="1" t="n">
        <v>45986</v>
      </c>
      <c r="D434" t="inlineStr">
        <is>
          <t>JÄMTLANDS LÄN</t>
        </is>
      </c>
      <c r="E434" t="inlineStr">
        <is>
          <t>BERG</t>
        </is>
      </c>
      <c r="F434" t="inlineStr">
        <is>
          <t>Naturvårdsverket</t>
        </is>
      </c>
      <c r="G434" t="n">
        <v>1.2</v>
      </c>
      <c r="H434" t="n">
        <v>0</v>
      </c>
      <c r="I434" t="n">
        <v>0</v>
      </c>
      <c r="J434" t="n">
        <v>0</v>
      </c>
      <c r="K434" t="n">
        <v>0</v>
      </c>
      <c r="L434" t="n">
        <v>0</v>
      </c>
      <c r="M434" t="n">
        <v>0</v>
      </c>
      <c r="N434" t="n">
        <v>0</v>
      </c>
      <c r="O434" t="n">
        <v>0</v>
      </c>
      <c r="P434" t="n">
        <v>0</v>
      </c>
      <c r="Q434" t="n">
        <v>0</v>
      </c>
      <c r="R434" s="2" t="inlineStr"/>
      <c r="U434">
        <f>HYPERLINK("https://klasma.github.io/Logging_2326/knärot/A 46872-2023 karta knärot.png", "A 46872-2023")</f>
        <v/>
      </c>
      <c r="V434">
        <f>HYPERLINK("https://klasma.github.io/Logging_2326/klagomål/A 46872-2023 FSC-klagomål.docx", "A 46872-2023")</f>
        <v/>
      </c>
      <c r="W434">
        <f>HYPERLINK("https://klasma.github.io/Logging_2326/klagomålsmail/A 46872-2023 FSC-klagomål mail.docx", "A 46872-2023")</f>
        <v/>
      </c>
      <c r="X434">
        <f>HYPERLINK("https://klasma.github.io/Logging_2326/tillsyn/A 46872-2023 tillsynsbegäran.docx", "A 46872-2023")</f>
        <v/>
      </c>
      <c r="Y434">
        <f>HYPERLINK("https://klasma.github.io/Logging_2326/tillsynsmail/A 46872-2023 tillsynsbegäran mail.docx", "A 46872-2023")</f>
        <v/>
      </c>
    </row>
    <row r="435" ht="15" customHeight="1">
      <c r="A435" t="inlineStr">
        <is>
          <t>A 44302-2025</t>
        </is>
      </c>
      <c r="B435" s="1" t="n">
        <v>45915</v>
      </c>
      <c r="C435" s="1" t="n">
        <v>45986</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27575-2025</t>
        </is>
      </c>
      <c r="B436" s="1" t="n">
        <v>45813.49083333334</v>
      </c>
      <c r="C436" s="1" t="n">
        <v>45986</v>
      </c>
      <c r="D436" t="inlineStr">
        <is>
          <t>JÄMTLANDS LÄN</t>
        </is>
      </c>
      <c r="E436" t="inlineStr">
        <is>
          <t>BERG</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52933-2025</t>
        </is>
      </c>
      <c r="B437" s="1" t="n">
        <v>45957.62528935185</v>
      </c>
      <c r="C437" s="1" t="n">
        <v>45986</v>
      </c>
      <c r="D437" t="inlineStr">
        <is>
          <t>JÄMTLANDS LÄN</t>
        </is>
      </c>
      <c r="E437" t="inlineStr">
        <is>
          <t>BERG</t>
        </is>
      </c>
      <c r="G437" t="n">
        <v>10.1</v>
      </c>
      <c r="H437" t="n">
        <v>0</v>
      </c>
      <c r="I437" t="n">
        <v>0</v>
      </c>
      <c r="J437" t="n">
        <v>0</v>
      </c>
      <c r="K437" t="n">
        <v>0</v>
      </c>
      <c r="L437" t="n">
        <v>0</v>
      </c>
      <c r="M437" t="n">
        <v>0</v>
      </c>
      <c r="N437" t="n">
        <v>0</v>
      </c>
      <c r="O437" t="n">
        <v>0</v>
      </c>
      <c r="P437" t="n">
        <v>0</v>
      </c>
      <c r="Q437" t="n">
        <v>0</v>
      </c>
      <c r="R437" s="2" t="inlineStr"/>
    </row>
    <row r="438" ht="15" customHeight="1">
      <c r="A438" t="inlineStr">
        <is>
          <t>A 44031-2025</t>
        </is>
      </c>
      <c r="B438" s="1" t="n">
        <v>45915.49019675926</v>
      </c>
      <c r="C438" s="1" t="n">
        <v>45986</v>
      </c>
      <c r="D438" t="inlineStr">
        <is>
          <t>JÄMTLANDS LÄN</t>
        </is>
      </c>
      <c r="E438" t="inlineStr">
        <is>
          <t>BERG</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52562-2025</t>
        </is>
      </c>
      <c r="B439" s="1" t="n">
        <v>45954.57357638889</v>
      </c>
      <c r="C439" s="1" t="n">
        <v>45986</v>
      </c>
      <c r="D439" t="inlineStr">
        <is>
          <t>JÄMTLANDS LÄN</t>
        </is>
      </c>
      <c r="E439" t="inlineStr">
        <is>
          <t>BERG</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43968-2025</t>
        </is>
      </c>
      <c r="B440" s="1" t="n">
        <v>45915</v>
      </c>
      <c r="C440" s="1" t="n">
        <v>45986</v>
      </c>
      <c r="D440" t="inlineStr">
        <is>
          <t>JÄMTLANDS LÄN</t>
        </is>
      </c>
      <c r="E440" t="inlineStr">
        <is>
          <t>BERG</t>
        </is>
      </c>
      <c r="G440" t="n">
        <v>2</v>
      </c>
      <c r="H440" t="n">
        <v>0</v>
      </c>
      <c r="I440" t="n">
        <v>0</v>
      </c>
      <c r="J440" t="n">
        <v>0</v>
      </c>
      <c r="K440" t="n">
        <v>0</v>
      </c>
      <c r="L440" t="n">
        <v>0</v>
      </c>
      <c r="M440" t="n">
        <v>0</v>
      </c>
      <c r="N440" t="n">
        <v>0</v>
      </c>
      <c r="O440" t="n">
        <v>0</v>
      </c>
      <c r="P440" t="n">
        <v>0</v>
      </c>
      <c r="Q440" t="n">
        <v>0</v>
      </c>
      <c r="R440" s="2" t="inlineStr"/>
    </row>
    <row r="441" ht="15" customHeight="1">
      <c r="A441" t="inlineStr">
        <is>
          <t>A 44303-2025</t>
        </is>
      </c>
      <c r="B441" s="1" t="n">
        <v>45915</v>
      </c>
      <c r="C441" s="1" t="n">
        <v>45986</v>
      </c>
      <c r="D441" t="inlineStr">
        <is>
          <t>JÄMTLANDS LÄN</t>
        </is>
      </c>
      <c r="E441" t="inlineStr">
        <is>
          <t>BERG</t>
        </is>
      </c>
      <c r="G441" t="n">
        <v>1.3</v>
      </c>
      <c r="H441" t="n">
        <v>0</v>
      </c>
      <c r="I441" t="n">
        <v>0</v>
      </c>
      <c r="J441" t="n">
        <v>0</v>
      </c>
      <c r="K441" t="n">
        <v>0</v>
      </c>
      <c r="L441" t="n">
        <v>0</v>
      </c>
      <c r="M441" t="n">
        <v>0</v>
      </c>
      <c r="N441" t="n">
        <v>0</v>
      </c>
      <c r="O441" t="n">
        <v>0</v>
      </c>
      <c r="P441" t="n">
        <v>0</v>
      </c>
      <c r="Q441" t="n">
        <v>0</v>
      </c>
      <c r="R441" s="2" t="inlineStr"/>
    </row>
    <row r="442" ht="15" customHeight="1">
      <c r="A442" t="inlineStr">
        <is>
          <t>A 22297-2022</t>
        </is>
      </c>
      <c r="B442" s="1" t="n">
        <v>44712</v>
      </c>
      <c r="C442" s="1" t="n">
        <v>45986</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53305-2025</t>
        </is>
      </c>
      <c r="B443" s="1" t="n">
        <v>45959.334375</v>
      </c>
      <c r="C443" s="1" t="n">
        <v>45986</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44572-2025</t>
        </is>
      </c>
      <c r="B444" s="1" t="n">
        <v>45917</v>
      </c>
      <c r="C444" s="1" t="n">
        <v>45986</v>
      </c>
      <c r="D444" t="inlineStr">
        <is>
          <t>JÄMTLANDS LÄN</t>
        </is>
      </c>
      <c r="E444" t="inlineStr">
        <is>
          <t>BERG</t>
        </is>
      </c>
      <c r="G444" t="n">
        <v>1.8</v>
      </c>
      <c r="H444" t="n">
        <v>0</v>
      </c>
      <c r="I444" t="n">
        <v>0</v>
      </c>
      <c r="J444" t="n">
        <v>0</v>
      </c>
      <c r="K444" t="n">
        <v>0</v>
      </c>
      <c r="L444" t="n">
        <v>0</v>
      </c>
      <c r="M444" t="n">
        <v>0</v>
      </c>
      <c r="N444" t="n">
        <v>0</v>
      </c>
      <c r="O444" t="n">
        <v>0</v>
      </c>
      <c r="P444" t="n">
        <v>0</v>
      </c>
      <c r="Q444" t="n">
        <v>0</v>
      </c>
      <c r="R444" s="2" t="inlineStr"/>
    </row>
    <row r="445" ht="15" customHeight="1">
      <c r="A445" t="inlineStr">
        <is>
          <t>A 27603-2025</t>
        </is>
      </c>
      <c r="B445" s="1" t="n">
        <v>45813.53174768519</v>
      </c>
      <c r="C445" s="1" t="n">
        <v>45986</v>
      </c>
      <c r="D445" t="inlineStr">
        <is>
          <t>JÄMTLANDS LÄN</t>
        </is>
      </c>
      <c r="E445" t="inlineStr">
        <is>
          <t>BERG</t>
        </is>
      </c>
      <c r="F445" t="inlineStr">
        <is>
          <t>SCA</t>
        </is>
      </c>
      <c r="G445" t="n">
        <v>11.3</v>
      </c>
      <c r="H445" t="n">
        <v>0</v>
      </c>
      <c r="I445" t="n">
        <v>0</v>
      </c>
      <c r="J445" t="n">
        <v>0</v>
      </c>
      <c r="K445" t="n">
        <v>0</v>
      </c>
      <c r="L445" t="n">
        <v>0</v>
      </c>
      <c r="M445" t="n">
        <v>0</v>
      </c>
      <c r="N445" t="n">
        <v>0</v>
      </c>
      <c r="O445" t="n">
        <v>0</v>
      </c>
      <c r="P445" t="n">
        <v>0</v>
      </c>
      <c r="Q445" t="n">
        <v>0</v>
      </c>
      <c r="R445" s="2" t="inlineStr"/>
    </row>
    <row r="446" ht="15" customHeight="1">
      <c r="A446" t="inlineStr">
        <is>
          <t>A 27569-2025</t>
        </is>
      </c>
      <c r="B446" s="1" t="n">
        <v>45813.49018518518</v>
      </c>
      <c r="C446" s="1" t="n">
        <v>45986</v>
      </c>
      <c r="D446" t="inlineStr">
        <is>
          <t>JÄMTLANDS LÄN</t>
        </is>
      </c>
      <c r="E446" t="inlineStr">
        <is>
          <t>BERG</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27312-2025</t>
        </is>
      </c>
      <c r="B447" s="1" t="n">
        <v>45812.58002314815</v>
      </c>
      <c r="C447" s="1" t="n">
        <v>45986</v>
      </c>
      <c r="D447" t="inlineStr">
        <is>
          <t>JÄMTLANDS LÄN</t>
        </is>
      </c>
      <c r="E447" t="inlineStr">
        <is>
          <t>BERG</t>
        </is>
      </c>
      <c r="G447" t="n">
        <v>6</v>
      </c>
      <c r="H447" t="n">
        <v>0</v>
      </c>
      <c r="I447" t="n">
        <v>0</v>
      </c>
      <c r="J447" t="n">
        <v>0</v>
      </c>
      <c r="K447" t="n">
        <v>0</v>
      </c>
      <c r="L447" t="n">
        <v>0</v>
      </c>
      <c r="M447" t="n">
        <v>0</v>
      </c>
      <c r="N447" t="n">
        <v>0</v>
      </c>
      <c r="O447" t="n">
        <v>0</v>
      </c>
      <c r="P447" t="n">
        <v>0</v>
      </c>
      <c r="Q447" t="n">
        <v>0</v>
      </c>
      <c r="R447" s="2" t="inlineStr"/>
    </row>
    <row r="448" ht="15" customHeight="1">
      <c r="A448" t="inlineStr">
        <is>
          <t>A 53349-2025</t>
        </is>
      </c>
      <c r="B448" s="1" t="n">
        <v>45959.43579861111</v>
      </c>
      <c r="C448" s="1" t="n">
        <v>45986</v>
      </c>
      <c r="D448" t="inlineStr">
        <is>
          <t>JÄMTLANDS LÄN</t>
        </is>
      </c>
      <c r="E448" t="inlineStr">
        <is>
          <t>BERG</t>
        </is>
      </c>
      <c r="G448" t="n">
        <v>1.8</v>
      </c>
      <c r="H448" t="n">
        <v>0</v>
      </c>
      <c r="I448" t="n">
        <v>0</v>
      </c>
      <c r="J448" t="n">
        <v>0</v>
      </c>
      <c r="K448" t="n">
        <v>0</v>
      </c>
      <c r="L448" t="n">
        <v>0</v>
      </c>
      <c r="M448" t="n">
        <v>0</v>
      </c>
      <c r="N448" t="n">
        <v>0</v>
      </c>
      <c r="O448" t="n">
        <v>0</v>
      </c>
      <c r="P448" t="n">
        <v>0</v>
      </c>
      <c r="Q448" t="n">
        <v>0</v>
      </c>
      <c r="R448" s="2" t="inlineStr"/>
    </row>
    <row r="449" ht="15" customHeight="1">
      <c r="A449" t="inlineStr">
        <is>
          <t>A 53155-2025</t>
        </is>
      </c>
      <c r="B449" s="1" t="n">
        <v>45958.49011574074</v>
      </c>
      <c r="C449" s="1" t="n">
        <v>45986</v>
      </c>
      <c r="D449" t="inlineStr">
        <is>
          <t>JÄMTLANDS LÄN</t>
        </is>
      </c>
      <c r="E449" t="inlineStr">
        <is>
          <t>BERG</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53157-2025</t>
        </is>
      </c>
      <c r="B450" s="1" t="n">
        <v>45958.49056712963</v>
      </c>
      <c r="C450" s="1" t="n">
        <v>45986</v>
      </c>
      <c r="D450" t="inlineStr">
        <is>
          <t>JÄMTLANDS LÄN</t>
        </is>
      </c>
      <c r="E450" t="inlineStr">
        <is>
          <t>BERG</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61251-2022</t>
        </is>
      </c>
      <c r="B451" s="1" t="n">
        <v>44909</v>
      </c>
      <c r="C451" s="1" t="n">
        <v>45986</v>
      </c>
      <c r="D451" t="inlineStr">
        <is>
          <t>JÄMTLANDS LÄN</t>
        </is>
      </c>
      <c r="E451" t="inlineStr">
        <is>
          <t>BERG</t>
        </is>
      </c>
      <c r="G451" t="n">
        <v>3</v>
      </c>
      <c r="H451" t="n">
        <v>0</v>
      </c>
      <c r="I451" t="n">
        <v>0</v>
      </c>
      <c r="J451" t="n">
        <v>0</v>
      </c>
      <c r="K451" t="n">
        <v>0</v>
      </c>
      <c r="L451" t="n">
        <v>0</v>
      </c>
      <c r="M451" t="n">
        <v>0</v>
      </c>
      <c r="N451" t="n">
        <v>0</v>
      </c>
      <c r="O451" t="n">
        <v>0</v>
      </c>
      <c r="P451" t="n">
        <v>0</v>
      </c>
      <c r="Q451" t="n">
        <v>0</v>
      </c>
      <c r="R451" s="2" t="inlineStr"/>
    </row>
    <row r="452" ht="15" customHeight="1">
      <c r="A452" t="inlineStr">
        <is>
          <t>A 61255-2022</t>
        </is>
      </c>
      <c r="B452" s="1" t="n">
        <v>44909</v>
      </c>
      <c r="C452" s="1" t="n">
        <v>45986</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47626-2023</t>
        </is>
      </c>
      <c r="B453" s="1" t="n">
        <v>45203</v>
      </c>
      <c r="C453" s="1" t="n">
        <v>45986</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60331-2023</t>
        </is>
      </c>
      <c r="B454" s="1" t="n">
        <v>45258</v>
      </c>
      <c r="C454" s="1" t="n">
        <v>45986</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27737-2025</t>
        </is>
      </c>
      <c r="B455" s="1" t="n">
        <v>45815.34414351852</v>
      </c>
      <c r="C455" s="1" t="n">
        <v>45986</v>
      </c>
      <c r="D455" t="inlineStr">
        <is>
          <t>JÄMTLANDS LÄN</t>
        </is>
      </c>
      <c r="E455" t="inlineStr">
        <is>
          <t>BERG</t>
        </is>
      </c>
      <c r="F455" t="inlineStr">
        <is>
          <t>SCA</t>
        </is>
      </c>
      <c r="G455" t="n">
        <v>10.9</v>
      </c>
      <c r="H455" t="n">
        <v>0</v>
      </c>
      <c r="I455" t="n">
        <v>0</v>
      </c>
      <c r="J455" t="n">
        <v>0</v>
      </c>
      <c r="K455" t="n">
        <v>0</v>
      </c>
      <c r="L455" t="n">
        <v>0</v>
      </c>
      <c r="M455" t="n">
        <v>0</v>
      </c>
      <c r="N455" t="n">
        <v>0</v>
      </c>
      <c r="O455" t="n">
        <v>0</v>
      </c>
      <c r="P455" t="n">
        <v>0</v>
      </c>
      <c r="Q455" t="n">
        <v>0</v>
      </c>
      <c r="R455" s="2" t="inlineStr"/>
    </row>
    <row r="456" ht="15" customHeight="1">
      <c r="A456" t="inlineStr">
        <is>
          <t>A 47083-2024</t>
        </is>
      </c>
      <c r="B456" s="1" t="n">
        <v>45586.50625</v>
      </c>
      <c r="C456" s="1" t="n">
        <v>45986</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28079-2025</t>
        </is>
      </c>
      <c r="B457" s="1" t="n">
        <v>45817.69681712963</v>
      </c>
      <c r="C457" s="1" t="n">
        <v>45986</v>
      </c>
      <c r="D457" t="inlineStr">
        <is>
          <t>JÄMTLANDS LÄN</t>
        </is>
      </c>
      <c r="E457" t="inlineStr">
        <is>
          <t>BERG</t>
        </is>
      </c>
      <c r="G457" t="n">
        <v>3.7</v>
      </c>
      <c r="H457" t="n">
        <v>0</v>
      </c>
      <c r="I457" t="n">
        <v>0</v>
      </c>
      <c r="J457" t="n">
        <v>0</v>
      </c>
      <c r="K457" t="n">
        <v>0</v>
      </c>
      <c r="L457" t="n">
        <v>0</v>
      </c>
      <c r="M457" t="n">
        <v>0</v>
      </c>
      <c r="N457" t="n">
        <v>0</v>
      </c>
      <c r="O457" t="n">
        <v>0</v>
      </c>
      <c r="P457" t="n">
        <v>0</v>
      </c>
      <c r="Q457" t="n">
        <v>0</v>
      </c>
      <c r="R457" s="2" t="inlineStr"/>
    </row>
    <row r="458" ht="15" customHeight="1">
      <c r="A458" t="inlineStr">
        <is>
          <t>A 28077-2025</t>
        </is>
      </c>
      <c r="B458" s="1" t="n">
        <v>45817.68596064814</v>
      </c>
      <c r="C458" s="1" t="n">
        <v>45986</v>
      </c>
      <c r="D458" t="inlineStr">
        <is>
          <t>JÄMTLANDS LÄN</t>
        </is>
      </c>
      <c r="E458" t="inlineStr">
        <is>
          <t>BERG</t>
        </is>
      </c>
      <c r="G458" t="n">
        <v>6</v>
      </c>
      <c r="H458" t="n">
        <v>0</v>
      </c>
      <c r="I458" t="n">
        <v>0</v>
      </c>
      <c r="J458" t="n">
        <v>0</v>
      </c>
      <c r="K458" t="n">
        <v>0</v>
      </c>
      <c r="L458" t="n">
        <v>0</v>
      </c>
      <c r="M458" t="n">
        <v>0</v>
      </c>
      <c r="N458" t="n">
        <v>0</v>
      </c>
      <c r="O458" t="n">
        <v>0</v>
      </c>
      <c r="P458" t="n">
        <v>0</v>
      </c>
      <c r="Q458" t="n">
        <v>0</v>
      </c>
      <c r="R458" s="2" t="inlineStr"/>
    </row>
    <row r="459" ht="15" customHeight="1">
      <c r="A459" t="inlineStr">
        <is>
          <t>A 53085-2025</t>
        </is>
      </c>
      <c r="B459" s="1" t="n">
        <v>45958.40675925926</v>
      </c>
      <c r="C459" s="1" t="n">
        <v>45986</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58157-2021</t>
        </is>
      </c>
      <c r="B460" s="1" t="n">
        <v>44487.60703703704</v>
      </c>
      <c r="C460" s="1" t="n">
        <v>45986</v>
      </c>
      <c r="D460" t="inlineStr">
        <is>
          <t>JÄMTLANDS LÄN</t>
        </is>
      </c>
      <c r="E460" t="inlineStr">
        <is>
          <t>BERG</t>
        </is>
      </c>
      <c r="G460" t="n">
        <v>4.5</v>
      </c>
      <c r="H460" t="n">
        <v>0</v>
      </c>
      <c r="I460" t="n">
        <v>0</v>
      </c>
      <c r="J460" t="n">
        <v>0</v>
      </c>
      <c r="K460" t="n">
        <v>0</v>
      </c>
      <c r="L460" t="n">
        <v>0</v>
      </c>
      <c r="M460" t="n">
        <v>0</v>
      </c>
      <c r="N460" t="n">
        <v>0</v>
      </c>
      <c r="O460" t="n">
        <v>0</v>
      </c>
      <c r="P460" t="n">
        <v>0</v>
      </c>
      <c r="Q460" t="n">
        <v>0</v>
      </c>
      <c r="R460" s="2" t="inlineStr"/>
    </row>
    <row r="461" ht="15" customHeight="1">
      <c r="A461" t="inlineStr">
        <is>
          <t>A 27716-2025</t>
        </is>
      </c>
      <c r="B461" s="1" t="n">
        <v>45813.961875</v>
      </c>
      <c r="C461" s="1" t="n">
        <v>45986</v>
      </c>
      <c r="D461" t="inlineStr">
        <is>
          <t>JÄMTLANDS LÄN</t>
        </is>
      </c>
      <c r="E461" t="inlineStr">
        <is>
          <t>BERG</t>
        </is>
      </c>
      <c r="G461" t="n">
        <v>6.7</v>
      </c>
      <c r="H461" t="n">
        <v>0</v>
      </c>
      <c r="I461" t="n">
        <v>0</v>
      </c>
      <c r="J461" t="n">
        <v>0</v>
      </c>
      <c r="K461" t="n">
        <v>0</v>
      </c>
      <c r="L461" t="n">
        <v>0</v>
      </c>
      <c r="M461" t="n">
        <v>0</v>
      </c>
      <c r="N461" t="n">
        <v>0</v>
      </c>
      <c r="O461" t="n">
        <v>0</v>
      </c>
      <c r="P461" t="n">
        <v>0</v>
      </c>
      <c r="Q461" t="n">
        <v>0</v>
      </c>
      <c r="R461" s="2" t="inlineStr"/>
    </row>
    <row r="462" ht="15" customHeight="1">
      <c r="A462" t="inlineStr">
        <is>
          <t>A 44697-2025</t>
        </is>
      </c>
      <c r="B462" s="1" t="n">
        <v>45917.59888888889</v>
      </c>
      <c r="C462" s="1" t="n">
        <v>45986</v>
      </c>
      <c r="D462" t="inlineStr">
        <is>
          <t>JÄMTLANDS LÄN</t>
        </is>
      </c>
      <c r="E462" t="inlineStr">
        <is>
          <t>BERG</t>
        </is>
      </c>
      <c r="G462" t="n">
        <v>2.6</v>
      </c>
      <c r="H462" t="n">
        <v>0</v>
      </c>
      <c r="I462" t="n">
        <v>0</v>
      </c>
      <c r="J462" t="n">
        <v>0</v>
      </c>
      <c r="K462" t="n">
        <v>0</v>
      </c>
      <c r="L462" t="n">
        <v>0</v>
      </c>
      <c r="M462" t="n">
        <v>0</v>
      </c>
      <c r="N462" t="n">
        <v>0</v>
      </c>
      <c r="O462" t="n">
        <v>0</v>
      </c>
      <c r="P462" t="n">
        <v>0</v>
      </c>
      <c r="Q462" t="n">
        <v>0</v>
      </c>
      <c r="R462" s="2" t="inlineStr"/>
    </row>
    <row r="463" ht="15" customHeight="1">
      <c r="A463" t="inlineStr">
        <is>
          <t>A 27750-2025</t>
        </is>
      </c>
      <c r="B463" s="1" t="n">
        <v>45815.68543981481</v>
      </c>
      <c r="C463" s="1" t="n">
        <v>45986</v>
      </c>
      <c r="D463" t="inlineStr">
        <is>
          <t>JÄMTLANDS LÄN</t>
        </is>
      </c>
      <c r="E463" t="inlineStr">
        <is>
          <t>BERG</t>
        </is>
      </c>
      <c r="G463" t="n">
        <v>2.4</v>
      </c>
      <c r="H463" t="n">
        <v>0</v>
      </c>
      <c r="I463" t="n">
        <v>0</v>
      </c>
      <c r="J463" t="n">
        <v>0</v>
      </c>
      <c r="K463" t="n">
        <v>0</v>
      </c>
      <c r="L463" t="n">
        <v>0</v>
      </c>
      <c r="M463" t="n">
        <v>0</v>
      </c>
      <c r="N463" t="n">
        <v>0</v>
      </c>
      <c r="O463" t="n">
        <v>0</v>
      </c>
      <c r="P463" t="n">
        <v>0</v>
      </c>
      <c r="Q463" t="n">
        <v>0</v>
      </c>
      <c r="R463" s="2" t="inlineStr"/>
    </row>
    <row r="464" ht="15" customHeight="1">
      <c r="A464" t="inlineStr">
        <is>
          <t>A 26944-2022</t>
        </is>
      </c>
      <c r="B464" s="1" t="n">
        <v>44740</v>
      </c>
      <c r="C464" s="1" t="n">
        <v>45986</v>
      </c>
      <c r="D464" t="inlineStr">
        <is>
          <t>JÄMTLANDS LÄN</t>
        </is>
      </c>
      <c r="E464" t="inlineStr">
        <is>
          <t>BERG</t>
        </is>
      </c>
      <c r="G464" t="n">
        <v>3.3</v>
      </c>
      <c r="H464" t="n">
        <v>0</v>
      </c>
      <c r="I464" t="n">
        <v>0</v>
      </c>
      <c r="J464" t="n">
        <v>0</v>
      </c>
      <c r="K464" t="n">
        <v>0</v>
      </c>
      <c r="L464" t="n">
        <v>0</v>
      </c>
      <c r="M464" t="n">
        <v>0</v>
      </c>
      <c r="N464" t="n">
        <v>0</v>
      </c>
      <c r="O464" t="n">
        <v>0</v>
      </c>
      <c r="P464" t="n">
        <v>0</v>
      </c>
      <c r="Q464" t="n">
        <v>0</v>
      </c>
      <c r="R464" s="2" t="inlineStr"/>
    </row>
    <row r="465" ht="15" customHeight="1">
      <c r="A465" t="inlineStr">
        <is>
          <t>A 62555-2023</t>
        </is>
      </c>
      <c r="B465" s="1" t="n">
        <v>45268.9262962963</v>
      </c>
      <c r="C465" s="1" t="n">
        <v>45986</v>
      </c>
      <c r="D465" t="inlineStr">
        <is>
          <t>JÄMTLANDS LÄN</t>
        </is>
      </c>
      <c r="E465" t="inlineStr">
        <is>
          <t>BERG</t>
        </is>
      </c>
      <c r="G465" t="n">
        <v>5</v>
      </c>
      <c r="H465" t="n">
        <v>0</v>
      </c>
      <c r="I465" t="n">
        <v>0</v>
      </c>
      <c r="J465" t="n">
        <v>0</v>
      </c>
      <c r="K465" t="n">
        <v>0</v>
      </c>
      <c r="L465" t="n">
        <v>0</v>
      </c>
      <c r="M465" t="n">
        <v>0</v>
      </c>
      <c r="N465" t="n">
        <v>0</v>
      </c>
      <c r="O465" t="n">
        <v>0</v>
      </c>
      <c r="P465" t="n">
        <v>0</v>
      </c>
      <c r="Q465" t="n">
        <v>0</v>
      </c>
      <c r="R465" s="2" t="inlineStr"/>
    </row>
    <row r="466" ht="15" customHeight="1">
      <c r="A466" t="inlineStr">
        <is>
          <t>A 47407-2024</t>
        </is>
      </c>
      <c r="B466" s="1" t="n">
        <v>45587.47828703704</v>
      </c>
      <c r="C466" s="1" t="n">
        <v>45986</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53712-2025</t>
        </is>
      </c>
      <c r="B467" s="1" t="n">
        <v>45960.61547453704</v>
      </c>
      <c r="C467" s="1" t="n">
        <v>45986</v>
      </c>
      <c r="D467" t="inlineStr">
        <is>
          <t>JÄMTLANDS LÄN</t>
        </is>
      </c>
      <c r="E467" t="inlineStr">
        <is>
          <t>BERG</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13524-2024</t>
        </is>
      </c>
      <c r="B468" s="1" t="n">
        <v>45387.78174768519</v>
      </c>
      <c r="C468" s="1" t="n">
        <v>45986</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28232-2025</t>
        </is>
      </c>
      <c r="B469" s="1" t="n">
        <v>45818.48989583334</v>
      </c>
      <c r="C469" s="1" t="n">
        <v>45986</v>
      </c>
      <c r="D469" t="inlineStr">
        <is>
          <t>JÄMTLANDS LÄN</t>
        </is>
      </c>
      <c r="E469" t="inlineStr">
        <is>
          <t>BERG</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28257-2025</t>
        </is>
      </c>
      <c r="B470" s="1" t="n">
        <v>45818.55263888889</v>
      </c>
      <c r="C470" s="1" t="n">
        <v>45986</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53778-2025</t>
        </is>
      </c>
      <c r="B471" s="1" t="n">
        <v>45960.69841435185</v>
      </c>
      <c r="C471" s="1" t="n">
        <v>45986</v>
      </c>
      <c r="D471" t="inlineStr">
        <is>
          <t>JÄMTLANDS LÄN</t>
        </is>
      </c>
      <c r="E471" t="inlineStr">
        <is>
          <t>BERG</t>
        </is>
      </c>
      <c r="F471" t="inlineStr">
        <is>
          <t>SCA</t>
        </is>
      </c>
      <c r="G471" t="n">
        <v>18.7</v>
      </c>
      <c r="H471" t="n">
        <v>0</v>
      </c>
      <c r="I471" t="n">
        <v>0</v>
      </c>
      <c r="J471" t="n">
        <v>0</v>
      </c>
      <c r="K471" t="n">
        <v>0</v>
      </c>
      <c r="L471" t="n">
        <v>0</v>
      </c>
      <c r="M471" t="n">
        <v>0</v>
      </c>
      <c r="N471" t="n">
        <v>0</v>
      </c>
      <c r="O471" t="n">
        <v>0</v>
      </c>
      <c r="P471" t="n">
        <v>0</v>
      </c>
      <c r="Q471" t="n">
        <v>0</v>
      </c>
      <c r="R471" s="2" t="inlineStr"/>
      <c r="U471">
        <f>HYPERLINK("https://klasma.github.io/Logging_2326/knärot/A 53778-2025 karta knärot.png", "A 53778-2025")</f>
        <v/>
      </c>
      <c r="V471">
        <f>HYPERLINK("https://klasma.github.io/Logging_2326/klagomål/A 53778-2025 FSC-klagomål.docx", "A 53778-2025")</f>
        <v/>
      </c>
      <c r="W471">
        <f>HYPERLINK("https://klasma.github.io/Logging_2326/klagomålsmail/A 53778-2025 FSC-klagomål mail.docx", "A 53778-2025")</f>
        <v/>
      </c>
      <c r="X471">
        <f>HYPERLINK("https://klasma.github.io/Logging_2326/tillsyn/A 53778-2025 tillsynsbegäran.docx", "A 53778-2025")</f>
        <v/>
      </c>
      <c r="Y471">
        <f>HYPERLINK("https://klasma.github.io/Logging_2326/tillsynsmail/A 53778-2025 tillsynsbegäran mail.docx", "A 53778-2025")</f>
        <v/>
      </c>
    </row>
    <row r="472" ht="15" customHeight="1">
      <c r="A472" t="inlineStr">
        <is>
          <t>A 45249-2025</t>
        </is>
      </c>
      <c r="B472" s="1" t="n">
        <v>45919.61225694444</v>
      </c>
      <c r="C472" s="1" t="n">
        <v>45986</v>
      </c>
      <c r="D472" t="inlineStr">
        <is>
          <t>JÄMTLANDS LÄN</t>
        </is>
      </c>
      <c r="E472" t="inlineStr">
        <is>
          <t>BERG</t>
        </is>
      </c>
      <c r="G472" t="n">
        <v>1.3</v>
      </c>
      <c r="H472" t="n">
        <v>0</v>
      </c>
      <c r="I472" t="n">
        <v>0</v>
      </c>
      <c r="J472" t="n">
        <v>0</v>
      </c>
      <c r="K472" t="n">
        <v>0</v>
      </c>
      <c r="L472" t="n">
        <v>0</v>
      </c>
      <c r="M472" t="n">
        <v>0</v>
      </c>
      <c r="N472" t="n">
        <v>0</v>
      </c>
      <c r="O472" t="n">
        <v>0</v>
      </c>
      <c r="P472" t="n">
        <v>0</v>
      </c>
      <c r="Q472" t="n">
        <v>0</v>
      </c>
      <c r="R472" s="2" t="inlineStr"/>
    </row>
    <row r="473" ht="15" customHeight="1">
      <c r="A473" t="inlineStr">
        <is>
          <t>A 28657-2025</t>
        </is>
      </c>
      <c r="B473" s="1" t="n">
        <v>45819.65709490741</v>
      </c>
      <c r="C473" s="1" t="n">
        <v>45986</v>
      </c>
      <c r="D473" t="inlineStr">
        <is>
          <t>JÄMTLANDS LÄN</t>
        </is>
      </c>
      <c r="E473" t="inlineStr">
        <is>
          <t>BERG</t>
        </is>
      </c>
      <c r="G473" t="n">
        <v>2.4</v>
      </c>
      <c r="H473" t="n">
        <v>0</v>
      </c>
      <c r="I473" t="n">
        <v>0</v>
      </c>
      <c r="J473" t="n">
        <v>0</v>
      </c>
      <c r="K473" t="n">
        <v>0</v>
      </c>
      <c r="L473" t="n">
        <v>0</v>
      </c>
      <c r="M473" t="n">
        <v>0</v>
      </c>
      <c r="N473" t="n">
        <v>0</v>
      </c>
      <c r="O473" t="n">
        <v>0</v>
      </c>
      <c r="P473" t="n">
        <v>0</v>
      </c>
      <c r="Q473" t="n">
        <v>0</v>
      </c>
      <c r="R473" s="2" t="inlineStr"/>
    </row>
    <row r="474" ht="15" customHeight="1">
      <c r="A474" t="inlineStr">
        <is>
          <t>A 45171-2025</t>
        </is>
      </c>
      <c r="B474" s="1" t="n">
        <v>45919.50256944444</v>
      </c>
      <c r="C474" s="1" t="n">
        <v>45986</v>
      </c>
      <c r="D474" t="inlineStr">
        <is>
          <t>JÄMTLANDS LÄN</t>
        </is>
      </c>
      <c r="E474" t="inlineStr">
        <is>
          <t>BERG</t>
        </is>
      </c>
      <c r="F474" t="inlineStr">
        <is>
          <t>Övriga Aktiebolag</t>
        </is>
      </c>
      <c r="G474" t="n">
        <v>10.7</v>
      </c>
      <c r="H474" t="n">
        <v>0</v>
      </c>
      <c r="I474" t="n">
        <v>0</v>
      </c>
      <c r="J474" t="n">
        <v>0</v>
      </c>
      <c r="K474" t="n">
        <v>0</v>
      </c>
      <c r="L474" t="n">
        <v>0</v>
      </c>
      <c r="M474" t="n">
        <v>0</v>
      </c>
      <c r="N474" t="n">
        <v>0</v>
      </c>
      <c r="O474" t="n">
        <v>0</v>
      </c>
      <c r="P474" t="n">
        <v>0</v>
      </c>
      <c r="Q474" t="n">
        <v>0</v>
      </c>
      <c r="R474" s="2" t="inlineStr"/>
    </row>
    <row r="475" ht="15" customHeight="1">
      <c r="A475" t="inlineStr">
        <is>
          <t>A 28196-2025</t>
        </is>
      </c>
      <c r="B475" s="1" t="n">
        <v>45818.42753472222</v>
      </c>
      <c r="C475" s="1" t="n">
        <v>45986</v>
      </c>
      <c r="D475" t="inlineStr">
        <is>
          <t>JÄMTLANDS LÄN</t>
        </is>
      </c>
      <c r="E475" t="inlineStr">
        <is>
          <t>BERG</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7040-2024</t>
        </is>
      </c>
      <c r="B476" s="1" t="n">
        <v>45343</v>
      </c>
      <c r="C476" s="1" t="n">
        <v>45986</v>
      </c>
      <c r="D476" t="inlineStr">
        <is>
          <t>JÄMTLANDS LÄN</t>
        </is>
      </c>
      <c r="E476" t="inlineStr">
        <is>
          <t>BERG</t>
        </is>
      </c>
      <c r="G476" t="n">
        <v>15.9</v>
      </c>
      <c r="H476" t="n">
        <v>0</v>
      </c>
      <c r="I476" t="n">
        <v>0</v>
      </c>
      <c r="J476" t="n">
        <v>0</v>
      </c>
      <c r="K476" t="n">
        <v>0</v>
      </c>
      <c r="L476" t="n">
        <v>0</v>
      </c>
      <c r="M476" t="n">
        <v>0</v>
      </c>
      <c r="N476" t="n">
        <v>0</v>
      </c>
      <c r="O476" t="n">
        <v>0</v>
      </c>
      <c r="P476" t="n">
        <v>0</v>
      </c>
      <c r="Q476" t="n">
        <v>0</v>
      </c>
      <c r="R476" s="2" t="inlineStr"/>
    </row>
    <row r="477" ht="15" customHeight="1">
      <c r="A477" t="inlineStr">
        <is>
          <t>A 28401-2025</t>
        </is>
      </c>
      <c r="B477" s="1" t="n">
        <v>45819.34469907408</v>
      </c>
      <c r="C477" s="1" t="n">
        <v>45986</v>
      </c>
      <c r="D477" t="inlineStr">
        <is>
          <t>JÄMTLANDS LÄN</t>
        </is>
      </c>
      <c r="E477" t="inlineStr">
        <is>
          <t>BERG</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45129-2025</t>
        </is>
      </c>
      <c r="B478" s="1" t="n">
        <v>45919.43584490741</v>
      </c>
      <c r="C478" s="1" t="n">
        <v>45986</v>
      </c>
      <c r="D478" t="inlineStr">
        <is>
          <t>JÄMTLANDS LÄN</t>
        </is>
      </c>
      <c r="E478" t="inlineStr">
        <is>
          <t>BERG</t>
        </is>
      </c>
      <c r="F478" t="inlineStr">
        <is>
          <t>Övriga Aktiebolag</t>
        </is>
      </c>
      <c r="G478" t="n">
        <v>3.3</v>
      </c>
      <c r="H478" t="n">
        <v>0</v>
      </c>
      <c r="I478" t="n">
        <v>0</v>
      </c>
      <c r="J478" t="n">
        <v>0</v>
      </c>
      <c r="K478" t="n">
        <v>0</v>
      </c>
      <c r="L478" t="n">
        <v>0</v>
      </c>
      <c r="M478" t="n">
        <v>0</v>
      </c>
      <c r="N478" t="n">
        <v>0</v>
      </c>
      <c r="O478" t="n">
        <v>0</v>
      </c>
      <c r="P478" t="n">
        <v>0</v>
      </c>
      <c r="Q478" t="n">
        <v>0</v>
      </c>
      <c r="R478" s="2" t="inlineStr"/>
    </row>
    <row r="479" ht="15" customHeight="1">
      <c r="A479" t="inlineStr">
        <is>
          <t>A 28453-2025</t>
        </is>
      </c>
      <c r="B479" s="1" t="n">
        <v>45819.40668981482</v>
      </c>
      <c r="C479" s="1" t="n">
        <v>45986</v>
      </c>
      <c r="D479" t="inlineStr">
        <is>
          <t>JÄMTLANDS LÄN</t>
        </is>
      </c>
      <c r="E479" t="inlineStr">
        <is>
          <t>BERG</t>
        </is>
      </c>
      <c r="G479" t="n">
        <v>4.1</v>
      </c>
      <c r="H479" t="n">
        <v>0</v>
      </c>
      <c r="I479" t="n">
        <v>0</v>
      </c>
      <c r="J479" t="n">
        <v>0</v>
      </c>
      <c r="K479" t="n">
        <v>0</v>
      </c>
      <c r="L479" t="n">
        <v>0</v>
      </c>
      <c r="M479" t="n">
        <v>0</v>
      </c>
      <c r="N479" t="n">
        <v>0</v>
      </c>
      <c r="O479" t="n">
        <v>0</v>
      </c>
      <c r="P479" t="n">
        <v>0</v>
      </c>
      <c r="Q479" t="n">
        <v>0</v>
      </c>
      <c r="R479" s="2" t="inlineStr"/>
    </row>
    <row r="480" ht="15" customHeight="1">
      <c r="A480" t="inlineStr">
        <is>
          <t>A 28157-2025</t>
        </is>
      </c>
      <c r="B480" s="1" t="n">
        <v>45818.36512731481</v>
      </c>
      <c r="C480" s="1" t="n">
        <v>45986</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53610-2025</t>
        </is>
      </c>
      <c r="B481" s="1" t="n">
        <v>45960.46951388889</v>
      </c>
      <c r="C481" s="1" t="n">
        <v>45986</v>
      </c>
      <c r="D481" t="inlineStr">
        <is>
          <t>JÄMTLANDS LÄN</t>
        </is>
      </c>
      <c r="E481" t="inlineStr">
        <is>
          <t>BERG</t>
        </is>
      </c>
      <c r="F481" t="inlineStr">
        <is>
          <t>SCA</t>
        </is>
      </c>
      <c r="G481" t="n">
        <v>30.7</v>
      </c>
      <c r="H481" t="n">
        <v>0</v>
      </c>
      <c r="I481" t="n">
        <v>0</v>
      </c>
      <c r="J481" t="n">
        <v>0</v>
      </c>
      <c r="K481" t="n">
        <v>0</v>
      </c>
      <c r="L481" t="n">
        <v>0</v>
      </c>
      <c r="M481" t="n">
        <v>0</v>
      </c>
      <c r="N481" t="n">
        <v>0</v>
      </c>
      <c r="O481" t="n">
        <v>0</v>
      </c>
      <c r="P481" t="n">
        <v>0</v>
      </c>
      <c r="Q481" t="n">
        <v>0</v>
      </c>
      <c r="R481" s="2" t="inlineStr"/>
    </row>
    <row r="482" ht="15" customHeight="1">
      <c r="A482" t="inlineStr">
        <is>
          <t>A 37248-2023</t>
        </is>
      </c>
      <c r="B482" s="1" t="n">
        <v>45155.954375</v>
      </c>
      <c r="C482" s="1" t="n">
        <v>45986</v>
      </c>
      <c r="D482" t="inlineStr">
        <is>
          <t>JÄMTLANDS LÄN</t>
        </is>
      </c>
      <c r="E482" t="inlineStr">
        <is>
          <t>BERG</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45150-2025</t>
        </is>
      </c>
      <c r="B483" s="1" t="n">
        <v>45919.47131944444</v>
      </c>
      <c r="C483" s="1" t="n">
        <v>45986</v>
      </c>
      <c r="D483" t="inlineStr">
        <is>
          <t>JÄMTLANDS LÄN</t>
        </is>
      </c>
      <c r="E483" t="inlineStr">
        <is>
          <t>BERG</t>
        </is>
      </c>
      <c r="F483" t="inlineStr">
        <is>
          <t>Övriga Aktiebolag</t>
        </is>
      </c>
      <c r="G483" t="n">
        <v>9.6</v>
      </c>
      <c r="H483" t="n">
        <v>0</v>
      </c>
      <c r="I483" t="n">
        <v>0</v>
      </c>
      <c r="J483" t="n">
        <v>0</v>
      </c>
      <c r="K483" t="n">
        <v>0</v>
      </c>
      <c r="L483" t="n">
        <v>0</v>
      </c>
      <c r="M483" t="n">
        <v>0</v>
      </c>
      <c r="N483" t="n">
        <v>0</v>
      </c>
      <c r="O483" t="n">
        <v>0</v>
      </c>
      <c r="P483" t="n">
        <v>0</v>
      </c>
      <c r="Q483" t="n">
        <v>0</v>
      </c>
      <c r="R483" s="2" t="inlineStr"/>
    </row>
    <row r="484" ht="15" customHeight="1">
      <c r="A484" t="inlineStr">
        <is>
          <t>A 44811-2025</t>
        </is>
      </c>
      <c r="B484" s="1" t="n">
        <v>45918.37195601852</v>
      </c>
      <c r="C484" s="1" t="n">
        <v>45986</v>
      </c>
      <c r="D484" t="inlineStr">
        <is>
          <t>JÄMTLANDS LÄN</t>
        </is>
      </c>
      <c r="E484" t="inlineStr">
        <is>
          <t>BERG</t>
        </is>
      </c>
      <c r="G484" t="n">
        <v>1.4</v>
      </c>
      <c r="H484" t="n">
        <v>0</v>
      </c>
      <c r="I484" t="n">
        <v>0</v>
      </c>
      <c r="J484" t="n">
        <v>0</v>
      </c>
      <c r="K484" t="n">
        <v>0</v>
      </c>
      <c r="L484" t="n">
        <v>0</v>
      </c>
      <c r="M484" t="n">
        <v>0</v>
      </c>
      <c r="N484" t="n">
        <v>0</v>
      </c>
      <c r="O484" t="n">
        <v>0</v>
      </c>
      <c r="P484" t="n">
        <v>0</v>
      </c>
      <c r="Q484" t="n">
        <v>0</v>
      </c>
      <c r="R484" s="2" t="inlineStr"/>
    </row>
    <row r="485" ht="15" customHeight="1">
      <c r="A485" t="inlineStr">
        <is>
          <t>A 28454-2025</t>
        </is>
      </c>
      <c r="B485" s="1" t="n">
        <v>45819.40679398148</v>
      </c>
      <c r="C485" s="1" t="n">
        <v>45986</v>
      </c>
      <c r="D485" t="inlineStr">
        <is>
          <t>JÄMTLANDS LÄN</t>
        </is>
      </c>
      <c r="E485" t="inlineStr">
        <is>
          <t>BERG</t>
        </is>
      </c>
      <c r="G485" t="n">
        <v>3.8</v>
      </c>
      <c r="H485" t="n">
        <v>0</v>
      </c>
      <c r="I485" t="n">
        <v>0</v>
      </c>
      <c r="J485" t="n">
        <v>0</v>
      </c>
      <c r="K485" t="n">
        <v>0</v>
      </c>
      <c r="L485" t="n">
        <v>0</v>
      </c>
      <c r="M485" t="n">
        <v>0</v>
      </c>
      <c r="N485" t="n">
        <v>0</v>
      </c>
      <c r="O485" t="n">
        <v>0</v>
      </c>
      <c r="P485" t="n">
        <v>0</v>
      </c>
      <c r="Q485" t="n">
        <v>0</v>
      </c>
      <c r="R485" s="2" t="inlineStr"/>
    </row>
    <row r="486" ht="15" customHeight="1">
      <c r="A486" t="inlineStr">
        <is>
          <t>A 4527-2025</t>
        </is>
      </c>
      <c r="B486" s="1" t="n">
        <v>45686</v>
      </c>
      <c r="C486" s="1" t="n">
        <v>45986</v>
      </c>
      <c r="D486" t="inlineStr">
        <is>
          <t>JÄMTLANDS LÄN</t>
        </is>
      </c>
      <c r="E486" t="inlineStr">
        <is>
          <t>BERG</t>
        </is>
      </c>
      <c r="G486" t="n">
        <v>17.8</v>
      </c>
      <c r="H486" t="n">
        <v>0</v>
      </c>
      <c r="I486" t="n">
        <v>0</v>
      </c>
      <c r="J486" t="n">
        <v>0</v>
      </c>
      <c r="K486" t="n">
        <v>0</v>
      </c>
      <c r="L486" t="n">
        <v>0</v>
      </c>
      <c r="M486" t="n">
        <v>0</v>
      </c>
      <c r="N486" t="n">
        <v>0</v>
      </c>
      <c r="O486" t="n">
        <v>0</v>
      </c>
      <c r="P486" t="n">
        <v>0</v>
      </c>
      <c r="Q486" t="n">
        <v>0</v>
      </c>
      <c r="R486" s="2" t="inlineStr"/>
    </row>
    <row r="487" ht="15" customHeight="1">
      <c r="A487" t="inlineStr">
        <is>
          <t>A 45109-2025</t>
        </is>
      </c>
      <c r="B487" s="1" t="n">
        <v>45919.41850694444</v>
      </c>
      <c r="C487" s="1" t="n">
        <v>45986</v>
      </c>
      <c r="D487" t="inlineStr">
        <is>
          <t>JÄMTLANDS LÄN</t>
        </is>
      </c>
      <c r="E487" t="inlineStr">
        <is>
          <t>BERG</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45254-2025</t>
        </is>
      </c>
      <c r="B488" s="1" t="n">
        <v>45919.61523148148</v>
      </c>
      <c r="C488" s="1" t="n">
        <v>45986</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53680-2025</t>
        </is>
      </c>
      <c r="B489" s="1" t="n">
        <v>45960.57361111111</v>
      </c>
      <c r="C489" s="1" t="n">
        <v>45986</v>
      </c>
      <c r="D489" t="inlineStr">
        <is>
          <t>JÄMTLANDS LÄN</t>
        </is>
      </c>
      <c r="E489" t="inlineStr">
        <is>
          <t>BERG</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53625-2025</t>
        </is>
      </c>
      <c r="B490" s="1" t="n">
        <v>45960.49020833334</v>
      </c>
      <c r="C490" s="1" t="n">
        <v>45986</v>
      </c>
      <c r="D490" t="inlineStr">
        <is>
          <t>JÄMTLANDS LÄN</t>
        </is>
      </c>
      <c r="E490" t="inlineStr">
        <is>
          <t>BERG</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45640-2025</t>
        </is>
      </c>
      <c r="B491" s="1" t="n">
        <v>45922.961875</v>
      </c>
      <c r="C491" s="1" t="n">
        <v>45986</v>
      </c>
      <c r="D491" t="inlineStr">
        <is>
          <t>JÄMTLANDS LÄN</t>
        </is>
      </c>
      <c r="E491" t="inlineStr">
        <is>
          <t>BERG</t>
        </is>
      </c>
      <c r="G491" t="n">
        <v>2.3</v>
      </c>
      <c r="H491" t="n">
        <v>0</v>
      </c>
      <c r="I491" t="n">
        <v>0</v>
      </c>
      <c r="J491" t="n">
        <v>0</v>
      </c>
      <c r="K491" t="n">
        <v>0</v>
      </c>
      <c r="L491" t="n">
        <v>0</v>
      </c>
      <c r="M491" t="n">
        <v>0</v>
      </c>
      <c r="N491" t="n">
        <v>0</v>
      </c>
      <c r="O491" t="n">
        <v>0</v>
      </c>
      <c r="P491" t="n">
        <v>0</v>
      </c>
      <c r="Q491" t="n">
        <v>0</v>
      </c>
      <c r="R491" s="2" t="inlineStr"/>
    </row>
    <row r="492" ht="15" customHeight="1">
      <c r="A492" t="inlineStr">
        <is>
          <t>A 45568-2025</t>
        </is>
      </c>
      <c r="B492" s="1" t="n">
        <v>45922.65672453704</v>
      </c>
      <c r="C492" s="1" t="n">
        <v>45986</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14226-2021</t>
        </is>
      </c>
      <c r="B493" s="1" t="n">
        <v>44277</v>
      </c>
      <c r="C493" s="1" t="n">
        <v>45986</v>
      </c>
      <c r="D493" t="inlineStr">
        <is>
          <t>JÄMTLANDS LÄN</t>
        </is>
      </c>
      <c r="E493" t="inlineStr">
        <is>
          <t>BERG</t>
        </is>
      </c>
      <c r="G493" t="n">
        <v>23.7</v>
      </c>
      <c r="H493" t="n">
        <v>0</v>
      </c>
      <c r="I493" t="n">
        <v>0</v>
      </c>
      <c r="J493" t="n">
        <v>0</v>
      </c>
      <c r="K493" t="n">
        <v>0</v>
      </c>
      <c r="L493" t="n">
        <v>0</v>
      </c>
      <c r="M493" t="n">
        <v>0</v>
      </c>
      <c r="N493" t="n">
        <v>0</v>
      </c>
      <c r="O493" t="n">
        <v>0</v>
      </c>
      <c r="P493" t="n">
        <v>0</v>
      </c>
      <c r="Q493" t="n">
        <v>0</v>
      </c>
      <c r="R493" s="2" t="inlineStr"/>
    </row>
    <row r="494" ht="15" customHeight="1">
      <c r="A494" t="inlineStr">
        <is>
          <t>A 45570-2025</t>
        </is>
      </c>
      <c r="B494" s="1" t="n">
        <v>45922.65715277778</v>
      </c>
      <c r="C494" s="1" t="n">
        <v>45986</v>
      </c>
      <c r="D494" t="inlineStr">
        <is>
          <t>JÄMTLANDS LÄN</t>
        </is>
      </c>
      <c r="E494" t="inlineStr">
        <is>
          <t>BERG</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38962-2024</t>
        </is>
      </c>
      <c r="B495" s="1" t="n">
        <v>45548.36175925926</v>
      </c>
      <c r="C495" s="1" t="n">
        <v>45986</v>
      </c>
      <c r="D495" t="inlineStr">
        <is>
          <t>JÄMTLANDS LÄN</t>
        </is>
      </c>
      <c r="E495" t="inlineStr">
        <is>
          <t>BERG</t>
        </is>
      </c>
      <c r="G495" t="n">
        <v>2.2</v>
      </c>
      <c r="H495" t="n">
        <v>0</v>
      </c>
      <c r="I495" t="n">
        <v>0</v>
      </c>
      <c r="J495" t="n">
        <v>0</v>
      </c>
      <c r="K495" t="n">
        <v>0</v>
      </c>
      <c r="L495" t="n">
        <v>0</v>
      </c>
      <c r="M495" t="n">
        <v>0</v>
      </c>
      <c r="N495" t="n">
        <v>0</v>
      </c>
      <c r="O495" t="n">
        <v>0</v>
      </c>
      <c r="P495" t="n">
        <v>0</v>
      </c>
      <c r="Q495" t="n">
        <v>0</v>
      </c>
      <c r="R495" s="2" t="inlineStr"/>
    </row>
    <row r="496" ht="15" customHeight="1">
      <c r="A496" t="inlineStr">
        <is>
          <t>A 32879-2024</t>
        </is>
      </c>
      <c r="B496" s="1" t="n">
        <v>45516.68450231481</v>
      </c>
      <c r="C496" s="1" t="n">
        <v>45986</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45459-2025</t>
        </is>
      </c>
      <c r="B497" s="1" t="n">
        <v>45922.49230324074</v>
      </c>
      <c r="C497" s="1" t="n">
        <v>45986</v>
      </c>
      <c r="D497" t="inlineStr">
        <is>
          <t>JÄMTLANDS LÄN</t>
        </is>
      </c>
      <c r="E497" t="inlineStr">
        <is>
          <t>BERG</t>
        </is>
      </c>
      <c r="F497" t="inlineStr">
        <is>
          <t>Kyrkan</t>
        </is>
      </c>
      <c r="G497" t="n">
        <v>8</v>
      </c>
      <c r="H497" t="n">
        <v>0</v>
      </c>
      <c r="I497" t="n">
        <v>0</v>
      </c>
      <c r="J497" t="n">
        <v>0</v>
      </c>
      <c r="K497" t="n">
        <v>0</v>
      </c>
      <c r="L497" t="n">
        <v>0</v>
      </c>
      <c r="M497" t="n">
        <v>0</v>
      </c>
      <c r="N497" t="n">
        <v>0</v>
      </c>
      <c r="O497" t="n">
        <v>0</v>
      </c>
      <c r="P497" t="n">
        <v>0</v>
      </c>
      <c r="Q497" t="n">
        <v>0</v>
      </c>
      <c r="R497" s="2" t="inlineStr"/>
    </row>
    <row r="498" ht="15" customHeight="1">
      <c r="A498" t="inlineStr">
        <is>
          <t>A 45912-2025</t>
        </is>
      </c>
      <c r="B498" s="1" t="n">
        <v>45923</v>
      </c>
      <c r="C498" s="1" t="n">
        <v>45986</v>
      </c>
      <c r="D498" t="inlineStr">
        <is>
          <t>JÄMTLANDS LÄN</t>
        </is>
      </c>
      <c r="E498" t="inlineStr">
        <is>
          <t>BERG</t>
        </is>
      </c>
      <c r="G498" t="n">
        <v>1.1</v>
      </c>
      <c r="H498" t="n">
        <v>0</v>
      </c>
      <c r="I498" t="n">
        <v>0</v>
      </c>
      <c r="J498" t="n">
        <v>0</v>
      </c>
      <c r="K498" t="n">
        <v>0</v>
      </c>
      <c r="L498" t="n">
        <v>0</v>
      </c>
      <c r="M498" t="n">
        <v>0</v>
      </c>
      <c r="N498" t="n">
        <v>0</v>
      </c>
      <c r="O498" t="n">
        <v>0</v>
      </c>
      <c r="P498" t="n">
        <v>0</v>
      </c>
      <c r="Q498" t="n">
        <v>0</v>
      </c>
      <c r="R498" s="2" t="inlineStr"/>
    </row>
    <row r="499" ht="15" customHeight="1">
      <c r="A499" t="inlineStr">
        <is>
          <t>A 45657-2025</t>
        </is>
      </c>
      <c r="B499" s="1" t="n">
        <v>45923.34453703704</v>
      </c>
      <c r="C499" s="1" t="n">
        <v>45986</v>
      </c>
      <c r="D499" t="inlineStr">
        <is>
          <t>JÄMTLANDS LÄN</t>
        </is>
      </c>
      <c r="E499" t="inlineStr">
        <is>
          <t>BERG</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22020-2024</t>
        </is>
      </c>
      <c r="B500" s="1" t="n">
        <v>45443.5894675926</v>
      </c>
      <c r="C500" s="1" t="n">
        <v>45986</v>
      </c>
      <c r="D500" t="inlineStr">
        <is>
          <t>JÄMTLANDS LÄN</t>
        </is>
      </c>
      <c r="E500" t="inlineStr">
        <is>
          <t>BERG</t>
        </is>
      </c>
      <c r="G500" t="n">
        <v>4.9</v>
      </c>
      <c r="H500" t="n">
        <v>0</v>
      </c>
      <c r="I500" t="n">
        <v>0</v>
      </c>
      <c r="J500" t="n">
        <v>0</v>
      </c>
      <c r="K500" t="n">
        <v>0</v>
      </c>
      <c r="L500" t="n">
        <v>0</v>
      </c>
      <c r="M500" t="n">
        <v>0</v>
      </c>
      <c r="N500" t="n">
        <v>0</v>
      </c>
      <c r="O500" t="n">
        <v>0</v>
      </c>
      <c r="P500" t="n">
        <v>0</v>
      </c>
      <c r="Q500" t="n">
        <v>0</v>
      </c>
      <c r="R500" s="2" t="inlineStr"/>
    </row>
    <row r="501" ht="15" customHeight="1">
      <c r="A501" t="inlineStr">
        <is>
          <t>A 17748-2024</t>
        </is>
      </c>
      <c r="B501" s="1" t="n">
        <v>45418</v>
      </c>
      <c r="C501" s="1" t="n">
        <v>45986</v>
      </c>
      <c r="D501" t="inlineStr">
        <is>
          <t>JÄMTLANDS LÄN</t>
        </is>
      </c>
      <c r="E501" t="inlineStr">
        <is>
          <t>BERG</t>
        </is>
      </c>
      <c r="G501" t="n">
        <v>0.9</v>
      </c>
      <c r="H501" t="n">
        <v>0</v>
      </c>
      <c r="I501" t="n">
        <v>0</v>
      </c>
      <c r="J501" t="n">
        <v>0</v>
      </c>
      <c r="K501" t="n">
        <v>0</v>
      </c>
      <c r="L501" t="n">
        <v>0</v>
      </c>
      <c r="M501" t="n">
        <v>0</v>
      </c>
      <c r="N501" t="n">
        <v>0</v>
      </c>
      <c r="O501" t="n">
        <v>0</v>
      </c>
      <c r="P501" t="n">
        <v>0</v>
      </c>
      <c r="Q501" t="n">
        <v>0</v>
      </c>
      <c r="R501" s="2" t="inlineStr"/>
    </row>
    <row r="502" ht="15" customHeight="1">
      <c r="A502" t="inlineStr">
        <is>
          <t>A 18833-2024</t>
        </is>
      </c>
      <c r="B502" s="1" t="n">
        <v>45426.65157407407</v>
      </c>
      <c r="C502" s="1" t="n">
        <v>45986</v>
      </c>
      <c r="D502" t="inlineStr">
        <is>
          <t>JÄMTLANDS LÄN</t>
        </is>
      </c>
      <c r="E502" t="inlineStr">
        <is>
          <t>BERG</t>
        </is>
      </c>
      <c r="G502" t="n">
        <v>1.3</v>
      </c>
      <c r="H502" t="n">
        <v>0</v>
      </c>
      <c r="I502" t="n">
        <v>0</v>
      </c>
      <c r="J502" t="n">
        <v>0</v>
      </c>
      <c r="K502" t="n">
        <v>0</v>
      </c>
      <c r="L502" t="n">
        <v>0</v>
      </c>
      <c r="M502" t="n">
        <v>0</v>
      </c>
      <c r="N502" t="n">
        <v>0</v>
      </c>
      <c r="O502" t="n">
        <v>0</v>
      </c>
      <c r="P502" t="n">
        <v>0</v>
      </c>
      <c r="Q502" t="n">
        <v>0</v>
      </c>
      <c r="R502" s="2" t="inlineStr"/>
    </row>
    <row r="503" ht="15" customHeight="1">
      <c r="A503" t="inlineStr">
        <is>
          <t>A 45390-2025</t>
        </is>
      </c>
      <c r="B503" s="1" t="n">
        <v>45922.40762731482</v>
      </c>
      <c r="C503" s="1" t="n">
        <v>45986</v>
      </c>
      <c r="D503" t="inlineStr">
        <is>
          <t>JÄMTLANDS LÄN</t>
        </is>
      </c>
      <c r="E503" t="inlineStr">
        <is>
          <t>BERG</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29199-2025</t>
        </is>
      </c>
      <c r="B504" s="1" t="n">
        <v>45823.34459490741</v>
      </c>
      <c r="C504" s="1" t="n">
        <v>45986</v>
      </c>
      <c r="D504" t="inlineStr">
        <is>
          <t>JÄMTLANDS LÄN</t>
        </is>
      </c>
      <c r="E504" t="inlineStr">
        <is>
          <t>BERG</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58176-2024</t>
        </is>
      </c>
      <c r="B505" s="1" t="n">
        <v>45632.46771990741</v>
      </c>
      <c r="C505" s="1" t="n">
        <v>45986</v>
      </c>
      <c r="D505" t="inlineStr">
        <is>
          <t>JÄMTLANDS LÄN</t>
        </is>
      </c>
      <c r="E505" t="inlineStr">
        <is>
          <t>BERG</t>
        </is>
      </c>
      <c r="G505" t="n">
        <v>14.4</v>
      </c>
      <c r="H505" t="n">
        <v>0</v>
      </c>
      <c r="I505" t="n">
        <v>0</v>
      </c>
      <c r="J505" t="n">
        <v>0</v>
      </c>
      <c r="K505" t="n">
        <v>0</v>
      </c>
      <c r="L505" t="n">
        <v>0</v>
      </c>
      <c r="M505" t="n">
        <v>0</v>
      </c>
      <c r="N505" t="n">
        <v>0</v>
      </c>
      <c r="O505" t="n">
        <v>0</v>
      </c>
      <c r="P505" t="n">
        <v>0</v>
      </c>
      <c r="Q505" t="n">
        <v>0</v>
      </c>
      <c r="R505" s="2" t="inlineStr"/>
    </row>
    <row r="506" ht="15" customHeight="1">
      <c r="A506" t="inlineStr">
        <is>
          <t>A 29197-2025</t>
        </is>
      </c>
      <c r="B506" s="1" t="n">
        <v>45823.34438657408</v>
      </c>
      <c r="C506" s="1" t="n">
        <v>45986</v>
      </c>
      <c r="D506" t="inlineStr">
        <is>
          <t>JÄMTLANDS LÄN</t>
        </is>
      </c>
      <c r="E506" t="inlineStr">
        <is>
          <t>BERG</t>
        </is>
      </c>
      <c r="F506" t="inlineStr">
        <is>
          <t>SCA</t>
        </is>
      </c>
      <c r="G506" t="n">
        <v>10</v>
      </c>
      <c r="H506" t="n">
        <v>0</v>
      </c>
      <c r="I506" t="n">
        <v>0</v>
      </c>
      <c r="J506" t="n">
        <v>0</v>
      </c>
      <c r="K506" t="n">
        <v>0</v>
      </c>
      <c r="L506" t="n">
        <v>0</v>
      </c>
      <c r="M506" t="n">
        <v>0</v>
      </c>
      <c r="N506" t="n">
        <v>0</v>
      </c>
      <c r="O506" t="n">
        <v>0</v>
      </c>
      <c r="P506" t="n">
        <v>0</v>
      </c>
      <c r="Q506" t="n">
        <v>0</v>
      </c>
      <c r="R506" s="2" t="inlineStr"/>
    </row>
    <row r="507" ht="15" customHeight="1">
      <c r="A507" t="inlineStr">
        <is>
          <t>A 29310-2025</t>
        </is>
      </c>
      <c r="B507" s="1" t="n">
        <v>45824.46353009259</v>
      </c>
      <c r="C507" s="1" t="n">
        <v>45986</v>
      </c>
      <c r="D507" t="inlineStr">
        <is>
          <t>JÄMTLANDS LÄN</t>
        </is>
      </c>
      <c r="E507" t="inlineStr">
        <is>
          <t>BERG</t>
        </is>
      </c>
      <c r="G507" t="n">
        <v>5.6</v>
      </c>
      <c r="H507" t="n">
        <v>0</v>
      </c>
      <c r="I507" t="n">
        <v>0</v>
      </c>
      <c r="J507" t="n">
        <v>0</v>
      </c>
      <c r="K507" t="n">
        <v>0</v>
      </c>
      <c r="L507" t="n">
        <v>0</v>
      </c>
      <c r="M507" t="n">
        <v>0</v>
      </c>
      <c r="N507" t="n">
        <v>0</v>
      </c>
      <c r="O507" t="n">
        <v>0</v>
      </c>
      <c r="P507" t="n">
        <v>0</v>
      </c>
      <c r="Q507" t="n">
        <v>0</v>
      </c>
      <c r="R507" s="2" t="inlineStr"/>
    </row>
    <row r="508" ht="15" customHeight="1">
      <c r="A508" t="inlineStr">
        <is>
          <t>A 53859-2025</t>
        </is>
      </c>
      <c r="B508" s="1" t="n">
        <v>45961</v>
      </c>
      <c r="C508" s="1" t="n">
        <v>45986</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29538-2025</t>
        </is>
      </c>
      <c r="B509" s="1" t="n">
        <v>45825.34517361111</v>
      </c>
      <c r="C509" s="1" t="n">
        <v>45986</v>
      </c>
      <c r="D509" t="inlineStr">
        <is>
          <t>JÄMTLANDS LÄN</t>
        </is>
      </c>
      <c r="E509" t="inlineStr">
        <is>
          <t>BERG</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29533-2025</t>
        </is>
      </c>
      <c r="B510" s="1" t="n">
        <v>45825.34466435185</v>
      </c>
      <c r="C510" s="1" t="n">
        <v>45986</v>
      </c>
      <c r="D510" t="inlineStr">
        <is>
          <t>JÄMTLANDS LÄN</t>
        </is>
      </c>
      <c r="E510" t="inlineStr">
        <is>
          <t>BERG</t>
        </is>
      </c>
      <c r="F510" t="inlineStr">
        <is>
          <t>SCA</t>
        </is>
      </c>
      <c r="G510" t="n">
        <v>10</v>
      </c>
      <c r="H510" t="n">
        <v>0</v>
      </c>
      <c r="I510" t="n">
        <v>0</v>
      </c>
      <c r="J510" t="n">
        <v>0</v>
      </c>
      <c r="K510" t="n">
        <v>0</v>
      </c>
      <c r="L510" t="n">
        <v>0</v>
      </c>
      <c r="M510" t="n">
        <v>0</v>
      </c>
      <c r="N510" t="n">
        <v>0</v>
      </c>
      <c r="O510" t="n">
        <v>0</v>
      </c>
      <c r="P510" t="n">
        <v>0</v>
      </c>
      <c r="Q510" t="n">
        <v>0</v>
      </c>
      <c r="R510" s="2" t="inlineStr"/>
    </row>
    <row r="511" ht="15" customHeight="1">
      <c r="A511" t="inlineStr">
        <is>
          <t>A 53085-2024</t>
        </is>
      </c>
      <c r="B511" s="1" t="n">
        <v>45611.51072916666</v>
      </c>
      <c r="C511" s="1" t="n">
        <v>45986</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54852-2025</t>
        </is>
      </c>
      <c r="B512" s="1" t="n">
        <v>45966.71946759259</v>
      </c>
      <c r="C512" s="1" t="n">
        <v>45986</v>
      </c>
      <c r="D512" t="inlineStr">
        <is>
          <t>JÄMTLANDS LÄN</t>
        </is>
      </c>
      <c r="E512" t="inlineStr">
        <is>
          <t>BERG</t>
        </is>
      </c>
      <c r="G512" t="n">
        <v>1.7</v>
      </c>
      <c r="H512" t="n">
        <v>0</v>
      </c>
      <c r="I512" t="n">
        <v>0</v>
      </c>
      <c r="J512" t="n">
        <v>0</v>
      </c>
      <c r="K512" t="n">
        <v>0</v>
      </c>
      <c r="L512" t="n">
        <v>0</v>
      </c>
      <c r="M512" t="n">
        <v>0</v>
      </c>
      <c r="N512" t="n">
        <v>0</v>
      </c>
      <c r="O512" t="n">
        <v>0</v>
      </c>
      <c r="P512" t="n">
        <v>0</v>
      </c>
      <c r="Q512" t="n">
        <v>0</v>
      </c>
      <c r="R512" s="2" t="inlineStr"/>
    </row>
    <row r="513" ht="15" customHeight="1">
      <c r="A513" t="inlineStr">
        <is>
          <t>A 6982-2025</t>
        </is>
      </c>
      <c r="B513" s="1" t="n">
        <v>45701.55769675926</v>
      </c>
      <c r="C513" s="1" t="n">
        <v>45986</v>
      </c>
      <c r="D513" t="inlineStr">
        <is>
          <t>JÄMTLANDS LÄN</t>
        </is>
      </c>
      <c r="E513" t="inlineStr">
        <is>
          <t>BERG</t>
        </is>
      </c>
      <c r="G513" t="n">
        <v>6.8</v>
      </c>
      <c r="H513" t="n">
        <v>0</v>
      </c>
      <c r="I513" t="n">
        <v>0</v>
      </c>
      <c r="J513" t="n">
        <v>0</v>
      </c>
      <c r="K513" t="n">
        <v>0</v>
      </c>
      <c r="L513" t="n">
        <v>0</v>
      </c>
      <c r="M513" t="n">
        <v>0</v>
      </c>
      <c r="N513" t="n">
        <v>0</v>
      </c>
      <c r="O513" t="n">
        <v>0</v>
      </c>
      <c r="P513" t="n">
        <v>0</v>
      </c>
      <c r="Q513" t="n">
        <v>0</v>
      </c>
      <c r="R513" s="2" t="inlineStr"/>
    </row>
    <row r="514" ht="15" customHeight="1">
      <c r="A514" t="inlineStr">
        <is>
          <t>A 29279-2025</t>
        </is>
      </c>
      <c r="B514" s="1" t="n">
        <v>45824.42381944445</v>
      </c>
      <c r="C514" s="1" t="n">
        <v>45986</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29198-2025</t>
        </is>
      </c>
      <c r="B515" s="1" t="n">
        <v>45823.34451388889</v>
      </c>
      <c r="C515" s="1" t="n">
        <v>45986</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32064-2023</t>
        </is>
      </c>
      <c r="B516" s="1" t="n">
        <v>45119.57108796296</v>
      </c>
      <c r="C516" s="1" t="n">
        <v>45986</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54720-2025</t>
        </is>
      </c>
      <c r="B517" s="1" t="n">
        <v>45966.53177083333</v>
      </c>
      <c r="C517" s="1" t="n">
        <v>45986</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54825-2025</t>
        </is>
      </c>
      <c r="B518" s="1" t="n">
        <v>45966.66768518519</v>
      </c>
      <c r="C518" s="1" t="n">
        <v>45986</v>
      </c>
      <c r="D518" t="inlineStr">
        <is>
          <t>JÄMTLANDS LÄN</t>
        </is>
      </c>
      <c r="E518" t="inlineStr">
        <is>
          <t>BERG</t>
        </is>
      </c>
      <c r="G518" t="n">
        <v>0.7</v>
      </c>
      <c r="H518" t="n">
        <v>0</v>
      </c>
      <c r="I518" t="n">
        <v>0</v>
      </c>
      <c r="J518" t="n">
        <v>0</v>
      </c>
      <c r="K518" t="n">
        <v>0</v>
      </c>
      <c r="L518" t="n">
        <v>0</v>
      </c>
      <c r="M518" t="n">
        <v>0</v>
      </c>
      <c r="N518" t="n">
        <v>0</v>
      </c>
      <c r="O518" t="n">
        <v>0</v>
      </c>
      <c r="P518" t="n">
        <v>0</v>
      </c>
      <c r="Q518" t="n">
        <v>0</v>
      </c>
      <c r="R518" s="2" t="inlineStr"/>
    </row>
    <row r="519" ht="15" customHeight="1">
      <c r="A519" t="inlineStr">
        <is>
          <t>A 29836-2025</t>
        </is>
      </c>
      <c r="B519" s="1" t="n">
        <v>45825.9468287037</v>
      </c>
      <c r="C519" s="1" t="n">
        <v>45986</v>
      </c>
      <c r="D519" t="inlineStr">
        <is>
          <t>JÄMTLANDS LÄN</t>
        </is>
      </c>
      <c r="E519" t="inlineStr">
        <is>
          <t>BERG</t>
        </is>
      </c>
      <c r="G519" t="n">
        <v>12.7</v>
      </c>
      <c r="H519" t="n">
        <v>0</v>
      </c>
      <c r="I519" t="n">
        <v>0</v>
      </c>
      <c r="J519" t="n">
        <v>0</v>
      </c>
      <c r="K519" t="n">
        <v>0</v>
      </c>
      <c r="L519" t="n">
        <v>0</v>
      </c>
      <c r="M519" t="n">
        <v>0</v>
      </c>
      <c r="N519" t="n">
        <v>0</v>
      </c>
      <c r="O519" t="n">
        <v>0</v>
      </c>
      <c r="P519" t="n">
        <v>0</v>
      </c>
      <c r="Q519" t="n">
        <v>0</v>
      </c>
      <c r="R519" s="2" t="inlineStr"/>
    </row>
    <row r="520" ht="15" customHeight="1">
      <c r="A520" t="inlineStr">
        <is>
          <t>A 55043-2025</t>
        </is>
      </c>
      <c r="B520" s="1" t="n">
        <v>45967.65983796296</v>
      </c>
      <c r="C520" s="1" t="n">
        <v>45986</v>
      </c>
      <c r="D520" t="inlineStr">
        <is>
          <t>JÄMTLANDS LÄN</t>
        </is>
      </c>
      <c r="E520" t="inlineStr">
        <is>
          <t>BERG</t>
        </is>
      </c>
      <c r="G520" t="n">
        <v>3</v>
      </c>
      <c r="H520" t="n">
        <v>0</v>
      </c>
      <c r="I520" t="n">
        <v>0</v>
      </c>
      <c r="J520" t="n">
        <v>0</v>
      </c>
      <c r="K520" t="n">
        <v>0</v>
      </c>
      <c r="L520" t="n">
        <v>0</v>
      </c>
      <c r="M520" t="n">
        <v>0</v>
      </c>
      <c r="N520" t="n">
        <v>0</v>
      </c>
      <c r="O520" t="n">
        <v>0</v>
      </c>
      <c r="P520" t="n">
        <v>0</v>
      </c>
      <c r="Q520" t="n">
        <v>0</v>
      </c>
      <c r="R520" s="2" t="inlineStr"/>
    </row>
    <row r="521" ht="15" customHeight="1">
      <c r="A521" t="inlineStr">
        <is>
          <t>A 55022-2025</t>
        </is>
      </c>
      <c r="B521" s="1" t="n">
        <v>45967.62862268519</v>
      </c>
      <c r="C521" s="1" t="n">
        <v>45986</v>
      </c>
      <c r="D521" t="inlineStr">
        <is>
          <t>JÄMTLANDS LÄN</t>
        </is>
      </c>
      <c r="E521" t="inlineStr">
        <is>
          <t>BERG</t>
        </is>
      </c>
      <c r="G521" t="n">
        <v>0.5</v>
      </c>
      <c r="H521" t="n">
        <v>0</v>
      </c>
      <c r="I521" t="n">
        <v>0</v>
      </c>
      <c r="J521" t="n">
        <v>0</v>
      </c>
      <c r="K521" t="n">
        <v>0</v>
      </c>
      <c r="L521" t="n">
        <v>0</v>
      </c>
      <c r="M521" t="n">
        <v>0</v>
      </c>
      <c r="N521" t="n">
        <v>0</v>
      </c>
      <c r="O521" t="n">
        <v>0</v>
      </c>
      <c r="P521" t="n">
        <v>0</v>
      </c>
      <c r="Q521" t="n">
        <v>0</v>
      </c>
      <c r="R521" s="2" t="inlineStr"/>
    </row>
    <row r="522" ht="15" customHeight="1">
      <c r="A522" t="inlineStr">
        <is>
          <t>A 34819-2023</t>
        </is>
      </c>
      <c r="B522" s="1" t="n">
        <v>45140</v>
      </c>
      <c r="C522" s="1" t="n">
        <v>45986</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30017-2025</t>
        </is>
      </c>
      <c r="B523" s="1" t="n">
        <v>45826.55306712963</v>
      </c>
      <c r="C523" s="1" t="n">
        <v>45986</v>
      </c>
      <c r="D523" t="inlineStr">
        <is>
          <t>JÄMTLANDS LÄN</t>
        </is>
      </c>
      <c r="E523" t="inlineStr">
        <is>
          <t>BERG</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46853-2025</t>
        </is>
      </c>
      <c r="B524" s="1" t="n">
        <v>45928.86563657408</v>
      </c>
      <c r="C524" s="1" t="n">
        <v>45986</v>
      </c>
      <c r="D524" t="inlineStr">
        <is>
          <t>JÄMTLANDS LÄN</t>
        </is>
      </c>
      <c r="E524" t="inlineStr">
        <is>
          <t>BERG</t>
        </is>
      </c>
      <c r="F524" t="inlineStr">
        <is>
          <t>Kyrkan</t>
        </is>
      </c>
      <c r="G524" t="n">
        <v>7.9</v>
      </c>
      <c r="H524" t="n">
        <v>0</v>
      </c>
      <c r="I524" t="n">
        <v>0</v>
      </c>
      <c r="J524" t="n">
        <v>0</v>
      </c>
      <c r="K524" t="n">
        <v>0</v>
      </c>
      <c r="L524" t="n">
        <v>0</v>
      </c>
      <c r="M524" t="n">
        <v>0</v>
      </c>
      <c r="N524" t="n">
        <v>0</v>
      </c>
      <c r="O524" t="n">
        <v>0</v>
      </c>
      <c r="P524" t="n">
        <v>0</v>
      </c>
      <c r="Q524" t="n">
        <v>0</v>
      </c>
      <c r="R524" s="2" t="inlineStr"/>
    </row>
    <row r="525" ht="15" customHeight="1">
      <c r="A525" t="inlineStr">
        <is>
          <t>A 50780-2021</t>
        </is>
      </c>
      <c r="B525" s="1" t="n">
        <v>44459</v>
      </c>
      <c r="C525" s="1" t="n">
        <v>45986</v>
      </c>
      <c r="D525" t="inlineStr">
        <is>
          <t>JÄMTLANDS LÄN</t>
        </is>
      </c>
      <c r="E525" t="inlineStr">
        <is>
          <t>BERG</t>
        </is>
      </c>
      <c r="G525" t="n">
        <v>3.5</v>
      </c>
      <c r="H525" t="n">
        <v>0</v>
      </c>
      <c r="I525" t="n">
        <v>0</v>
      </c>
      <c r="J525" t="n">
        <v>0</v>
      </c>
      <c r="K525" t="n">
        <v>0</v>
      </c>
      <c r="L525" t="n">
        <v>0</v>
      </c>
      <c r="M525" t="n">
        <v>0</v>
      </c>
      <c r="N525" t="n">
        <v>0</v>
      </c>
      <c r="O525" t="n">
        <v>0</v>
      </c>
      <c r="P525" t="n">
        <v>0</v>
      </c>
      <c r="Q525" t="n">
        <v>0</v>
      </c>
      <c r="R525" s="2" t="inlineStr"/>
    </row>
    <row r="526" ht="15" customHeight="1">
      <c r="A526" t="inlineStr">
        <is>
          <t>A 55553-2025</t>
        </is>
      </c>
      <c r="B526" s="1" t="n">
        <v>45971.64445601852</v>
      </c>
      <c r="C526" s="1" t="n">
        <v>45986</v>
      </c>
      <c r="D526" t="inlineStr">
        <is>
          <t>JÄMTLANDS LÄN</t>
        </is>
      </c>
      <c r="E526" t="inlineStr">
        <is>
          <t>BERG</t>
        </is>
      </c>
      <c r="G526" t="n">
        <v>2.9</v>
      </c>
      <c r="H526" t="n">
        <v>0</v>
      </c>
      <c r="I526" t="n">
        <v>0</v>
      </c>
      <c r="J526" t="n">
        <v>0</v>
      </c>
      <c r="K526" t="n">
        <v>0</v>
      </c>
      <c r="L526" t="n">
        <v>0</v>
      </c>
      <c r="M526" t="n">
        <v>0</v>
      </c>
      <c r="N526" t="n">
        <v>0</v>
      </c>
      <c r="O526" t="n">
        <v>0</v>
      </c>
      <c r="P526" t="n">
        <v>0</v>
      </c>
      <c r="Q526" t="n">
        <v>0</v>
      </c>
      <c r="R526" s="2" t="inlineStr"/>
    </row>
    <row r="527" ht="15" customHeight="1">
      <c r="A527" t="inlineStr">
        <is>
          <t>A 55223-2025</t>
        </is>
      </c>
      <c r="B527" s="1" t="n">
        <v>45968.59439814815</v>
      </c>
      <c r="C527" s="1" t="n">
        <v>45986</v>
      </c>
      <c r="D527" t="inlineStr">
        <is>
          <t>JÄMTLANDS LÄN</t>
        </is>
      </c>
      <c r="E527" t="inlineStr">
        <is>
          <t>BERG</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43279-2024</t>
        </is>
      </c>
      <c r="B528" s="1" t="n">
        <v>45568.3975462963</v>
      </c>
      <c r="C528" s="1" t="n">
        <v>45986</v>
      </c>
      <c r="D528" t="inlineStr">
        <is>
          <t>JÄMTLANDS LÄN</t>
        </is>
      </c>
      <c r="E528" t="inlineStr">
        <is>
          <t>BERG</t>
        </is>
      </c>
      <c r="G528" t="n">
        <v>7.6</v>
      </c>
      <c r="H528" t="n">
        <v>0</v>
      </c>
      <c r="I528" t="n">
        <v>0</v>
      </c>
      <c r="J528" t="n">
        <v>0</v>
      </c>
      <c r="K528" t="n">
        <v>0</v>
      </c>
      <c r="L528" t="n">
        <v>0</v>
      </c>
      <c r="M528" t="n">
        <v>0</v>
      </c>
      <c r="N528" t="n">
        <v>0</v>
      </c>
      <c r="O528" t="n">
        <v>0</v>
      </c>
      <c r="P528" t="n">
        <v>0</v>
      </c>
      <c r="Q528" t="n">
        <v>0</v>
      </c>
      <c r="R528" s="2" t="inlineStr"/>
    </row>
    <row r="529" ht="15" customHeight="1">
      <c r="A529" t="inlineStr">
        <is>
          <t>A 46854-2025</t>
        </is>
      </c>
      <c r="B529" s="1" t="n">
        <v>45928.87376157408</v>
      </c>
      <c r="C529" s="1" t="n">
        <v>45986</v>
      </c>
      <c r="D529" t="inlineStr">
        <is>
          <t>JÄMTLANDS LÄN</t>
        </is>
      </c>
      <c r="E529" t="inlineStr">
        <is>
          <t>BERG</t>
        </is>
      </c>
      <c r="F529" t="inlineStr">
        <is>
          <t>Kyrkan</t>
        </is>
      </c>
      <c r="G529" t="n">
        <v>4.8</v>
      </c>
      <c r="H529" t="n">
        <v>0</v>
      </c>
      <c r="I529" t="n">
        <v>0</v>
      </c>
      <c r="J529" t="n">
        <v>0</v>
      </c>
      <c r="K529" t="n">
        <v>0</v>
      </c>
      <c r="L529" t="n">
        <v>0</v>
      </c>
      <c r="M529" t="n">
        <v>0</v>
      </c>
      <c r="N529" t="n">
        <v>0</v>
      </c>
      <c r="O529" t="n">
        <v>0</v>
      </c>
      <c r="P529" t="n">
        <v>0</v>
      </c>
      <c r="Q529" t="n">
        <v>0</v>
      </c>
      <c r="R529" s="2" t="inlineStr"/>
    </row>
    <row r="530" ht="15" customHeight="1">
      <c r="A530" t="inlineStr">
        <is>
          <t>A 46908-2025</t>
        </is>
      </c>
      <c r="B530" s="1" t="n">
        <v>45929.40664351852</v>
      </c>
      <c r="C530" s="1" t="n">
        <v>45986</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47137-2025</t>
        </is>
      </c>
      <c r="B531" s="1" t="n">
        <v>45929.69876157407</v>
      </c>
      <c r="C531" s="1" t="n">
        <v>45986</v>
      </c>
      <c r="D531" t="inlineStr">
        <is>
          <t>JÄMTLANDS LÄN</t>
        </is>
      </c>
      <c r="E531" t="inlineStr">
        <is>
          <t>BERG</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55497-2025</t>
        </is>
      </c>
      <c r="B532" s="1" t="n">
        <v>45971.58337962963</v>
      </c>
      <c r="C532" s="1" t="n">
        <v>45986</v>
      </c>
      <c r="D532" t="inlineStr">
        <is>
          <t>JÄMTLANDS LÄN</t>
        </is>
      </c>
      <c r="E532" t="inlineStr">
        <is>
          <t>BERG</t>
        </is>
      </c>
      <c r="G532" t="n">
        <v>15</v>
      </c>
      <c r="H532" t="n">
        <v>0</v>
      </c>
      <c r="I532" t="n">
        <v>0</v>
      </c>
      <c r="J532" t="n">
        <v>0</v>
      </c>
      <c r="K532" t="n">
        <v>0</v>
      </c>
      <c r="L532" t="n">
        <v>0</v>
      </c>
      <c r="M532" t="n">
        <v>0</v>
      </c>
      <c r="N532" t="n">
        <v>0</v>
      </c>
      <c r="O532" t="n">
        <v>0</v>
      </c>
      <c r="P532" t="n">
        <v>0</v>
      </c>
      <c r="Q532" t="n">
        <v>0</v>
      </c>
      <c r="R532" s="2" t="inlineStr"/>
    </row>
    <row r="533" ht="15" customHeight="1">
      <c r="A533" t="inlineStr">
        <is>
          <t>A 47145-2025</t>
        </is>
      </c>
      <c r="B533" s="1" t="n">
        <v>45929.71310185185</v>
      </c>
      <c r="C533" s="1" t="n">
        <v>45986</v>
      </c>
      <c r="D533" t="inlineStr">
        <is>
          <t>JÄMTLANDS LÄN</t>
        </is>
      </c>
      <c r="E533" t="inlineStr">
        <is>
          <t>BERG</t>
        </is>
      </c>
      <c r="G533" t="n">
        <v>3.5</v>
      </c>
      <c r="H533" t="n">
        <v>0</v>
      </c>
      <c r="I533" t="n">
        <v>0</v>
      </c>
      <c r="J533" t="n">
        <v>0</v>
      </c>
      <c r="K533" t="n">
        <v>0</v>
      </c>
      <c r="L533" t="n">
        <v>0</v>
      </c>
      <c r="M533" t="n">
        <v>0</v>
      </c>
      <c r="N533" t="n">
        <v>0</v>
      </c>
      <c r="O533" t="n">
        <v>0</v>
      </c>
      <c r="P533" t="n">
        <v>0</v>
      </c>
      <c r="Q533" t="n">
        <v>0</v>
      </c>
      <c r="R533" s="2" t="inlineStr"/>
    </row>
    <row r="534" ht="15" customHeight="1">
      <c r="A534" t="inlineStr">
        <is>
          <t>A 55267-2025</t>
        </is>
      </c>
      <c r="B534" s="1" t="n">
        <v>45968.66726851852</v>
      </c>
      <c r="C534" s="1" t="n">
        <v>45986</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55224-2025</t>
        </is>
      </c>
      <c r="B535" s="1" t="n">
        <v>45968.59447916667</v>
      </c>
      <c r="C535" s="1" t="n">
        <v>45986</v>
      </c>
      <c r="D535" t="inlineStr">
        <is>
          <t>JÄMTLANDS LÄN</t>
        </is>
      </c>
      <c r="E535" t="inlineStr">
        <is>
          <t>BERG</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30314-2025</t>
        </is>
      </c>
      <c r="B536" s="1" t="n">
        <v>45827.49047453704</v>
      </c>
      <c r="C536" s="1" t="n">
        <v>45986</v>
      </c>
      <c r="D536" t="inlineStr">
        <is>
          <t>JÄMTLANDS LÄN</t>
        </is>
      </c>
      <c r="E536" t="inlineStr">
        <is>
          <t>BERG</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55575-2025</t>
        </is>
      </c>
      <c r="B537" s="1" t="n">
        <v>45971.66145833334</v>
      </c>
      <c r="C537" s="1" t="n">
        <v>45986</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55472-2025</t>
        </is>
      </c>
      <c r="B538" s="1" t="n">
        <v>45971.54526620371</v>
      </c>
      <c r="C538" s="1" t="n">
        <v>45986</v>
      </c>
      <c r="D538" t="inlineStr">
        <is>
          <t>JÄMTLANDS LÄN</t>
        </is>
      </c>
      <c r="E538" t="inlineStr">
        <is>
          <t>BERG</t>
        </is>
      </c>
      <c r="G538" t="n">
        <v>3.2</v>
      </c>
      <c r="H538" t="n">
        <v>0</v>
      </c>
      <c r="I538" t="n">
        <v>0</v>
      </c>
      <c r="J538" t="n">
        <v>0</v>
      </c>
      <c r="K538" t="n">
        <v>0</v>
      </c>
      <c r="L538" t="n">
        <v>0</v>
      </c>
      <c r="M538" t="n">
        <v>0</v>
      </c>
      <c r="N538" t="n">
        <v>0</v>
      </c>
      <c r="O538" t="n">
        <v>0</v>
      </c>
      <c r="P538" t="n">
        <v>0</v>
      </c>
      <c r="Q538" t="n">
        <v>0</v>
      </c>
      <c r="R538" s="2" t="inlineStr"/>
    </row>
    <row r="539" ht="15" customHeight="1">
      <c r="A539" t="inlineStr">
        <is>
          <t>A 37093-2024</t>
        </is>
      </c>
      <c r="B539" s="1" t="n">
        <v>45539.50018518518</v>
      </c>
      <c r="C539" s="1" t="n">
        <v>45986</v>
      </c>
      <c r="D539" t="inlineStr">
        <is>
          <t>JÄMTLANDS LÄN</t>
        </is>
      </c>
      <c r="E539" t="inlineStr">
        <is>
          <t>BERG</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29902-2025</t>
        </is>
      </c>
      <c r="B540" s="1" t="n">
        <v>45826</v>
      </c>
      <c r="C540" s="1" t="n">
        <v>45986</v>
      </c>
      <c r="D540" t="inlineStr">
        <is>
          <t>JÄMTLANDS LÄN</t>
        </is>
      </c>
      <c r="E540" t="inlineStr">
        <is>
          <t>BERG</t>
        </is>
      </c>
      <c r="G540" t="n">
        <v>9.1</v>
      </c>
      <c r="H540" t="n">
        <v>0</v>
      </c>
      <c r="I540" t="n">
        <v>0</v>
      </c>
      <c r="J540" t="n">
        <v>0</v>
      </c>
      <c r="K540" t="n">
        <v>0</v>
      </c>
      <c r="L540" t="n">
        <v>0</v>
      </c>
      <c r="M540" t="n">
        <v>0</v>
      </c>
      <c r="N540" t="n">
        <v>0</v>
      </c>
      <c r="O540" t="n">
        <v>0</v>
      </c>
      <c r="P540" t="n">
        <v>0</v>
      </c>
      <c r="Q540" t="n">
        <v>0</v>
      </c>
      <c r="R540" s="2" t="inlineStr"/>
    </row>
    <row r="541" ht="15" customHeight="1">
      <c r="A541" t="inlineStr">
        <is>
          <t>A 29908-2025</t>
        </is>
      </c>
      <c r="B541" s="1" t="n">
        <v>45826</v>
      </c>
      <c r="C541" s="1" t="n">
        <v>45986</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47135-2025</t>
        </is>
      </c>
      <c r="B542" s="1" t="n">
        <v>45929.69799768519</v>
      </c>
      <c r="C542" s="1" t="n">
        <v>45986</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46811-2025</t>
        </is>
      </c>
      <c r="B543" s="1" t="n">
        <v>45926.69831018519</v>
      </c>
      <c r="C543" s="1" t="n">
        <v>45986</v>
      </c>
      <c r="D543" t="inlineStr">
        <is>
          <t>JÄMTLANDS LÄN</t>
        </is>
      </c>
      <c r="E543" t="inlineStr">
        <is>
          <t>BERG</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47141-2025</t>
        </is>
      </c>
      <c r="B544" s="1" t="n">
        <v>45929.70355324074</v>
      </c>
      <c r="C544" s="1" t="n">
        <v>45986</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10861-2024</t>
        </is>
      </c>
      <c r="B545" s="1" t="n">
        <v>45370.01967592593</v>
      </c>
      <c r="C545" s="1" t="n">
        <v>45986</v>
      </c>
      <c r="D545" t="inlineStr">
        <is>
          <t>JÄMTLANDS LÄN</t>
        </is>
      </c>
      <c r="E545" t="inlineStr">
        <is>
          <t>BERG</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46584-2025</t>
        </is>
      </c>
      <c r="B546" s="1" t="n">
        <v>45926</v>
      </c>
      <c r="C546" s="1" t="n">
        <v>45986</v>
      </c>
      <c r="D546" t="inlineStr">
        <is>
          <t>JÄMTLANDS LÄN</t>
        </is>
      </c>
      <c r="E546" t="inlineStr">
        <is>
          <t>BERG</t>
        </is>
      </c>
      <c r="G546" t="n">
        <v>17.1</v>
      </c>
      <c r="H546" t="n">
        <v>0</v>
      </c>
      <c r="I546" t="n">
        <v>0</v>
      </c>
      <c r="J546" t="n">
        <v>0</v>
      </c>
      <c r="K546" t="n">
        <v>0</v>
      </c>
      <c r="L546" t="n">
        <v>0</v>
      </c>
      <c r="M546" t="n">
        <v>0</v>
      </c>
      <c r="N546" t="n">
        <v>0</v>
      </c>
      <c r="O546" t="n">
        <v>0</v>
      </c>
      <c r="P546" t="n">
        <v>0</v>
      </c>
      <c r="Q546" t="n">
        <v>0</v>
      </c>
      <c r="R546" s="2" t="inlineStr"/>
    </row>
    <row r="547" ht="15" customHeight="1">
      <c r="A547" t="inlineStr">
        <is>
          <t>A 21679-2023</t>
        </is>
      </c>
      <c r="B547" s="1" t="n">
        <v>45063.94199074074</v>
      </c>
      <c r="C547" s="1" t="n">
        <v>45986</v>
      </c>
      <c r="D547" t="inlineStr">
        <is>
          <t>JÄMTLANDS LÄN</t>
        </is>
      </c>
      <c r="E547" t="inlineStr">
        <is>
          <t>BERG</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31015-2025</t>
        </is>
      </c>
      <c r="B548" s="1" t="n">
        <v>45832.51086805556</v>
      </c>
      <c r="C548" s="1" t="n">
        <v>45986</v>
      </c>
      <c r="D548" t="inlineStr">
        <is>
          <t>JÄMTLANDS LÄN</t>
        </is>
      </c>
      <c r="E548" t="inlineStr">
        <is>
          <t>BERG</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31017-2025</t>
        </is>
      </c>
      <c r="B549" s="1" t="n">
        <v>45832.51111111111</v>
      </c>
      <c r="C549" s="1" t="n">
        <v>45986</v>
      </c>
      <c r="D549" t="inlineStr">
        <is>
          <t>JÄMTLANDS LÄN</t>
        </is>
      </c>
      <c r="E549" t="inlineStr">
        <is>
          <t>BERG</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47428-2025</t>
        </is>
      </c>
      <c r="B550" s="1" t="n">
        <v>45930</v>
      </c>
      <c r="C550" s="1" t="n">
        <v>45986</v>
      </c>
      <c r="D550" t="inlineStr">
        <is>
          <t>JÄMTLANDS LÄN</t>
        </is>
      </c>
      <c r="E550" t="inlineStr">
        <is>
          <t>BERG</t>
        </is>
      </c>
      <c r="G550" t="n">
        <v>3.4</v>
      </c>
      <c r="H550" t="n">
        <v>0</v>
      </c>
      <c r="I550" t="n">
        <v>0</v>
      </c>
      <c r="J550" t="n">
        <v>0</v>
      </c>
      <c r="K550" t="n">
        <v>0</v>
      </c>
      <c r="L550" t="n">
        <v>0</v>
      </c>
      <c r="M550" t="n">
        <v>0</v>
      </c>
      <c r="N550" t="n">
        <v>0</v>
      </c>
      <c r="O550" t="n">
        <v>0</v>
      </c>
      <c r="P550" t="n">
        <v>0</v>
      </c>
      <c r="Q550" t="n">
        <v>0</v>
      </c>
      <c r="R550" s="2" t="inlineStr"/>
    </row>
    <row r="551" ht="15" customHeight="1">
      <c r="A551" t="inlineStr">
        <is>
          <t>A 47193-2025</t>
        </is>
      </c>
      <c r="B551" s="1" t="n">
        <v>45930.34469907408</v>
      </c>
      <c r="C551" s="1" t="n">
        <v>45986</v>
      </c>
      <c r="D551" t="inlineStr">
        <is>
          <t>JÄMTLANDS LÄN</t>
        </is>
      </c>
      <c r="E551" t="inlineStr">
        <is>
          <t>BERG</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22947-2022</t>
        </is>
      </c>
      <c r="B552" s="1" t="n">
        <v>44715.92443287037</v>
      </c>
      <c r="C552" s="1" t="n">
        <v>45986</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20268-2024</t>
        </is>
      </c>
      <c r="B553" s="1" t="n">
        <v>45434.94887731481</v>
      </c>
      <c r="C553" s="1" t="n">
        <v>45986</v>
      </c>
      <c r="D553" t="inlineStr">
        <is>
          <t>JÄMTLANDS LÄN</t>
        </is>
      </c>
      <c r="E553" t="inlineStr">
        <is>
          <t>BERG</t>
        </is>
      </c>
      <c r="F553" t="inlineStr">
        <is>
          <t>SCA</t>
        </is>
      </c>
      <c r="G553" t="n">
        <v>4.9</v>
      </c>
      <c r="H553" t="n">
        <v>0</v>
      </c>
      <c r="I553" t="n">
        <v>0</v>
      </c>
      <c r="J553" t="n">
        <v>0</v>
      </c>
      <c r="K553" t="n">
        <v>0</v>
      </c>
      <c r="L553" t="n">
        <v>0</v>
      </c>
      <c r="M553" t="n">
        <v>0</v>
      </c>
      <c r="N553" t="n">
        <v>0</v>
      </c>
      <c r="O553" t="n">
        <v>0</v>
      </c>
      <c r="P553" t="n">
        <v>0</v>
      </c>
      <c r="Q553" t="n">
        <v>0</v>
      </c>
      <c r="R553" s="2" t="inlineStr"/>
    </row>
    <row r="554" ht="15" customHeight="1">
      <c r="A554" t="inlineStr">
        <is>
          <t>A 47533-2025</t>
        </is>
      </c>
      <c r="B554" s="1" t="n">
        <v>45931.34659722223</v>
      </c>
      <c r="C554" s="1" t="n">
        <v>45986</v>
      </c>
      <c r="D554" t="inlineStr">
        <is>
          <t>JÄMTLANDS LÄN</t>
        </is>
      </c>
      <c r="E554" t="inlineStr">
        <is>
          <t>BERG</t>
        </is>
      </c>
      <c r="G554" t="n">
        <v>3.1</v>
      </c>
      <c r="H554" t="n">
        <v>0</v>
      </c>
      <c r="I554" t="n">
        <v>0</v>
      </c>
      <c r="J554" t="n">
        <v>0</v>
      </c>
      <c r="K554" t="n">
        <v>0</v>
      </c>
      <c r="L554" t="n">
        <v>0</v>
      </c>
      <c r="M554" t="n">
        <v>0</v>
      </c>
      <c r="N554" t="n">
        <v>0</v>
      </c>
      <c r="O554" t="n">
        <v>0</v>
      </c>
      <c r="P554" t="n">
        <v>0</v>
      </c>
      <c r="Q554" t="n">
        <v>0</v>
      </c>
      <c r="R554" s="2" t="inlineStr"/>
    </row>
    <row r="555" ht="15" customHeight="1">
      <c r="A555" t="inlineStr">
        <is>
          <t>A 31070-2025</t>
        </is>
      </c>
      <c r="B555" s="1" t="n">
        <v>45832.57887731482</v>
      </c>
      <c r="C555" s="1" t="n">
        <v>45986</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47430-2025</t>
        </is>
      </c>
      <c r="B556" s="1" t="n">
        <v>45930.63619212963</v>
      </c>
      <c r="C556" s="1" t="n">
        <v>45986</v>
      </c>
      <c r="D556" t="inlineStr">
        <is>
          <t>JÄMTLANDS LÄN</t>
        </is>
      </c>
      <c r="E556" t="inlineStr">
        <is>
          <t>BERG</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47431-2025</t>
        </is>
      </c>
      <c r="B557" s="1" t="n">
        <v>45930.63626157407</v>
      </c>
      <c r="C557" s="1" t="n">
        <v>45986</v>
      </c>
      <c r="D557" t="inlineStr">
        <is>
          <t>JÄMTLANDS LÄN</t>
        </is>
      </c>
      <c r="E557" t="inlineStr">
        <is>
          <t>BERG</t>
        </is>
      </c>
      <c r="F557" t="inlineStr">
        <is>
          <t>SCA</t>
        </is>
      </c>
      <c r="G557" t="n">
        <v>9.5</v>
      </c>
      <c r="H557" t="n">
        <v>0</v>
      </c>
      <c r="I557" t="n">
        <v>0</v>
      </c>
      <c r="J557" t="n">
        <v>0</v>
      </c>
      <c r="K557" t="n">
        <v>0</v>
      </c>
      <c r="L557" t="n">
        <v>0</v>
      </c>
      <c r="M557" t="n">
        <v>0</v>
      </c>
      <c r="N557" t="n">
        <v>0</v>
      </c>
      <c r="O557" t="n">
        <v>0</v>
      </c>
      <c r="P557" t="n">
        <v>0</v>
      </c>
      <c r="Q557" t="n">
        <v>0</v>
      </c>
      <c r="R557" s="2" t="inlineStr"/>
    </row>
    <row r="558" ht="15" customHeight="1">
      <c r="A558" t="inlineStr">
        <is>
          <t>A 31090-2025</t>
        </is>
      </c>
      <c r="B558" s="1" t="n">
        <v>45832.59436342592</v>
      </c>
      <c r="C558" s="1" t="n">
        <v>45986</v>
      </c>
      <c r="D558" t="inlineStr">
        <is>
          <t>JÄMTLANDS LÄN</t>
        </is>
      </c>
      <c r="E558" t="inlineStr">
        <is>
          <t>BERG</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47197-2025</t>
        </is>
      </c>
      <c r="B559" s="1" t="n">
        <v>45930.34533564815</v>
      </c>
      <c r="C559" s="1" t="n">
        <v>45986</v>
      </c>
      <c r="D559" t="inlineStr">
        <is>
          <t>JÄMTLANDS LÄN</t>
        </is>
      </c>
      <c r="E559" t="inlineStr">
        <is>
          <t>BERG</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47434-2025</t>
        </is>
      </c>
      <c r="B560" s="1" t="n">
        <v>45930.63659722222</v>
      </c>
      <c r="C560" s="1" t="n">
        <v>45986</v>
      </c>
      <c r="D560" t="inlineStr">
        <is>
          <t>JÄMTLANDS LÄN</t>
        </is>
      </c>
      <c r="E560" t="inlineStr">
        <is>
          <t>BERG</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12342-2023</t>
        </is>
      </c>
      <c r="B561" s="1" t="n">
        <v>44998</v>
      </c>
      <c r="C561" s="1" t="n">
        <v>45986</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47534-2025</t>
        </is>
      </c>
      <c r="B562" s="1" t="n">
        <v>45931.3466550926</v>
      </c>
      <c r="C562" s="1" t="n">
        <v>45986</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31155-2024</t>
        </is>
      </c>
      <c r="B563" s="1" t="n">
        <v>45503</v>
      </c>
      <c r="C563" s="1" t="n">
        <v>45986</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51172-2024</t>
        </is>
      </c>
      <c r="B564" s="1" t="n">
        <v>45603.59056712963</v>
      </c>
      <c r="C564" s="1" t="n">
        <v>45986</v>
      </c>
      <c r="D564" t="inlineStr">
        <is>
          <t>JÄMTLANDS LÄN</t>
        </is>
      </c>
      <c r="E564" t="inlineStr">
        <is>
          <t>BERG</t>
        </is>
      </c>
      <c r="G564" t="n">
        <v>12.2</v>
      </c>
      <c r="H564" t="n">
        <v>0</v>
      </c>
      <c r="I564" t="n">
        <v>0</v>
      </c>
      <c r="J564" t="n">
        <v>0</v>
      </c>
      <c r="K564" t="n">
        <v>0</v>
      </c>
      <c r="L564" t="n">
        <v>0</v>
      </c>
      <c r="M564" t="n">
        <v>0</v>
      </c>
      <c r="N564" t="n">
        <v>0</v>
      </c>
      <c r="O564" t="n">
        <v>0</v>
      </c>
      <c r="P564" t="n">
        <v>0</v>
      </c>
      <c r="Q564" t="n">
        <v>0</v>
      </c>
      <c r="R564" s="2" t="inlineStr"/>
    </row>
    <row r="565" ht="15" customHeight="1">
      <c r="A565" t="inlineStr">
        <is>
          <t>A 48250-2025</t>
        </is>
      </c>
      <c r="B565" s="1" t="n">
        <v>45933.55259259259</v>
      </c>
      <c r="C565" s="1" t="n">
        <v>45986</v>
      </c>
      <c r="D565" t="inlineStr">
        <is>
          <t>JÄMTLANDS LÄN</t>
        </is>
      </c>
      <c r="E565" t="inlineStr">
        <is>
          <t>BERG</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65210-2023</t>
        </is>
      </c>
      <c r="B566" s="1" t="n">
        <v>45289</v>
      </c>
      <c r="C566" s="1" t="n">
        <v>45986</v>
      </c>
      <c r="D566" t="inlineStr">
        <is>
          <t>JÄMTLANDS LÄN</t>
        </is>
      </c>
      <c r="E566" t="inlineStr">
        <is>
          <t>BERG</t>
        </is>
      </c>
      <c r="G566" t="n">
        <v>0.4</v>
      </c>
      <c r="H566" t="n">
        <v>0</v>
      </c>
      <c r="I566" t="n">
        <v>0</v>
      </c>
      <c r="J566" t="n">
        <v>0</v>
      </c>
      <c r="K566" t="n">
        <v>0</v>
      </c>
      <c r="L566" t="n">
        <v>0</v>
      </c>
      <c r="M566" t="n">
        <v>0</v>
      </c>
      <c r="N566" t="n">
        <v>0</v>
      </c>
      <c r="O566" t="n">
        <v>0</v>
      </c>
      <c r="P566" t="n">
        <v>0</v>
      </c>
      <c r="Q566" t="n">
        <v>0</v>
      </c>
      <c r="R566" s="2" t="inlineStr"/>
    </row>
    <row r="567" ht="15" customHeight="1">
      <c r="A567" t="inlineStr">
        <is>
          <t>A 31136-2025</t>
        </is>
      </c>
      <c r="B567" s="1" t="n">
        <v>45832.63599537037</v>
      </c>
      <c r="C567" s="1" t="n">
        <v>45986</v>
      </c>
      <c r="D567" t="inlineStr">
        <is>
          <t>JÄMTLANDS LÄN</t>
        </is>
      </c>
      <c r="E567" t="inlineStr">
        <is>
          <t>BERG</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55770-2025</t>
        </is>
      </c>
      <c r="B568" s="1" t="n">
        <v>45972.61511574074</v>
      </c>
      <c r="C568" s="1" t="n">
        <v>45986</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48056-2025</t>
        </is>
      </c>
      <c r="B569" s="1" t="n">
        <v>45932.67946759259</v>
      </c>
      <c r="C569" s="1" t="n">
        <v>45986</v>
      </c>
      <c r="D569" t="inlineStr">
        <is>
          <t>JÄMTLANDS LÄN</t>
        </is>
      </c>
      <c r="E569" t="inlineStr">
        <is>
          <t>BERG</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12392-2025</t>
        </is>
      </c>
      <c r="B570" s="1" t="n">
        <v>45730.40104166666</v>
      </c>
      <c r="C570" s="1" t="n">
        <v>45986</v>
      </c>
      <c r="D570" t="inlineStr">
        <is>
          <t>JÄMTLANDS LÄN</t>
        </is>
      </c>
      <c r="E570" t="inlineStr">
        <is>
          <t>BERG</t>
        </is>
      </c>
      <c r="G570" t="n">
        <v>5.1</v>
      </c>
      <c r="H570" t="n">
        <v>0</v>
      </c>
      <c r="I570" t="n">
        <v>0</v>
      </c>
      <c r="J570" t="n">
        <v>0</v>
      </c>
      <c r="K570" t="n">
        <v>0</v>
      </c>
      <c r="L570" t="n">
        <v>0</v>
      </c>
      <c r="M570" t="n">
        <v>0</v>
      </c>
      <c r="N570" t="n">
        <v>0</v>
      </c>
      <c r="O570" t="n">
        <v>0</v>
      </c>
      <c r="P570" t="n">
        <v>0</v>
      </c>
      <c r="Q570" t="n">
        <v>0</v>
      </c>
      <c r="R570" s="2" t="inlineStr"/>
    </row>
    <row r="571" ht="15" customHeight="1">
      <c r="A571" t="inlineStr">
        <is>
          <t>A 56457-2025</t>
        </is>
      </c>
      <c r="B571" s="1" t="n">
        <v>45975.36277777778</v>
      </c>
      <c r="C571" s="1" t="n">
        <v>45986</v>
      </c>
      <c r="D571" t="inlineStr">
        <is>
          <t>JÄMTLANDS LÄN</t>
        </is>
      </c>
      <c r="E571" t="inlineStr">
        <is>
          <t>BERG</t>
        </is>
      </c>
      <c r="G571" t="n">
        <v>0.8</v>
      </c>
      <c r="H571" t="n">
        <v>0</v>
      </c>
      <c r="I571" t="n">
        <v>0</v>
      </c>
      <c r="J571" t="n">
        <v>0</v>
      </c>
      <c r="K571" t="n">
        <v>0</v>
      </c>
      <c r="L571" t="n">
        <v>0</v>
      </c>
      <c r="M571" t="n">
        <v>0</v>
      </c>
      <c r="N571" t="n">
        <v>0</v>
      </c>
      <c r="O571" t="n">
        <v>0</v>
      </c>
      <c r="P571" t="n">
        <v>0</v>
      </c>
      <c r="Q571" t="n">
        <v>0</v>
      </c>
      <c r="R571" s="2" t="inlineStr"/>
    </row>
    <row r="572" ht="15" customHeight="1">
      <c r="A572" t="inlineStr">
        <is>
          <t>A 64251-2023</t>
        </is>
      </c>
      <c r="B572" s="1" t="n">
        <v>45279.92756944444</v>
      </c>
      <c r="C572" s="1" t="n">
        <v>45986</v>
      </c>
      <c r="D572" t="inlineStr">
        <is>
          <t>JÄMTLANDS LÄN</t>
        </is>
      </c>
      <c r="E572" t="inlineStr">
        <is>
          <t>BERG</t>
        </is>
      </c>
      <c r="G572" t="n">
        <v>0.4</v>
      </c>
      <c r="H572" t="n">
        <v>0</v>
      </c>
      <c r="I572" t="n">
        <v>0</v>
      </c>
      <c r="J572" t="n">
        <v>0</v>
      </c>
      <c r="K572" t="n">
        <v>0</v>
      </c>
      <c r="L572" t="n">
        <v>0</v>
      </c>
      <c r="M572" t="n">
        <v>0</v>
      </c>
      <c r="N572" t="n">
        <v>0</v>
      </c>
      <c r="O572" t="n">
        <v>0</v>
      </c>
      <c r="P572" t="n">
        <v>0</v>
      </c>
      <c r="Q572" t="n">
        <v>0</v>
      </c>
      <c r="R572" s="2" t="inlineStr"/>
    </row>
    <row r="573" ht="15" customHeight="1">
      <c r="A573" t="inlineStr">
        <is>
          <t>A 33481-2023</t>
        </is>
      </c>
      <c r="B573" s="1" t="n">
        <v>45131</v>
      </c>
      <c r="C573" s="1" t="n">
        <v>45986</v>
      </c>
      <c r="D573" t="inlineStr">
        <is>
          <t>JÄMTLANDS LÄN</t>
        </is>
      </c>
      <c r="E573" t="inlineStr">
        <is>
          <t>BERG</t>
        </is>
      </c>
      <c r="F573" t="inlineStr">
        <is>
          <t>Sveaskog</t>
        </is>
      </c>
      <c r="G573" t="n">
        <v>4</v>
      </c>
      <c r="H573" t="n">
        <v>0</v>
      </c>
      <c r="I573" t="n">
        <v>0</v>
      </c>
      <c r="J573" t="n">
        <v>0</v>
      </c>
      <c r="K573" t="n">
        <v>0</v>
      </c>
      <c r="L573" t="n">
        <v>0</v>
      </c>
      <c r="M573" t="n">
        <v>0</v>
      </c>
      <c r="N573" t="n">
        <v>0</v>
      </c>
      <c r="O573" t="n">
        <v>0</v>
      </c>
      <c r="P573" t="n">
        <v>0</v>
      </c>
      <c r="Q573" t="n">
        <v>0</v>
      </c>
      <c r="R573" s="2" t="inlineStr"/>
    </row>
    <row r="574" ht="15" customHeight="1">
      <c r="A574" t="inlineStr">
        <is>
          <t>A 56199-2025</t>
        </is>
      </c>
      <c r="B574" s="1" t="n">
        <v>45974.45790509259</v>
      </c>
      <c r="C574" s="1" t="n">
        <v>45986</v>
      </c>
      <c r="D574" t="inlineStr">
        <is>
          <t>JÄMTLANDS LÄN</t>
        </is>
      </c>
      <c r="E574" t="inlineStr">
        <is>
          <t>BERG</t>
        </is>
      </c>
      <c r="G574" t="n">
        <v>0.8</v>
      </c>
      <c r="H574" t="n">
        <v>0</v>
      </c>
      <c r="I574" t="n">
        <v>0</v>
      </c>
      <c r="J574" t="n">
        <v>0</v>
      </c>
      <c r="K574" t="n">
        <v>0</v>
      </c>
      <c r="L574" t="n">
        <v>0</v>
      </c>
      <c r="M574" t="n">
        <v>0</v>
      </c>
      <c r="N574" t="n">
        <v>0</v>
      </c>
      <c r="O574" t="n">
        <v>0</v>
      </c>
      <c r="P574" t="n">
        <v>0</v>
      </c>
      <c r="Q574" t="n">
        <v>0</v>
      </c>
      <c r="R574" s="2" t="inlineStr"/>
    </row>
    <row r="575" ht="15" customHeight="1">
      <c r="A575" t="inlineStr">
        <is>
          <t>A 48209-2025</t>
        </is>
      </c>
      <c r="B575" s="1" t="n">
        <v>45933.4900462963</v>
      </c>
      <c r="C575" s="1" t="n">
        <v>45986</v>
      </c>
      <c r="D575" t="inlineStr">
        <is>
          <t>JÄMTLANDS LÄN</t>
        </is>
      </c>
      <c r="E575" t="inlineStr">
        <is>
          <t>BERG</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47821-2025</t>
        </is>
      </c>
      <c r="B576" s="1" t="n">
        <v>45932.34421296296</v>
      </c>
      <c r="C576" s="1" t="n">
        <v>45986</v>
      </c>
      <c r="D576" t="inlineStr">
        <is>
          <t>JÄMTLANDS LÄN</t>
        </is>
      </c>
      <c r="E576" t="inlineStr">
        <is>
          <t>BERG</t>
        </is>
      </c>
      <c r="F576" t="inlineStr">
        <is>
          <t>SCA</t>
        </is>
      </c>
      <c r="G576" t="n">
        <v>7.6</v>
      </c>
      <c r="H576" t="n">
        <v>0</v>
      </c>
      <c r="I576" t="n">
        <v>0</v>
      </c>
      <c r="J576" t="n">
        <v>0</v>
      </c>
      <c r="K576" t="n">
        <v>0</v>
      </c>
      <c r="L576" t="n">
        <v>0</v>
      </c>
      <c r="M576" t="n">
        <v>0</v>
      </c>
      <c r="N576" t="n">
        <v>0</v>
      </c>
      <c r="O576" t="n">
        <v>0</v>
      </c>
      <c r="P576" t="n">
        <v>0</v>
      </c>
      <c r="Q576" t="n">
        <v>0</v>
      </c>
      <c r="R576" s="2" t="inlineStr"/>
    </row>
    <row r="577" ht="15" customHeight="1">
      <c r="A577" t="inlineStr">
        <is>
          <t>A 48168-2025</t>
        </is>
      </c>
      <c r="B577" s="1" t="n">
        <v>45933.43004629629</v>
      </c>
      <c r="C577" s="1" t="n">
        <v>45986</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48190-2025</t>
        </is>
      </c>
      <c r="B578" s="1" t="n">
        <v>45933.46930555555</v>
      </c>
      <c r="C578" s="1" t="n">
        <v>45986</v>
      </c>
      <c r="D578" t="inlineStr">
        <is>
          <t>JÄMTLANDS LÄN</t>
        </is>
      </c>
      <c r="E578" t="inlineStr">
        <is>
          <t>BERG</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8711-2024</t>
        </is>
      </c>
      <c r="B579" s="1" t="n">
        <v>45356</v>
      </c>
      <c r="C579" s="1" t="n">
        <v>45986</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14198-2023</t>
        </is>
      </c>
      <c r="B580" s="1" t="n">
        <v>45009.57518518518</v>
      </c>
      <c r="C580" s="1" t="n">
        <v>45986</v>
      </c>
      <c r="D580" t="inlineStr">
        <is>
          <t>JÄMTLANDS LÄN</t>
        </is>
      </c>
      <c r="E580" t="inlineStr">
        <is>
          <t>BERG</t>
        </is>
      </c>
      <c r="G580" t="n">
        <v>2.3</v>
      </c>
      <c r="H580" t="n">
        <v>0</v>
      </c>
      <c r="I580" t="n">
        <v>0</v>
      </c>
      <c r="J580" t="n">
        <v>0</v>
      </c>
      <c r="K580" t="n">
        <v>0</v>
      </c>
      <c r="L580" t="n">
        <v>0</v>
      </c>
      <c r="M580" t="n">
        <v>0</v>
      </c>
      <c r="N580" t="n">
        <v>0</v>
      </c>
      <c r="O580" t="n">
        <v>0</v>
      </c>
      <c r="P580" t="n">
        <v>0</v>
      </c>
      <c r="Q580" t="n">
        <v>0</v>
      </c>
      <c r="R580" s="2" t="inlineStr"/>
    </row>
    <row r="581" ht="15" customHeight="1">
      <c r="A581" t="inlineStr">
        <is>
          <t>A 56234-2025</t>
        </is>
      </c>
      <c r="B581" s="1" t="n">
        <v>45974.53696759259</v>
      </c>
      <c r="C581" s="1" t="n">
        <v>45986</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1596-2024</t>
        </is>
      </c>
      <c r="B582" s="1" t="n">
        <v>45306</v>
      </c>
      <c r="C582" s="1" t="n">
        <v>45986</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32160-2025</t>
        </is>
      </c>
      <c r="B583" s="1" t="n">
        <v>45835.54142361111</v>
      </c>
      <c r="C583" s="1" t="n">
        <v>45986</v>
      </c>
      <c r="D583" t="inlineStr">
        <is>
          <t>JÄMTLANDS LÄN</t>
        </is>
      </c>
      <c r="E583" t="inlineStr">
        <is>
          <t>BERG</t>
        </is>
      </c>
      <c r="G583" t="n">
        <v>10.3</v>
      </c>
      <c r="H583" t="n">
        <v>0</v>
      </c>
      <c r="I583" t="n">
        <v>0</v>
      </c>
      <c r="J583" t="n">
        <v>0</v>
      </c>
      <c r="K583" t="n">
        <v>0</v>
      </c>
      <c r="L583" t="n">
        <v>0</v>
      </c>
      <c r="M583" t="n">
        <v>0</v>
      </c>
      <c r="N583" t="n">
        <v>0</v>
      </c>
      <c r="O583" t="n">
        <v>0</v>
      </c>
      <c r="P583" t="n">
        <v>0</v>
      </c>
      <c r="Q583" t="n">
        <v>0</v>
      </c>
      <c r="R583" s="2" t="inlineStr"/>
    </row>
    <row r="584" ht="15" customHeight="1">
      <c r="A584" t="inlineStr">
        <is>
          <t>A 31820-2025</t>
        </is>
      </c>
      <c r="B584" s="1" t="n">
        <v>45834.57930555556</v>
      </c>
      <c r="C584" s="1" t="n">
        <v>45986</v>
      </c>
      <c r="D584" t="inlineStr">
        <is>
          <t>JÄMTLANDS LÄN</t>
        </is>
      </c>
      <c r="E584" t="inlineStr">
        <is>
          <t>BERG</t>
        </is>
      </c>
      <c r="G584" t="n">
        <v>13.9</v>
      </c>
      <c r="H584" t="n">
        <v>0</v>
      </c>
      <c r="I584" t="n">
        <v>0</v>
      </c>
      <c r="J584" t="n">
        <v>0</v>
      </c>
      <c r="K584" t="n">
        <v>0</v>
      </c>
      <c r="L584" t="n">
        <v>0</v>
      </c>
      <c r="M584" t="n">
        <v>0</v>
      </c>
      <c r="N584" t="n">
        <v>0</v>
      </c>
      <c r="O584" t="n">
        <v>0</v>
      </c>
      <c r="P584" t="n">
        <v>0</v>
      </c>
      <c r="Q584" t="n">
        <v>0</v>
      </c>
      <c r="R584" s="2" t="inlineStr"/>
    </row>
    <row r="585" ht="15" customHeight="1">
      <c r="A585" t="inlineStr">
        <is>
          <t>A 48508-2025</t>
        </is>
      </c>
      <c r="B585" s="1" t="n">
        <v>45936.3859837963</v>
      </c>
      <c r="C585" s="1" t="n">
        <v>45986</v>
      </c>
      <c r="D585" t="inlineStr">
        <is>
          <t>JÄMTLANDS LÄN</t>
        </is>
      </c>
      <c r="E585" t="inlineStr">
        <is>
          <t>BERG</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57244-2025</t>
        </is>
      </c>
      <c r="B586" s="1" t="n">
        <v>45979.63030092593</v>
      </c>
      <c r="C586" s="1" t="n">
        <v>45986</v>
      </c>
      <c r="D586" t="inlineStr">
        <is>
          <t>JÄMTLANDS LÄN</t>
        </is>
      </c>
      <c r="E586" t="inlineStr">
        <is>
          <t>BERG</t>
        </is>
      </c>
      <c r="G586" t="n">
        <v>17.7</v>
      </c>
      <c r="H586" t="n">
        <v>0</v>
      </c>
      <c r="I586" t="n">
        <v>0</v>
      </c>
      <c r="J586" t="n">
        <v>0</v>
      </c>
      <c r="K586" t="n">
        <v>0</v>
      </c>
      <c r="L586" t="n">
        <v>0</v>
      </c>
      <c r="M586" t="n">
        <v>0</v>
      </c>
      <c r="N586" t="n">
        <v>0</v>
      </c>
      <c r="O586" t="n">
        <v>0</v>
      </c>
      <c r="P586" t="n">
        <v>0</v>
      </c>
      <c r="Q586" t="n">
        <v>0</v>
      </c>
      <c r="R586" s="2" t="inlineStr"/>
    </row>
    <row r="587" ht="15" customHeight="1">
      <c r="A587" t="inlineStr">
        <is>
          <t>A 57046-2025</t>
        </is>
      </c>
      <c r="B587" s="1" t="n">
        <v>45979.34672453703</v>
      </c>
      <c r="C587" s="1" t="n">
        <v>45986</v>
      </c>
      <c r="D587" t="inlineStr">
        <is>
          <t>JÄMTLANDS LÄN</t>
        </is>
      </c>
      <c r="E587" t="inlineStr">
        <is>
          <t>BERG</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1520-2022</t>
        </is>
      </c>
      <c r="B588" s="1" t="n">
        <v>44572</v>
      </c>
      <c r="C588" s="1" t="n">
        <v>45986</v>
      </c>
      <c r="D588" t="inlineStr">
        <is>
          <t>JÄMTLANDS LÄN</t>
        </is>
      </c>
      <c r="E588" t="inlineStr">
        <is>
          <t>BERG</t>
        </is>
      </c>
      <c r="G588" t="n">
        <v>7.7</v>
      </c>
      <c r="H588" t="n">
        <v>0</v>
      </c>
      <c r="I588" t="n">
        <v>0</v>
      </c>
      <c r="J588" t="n">
        <v>0</v>
      </c>
      <c r="K588" t="n">
        <v>0</v>
      </c>
      <c r="L588" t="n">
        <v>0</v>
      </c>
      <c r="M588" t="n">
        <v>0</v>
      </c>
      <c r="N588" t="n">
        <v>0</v>
      </c>
      <c r="O588" t="n">
        <v>0</v>
      </c>
      <c r="P588" t="n">
        <v>0</v>
      </c>
      <c r="Q588" t="n">
        <v>0</v>
      </c>
      <c r="R588" s="2" t="inlineStr"/>
    </row>
    <row r="589" ht="15" customHeight="1">
      <c r="A589" t="inlineStr">
        <is>
          <t>A 57039-2025</t>
        </is>
      </c>
      <c r="B589" s="1" t="n">
        <v>45979.34543981482</v>
      </c>
      <c r="C589" s="1" t="n">
        <v>45986</v>
      </c>
      <c r="D589" t="inlineStr">
        <is>
          <t>JÄMTLANDS LÄN</t>
        </is>
      </c>
      <c r="E589" t="inlineStr">
        <is>
          <t>BERG</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27239-2023</t>
        </is>
      </c>
      <c r="B590" s="1" t="n">
        <v>45092</v>
      </c>
      <c r="C590" s="1" t="n">
        <v>45986</v>
      </c>
      <c r="D590" t="inlineStr">
        <is>
          <t>JÄMTLANDS LÄN</t>
        </is>
      </c>
      <c r="E590" t="inlineStr">
        <is>
          <t>BERG</t>
        </is>
      </c>
      <c r="G590" t="n">
        <v>5.3</v>
      </c>
      <c r="H590" t="n">
        <v>0</v>
      </c>
      <c r="I590" t="n">
        <v>0</v>
      </c>
      <c r="J590" t="n">
        <v>0</v>
      </c>
      <c r="K590" t="n">
        <v>0</v>
      </c>
      <c r="L590" t="n">
        <v>0</v>
      </c>
      <c r="M590" t="n">
        <v>0</v>
      </c>
      <c r="N590" t="n">
        <v>0</v>
      </c>
      <c r="O590" t="n">
        <v>0</v>
      </c>
      <c r="P590" t="n">
        <v>0</v>
      </c>
      <c r="Q590" t="n">
        <v>0</v>
      </c>
      <c r="R590" s="2" t="inlineStr"/>
    </row>
    <row r="591" ht="15" customHeight="1">
      <c r="A591" t="inlineStr">
        <is>
          <t>A 14930-2025</t>
        </is>
      </c>
      <c r="B591" s="1" t="n">
        <v>45743</v>
      </c>
      <c r="C591" s="1" t="n">
        <v>45986</v>
      </c>
      <c r="D591" t="inlineStr">
        <is>
          <t>JÄMTLANDS LÄN</t>
        </is>
      </c>
      <c r="E591" t="inlineStr">
        <is>
          <t>BERG</t>
        </is>
      </c>
      <c r="F591" t="inlineStr">
        <is>
          <t>SCA</t>
        </is>
      </c>
      <c r="G591" t="n">
        <v>27.8</v>
      </c>
      <c r="H591" t="n">
        <v>0</v>
      </c>
      <c r="I591" t="n">
        <v>0</v>
      </c>
      <c r="J591" t="n">
        <v>0</v>
      </c>
      <c r="K591" t="n">
        <v>0</v>
      </c>
      <c r="L591" t="n">
        <v>0</v>
      </c>
      <c r="M591" t="n">
        <v>0</v>
      </c>
      <c r="N591" t="n">
        <v>0</v>
      </c>
      <c r="O591" t="n">
        <v>0</v>
      </c>
      <c r="P591" t="n">
        <v>0</v>
      </c>
      <c r="Q591" t="n">
        <v>0</v>
      </c>
      <c r="R591" s="2" t="inlineStr"/>
    </row>
    <row r="592" ht="15" customHeight="1">
      <c r="A592" t="inlineStr">
        <is>
          <t>A 32248-2024</t>
        </is>
      </c>
      <c r="B592" s="1" t="n">
        <v>45511.95144675926</v>
      </c>
      <c r="C592" s="1" t="n">
        <v>45986</v>
      </c>
      <c r="D592" t="inlineStr">
        <is>
          <t>JÄMTLANDS LÄN</t>
        </is>
      </c>
      <c r="E592" t="inlineStr">
        <is>
          <t>BERG</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57192-2025</t>
        </is>
      </c>
      <c r="B593" s="1" t="n">
        <v>45979.57696759259</v>
      </c>
      <c r="C593" s="1" t="n">
        <v>45986</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39103-2024</t>
        </is>
      </c>
      <c r="B594" s="1" t="n">
        <v>45548.57025462963</v>
      </c>
      <c r="C594" s="1" t="n">
        <v>45986</v>
      </c>
      <c r="D594" t="inlineStr">
        <is>
          <t>JÄMTLANDS LÄN</t>
        </is>
      </c>
      <c r="E594" t="inlineStr">
        <is>
          <t>BERG</t>
        </is>
      </c>
      <c r="G594" t="n">
        <v>38.4</v>
      </c>
      <c r="H594" t="n">
        <v>0</v>
      </c>
      <c r="I594" t="n">
        <v>0</v>
      </c>
      <c r="J594" t="n">
        <v>0</v>
      </c>
      <c r="K594" t="n">
        <v>0</v>
      </c>
      <c r="L594" t="n">
        <v>0</v>
      </c>
      <c r="M594" t="n">
        <v>0</v>
      </c>
      <c r="N594" t="n">
        <v>0</v>
      </c>
      <c r="O594" t="n">
        <v>0</v>
      </c>
      <c r="P594" t="n">
        <v>0</v>
      </c>
      <c r="Q594" t="n">
        <v>0</v>
      </c>
      <c r="R594" s="2" t="inlineStr"/>
    </row>
    <row r="595" ht="15" customHeight="1">
      <c r="A595" t="inlineStr">
        <is>
          <t>A 8191-2025</t>
        </is>
      </c>
      <c r="B595" s="1" t="n">
        <v>45708.40821759259</v>
      </c>
      <c r="C595" s="1" t="n">
        <v>45986</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14431-2025</t>
        </is>
      </c>
      <c r="B596" s="1" t="n">
        <v>45741</v>
      </c>
      <c r="C596" s="1" t="n">
        <v>45986</v>
      </c>
      <c r="D596" t="inlineStr">
        <is>
          <t>JÄMTLANDS LÄN</t>
        </is>
      </c>
      <c r="E596" t="inlineStr">
        <is>
          <t>BERG</t>
        </is>
      </c>
      <c r="G596" t="n">
        <v>1.7</v>
      </c>
      <c r="H596" t="n">
        <v>0</v>
      </c>
      <c r="I596" t="n">
        <v>0</v>
      </c>
      <c r="J596" t="n">
        <v>0</v>
      </c>
      <c r="K596" t="n">
        <v>0</v>
      </c>
      <c r="L596" t="n">
        <v>0</v>
      </c>
      <c r="M596" t="n">
        <v>0</v>
      </c>
      <c r="N596" t="n">
        <v>0</v>
      </c>
      <c r="O596" t="n">
        <v>0</v>
      </c>
      <c r="P596" t="n">
        <v>0</v>
      </c>
      <c r="Q596" t="n">
        <v>0</v>
      </c>
      <c r="R596" s="2" t="inlineStr"/>
    </row>
    <row r="597" ht="15" customHeight="1">
      <c r="A597" t="inlineStr">
        <is>
          <t>A 55239-2025</t>
        </is>
      </c>
      <c r="B597" s="1" t="n">
        <v>45968</v>
      </c>
      <c r="C597" s="1" t="n">
        <v>45986</v>
      </c>
      <c r="D597" t="inlineStr">
        <is>
          <t>JÄMTLANDS LÄN</t>
        </is>
      </c>
      <c r="E597" t="inlineStr">
        <is>
          <t>BERG</t>
        </is>
      </c>
      <c r="G597" t="n">
        <v>6.3</v>
      </c>
      <c r="H597" t="n">
        <v>0</v>
      </c>
      <c r="I597" t="n">
        <v>0</v>
      </c>
      <c r="J597" t="n">
        <v>0</v>
      </c>
      <c r="K597" t="n">
        <v>0</v>
      </c>
      <c r="L597" t="n">
        <v>0</v>
      </c>
      <c r="M597" t="n">
        <v>0</v>
      </c>
      <c r="N597" t="n">
        <v>0</v>
      </c>
      <c r="O597" t="n">
        <v>0</v>
      </c>
      <c r="P597" t="n">
        <v>0</v>
      </c>
      <c r="Q597" t="n">
        <v>0</v>
      </c>
      <c r="R597" s="2" t="inlineStr"/>
    </row>
    <row r="598" ht="15" customHeight="1">
      <c r="A598" t="inlineStr">
        <is>
          <t>A 55240-2025</t>
        </is>
      </c>
      <c r="B598" s="1" t="n">
        <v>45968</v>
      </c>
      <c r="C598" s="1" t="n">
        <v>45986</v>
      </c>
      <c r="D598" t="inlineStr">
        <is>
          <t>JÄMTLANDS LÄN</t>
        </is>
      </c>
      <c r="E598" t="inlineStr">
        <is>
          <t>BERG</t>
        </is>
      </c>
      <c r="G598" t="n">
        <v>11.2</v>
      </c>
      <c r="H598" t="n">
        <v>0</v>
      </c>
      <c r="I598" t="n">
        <v>0</v>
      </c>
      <c r="J598" t="n">
        <v>0</v>
      </c>
      <c r="K598" t="n">
        <v>0</v>
      </c>
      <c r="L598" t="n">
        <v>0</v>
      </c>
      <c r="M598" t="n">
        <v>0</v>
      </c>
      <c r="N598" t="n">
        <v>0</v>
      </c>
      <c r="O598" t="n">
        <v>0</v>
      </c>
      <c r="P598" t="n">
        <v>0</v>
      </c>
      <c r="Q598" t="n">
        <v>0</v>
      </c>
      <c r="R598" s="2" t="inlineStr"/>
    </row>
    <row r="599" ht="15" customHeight="1">
      <c r="A599" t="inlineStr">
        <is>
          <t>A 48511-2025</t>
        </is>
      </c>
      <c r="B599" s="1" t="n">
        <v>45936.3865162037</v>
      </c>
      <c r="C599" s="1" t="n">
        <v>45986</v>
      </c>
      <c r="D599" t="inlineStr">
        <is>
          <t>JÄMTLANDS LÄN</t>
        </is>
      </c>
      <c r="E599" t="inlineStr">
        <is>
          <t>BERG</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25565-2023</t>
        </is>
      </c>
      <c r="B600" s="1" t="n">
        <v>45082</v>
      </c>
      <c r="C600" s="1" t="n">
        <v>45986</v>
      </c>
      <c r="D600" t="inlineStr">
        <is>
          <t>JÄMTLANDS LÄN</t>
        </is>
      </c>
      <c r="E600" t="inlineStr">
        <is>
          <t>BERG</t>
        </is>
      </c>
      <c r="G600" t="n">
        <v>3.1</v>
      </c>
      <c r="H600" t="n">
        <v>0</v>
      </c>
      <c r="I600" t="n">
        <v>0</v>
      </c>
      <c r="J600" t="n">
        <v>0</v>
      </c>
      <c r="K600" t="n">
        <v>0</v>
      </c>
      <c r="L600" t="n">
        <v>0</v>
      </c>
      <c r="M600" t="n">
        <v>0</v>
      </c>
      <c r="N600" t="n">
        <v>0</v>
      </c>
      <c r="O600" t="n">
        <v>0</v>
      </c>
      <c r="P600" t="n">
        <v>0</v>
      </c>
      <c r="Q600" t="n">
        <v>0</v>
      </c>
      <c r="R600" s="2" t="inlineStr"/>
    </row>
    <row r="601" ht="15" customHeight="1">
      <c r="A601" t="inlineStr">
        <is>
          <t>A 48704-2025</t>
        </is>
      </c>
      <c r="B601" s="1" t="n">
        <v>45936.6222337963</v>
      </c>
      <c r="C601" s="1" t="n">
        <v>45986</v>
      </c>
      <c r="D601" t="inlineStr">
        <is>
          <t>JÄMTLANDS LÄN</t>
        </is>
      </c>
      <c r="E601" t="inlineStr">
        <is>
          <t>BERG</t>
        </is>
      </c>
      <c r="G601" t="n">
        <v>2.7</v>
      </c>
      <c r="H601" t="n">
        <v>0</v>
      </c>
      <c r="I601" t="n">
        <v>0</v>
      </c>
      <c r="J601" t="n">
        <v>0</v>
      </c>
      <c r="K601" t="n">
        <v>0</v>
      </c>
      <c r="L601" t="n">
        <v>0</v>
      </c>
      <c r="M601" t="n">
        <v>0</v>
      </c>
      <c r="N601" t="n">
        <v>0</v>
      </c>
      <c r="O601" t="n">
        <v>0</v>
      </c>
      <c r="P601" t="n">
        <v>0</v>
      </c>
      <c r="Q601" t="n">
        <v>0</v>
      </c>
      <c r="R601" s="2" t="inlineStr"/>
    </row>
    <row r="602" ht="15" customHeight="1">
      <c r="A602" t="inlineStr">
        <is>
          <t>A 57661-2024</t>
        </is>
      </c>
      <c r="B602" s="1" t="n">
        <v>45630.6140162037</v>
      </c>
      <c r="C602" s="1" t="n">
        <v>45986</v>
      </c>
      <c r="D602" t="inlineStr">
        <is>
          <t>JÄMTLANDS LÄN</t>
        </is>
      </c>
      <c r="E602" t="inlineStr">
        <is>
          <t>BERG</t>
        </is>
      </c>
      <c r="G602" t="n">
        <v>0.8</v>
      </c>
      <c r="H602" t="n">
        <v>0</v>
      </c>
      <c r="I602" t="n">
        <v>0</v>
      </c>
      <c r="J602" t="n">
        <v>0</v>
      </c>
      <c r="K602" t="n">
        <v>0</v>
      </c>
      <c r="L602" t="n">
        <v>0</v>
      </c>
      <c r="M602" t="n">
        <v>0</v>
      </c>
      <c r="N602" t="n">
        <v>0</v>
      </c>
      <c r="O602" t="n">
        <v>0</v>
      </c>
      <c r="P602" t="n">
        <v>0</v>
      </c>
      <c r="Q602" t="n">
        <v>0</v>
      </c>
      <c r="R602" s="2" t="inlineStr"/>
    </row>
    <row r="603" ht="15" customHeight="1">
      <c r="A603" t="inlineStr">
        <is>
          <t>A 32713-2025</t>
        </is>
      </c>
      <c r="B603" s="1" t="n">
        <v>45839.36935185185</v>
      </c>
      <c r="C603" s="1" t="n">
        <v>45986</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28403-2025</t>
        </is>
      </c>
      <c r="B604" s="1" t="n">
        <v>45819</v>
      </c>
      <c r="C604" s="1" t="n">
        <v>45986</v>
      </c>
      <c r="D604" t="inlineStr">
        <is>
          <t>JÄMTLANDS LÄN</t>
        </is>
      </c>
      <c r="E604" t="inlineStr">
        <is>
          <t>BERG</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45208-2024</t>
        </is>
      </c>
      <c r="B605" s="1" t="n">
        <v>45575.7077662037</v>
      </c>
      <c r="C605" s="1" t="n">
        <v>45986</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55237-2025</t>
        </is>
      </c>
      <c r="B606" s="1" t="n">
        <v>45968</v>
      </c>
      <c r="C606" s="1" t="n">
        <v>45986</v>
      </c>
      <c r="D606" t="inlineStr">
        <is>
          <t>JÄMTLANDS LÄN</t>
        </is>
      </c>
      <c r="E606" t="inlineStr">
        <is>
          <t>BERG</t>
        </is>
      </c>
      <c r="G606" t="n">
        <v>11.9</v>
      </c>
      <c r="H606" t="n">
        <v>0</v>
      </c>
      <c r="I606" t="n">
        <v>0</v>
      </c>
      <c r="J606" t="n">
        <v>0</v>
      </c>
      <c r="K606" t="n">
        <v>0</v>
      </c>
      <c r="L606" t="n">
        <v>0</v>
      </c>
      <c r="M606" t="n">
        <v>0</v>
      </c>
      <c r="N606" t="n">
        <v>0</v>
      </c>
      <c r="O606" t="n">
        <v>0</v>
      </c>
      <c r="P606" t="n">
        <v>0</v>
      </c>
      <c r="Q606" t="n">
        <v>0</v>
      </c>
      <c r="R606" s="2" t="inlineStr"/>
    </row>
    <row r="607" ht="15" customHeight="1">
      <c r="A607" t="inlineStr">
        <is>
          <t>A 35866-2024</t>
        </is>
      </c>
      <c r="B607" s="1" t="n">
        <v>45533.3422337963</v>
      </c>
      <c r="C607" s="1" t="n">
        <v>45986</v>
      </c>
      <c r="D607" t="inlineStr">
        <is>
          <t>JÄMTLANDS LÄN</t>
        </is>
      </c>
      <c r="E607" t="inlineStr">
        <is>
          <t>BERG</t>
        </is>
      </c>
      <c r="G607" t="n">
        <v>2.5</v>
      </c>
      <c r="H607" t="n">
        <v>0</v>
      </c>
      <c r="I607" t="n">
        <v>0</v>
      </c>
      <c r="J607" t="n">
        <v>0</v>
      </c>
      <c r="K607" t="n">
        <v>0</v>
      </c>
      <c r="L607" t="n">
        <v>0</v>
      </c>
      <c r="M607" t="n">
        <v>0</v>
      </c>
      <c r="N607" t="n">
        <v>0</v>
      </c>
      <c r="O607" t="n">
        <v>0</v>
      </c>
      <c r="P607" t="n">
        <v>0</v>
      </c>
      <c r="Q607" t="n">
        <v>0</v>
      </c>
      <c r="R607" s="2" t="inlineStr"/>
    </row>
    <row r="608" ht="15" customHeight="1">
      <c r="A608" t="inlineStr">
        <is>
          <t>A 14772-2021</t>
        </is>
      </c>
      <c r="B608" s="1" t="n">
        <v>44280.62068287037</v>
      </c>
      <c r="C608" s="1" t="n">
        <v>45986</v>
      </c>
      <c r="D608" t="inlineStr">
        <is>
          <t>JÄMTLANDS LÄN</t>
        </is>
      </c>
      <c r="E608" t="inlineStr">
        <is>
          <t>BERG</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57861-2025</t>
        </is>
      </c>
      <c r="B609" s="1" t="n">
        <v>45981.64236111111</v>
      </c>
      <c r="C609" s="1" t="n">
        <v>45986</v>
      </c>
      <c r="D609" t="inlineStr">
        <is>
          <t>JÄMTLANDS LÄN</t>
        </is>
      </c>
      <c r="E609" t="inlineStr">
        <is>
          <t>BERG</t>
        </is>
      </c>
      <c r="G609" t="n">
        <v>1.3</v>
      </c>
      <c r="H609" t="n">
        <v>0</v>
      </c>
      <c r="I609" t="n">
        <v>0</v>
      </c>
      <c r="J609" t="n">
        <v>0</v>
      </c>
      <c r="K609" t="n">
        <v>0</v>
      </c>
      <c r="L609" t="n">
        <v>0</v>
      </c>
      <c r="M609" t="n">
        <v>0</v>
      </c>
      <c r="N609" t="n">
        <v>0</v>
      </c>
      <c r="O609" t="n">
        <v>0</v>
      </c>
      <c r="P609" t="n">
        <v>0</v>
      </c>
      <c r="Q609" t="n">
        <v>0</v>
      </c>
      <c r="R609" s="2" t="inlineStr"/>
    </row>
    <row r="610" ht="15" customHeight="1">
      <c r="A610" t="inlineStr">
        <is>
          <t>A 32919-2025</t>
        </is>
      </c>
      <c r="B610" s="1" t="n">
        <v>45839.64721064815</v>
      </c>
      <c r="C610" s="1" t="n">
        <v>45986</v>
      </c>
      <c r="D610" t="inlineStr">
        <is>
          <t>JÄMTLANDS LÄN</t>
        </is>
      </c>
      <c r="E610" t="inlineStr">
        <is>
          <t>BERG</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48865-2025</t>
        </is>
      </c>
      <c r="B611" s="1" t="n">
        <v>45937.44760416666</v>
      </c>
      <c r="C611" s="1" t="n">
        <v>45986</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57276-2025</t>
        </is>
      </c>
      <c r="B612" s="1" t="n">
        <v>45979.68783564815</v>
      </c>
      <c r="C612" s="1" t="n">
        <v>45986</v>
      </c>
      <c r="D612" t="inlineStr">
        <is>
          <t>JÄMTLANDS LÄN</t>
        </is>
      </c>
      <c r="E612" t="inlineStr">
        <is>
          <t>BERG</t>
        </is>
      </c>
      <c r="G612" t="n">
        <v>4.8</v>
      </c>
      <c r="H612" t="n">
        <v>0</v>
      </c>
      <c r="I612" t="n">
        <v>0</v>
      </c>
      <c r="J612" t="n">
        <v>0</v>
      </c>
      <c r="K612" t="n">
        <v>0</v>
      </c>
      <c r="L612" t="n">
        <v>0</v>
      </c>
      <c r="M612" t="n">
        <v>0</v>
      </c>
      <c r="N612" t="n">
        <v>0</v>
      </c>
      <c r="O612" t="n">
        <v>0</v>
      </c>
      <c r="P612" t="n">
        <v>0</v>
      </c>
      <c r="Q612" t="n">
        <v>0</v>
      </c>
      <c r="R612" s="2" t="inlineStr"/>
    </row>
    <row r="613" ht="15" customHeight="1">
      <c r="A613" t="inlineStr">
        <is>
          <t>A 48968-2025</t>
        </is>
      </c>
      <c r="B613" s="1" t="n">
        <v>45937.56285879629</v>
      </c>
      <c r="C613" s="1" t="n">
        <v>45986</v>
      </c>
      <c r="D613" t="inlineStr">
        <is>
          <t>JÄMTLANDS LÄN</t>
        </is>
      </c>
      <c r="E613" t="inlineStr">
        <is>
          <t>BERG</t>
        </is>
      </c>
      <c r="G613" t="n">
        <v>20</v>
      </c>
      <c r="H613" t="n">
        <v>0</v>
      </c>
      <c r="I613" t="n">
        <v>0</v>
      </c>
      <c r="J613" t="n">
        <v>0</v>
      </c>
      <c r="K613" t="n">
        <v>0</v>
      </c>
      <c r="L613" t="n">
        <v>0</v>
      </c>
      <c r="M613" t="n">
        <v>0</v>
      </c>
      <c r="N613" t="n">
        <v>0</v>
      </c>
      <c r="O613" t="n">
        <v>0</v>
      </c>
      <c r="P613" t="n">
        <v>0</v>
      </c>
      <c r="Q613" t="n">
        <v>0</v>
      </c>
      <c r="R613" s="2" t="inlineStr"/>
    </row>
    <row r="614" ht="15" customHeight="1">
      <c r="A614" t="inlineStr">
        <is>
          <t>A 48770-2025</t>
        </is>
      </c>
      <c r="B614" s="1" t="n">
        <v>45936.91108796297</v>
      </c>
      <c r="C614" s="1" t="n">
        <v>45986</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37101-2024</t>
        </is>
      </c>
      <c r="B615" s="1" t="n">
        <v>45539.5029050926</v>
      </c>
      <c r="C615" s="1" t="n">
        <v>45986</v>
      </c>
      <c r="D615" t="inlineStr">
        <is>
          <t>JÄMTLANDS LÄN</t>
        </is>
      </c>
      <c r="E615" t="inlineStr">
        <is>
          <t>BERG</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49391-2025</t>
        </is>
      </c>
      <c r="B616" s="1" t="n">
        <v>45938.65011574074</v>
      </c>
      <c r="C616" s="1" t="n">
        <v>45986</v>
      </c>
      <c r="D616" t="inlineStr">
        <is>
          <t>JÄMTLANDS LÄN</t>
        </is>
      </c>
      <c r="E616" t="inlineStr">
        <is>
          <t>BERG</t>
        </is>
      </c>
      <c r="G616" t="n">
        <v>3.7</v>
      </c>
      <c r="H616" t="n">
        <v>0</v>
      </c>
      <c r="I616" t="n">
        <v>0</v>
      </c>
      <c r="J616" t="n">
        <v>0</v>
      </c>
      <c r="K616" t="n">
        <v>0</v>
      </c>
      <c r="L616" t="n">
        <v>0</v>
      </c>
      <c r="M616" t="n">
        <v>0</v>
      </c>
      <c r="N616" t="n">
        <v>0</v>
      </c>
      <c r="O616" t="n">
        <v>0</v>
      </c>
      <c r="P616" t="n">
        <v>0</v>
      </c>
      <c r="Q616" t="n">
        <v>0</v>
      </c>
      <c r="R616" s="2" t="inlineStr"/>
    </row>
    <row r="617" ht="15" customHeight="1">
      <c r="A617" t="inlineStr">
        <is>
          <t>A 37067-2023</t>
        </is>
      </c>
      <c r="B617" s="1" t="n">
        <v>45154</v>
      </c>
      <c r="C617" s="1" t="n">
        <v>45986</v>
      </c>
      <c r="D617" t="inlineStr">
        <is>
          <t>JÄMTLANDS LÄN</t>
        </is>
      </c>
      <c r="E617" t="inlineStr">
        <is>
          <t>BERG</t>
        </is>
      </c>
      <c r="G617" t="n">
        <v>7.4</v>
      </c>
      <c r="H617" t="n">
        <v>0</v>
      </c>
      <c r="I617" t="n">
        <v>0</v>
      </c>
      <c r="J617" t="n">
        <v>0</v>
      </c>
      <c r="K617" t="n">
        <v>0</v>
      </c>
      <c r="L617" t="n">
        <v>0</v>
      </c>
      <c r="M617" t="n">
        <v>0</v>
      </c>
      <c r="N617" t="n">
        <v>0</v>
      </c>
      <c r="O617" t="n">
        <v>0</v>
      </c>
      <c r="P617" t="n">
        <v>0</v>
      </c>
      <c r="Q617" t="n">
        <v>0</v>
      </c>
      <c r="R617" s="2" t="inlineStr"/>
    </row>
    <row r="618" ht="15" customHeight="1">
      <c r="A618" t="inlineStr">
        <is>
          <t>A 57503-2025</t>
        </is>
      </c>
      <c r="B618" s="1" t="n">
        <v>45980.59431712963</v>
      </c>
      <c r="C618" s="1" t="n">
        <v>45986</v>
      </c>
      <c r="D618" t="inlineStr">
        <is>
          <t>JÄMTLANDS LÄN</t>
        </is>
      </c>
      <c r="E618" t="inlineStr">
        <is>
          <t>BERG</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8733-2025</t>
        </is>
      </c>
      <c r="B619" s="1" t="n">
        <v>45712.53197916667</v>
      </c>
      <c r="C619" s="1" t="n">
        <v>45986</v>
      </c>
      <c r="D619" t="inlineStr">
        <is>
          <t>JÄMTLANDS LÄN</t>
        </is>
      </c>
      <c r="E619" t="inlineStr">
        <is>
          <t>BERG</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49041-2025</t>
        </is>
      </c>
      <c r="B620" s="1" t="n">
        <v>45937.63592592593</v>
      </c>
      <c r="C620" s="1" t="n">
        <v>45986</v>
      </c>
      <c r="D620" t="inlineStr">
        <is>
          <t>JÄMTLANDS LÄN</t>
        </is>
      </c>
      <c r="E620" t="inlineStr">
        <is>
          <t>BERG</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57763-2025</t>
        </is>
      </c>
      <c r="B621" s="1" t="n">
        <v>45981.55693287037</v>
      </c>
      <c r="C621" s="1" t="n">
        <v>45986</v>
      </c>
      <c r="D621" t="inlineStr">
        <is>
          <t>JÄMTLANDS LÄN</t>
        </is>
      </c>
      <c r="E621" t="inlineStr">
        <is>
          <t>BERG</t>
        </is>
      </c>
      <c r="F621" t="inlineStr">
        <is>
          <t>Övriga Aktiebolag</t>
        </is>
      </c>
      <c r="G621" t="n">
        <v>13.1</v>
      </c>
      <c r="H621" t="n">
        <v>0</v>
      </c>
      <c r="I621" t="n">
        <v>0</v>
      </c>
      <c r="J621" t="n">
        <v>0</v>
      </c>
      <c r="K621" t="n">
        <v>0</v>
      </c>
      <c r="L621" t="n">
        <v>0</v>
      </c>
      <c r="M621" t="n">
        <v>0</v>
      </c>
      <c r="N621" t="n">
        <v>0</v>
      </c>
      <c r="O621" t="n">
        <v>0</v>
      </c>
      <c r="P621" t="n">
        <v>0</v>
      </c>
      <c r="Q621" t="n">
        <v>0</v>
      </c>
      <c r="R621" s="2" t="inlineStr"/>
    </row>
    <row r="622" ht="15" customHeight="1">
      <c r="A622" t="inlineStr">
        <is>
          <t>A 34601-2024</t>
        </is>
      </c>
      <c r="B622" s="1" t="n">
        <v>45526.4034375</v>
      </c>
      <c r="C622" s="1" t="n">
        <v>45986</v>
      </c>
      <c r="D622" t="inlineStr">
        <is>
          <t>JÄMTLANDS LÄN</t>
        </is>
      </c>
      <c r="E622" t="inlineStr">
        <is>
          <t>BERG</t>
        </is>
      </c>
      <c r="G622" t="n">
        <v>0.6</v>
      </c>
      <c r="H622" t="n">
        <v>0</v>
      </c>
      <c r="I622" t="n">
        <v>0</v>
      </c>
      <c r="J622" t="n">
        <v>0</v>
      </c>
      <c r="K622" t="n">
        <v>0</v>
      </c>
      <c r="L622" t="n">
        <v>0</v>
      </c>
      <c r="M622" t="n">
        <v>0</v>
      </c>
      <c r="N622" t="n">
        <v>0</v>
      </c>
      <c r="O622" t="n">
        <v>0</v>
      </c>
      <c r="P622" t="n">
        <v>0</v>
      </c>
      <c r="Q622" t="n">
        <v>0</v>
      </c>
      <c r="R622" s="2" t="inlineStr"/>
    </row>
    <row r="623" ht="15" customHeight="1">
      <c r="A623" t="inlineStr">
        <is>
          <t>A 33054-2025</t>
        </is>
      </c>
      <c r="B623" s="1" t="n">
        <v>45840.42746527777</v>
      </c>
      <c r="C623" s="1" t="n">
        <v>45986</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57271-2025</t>
        </is>
      </c>
      <c r="B624" s="1" t="n">
        <v>45979.67789351852</v>
      </c>
      <c r="C624" s="1" t="n">
        <v>45986</v>
      </c>
      <c r="D624" t="inlineStr">
        <is>
          <t>JÄMTLANDS LÄN</t>
        </is>
      </c>
      <c r="E624" t="inlineStr">
        <is>
          <t>BERG</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57849-2025</t>
        </is>
      </c>
      <c r="B625" s="1" t="n">
        <v>45981.63472222222</v>
      </c>
      <c r="C625" s="1" t="n">
        <v>45986</v>
      </c>
      <c r="D625" t="inlineStr">
        <is>
          <t>JÄMTLANDS LÄN</t>
        </is>
      </c>
      <c r="E625" t="inlineStr">
        <is>
          <t>BERG</t>
        </is>
      </c>
      <c r="G625" t="n">
        <v>1.8</v>
      </c>
      <c r="H625" t="n">
        <v>0</v>
      </c>
      <c r="I625" t="n">
        <v>0</v>
      </c>
      <c r="J625" t="n">
        <v>0</v>
      </c>
      <c r="K625" t="n">
        <v>0</v>
      </c>
      <c r="L625" t="n">
        <v>0</v>
      </c>
      <c r="M625" t="n">
        <v>0</v>
      </c>
      <c r="N625" t="n">
        <v>0</v>
      </c>
      <c r="O625" t="n">
        <v>0</v>
      </c>
      <c r="P625" t="n">
        <v>0</v>
      </c>
      <c r="Q625" t="n">
        <v>0</v>
      </c>
      <c r="R625" s="2" t="inlineStr"/>
    </row>
    <row r="626" ht="15" customHeight="1">
      <c r="A626" t="inlineStr">
        <is>
          <t>A 19258-2025</t>
        </is>
      </c>
      <c r="B626" s="1" t="n">
        <v>45769.49987268518</v>
      </c>
      <c r="C626" s="1" t="n">
        <v>45986</v>
      </c>
      <c r="D626" t="inlineStr">
        <is>
          <t>JÄMTLANDS LÄN</t>
        </is>
      </c>
      <c r="E626" t="inlineStr">
        <is>
          <t>BERG</t>
        </is>
      </c>
      <c r="G626" t="n">
        <v>10.9</v>
      </c>
      <c r="H626" t="n">
        <v>0</v>
      </c>
      <c r="I626" t="n">
        <v>0</v>
      </c>
      <c r="J626" t="n">
        <v>0</v>
      </c>
      <c r="K626" t="n">
        <v>0</v>
      </c>
      <c r="L626" t="n">
        <v>0</v>
      </c>
      <c r="M626" t="n">
        <v>0</v>
      </c>
      <c r="N626" t="n">
        <v>0</v>
      </c>
      <c r="O626" t="n">
        <v>0</v>
      </c>
      <c r="P626" t="n">
        <v>0</v>
      </c>
      <c r="Q626" t="n">
        <v>0</v>
      </c>
      <c r="R626" s="2" t="inlineStr"/>
    </row>
    <row r="627" ht="15" customHeight="1">
      <c r="A627" t="inlineStr">
        <is>
          <t>A 49573-2025</t>
        </is>
      </c>
      <c r="B627" s="1" t="n">
        <v>45939.49037037037</v>
      </c>
      <c r="C627" s="1" t="n">
        <v>45986</v>
      </c>
      <c r="D627" t="inlineStr">
        <is>
          <t>JÄMTLANDS LÄN</t>
        </is>
      </c>
      <c r="E627" t="inlineStr">
        <is>
          <t>BERG</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16022-2025</t>
        </is>
      </c>
      <c r="B628" s="1" t="n">
        <v>45749.60973379629</v>
      </c>
      <c r="C628" s="1" t="n">
        <v>45986</v>
      </c>
      <c r="D628" t="inlineStr">
        <is>
          <t>JÄMTLANDS LÄN</t>
        </is>
      </c>
      <c r="E628" t="inlineStr">
        <is>
          <t>BERG</t>
        </is>
      </c>
      <c r="G628" t="n">
        <v>2</v>
      </c>
      <c r="H628" t="n">
        <v>0</v>
      </c>
      <c r="I628" t="n">
        <v>0</v>
      </c>
      <c r="J628" t="n">
        <v>0</v>
      </c>
      <c r="K628" t="n">
        <v>0</v>
      </c>
      <c r="L628" t="n">
        <v>0</v>
      </c>
      <c r="M628" t="n">
        <v>0</v>
      </c>
      <c r="N628" t="n">
        <v>0</v>
      </c>
      <c r="O628" t="n">
        <v>0</v>
      </c>
      <c r="P628" t="n">
        <v>0</v>
      </c>
      <c r="Q628" t="n">
        <v>0</v>
      </c>
      <c r="R628" s="2" t="inlineStr"/>
    </row>
    <row r="629" ht="15" customHeight="1">
      <c r="A629" t="inlineStr">
        <is>
          <t>A 28098-2024</t>
        </is>
      </c>
      <c r="B629" s="1" t="n">
        <v>45476.61347222222</v>
      </c>
      <c r="C629" s="1" t="n">
        <v>45986</v>
      </c>
      <c r="D629" t="inlineStr">
        <is>
          <t>JÄMTLANDS LÄN</t>
        </is>
      </c>
      <c r="E629" t="inlineStr">
        <is>
          <t>BERG</t>
        </is>
      </c>
      <c r="G629" t="n">
        <v>0.4</v>
      </c>
      <c r="H629" t="n">
        <v>0</v>
      </c>
      <c r="I629" t="n">
        <v>0</v>
      </c>
      <c r="J629" t="n">
        <v>0</v>
      </c>
      <c r="K629" t="n">
        <v>0</v>
      </c>
      <c r="L629" t="n">
        <v>0</v>
      </c>
      <c r="M629" t="n">
        <v>0</v>
      </c>
      <c r="N629" t="n">
        <v>0</v>
      </c>
      <c r="O629" t="n">
        <v>0</v>
      </c>
      <c r="P629" t="n">
        <v>0</v>
      </c>
      <c r="Q629" t="n">
        <v>0</v>
      </c>
      <c r="R629" s="2" t="inlineStr"/>
    </row>
    <row r="630" ht="15" customHeight="1">
      <c r="A630" t="inlineStr">
        <is>
          <t>A 12499-2021</t>
        </is>
      </c>
      <c r="B630" s="1" t="n">
        <v>44267</v>
      </c>
      <c r="C630" s="1" t="n">
        <v>45986</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33750-2025</t>
        </is>
      </c>
      <c r="B631" s="1" t="n">
        <v>45842.36243055556</v>
      </c>
      <c r="C631" s="1" t="n">
        <v>45986</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57602-2025</t>
        </is>
      </c>
      <c r="B632" s="1" t="n">
        <v>45981.31667824074</v>
      </c>
      <c r="C632" s="1" t="n">
        <v>45986</v>
      </c>
      <c r="D632" t="inlineStr">
        <is>
          <t>JÄMTLANDS LÄN</t>
        </is>
      </c>
      <c r="E632" t="inlineStr">
        <is>
          <t>BERG</t>
        </is>
      </c>
      <c r="G632" t="n">
        <v>2.7</v>
      </c>
      <c r="H632" t="n">
        <v>0</v>
      </c>
      <c r="I632" t="n">
        <v>0</v>
      </c>
      <c r="J632" t="n">
        <v>0</v>
      </c>
      <c r="K632" t="n">
        <v>0</v>
      </c>
      <c r="L632" t="n">
        <v>0</v>
      </c>
      <c r="M632" t="n">
        <v>0</v>
      </c>
      <c r="N632" t="n">
        <v>0</v>
      </c>
      <c r="O632" t="n">
        <v>0</v>
      </c>
      <c r="P632" t="n">
        <v>0</v>
      </c>
      <c r="Q632" t="n">
        <v>0</v>
      </c>
      <c r="R632" s="2" t="inlineStr"/>
    </row>
    <row r="633" ht="15" customHeight="1">
      <c r="A633" t="inlineStr">
        <is>
          <t>A 47099-2024</t>
        </is>
      </c>
      <c r="B633" s="1" t="n">
        <v>45586.53743055555</v>
      </c>
      <c r="C633" s="1" t="n">
        <v>45986</v>
      </c>
      <c r="D633" t="inlineStr">
        <is>
          <t>JÄMTLANDS LÄN</t>
        </is>
      </c>
      <c r="E633" t="inlineStr">
        <is>
          <t>BERG</t>
        </is>
      </c>
      <c r="G633" t="n">
        <v>5.9</v>
      </c>
      <c r="H633" t="n">
        <v>0</v>
      </c>
      <c r="I633" t="n">
        <v>0</v>
      </c>
      <c r="J633" t="n">
        <v>0</v>
      </c>
      <c r="K633" t="n">
        <v>0</v>
      </c>
      <c r="L633" t="n">
        <v>0</v>
      </c>
      <c r="M633" t="n">
        <v>0</v>
      </c>
      <c r="N633" t="n">
        <v>0</v>
      </c>
      <c r="O633" t="n">
        <v>0</v>
      </c>
      <c r="P633" t="n">
        <v>0</v>
      </c>
      <c r="Q633" t="n">
        <v>0</v>
      </c>
      <c r="R633" s="2" t="inlineStr"/>
    </row>
    <row r="634" ht="15" customHeight="1">
      <c r="A634" t="inlineStr">
        <is>
          <t>A 49349-2025</t>
        </is>
      </c>
      <c r="B634" s="1" t="n">
        <v>45938.61060185185</v>
      </c>
      <c r="C634" s="1" t="n">
        <v>45986</v>
      </c>
      <c r="D634" t="inlineStr">
        <is>
          <t>JÄMTLANDS LÄN</t>
        </is>
      </c>
      <c r="E634" t="inlineStr">
        <is>
          <t>BERG</t>
        </is>
      </c>
      <c r="G634" t="n">
        <v>2.5</v>
      </c>
      <c r="H634" t="n">
        <v>0</v>
      </c>
      <c r="I634" t="n">
        <v>0</v>
      </c>
      <c r="J634" t="n">
        <v>0</v>
      </c>
      <c r="K634" t="n">
        <v>0</v>
      </c>
      <c r="L634" t="n">
        <v>0</v>
      </c>
      <c r="M634" t="n">
        <v>0</v>
      </c>
      <c r="N634" t="n">
        <v>0</v>
      </c>
      <c r="O634" t="n">
        <v>0</v>
      </c>
      <c r="P634" t="n">
        <v>0</v>
      </c>
      <c r="Q634" t="n">
        <v>0</v>
      </c>
      <c r="R634" s="2" t="inlineStr"/>
    </row>
    <row r="635" ht="15" customHeight="1">
      <c r="A635" t="inlineStr">
        <is>
          <t>A 49604-2025</t>
        </is>
      </c>
      <c r="B635" s="1" t="n">
        <v>45939.55241898148</v>
      </c>
      <c r="C635" s="1" t="n">
        <v>45986</v>
      </c>
      <c r="D635" t="inlineStr">
        <is>
          <t>JÄMTLANDS LÄN</t>
        </is>
      </c>
      <c r="E635" t="inlineStr">
        <is>
          <t>BERG</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33748-2025</t>
        </is>
      </c>
      <c r="B636" s="1" t="n">
        <v>45842.35685185185</v>
      </c>
      <c r="C636" s="1" t="n">
        <v>45986</v>
      </c>
      <c r="D636" t="inlineStr">
        <is>
          <t>JÄMTLANDS LÄN</t>
        </is>
      </c>
      <c r="E636" t="inlineStr">
        <is>
          <t>BERG</t>
        </is>
      </c>
      <c r="G636" t="n">
        <v>2.1</v>
      </c>
      <c r="H636" t="n">
        <v>0</v>
      </c>
      <c r="I636" t="n">
        <v>0</v>
      </c>
      <c r="J636" t="n">
        <v>0</v>
      </c>
      <c r="K636" t="n">
        <v>0</v>
      </c>
      <c r="L636" t="n">
        <v>0</v>
      </c>
      <c r="M636" t="n">
        <v>0</v>
      </c>
      <c r="N636" t="n">
        <v>0</v>
      </c>
      <c r="O636" t="n">
        <v>0</v>
      </c>
      <c r="P636" t="n">
        <v>0</v>
      </c>
      <c r="Q636" t="n">
        <v>0</v>
      </c>
      <c r="R636" s="2" t="inlineStr"/>
    </row>
    <row r="637" ht="15" customHeight="1">
      <c r="A637" t="inlineStr">
        <is>
          <t>A 49918-2025</t>
        </is>
      </c>
      <c r="B637" s="1" t="n">
        <v>45940.6290625</v>
      </c>
      <c r="C637" s="1" t="n">
        <v>45986</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34030-2025</t>
        </is>
      </c>
      <c r="B638" s="1" t="n">
        <v>45845.3633912037</v>
      </c>
      <c r="C638" s="1" t="n">
        <v>45986</v>
      </c>
      <c r="D638" t="inlineStr">
        <is>
          <t>JÄMTLANDS LÄN</t>
        </is>
      </c>
      <c r="E638" t="inlineStr">
        <is>
          <t>BERG</t>
        </is>
      </c>
      <c r="G638" t="n">
        <v>13.5</v>
      </c>
      <c r="H638" t="n">
        <v>0</v>
      </c>
      <c r="I638" t="n">
        <v>0</v>
      </c>
      <c r="J638" t="n">
        <v>0</v>
      </c>
      <c r="K638" t="n">
        <v>0</v>
      </c>
      <c r="L638" t="n">
        <v>0</v>
      </c>
      <c r="M638" t="n">
        <v>0</v>
      </c>
      <c r="N638" t="n">
        <v>0</v>
      </c>
      <c r="O638" t="n">
        <v>0</v>
      </c>
      <c r="P638" t="n">
        <v>0</v>
      </c>
      <c r="Q638" t="n">
        <v>0</v>
      </c>
      <c r="R638" s="2" t="inlineStr"/>
    </row>
    <row r="639" ht="15" customHeight="1">
      <c r="A639" t="inlineStr">
        <is>
          <t>A 58438-2025</t>
        </is>
      </c>
      <c r="B639" s="1" t="n">
        <v>45985.61513888889</v>
      </c>
      <c r="C639" s="1" t="n">
        <v>45986</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33753-2025</t>
        </is>
      </c>
      <c r="B640" s="1" t="n">
        <v>45842.37199074074</v>
      </c>
      <c r="C640" s="1" t="n">
        <v>45986</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1495-2025</t>
        </is>
      </c>
      <c r="B641" s="1" t="n">
        <v>45670.40652777778</v>
      </c>
      <c r="C641" s="1" t="n">
        <v>45986</v>
      </c>
      <c r="D641" t="inlineStr">
        <is>
          <t>JÄMTLANDS LÄN</t>
        </is>
      </c>
      <c r="E641" t="inlineStr">
        <is>
          <t>BERG</t>
        </is>
      </c>
      <c r="G641" t="n">
        <v>0.3</v>
      </c>
      <c r="H641" t="n">
        <v>0</v>
      </c>
      <c r="I641" t="n">
        <v>0</v>
      </c>
      <c r="J641" t="n">
        <v>0</v>
      </c>
      <c r="K641" t="n">
        <v>0</v>
      </c>
      <c r="L641" t="n">
        <v>0</v>
      </c>
      <c r="M641" t="n">
        <v>0</v>
      </c>
      <c r="N641" t="n">
        <v>0</v>
      </c>
      <c r="O641" t="n">
        <v>0</v>
      </c>
      <c r="P641" t="n">
        <v>0</v>
      </c>
      <c r="Q641" t="n">
        <v>0</v>
      </c>
      <c r="R641" s="2" t="inlineStr"/>
    </row>
    <row r="642" ht="15" customHeight="1">
      <c r="A642" t="inlineStr">
        <is>
          <t>A 34367-2024</t>
        </is>
      </c>
      <c r="B642" s="1" t="n">
        <v>45525.38040509259</v>
      </c>
      <c r="C642" s="1" t="n">
        <v>45986</v>
      </c>
      <c r="D642" t="inlineStr">
        <is>
          <t>JÄMTLANDS LÄN</t>
        </is>
      </c>
      <c r="E642" t="inlineStr">
        <is>
          <t>BERG</t>
        </is>
      </c>
      <c r="G642" t="n">
        <v>0.4</v>
      </c>
      <c r="H642" t="n">
        <v>0</v>
      </c>
      <c r="I642" t="n">
        <v>0</v>
      </c>
      <c r="J642" t="n">
        <v>0</v>
      </c>
      <c r="K642" t="n">
        <v>0</v>
      </c>
      <c r="L642" t="n">
        <v>0</v>
      </c>
      <c r="M642" t="n">
        <v>0</v>
      </c>
      <c r="N642" t="n">
        <v>0</v>
      </c>
      <c r="O642" t="n">
        <v>0</v>
      </c>
      <c r="P642" t="n">
        <v>0</v>
      </c>
      <c r="Q642" t="n">
        <v>0</v>
      </c>
      <c r="R642" s="2" t="inlineStr"/>
    </row>
    <row r="643" ht="15" customHeight="1">
      <c r="A643" t="inlineStr">
        <is>
          <t>A 34369-2024</t>
        </is>
      </c>
      <c r="B643" s="1" t="n">
        <v>45525.38228009259</v>
      </c>
      <c r="C643" s="1" t="n">
        <v>45986</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50024-2025</t>
        </is>
      </c>
      <c r="B644" s="1" t="n">
        <v>45943.37563657408</v>
      </c>
      <c r="C644" s="1" t="n">
        <v>45986</v>
      </c>
      <c r="D644" t="inlineStr">
        <is>
          <t>JÄMTLANDS LÄN</t>
        </is>
      </c>
      <c r="E644" t="inlineStr">
        <is>
          <t>BERG</t>
        </is>
      </c>
      <c r="G644" t="n">
        <v>2.7</v>
      </c>
      <c r="H644" t="n">
        <v>0</v>
      </c>
      <c r="I644" t="n">
        <v>0</v>
      </c>
      <c r="J644" t="n">
        <v>0</v>
      </c>
      <c r="K644" t="n">
        <v>0</v>
      </c>
      <c r="L644" t="n">
        <v>0</v>
      </c>
      <c r="M644" t="n">
        <v>0</v>
      </c>
      <c r="N644" t="n">
        <v>0</v>
      </c>
      <c r="O644" t="n">
        <v>0</v>
      </c>
      <c r="P644" t="n">
        <v>0</v>
      </c>
      <c r="Q644" t="n">
        <v>0</v>
      </c>
      <c r="R644" s="2" t="inlineStr"/>
    </row>
    <row r="645" ht="15" customHeight="1">
      <c r="A645" t="inlineStr">
        <is>
          <t>A 34036-2025</t>
        </is>
      </c>
      <c r="B645" s="1" t="n">
        <v>45845.36954861111</v>
      </c>
      <c r="C645" s="1" t="n">
        <v>45986</v>
      </c>
      <c r="D645" t="inlineStr">
        <is>
          <t>JÄMTLANDS LÄN</t>
        </is>
      </c>
      <c r="E645" t="inlineStr">
        <is>
          <t>BERG</t>
        </is>
      </c>
      <c r="G645" t="n">
        <v>4.8</v>
      </c>
      <c r="H645" t="n">
        <v>0</v>
      </c>
      <c r="I645" t="n">
        <v>0</v>
      </c>
      <c r="J645" t="n">
        <v>0</v>
      </c>
      <c r="K645" t="n">
        <v>0</v>
      </c>
      <c r="L645" t="n">
        <v>0</v>
      </c>
      <c r="M645" t="n">
        <v>0</v>
      </c>
      <c r="N645" t="n">
        <v>0</v>
      </c>
      <c r="O645" t="n">
        <v>0</v>
      </c>
      <c r="P645" t="n">
        <v>0</v>
      </c>
      <c r="Q645" t="n">
        <v>0</v>
      </c>
      <c r="R645" s="2" t="inlineStr"/>
    </row>
    <row r="646" ht="15" customHeight="1">
      <c r="A646" t="inlineStr">
        <is>
          <t>A 50094-2025</t>
        </is>
      </c>
      <c r="B646" s="1" t="n">
        <v>45943.49340277778</v>
      </c>
      <c r="C646" s="1" t="n">
        <v>45986</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58436-2025</t>
        </is>
      </c>
      <c r="B647" s="1" t="n">
        <v>45985.61510416667</v>
      </c>
      <c r="C647" s="1" t="n">
        <v>45986</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166-2024</t>
        </is>
      </c>
      <c r="B648" s="1" t="n">
        <v>45294</v>
      </c>
      <c r="C648" s="1" t="n">
        <v>45986</v>
      </c>
      <c r="D648" t="inlineStr">
        <is>
          <t>JÄMTLANDS LÄN</t>
        </is>
      </c>
      <c r="E648" t="inlineStr">
        <is>
          <t>BERG</t>
        </is>
      </c>
      <c r="F648" t="inlineStr">
        <is>
          <t>Kyrkan</t>
        </is>
      </c>
      <c r="G648" t="n">
        <v>1.3</v>
      </c>
      <c r="H648" t="n">
        <v>0</v>
      </c>
      <c r="I648" t="n">
        <v>0</v>
      </c>
      <c r="J648" t="n">
        <v>0</v>
      </c>
      <c r="K648" t="n">
        <v>0</v>
      </c>
      <c r="L648" t="n">
        <v>0</v>
      </c>
      <c r="M648" t="n">
        <v>0</v>
      </c>
      <c r="N648" t="n">
        <v>0</v>
      </c>
      <c r="O648" t="n">
        <v>0</v>
      </c>
      <c r="P648" t="n">
        <v>0</v>
      </c>
      <c r="Q648" t="n">
        <v>0</v>
      </c>
      <c r="R648" s="2" t="inlineStr"/>
    </row>
    <row r="649" ht="15" customHeight="1">
      <c r="A649" t="inlineStr">
        <is>
          <t>A 3964-2025</t>
        </is>
      </c>
      <c r="B649" s="1" t="n">
        <v>45684.50761574074</v>
      </c>
      <c r="C649" s="1" t="n">
        <v>45986</v>
      </c>
      <c r="D649" t="inlineStr">
        <is>
          <t>JÄMTLANDS LÄN</t>
        </is>
      </c>
      <c r="E649" t="inlineStr">
        <is>
          <t>BERG</t>
        </is>
      </c>
      <c r="G649" t="n">
        <v>0.7</v>
      </c>
      <c r="H649" t="n">
        <v>0</v>
      </c>
      <c r="I649" t="n">
        <v>0</v>
      </c>
      <c r="J649" t="n">
        <v>0</v>
      </c>
      <c r="K649" t="n">
        <v>0</v>
      </c>
      <c r="L649" t="n">
        <v>0</v>
      </c>
      <c r="M649" t="n">
        <v>0</v>
      </c>
      <c r="N649" t="n">
        <v>0</v>
      </c>
      <c r="O649" t="n">
        <v>0</v>
      </c>
      <c r="P649" t="n">
        <v>0</v>
      </c>
      <c r="Q649" t="n">
        <v>0</v>
      </c>
      <c r="R649" s="2" t="inlineStr"/>
    </row>
    <row r="650" ht="15" customHeight="1">
      <c r="A650" t="inlineStr">
        <is>
          <t>A 47982-2022</t>
        </is>
      </c>
      <c r="B650" s="1" t="n">
        <v>44853</v>
      </c>
      <c r="C650" s="1" t="n">
        <v>45986</v>
      </c>
      <c r="D650" t="inlineStr">
        <is>
          <t>JÄMTLANDS LÄN</t>
        </is>
      </c>
      <c r="E650" t="inlineStr">
        <is>
          <t>BERG</t>
        </is>
      </c>
      <c r="G650" t="n">
        <v>5.1</v>
      </c>
      <c r="H650" t="n">
        <v>0</v>
      </c>
      <c r="I650" t="n">
        <v>0</v>
      </c>
      <c r="J650" t="n">
        <v>0</v>
      </c>
      <c r="K650" t="n">
        <v>0</v>
      </c>
      <c r="L650" t="n">
        <v>0</v>
      </c>
      <c r="M650" t="n">
        <v>0</v>
      </c>
      <c r="N650" t="n">
        <v>0</v>
      </c>
      <c r="O650" t="n">
        <v>0</v>
      </c>
      <c r="P650" t="n">
        <v>0</v>
      </c>
      <c r="Q650" t="n">
        <v>0</v>
      </c>
      <c r="R650" s="2" t="inlineStr"/>
    </row>
    <row r="651" ht="15" customHeight="1">
      <c r="A651" t="inlineStr">
        <is>
          <t>A 49749-2025</t>
        </is>
      </c>
      <c r="B651" s="1" t="n">
        <v>45940.34486111111</v>
      </c>
      <c r="C651" s="1" t="n">
        <v>45986</v>
      </c>
      <c r="D651" t="inlineStr">
        <is>
          <t>JÄMTLANDS LÄN</t>
        </is>
      </c>
      <c r="E651" t="inlineStr">
        <is>
          <t>BERG</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61239-2022</t>
        </is>
      </c>
      <c r="B652" s="1" t="n">
        <v>44909</v>
      </c>
      <c r="C652" s="1" t="n">
        <v>45986</v>
      </c>
      <c r="D652" t="inlineStr">
        <is>
          <t>JÄMTLANDS LÄN</t>
        </is>
      </c>
      <c r="E652" t="inlineStr">
        <is>
          <t>BERG</t>
        </is>
      </c>
      <c r="G652" t="n">
        <v>13.5</v>
      </c>
      <c r="H652" t="n">
        <v>0</v>
      </c>
      <c r="I652" t="n">
        <v>0</v>
      </c>
      <c r="J652" t="n">
        <v>0</v>
      </c>
      <c r="K652" t="n">
        <v>0</v>
      </c>
      <c r="L652" t="n">
        <v>0</v>
      </c>
      <c r="M652" t="n">
        <v>0</v>
      </c>
      <c r="N652" t="n">
        <v>0</v>
      </c>
      <c r="O652" t="n">
        <v>0</v>
      </c>
      <c r="P652" t="n">
        <v>0</v>
      </c>
      <c r="Q652" t="n">
        <v>0</v>
      </c>
      <c r="R652" s="2" t="inlineStr"/>
    </row>
    <row r="653" ht="15" customHeight="1">
      <c r="A653" t="inlineStr">
        <is>
          <t>A 7021-2025</t>
        </is>
      </c>
      <c r="B653" s="1" t="n">
        <v>45701.61520833334</v>
      </c>
      <c r="C653" s="1" t="n">
        <v>45986</v>
      </c>
      <c r="D653" t="inlineStr">
        <is>
          <t>JÄMTLANDS LÄN</t>
        </is>
      </c>
      <c r="E653" t="inlineStr">
        <is>
          <t>BERG</t>
        </is>
      </c>
      <c r="G653" t="n">
        <v>4.2</v>
      </c>
      <c r="H653" t="n">
        <v>0</v>
      </c>
      <c r="I653" t="n">
        <v>0</v>
      </c>
      <c r="J653" t="n">
        <v>0</v>
      </c>
      <c r="K653" t="n">
        <v>0</v>
      </c>
      <c r="L653" t="n">
        <v>0</v>
      </c>
      <c r="M653" t="n">
        <v>0</v>
      </c>
      <c r="N653" t="n">
        <v>0</v>
      </c>
      <c r="O653" t="n">
        <v>0</v>
      </c>
      <c r="P653" t="n">
        <v>0</v>
      </c>
      <c r="Q653" t="n">
        <v>0</v>
      </c>
      <c r="R653" s="2" t="inlineStr"/>
    </row>
    <row r="654" ht="15" customHeight="1">
      <c r="A654" t="inlineStr">
        <is>
          <t>A 58238-2025</t>
        </is>
      </c>
      <c r="B654" s="1" t="n">
        <v>45985.38775462963</v>
      </c>
      <c r="C654" s="1" t="n">
        <v>45986</v>
      </c>
      <c r="D654" t="inlineStr">
        <is>
          <t>JÄMTLANDS LÄN</t>
        </is>
      </c>
      <c r="E654" t="inlineStr">
        <is>
          <t>BERG</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19429-2025</t>
        </is>
      </c>
      <c r="B655" s="1" t="n">
        <v>45769.8025462963</v>
      </c>
      <c r="C655" s="1" t="n">
        <v>45986</v>
      </c>
      <c r="D655" t="inlineStr">
        <is>
          <t>JÄMTLANDS LÄN</t>
        </is>
      </c>
      <c r="E655" t="inlineStr">
        <is>
          <t>BERG</t>
        </is>
      </c>
      <c r="G655" t="n">
        <v>2</v>
      </c>
      <c r="H655" t="n">
        <v>0</v>
      </c>
      <c r="I655" t="n">
        <v>0</v>
      </c>
      <c r="J655" t="n">
        <v>0</v>
      </c>
      <c r="K655" t="n">
        <v>0</v>
      </c>
      <c r="L655" t="n">
        <v>0</v>
      </c>
      <c r="M655" t="n">
        <v>0</v>
      </c>
      <c r="N655" t="n">
        <v>0</v>
      </c>
      <c r="O655" t="n">
        <v>0</v>
      </c>
      <c r="P655" t="n">
        <v>0</v>
      </c>
      <c r="Q655" t="n">
        <v>0</v>
      </c>
      <c r="R655" s="2" t="inlineStr"/>
    </row>
    <row r="656" ht="15" customHeight="1">
      <c r="A656" t="inlineStr">
        <is>
          <t>A 50020-2025</t>
        </is>
      </c>
      <c r="B656" s="1" t="n">
        <v>45943.36899305556</v>
      </c>
      <c r="C656" s="1" t="n">
        <v>45986</v>
      </c>
      <c r="D656" t="inlineStr">
        <is>
          <t>JÄMTLANDS LÄN</t>
        </is>
      </c>
      <c r="E656" t="inlineStr">
        <is>
          <t>BERG</t>
        </is>
      </c>
      <c r="G656" t="n">
        <v>0.6</v>
      </c>
      <c r="H656" t="n">
        <v>0</v>
      </c>
      <c r="I656" t="n">
        <v>0</v>
      </c>
      <c r="J656" t="n">
        <v>0</v>
      </c>
      <c r="K656" t="n">
        <v>0</v>
      </c>
      <c r="L656" t="n">
        <v>0</v>
      </c>
      <c r="M656" t="n">
        <v>0</v>
      </c>
      <c r="N656" t="n">
        <v>0</v>
      </c>
      <c r="O656" t="n">
        <v>0</v>
      </c>
      <c r="P656" t="n">
        <v>0</v>
      </c>
      <c r="Q656" t="n">
        <v>0</v>
      </c>
      <c r="R656" s="2" t="inlineStr"/>
    </row>
    <row r="657" ht="15" customHeight="1">
      <c r="A657" t="inlineStr">
        <is>
          <t>A 50231-2025</t>
        </is>
      </c>
      <c r="B657" s="1" t="n">
        <v>45943.70643518519</v>
      </c>
      <c r="C657" s="1" t="n">
        <v>45986</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50233-2025</t>
        </is>
      </c>
      <c r="B658" s="1" t="n">
        <v>45943.71228009259</v>
      </c>
      <c r="C658" s="1" t="n">
        <v>45986</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58470-2025</t>
        </is>
      </c>
      <c r="B659" s="1" t="n">
        <v>45985.63704861111</v>
      </c>
      <c r="C659" s="1" t="n">
        <v>45986</v>
      </c>
      <c r="D659" t="inlineStr">
        <is>
          <t>JÄMTLANDS LÄN</t>
        </is>
      </c>
      <c r="E659" t="inlineStr">
        <is>
          <t>BERG</t>
        </is>
      </c>
      <c r="G659" t="n">
        <v>3.6</v>
      </c>
      <c r="H659" t="n">
        <v>0</v>
      </c>
      <c r="I659" t="n">
        <v>0</v>
      </c>
      <c r="J659" t="n">
        <v>0</v>
      </c>
      <c r="K659" t="n">
        <v>0</v>
      </c>
      <c r="L659" t="n">
        <v>0</v>
      </c>
      <c r="M659" t="n">
        <v>0</v>
      </c>
      <c r="N659" t="n">
        <v>0</v>
      </c>
      <c r="O659" t="n">
        <v>0</v>
      </c>
      <c r="P659" t="n">
        <v>0</v>
      </c>
      <c r="Q659" t="n">
        <v>0</v>
      </c>
      <c r="R659" s="2" t="inlineStr"/>
    </row>
    <row r="660" ht="15" customHeight="1">
      <c r="A660" t="inlineStr">
        <is>
          <t>A 58413-2025</t>
        </is>
      </c>
      <c r="B660" s="1" t="n">
        <v>45985.57662037037</v>
      </c>
      <c r="C660" s="1" t="n">
        <v>45986</v>
      </c>
      <c r="D660" t="inlineStr">
        <is>
          <t>JÄMTLANDS LÄN</t>
        </is>
      </c>
      <c r="E660" t="inlineStr">
        <is>
          <t>BERG</t>
        </is>
      </c>
      <c r="G660" t="n">
        <v>4.2</v>
      </c>
      <c r="H660" t="n">
        <v>0</v>
      </c>
      <c r="I660" t="n">
        <v>0</v>
      </c>
      <c r="J660" t="n">
        <v>0</v>
      </c>
      <c r="K660" t="n">
        <v>0</v>
      </c>
      <c r="L660" t="n">
        <v>0</v>
      </c>
      <c r="M660" t="n">
        <v>0</v>
      </c>
      <c r="N660" t="n">
        <v>0</v>
      </c>
      <c r="O660" t="n">
        <v>0</v>
      </c>
      <c r="P660" t="n">
        <v>0</v>
      </c>
      <c r="Q660" t="n">
        <v>0</v>
      </c>
      <c r="R660" s="2" t="inlineStr"/>
    </row>
    <row r="661" ht="15" customHeight="1">
      <c r="A661" t="inlineStr">
        <is>
          <t>A 47176-2023</t>
        </is>
      </c>
      <c r="B661" s="1" t="n">
        <v>45201.94844907407</v>
      </c>
      <c r="C661" s="1" t="n">
        <v>45986</v>
      </c>
      <c r="D661" t="inlineStr">
        <is>
          <t>JÄMTLANDS LÄN</t>
        </is>
      </c>
      <c r="E661" t="inlineStr">
        <is>
          <t>BERG</t>
        </is>
      </c>
      <c r="F661" t="inlineStr">
        <is>
          <t>SCA</t>
        </is>
      </c>
      <c r="G661" t="n">
        <v>32.3</v>
      </c>
      <c r="H661" t="n">
        <v>0</v>
      </c>
      <c r="I661" t="n">
        <v>0</v>
      </c>
      <c r="J661" t="n">
        <v>0</v>
      </c>
      <c r="K661" t="n">
        <v>0</v>
      </c>
      <c r="L661" t="n">
        <v>0</v>
      </c>
      <c r="M661" t="n">
        <v>0</v>
      </c>
      <c r="N661" t="n">
        <v>0</v>
      </c>
      <c r="O661" t="n">
        <v>0</v>
      </c>
      <c r="P661" t="n">
        <v>0</v>
      </c>
      <c r="Q661" t="n">
        <v>0</v>
      </c>
      <c r="R661" s="2" t="inlineStr"/>
    </row>
    <row r="662" ht="15" customHeight="1">
      <c r="A662" t="inlineStr">
        <is>
          <t>A 50227-2025</t>
        </is>
      </c>
      <c r="B662" s="1" t="n">
        <v>45943.69686342592</v>
      </c>
      <c r="C662" s="1" t="n">
        <v>45986</v>
      </c>
      <c r="D662" t="inlineStr">
        <is>
          <t>JÄMTLANDS LÄN</t>
        </is>
      </c>
      <c r="E662" t="inlineStr">
        <is>
          <t>BERG</t>
        </is>
      </c>
      <c r="G662" t="n">
        <v>1.5</v>
      </c>
      <c r="H662" t="n">
        <v>0</v>
      </c>
      <c r="I662" t="n">
        <v>0</v>
      </c>
      <c r="J662" t="n">
        <v>0</v>
      </c>
      <c r="K662" t="n">
        <v>0</v>
      </c>
      <c r="L662" t="n">
        <v>0</v>
      </c>
      <c r="M662" t="n">
        <v>0</v>
      </c>
      <c r="N662" t="n">
        <v>0</v>
      </c>
      <c r="O662" t="n">
        <v>0</v>
      </c>
      <c r="P662" t="n">
        <v>0</v>
      </c>
      <c r="Q662" t="n">
        <v>0</v>
      </c>
      <c r="R662" s="2" t="inlineStr"/>
    </row>
    <row r="663" ht="15" customHeight="1">
      <c r="A663" t="inlineStr">
        <is>
          <t>A 50230-2025</t>
        </is>
      </c>
      <c r="B663" s="1" t="n">
        <v>45943.70216435185</v>
      </c>
      <c r="C663" s="1" t="n">
        <v>45986</v>
      </c>
      <c r="D663" t="inlineStr">
        <is>
          <t>JÄMTLANDS LÄN</t>
        </is>
      </c>
      <c r="E663" t="inlineStr">
        <is>
          <t>BERG</t>
        </is>
      </c>
      <c r="G663" t="n">
        <v>6.3</v>
      </c>
      <c r="H663" t="n">
        <v>0</v>
      </c>
      <c r="I663" t="n">
        <v>0</v>
      </c>
      <c r="J663" t="n">
        <v>0</v>
      </c>
      <c r="K663" t="n">
        <v>0</v>
      </c>
      <c r="L663" t="n">
        <v>0</v>
      </c>
      <c r="M663" t="n">
        <v>0</v>
      </c>
      <c r="N663" t="n">
        <v>0</v>
      </c>
      <c r="O663" t="n">
        <v>0</v>
      </c>
      <c r="P663" t="n">
        <v>0</v>
      </c>
      <c r="Q663" t="n">
        <v>0</v>
      </c>
      <c r="R663" s="2" t="inlineStr"/>
    </row>
    <row r="664" ht="15" customHeight="1">
      <c r="A664" t="inlineStr">
        <is>
          <t>A 13672-2024</t>
        </is>
      </c>
      <c r="B664" s="1" t="n">
        <v>45390</v>
      </c>
      <c r="C664" s="1" t="n">
        <v>45986</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58437-2025</t>
        </is>
      </c>
      <c r="B665" s="1" t="n">
        <v>45985.61512731481</v>
      </c>
      <c r="C665" s="1" t="n">
        <v>45986</v>
      </c>
      <c r="D665" t="inlineStr">
        <is>
          <t>JÄMTLANDS LÄN</t>
        </is>
      </c>
      <c r="E665" t="inlineStr">
        <is>
          <t>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58237-2025</t>
        </is>
      </c>
      <c r="B666" s="1" t="n">
        <v>45985.38751157407</v>
      </c>
      <c r="C666" s="1" t="n">
        <v>45986</v>
      </c>
      <c r="D666" t="inlineStr">
        <is>
          <t>JÄMTLANDS LÄN</t>
        </is>
      </c>
      <c r="E666" t="inlineStr">
        <is>
          <t>BERG</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50612-2023</t>
        </is>
      </c>
      <c r="B667" s="1" t="n">
        <v>45217.444375</v>
      </c>
      <c r="C667" s="1" t="n">
        <v>45986</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34892-2025</t>
        </is>
      </c>
      <c r="B668" s="1" t="n">
        <v>45849.49047453704</v>
      </c>
      <c r="C668" s="1" t="n">
        <v>45986</v>
      </c>
      <c r="D668" t="inlineStr">
        <is>
          <t>JÄMTLANDS LÄN</t>
        </is>
      </c>
      <c r="E668" t="inlineStr">
        <is>
          <t>BERG</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162-2024</t>
        </is>
      </c>
      <c r="B669" s="1" t="n">
        <v>45294</v>
      </c>
      <c r="C669" s="1" t="n">
        <v>45986</v>
      </c>
      <c r="D669" t="inlineStr">
        <is>
          <t>JÄMTLANDS LÄN</t>
        </is>
      </c>
      <c r="E669" t="inlineStr">
        <is>
          <t>BERG</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46298-2024</t>
        </is>
      </c>
      <c r="B670" s="1" t="n">
        <v>45581.67739583334</v>
      </c>
      <c r="C670" s="1" t="n">
        <v>45986</v>
      </c>
      <c r="D670" t="inlineStr">
        <is>
          <t>JÄMTLANDS LÄN</t>
        </is>
      </c>
      <c r="E670" t="inlineStr">
        <is>
          <t>BERG</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36-2024</t>
        </is>
      </c>
      <c r="B671" s="1" t="n">
        <v>45293</v>
      </c>
      <c r="C671" s="1" t="n">
        <v>45986</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45206-2024</t>
        </is>
      </c>
      <c r="B672" s="1" t="n">
        <v>45575.69966435185</v>
      </c>
      <c r="C672" s="1" t="n">
        <v>45986</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35183-2025</t>
        </is>
      </c>
      <c r="B673" s="1" t="n">
        <v>45853.29931712963</v>
      </c>
      <c r="C673" s="1" t="n">
        <v>45986</v>
      </c>
      <c r="D673" t="inlineStr">
        <is>
          <t>JÄMTLANDS LÄN</t>
        </is>
      </c>
      <c r="E673" t="inlineStr">
        <is>
          <t>BERG</t>
        </is>
      </c>
      <c r="G673" t="n">
        <v>2.8</v>
      </c>
      <c r="H673" t="n">
        <v>0</v>
      </c>
      <c r="I673" t="n">
        <v>0</v>
      </c>
      <c r="J673" t="n">
        <v>0</v>
      </c>
      <c r="K673" t="n">
        <v>0</v>
      </c>
      <c r="L673" t="n">
        <v>0</v>
      </c>
      <c r="M673" t="n">
        <v>0</v>
      </c>
      <c r="N673" t="n">
        <v>0</v>
      </c>
      <c r="O673" t="n">
        <v>0</v>
      </c>
      <c r="P673" t="n">
        <v>0</v>
      </c>
      <c r="Q673" t="n">
        <v>0</v>
      </c>
      <c r="R673" s="2" t="inlineStr"/>
    </row>
    <row r="674" ht="15" customHeight="1">
      <c r="A674" t="inlineStr">
        <is>
          <t>A 35213-2025</t>
        </is>
      </c>
      <c r="B674" s="1" t="n">
        <v>45853.46494212963</v>
      </c>
      <c r="C674" s="1" t="n">
        <v>45986</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35184-2025</t>
        </is>
      </c>
      <c r="B675" s="1" t="n">
        <v>45853.30270833334</v>
      </c>
      <c r="C675" s="1" t="n">
        <v>45986</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23877-2024</t>
        </is>
      </c>
      <c r="B676" s="1" t="n">
        <v>45455.63024305556</v>
      </c>
      <c r="C676" s="1" t="n">
        <v>45986</v>
      </c>
      <c r="D676" t="inlineStr">
        <is>
          <t>JÄMTLANDS LÄN</t>
        </is>
      </c>
      <c r="E676" t="inlineStr">
        <is>
          <t>BERG</t>
        </is>
      </c>
      <c r="G676" t="n">
        <v>2</v>
      </c>
      <c r="H676" t="n">
        <v>0</v>
      </c>
      <c r="I676" t="n">
        <v>0</v>
      </c>
      <c r="J676" t="n">
        <v>0</v>
      </c>
      <c r="K676" t="n">
        <v>0</v>
      </c>
      <c r="L676" t="n">
        <v>0</v>
      </c>
      <c r="M676" t="n">
        <v>0</v>
      </c>
      <c r="N676" t="n">
        <v>0</v>
      </c>
      <c r="O676" t="n">
        <v>0</v>
      </c>
      <c r="P676" t="n">
        <v>0</v>
      </c>
      <c r="Q676" t="n">
        <v>0</v>
      </c>
      <c r="R676" s="2" t="inlineStr"/>
    </row>
    <row r="677" ht="15" customHeight="1">
      <c r="A677" t="inlineStr">
        <is>
          <t>A 23880-2024</t>
        </is>
      </c>
      <c r="B677" s="1" t="n">
        <v>45455.63731481481</v>
      </c>
      <c r="C677" s="1" t="n">
        <v>45986</v>
      </c>
      <c r="D677" t="inlineStr">
        <is>
          <t>JÄMTLANDS LÄN</t>
        </is>
      </c>
      <c r="E677" t="inlineStr">
        <is>
          <t>BERG</t>
        </is>
      </c>
      <c r="G677" t="n">
        <v>1.2</v>
      </c>
      <c r="H677" t="n">
        <v>0</v>
      </c>
      <c r="I677" t="n">
        <v>0</v>
      </c>
      <c r="J677" t="n">
        <v>0</v>
      </c>
      <c r="K677" t="n">
        <v>0</v>
      </c>
      <c r="L677" t="n">
        <v>0</v>
      </c>
      <c r="M677" t="n">
        <v>0</v>
      </c>
      <c r="N677" t="n">
        <v>0</v>
      </c>
      <c r="O677" t="n">
        <v>0</v>
      </c>
      <c r="P677" t="n">
        <v>0</v>
      </c>
      <c r="Q677" t="n">
        <v>0</v>
      </c>
      <c r="R677" s="2" t="inlineStr"/>
    </row>
    <row r="678" ht="15" customHeight="1">
      <c r="A678" t="inlineStr">
        <is>
          <t>A 62299-2023</t>
        </is>
      </c>
      <c r="B678" s="1" t="n">
        <v>45266</v>
      </c>
      <c r="C678" s="1" t="n">
        <v>45986</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35363-2025</t>
        </is>
      </c>
      <c r="B679" s="1" t="n">
        <v>45854.67538194444</v>
      </c>
      <c r="C679" s="1" t="n">
        <v>45986</v>
      </c>
      <c r="D679" t="inlineStr">
        <is>
          <t>JÄMTLANDS LÄN</t>
        </is>
      </c>
      <c r="E679" t="inlineStr">
        <is>
          <t>BERG</t>
        </is>
      </c>
      <c r="G679" t="n">
        <v>9.5</v>
      </c>
      <c r="H679" t="n">
        <v>0</v>
      </c>
      <c r="I679" t="n">
        <v>0</v>
      </c>
      <c r="J679" t="n">
        <v>0</v>
      </c>
      <c r="K679" t="n">
        <v>0</v>
      </c>
      <c r="L679" t="n">
        <v>0</v>
      </c>
      <c r="M679" t="n">
        <v>0</v>
      </c>
      <c r="N679" t="n">
        <v>0</v>
      </c>
      <c r="O679" t="n">
        <v>0</v>
      </c>
      <c r="P679" t="n">
        <v>0</v>
      </c>
      <c r="Q679" t="n">
        <v>0</v>
      </c>
      <c r="R679" s="2" t="inlineStr"/>
    </row>
    <row r="680" ht="15" customHeight="1">
      <c r="A680" t="inlineStr">
        <is>
          <t>A 35360-2025</t>
        </is>
      </c>
      <c r="B680" s="1" t="n">
        <v>45854.66877314815</v>
      </c>
      <c r="C680" s="1" t="n">
        <v>45986</v>
      </c>
      <c r="D680" t="inlineStr">
        <is>
          <t>JÄMTLANDS LÄN</t>
        </is>
      </c>
      <c r="E680" t="inlineStr">
        <is>
          <t>BERG</t>
        </is>
      </c>
      <c r="G680" t="n">
        <v>3.7</v>
      </c>
      <c r="H680" t="n">
        <v>0</v>
      </c>
      <c r="I680" t="n">
        <v>0</v>
      </c>
      <c r="J680" t="n">
        <v>0</v>
      </c>
      <c r="K680" t="n">
        <v>0</v>
      </c>
      <c r="L680" t="n">
        <v>0</v>
      </c>
      <c r="M680" t="n">
        <v>0</v>
      </c>
      <c r="N680" t="n">
        <v>0</v>
      </c>
      <c r="O680" t="n">
        <v>0</v>
      </c>
      <c r="P680" t="n">
        <v>0</v>
      </c>
      <c r="Q680" t="n">
        <v>0</v>
      </c>
      <c r="R680" s="2" t="inlineStr"/>
    </row>
    <row r="681" ht="15" customHeight="1">
      <c r="A681" t="inlineStr">
        <is>
          <t>A 35576-2025</t>
        </is>
      </c>
      <c r="B681" s="1" t="n">
        <v>45856.63608796296</v>
      </c>
      <c r="C681" s="1" t="n">
        <v>45986</v>
      </c>
      <c r="D681" t="inlineStr">
        <is>
          <t>JÄMTLANDS LÄN</t>
        </is>
      </c>
      <c r="E681" t="inlineStr">
        <is>
          <t>BERG</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35684-2025</t>
        </is>
      </c>
      <c r="B682" s="1" t="n">
        <v>45859.88079861111</v>
      </c>
      <c r="C682" s="1" t="n">
        <v>45986</v>
      </c>
      <c r="D682" t="inlineStr">
        <is>
          <t>JÄMTLANDS LÄN</t>
        </is>
      </c>
      <c r="E682" t="inlineStr">
        <is>
          <t>BERG</t>
        </is>
      </c>
      <c r="G682" t="n">
        <v>6.1</v>
      </c>
      <c r="H682" t="n">
        <v>0</v>
      </c>
      <c r="I682" t="n">
        <v>0</v>
      </c>
      <c r="J682" t="n">
        <v>0</v>
      </c>
      <c r="K682" t="n">
        <v>0</v>
      </c>
      <c r="L682" t="n">
        <v>0</v>
      </c>
      <c r="M682" t="n">
        <v>0</v>
      </c>
      <c r="N682" t="n">
        <v>0</v>
      </c>
      <c r="O682" t="n">
        <v>0</v>
      </c>
      <c r="P682" t="n">
        <v>0</v>
      </c>
      <c r="Q682" t="n">
        <v>0</v>
      </c>
      <c r="R682" s="2" t="inlineStr"/>
    </row>
    <row r="683" ht="15" customHeight="1">
      <c r="A683" t="inlineStr">
        <is>
          <t>A 35691-2025</t>
        </is>
      </c>
      <c r="B683" s="1" t="n">
        <v>45860.344375</v>
      </c>
      <c r="C683" s="1" t="n">
        <v>45986</v>
      </c>
      <c r="D683" t="inlineStr">
        <is>
          <t>JÄMTLANDS LÄN</t>
        </is>
      </c>
      <c r="E683" t="inlineStr">
        <is>
          <t>BERG</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35681-2025</t>
        </is>
      </c>
      <c r="B684" s="1" t="n">
        <v>45859.77703703703</v>
      </c>
      <c r="C684" s="1" t="n">
        <v>45986</v>
      </c>
      <c r="D684" t="inlineStr">
        <is>
          <t>JÄMTLANDS LÄN</t>
        </is>
      </c>
      <c r="E684" t="inlineStr">
        <is>
          <t>BERG</t>
        </is>
      </c>
      <c r="G684" t="n">
        <v>27</v>
      </c>
      <c r="H684" t="n">
        <v>0</v>
      </c>
      <c r="I684" t="n">
        <v>0</v>
      </c>
      <c r="J684" t="n">
        <v>0</v>
      </c>
      <c r="K684" t="n">
        <v>0</v>
      </c>
      <c r="L684" t="n">
        <v>0</v>
      </c>
      <c r="M684" t="n">
        <v>0</v>
      </c>
      <c r="N684" t="n">
        <v>0</v>
      </c>
      <c r="O684" t="n">
        <v>0</v>
      </c>
      <c r="P684" t="n">
        <v>0</v>
      </c>
      <c r="Q684" t="n">
        <v>0</v>
      </c>
      <c r="R684" s="2" t="inlineStr"/>
    </row>
    <row r="685" ht="15" customHeight="1">
      <c r="A685" t="inlineStr">
        <is>
          <t>A 35683-2025</t>
        </is>
      </c>
      <c r="B685" s="1" t="n">
        <v>45859</v>
      </c>
      <c r="C685" s="1" t="n">
        <v>45986</v>
      </c>
      <c r="D685" t="inlineStr">
        <is>
          <t>JÄMTLANDS LÄN</t>
        </is>
      </c>
      <c r="E685" t="inlineStr">
        <is>
          <t>BERG</t>
        </is>
      </c>
      <c r="G685" t="n">
        <v>3.4</v>
      </c>
      <c r="H685" t="n">
        <v>0</v>
      </c>
      <c r="I685" t="n">
        <v>0</v>
      </c>
      <c r="J685" t="n">
        <v>0</v>
      </c>
      <c r="K685" t="n">
        <v>0</v>
      </c>
      <c r="L685" t="n">
        <v>0</v>
      </c>
      <c r="M685" t="n">
        <v>0</v>
      </c>
      <c r="N685" t="n">
        <v>0</v>
      </c>
      <c r="O685" t="n">
        <v>0</v>
      </c>
      <c r="P685" t="n">
        <v>0</v>
      </c>
      <c r="Q685" t="n">
        <v>0</v>
      </c>
      <c r="R685" s="2" t="inlineStr"/>
    </row>
    <row r="686" ht="15" customHeight="1">
      <c r="A686" t="inlineStr">
        <is>
          <t>A 5644-2025</t>
        </is>
      </c>
      <c r="B686" s="1" t="n">
        <v>45693.6833449074</v>
      </c>
      <c r="C686" s="1" t="n">
        <v>45986</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29424-2024</t>
        </is>
      </c>
      <c r="B687" s="1" t="n">
        <v>45483.71451388889</v>
      </c>
      <c r="C687" s="1" t="n">
        <v>45986</v>
      </c>
      <c r="D687" t="inlineStr">
        <is>
          <t>JÄMTLANDS LÄN</t>
        </is>
      </c>
      <c r="E687" t="inlineStr">
        <is>
          <t>BERG</t>
        </is>
      </c>
      <c r="G687" t="n">
        <v>4</v>
      </c>
      <c r="H687" t="n">
        <v>0</v>
      </c>
      <c r="I687" t="n">
        <v>0</v>
      </c>
      <c r="J687" t="n">
        <v>0</v>
      </c>
      <c r="K687" t="n">
        <v>0</v>
      </c>
      <c r="L687" t="n">
        <v>0</v>
      </c>
      <c r="M687" t="n">
        <v>0</v>
      </c>
      <c r="N687" t="n">
        <v>0</v>
      </c>
      <c r="O687" t="n">
        <v>0</v>
      </c>
      <c r="P687" t="n">
        <v>0</v>
      </c>
      <c r="Q687" t="n">
        <v>0</v>
      </c>
      <c r="R687" s="2" t="inlineStr"/>
    </row>
    <row r="688" ht="15" customHeight="1">
      <c r="A688" t="inlineStr">
        <is>
          <t>A 60249-2022</t>
        </is>
      </c>
      <c r="B688" s="1" t="n">
        <v>44903</v>
      </c>
      <c r="C688" s="1" t="n">
        <v>45986</v>
      </c>
      <c r="D688" t="inlineStr">
        <is>
          <t>JÄMTLANDS LÄN</t>
        </is>
      </c>
      <c r="E688" t="inlineStr">
        <is>
          <t>BERG</t>
        </is>
      </c>
      <c r="G688" t="n">
        <v>6</v>
      </c>
      <c r="H688" t="n">
        <v>0</v>
      </c>
      <c r="I688" t="n">
        <v>0</v>
      </c>
      <c r="J688" t="n">
        <v>0</v>
      </c>
      <c r="K688" t="n">
        <v>0</v>
      </c>
      <c r="L688" t="n">
        <v>0</v>
      </c>
      <c r="M688" t="n">
        <v>0</v>
      </c>
      <c r="N688" t="n">
        <v>0</v>
      </c>
      <c r="O688" t="n">
        <v>0</v>
      </c>
      <c r="P688" t="n">
        <v>0</v>
      </c>
      <c r="Q688" t="n">
        <v>0</v>
      </c>
      <c r="R688" s="2" t="inlineStr"/>
    </row>
    <row r="689" ht="15" customHeight="1">
      <c r="A689" t="inlineStr">
        <is>
          <t>A 8065-2024</t>
        </is>
      </c>
      <c r="B689" s="1" t="n">
        <v>45351.40697916667</v>
      </c>
      <c r="C689" s="1" t="n">
        <v>45986</v>
      </c>
      <c r="D689" t="inlineStr">
        <is>
          <t>JÄMTLANDS LÄN</t>
        </is>
      </c>
      <c r="E689" t="inlineStr">
        <is>
          <t>BERG</t>
        </is>
      </c>
      <c r="G689" t="n">
        <v>6.9</v>
      </c>
      <c r="H689" t="n">
        <v>0</v>
      </c>
      <c r="I689" t="n">
        <v>0</v>
      </c>
      <c r="J689" t="n">
        <v>0</v>
      </c>
      <c r="K689" t="n">
        <v>0</v>
      </c>
      <c r="L689" t="n">
        <v>0</v>
      </c>
      <c r="M689" t="n">
        <v>0</v>
      </c>
      <c r="N689" t="n">
        <v>0</v>
      </c>
      <c r="O689" t="n">
        <v>0</v>
      </c>
      <c r="P689" t="n">
        <v>0</v>
      </c>
      <c r="Q689" t="n">
        <v>0</v>
      </c>
      <c r="R689" s="2" t="inlineStr"/>
    </row>
    <row r="690" ht="15" customHeight="1">
      <c r="A690" t="inlineStr">
        <is>
          <t>A 36142-2025</t>
        </is>
      </c>
      <c r="B690" s="1" t="n">
        <v>45866</v>
      </c>
      <c r="C690" s="1" t="n">
        <v>45986</v>
      </c>
      <c r="D690" t="inlineStr">
        <is>
          <t>JÄMTLANDS LÄN</t>
        </is>
      </c>
      <c r="E690" t="inlineStr">
        <is>
          <t>BERG</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692-2021</t>
        </is>
      </c>
      <c r="B691" s="1" t="n">
        <v>44203</v>
      </c>
      <c r="C691" s="1" t="n">
        <v>45986</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43137-2025</t>
        </is>
      </c>
      <c r="B692" s="1" t="n">
        <v>45909.85438657407</v>
      </c>
      <c r="C692" s="1" t="n">
        <v>45986</v>
      </c>
      <c r="D692" t="inlineStr">
        <is>
          <t>JÄMTLANDS LÄN</t>
        </is>
      </c>
      <c r="E692" t="inlineStr">
        <is>
          <t>BERG</t>
        </is>
      </c>
      <c r="F692" t="inlineStr">
        <is>
          <t>Övriga statliga verk och myndigheter</t>
        </is>
      </c>
      <c r="G692" t="n">
        <v>11.6</v>
      </c>
      <c r="H692" t="n">
        <v>0</v>
      </c>
      <c r="I692" t="n">
        <v>0</v>
      </c>
      <c r="J692" t="n">
        <v>0</v>
      </c>
      <c r="K692" t="n">
        <v>0</v>
      </c>
      <c r="L692" t="n">
        <v>0</v>
      </c>
      <c r="M692" t="n">
        <v>0</v>
      </c>
      <c r="N692" t="n">
        <v>0</v>
      </c>
      <c r="O692" t="n">
        <v>0</v>
      </c>
      <c r="P692" t="n">
        <v>0</v>
      </c>
      <c r="Q692" t="n">
        <v>0</v>
      </c>
      <c r="R692" s="2" t="inlineStr"/>
    </row>
    <row r="693" ht="15" customHeight="1">
      <c r="A693" t="inlineStr">
        <is>
          <t>A 35911-2024</t>
        </is>
      </c>
      <c r="B693" s="1" t="n">
        <v>45533.41498842592</v>
      </c>
      <c r="C693" s="1" t="n">
        <v>45986</v>
      </c>
      <c r="D693" t="inlineStr">
        <is>
          <t>JÄMTLANDS LÄN</t>
        </is>
      </c>
      <c r="E693" t="inlineStr">
        <is>
          <t>BERG</t>
        </is>
      </c>
      <c r="G693" t="n">
        <v>4.1</v>
      </c>
      <c r="H693" t="n">
        <v>0</v>
      </c>
      <c r="I693" t="n">
        <v>0</v>
      </c>
      <c r="J693" t="n">
        <v>0</v>
      </c>
      <c r="K693" t="n">
        <v>0</v>
      </c>
      <c r="L693" t="n">
        <v>0</v>
      </c>
      <c r="M693" t="n">
        <v>0</v>
      </c>
      <c r="N693" t="n">
        <v>0</v>
      </c>
      <c r="O693" t="n">
        <v>0</v>
      </c>
      <c r="P693" t="n">
        <v>0</v>
      </c>
      <c r="Q693" t="n">
        <v>0</v>
      </c>
      <c r="R693" s="2" t="inlineStr"/>
    </row>
    <row r="694" ht="15" customHeight="1">
      <c r="A694" t="inlineStr">
        <is>
          <t>A 61837-2023</t>
        </is>
      </c>
      <c r="B694" s="1" t="n">
        <v>45264</v>
      </c>
      <c r="C694" s="1" t="n">
        <v>45986</v>
      </c>
      <c r="D694" t="inlineStr">
        <is>
          <t>JÄMTLANDS LÄN</t>
        </is>
      </c>
      <c r="E694" t="inlineStr">
        <is>
          <t>BERG</t>
        </is>
      </c>
      <c r="G694" t="n">
        <v>0.6</v>
      </c>
      <c r="H694" t="n">
        <v>0</v>
      </c>
      <c r="I694" t="n">
        <v>0</v>
      </c>
      <c r="J694" t="n">
        <v>0</v>
      </c>
      <c r="K694" t="n">
        <v>0</v>
      </c>
      <c r="L694" t="n">
        <v>0</v>
      </c>
      <c r="M694" t="n">
        <v>0</v>
      </c>
      <c r="N694" t="n">
        <v>0</v>
      </c>
      <c r="O694" t="n">
        <v>0</v>
      </c>
      <c r="P694" t="n">
        <v>0</v>
      </c>
      <c r="Q694" t="n">
        <v>0</v>
      </c>
      <c r="R694" s="2" t="inlineStr"/>
    </row>
    <row r="695" ht="15" customHeight="1">
      <c r="A695" t="inlineStr">
        <is>
          <t>A 62104-2023</t>
        </is>
      </c>
      <c r="B695" s="1" t="n">
        <v>45266.95052083334</v>
      </c>
      <c r="C695" s="1" t="n">
        <v>45986</v>
      </c>
      <c r="D695" t="inlineStr">
        <is>
          <t>JÄMTLANDS LÄN</t>
        </is>
      </c>
      <c r="E695" t="inlineStr">
        <is>
          <t>BERG</t>
        </is>
      </c>
      <c r="G695" t="n">
        <v>1.5</v>
      </c>
      <c r="H695" t="n">
        <v>0</v>
      </c>
      <c r="I695" t="n">
        <v>0</v>
      </c>
      <c r="J695" t="n">
        <v>0</v>
      </c>
      <c r="K695" t="n">
        <v>0</v>
      </c>
      <c r="L695" t="n">
        <v>0</v>
      </c>
      <c r="M695" t="n">
        <v>0</v>
      </c>
      <c r="N695" t="n">
        <v>0</v>
      </c>
      <c r="O695" t="n">
        <v>0</v>
      </c>
      <c r="P695" t="n">
        <v>0</v>
      </c>
      <c r="Q695" t="n">
        <v>0</v>
      </c>
      <c r="R695" s="2" t="inlineStr"/>
    </row>
    <row r="696" ht="15" customHeight="1">
      <c r="A696" t="inlineStr">
        <is>
          <t>A 62105-2023</t>
        </is>
      </c>
      <c r="B696" s="1" t="n">
        <v>45266.95074074074</v>
      </c>
      <c r="C696" s="1" t="n">
        <v>45986</v>
      </c>
      <c r="D696" t="inlineStr">
        <is>
          <t>JÄMTLANDS LÄN</t>
        </is>
      </c>
      <c r="E696" t="inlineStr">
        <is>
          <t>BERG</t>
        </is>
      </c>
      <c r="F696" t="inlineStr">
        <is>
          <t>SCA</t>
        </is>
      </c>
      <c r="G696" t="n">
        <v>13.1</v>
      </c>
      <c r="H696" t="n">
        <v>0</v>
      </c>
      <c r="I696" t="n">
        <v>0</v>
      </c>
      <c r="J696" t="n">
        <v>0</v>
      </c>
      <c r="K696" t="n">
        <v>0</v>
      </c>
      <c r="L696" t="n">
        <v>0</v>
      </c>
      <c r="M696" t="n">
        <v>0</v>
      </c>
      <c r="N696" t="n">
        <v>0</v>
      </c>
      <c r="O696" t="n">
        <v>0</v>
      </c>
      <c r="P696" t="n">
        <v>0</v>
      </c>
      <c r="Q696" t="n">
        <v>0</v>
      </c>
      <c r="R696" s="2" t="inlineStr"/>
    </row>
    <row r="697" ht="15" customHeight="1">
      <c r="A697" t="inlineStr">
        <is>
          <t>A 22030-2025</t>
        </is>
      </c>
      <c r="B697" s="1" t="n">
        <v>45785.25814814815</v>
      </c>
      <c r="C697" s="1" t="n">
        <v>45986</v>
      </c>
      <c r="D697" t="inlineStr">
        <is>
          <t>JÄMTLANDS LÄN</t>
        </is>
      </c>
      <c r="E697" t="inlineStr">
        <is>
          <t>BERG</t>
        </is>
      </c>
      <c r="G697" t="n">
        <v>5</v>
      </c>
      <c r="H697" t="n">
        <v>0</v>
      </c>
      <c r="I697" t="n">
        <v>0</v>
      </c>
      <c r="J697" t="n">
        <v>0</v>
      </c>
      <c r="K697" t="n">
        <v>0</v>
      </c>
      <c r="L697" t="n">
        <v>0</v>
      </c>
      <c r="M697" t="n">
        <v>0</v>
      </c>
      <c r="N697" t="n">
        <v>0</v>
      </c>
      <c r="O697" t="n">
        <v>0</v>
      </c>
      <c r="P697" t="n">
        <v>0</v>
      </c>
      <c r="Q697" t="n">
        <v>0</v>
      </c>
      <c r="R697" s="2" t="inlineStr"/>
    </row>
    <row r="698" ht="15" customHeight="1">
      <c r="A698" t="inlineStr">
        <is>
          <t>A 36377-2025</t>
        </is>
      </c>
      <c r="B698" s="1" t="n">
        <v>45868.57342592593</v>
      </c>
      <c r="C698" s="1" t="n">
        <v>45986</v>
      </c>
      <c r="D698" t="inlineStr">
        <is>
          <t>JÄMTLANDS LÄN</t>
        </is>
      </c>
      <c r="E698" t="inlineStr">
        <is>
          <t>BERG</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60028-2022</t>
        </is>
      </c>
      <c r="B699" s="1" t="n">
        <v>44902</v>
      </c>
      <c r="C699" s="1" t="n">
        <v>45986</v>
      </c>
      <c r="D699" t="inlineStr">
        <is>
          <t>JÄMTLANDS LÄN</t>
        </is>
      </c>
      <c r="E699" t="inlineStr">
        <is>
          <t>BERG</t>
        </is>
      </c>
      <c r="G699" t="n">
        <v>20</v>
      </c>
      <c r="H699" t="n">
        <v>0</v>
      </c>
      <c r="I699" t="n">
        <v>0</v>
      </c>
      <c r="J699" t="n">
        <v>0</v>
      </c>
      <c r="K699" t="n">
        <v>0</v>
      </c>
      <c r="L699" t="n">
        <v>0</v>
      </c>
      <c r="M699" t="n">
        <v>0</v>
      </c>
      <c r="N699" t="n">
        <v>0</v>
      </c>
      <c r="O699" t="n">
        <v>0</v>
      </c>
      <c r="P699" t="n">
        <v>0</v>
      </c>
      <c r="Q699" t="n">
        <v>0</v>
      </c>
      <c r="R699" s="2" t="inlineStr"/>
    </row>
    <row r="700" ht="15" customHeight="1">
      <c r="A700" t="inlineStr">
        <is>
          <t>A 32465-2024</t>
        </is>
      </c>
      <c r="B700" s="1" t="n">
        <v>45512.96096064815</v>
      </c>
      <c r="C700" s="1" t="n">
        <v>45986</v>
      </c>
      <c r="D700" t="inlineStr">
        <is>
          <t>JÄMTLANDS LÄN</t>
        </is>
      </c>
      <c r="E700" t="inlineStr">
        <is>
          <t>BERG</t>
        </is>
      </c>
      <c r="G700" t="n">
        <v>6.7</v>
      </c>
      <c r="H700" t="n">
        <v>0</v>
      </c>
      <c r="I700" t="n">
        <v>0</v>
      </c>
      <c r="J700" t="n">
        <v>0</v>
      </c>
      <c r="K700" t="n">
        <v>0</v>
      </c>
      <c r="L700" t="n">
        <v>0</v>
      </c>
      <c r="M700" t="n">
        <v>0</v>
      </c>
      <c r="N700" t="n">
        <v>0</v>
      </c>
      <c r="O700" t="n">
        <v>0</v>
      </c>
      <c r="P700" t="n">
        <v>0</v>
      </c>
      <c r="Q700" t="n">
        <v>0</v>
      </c>
      <c r="R700" s="2" t="inlineStr"/>
    </row>
    <row r="701" ht="15" customHeight="1">
      <c r="A701" t="inlineStr">
        <is>
          <t>A 51548-2023</t>
        </is>
      </c>
      <c r="B701" s="1" t="n">
        <v>45215</v>
      </c>
      <c r="C701" s="1" t="n">
        <v>45986</v>
      </c>
      <c r="D701" t="inlineStr">
        <is>
          <t>JÄMTLANDS LÄN</t>
        </is>
      </c>
      <c r="E701" t="inlineStr">
        <is>
          <t>BERG</t>
        </is>
      </c>
      <c r="G701" t="n">
        <v>4.8</v>
      </c>
      <c r="H701" t="n">
        <v>0</v>
      </c>
      <c r="I701" t="n">
        <v>0</v>
      </c>
      <c r="J701" t="n">
        <v>0</v>
      </c>
      <c r="K701" t="n">
        <v>0</v>
      </c>
      <c r="L701" t="n">
        <v>0</v>
      </c>
      <c r="M701" t="n">
        <v>0</v>
      </c>
      <c r="N701" t="n">
        <v>0</v>
      </c>
      <c r="O701" t="n">
        <v>0</v>
      </c>
      <c r="P701" t="n">
        <v>0</v>
      </c>
      <c r="Q701" t="n">
        <v>0</v>
      </c>
      <c r="R701" s="2" t="inlineStr"/>
    </row>
    <row r="702" ht="15" customHeight="1">
      <c r="A702" t="inlineStr">
        <is>
          <t>A 60068-2022</t>
        </is>
      </c>
      <c r="B702" s="1" t="n">
        <v>44902</v>
      </c>
      <c r="C702" s="1" t="n">
        <v>45986</v>
      </c>
      <c r="D702" t="inlineStr">
        <is>
          <t>JÄMTLANDS LÄN</t>
        </is>
      </c>
      <c r="E702" t="inlineStr">
        <is>
          <t>BERG</t>
        </is>
      </c>
      <c r="G702" t="n">
        <v>5.2</v>
      </c>
      <c r="H702" t="n">
        <v>0</v>
      </c>
      <c r="I702" t="n">
        <v>0</v>
      </c>
      <c r="J702" t="n">
        <v>0</v>
      </c>
      <c r="K702" t="n">
        <v>0</v>
      </c>
      <c r="L702" t="n">
        <v>0</v>
      </c>
      <c r="M702" t="n">
        <v>0</v>
      </c>
      <c r="N702" t="n">
        <v>0</v>
      </c>
      <c r="O702" t="n">
        <v>0</v>
      </c>
      <c r="P702" t="n">
        <v>0</v>
      </c>
      <c r="Q702" t="n">
        <v>0</v>
      </c>
      <c r="R702" s="2" t="inlineStr"/>
    </row>
    <row r="703" ht="15" customHeight="1">
      <c r="A703" t="inlineStr">
        <is>
          <t>A 7482-2022</t>
        </is>
      </c>
      <c r="B703" s="1" t="n">
        <v>44606</v>
      </c>
      <c r="C703" s="1" t="n">
        <v>45986</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36668-2025</t>
        </is>
      </c>
      <c r="B704" s="1" t="n">
        <v>45873.38351851852</v>
      </c>
      <c r="C704" s="1" t="n">
        <v>45986</v>
      </c>
      <c r="D704" t="inlineStr">
        <is>
          <t>JÄMTLANDS LÄN</t>
        </is>
      </c>
      <c r="E704" t="inlineStr">
        <is>
          <t>BERG</t>
        </is>
      </c>
      <c r="G704" t="n">
        <v>6.7</v>
      </c>
      <c r="H704" t="n">
        <v>0</v>
      </c>
      <c r="I704" t="n">
        <v>0</v>
      </c>
      <c r="J704" t="n">
        <v>0</v>
      </c>
      <c r="K704" t="n">
        <v>0</v>
      </c>
      <c r="L704" t="n">
        <v>0</v>
      </c>
      <c r="M704" t="n">
        <v>0</v>
      </c>
      <c r="N704" t="n">
        <v>0</v>
      </c>
      <c r="O704" t="n">
        <v>0</v>
      </c>
      <c r="P704" t="n">
        <v>0</v>
      </c>
      <c r="Q704" t="n">
        <v>0</v>
      </c>
      <c r="R704" s="2" t="inlineStr"/>
    </row>
    <row r="705" ht="15" customHeight="1">
      <c r="A705" t="inlineStr">
        <is>
          <t>A 37201-2025</t>
        </is>
      </c>
      <c r="B705" s="1" t="n">
        <v>45875.67797453704</v>
      </c>
      <c r="C705" s="1" t="n">
        <v>45986</v>
      </c>
      <c r="D705" t="inlineStr">
        <is>
          <t>JÄMTLANDS LÄN</t>
        </is>
      </c>
      <c r="E705" t="inlineStr">
        <is>
          <t>BERG</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37066-2025</t>
        </is>
      </c>
      <c r="B706" s="1" t="n">
        <v>45875.3862962963</v>
      </c>
      <c r="C706" s="1" t="n">
        <v>45986</v>
      </c>
      <c r="D706" t="inlineStr">
        <is>
          <t>JÄMTLANDS LÄN</t>
        </is>
      </c>
      <c r="E706" t="inlineStr">
        <is>
          <t>BERG</t>
        </is>
      </c>
      <c r="F706" t="inlineStr">
        <is>
          <t>SCA</t>
        </is>
      </c>
      <c r="G706" t="n">
        <v>9.6</v>
      </c>
      <c r="H706" t="n">
        <v>0</v>
      </c>
      <c r="I706" t="n">
        <v>0</v>
      </c>
      <c r="J706" t="n">
        <v>0</v>
      </c>
      <c r="K706" t="n">
        <v>0</v>
      </c>
      <c r="L706" t="n">
        <v>0</v>
      </c>
      <c r="M706" t="n">
        <v>0</v>
      </c>
      <c r="N706" t="n">
        <v>0</v>
      </c>
      <c r="O706" t="n">
        <v>0</v>
      </c>
      <c r="P706" t="n">
        <v>0</v>
      </c>
      <c r="Q706" t="n">
        <v>0</v>
      </c>
      <c r="R706" s="2" t="inlineStr"/>
    </row>
    <row r="707" ht="15" customHeight="1">
      <c r="A707" t="inlineStr">
        <is>
          <t>A 31641-2022</t>
        </is>
      </c>
      <c r="B707" s="1" t="n">
        <v>44775.94119212963</v>
      </c>
      <c r="C707" s="1" t="n">
        <v>45986</v>
      </c>
      <c r="D707" t="inlineStr">
        <is>
          <t>JÄMTLANDS LÄN</t>
        </is>
      </c>
      <c r="E707" t="inlineStr">
        <is>
          <t>BERG</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36896-2025</t>
        </is>
      </c>
      <c r="B708" s="1" t="n">
        <v>45874.4740625</v>
      </c>
      <c r="C708" s="1" t="n">
        <v>45986</v>
      </c>
      <c r="D708" t="inlineStr">
        <is>
          <t>JÄMTLANDS LÄN</t>
        </is>
      </c>
      <c r="E708" t="inlineStr">
        <is>
          <t>BERG</t>
        </is>
      </c>
      <c r="G708" t="n">
        <v>3.2</v>
      </c>
      <c r="H708" t="n">
        <v>0</v>
      </c>
      <c r="I708" t="n">
        <v>0</v>
      </c>
      <c r="J708" t="n">
        <v>0</v>
      </c>
      <c r="K708" t="n">
        <v>0</v>
      </c>
      <c r="L708" t="n">
        <v>0</v>
      </c>
      <c r="M708" t="n">
        <v>0</v>
      </c>
      <c r="N708" t="n">
        <v>0</v>
      </c>
      <c r="O708" t="n">
        <v>0</v>
      </c>
      <c r="P708" t="n">
        <v>0</v>
      </c>
      <c r="Q708" t="n">
        <v>0</v>
      </c>
      <c r="R708" s="2" t="inlineStr"/>
    </row>
    <row r="709" ht="15" customHeight="1">
      <c r="A709" t="inlineStr">
        <is>
          <t>A 16247-2024</t>
        </is>
      </c>
      <c r="B709" s="1" t="n">
        <v>45407.05797453703</v>
      </c>
      <c r="C709" s="1" t="n">
        <v>45986</v>
      </c>
      <c r="D709" t="inlineStr">
        <is>
          <t>JÄMTLANDS LÄN</t>
        </is>
      </c>
      <c r="E709" t="inlineStr">
        <is>
          <t>BERG</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36714-2025</t>
        </is>
      </c>
      <c r="B710" s="1" t="n">
        <v>45873.46881944445</v>
      </c>
      <c r="C710" s="1" t="n">
        <v>45986</v>
      </c>
      <c r="D710" t="inlineStr">
        <is>
          <t>JÄMTLANDS LÄN</t>
        </is>
      </c>
      <c r="E710" t="inlineStr">
        <is>
          <t>BERG</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36718-2025</t>
        </is>
      </c>
      <c r="B711" s="1" t="n">
        <v>45873.47069444445</v>
      </c>
      <c r="C711" s="1" t="n">
        <v>45986</v>
      </c>
      <c r="D711" t="inlineStr">
        <is>
          <t>JÄMTLANDS LÄN</t>
        </is>
      </c>
      <c r="E711" t="inlineStr">
        <is>
          <t>BERG</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46268-2023</t>
        </is>
      </c>
      <c r="B712" s="1" t="n">
        <v>45196</v>
      </c>
      <c r="C712" s="1" t="n">
        <v>45986</v>
      </c>
      <c r="D712" t="inlineStr">
        <is>
          <t>JÄMTLANDS LÄN</t>
        </is>
      </c>
      <c r="E712" t="inlineStr">
        <is>
          <t>BERG</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37062-2025</t>
        </is>
      </c>
      <c r="B713" s="1" t="n">
        <v>45875.38579861111</v>
      </c>
      <c r="C713" s="1" t="n">
        <v>45986</v>
      </c>
      <c r="D713" t="inlineStr">
        <is>
          <t>JÄMTLANDS LÄN</t>
        </is>
      </c>
      <c r="E713" t="inlineStr">
        <is>
          <t>BERG</t>
        </is>
      </c>
      <c r="F713" t="inlineStr">
        <is>
          <t>SCA</t>
        </is>
      </c>
      <c r="G713" t="n">
        <v>8.5</v>
      </c>
      <c r="H713" t="n">
        <v>0</v>
      </c>
      <c r="I713" t="n">
        <v>0</v>
      </c>
      <c r="J713" t="n">
        <v>0</v>
      </c>
      <c r="K713" t="n">
        <v>0</v>
      </c>
      <c r="L713" t="n">
        <v>0</v>
      </c>
      <c r="M713" t="n">
        <v>0</v>
      </c>
      <c r="N713" t="n">
        <v>0</v>
      </c>
      <c r="O713" t="n">
        <v>0</v>
      </c>
      <c r="P713" t="n">
        <v>0</v>
      </c>
      <c r="Q713" t="n">
        <v>0</v>
      </c>
      <c r="R713" s="2" t="inlineStr"/>
    </row>
    <row r="714" ht="15" customHeight="1">
      <c r="A714" t="inlineStr">
        <is>
          <t>A 36341-2025</t>
        </is>
      </c>
      <c r="B714" s="1" t="n">
        <v>45868</v>
      </c>
      <c r="C714" s="1" t="n">
        <v>45986</v>
      </c>
      <c r="D714" t="inlineStr">
        <is>
          <t>JÄMTLANDS LÄN</t>
        </is>
      </c>
      <c r="E714" t="inlineStr">
        <is>
          <t>BERG</t>
        </is>
      </c>
      <c r="G714" t="n">
        <v>3.1</v>
      </c>
      <c r="H714" t="n">
        <v>0</v>
      </c>
      <c r="I714" t="n">
        <v>0</v>
      </c>
      <c r="J714" t="n">
        <v>0</v>
      </c>
      <c r="K714" t="n">
        <v>0</v>
      </c>
      <c r="L714" t="n">
        <v>0</v>
      </c>
      <c r="M714" t="n">
        <v>0</v>
      </c>
      <c r="N714" t="n">
        <v>0</v>
      </c>
      <c r="O714" t="n">
        <v>0</v>
      </c>
      <c r="P714" t="n">
        <v>0</v>
      </c>
      <c r="Q714" t="n">
        <v>0</v>
      </c>
      <c r="R714" s="2" t="inlineStr"/>
    </row>
    <row r="715" ht="15" customHeight="1">
      <c r="A715" t="inlineStr">
        <is>
          <t>A 37488-2025</t>
        </is>
      </c>
      <c r="B715" s="1" t="n">
        <v>45877.63582175926</v>
      </c>
      <c r="C715" s="1" t="n">
        <v>45986</v>
      </c>
      <c r="D715" t="inlineStr">
        <is>
          <t>JÄMTLANDS LÄN</t>
        </is>
      </c>
      <c r="E715" t="inlineStr">
        <is>
          <t>BERG</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37455-2025</t>
        </is>
      </c>
      <c r="B716" s="1" t="n">
        <v>45877.56710648148</v>
      </c>
      <c r="C716" s="1" t="n">
        <v>45986</v>
      </c>
      <c r="D716" t="inlineStr">
        <is>
          <t>JÄMTLANDS LÄN</t>
        </is>
      </c>
      <c r="E716" t="inlineStr">
        <is>
          <t>BERG</t>
        </is>
      </c>
      <c r="G716" t="n">
        <v>5.6</v>
      </c>
      <c r="H716" t="n">
        <v>0</v>
      </c>
      <c r="I716" t="n">
        <v>0</v>
      </c>
      <c r="J716" t="n">
        <v>0</v>
      </c>
      <c r="K716" t="n">
        <v>0</v>
      </c>
      <c r="L716" t="n">
        <v>0</v>
      </c>
      <c r="M716" t="n">
        <v>0</v>
      </c>
      <c r="N716" t="n">
        <v>0</v>
      </c>
      <c r="O716" t="n">
        <v>0</v>
      </c>
      <c r="P716" t="n">
        <v>0</v>
      </c>
      <c r="Q716" t="n">
        <v>0</v>
      </c>
      <c r="R716" s="2" t="inlineStr"/>
    </row>
    <row r="717" ht="15" customHeight="1">
      <c r="A717" t="inlineStr">
        <is>
          <t>A 8069-2024</t>
        </is>
      </c>
      <c r="B717" s="1" t="n">
        <v>45351.41600694445</v>
      </c>
      <c r="C717" s="1" t="n">
        <v>45986</v>
      </c>
      <c r="D717" t="inlineStr">
        <is>
          <t>JÄMTLANDS LÄN</t>
        </is>
      </c>
      <c r="E717" t="inlineStr">
        <is>
          <t>BERG</t>
        </is>
      </c>
      <c r="G717" t="n">
        <v>1.2</v>
      </c>
      <c r="H717" t="n">
        <v>0</v>
      </c>
      <c r="I717" t="n">
        <v>0</v>
      </c>
      <c r="J717" t="n">
        <v>0</v>
      </c>
      <c r="K717" t="n">
        <v>0</v>
      </c>
      <c r="L717" t="n">
        <v>0</v>
      </c>
      <c r="M717" t="n">
        <v>0</v>
      </c>
      <c r="N717" t="n">
        <v>0</v>
      </c>
      <c r="O717" t="n">
        <v>0</v>
      </c>
      <c r="P717" t="n">
        <v>0</v>
      </c>
      <c r="Q717" t="n">
        <v>0</v>
      </c>
      <c r="R717" s="2" t="inlineStr"/>
    </row>
    <row r="718" ht="15" customHeight="1">
      <c r="A718" t="inlineStr">
        <is>
          <t>A 61788-2023</t>
        </is>
      </c>
      <c r="B718" s="1" t="n">
        <v>45265.9577199074</v>
      </c>
      <c r="C718" s="1" t="n">
        <v>45986</v>
      </c>
      <c r="D718" t="inlineStr">
        <is>
          <t>JÄMTLANDS LÄN</t>
        </is>
      </c>
      <c r="E718" t="inlineStr">
        <is>
          <t>BERG</t>
        </is>
      </c>
      <c r="G718" t="n">
        <v>2.6</v>
      </c>
      <c r="H718" t="n">
        <v>0</v>
      </c>
      <c r="I718" t="n">
        <v>0</v>
      </c>
      <c r="J718" t="n">
        <v>0</v>
      </c>
      <c r="K718" t="n">
        <v>0</v>
      </c>
      <c r="L718" t="n">
        <v>0</v>
      </c>
      <c r="M718" t="n">
        <v>0</v>
      </c>
      <c r="N718" t="n">
        <v>0</v>
      </c>
      <c r="O718" t="n">
        <v>0</v>
      </c>
      <c r="P718" t="n">
        <v>0</v>
      </c>
      <c r="Q718" t="n">
        <v>0</v>
      </c>
      <c r="R718" s="2" t="inlineStr"/>
    </row>
    <row r="719" ht="15" customHeight="1">
      <c r="A719" t="inlineStr">
        <is>
          <t>A 37463-2025</t>
        </is>
      </c>
      <c r="B719" s="1" t="n">
        <v>45877.5738425926</v>
      </c>
      <c r="C719" s="1" t="n">
        <v>45986</v>
      </c>
      <c r="D719" t="inlineStr">
        <is>
          <t>JÄMTLANDS LÄN</t>
        </is>
      </c>
      <c r="E719" t="inlineStr">
        <is>
          <t>BERG</t>
        </is>
      </c>
      <c r="F719" t="inlineStr">
        <is>
          <t>SCA</t>
        </is>
      </c>
      <c r="G719" t="n">
        <v>13.3</v>
      </c>
      <c r="H719" t="n">
        <v>0</v>
      </c>
      <c r="I719" t="n">
        <v>0</v>
      </c>
      <c r="J719" t="n">
        <v>0</v>
      </c>
      <c r="K719" t="n">
        <v>0</v>
      </c>
      <c r="L719" t="n">
        <v>0</v>
      </c>
      <c r="M719" t="n">
        <v>0</v>
      </c>
      <c r="N719" t="n">
        <v>0</v>
      </c>
      <c r="O719" t="n">
        <v>0</v>
      </c>
      <c r="P719" t="n">
        <v>0</v>
      </c>
      <c r="Q719" t="n">
        <v>0</v>
      </c>
      <c r="R719" s="2" t="inlineStr"/>
    </row>
    <row r="720" ht="15" customHeight="1">
      <c r="A720" t="inlineStr">
        <is>
          <t>A 39785-2024</t>
        </is>
      </c>
      <c r="B720" s="1" t="n">
        <v>45553.29927083333</v>
      </c>
      <c r="C720" s="1" t="n">
        <v>45986</v>
      </c>
      <c r="D720" t="inlineStr">
        <is>
          <t>JÄMTLANDS LÄN</t>
        </is>
      </c>
      <c r="E720" t="inlineStr">
        <is>
          <t>BERG</t>
        </is>
      </c>
      <c r="G720" t="n">
        <v>16.1</v>
      </c>
      <c r="H720" t="n">
        <v>0</v>
      </c>
      <c r="I720" t="n">
        <v>0</v>
      </c>
      <c r="J720" t="n">
        <v>0</v>
      </c>
      <c r="K720" t="n">
        <v>0</v>
      </c>
      <c r="L720" t="n">
        <v>0</v>
      </c>
      <c r="M720" t="n">
        <v>0</v>
      </c>
      <c r="N720" t="n">
        <v>0</v>
      </c>
      <c r="O720" t="n">
        <v>0</v>
      </c>
      <c r="P720" t="n">
        <v>0</v>
      </c>
      <c r="Q720" t="n">
        <v>0</v>
      </c>
      <c r="R720" s="2" t="inlineStr"/>
    </row>
    <row r="721" ht="15" customHeight="1">
      <c r="A721" t="inlineStr">
        <is>
          <t>A 51201-2023</t>
        </is>
      </c>
      <c r="B721" s="1" t="n">
        <v>45219.42320601852</v>
      </c>
      <c r="C721" s="1" t="n">
        <v>45986</v>
      </c>
      <c r="D721" t="inlineStr">
        <is>
          <t>JÄMTLANDS LÄN</t>
        </is>
      </c>
      <c r="E721" t="inlineStr">
        <is>
          <t>BERG</t>
        </is>
      </c>
      <c r="G721" t="n">
        <v>1.2</v>
      </c>
      <c r="H721" t="n">
        <v>0</v>
      </c>
      <c r="I721" t="n">
        <v>0</v>
      </c>
      <c r="J721" t="n">
        <v>0</v>
      </c>
      <c r="K721" t="n">
        <v>0</v>
      </c>
      <c r="L721" t="n">
        <v>0</v>
      </c>
      <c r="M721" t="n">
        <v>0</v>
      </c>
      <c r="N721" t="n">
        <v>0</v>
      </c>
      <c r="O721" t="n">
        <v>0</v>
      </c>
      <c r="P721" t="n">
        <v>0</v>
      </c>
      <c r="Q721" t="n">
        <v>0</v>
      </c>
      <c r="R721" s="2" t="inlineStr"/>
    </row>
    <row r="722" ht="15" customHeight="1">
      <c r="A722" t="inlineStr">
        <is>
          <t>A 29087-2024</t>
        </is>
      </c>
      <c r="B722" s="1" t="n">
        <v>45481.92946759259</v>
      </c>
      <c r="C722" s="1" t="n">
        <v>45986</v>
      </c>
      <c r="D722" t="inlineStr">
        <is>
          <t>JÄMTLANDS LÄN</t>
        </is>
      </c>
      <c r="E722" t="inlineStr">
        <is>
          <t>BERG</t>
        </is>
      </c>
      <c r="G722" t="n">
        <v>10.7</v>
      </c>
      <c r="H722" t="n">
        <v>0</v>
      </c>
      <c r="I722" t="n">
        <v>0</v>
      </c>
      <c r="J722" t="n">
        <v>0</v>
      </c>
      <c r="K722" t="n">
        <v>0</v>
      </c>
      <c r="L722" t="n">
        <v>0</v>
      </c>
      <c r="M722" t="n">
        <v>0</v>
      </c>
      <c r="N722" t="n">
        <v>0</v>
      </c>
      <c r="O722" t="n">
        <v>0</v>
      </c>
      <c r="P722" t="n">
        <v>0</v>
      </c>
      <c r="Q722" t="n">
        <v>0</v>
      </c>
      <c r="R722" s="2" t="inlineStr"/>
    </row>
    <row r="723" ht="15" customHeight="1">
      <c r="A723" t="inlineStr">
        <is>
          <t>A 56226-2024</t>
        </is>
      </c>
      <c r="B723" s="1" t="n">
        <v>45624.61572916667</v>
      </c>
      <c r="C723" s="1" t="n">
        <v>45986</v>
      </c>
      <c r="D723" t="inlineStr">
        <is>
          <t>JÄMTLANDS LÄN</t>
        </is>
      </c>
      <c r="E723" t="inlineStr">
        <is>
          <t>BERG</t>
        </is>
      </c>
      <c r="F723" t="inlineStr">
        <is>
          <t>SCA</t>
        </is>
      </c>
      <c r="G723" t="n">
        <v>7.2</v>
      </c>
      <c r="H723" t="n">
        <v>0</v>
      </c>
      <c r="I723" t="n">
        <v>0</v>
      </c>
      <c r="J723" t="n">
        <v>0</v>
      </c>
      <c r="K723" t="n">
        <v>0</v>
      </c>
      <c r="L723" t="n">
        <v>0</v>
      </c>
      <c r="M723" t="n">
        <v>0</v>
      </c>
      <c r="N723" t="n">
        <v>0</v>
      </c>
      <c r="O723" t="n">
        <v>0</v>
      </c>
      <c r="P723" t="n">
        <v>0</v>
      </c>
      <c r="Q723" t="n">
        <v>0</v>
      </c>
      <c r="R723" s="2" t="inlineStr"/>
    </row>
    <row r="724" ht="15" customHeight="1">
      <c r="A724" t="inlineStr">
        <is>
          <t>A 37431-2025</t>
        </is>
      </c>
      <c r="B724" s="1" t="n">
        <v>45877.51092592593</v>
      </c>
      <c r="C724" s="1" t="n">
        <v>45986</v>
      </c>
      <c r="D724" t="inlineStr">
        <is>
          <t>JÄMTLANDS LÄN</t>
        </is>
      </c>
      <c r="E724" t="inlineStr">
        <is>
          <t>BERG</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41868-2024</t>
        </is>
      </c>
      <c r="B725" s="1" t="n">
        <v>45561.46900462963</v>
      </c>
      <c r="C725" s="1" t="n">
        <v>45986</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18261-2022</t>
        </is>
      </c>
      <c r="B726" s="1" t="n">
        <v>44685.45633101852</v>
      </c>
      <c r="C726" s="1" t="n">
        <v>45986</v>
      </c>
      <c r="D726" t="inlineStr">
        <is>
          <t>JÄMTLANDS LÄN</t>
        </is>
      </c>
      <c r="E726" t="inlineStr">
        <is>
          <t>BERG</t>
        </is>
      </c>
      <c r="G726" t="n">
        <v>3</v>
      </c>
      <c r="H726" t="n">
        <v>0</v>
      </c>
      <c r="I726" t="n">
        <v>0</v>
      </c>
      <c r="J726" t="n">
        <v>0</v>
      </c>
      <c r="K726" t="n">
        <v>0</v>
      </c>
      <c r="L726" t="n">
        <v>0</v>
      </c>
      <c r="M726" t="n">
        <v>0</v>
      </c>
      <c r="N726" t="n">
        <v>0</v>
      </c>
      <c r="O726" t="n">
        <v>0</v>
      </c>
      <c r="P726" t="n">
        <v>0</v>
      </c>
      <c r="Q726" t="n">
        <v>0</v>
      </c>
      <c r="R726" s="2" t="inlineStr"/>
    </row>
    <row r="727" ht="15" customHeight="1">
      <c r="A727" t="inlineStr">
        <is>
          <t>A 44997-2021</t>
        </is>
      </c>
      <c r="B727" s="1" t="n">
        <v>44438</v>
      </c>
      <c r="C727" s="1" t="n">
        <v>45986</v>
      </c>
      <c r="D727" t="inlineStr">
        <is>
          <t>JÄMTLANDS LÄN</t>
        </is>
      </c>
      <c r="E727" t="inlineStr">
        <is>
          <t>BERG</t>
        </is>
      </c>
      <c r="G727" t="n">
        <v>3.8</v>
      </c>
      <c r="H727" t="n">
        <v>0</v>
      </c>
      <c r="I727" t="n">
        <v>0</v>
      </c>
      <c r="J727" t="n">
        <v>0</v>
      </c>
      <c r="K727" t="n">
        <v>0</v>
      </c>
      <c r="L727" t="n">
        <v>0</v>
      </c>
      <c r="M727" t="n">
        <v>0</v>
      </c>
      <c r="N727" t="n">
        <v>0</v>
      </c>
      <c r="O727" t="n">
        <v>0</v>
      </c>
      <c r="P727" t="n">
        <v>0</v>
      </c>
      <c r="Q727" t="n">
        <v>0</v>
      </c>
      <c r="R727" s="2" t="inlineStr"/>
    </row>
    <row r="728" ht="15" customHeight="1">
      <c r="A728" t="inlineStr">
        <is>
          <t>A 38082-2025</t>
        </is>
      </c>
      <c r="B728" s="1" t="n">
        <v>45882</v>
      </c>
      <c r="C728" s="1" t="n">
        <v>45986</v>
      </c>
      <c r="D728" t="inlineStr">
        <is>
          <t>JÄMTLANDS LÄN</t>
        </is>
      </c>
      <c r="E728" t="inlineStr">
        <is>
          <t>BERG</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38408-2025</t>
        </is>
      </c>
      <c r="B729" s="1" t="n">
        <v>45883.59412037037</v>
      </c>
      <c r="C729" s="1" t="n">
        <v>45986</v>
      </c>
      <c r="D729" t="inlineStr">
        <is>
          <t>JÄMTLANDS LÄN</t>
        </is>
      </c>
      <c r="E729" t="inlineStr">
        <is>
          <t>BERG</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38388-2025</t>
        </is>
      </c>
      <c r="B730" s="1" t="n">
        <v>45883.57467592593</v>
      </c>
      <c r="C730" s="1" t="n">
        <v>45986</v>
      </c>
      <c r="D730" t="inlineStr">
        <is>
          <t>JÄMTLANDS LÄN</t>
        </is>
      </c>
      <c r="E730" t="inlineStr">
        <is>
          <t>BERG</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38428-2025</t>
        </is>
      </c>
      <c r="B731" s="1" t="n">
        <v>45883.63628472222</v>
      </c>
      <c r="C731" s="1" t="n">
        <v>45986</v>
      </c>
      <c r="D731" t="inlineStr">
        <is>
          <t>JÄMTLANDS LÄN</t>
        </is>
      </c>
      <c r="E731" t="inlineStr">
        <is>
          <t>BERG</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38080-2025</t>
        </is>
      </c>
      <c r="B732" s="1" t="n">
        <v>45882</v>
      </c>
      <c r="C732" s="1" t="n">
        <v>45986</v>
      </c>
      <c r="D732" t="inlineStr">
        <is>
          <t>JÄMTLANDS LÄN</t>
        </is>
      </c>
      <c r="E732" t="inlineStr">
        <is>
          <t>BERG</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13473-2025</t>
        </is>
      </c>
      <c r="B733" s="1" t="n">
        <v>45736.40671296296</v>
      </c>
      <c r="C733" s="1" t="n">
        <v>45986</v>
      </c>
      <c r="D733" t="inlineStr">
        <is>
          <t>JÄMTLANDS LÄN</t>
        </is>
      </c>
      <c r="E733" t="inlineStr">
        <is>
          <t>BERG</t>
        </is>
      </c>
      <c r="F733" t="inlineStr">
        <is>
          <t>SCA</t>
        </is>
      </c>
      <c r="G733" t="n">
        <v>13.7</v>
      </c>
      <c r="H733" t="n">
        <v>0</v>
      </c>
      <c r="I733" t="n">
        <v>0</v>
      </c>
      <c r="J733" t="n">
        <v>0</v>
      </c>
      <c r="K733" t="n">
        <v>0</v>
      </c>
      <c r="L733" t="n">
        <v>0</v>
      </c>
      <c r="M733" t="n">
        <v>0</v>
      </c>
      <c r="N733" t="n">
        <v>0</v>
      </c>
      <c r="O733" t="n">
        <v>0</v>
      </c>
      <c r="P733" t="n">
        <v>0</v>
      </c>
      <c r="Q733" t="n">
        <v>0</v>
      </c>
      <c r="R733" s="2" t="inlineStr"/>
    </row>
    <row r="734" ht="15" customHeight="1">
      <c r="A734" t="inlineStr">
        <is>
          <t>A 59498-2024</t>
        </is>
      </c>
      <c r="B734" s="1" t="n">
        <v>45638.54635416667</v>
      </c>
      <c r="C734" s="1" t="n">
        <v>45986</v>
      </c>
      <c r="D734" t="inlineStr">
        <is>
          <t>JÄMTLANDS LÄN</t>
        </is>
      </c>
      <c r="E734" t="inlineStr">
        <is>
          <t>BERG</t>
        </is>
      </c>
      <c r="G734" t="n">
        <v>2.4</v>
      </c>
      <c r="H734" t="n">
        <v>0</v>
      </c>
      <c r="I734" t="n">
        <v>0</v>
      </c>
      <c r="J734" t="n">
        <v>0</v>
      </c>
      <c r="K734" t="n">
        <v>0</v>
      </c>
      <c r="L734" t="n">
        <v>0</v>
      </c>
      <c r="M734" t="n">
        <v>0</v>
      </c>
      <c r="N734" t="n">
        <v>0</v>
      </c>
      <c r="O734" t="n">
        <v>0</v>
      </c>
      <c r="P734" t="n">
        <v>0</v>
      </c>
      <c r="Q734" t="n">
        <v>0</v>
      </c>
      <c r="R734" s="2" t="inlineStr"/>
    </row>
    <row r="735" ht="15" customHeight="1">
      <c r="A735" t="inlineStr">
        <is>
          <t>A 47168-2025</t>
        </is>
      </c>
      <c r="B735" s="1" t="n">
        <v>45929.86864583333</v>
      </c>
      <c r="C735" s="1" t="n">
        <v>45986</v>
      </c>
      <c r="D735" t="inlineStr">
        <is>
          <t>JÄMTLANDS LÄN</t>
        </is>
      </c>
      <c r="E735" t="inlineStr">
        <is>
          <t>BERG</t>
        </is>
      </c>
      <c r="F735" t="inlineStr">
        <is>
          <t>Kyrkan</t>
        </is>
      </c>
      <c r="G735" t="n">
        <v>1.6</v>
      </c>
      <c r="H735" t="n">
        <v>0</v>
      </c>
      <c r="I735" t="n">
        <v>0</v>
      </c>
      <c r="J735" t="n">
        <v>0</v>
      </c>
      <c r="K735" t="n">
        <v>0</v>
      </c>
      <c r="L735" t="n">
        <v>0</v>
      </c>
      <c r="M735" t="n">
        <v>0</v>
      </c>
      <c r="N735" t="n">
        <v>0</v>
      </c>
      <c r="O735" t="n">
        <v>0</v>
      </c>
      <c r="P735" t="n">
        <v>0</v>
      </c>
      <c r="Q735" t="n">
        <v>0</v>
      </c>
      <c r="R735" s="2" t="inlineStr"/>
    </row>
    <row r="736" ht="15" customHeight="1">
      <c r="A736" t="inlineStr">
        <is>
          <t>A 39809-2025</t>
        </is>
      </c>
      <c r="B736" s="1" t="n">
        <v>45891</v>
      </c>
      <c r="C736" s="1" t="n">
        <v>45986</v>
      </c>
      <c r="D736" t="inlineStr">
        <is>
          <t>JÄMTLANDS LÄN</t>
        </is>
      </c>
      <c r="E736" t="inlineStr">
        <is>
          <t>BERG</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47119-2024</t>
        </is>
      </c>
      <c r="B737" s="1" t="n">
        <v>45586.56431712963</v>
      </c>
      <c r="C737" s="1" t="n">
        <v>45986</v>
      </c>
      <c r="D737" t="inlineStr">
        <is>
          <t>JÄMTLANDS LÄN</t>
        </is>
      </c>
      <c r="E737" t="inlineStr">
        <is>
          <t>BERG</t>
        </is>
      </c>
      <c r="G737" t="n">
        <v>5</v>
      </c>
      <c r="H737" t="n">
        <v>0</v>
      </c>
      <c r="I737" t="n">
        <v>0</v>
      </c>
      <c r="J737" t="n">
        <v>0</v>
      </c>
      <c r="K737" t="n">
        <v>0</v>
      </c>
      <c r="L737" t="n">
        <v>0</v>
      </c>
      <c r="M737" t="n">
        <v>0</v>
      </c>
      <c r="N737" t="n">
        <v>0</v>
      </c>
      <c r="O737" t="n">
        <v>0</v>
      </c>
      <c r="P737" t="n">
        <v>0</v>
      </c>
      <c r="Q737" t="n">
        <v>0</v>
      </c>
      <c r="R737" s="2" t="inlineStr"/>
    </row>
    <row r="738" ht="15" customHeight="1">
      <c r="A738" t="inlineStr">
        <is>
          <t>A 1646-2021</t>
        </is>
      </c>
      <c r="B738" s="1" t="n">
        <v>44209</v>
      </c>
      <c r="C738" s="1" t="n">
        <v>45986</v>
      </c>
      <c r="D738" t="inlineStr">
        <is>
          <t>JÄMTLANDS LÄN</t>
        </is>
      </c>
      <c r="E738" t="inlineStr">
        <is>
          <t>BERG</t>
        </is>
      </c>
      <c r="G738" t="n">
        <v>0.1</v>
      </c>
      <c r="H738" t="n">
        <v>0</v>
      </c>
      <c r="I738" t="n">
        <v>0</v>
      </c>
      <c r="J738" t="n">
        <v>0</v>
      </c>
      <c r="K738" t="n">
        <v>0</v>
      </c>
      <c r="L738" t="n">
        <v>0</v>
      </c>
      <c r="M738" t="n">
        <v>0</v>
      </c>
      <c r="N738" t="n">
        <v>0</v>
      </c>
      <c r="O738" t="n">
        <v>0</v>
      </c>
      <c r="P738" t="n">
        <v>0</v>
      </c>
      <c r="Q738" t="n">
        <v>0</v>
      </c>
      <c r="R738" s="2" t="inlineStr"/>
    </row>
    <row r="739" ht="15" customHeight="1">
      <c r="A739" t="inlineStr">
        <is>
          <t>A 18872-2023</t>
        </is>
      </c>
      <c r="B739" s="1" t="n">
        <v>45042</v>
      </c>
      <c r="C739" s="1" t="n">
        <v>45986</v>
      </c>
      <c r="D739" t="inlineStr">
        <is>
          <t>JÄMTLANDS LÄN</t>
        </is>
      </c>
      <c r="E739" t="inlineStr">
        <is>
          <t>BERG</t>
        </is>
      </c>
      <c r="G739" t="n">
        <v>13.2</v>
      </c>
      <c r="H739" t="n">
        <v>0</v>
      </c>
      <c r="I739" t="n">
        <v>0</v>
      </c>
      <c r="J739" t="n">
        <v>0</v>
      </c>
      <c r="K739" t="n">
        <v>0</v>
      </c>
      <c r="L739" t="n">
        <v>0</v>
      </c>
      <c r="M739" t="n">
        <v>0</v>
      </c>
      <c r="N739" t="n">
        <v>0</v>
      </c>
      <c r="O739" t="n">
        <v>0</v>
      </c>
      <c r="P739" t="n">
        <v>0</v>
      </c>
      <c r="Q739" t="n">
        <v>0</v>
      </c>
      <c r="R739" s="2" t="inlineStr"/>
    </row>
    <row r="740" ht="15" customHeight="1">
      <c r="A740" t="inlineStr">
        <is>
          <t>A 50169-2023</t>
        </is>
      </c>
      <c r="B740" s="1" t="n">
        <v>45208</v>
      </c>
      <c r="C740" s="1" t="n">
        <v>45986</v>
      </c>
      <c r="D740" t="inlineStr">
        <is>
          <t>JÄMTLANDS LÄN</t>
        </is>
      </c>
      <c r="E740" t="inlineStr">
        <is>
          <t>BERG</t>
        </is>
      </c>
      <c r="G740" t="n">
        <v>3.9</v>
      </c>
      <c r="H740" t="n">
        <v>0</v>
      </c>
      <c r="I740" t="n">
        <v>0</v>
      </c>
      <c r="J740" t="n">
        <v>0</v>
      </c>
      <c r="K740" t="n">
        <v>0</v>
      </c>
      <c r="L740" t="n">
        <v>0</v>
      </c>
      <c r="M740" t="n">
        <v>0</v>
      </c>
      <c r="N740" t="n">
        <v>0</v>
      </c>
      <c r="O740" t="n">
        <v>0</v>
      </c>
      <c r="P740" t="n">
        <v>0</v>
      </c>
      <c r="Q740" t="n">
        <v>0</v>
      </c>
      <c r="R740" s="2" t="inlineStr"/>
    </row>
    <row r="741" ht="15" customHeight="1">
      <c r="A741" t="inlineStr">
        <is>
          <t>A 50172-2023</t>
        </is>
      </c>
      <c r="B741" s="1" t="n">
        <v>45208</v>
      </c>
      <c r="C741" s="1" t="n">
        <v>45986</v>
      </c>
      <c r="D741" t="inlineStr">
        <is>
          <t>JÄMTLANDS LÄN</t>
        </is>
      </c>
      <c r="E741" t="inlineStr">
        <is>
          <t>BERG</t>
        </is>
      </c>
      <c r="G741" t="n">
        <v>0.9</v>
      </c>
      <c r="H741" t="n">
        <v>0</v>
      </c>
      <c r="I741" t="n">
        <v>0</v>
      </c>
      <c r="J741" t="n">
        <v>0</v>
      </c>
      <c r="K741" t="n">
        <v>0</v>
      </c>
      <c r="L741" t="n">
        <v>0</v>
      </c>
      <c r="M741" t="n">
        <v>0</v>
      </c>
      <c r="N741" t="n">
        <v>0</v>
      </c>
      <c r="O741" t="n">
        <v>0</v>
      </c>
      <c r="P741" t="n">
        <v>0</v>
      </c>
      <c r="Q741" t="n">
        <v>0</v>
      </c>
      <c r="R741" s="2" t="inlineStr"/>
    </row>
    <row r="742" ht="15" customHeight="1">
      <c r="A742" t="inlineStr">
        <is>
          <t>A 2474-2025</t>
        </is>
      </c>
      <c r="B742" s="1" t="n">
        <v>45674.47496527778</v>
      </c>
      <c r="C742" s="1" t="n">
        <v>45986</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41886-2024</t>
        </is>
      </c>
      <c r="B743" s="1" t="n">
        <v>45561.48825231481</v>
      </c>
      <c r="C743" s="1" t="n">
        <v>45986</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49277-2024</t>
        </is>
      </c>
      <c r="B744" s="1" t="n">
        <v>45595.50820601852</v>
      </c>
      <c r="C744" s="1" t="n">
        <v>45986</v>
      </c>
      <c r="D744" t="inlineStr">
        <is>
          <t>JÄMTLANDS LÄN</t>
        </is>
      </c>
      <c r="E744" t="inlineStr">
        <is>
          <t>BERG</t>
        </is>
      </c>
      <c r="G744" t="n">
        <v>1.3</v>
      </c>
      <c r="H744" t="n">
        <v>0</v>
      </c>
      <c r="I744" t="n">
        <v>0</v>
      </c>
      <c r="J744" t="n">
        <v>0</v>
      </c>
      <c r="K744" t="n">
        <v>0</v>
      </c>
      <c r="L744" t="n">
        <v>0</v>
      </c>
      <c r="M744" t="n">
        <v>0</v>
      </c>
      <c r="N744" t="n">
        <v>0</v>
      </c>
      <c r="O744" t="n">
        <v>0</v>
      </c>
      <c r="P744" t="n">
        <v>0</v>
      </c>
      <c r="Q744" t="n">
        <v>0</v>
      </c>
      <c r="R744" s="2" t="inlineStr"/>
    </row>
    <row r="745" ht="15" customHeight="1">
      <c r="A745" t="inlineStr">
        <is>
          <t>A 34225-2024</t>
        </is>
      </c>
      <c r="B745" s="1" t="n">
        <v>45524.55398148148</v>
      </c>
      <c r="C745" s="1" t="n">
        <v>45986</v>
      </c>
      <c r="D745" t="inlineStr">
        <is>
          <t>JÄMTLANDS LÄN</t>
        </is>
      </c>
      <c r="E745" t="inlineStr">
        <is>
          <t>BERG</t>
        </is>
      </c>
      <c r="G745" t="n">
        <v>1.3</v>
      </c>
      <c r="H745" t="n">
        <v>0</v>
      </c>
      <c r="I745" t="n">
        <v>0</v>
      </c>
      <c r="J745" t="n">
        <v>0</v>
      </c>
      <c r="K745" t="n">
        <v>0</v>
      </c>
      <c r="L745" t="n">
        <v>0</v>
      </c>
      <c r="M745" t="n">
        <v>0</v>
      </c>
      <c r="N745" t="n">
        <v>0</v>
      </c>
      <c r="O745" t="n">
        <v>0</v>
      </c>
      <c r="P745" t="n">
        <v>0</v>
      </c>
      <c r="Q745" t="n">
        <v>0</v>
      </c>
      <c r="R745" s="2" t="inlineStr"/>
    </row>
    <row r="746" ht="15" customHeight="1">
      <c r="A746" t="inlineStr">
        <is>
          <t>A 19538-2023</t>
        </is>
      </c>
      <c r="B746" s="1" t="n">
        <v>45050</v>
      </c>
      <c r="C746" s="1" t="n">
        <v>45986</v>
      </c>
      <c r="D746" t="inlineStr">
        <is>
          <t>JÄMTLANDS LÄN</t>
        </is>
      </c>
      <c r="E746" t="inlineStr">
        <is>
          <t>BERG</t>
        </is>
      </c>
      <c r="G746" t="n">
        <v>1.4</v>
      </c>
      <c r="H746" t="n">
        <v>0</v>
      </c>
      <c r="I746" t="n">
        <v>0</v>
      </c>
      <c r="J746" t="n">
        <v>0</v>
      </c>
      <c r="K746" t="n">
        <v>0</v>
      </c>
      <c r="L746" t="n">
        <v>0</v>
      </c>
      <c r="M746" t="n">
        <v>0</v>
      </c>
      <c r="N746" t="n">
        <v>0</v>
      </c>
      <c r="O746" t="n">
        <v>0</v>
      </c>
      <c r="P746" t="n">
        <v>0</v>
      </c>
      <c r="Q746" t="n">
        <v>0</v>
      </c>
      <c r="R746" s="2" t="inlineStr"/>
    </row>
    <row r="747" ht="15" customHeight="1">
      <c r="A747" t="inlineStr">
        <is>
          <t>A 9077-2023</t>
        </is>
      </c>
      <c r="B747" s="1" t="n">
        <v>44979</v>
      </c>
      <c r="C747" s="1" t="n">
        <v>45986</v>
      </c>
      <c r="D747" t="inlineStr">
        <is>
          <t>JÄMTLANDS LÄN</t>
        </is>
      </c>
      <c r="E747" t="inlineStr">
        <is>
          <t>BERG</t>
        </is>
      </c>
      <c r="G747" t="n">
        <v>3.6</v>
      </c>
      <c r="H747" t="n">
        <v>0</v>
      </c>
      <c r="I747" t="n">
        <v>0</v>
      </c>
      <c r="J747" t="n">
        <v>0</v>
      </c>
      <c r="K747" t="n">
        <v>0</v>
      </c>
      <c r="L747" t="n">
        <v>0</v>
      </c>
      <c r="M747" t="n">
        <v>0</v>
      </c>
      <c r="N747" t="n">
        <v>0</v>
      </c>
      <c r="O747" t="n">
        <v>0</v>
      </c>
      <c r="P747" t="n">
        <v>0</v>
      </c>
      <c r="Q747" t="n">
        <v>0</v>
      </c>
      <c r="R747" s="2" t="inlineStr"/>
    </row>
    <row r="748" ht="15" customHeight="1">
      <c r="A748" t="inlineStr">
        <is>
          <t>A 18752-2024</t>
        </is>
      </c>
      <c r="B748" s="1" t="n">
        <v>45426.54224537037</v>
      </c>
      <c r="C748" s="1" t="n">
        <v>45986</v>
      </c>
      <c r="D748" t="inlineStr">
        <is>
          <t>JÄMTLANDS LÄN</t>
        </is>
      </c>
      <c r="E748" t="inlineStr">
        <is>
          <t>BERG</t>
        </is>
      </c>
      <c r="G748" t="n">
        <v>0.7</v>
      </c>
      <c r="H748" t="n">
        <v>0</v>
      </c>
      <c r="I748" t="n">
        <v>0</v>
      </c>
      <c r="J748" t="n">
        <v>0</v>
      </c>
      <c r="K748" t="n">
        <v>0</v>
      </c>
      <c r="L748" t="n">
        <v>0</v>
      </c>
      <c r="M748" t="n">
        <v>0</v>
      </c>
      <c r="N748" t="n">
        <v>0</v>
      </c>
      <c r="O748" t="n">
        <v>0</v>
      </c>
      <c r="P748" t="n">
        <v>0</v>
      </c>
      <c r="Q748" t="n">
        <v>0</v>
      </c>
      <c r="R748" s="2" t="inlineStr"/>
    </row>
    <row r="749" ht="15" customHeight="1">
      <c r="A749" t="inlineStr">
        <is>
          <t>A 64486-2023</t>
        </is>
      </c>
      <c r="B749" s="1" t="n">
        <v>45280</v>
      </c>
      <c r="C749" s="1" t="n">
        <v>45986</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64488-2023</t>
        </is>
      </c>
      <c r="B750" s="1" t="n">
        <v>45280.92618055556</v>
      </c>
      <c r="C750" s="1" t="n">
        <v>45986</v>
      </c>
      <c r="D750" t="inlineStr">
        <is>
          <t>JÄMTLANDS LÄN</t>
        </is>
      </c>
      <c r="E750" t="inlineStr">
        <is>
          <t>BERG</t>
        </is>
      </c>
      <c r="F750" t="inlineStr">
        <is>
          <t>Övriga Aktiebolag</t>
        </is>
      </c>
      <c r="G750" t="n">
        <v>7.1</v>
      </c>
      <c r="H750" t="n">
        <v>0</v>
      </c>
      <c r="I750" t="n">
        <v>0</v>
      </c>
      <c r="J750" t="n">
        <v>0</v>
      </c>
      <c r="K750" t="n">
        <v>0</v>
      </c>
      <c r="L750" t="n">
        <v>0</v>
      </c>
      <c r="M750" t="n">
        <v>0</v>
      </c>
      <c r="N750" t="n">
        <v>0</v>
      </c>
      <c r="O750" t="n">
        <v>0</v>
      </c>
      <c r="P750" t="n">
        <v>0</v>
      </c>
      <c r="Q750" t="n">
        <v>0</v>
      </c>
      <c r="R750" s="2" t="inlineStr"/>
    </row>
    <row r="751" ht="15" customHeight="1">
      <c r="A751" t="inlineStr">
        <is>
          <t>A 58817-2024</t>
        </is>
      </c>
      <c r="B751" s="1" t="n">
        <v>45636.35909722222</v>
      </c>
      <c r="C751" s="1" t="n">
        <v>45986</v>
      </c>
      <c r="D751" t="inlineStr">
        <is>
          <t>JÄMTLANDS LÄN</t>
        </is>
      </c>
      <c r="E751" t="inlineStr">
        <is>
          <t>BERG</t>
        </is>
      </c>
      <c r="G751" t="n">
        <v>1.5</v>
      </c>
      <c r="H751" t="n">
        <v>0</v>
      </c>
      <c r="I751" t="n">
        <v>0</v>
      </c>
      <c r="J751" t="n">
        <v>0</v>
      </c>
      <c r="K751" t="n">
        <v>0</v>
      </c>
      <c r="L751" t="n">
        <v>0</v>
      </c>
      <c r="M751" t="n">
        <v>0</v>
      </c>
      <c r="N751" t="n">
        <v>0</v>
      </c>
      <c r="O751" t="n">
        <v>0</v>
      </c>
      <c r="P751" t="n">
        <v>0</v>
      </c>
      <c r="Q751" t="n">
        <v>0</v>
      </c>
      <c r="R751" s="2" t="inlineStr"/>
    </row>
    <row r="752" ht="15" customHeight="1">
      <c r="A752" t="inlineStr">
        <is>
          <t>A 13108-2025</t>
        </is>
      </c>
      <c r="B752" s="1" t="n">
        <v>45734</v>
      </c>
      <c r="C752" s="1" t="n">
        <v>45986</v>
      </c>
      <c r="D752" t="inlineStr">
        <is>
          <t>JÄMTLANDS LÄN</t>
        </is>
      </c>
      <c r="E752" t="inlineStr">
        <is>
          <t>BERG</t>
        </is>
      </c>
      <c r="F752" t="inlineStr">
        <is>
          <t>SCA</t>
        </is>
      </c>
      <c r="G752" t="n">
        <v>7.2</v>
      </c>
      <c r="H752" t="n">
        <v>0</v>
      </c>
      <c r="I752" t="n">
        <v>0</v>
      </c>
      <c r="J752" t="n">
        <v>0</v>
      </c>
      <c r="K752" t="n">
        <v>0</v>
      </c>
      <c r="L752" t="n">
        <v>0</v>
      </c>
      <c r="M752" t="n">
        <v>0</v>
      </c>
      <c r="N752" t="n">
        <v>0</v>
      </c>
      <c r="O752" t="n">
        <v>0</v>
      </c>
      <c r="P752" t="n">
        <v>0</v>
      </c>
      <c r="Q752" t="n">
        <v>0</v>
      </c>
      <c r="R752" s="2" t="inlineStr"/>
    </row>
    <row r="753" ht="15" customHeight="1">
      <c r="A753" t="inlineStr">
        <is>
          <t>A 5215-2024</t>
        </is>
      </c>
      <c r="B753" s="1" t="n">
        <v>45330</v>
      </c>
      <c r="C753" s="1" t="n">
        <v>45986</v>
      </c>
      <c r="D753" t="inlineStr">
        <is>
          <t>JÄMTLANDS LÄN</t>
        </is>
      </c>
      <c r="E753" t="inlineStr">
        <is>
          <t>BERG</t>
        </is>
      </c>
      <c r="G753" t="n">
        <v>0.8</v>
      </c>
      <c r="H753" t="n">
        <v>0</v>
      </c>
      <c r="I753" t="n">
        <v>0</v>
      </c>
      <c r="J753" t="n">
        <v>0</v>
      </c>
      <c r="K753" t="n">
        <v>0</v>
      </c>
      <c r="L753" t="n">
        <v>0</v>
      </c>
      <c r="M753" t="n">
        <v>0</v>
      </c>
      <c r="N753" t="n">
        <v>0</v>
      </c>
      <c r="O753" t="n">
        <v>0</v>
      </c>
      <c r="P753" t="n">
        <v>0</v>
      </c>
      <c r="Q753" t="n">
        <v>0</v>
      </c>
      <c r="R753" s="2" t="inlineStr"/>
    </row>
    <row r="754" ht="15" customHeight="1">
      <c r="A754" t="inlineStr">
        <is>
          <t>A 32178-2024</t>
        </is>
      </c>
      <c r="B754" s="1" t="n">
        <v>45511</v>
      </c>
      <c r="C754" s="1" t="n">
        <v>45986</v>
      </c>
      <c r="D754" t="inlineStr">
        <is>
          <t>JÄMTLANDS LÄN</t>
        </is>
      </c>
      <c r="E754" t="inlineStr">
        <is>
          <t>BERG</t>
        </is>
      </c>
      <c r="G754" t="n">
        <v>11.4</v>
      </c>
      <c r="H754" t="n">
        <v>0</v>
      </c>
      <c r="I754" t="n">
        <v>0</v>
      </c>
      <c r="J754" t="n">
        <v>0</v>
      </c>
      <c r="K754" t="n">
        <v>0</v>
      </c>
      <c r="L754" t="n">
        <v>0</v>
      </c>
      <c r="M754" t="n">
        <v>0</v>
      </c>
      <c r="N754" t="n">
        <v>0</v>
      </c>
      <c r="O754" t="n">
        <v>0</v>
      </c>
      <c r="P754" t="n">
        <v>0</v>
      </c>
      <c r="Q754" t="n">
        <v>0</v>
      </c>
      <c r="R754" s="2" t="inlineStr"/>
    </row>
    <row r="755" ht="15" customHeight="1">
      <c r="A755" t="inlineStr">
        <is>
          <t>A 16002-2025</t>
        </is>
      </c>
      <c r="B755" s="1" t="n">
        <v>45749.59398148148</v>
      </c>
      <c r="C755" s="1" t="n">
        <v>45986</v>
      </c>
      <c r="D755" t="inlineStr">
        <is>
          <t>JÄMTLANDS LÄN</t>
        </is>
      </c>
      <c r="E755" t="inlineStr">
        <is>
          <t>BERG</t>
        </is>
      </c>
      <c r="G755" t="n">
        <v>0.7</v>
      </c>
      <c r="H755" t="n">
        <v>0</v>
      </c>
      <c r="I755" t="n">
        <v>0</v>
      </c>
      <c r="J755" t="n">
        <v>0</v>
      </c>
      <c r="K755" t="n">
        <v>0</v>
      </c>
      <c r="L755" t="n">
        <v>0</v>
      </c>
      <c r="M755" t="n">
        <v>0</v>
      </c>
      <c r="N755" t="n">
        <v>0</v>
      </c>
      <c r="O755" t="n">
        <v>0</v>
      </c>
      <c r="P755" t="n">
        <v>0</v>
      </c>
      <c r="Q755" t="n">
        <v>0</v>
      </c>
      <c r="R755" s="2" t="inlineStr"/>
    </row>
    <row r="756" ht="15" customHeight="1">
      <c r="A756" t="inlineStr">
        <is>
          <t>A 18032-2024</t>
        </is>
      </c>
      <c r="B756" s="1" t="n">
        <v>45420.34979166667</v>
      </c>
      <c r="C756" s="1" t="n">
        <v>45986</v>
      </c>
      <c r="D756" t="inlineStr">
        <is>
          <t>JÄMTLANDS LÄN</t>
        </is>
      </c>
      <c r="E756" t="inlineStr">
        <is>
          <t>BERG</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34845-2023</t>
        </is>
      </c>
      <c r="B757" s="1" t="n">
        <v>45141.95964120371</v>
      </c>
      <c r="C757" s="1" t="n">
        <v>45986</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41069-2022</t>
        </is>
      </c>
      <c r="B758" s="1" t="n">
        <v>44825.60015046296</v>
      </c>
      <c r="C758" s="1" t="n">
        <v>45986</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54863-2023</t>
        </is>
      </c>
      <c r="B759" s="1" t="n">
        <v>45236</v>
      </c>
      <c r="C759" s="1" t="n">
        <v>45986</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46167-2022</t>
        </is>
      </c>
      <c r="B760" s="1" t="n">
        <v>44845</v>
      </c>
      <c r="C760" s="1" t="n">
        <v>45986</v>
      </c>
      <c r="D760" t="inlineStr">
        <is>
          <t>JÄMTLANDS LÄN</t>
        </is>
      </c>
      <c r="E760" t="inlineStr">
        <is>
          <t>BERG</t>
        </is>
      </c>
      <c r="G760" t="n">
        <v>35.2</v>
      </c>
      <c r="H760" t="n">
        <v>0</v>
      </c>
      <c r="I760" t="n">
        <v>0</v>
      </c>
      <c r="J760" t="n">
        <v>0</v>
      </c>
      <c r="K760" t="n">
        <v>0</v>
      </c>
      <c r="L760" t="n">
        <v>0</v>
      </c>
      <c r="M760" t="n">
        <v>0</v>
      </c>
      <c r="N760" t="n">
        <v>0</v>
      </c>
      <c r="O760" t="n">
        <v>0</v>
      </c>
      <c r="P760" t="n">
        <v>0</v>
      </c>
      <c r="Q760" t="n">
        <v>0</v>
      </c>
      <c r="R760" s="2" t="inlineStr"/>
    </row>
    <row r="761" ht="15" customHeight="1">
      <c r="A761" t="inlineStr">
        <is>
          <t>A 39269-2024</t>
        </is>
      </c>
      <c r="B761" s="1" t="n">
        <v>45551.34488425926</v>
      </c>
      <c r="C761" s="1" t="n">
        <v>45986</v>
      </c>
      <c r="D761" t="inlineStr">
        <is>
          <t>JÄMTLANDS LÄN</t>
        </is>
      </c>
      <c r="E761" t="inlineStr">
        <is>
          <t>BERG</t>
        </is>
      </c>
      <c r="G761" t="n">
        <v>3.1</v>
      </c>
      <c r="H761" t="n">
        <v>0</v>
      </c>
      <c r="I761" t="n">
        <v>0</v>
      </c>
      <c r="J761" t="n">
        <v>0</v>
      </c>
      <c r="K761" t="n">
        <v>0</v>
      </c>
      <c r="L761" t="n">
        <v>0</v>
      </c>
      <c r="M761" t="n">
        <v>0</v>
      </c>
      <c r="N761" t="n">
        <v>0</v>
      </c>
      <c r="O761" t="n">
        <v>0</v>
      </c>
      <c r="P761" t="n">
        <v>0</v>
      </c>
      <c r="Q761" t="n">
        <v>0</v>
      </c>
      <c r="R761" s="2" t="inlineStr"/>
    </row>
    <row r="762" ht="15" customHeight="1">
      <c r="A762" t="inlineStr">
        <is>
          <t>A 13805-2024</t>
        </is>
      </c>
      <c r="B762" s="1" t="n">
        <v>45390</v>
      </c>
      <c r="C762" s="1" t="n">
        <v>45986</v>
      </c>
      <c r="D762" t="inlineStr">
        <is>
          <t>JÄMTLANDS LÄN</t>
        </is>
      </c>
      <c r="E762" t="inlineStr">
        <is>
          <t>BERG</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37589-2021</t>
        </is>
      </c>
      <c r="B763" s="1" t="n">
        <v>44399</v>
      </c>
      <c r="C763" s="1" t="n">
        <v>45986</v>
      </c>
      <c r="D763" t="inlineStr">
        <is>
          <t>JÄMTLANDS LÄN</t>
        </is>
      </c>
      <c r="E763" t="inlineStr">
        <is>
          <t>BERG</t>
        </is>
      </c>
      <c r="G763" t="n">
        <v>8.6</v>
      </c>
      <c r="H763" t="n">
        <v>0</v>
      </c>
      <c r="I763" t="n">
        <v>0</v>
      </c>
      <c r="J763" t="n">
        <v>0</v>
      </c>
      <c r="K763" t="n">
        <v>0</v>
      </c>
      <c r="L763" t="n">
        <v>0</v>
      </c>
      <c r="M763" t="n">
        <v>0</v>
      </c>
      <c r="N763" t="n">
        <v>0</v>
      </c>
      <c r="O763" t="n">
        <v>0</v>
      </c>
      <c r="P763" t="n">
        <v>0</v>
      </c>
      <c r="Q763" t="n">
        <v>0</v>
      </c>
      <c r="R763" s="2" t="inlineStr"/>
    </row>
    <row r="764" ht="15" customHeight="1">
      <c r="A764" t="inlineStr">
        <is>
          <t>A 16491-2023</t>
        </is>
      </c>
      <c r="B764" s="1" t="n">
        <v>45027</v>
      </c>
      <c r="C764" s="1" t="n">
        <v>45986</v>
      </c>
      <c r="D764" t="inlineStr">
        <is>
          <t>JÄMTLANDS LÄN</t>
        </is>
      </c>
      <c r="E764" t="inlineStr">
        <is>
          <t>BERG</t>
        </is>
      </c>
      <c r="G764" t="n">
        <v>2.5</v>
      </c>
      <c r="H764" t="n">
        <v>0</v>
      </c>
      <c r="I764" t="n">
        <v>0</v>
      </c>
      <c r="J764" t="n">
        <v>0</v>
      </c>
      <c r="K764" t="n">
        <v>0</v>
      </c>
      <c r="L764" t="n">
        <v>0</v>
      </c>
      <c r="M764" t="n">
        <v>0</v>
      </c>
      <c r="N764" t="n">
        <v>0</v>
      </c>
      <c r="O764" t="n">
        <v>0</v>
      </c>
      <c r="P764" t="n">
        <v>0</v>
      </c>
      <c r="Q764" t="n">
        <v>0</v>
      </c>
      <c r="R764" s="2" t="inlineStr"/>
    </row>
    <row r="765" ht="15" customHeight="1">
      <c r="A765" t="inlineStr">
        <is>
          <t>A 57669-2024</t>
        </is>
      </c>
      <c r="B765" s="1" t="n">
        <v>45630.62520833333</v>
      </c>
      <c r="C765" s="1" t="n">
        <v>45986</v>
      </c>
      <c r="D765" t="inlineStr">
        <is>
          <t>JÄMTLANDS LÄN</t>
        </is>
      </c>
      <c r="E765" t="inlineStr">
        <is>
          <t>BERG</t>
        </is>
      </c>
      <c r="G765" t="n">
        <v>1</v>
      </c>
      <c r="H765" t="n">
        <v>0</v>
      </c>
      <c r="I765" t="n">
        <v>0</v>
      </c>
      <c r="J765" t="n">
        <v>0</v>
      </c>
      <c r="K765" t="n">
        <v>0</v>
      </c>
      <c r="L765" t="n">
        <v>0</v>
      </c>
      <c r="M765" t="n">
        <v>0</v>
      </c>
      <c r="N765" t="n">
        <v>0</v>
      </c>
      <c r="O765" t="n">
        <v>0</v>
      </c>
      <c r="P765" t="n">
        <v>0</v>
      </c>
      <c r="Q765" t="n">
        <v>0</v>
      </c>
      <c r="R765" s="2" t="inlineStr"/>
    </row>
    <row r="766" ht="15" customHeight="1">
      <c r="A766" t="inlineStr">
        <is>
          <t>A 35921-2024</t>
        </is>
      </c>
      <c r="B766" s="1" t="n">
        <v>45533.42659722222</v>
      </c>
      <c r="C766" s="1" t="n">
        <v>45986</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64752-2023</t>
        </is>
      </c>
      <c r="B767" s="1" t="n">
        <v>45281.92891203704</v>
      </c>
      <c r="C767" s="1" t="n">
        <v>45986</v>
      </c>
      <c r="D767" t="inlineStr">
        <is>
          <t>JÄMTLANDS LÄN</t>
        </is>
      </c>
      <c r="E767" t="inlineStr">
        <is>
          <t>BERG</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14728-2025</t>
        </is>
      </c>
      <c r="B768" s="1" t="n">
        <v>45742.63574074074</v>
      </c>
      <c r="C768" s="1" t="n">
        <v>45986</v>
      </c>
      <c r="D768" t="inlineStr">
        <is>
          <t>JÄMTLANDS LÄN</t>
        </is>
      </c>
      <c r="E768" t="inlineStr">
        <is>
          <t>BERG</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31129-2024</t>
        </is>
      </c>
      <c r="B769" s="1" t="n">
        <v>45502</v>
      </c>
      <c r="C769" s="1" t="n">
        <v>45986</v>
      </c>
      <c r="D769" t="inlineStr">
        <is>
          <t>JÄMTLANDS LÄN</t>
        </is>
      </c>
      <c r="E769" t="inlineStr">
        <is>
          <t>BERG</t>
        </is>
      </c>
      <c r="G769" t="n">
        <v>1.3</v>
      </c>
      <c r="H769" t="n">
        <v>0</v>
      </c>
      <c r="I769" t="n">
        <v>0</v>
      </c>
      <c r="J769" t="n">
        <v>0</v>
      </c>
      <c r="K769" t="n">
        <v>0</v>
      </c>
      <c r="L769" t="n">
        <v>0</v>
      </c>
      <c r="M769" t="n">
        <v>0</v>
      </c>
      <c r="N769" t="n">
        <v>0</v>
      </c>
      <c r="O769" t="n">
        <v>0</v>
      </c>
      <c r="P769" t="n">
        <v>0</v>
      </c>
      <c r="Q769" t="n">
        <v>0</v>
      </c>
      <c r="R769" s="2" t="inlineStr"/>
    </row>
    <row r="770" ht="15" customHeight="1">
      <c r="A770" t="inlineStr">
        <is>
          <t>A 3961-2025</t>
        </is>
      </c>
      <c r="B770" s="1" t="n">
        <v>45684.50217592593</v>
      </c>
      <c r="C770" s="1" t="n">
        <v>45986</v>
      </c>
      <c r="D770" t="inlineStr">
        <is>
          <t>JÄMTLANDS LÄN</t>
        </is>
      </c>
      <c r="E770" t="inlineStr">
        <is>
          <t>BERG</t>
        </is>
      </c>
      <c r="G770" t="n">
        <v>14.9</v>
      </c>
      <c r="H770" t="n">
        <v>0</v>
      </c>
      <c r="I770" t="n">
        <v>0</v>
      </c>
      <c r="J770" t="n">
        <v>0</v>
      </c>
      <c r="K770" t="n">
        <v>0</v>
      </c>
      <c r="L770" t="n">
        <v>0</v>
      </c>
      <c r="M770" t="n">
        <v>0</v>
      </c>
      <c r="N770" t="n">
        <v>0</v>
      </c>
      <c r="O770" t="n">
        <v>0</v>
      </c>
      <c r="P770" t="n">
        <v>0</v>
      </c>
      <c r="Q770" t="n">
        <v>0</v>
      </c>
      <c r="R770" s="2" t="inlineStr"/>
    </row>
    <row r="771" ht="15" customHeight="1">
      <c r="A771" t="inlineStr">
        <is>
          <t>A 35636-2023</t>
        </is>
      </c>
      <c r="B771" s="1" t="n">
        <v>45147</v>
      </c>
      <c r="C771" s="1" t="n">
        <v>45986</v>
      </c>
      <c r="D771" t="inlineStr">
        <is>
          <t>JÄMTLANDS LÄN</t>
        </is>
      </c>
      <c r="E771" t="inlineStr">
        <is>
          <t>BERG</t>
        </is>
      </c>
      <c r="G771" t="n">
        <v>1.8</v>
      </c>
      <c r="H771" t="n">
        <v>0</v>
      </c>
      <c r="I771" t="n">
        <v>0</v>
      </c>
      <c r="J771" t="n">
        <v>0</v>
      </c>
      <c r="K771" t="n">
        <v>0</v>
      </c>
      <c r="L771" t="n">
        <v>0</v>
      </c>
      <c r="M771" t="n">
        <v>0</v>
      </c>
      <c r="N771" t="n">
        <v>0</v>
      </c>
      <c r="O771" t="n">
        <v>0</v>
      </c>
      <c r="P771" t="n">
        <v>0</v>
      </c>
      <c r="Q771" t="n">
        <v>0</v>
      </c>
      <c r="R771" s="2" t="inlineStr"/>
    </row>
    <row r="772" ht="15" customHeight="1">
      <c r="A772" t="inlineStr">
        <is>
          <t>A 45347-2023</t>
        </is>
      </c>
      <c r="B772" s="1" t="n">
        <v>45191</v>
      </c>
      <c r="C772" s="1" t="n">
        <v>45986</v>
      </c>
      <c r="D772" t="inlineStr">
        <is>
          <t>JÄMTLANDS LÄN</t>
        </is>
      </c>
      <c r="E772" t="inlineStr">
        <is>
          <t>BERG</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49225-2024</t>
        </is>
      </c>
      <c r="B773" s="1" t="n">
        <v>45595.4177662037</v>
      </c>
      <c r="C773" s="1" t="n">
        <v>45986</v>
      </c>
      <c r="D773" t="inlineStr">
        <is>
          <t>JÄMTLANDS LÄN</t>
        </is>
      </c>
      <c r="E773" t="inlineStr">
        <is>
          <t>BERG</t>
        </is>
      </c>
      <c r="G773" t="n">
        <v>2</v>
      </c>
      <c r="H773" t="n">
        <v>0</v>
      </c>
      <c r="I773" t="n">
        <v>0</v>
      </c>
      <c r="J773" t="n">
        <v>0</v>
      </c>
      <c r="K773" t="n">
        <v>0</v>
      </c>
      <c r="L773" t="n">
        <v>0</v>
      </c>
      <c r="M773" t="n">
        <v>0</v>
      </c>
      <c r="N773" t="n">
        <v>0</v>
      </c>
      <c r="O773" t="n">
        <v>0</v>
      </c>
      <c r="P773" t="n">
        <v>0</v>
      </c>
      <c r="Q773" t="n">
        <v>0</v>
      </c>
      <c r="R773" s="2" t="inlineStr"/>
    </row>
    <row r="774" ht="15" customHeight="1">
      <c r="A774" t="inlineStr">
        <is>
          <t>A 15624-2023</t>
        </is>
      </c>
      <c r="B774" s="1" t="n">
        <v>45020.94496527778</v>
      </c>
      <c r="C774" s="1" t="n">
        <v>45986</v>
      </c>
      <c r="D774" t="inlineStr">
        <is>
          <t>JÄMTLANDS LÄN</t>
        </is>
      </c>
      <c r="E774" t="inlineStr">
        <is>
          <t>BERG</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20882-2023</t>
        </is>
      </c>
      <c r="B775" s="1" t="n">
        <v>45058</v>
      </c>
      <c r="C775" s="1" t="n">
        <v>45986</v>
      </c>
      <c r="D775" t="inlineStr">
        <is>
          <t>JÄMTLANDS LÄN</t>
        </is>
      </c>
      <c r="E775" t="inlineStr">
        <is>
          <t>BERG</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12774-2023</t>
        </is>
      </c>
      <c r="B776" s="1" t="n">
        <v>45001</v>
      </c>
      <c r="C776" s="1" t="n">
        <v>45986</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60587-2022</t>
        </is>
      </c>
      <c r="B777" s="1" t="n">
        <v>44911.58445601852</v>
      </c>
      <c r="C777" s="1" t="n">
        <v>45986</v>
      </c>
      <c r="D777" t="inlineStr">
        <is>
          <t>JÄMTLANDS LÄN</t>
        </is>
      </c>
      <c r="E777" t="inlineStr">
        <is>
          <t>BERG</t>
        </is>
      </c>
      <c r="G777" t="n">
        <v>4.8</v>
      </c>
      <c r="H777" t="n">
        <v>0</v>
      </c>
      <c r="I777" t="n">
        <v>0</v>
      </c>
      <c r="J777" t="n">
        <v>0</v>
      </c>
      <c r="K777" t="n">
        <v>0</v>
      </c>
      <c r="L777" t="n">
        <v>0</v>
      </c>
      <c r="M777" t="n">
        <v>0</v>
      </c>
      <c r="N777" t="n">
        <v>0</v>
      </c>
      <c r="O777" t="n">
        <v>0</v>
      </c>
      <c r="P777" t="n">
        <v>0</v>
      </c>
      <c r="Q777" t="n">
        <v>0</v>
      </c>
      <c r="R777" s="2" t="inlineStr"/>
    </row>
    <row r="778" ht="15" customHeight="1">
      <c r="A778" t="inlineStr">
        <is>
          <t>A 6645-2025</t>
        </is>
      </c>
      <c r="B778" s="1" t="n">
        <v>45700.39645833334</v>
      </c>
      <c r="C778" s="1" t="n">
        <v>45986</v>
      </c>
      <c r="D778" t="inlineStr">
        <is>
          <t>JÄMTLANDS LÄN</t>
        </is>
      </c>
      <c r="E778" t="inlineStr">
        <is>
          <t>BERG</t>
        </is>
      </c>
      <c r="G778" t="n">
        <v>2.6</v>
      </c>
      <c r="H778" t="n">
        <v>0</v>
      </c>
      <c r="I778" t="n">
        <v>0</v>
      </c>
      <c r="J778" t="n">
        <v>0</v>
      </c>
      <c r="K778" t="n">
        <v>0</v>
      </c>
      <c r="L778" t="n">
        <v>0</v>
      </c>
      <c r="M778" t="n">
        <v>0</v>
      </c>
      <c r="N778" t="n">
        <v>0</v>
      </c>
      <c r="O778" t="n">
        <v>0</v>
      </c>
      <c r="P778" t="n">
        <v>0</v>
      </c>
      <c r="Q778" t="n">
        <v>0</v>
      </c>
      <c r="R778" s="2" t="inlineStr"/>
    </row>
    <row r="779" ht="15" customHeight="1">
      <c r="A779" t="inlineStr">
        <is>
          <t>A 12254-2025</t>
        </is>
      </c>
      <c r="B779" s="1" t="n">
        <v>45729</v>
      </c>
      <c r="C779" s="1" t="n">
        <v>45986</v>
      </c>
      <c r="D779" t="inlineStr">
        <is>
          <t>JÄMTLANDS LÄN</t>
        </is>
      </c>
      <c r="E779" t="inlineStr">
        <is>
          <t>BERG</t>
        </is>
      </c>
      <c r="G779" t="n">
        <v>26.3</v>
      </c>
      <c r="H779" t="n">
        <v>0</v>
      </c>
      <c r="I779" t="n">
        <v>0</v>
      </c>
      <c r="J779" t="n">
        <v>0</v>
      </c>
      <c r="K779" t="n">
        <v>0</v>
      </c>
      <c r="L779" t="n">
        <v>0</v>
      </c>
      <c r="M779" t="n">
        <v>0</v>
      </c>
      <c r="N779" t="n">
        <v>0</v>
      </c>
      <c r="O779" t="n">
        <v>0</v>
      </c>
      <c r="P779" t="n">
        <v>0</v>
      </c>
      <c r="Q779" t="n">
        <v>0</v>
      </c>
      <c r="R779" s="2" t="inlineStr"/>
    </row>
    <row r="780" ht="15" customHeight="1">
      <c r="A780" t="inlineStr">
        <is>
          <t>A 23560-2024</t>
        </is>
      </c>
      <c r="B780" s="1" t="n">
        <v>45453.95467592592</v>
      </c>
      <c r="C780" s="1" t="n">
        <v>45986</v>
      </c>
      <c r="D780" t="inlineStr">
        <is>
          <t>JÄMTLANDS LÄN</t>
        </is>
      </c>
      <c r="E780" t="inlineStr">
        <is>
          <t>BERG</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1982-2022</t>
        </is>
      </c>
      <c r="B781" s="1" t="n">
        <v>44575</v>
      </c>
      <c r="C781" s="1" t="n">
        <v>45986</v>
      </c>
      <c r="D781" t="inlineStr">
        <is>
          <t>JÄMTLANDS LÄN</t>
        </is>
      </c>
      <c r="E781" t="inlineStr">
        <is>
          <t>BERG</t>
        </is>
      </c>
      <c r="G781" t="n">
        <v>1.6</v>
      </c>
      <c r="H781" t="n">
        <v>0</v>
      </c>
      <c r="I781" t="n">
        <v>0</v>
      </c>
      <c r="J781" t="n">
        <v>0</v>
      </c>
      <c r="K781" t="n">
        <v>0</v>
      </c>
      <c r="L781" t="n">
        <v>0</v>
      </c>
      <c r="M781" t="n">
        <v>0</v>
      </c>
      <c r="N781" t="n">
        <v>0</v>
      </c>
      <c r="O781" t="n">
        <v>0</v>
      </c>
      <c r="P781" t="n">
        <v>0</v>
      </c>
      <c r="Q781" t="n">
        <v>0</v>
      </c>
      <c r="R781" s="2" t="inlineStr"/>
    </row>
    <row r="782" ht="15" customHeight="1">
      <c r="A782" t="inlineStr">
        <is>
          <t>A 1989-2022</t>
        </is>
      </c>
      <c r="B782" s="1" t="n">
        <v>44575.55935185185</v>
      </c>
      <c r="C782" s="1" t="n">
        <v>45986</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3173-2025</t>
        </is>
      </c>
      <c r="B783" s="1" t="n">
        <v>45679.38309027778</v>
      </c>
      <c r="C783" s="1" t="n">
        <v>45986</v>
      </c>
      <c r="D783" t="inlineStr">
        <is>
          <t>JÄMTLANDS LÄN</t>
        </is>
      </c>
      <c r="E783" t="inlineStr">
        <is>
          <t>BERG</t>
        </is>
      </c>
      <c r="G783" t="n">
        <v>8.9</v>
      </c>
      <c r="H783" t="n">
        <v>0</v>
      </c>
      <c r="I783" t="n">
        <v>0</v>
      </c>
      <c r="J783" t="n">
        <v>0</v>
      </c>
      <c r="K783" t="n">
        <v>0</v>
      </c>
      <c r="L783" t="n">
        <v>0</v>
      </c>
      <c r="M783" t="n">
        <v>0</v>
      </c>
      <c r="N783" t="n">
        <v>0</v>
      </c>
      <c r="O783" t="n">
        <v>0</v>
      </c>
      <c r="P783" t="n">
        <v>0</v>
      </c>
      <c r="Q783" t="n">
        <v>0</v>
      </c>
      <c r="R783" s="2" t="inlineStr"/>
    </row>
    <row r="784" ht="15" customHeight="1">
      <c r="A784" t="inlineStr">
        <is>
          <t>A 62153-2022</t>
        </is>
      </c>
      <c r="B784" s="1" t="n">
        <v>44914</v>
      </c>
      <c r="C784" s="1" t="n">
        <v>45986</v>
      </c>
      <c r="D784" t="inlineStr">
        <is>
          <t>JÄMTLANDS LÄN</t>
        </is>
      </c>
      <c r="E784" t="inlineStr">
        <is>
          <t>BERG</t>
        </is>
      </c>
      <c r="G784" t="n">
        <v>1</v>
      </c>
      <c r="H784" t="n">
        <v>0</v>
      </c>
      <c r="I784" t="n">
        <v>0</v>
      </c>
      <c r="J784" t="n">
        <v>0</v>
      </c>
      <c r="K784" t="n">
        <v>0</v>
      </c>
      <c r="L784" t="n">
        <v>0</v>
      </c>
      <c r="M784" t="n">
        <v>0</v>
      </c>
      <c r="N784" t="n">
        <v>0</v>
      </c>
      <c r="O784" t="n">
        <v>0</v>
      </c>
      <c r="P784" t="n">
        <v>0</v>
      </c>
      <c r="Q784" t="n">
        <v>0</v>
      </c>
      <c r="R784" s="2" t="inlineStr"/>
    </row>
    <row r="785" ht="15" customHeight="1">
      <c r="A785" t="inlineStr">
        <is>
          <t>A 15156-2024</t>
        </is>
      </c>
      <c r="B785" s="1" t="n">
        <v>45399.94496527778</v>
      </c>
      <c r="C785" s="1" t="n">
        <v>45986</v>
      </c>
      <c r="D785" t="inlineStr">
        <is>
          <t>JÄMTLANDS LÄN</t>
        </is>
      </c>
      <c r="E785" t="inlineStr">
        <is>
          <t>BERG</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46858-2023</t>
        </is>
      </c>
      <c r="B786" s="1" t="n">
        <v>45199.97042824074</v>
      </c>
      <c r="C786" s="1" t="n">
        <v>45986</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36192-2024</t>
        </is>
      </c>
      <c r="B787" s="1" t="n">
        <v>45534.42809027778</v>
      </c>
      <c r="C787" s="1" t="n">
        <v>45986</v>
      </c>
      <c r="D787" t="inlineStr">
        <is>
          <t>JÄMTLANDS LÄN</t>
        </is>
      </c>
      <c r="E787" t="inlineStr">
        <is>
          <t>BERG</t>
        </is>
      </c>
      <c r="G787" t="n">
        <v>1.4</v>
      </c>
      <c r="H787" t="n">
        <v>0</v>
      </c>
      <c r="I787" t="n">
        <v>0</v>
      </c>
      <c r="J787" t="n">
        <v>0</v>
      </c>
      <c r="K787" t="n">
        <v>0</v>
      </c>
      <c r="L787" t="n">
        <v>0</v>
      </c>
      <c r="M787" t="n">
        <v>0</v>
      </c>
      <c r="N787" t="n">
        <v>0</v>
      </c>
      <c r="O787" t="n">
        <v>0</v>
      </c>
      <c r="P787" t="n">
        <v>0</v>
      </c>
      <c r="Q787" t="n">
        <v>0</v>
      </c>
      <c r="R787" s="2" t="inlineStr"/>
    </row>
    <row r="788" ht="15" customHeight="1">
      <c r="A788" t="inlineStr">
        <is>
          <t>A 14594-2025</t>
        </is>
      </c>
      <c r="B788" s="1" t="n">
        <v>45742.34414351852</v>
      </c>
      <c r="C788" s="1" t="n">
        <v>45986</v>
      </c>
      <c r="D788" t="inlineStr">
        <is>
          <t>JÄMTLANDS LÄN</t>
        </is>
      </c>
      <c r="E788" t="inlineStr">
        <is>
          <t>BERG</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14596-2025</t>
        </is>
      </c>
      <c r="B789" s="1" t="n">
        <v>45742.34449074074</v>
      </c>
      <c r="C789" s="1" t="n">
        <v>45986</v>
      </c>
      <c r="D789" t="inlineStr">
        <is>
          <t>JÄMTLANDS LÄN</t>
        </is>
      </c>
      <c r="E789" t="inlineStr">
        <is>
          <t>BERG</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3798-2022</t>
        </is>
      </c>
      <c r="B790" s="1" t="n">
        <v>44586</v>
      </c>
      <c r="C790" s="1" t="n">
        <v>45986</v>
      </c>
      <c r="D790" t="inlineStr">
        <is>
          <t>JÄMTLANDS LÄN</t>
        </is>
      </c>
      <c r="E790" t="inlineStr">
        <is>
          <t>BERG</t>
        </is>
      </c>
      <c r="G790" t="n">
        <v>0.1</v>
      </c>
      <c r="H790" t="n">
        <v>0</v>
      </c>
      <c r="I790" t="n">
        <v>0</v>
      </c>
      <c r="J790" t="n">
        <v>0</v>
      </c>
      <c r="K790" t="n">
        <v>0</v>
      </c>
      <c r="L790" t="n">
        <v>0</v>
      </c>
      <c r="M790" t="n">
        <v>0</v>
      </c>
      <c r="N790" t="n">
        <v>0</v>
      </c>
      <c r="O790" t="n">
        <v>0</v>
      </c>
      <c r="P790" t="n">
        <v>0</v>
      </c>
      <c r="Q790" t="n">
        <v>0</v>
      </c>
      <c r="R790" s="2" t="inlineStr"/>
    </row>
    <row r="791" ht="15" customHeight="1">
      <c r="A791" t="inlineStr">
        <is>
          <t>A 11274-2025</t>
        </is>
      </c>
      <c r="B791" s="1" t="n">
        <v>45726.40868055556</v>
      </c>
      <c r="C791" s="1" t="n">
        <v>45986</v>
      </c>
      <c r="D791" t="inlineStr">
        <is>
          <t>JÄMTLANDS LÄN</t>
        </is>
      </c>
      <c r="E791" t="inlineStr">
        <is>
          <t>BERG</t>
        </is>
      </c>
      <c r="G791" t="n">
        <v>3</v>
      </c>
      <c r="H791" t="n">
        <v>0</v>
      </c>
      <c r="I791" t="n">
        <v>0</v>
      </c>
      <c r="J791" t="n">
        <v>0</v>
      </c>
      <c r="K791" t="n">
        <v>0</v>
      </c>
      <c r="L791" t="n">
        <v>0</v>
      </c>
      <c r="M791" t="n">
        <v>0</v>
      </c>
      <c r="N791" t="n">
        <v>0</v>
      </c>
      <c r="O791" t="n">
        <v>0</v>
      </c>
      <c r="P791" t="n">
        <v>0</v>
      </c>
      <c r="Q791" t="n">
        <v>0</v>
      </c>
      <c r="R791" s="2" t="inlineStr"/>
    </row>
    <row r="792" ht="15" customHeight="1">
      <c r="A792" t="inlineStr">
        <is>
          <t>A 149-2024</t>
        </is>
      </c>
      <c r="B792" s="1" t="n">
        <v>45294</v>
      </c>
      <c r="C792" s="1" t="n">
        <v>45986</v>
      </c>
      <c r="D792" t="inlineStr">
        <is>
          <t>JÄMTLANDS LÄN</t>
        </is>
      </c>
      <c r="E792" t="inlineStr">
        <is>
          <t>BERG</t>
        </is>
      </c>
      <c r="F792" t="inlineStr">
        <is>
          <t>Kyrkan</t>
        </is>
      </c>
      <c r="G792" t="n">
        <v>3.7</v>
      </c>
      <c r="H792" t="n">
        <v>0</v>
      </c>
      <c r="I792" t="n">
        <v>0</v>
      </c>
      <c r="J792" t="n">
        <v>0</v>
      </c>
      <c r="K792" t="n">
        <v>0</v>
      </c>
      <c r="L792" t="n">
        <v>0</v>
      </c>
      <c r="M792" t="n">
        <v>0</v>
      </c>
      <c r="N792" t="n">
        <v>0</v>
      </c>
      <c r="O792" t="n">
        <v>0</v>
      </c>
      <c r="P792" t="n">
        <v>0</v>
      </c>
      <c r="Q792" t="n">
        <v>0</v>
      </c>
      <c r="R792" s="2" t="inlineStr"/>
    </row>
    <row r="793" ht="15" customHeight="1">
      <c r="A793" t="inlineStr">
        <is>
          <t>A 36708-2023</t>
        </is>
      </c>
      <c r="B793" s="1" t="n">
        <v>45153.65226851852</v>
      </c>
      <c r="C793" s="1" t="n">
        <v>45986</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33750-2023</t>
        </is>
      </c>
      <c r="B794" s="1" t="n">
        <v>45120</v>
      </c>
      <c r="C794" s="1" t="n">
        <v>45986</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8722-2024</t>
        </is>
      </c>
      <c r="B795" s="1" t="n">
        <v>45355</v>
      </c>
      <c r="C795" s="1" t="n">
        <v>45986</v>
      </c>
      <c r="D795" t="inlineStr">
        <is>
          <t>JÄMTLANDS LÄN</t>
        </is>
      </c>
      <c r="E795" t="inlineStr">
        <is>
          <t>BERG</t>
        </is>
      </c>
      <c r="G795" t="n">
        <v>2.4</v>
      </c>
      <c r="H795" t="n">
        <v>0</v>
      </c>
      <c r="I795" t="n">
        <v>0</v>
      </c>
      <c r="J795" t="n">
        <v>0</v>
      </c>
      <c r="K795" t="n">
        <v>0</v>
      </c>
      <c r="L795" t="n">
        <v>0</v>
      </c>
      <c r="M795" t="n">
        <v>0</v>
      </c>
      <c r="N795" t="n">
        <v>0</v>
      </c>
      <c r="O795" t="n">
        <v>0</v>
      </c>
      <c r="P795" t="n">
        <v>0</v>
      </c>
      <c r="Q795" t="n">
        <v>0</v>
      </c>
      <c r="R795" s="2" t="inlineStr"/>
    </row>
    <row r="796" ht="15" customHeight="1">
      <c r="A796" t="inlineStr">
        <is>
          <t>A 8726-2024</t>
        </is>
      </c>
      <c r="B796" s="1" t="n">
        <v>45355</v>
      </c>
      <c r="C796" s="1" t="n">
        <v>45986</v>
      </c>
      <c r="D796" t="inlineStr">
        <is>
          <t>JÄMTLANDS LÄN</t>
        </is>
      </c>
      <c r="E796" t="inlineStr">
        <is>
          <t>BERG</t>
        </is>
      </c>
      <c r="G796" t="n">
        <v>1.3</v>
      </c>
      <c r="H796" t="n">
        <v>0</v>
      </c>
      <c r="I796" t="n">
        <v>0</v>
      </c>
      <c r="J796" t="n">
        <v>0</v>
      </c>
      <c r="K796" t="n">
        <v>0</v>
      </c>
      <c r="L796" t="n">
        <v>0</v>
      </c>
      <c r="M796" t="n">
        <v>0</v>
      </c>
      <c r="N796" t="n">
        <v>0</v>
      </c>
      <c r="O796" t="n">
        <v>0</v>
      </c>
      <c r="P796" t="n">
        <v>0</v>
      </c>
      <c r="Q796" t="n">
        <v>0</v>
      </c>
      <c r="R796" s="2" t="inlineStr"/>
    </row>
    <row r="797" ht="15" customHeight="1">
      <c r="A797" t="inlineStr">
        <is>
          <t>A 8733-2024</t>
        </is>
      </c>
      <c r="B797" s="1" t="n">
        <v>45355</v>
      </c>
      <c r="C797" s="1" t="n">
        <v>45986</v>
      </c>
      <c r="D797" t="inlineStr">
        <is>
          <t>JÄMTLANDS LÄN</t>
        </is>
      </c>
      <c r="E797" t="inlineStr">
        <is>
          <t>BERG</t>
        </is>
      </c>
      <c r="G797" t="n">
        <v>1.9</v>
      </c>
      <c r="H797" t="n">
        <v>0</v>
      </c>
      <c r="I797" t="n">
        <v>0</v>
      </c>
      <c r="J797" t="n">
        <v>0</v>
      </c>
      <c r="K797" t="n">
        <v>0</v>
      </c>
      <c r="L797" t="n">
        <v>0</v>
      </c>
      <c r="M797" t="n">
        <v>0</v>
      </c>
      <c r="N797" t="n">
        <v>0</v>
      </c>
      <c r="O797" t="n">
        <v>0</v>
      </c>
      <c r="P797" t="n">
        <v>0</v>
      </c>
      <c r="Q797" t="n">
        <v>0</v>
      </c>
      <c r="R797" s="2" t="inlineStr"/>
    </row>
    <row r="798" ht="15" customHeight="1">
      <c r="A798" t="inlineStr">
        <is>
          <t>A 30992-2024</t>
        </is>
      </c>
      <c r="B798" s="1" t="n">
        <v>45499</v>
      </c>
      <c r="C798" s="1" t="n">
        <v>45986</v>
      </c>
      <c r="D798" t="inlineStr">
        <is>
          <t>JÄMTLANDS LÄN</t>
        </is>
      </c>
      <c r="E798" t="inlineStr">
        <is>
          <t>BERG</t>
        </is>
      </c>
      <c r="F798" t="inlineStr">
        <is>
          <t>Sveaskog</t>
        </is>
      </c>
      <c r="G798" t="n">
        <v>5.1</v>
      </c>
      <c r="H798" t="n">
        <v>0</v>
      </c>
      <c r="I798" t="n">
        <v>0</v>
      </c>
      <c r="J798" t="n">
        <v>0</v>
      </c>
      <c r="K798" t="n">
        <v>0</v>
      </c>
      <c r="L798" t="n">
        <v>0</v>
      </c>
      <c r="M798" t="n">
        <v>0</v>
      </c>
      <c r="N798" t="n">
        <v>0</v>
      </c>
      <c r="O798" t="n">
        <v>0</v>
      </c>
      <c r="P798" t="n">
        <v>0</v>
      </c>
      <c r="Q798" t="n">
        <v>0</v>
      </c>
      <c r="R798" s="2" t="inlineStr"/>
    </row>
    <row r="799" ht="15" customHeight="1">
      <c r="A799" t="inlineStr">
        <is>
          <t>A 1657-2021</t>
        </is>
      </c>
      <c r="B799" s="1" t="n">
        <v>44209</v>
      </c>
      <c r="C799" s="1" t="n">
        <v>45986</v>
      </c>
      <c r="D799" t="inlineStr">
        <is>
          <t>JÄMTLANDS LÄN</t>
        </is>
      </c>
      <c r="E799" t="inlineStr">
        <is>
          <t>BERG</t>
        </is>
      </c>
      <c r="G799" t="n">
        <v>0.1</v>
      </c>
      <c r="H799" t="n">
        <v>0</v>
      </c>
      <c r="I799" t="n">
        <v>0</v>
      </c>
      <c r="J799" t="n">
        <v>0</v>
      </c>
      <c r="K799" t="n">
        <v>0</v>
      </c>
      <c r="L799" t="n">
        <v>0</v>
      </c>
      <c r="M799" t="n">
        <v>0</v>
      </c>
      <c r="N799" t="n">
        <v>0</v>
      </c>
      <c r="O799" t="n">
        <v>0</v>
      </c>
      <c r="P799" t="n">
        <v>0</v>
      </c>
      <c r="Q799" t="n">
        <v>0</v>
      </c>
      <c r="R799" s="2" t="inlineStr"/>
    </row>
    <row r="800" ht="15" customHeight="1">
      <c r="A800" t="inlineStr">
        <is>
          <t>A 49048-2024</t>
        </is>
      </c>
      <c r="B800" s="1" t="n">
        <v>45594.57427083333</v>
      </c>
      <c r="C800" s="1" t="n">
        <v>45986</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54071-2023</t>
        </is>
      </c>
      <c r="B801" s="1" t="n">
        <v>45231</v>
      </c>
      <c r="C801" s="1" t="n">
        <v>45986</v>
      </c>
      <c r="D801" t="inlineStr">
        <is>
          <t>JÄMTLANDS LÄN</t>
        </is>
      </c>
      <c r="E801" t="inlineStr">
        <is>
          <t>BERG</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461-2023</t>
        </is>
      </c>
      <c r="B802" s="1" t="n">
        <v>44929</v>
      </c>
      <c r="C802" s="1" t="n">
        <v>45986</v>
      </c>
      <c r="D802" t="inlineStr">
        <is>
          <t>JÄMTLANDS LÄN</t>
        </is>
      </c>
      <c r="E802" t="inlineStr">
        <is>
          <t>BERG</t>
        </is>
      </c>
      <c r="G802" t="n">
        <v>5.8</v>
      </c>
      <c r="H802" t="n">
        <v>0</v>
      </c>
      <c r="I802" t="n">
        <v>0</v>
      </c>
      <c r="J802" t="n">
        <v>0</v>
      </c>
      <c r="K802" t="n">
        <v>0</v>
      </c>
      <c r="L802" t="n">
        <v>0</v>
      </c>
      <c r="M802" t="n">
        <v>0</v>
      </c>
      <c r="N802" t="n">
        <v>0</v>
      </c>
      <c r="O802" t="n">
        <v>0</v>
      </c>
      <c r="P802" t="n">
        <v>0</v>
      </c>
      <c r="Q802" t="n">
        <v>0</v>
      </c>
      <c r="R802" s="2" t="inlineStr"/>
    </row>
    <row r="803" ht="15" customHeight="1">
      <c r="A803" t="inlineStr">
        <is>
          <t>A 525-2023</t>
        </is>
      </c>
      <c r="B803" s="1" t="n">
        <v>44924</v>
      </c>
      <c r="C803" s="1" t="n">
        <v>45986</v>
      </c>
      <c r="D803" t="inlineStr">
        <is>
          <t>JÄMTLANDS LÄN</t>
        </is>
      </c>
      <c r="E803" t="inlineStr">
        <is>
          <t>BERG</t>
        </is>
      </c>
      <c r="G803" t="n">
        <v>4</v>
      </c>
      <c r="H803" t="n">
        <v>0</v>
      </c>
      <c r="I803" t="n">
        <v>0</v>
      </c>
      <c r="J803" t="n">
        <v>0</v>
      </c>
      <c r="K803" t="n">
        <v>0</v>
      </c>
      <c r="L803" t="n">
        <v>0</v>
      </c>
      <c r="M803" t="n">
        <v>0</v>
      </c>
      <c r="N803" t="n">
        <v>0</v>
      </c>
      <c r="O803" t="n">
        <v>0</v>
      </c>
      <c r="P803" t="n">
        <v>0</v>
      </c>
      <c r="Q803" t="n">
        <v>0</v>
      </c>
      <c r="R803" s="2" t="inlineStr"/>
    </row>
    <row r="804" ht="15" customHeight="1">
      <c r="A804" t="inlineStr">
        <is>
          <t>A 26918-2024</t>
        </is>
      </c>
      <c r="B804" s="1" t="n">
        <v>45470</v>
      </c>
      <c r="C804" s="1" t="n">
        <v>45986</v>
      </c>
      <c r="D804" t="inlineStr">
        <is>
          <t>JÄMTLANDS LÄN</t>
        </is>
      </c>
      <c r="E804" t="inlineStr">
        <is>
          <t>BERG</t>
        </is>
      </c>
      <c r="G804" t="n">
        <v>0.4</v>
      </c>
      <c r="H804" t="n">
        <v>0</v>
      </c>
      <c r="I804" t="n">
        <v>0</v>
      </c>
      <c r="J804" t="n">
        <v>0</v>
      </c>
      <c r="K804" t="n">
        <v>0</v>
      </c>
      <c r="L804" t="n">
        <v>0</v>
      </c>
      <c r="M804" t="n">
        <v>0</v>
      </c>
      <c r="N804" t="n">
        <v>0</v>
      </c>
      <c r="O804" t="n">
        <v>0</v>
      </c>
      <c r="P804" t="n">
        <v>0</v>
      </c>
      <c r="Q804" t="n">
        <v>0</v>
      </c>
      <c r="R804" s="2" t="inlineStr"/>
    </row>
    <row r="805" ht="15" customHeight="1">
      <c r="A805" t="inlineStr">
        <is>
          <t>A 27579-2024</t>
        </is>
      </c>
      <c r="B805" s="1" t="n">
        <v>45474.65244212963</v>
      </c>
      <c r="C805" s="1" t="n">
        <v>45986</v>
      </c>
      <c r="D805" t="inlineStr">
        <is>
          <t>JÄMTLANDS LÄN</t>
        </is>
      </c>
      <c r="E805" t="inlineStr">
        <is>
          <t>BERG</t>
        </is>
      </c>
      <c r="G805" t="n">
        <v>1.8</v>
      </c>
      <c r="H805" t="n">
        <v>0</v>
      </c>
      <c r="I805" t="n">
        <v>0</v>
      </c>
      <c r="J805" t="n">
        <v>0</v>
      </c>
      <c r="K805" t="n">
        <v>0</v>
      </c>
      <c r="L805" t="n">
        <v>0</v>
      </c>
      <c r="M805" t="n">
        <v>0</v>
      </c>
      <c r="N805" t="n">
        <v>0</v>
      </c>
      <c r="O805" t="n">
        <v>0</v>
      </c>
      <c r="P805" t="n">
        <v>0</v>
      </c>
      <c r="Q805" t="n">
        <v>0</v>
      </c>
      <c r="R805" s="2" t="inlineStr"/>
    </row>
    <row r="806" ht="15" customHeight="1">
      <c r="A806" t="inlineStr">
        <is>
          <t>A 54992-2023</t>
        </is>
      </c>
      <c r="B806" s="1" t="n">
        <v>45236.96789351852</v>
      </c>
      <c r="C806" s="1" t="n">
        <v>45986</v>
      </c>
      <c r="D806" t="inlineStr">
        <is>
          <t>JÄMTLANDS LÄN</t>
        </is>
      </c>
      <c r="E806" t="inlineStr">
        <is>
          <t>BERG</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54994-2023</t>
        </is>
      </c>
      <c r="B807" s="1" t="n">
        <v>45236</v>
      </c>
      <c r="C807" s="1" t="n">
        <v>45986</v>
      </c>
      <c r="D807" t="inlineStr">
        <is>
          <t>JÄMTLANDS LÄN</t>
        </is>
      </c>
      <c r="E807" t="inlineStr">
        <is>
          <t>BERG</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57226-2022</t>
        </is>
      </c>
      <c r="B808" s="1" t="n">
        <v>44895.66629629629</v>
      </c>
      <c r="C808" s="1" t="n">
        <v>45986</v>
      </c>
      <c r="D808" t="inlineStr">
        <is>
          <t>JÄMTLANDS LÄN</t>
        </is>
      </c>
      <c r="E808" t="inlineStr">
        <is>
          <t>BERG</t>
        </is>
      </c>
      <c r="G808" t="n">
        <v>4.6</v>
      </c>
      <c r="H808" t="n">
        <v>0</v>
      </c>
      <c r="I808" t="n">
        <v>0</v>
      </c>
      <c r="J808" t="n">
        <v>0</v>
      </c>
      <c r="K808" t="n">
        <v>0</v>
      </c>
      <c r="L808" t="n">
        <v>0</v>
      </c>
      <c r="M808" t="n">
        <v>0</v>
      </c>
      <c r="N808" t="n">
        <v>0</v>
      </c>
      <c r="O808" t="n">
        <v>0</v>
      </c>
      <c r="P808" t="n">
        <v>0</v>
      </c>
      <c r="Q808" t="n">
        <v>0</v>
      </c>
      <c r="R808" s="2" t="inlineStr"/>
    </row>
    <row r="809" ht="15" customHeight="1">
      <c r="A809" t="inlineStr">
        <is>
          <t>A 5911-2024</t>
        </is>
      </c>
      <c r="B809" s="1" t="n">
        <v>45335</v>
      </c>
      <c r="C809" s="1" t="n">
        <v>45986</v>
      </c>
      <c r="D809" t="inlineStr">
        <is>
          <t>JÄMTLANDS LÄN</t>
        </is>
      </c>
      <c r="E809" t="inlineStr">
        <is>
          <t>BERG</t>
        </is>
      </c>
      <c r="F809" t="inlineStr">
        <is>
          <t>SCA</t>
        </is>
      </c>
      <c r="G809" t="n">
        <v>28.6</v>
      </c>
      <c r="H809" t="n">
        <v>0</v>
      </c>
      <c r="I809" t="n">
        <v>0</v>
      </c>
      <c r="J809" t="n">
        <v>0</v>
      </c>
      <c r="K809" t="n">
        <v>0</v>
      </c>
      <c r="L809" t="n">
        <v>0</v>
      </c>
      <c r="M809" t="n">
        <v>0</v>
      </c>
      <c r="N809" t="n">
        <v>0</v>
      </c>
      <c r="O809" t="n">
        <v>0</v>
      </c>
      <c r="P809" t="n">
        <v>0</v>
      </c>
      <c r="Q809" t="n">
        <v>0</v>
      </c>
      <c r="R809" s="2" t="inlineStr"/>
    </row>
    <row r="810" ht="15" customHeight="1">
      <c r="A810" t="inlineStr">
        <is>
          <t>A 25306-2023</t>
        </is>
      </c>
      <c r="B810" s="1" t="n">
        <v>45086</v>
      </c>
      <c r="C810" s="1" t="n">
        <v>45986</v>
      </c>
      <c r="D810" t="inlineStr">
        <is>
          <t>JÄMTLANDS LÄN</t>
        </is>
      </c>
      <c r="E810" t="inlineStr">
        <is>
          <t>BERG</t>
        </is>
      </c>
      <c r="G810" t="n">
        <v>23.3</v>
      </c>
      <c r="H810" t="n">
        <v>0</v>
      </c>
      <c r="I810" t="n">
        <v>0</v>
      </c>
      <c r="J810" t="n">
        <v>0</v>
      </c>
      <c r="K810" t="n">
        <v>0</v>
      </c>
      <c r="L810" t="n">
        <v>0</v>
      </c>
      <c r="M810" t="n">
        <v>0</v>
      </c>
      <c r="N810" t="n">
        <v>0</v>
      </c>
      <c r="O810" t="n">
        <v>0</v>
      </c>
      <c r="P810" t="n">
        <v>0</v>
      </c>
      <c r="Q810" t="n">
        <v>0</v>
      </c>
      <c r="R810" s="2" t="inlineStr"/>
    </row>
    <row r="811" ht="15" customHeight="1">
      <c r="A811" t="inlineStr">
        <is>
          <t>A 13373-2024</t>
        </is>
      </c>
      <c r="B811" s="1" t="n">
        <v>45387.37010416666</v>
      </c>
      <c r="C811" s="1" t="n">
        <v>45986</v>
      </c>
      <c r="D811" t="inlineStr">
        <is>
          <t>JÄMTLANDS LÄN</t>
        </is>
      </c>
      <c r="E811" t="inlineStr">
        <is>
          <t>BERG</t>
        </is>
      </c>
      <c r="G811" t="n">
        <v>3.8</v>
      </c>
      <c r="H811" t="n">
        <v>0</v>
      </c>
      <c r="I811" t="n">
        <v>0</v>
      </c>
      <c r="J811" t="n">
        <v>0</v>
      </c>
      <c r="K811" t="n">
        <v>0</v>
      </c>
      <c r="L811" t="n">
        <v>0</v>
      </c>
      <c r="M811" t="n">
        <v>0</v>
      </c>
      <c r="N811" t="n">
        <v>0</v>
      </c>
      <c r="O811" t="n">
        <v>0</v>
      </c>
      <c r="P811" t="n">
        <v>0</v>
      </c>
      <c r="Q811" t="n">
        <v>0</v>
      </c>
      <c r="R811" s="2" t="inlineStr"/>
    </row>
    <row r="812" ht="15" customHeight="1">
      <c r="A812" t="inlineStr">
        <is>
          <t>A 52774-2023</t>
        </is>
      </c>
      <c r="B812" s="1" t="n">
        <v>45219</v>
      </c>
      <c r="C812" s="1" t="n">
        <v>45986</v>
      </c>
      <c r="D812" t="inlineStr">
        <is>
          <t>JÄMTLANDS LÄN</t>
        </is>
      </c>
      <c r="E812" t="inlineStr">
        <is>
          <t>BERG</t>
        </is>
      </c>
      <c r="G812" t="n">
        <v>1.1</v>
      </c>
      <c r="H812" t="n">
        <v>0</v>
      </c>
      <c r="I812" t="n">
        <v>0</v>
      </c>
      <c r="J812" t="n">
        <v>0</v>
      </c>
      <c r="K812" t="n">
        <v>0</v>
      </c>
      <c r="L812" t="n">
        <v>0</v>
      </c>
      <c r="M812" t="n">
        <v>0</v>
      </c>
      <c r="N812" t="n">
        <v>0</v>
      </c>
      <c r="O812" t="n">
        <v>0</v>
      </c>
      <c r="P812" t="n">
        <v>0</v>
      </c>
      <c r="Q812" t="n">
        <v>0</v>
      </c>
      <c r="R812" s="2" t="inlineStr"/>
    </row>
    <row r="813" ht="15" customHeight="1">
      <c r="A813" t="inlineStr">
        <is>
          <t>A 592-2021</t>
        </is>
      </c>
      <c r="B813" s="1" t="n">
        <v>44201</v>
      </c>
      <c r="C813" s="1" t="n">
        <v>45986</v>
      </c>
      <c r="D813" t="inlineStr">
        <is>
          <t>JÄMTLANDS LÄN</t>
        </is>
      </c>
      <c r="E813" t="inlineStr">
        <is>
          <t>BERG</t>
        </is>
      </c>
      <c r="G813" t="n">
        <v>1</v>
      </c>
      <c r="H813" t="n">
        <v>0</v>
      </c>
      <c r="I813" t="n">
        <v>0</v>
      </c>
      <c r="J813" t="n">
        <v>0</v>
      </c>
      <c r="K813" t="n">
        <v>0</v>
      </c>
      <c r="L813" t="n">
        <v>0</v>
      </c>
      <c r="M813" t="n">
        <v>0</v>
      </c>
      <c r="N813" t="n">
        <v>0</v>
      </c>
      <c r="O813" t="n">
        <v>0</v>
      </c>
      <c r="P813" t="n">
        <v>0</v>
      </c>
      <c r="Q813" t="n">
        <v>0</v>
      </c>
      <c r="R813" s="2" t="inlineStr"/>
    </row>
    <row r="814" ht="15" customHeight="1">
      <c r="A814" t="inlineStr">
        <is>
          <t>A 24011-2023</t>
        </is>
      </c>
      <c r="B814" s="1" t="n">
        <v>45078</v>
      </c>
      <c r="C814" s="1" t="n">
        <v>45986</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11704-2023</t>
        </is>
      </c>
      <c r="B815" s="1" t="n">
        <v>44994.54274305556</v>
      </c>
      <c r="C815" s="1" t="n">
        <v>45986</v>
      </c>
      <c r="D815" t="inlineStr">
        <is>
          <t>JÄMTLANDS LÄN</t>
        </is>
      </c>
      <c r="E815" t="inlineStr">
        <is>
          <t>BERG</t>
        </is>
      </c>
      <c r="G815" t="n">
        <v>1</v>
      </c>
      <c r="H815" t="n">
        <v>0</v>
      </c>
      <c r="I815" t="n">
        <v>0</v>
      </c>
      <c r="J815" t="n">
        <v>0</v>
      </c>
      <c r="K815" t="n">
        <v>0</v>
      </c>
      <c r="L815" t="n">
        <v>0</v>
      </c>
      <c r="M815" t="n">
        <v>0</v>
      </c>
      <c r="N815" t="n">
        <v>0</v>
      </c>
      <c r="O815" t="n">
        <v>0</v>
      </c>
      <c r="P815" t="n">
        <v>0</v>
      </c>
      <c r="Q815" t="n">
        <v>0</v>
      </c>
      <c r="R815" s="2" t="inlineStr"/>
    </row>
    <row r="816" ht="15" customHeight="1">
      <c r="A816" t="inlineStr">
        <is>
          <t>A 31682-2022</t>
        </is>
      </c>
      <c r="B816" s="1" t="n">
        <v>44776</v>
      </c>
      <c r="C816" s="1" t="n">
        <v>45986</v>
      </c>
      <c r="D816" t="inlineStr">
        <is>
          <t>JÄMTLANDS LÄN</t>
        </is>
      </c>
      <c r="E816" t="inlineStr">
        <is>
          <t>BERG</t>
        </is>
      </c>
      <c r="G816" t="n">
        <v>8</v>
      </c>
      <c r="H816" t="n">
        <v>0</v>
      </c>
      <c r="I816" t="n">
        <v>0</v>
      </c>
      <c r="J816" t="n">
        <v>0</v>
      </c>
      <c r="K816" t="n">
        <v>0</v>
      </c>
      <c r="L816" t="n">
        <v>0</v>
      </c>
      <c r="M816" t="n">
        <v>0</v>
      </c>
      <c r="N816" t="n">
        <v>0</v>
      </c>
      <c r="O816" t="n">
        <v>0</v>
      </c>
      <c r="P816" t="n">
        <v>0</v>
      </c>
      <c r="Q816" t="n">
        <v>0</v>
      </c>
      <c r="R816" s="2" t="inlineStr"/>
    </row>
    <row r="817" ht="15" customHeight="1">
      <c r="A817" t="inlineStr">
        <is>
          <t>A 59459-2024</t>
        </is>
      </c>
      <c r="B817" s="1" t="n">
        <v>45638</v>
      </c>
      <c r="C817" s="1" t="n">
        <v>45986</v>
      </c>
      <c r="D817" t="inlineStr">
        <is>
          <t>JÄMTLANDS LÄN</t>
        </is>
      </c>
      <c r="E817" t="inlineStr">
        <is>
          <t>BERG</t>
        </is>
      </c>
      <c r="G817" t="n">
        <v>1.1</v>
      </c>
      <c r="H817" t="n">
        <v>0</v>
      </c>
      <c r="I817" t="n">
        <v>0</v>
      </c>
      <c r="J817" t="n">
        <v>0</v>
      </c>
      <c r="K817" t="n">
        <v>0</v>
      </c>
      <c r="L817" t="n">
        <v>0</v>
      </c>
      <c r="M817" t="n">
        <v>0</v>
      </c>
      <c r="N817" t="n">
        <v>0</v>
      </c>
      <c r="O817" t="n">
        <v>0</v>
      </c>
      <c r="P817" t="n">
        <v>0</v>
      </c>
      <c r="Q817" t="n">
        <v>0</v>
      </c>
      <c r="R817" s="2" t="inlineStr"/>
    </row>
    <row r="818" ht="15" customHeight="1">
      <c r="A818" t="inlineStr">
        <is>
          <t>A 14153-2023</t>
        </is>
      </c>
      <c r="B818" s="1" t="n">
        <v>45008</v>
      </c>
      <c r="C818" s="1" t="n">
        <v>45986</v>
      </c>
      <c r="D818" t="inlineStr">
        <is>
          <t>JÄMTLANDS LÄN</t>
        </is>
      </c>
      <c r="E818" t="inlineStr">
        <is>
          <t>BERG</t>
        </is>
      </c>
      <c r="G818" t="n">
        <v>1.1</v>
      </c>
      <c r="H818" t="n">
        <v>0</v>
      </c>
      <c r="I818" t="n">
        <v>0</v>
      </c>
      <c r="J818" t="n">
        <v>0</v>
      </c>
      <c r="K818" t="n">
        <v>0</v>
      </c>
      <c r="L818" t="n">
        <v>0</v>
      </c>
      <c r="M818" t="n">
        <v>0</v>
      </c>
      <c r="N818" t="n">
        <v>0</v>
      </c>
      <c r="O818" t="n">
        <v>0</v>
      </c>
      <c r="P818" t="n">
        <v>0</v>
      </c>
      <c r="Q818" t="n">
        <v>0</v>
      </c>
      <c r="R818" s="2" t="inlineStr"/>
    </row>
    <row r="819" ht="15" customHeight="1">
      <c r="A819" t="inlineStr">
        <is>
          <t>A 20899-2023</t>
        </is>
      </c>
      <c r="B819" s="1" t="n">
        <v>45060</v>
      </c>
      <c r="C819" s="1" t="n">
        <v>45986</v>
      </c>
      <c r="D819" t="inlineStr">
        <is>
          <t>JÄMTLANDS LÄN</t>
        </is>
      </c>
      <c r="E819" t="inlineStr">
        <is>
          <t>BERG</t>
        </is>
      </c>
      <c r="G819" t="n">
        <v>1.9</v>
      </c>
      <c r="H819" t="n">
        <v>0</v>
      </c>
      <c r="I819" t="n">
        <v>0</v>
      </c>
      <c r="J819" t="n">
        <v>0</v>
      </c>
      <c r="K819" t="n">
        <v>0</v>
      </c>
      <c r="L819" t="n">
        <v>0</v>
      </c>
      <c r="M819" t="n">
        <v>0</v>
      </c>
      <c r="N819" t="n">
        <v>0</v>
      </c>
      <c r="O819" t="n">
        <v>0</v>
      </c>
      <c r="P819" t="n">
        <v>0</v>
      </c>
      <c r="Q819" t="n">
        <v>0</v>
      </c>
      <c r="R819" s="2" t="inlineStr"/>
    </row>
    <row r="820" ht="15" customHeight="1">
      <c r="A820" t="inlineStr">
        <is>
          <t>A 41106-2023</t>
        </is>
      </c>
      <c r="B820" s="1" t="n">
        <v>45170</v>
      </c>
      <c r="C820" s="1" t="n">
        <v>45986</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7744-2024</t>
        </is>
      </c>
      <c r="B821" s="1" t="n">
        <v>45349</v>
      </c>
      <c r="C821" s="1" t="n">
        <v>45986</v>
      </c>
      <c r="D821" t="inlineStr">
        <is>
          <t>JÄMTLANDS LÄN</t>
        </is>
      </c>
      <c r="E821" t="inlineStr">
        <is>
          <t>BERG</t>
        </is>
      </c>
      <c r="G821" t="n">
        <v>1.7</v>
      </c>
      <c r="H821" t="n">
        <v>0</v>
      </c>
      <c r="I821" t="n">
        <v>0</v>
      </c>
      <c r="J821" t="n">
        <v>0</v>
      </c>
      <c r="K821" t="n">
        <v>0</v>
      </c>
      <c r="L821" t="n">
        <v>0</v>
      </c>
      <c r="M821" t="n">
        <v>0</v>
      </c>
      <c r="N821" t="n">
        <v>0</v>
      </c>
      <c r="O821" t="n">
        <v>0</v>
      </c>
      <c r="P821" t="n">
        <v>0</v>
      </c>
      <c r="Q821" t="n">
        <v>0</v>
      </c>
      <c r="R821" s="2" t="inlineStr"/>
    </row>
    <row r="822" ht="15" customHeight="1">
      <c r="A822" t="inlineStr">
        <is>
          <t>A 511-2025</t>
        </is>
      </c>
      <c r="B822" s="1" t="n">
        <v>45664.47284722222</v>
      </c>
      <c r="C822" s="1" t="n">
        <v>45986</v>
      </c>
      <c r="D822" t="inlineStr">
        <is>
          <t>JÄMTLANDS LÄN</t>
        </is>
      </c>
      <c r="E822" t="inlineStr">
        <is>
          <t>BERG</t>
        </is>
      </c>
      <c r="G822" t="n">
        <v>4.5</v>
      </c>
      <c r="H822" t="n">
        <v>0</v>
      </c>
      <c r="I822" t="n">
        <v>0</v>
      </c>
      <c r="J822" t="n">
        <v>0</v>
      </c>
      <c r="K822" t="n">
        <v>0</v>
      </c>
      <c r="L822" t="n">
        <v>0</v>
      </c>
      <c r="M822" t="n">
        <v>0</v>
      </c>
      <c r="N822" t="n">
        <v>0</v>
      </c>
      <c r="O822" t="n">
        <v>0</v>
      </c>
      <c r="P822" t="n">
        <v>0</v>
      </c>
      <c r="Q822" t="n">
        <v>0</v>
      </c>
      <c r="R822" s="2" t="inlineStr"/>
    </row>
    <row r="823" ht="15" customHeight="1">
      <c r="A823" t="inlineStr">
        <is>
          <t>A 40415-2023</t>
        </is>
      </c>
      <c r="B823" s="1" t="n">
        <v>45169.93925925926</v>
      </c>
      <c r="C823" s="1" t="n">
        <v>45986</v>
      </c>
      <c r="D823" t="inlineStr">
        <is>
          <t>JÄMTLANDS LÄN</t>
        </is>
      </c>
      <c r="E823" t="inlineStr">
        <is>
          <t>BERG</t>
        </is>
      </c>
      <c r="F823" t="inlineStr">
        <is>
          <t>SCA</t>
        </is>
      </c>
      <c r="G823" t="n">
        <v>10.2</v>
      </c>
      <c r="H823" t="n">
        <v>0</v>
      </c>
      <c r="I823" t="n">
        <v>0</v>
      </c>
      <c r="J823" t="n">
        <v>0</v>
      </c>
      <c r="K823" t="n">
        <v>0</v>
      </c>
      <c r="L823" t="n">
        <v>0</v>
      </c>
      <c r="M823" t="n">
        <v>0</v>
      </c>
      <c r="N823" t="n">
        <v>0</v>
      </c>
      <c r="O823" t="n">
        <v>0</v>
      </c>
      <c r="P823" t="n">
        <v>0</v>
      </c>
      <c r="Q823" t="n">
        <v>0</v>
      </c>
      <c r="R823" s="2" t="inlineStr"/>
    </row>
    <row r="824" ht="15" customHeight="1">
      <c r="A824" t="inlineStr">
        <is>
          <t>A 12611-2025</t>
        </is>
      </c>
      <c r="B824" s="1" t="n">
        <v>45733.33921296296</v>
      </c>
      <c r="C824" s="1" t="n">
        <v>45986</v>
      </c>
      <c r="D824" t="inlineStr">
        <is>
          <t>JÄMTLANDS LÄN</t>
        </is>
      </c>
      <c r="E824" t="inlineStr">
        <is>
          <t>BERG</t>
        </is>
      </c>
      <c r="G824" t="n">
        <v>7.7</v>
      </c>
      <c r="H824" t="n">
        <v>0</v>
      </c>
      <c r="I824" t="n">
        <v>0</v>
      </c>
      <c r="J824" t="n">
        <v>0</v>
      </c>
      <c r="K824" t="n">
        <v>0</v>
      </c>
      <c r="L824" t="n">
        <v>0</v>
      </c>
      <c r="M824" t="n">
        <v>0</v>
      </c>
      <c r="N824" t="n">
        <v>0</v>
      </c>
      <c r="O824" t="n">
        <v>0</v>
      </c>
      <c r="P824" t="n">
        <v>0</v>
      </c>
      <c r="Q824" t="n">
        <v>0</v>
      </c>
      <c r="R824" s="2" t="inlineStr"/>
    </row>
    <row r="825" ht="15" customHeight="1">
      <c r="A825" t="inlineStr">
        <is>
          <t>A 2247-2025</t>
        </is>
      </c>
      <c r="B825" s="1" t="n">
        <v>45673.49039351852</v>
      </c>
      <c r="C825" s="1" t="n">
        <v>45986</v>
      </c>
      <c r="D825" t="inlineStr">
        <is>
          <t>JÄMTLANDS LÄN</t>
        </is>
      </c>
      <c r="E825" t="inlineStr">
        <is>
          <t>BERG</t>
        </is>
      </c>
      <c r="F825" t="inlineStr">
        <is>
          <t>SCA</t>
        </is>
      </c>
      <c r="G825" t="n">
        <v>13.3</v>
      </c>
      <c r="H825" t="n">
        <v>0</v>
      </c>
      <c r="I825" t="n">
        <v>0</v>
      </c>
      <c r="J825" t="n">
        <v>0</v>
      </c>
      <c r="K825" t="n">
        <v>0</v>
      </c>
      <c r="L825" t="n">
        <v>0</v>
      </c>
      <c r="M825" t="n">
        <v>0</v>
      </c>
      <c r="N825" t="n">
        <v>0</v>
      </c>
      <c r="O825" t="n">
        <v>0</v>
      </c>
      <c r="P825" t="n">
        <v>0</v>
      </c>
      <c r="Q825" t="n">
        <v>0</v>
      </c>
      <c r="R825" s="2" t="inlineStr"/>
    </row>
    <row r="826" ht="15" customHeight="1">
      <c r="A826" t="inlineStr">
        <is>
          <t>A 1983-2022</t>
        </is>
      </c>
      <c r="B826" s="1" t="n">
        <v>44575</v>
      </c>
      <c r="C826" s="1" t="n">
        <v>45986</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13936-2024</t>
        </is>
      </c>
      <c r="B827" s="1" t="n">
        <v>45391.9533912037</v>
      </c>
      <c r="C827" s="1" t="n">
        <v>45986</v>
      </c>
      <c r="D827" t="inlineStr">
        <is>
          <t>JÄMTLANDS LÄN</t>
        </is>
      </c>
      <c r="E827" t="inlineStr">
        <is>
          <t>BERG</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37098-2024</t>
        </is>
      </c>
      <c r="B828" s="1" t="n">
        <v>45539.50243055556</v>
      </c>
      <c r="C828" s="1" t="n">
        <v>45986</v>
      </c>
      <c r="D828" t="inlineStr">
        <is>
          <t>JÄMTLANDS LÄN</t>
        </is>
      </c>
      <c r="E828" t="inlineStr">
        <is>
          <t>BERG</t>
        </is>
      </c>
      <c r="F828" t="inlineStr">
        <is>
          <t>Övriga Aktiebolag</t>
        </is>
      </c>
      <c r="G828" t="n">
        <v>4.5</v>
      </c>
      <c r="H828" t="n">
        <v>0</v>
      </c>
      <c r="I828" t="n">
        <v>0</v>
      </c>
      <c r="J828" t="n">
        <v>0</v>
      </c>
      <c r="K828" t="n">
        <v>0</v>
      </c>
      <c r="L828" t="n">
        <v>0</v>
      </c>
      <c r="M828" t="n">
        <v>0</v>
      </c>
      <c r="N828" t="n">
        <v>0</v>
      </c>
      <c r="O828" t="n">
        <v>0</v>
      </c>
      <c r="P828" t="n">
        <v>0</v>
      </c>
      <c r="Q828" t="n">
        <v>0</v>
      </c>
      <c r="R828" s="2" t="inlineStr"/>
    </row>
    <row r="829" ht="15" customHeight="1">
      <c r="A829" t="inlineStr">
        <is>
          <t>A 44088-2021</t>
        </is>
      </c>
      <c r="B829" s="1" t="n">
        <v>44434</v>
      </c>
      <c r="C829" s="1" t="n">
        <v>45986</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26959-2022</t>
        </is>
      </c>
      <c r="B830" s="1" t="n">
        <v>44740.66048611111</v>
      </c>
      <c r="C830" s="1" t="n">
        <v>45986</v>
      </c>
      <c r="D830" t="inlineStr">
        <is>
          <t>JÄMTLANDS LÄN</t>
        </is>
      </c>
      <c r="E830" t="inlineStr">
        <is>
          <t>BERG</t>
        </is>
      </c>
      <c r="G830" t="n">
        <v>2.8</v>
      </c>
      <c r="H830" t="n">
        <v>0</v>
      </c>
      <c r="I830" t="n">
        <v>0</v>
      </c>
      <c r="J830" t="n">
        <v>0</v>
      </c>
      <c r="K830" t="n">
        <v>0</v>
      </c>
      <c r="L830" t="n">
        <v>0</v>
      </c>
      <c r="M830" t="n">
        <v>0</v>
      </c>
      <c r="N830" t="n">
        <v>0</v>
      </c>
      <c r="O830" t="n">
        <v>0</v>
      </c>
      <c r="P830" t="n">
        <v>0</v>
      </c>
      <c r="Q830" t="n">
        <v>0</v>
      </c>
      <c r="R830" s="2" t="inlineStr"/>
    </row>
    <row r="831" ht="15" customHeight="1">
      <c r="A831" t="inlineStr">
        <is>
          <t>A 2855-2025</t>
        </is>
      </c>
      <c r="B831" s="1" t="n">
        <v>45678</v>
      </c>
      <c r="C831" s="1" t="n">
        <v>45986</v>
      </c>
      <c r="D831" t="inlineStr">
        <is>
          <t>JÄMTLANDS LÄN</t>
        </is>
      </c>
      <c r="E831" t="inlineStr">
        <is>
          <t>BERG</t>
        </is>
      </c>
      <c r="G831" t="n">
        <v>1</v>
      </c>
      <c r="H831" t="n">
        <v>0</v>
      </c>
      <c r="I831" t="n">
        <v>0</v>
      </c>
      <c r="J831" t="n">
        <v>0</v>
      </c>
      <c r="K831" t="n">
        <v>0</v>
      </c>
      <c r="L831" t="n">
        <v>0</v>
      </c>
      <c r="M831" t="n">
        <v>0</v>
      </c>
      <c r="N831" t="n">
        <v>0</v>
      </c>
      <c r="O831" t="n">
        <v>0</v>
      </c>
      <c r="P831" t="n">
        <v>0</v>
      </c>
      <c r="Q831" t="n">
        <v>0</v>
      </c>
      <c r="R831" s="2" t="inlineStr"/>
    </row>
    <row r="832" ht="15" customHeight="1">
      <c r="A832" t="inlineStr">
        <is>
          <t>A 57905-2024</t>
        </is>
      </c>
      <c r="B832" s="1" t="n">
        <v>45631.48989583334</v>
      </c>
      <c r="C832" s="1" t="n">
        <v>45986</v>
      </c>
      <c r="D832" t="inlineStr">
        <is>
          <t>JÄMTLANDS LÄN</t>
        </is>
      </c>
      <c r="E832" t="inlineStr">
        <is>
          <t>BERG</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41782-2024</t>
        </is>
      </c>
      <c r="B833" s="1" t="n">
        <v>45561</v>
      </c>
      <c r="C833" s="1" t="n">
        <v>45986</v>
      </c>
      <c r="D833" t="inlineStr">
        <is>
          <t>JÄMTLANDS LÄN</t>
        </is>
      </c>
      <c r="E833" t="inlineStr">
        <is>
          <t>BERG</t>
        </is>
      </c>
      <c r="F833" t="inlineStr">
        <is>
          <t>SCA</t>
        </is>
      </c>
      <c r="G833" t="n">
        <v>0.1</v>
      </c>
      <c r="H833" t="n">
        <v>0</v>
      </c>
      <c r="I833" t="n">
        <v>0</v>
      </c>
      <c r="J833" t="n">
        <v>0</v>
      </c>
      <c r="K833" t="n">
        <v>0</v>
      </c>
      <c r="L833" t="n">
        <v>0</v>
      </c>
      <c r="M833" t="n">
        <v>0</v>
      </c>
      <c r="N833" t="n">
        <v>0</v>
      </c>
      <c r="O833" t="n">
        <v>0</v>
      </c>
      <c r="P833" t="n">
        <v>0</v>
      </c>
      <c r="Q833" t="n">
        <v>0</v>
      </c>
      <c r="R833" s="2" t="inlineStr"/>
    </row>
    <row r="834" ht="15" customHeight="1">
      <c r="A834" t="inlineStr">
        <is>
          <t>A 10465-2023</t>
        </is>
      </c>
      <c r="B834" s="1" t="n">
        <v>44987.60319444445</v>
      </c>
      <c r="C834" s="1" t="n">
        <v>45986</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18551-2025</t>
        </is>
      </c>
      <c r="B835" s="1" t="n">
        <v>45763.43650462963</v>
      </c>
      <c r="C835" s="1" t="n">
        <v>45986</v>
      </c>
      <c r="D835" t="inlineStr">
        <is>
          <t>JÄMTLANDS LÄN</t>
        </is>
      </c>
      <c r="E835" t="inlineStr">
        <is>
          <t>BERG</t>
        </is>
      </c>
      <c r="G835" t="n">
        <v>3.5</v>
      </c>
      <c r="H835" t="n">
        <v>0</v>
      </c>
      <c r="I835" t="n">
        <v>0</v>
      </c>
      <c r="J835" t="n">
        <v>0</v>
      </c>
      <c r="K835" t="n">
        <v>0</v>
      </c>
      <c r="L835" t="n">
        <v>0</v>
      </c>
      <c r="M835" t="n">
        <v>0</v>
      </c>
      <c r="N835" t="n">
        <v>0</v>
      </c>
      <c r="O835" t="n">
        <v>0</v>
      </c>
      <c r="P835" t="n">
        <v>0</v>
      </c>
      <c r="Q835" t="n">
        <v>0</v>
      </c>
      <c r="R835" s="2" t="inlineStr"/>
    </row>
    <row r="836" ht="15" customHeight="1">
      <c r="A836" t="inlineStr">
        <is>
          <t>A 31131-2024</t>
        </is>
      </c>
      <c r="B836" s="1" t="n">
        <v>45502</v>
      </c>
      <c r="C836" s="1" t="n">
        <v>45986</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31154-2024</t>
        </is>
      </c>
      <c r="B837" s="1" t="n">
        <v>45503.32976851852</v>
      </c>
      <c r="C837" s="1" t="n">
        <v>45986</v>
      </c>
      <c r="D837" t="inlineStr">
        <is>
          <t>JÄMTLANDS LÄN</t>
        </is>
      </c>
      <c r="E837" t="inlineStr">
        <is>
          <t>BERG</t>
        </is>
      </c>
      <c r="G837" t="n">
        <v>2.3</v>
      </c>
      <c r="H837" t="n">
        <v>0</v>
      </c>
      <c r="I837" t="n">
        <v>0</v>
      </c>
      <c r="J837" t="n">
        <v>0</v>
      </c>
      <c r="K837" t="n">
        <v>0</v>
      </c>
      <c r="L837" t="n">
        <v>0</v>
      </c>
      <c r="M837" t="n">
        <v>0</v>
      </c>
      <c r="N837" t="n">
        <v>0</v>
      </c>
      <c r="O837" t="n">
        <v>0</v>
      </c>
      <c r="P837" t="n">
        <v>0</v>
      </c>
      <c r="Q837" t="n">
        <v>0</v>
      </c>
      <c r="R837" s="2" t="inlineStr"/>
    </row>
    <row r="838" ht="15" customHeight="1">
      <c r="A838" t="inlineStr">
        <is>
          <t>A 17929-2024</t>
        </is>
      </c>
      <c r="B838" s="1" t="n">
        <v>45419.60266203704</v>
      </c>
      <c r="C838" s="1" t="n">
        <v>45986</v>
      </c>
      <c r="D838" t="inlineStr">
        <is>
          <t>JÄMTLANDS LÄN</t>
        </is>
      </c>
      <c r="E838" t="inlineStr">
        <is>
          <t>BERG</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7447-2022</t>
        </is>
      </c>
      <c r="B839" s="1" t="n">
        <v>44606</v>
      </c>
      <c r="C839" s="1" t="n">
        <v>45986</v>
      </c>
      <c r="D839" t="inlineStr">
        <is>
          <t>JÄMTLANDS LÄN</t>
        </is>
      </c>
      <c r="E839" t="inlineStr">
        <is>
          <t>BERG</t>
        </is>
      </c>
      <c r="G839" t="n">
        <v>0.9</v>
      </c>
      <c r="H839" t="n">
        <v>0</v>
      </c>
      <c r="I839" t="n">
        <v>0</v>
      </c>
      <c r="J839" t="n">
        <v>0</v>
      </c>
      <c r="K839" t="n">
        <v>0</v>
      </c>
      <c r="L839" t="n">
        <v>0</v>
      </c>
      <c r="M839" t="n">
        <v>0</v>
      </c>
      <c r="N839" t="n">
        <v>0</v>
      </c>
      <c r="O839" t="n">
        <v>0</v>
      </c>
      <c r="P839" t="n">
        <v>0</v>
      </c>
      <c r="Q839" t="n">
        <v>0</v>
      </c>
      <c r="R839" s="2" t="inlineStr"/>
    </row>
    <row r="840" ht="15" customHeight="1">
      <c r="A840" t="inlineStr">
        <is>
          <t>A 41105-2023</t>
        </is>
      </c>
      <c r="B840" s="1" t="n">
        <v>45170</v>
      </c>
      <c r="C840" s="1" t="n">
        <v>45986</v>
      </c>
      <c r="D840" t="inlineStr">
        <is>
          <t>JÄMTLANDS LÄN</t>
        </is>
      </c>
      <c r="E840" t="inlineStr">
        <is>
          <t>BERG</t>
        </is>
      </c>
      <c r="G840" t="n">
        <v>0.9</v>
      </c>
      <c r="H840" t="n">
        <v>0</v>
      </c>
      <c r="I840" t="n">
        <v>0</v>
      </c>
      <c r="J840" t="n">
        <v>0</v>
      </c>
      <c r="K840" t="n">
        <v>0</v>
      </c>
      <c r="L840" t="n">
        <v>0</v>
      </c>
      <c r="M840" t="n">
        <v>0</v>
      </c>
      <c r="N840" t="n">
        <v>0</v>
      </c>
      <c r="O840" t="n">
        <v>0</v>
      </c>
      <c r="P840" t="n">
        <v>0</v>
      </c>
      <c r="Q840" t="n">
        <v>0</v>
      </c>
      <c r="R840" s="2" t="inlineStr"/>
    </row>
    <row r="841" ht="15" customHeight="1">
      <c r="A841" t="inlineStr">
        <is>
          <t>A 61980-2024</t>
        </is>
      </c>
      <c r="B841" s="1" t="n">
        <v>45653.66269675926</v>
      </c>
      <c r="C841" s="1" t="n">
        <v>45986</v>
      </c>
      <c r="D841" t="inlineStr">
        <is>
          <t>JÄMTLANDS LÄN</t>
        </is>
      </c>
      <c r="E841" t="inlineStr">
        <is>
          <t>BERG</t>
        </is>
      </c>
      <c r="G841" t="n">
        <v>1.3</v>
      </c>
      <c r="H841" t="n">
        <v>0</v>
      </c>
      <c r="I841" t="n">
        <v>0</v>
      </c>
      <c r="J841" t="n">
        <v>0</v>
      </c>
      <c r="K841" t="n">
        <v>0</v>
      </c>
      <c r="L841" t="n">
        <v>0</v>
      </c>
      <c r="M841" t="n">
        <v>0</v>
      </c>
      <c r="N841" t="n">
        <v>0</v>
      </c>
      <c r="O841" t="n">
        <v>0</v>
      </c>
      <c r="P841" t="n">
        <v>0</v>
      </c>
      <c r="Q841" t="n">
        <v>0</v>
      </c>
      <c r="R841" s="2" t="inlineStr"/>
    </row>
    <row r="842" ht="15" customHeight="1">
      <c r="A842" t="inlineStr">
        <is>
          <t>A 18112-2024</t>
        </is>
      </c>
      <c r="B842" s="1" t="n">
        <v>45420.49851851852</v>
      </c>
      <c r="C842" s="1" t="n">
        <v>45986</v>
      </c>
      <c r="D842" t="inlineStr">
        <is>
          <t>JÄMTLANDS LÄN</t>
        </is>
      </c>
      <c r="E842" t="inlineStr">
        <is>
          <t>BERG</t>
        </is>
      </c>
      <c r="F842" t="inlineStr">
        <is>
          <t>Holmen skog AB</t>
        </is>
      </c>
      <c r="G842" t="n">
        <v>16.6</v>
      </c>
      <c r="H842" t="n">
        <v>0</v>
      </c>
      <c r="I842" t="n">
        <v>0</v>
      </c>
      <c r="J842" t="n">
        <v>0</v>
      </c>
      <c r="K842" t="n">
        <v>0</v>
      </c>
      <c r="L842" t="n">
        <v>0</v>
      </c>
      <c r="M842" t="n">
        <v>0</v>
      </c>
      <c r="N842" t="n">
        <v>0</v>
      </c>
      <c r="O842" t="n">
        <v>0</v>
      </c>
      <c r="P842" t="n">
        <v>0</v>
      </c>
      <c r="Q842" t="n">
        <v>0</v>
      </c>
      <c r="R842" s="2" t="inlineStr"/>
    </row>
    <row r="843" ht="15" customHeight="1">
      <c r="A843" t="inlineStr">
        <is>
          <t>A 13436-2024</t>
        </is>
      </c>
      <c r="B843" s="1" t="n">
        <v>45387.4865625</v>
      </c>
      <c r="C843" s="1" t="n">
        <v>45986</v>
      </c>
      <c r="D843" t="inlineStr">
        <is>
          <t>JÄMTLANDS LÄN</t>
        </is>
      </c>
      <c r="E843" t="inlineStr">
        <is>
          <t>BERG</t>
        </is>
      </c>
      <c r="G843" t="n">
        <v>28.9</v>
      </c>
      <c r="H843" t="n">
        <v>0</v>
      </c>
      <c r="I843" t="n">
        <v>0</v>
      </c>
      <c r="J843" t="n">
        <v>0</v>
      </c>
      <c r="K843" t="n">
        <v>0</v>
      </c>
      <c r="L843" t="n">
        <v>0</v>
      </c>
      <c r="M843" t="n">
        <v>0</v>
      </c>
      <c r="N843" t="n">
        <v>0</v>
      </c>
      <c r="O843" t="n">
        <v>0</v>
      </c>
      <c r="P843" t="n">
        <v>0</v>
      </c>
      <c r="Q843" t="n">
        <v>0</v>
      </c>
      <c r="R843" s="2" t="inlineStr"/>
    </row>
    <row r="844" ht="15" customHeight="1">
      <c r="A844" t="inlineStr">
        <is>
          <t>A 18153-2024</t>
        </is>
      </c>
      <c r="B844" s="1" t="n">
        <v>45420</v>
      </c>
      <c r="C844" s="1" t="n">
        <v>45986</v>
      </c>
      <c r="D844" t="inlineStr">
        <is>
          <t>JÄMTLANDS LÄN</t>
        </is>
      </c>
      <c r="E844" t="inlineStr">
        <is>
          <t>BERG</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46874-2023</t>
        </is>
      </c>
      <c r="B845" s="1" t="n">
        <v>45200</v>
      </c>
      <c r="C845" s="1" t="n">
        <v>45986</v>
      </c>
      <c r="D845" t="inlineStr">
        <is>
          <t>JÄMTLANDS LÄN</t>
        </is>
      </c>
      <c r="E845" t="inlineStr">
        <is>
          <t>BERG</t>
        </is>
      </c>
      <c r="F845" t="inlineStr">
        <is>
          <t>Naturvårdsverket</t>
        </is>
      </c>
      <c r="G845" t="n">
        <v>1.1</v>
      </c>
      <c r="H845" t="n">
        <v>0</v>
      </c>
      <c r="I845" t="n">
        <v>0</v>
      </c>
      <c r="J845" t="n">
        <v>0</v>
      </c>
      <c r="K845" t="n">
        <v>0</v>
      </c>
      <c r="L845" t="n">
        <v>0</v>
      </c>
      <c r="M845" t="n">
        <v>0</v>
      </c>
      <c r="N845" t="n">
        <v>0</v>
      </c>
      <c r="O845" t="n">
        <v>0</v>
      </c>
      <c r="P845" t="n">
        <v>0</v>
      </c>
      <c r="Q845" t="n">
        <v>0</v>
      </c>
      <c r="R845" s="2" t="inlineStr"/>
    </row>
    <row r="846" ht="15" customHeight="1">
      <c r="A846" t="inlineStr">
        <is>
          <t>A 47304-2023</t>
        </is>
      </c>
      <c r="B846" s="1" t="n">
        <v>45202.48180555556</v>
      </c>
      <c r="C846" s="1" t="n">
        <v>45986</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14697-2025</t>
        </is>
      </c>
      <c r="B847" s="1" t="n">
        <v>45742.59415509259</v>
      </c>
      <c r="C847" s="1" t="n">
        <v>45986</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54415-2023</t>
        </is>
      </c>
      <c r="B848" s="1" t="n">
        <v>45233.40039351852</v>
      </c>
      <c r="C848" s="1" t="n">
        <v>45986</v>
      </c>
      <c r="D848" t="inlineStr">
        <is>
          <t>JÄMTLANDS LÄN</t>
        </is>
      </c>
      <c r="E848" t="inlineStr">
        <is>
          <t>BERG</t>
        </is>
      </c>
      <c r="G848" t="n">
        <v>1.5</v>
      </c>
      <c r="H848" t="n">
        <v>0</v>
      </c>
      <c r="I848" t="n">
        <v>0</v>
      </c>
      <c r="J848" t="n">
        <v>0</v>
      </c>
      <c r="K848" t="n">
        <v>0</v>
      </c>
      <c r="L848" t="n">
        <v>0</v>
      </c>
      <c r="M848" t="n">
        <v>0</v>
      </c>
      <c r="N848" t="n">
        <v>0</v>
      </c>
      <c r="O848" t="n">
        <v>0</v>
      </c>
      <c r="P848" t="n">
        <v>0</v>
      </c>
      <c r="Q848" t="n">
        <v>0</v>
      </c>
      <c r="R848" s="2" t="inlineStr"/>
    </row>
    <row r="849" ht="15" customHeight="1">
      <c r="A849" t="inlineStr">
        <is>
          <t>A 24307-2023</t>
        </is>
      </c>
      <c r="B849" s="1" t="n">
        <v>45079.94229166667</v>
      </c>
      <c r="C849" s="1" t="n">
        <v>45986</v>
      </c>
      <c r="D849" t="inlineStr">
        <is>
          <t>JÄMTLANDS LÄN</t>
        </is>
      </c>
      <c r="E849" t="inlineStr">
        <is>
          <t>BERG</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40990-2022</t>
        </is>
      </c>
      <c r="B850" s="1" t="n">
        <v>44823</v>
      </c>
      <c r="C850" s="1" t="n">
        <v>45986</v>
      </c>
      <c r="D850" t="inlineStr">
        <is>
          <t>JÄMTLANDS LÄN</t>
        </is>
      </c>
      <c r="E850" t="inlineStr">
        <is>
          <t>BERG</t>
        </is>
      </c>
      <c r="G850" t="n">
        <v>11.7</v>
      </c>
      <c r="H850" t="n">
        <v>0</v>
      </c>
      <c r="I850" t="n">
        <v>0</v>
      </c>
      <c r="J850" t="n">
        <v>0</v>
      </c>
      <c r="K850" t="n">
        <v>0</v>
      </c>
      <c r="L850" t="n">
        <v>0</v>
      </c>
      <c r="M850" t="n">
        <v>0</v>
      </c>
      <c r="N850" t="n">
        <v>0</v>
      </c>
      <c r="O850" t="n">
        <v>0</v>
      </c>
      <c r="P850" t="n">
        <v>0</v>
      </c>
      <c r="Q850" t="n">
        <v>0</v>
      </c>
      <c r="R850" s="2" t="inlineStr"/>
    </row>
    <row r="851" ht="15" customHeight="1">
      <c r="A851" t="inlineStr">
        <is>
          <t>A 21521-2024</t>
        </is>
      </c>
      <c r="B851" s="1" t="n">
        <v>45441.58313657407</v>
      </c>
      <c r="C851" s="1" t="n">
        <v>45986</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54998-2023</t>
        </is>
      </c>
      <c r="B852" s="1" t="n">
        <v>45236</v>
      </c>
      <c r="C852" s="1" t="n">
        <v>45986</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32156-2024</t>
        </is>
      </c>
      <c r="B853" s="1" t="n">
        <v>45511</v>
      </c>
      <c r="C853" s="1" t="n">
        <v>45986</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23165-2024</t>
        </is>
      </c>
      <c r="B854" s="1" t="n">
        <v>45450</v>
      </c>
      <c r="C854" s="1" t="n">
        <v>45986</v>
      </c>
      <c r="D854" t="inlineStr">
        <is>
          <t>JÄMTLANDS LÄN</t>
        </is>
      </c>
      <c r="E854" t="inlineStr">
        <is>
          <t>BERG</t>
        </is>
      </c>
      <c r="G854" t="n">
        <v>1.3</v>
      </c>
      <c r="H854" t="n">
        <v>0</v>
      </c>
      <c r="I854" t="n">
        <v>0</v>
      </c>
      <c r="J854" t="n">
        <v>0</v>
      </c>
      <c r="K854" t="n">
        <v>0</v>
      </c>
      <c r="L854" t="n">
        <v>0</v>
      </c>
      <c r="M854" t="n">
        <v>0</v>
      </c>
      <c r="N854" t="n">
        <v>0</v>
      </c>
      <c r="O854" t="n">
        <v>0</v>
      </c>
      <c r="P854" t="n">
        <v>0</v>
      </c>
      <c r="Q854" t="n">
        <v>0</v>
      </c>
      <c r="R854" s="2" t="inlineStr"/>
    </row>
    <row r="855" ht="15" customHeight="1">
      <c r="A855" t="inlineStr">
        <is>
          <t>A 19345-2024</t>
        </is>
      </c>
      <c r="B855" s="1" t="n">
        <v>45428.97185185185</v>
      </c>
      <c r="C855" s="1" t="n">
        <v>45986</v>
      </c>
      <c r="D855" t="inlineStr">
        <is>
          <t>JÄMTLANDS LÄN</t>
        </is>
      </c>
      <c r="E855" t="inlineStr">
        <is>
          <t>BERG</t>
        </is>
      </c>
      <c r="F855" t="inlineStr">
        <is>
          <t>SCA</t>
        </is>
      </c>
      <c r="G855" t="n">
        <v>14.7</v>
      </c>
      <c r="H855" t="n">
        <v>0</v>
      </c>
      <c r="I855" t="n">
        <v>0</v>
      </c>
      <c r="J855" t="n">
        <v>0</v>
      </c>
      <c r="K855" t="n">
        <v>0</v>
      </c>
      <c r="L855" t="n">
        <v>0</v>
      </c>
      <c r="M855" t="n">
        <v>0</v>
      </c>
      <c r="N855" t="n">
        <v>0</v>
      </c>
      <c r="O855" t="n">
        <v>0</v>
      </c>
      <c r="P855" t="n">
        <v>0</v>
      </c>
      <c r="Q855" t="n">
        <v>0</v>
      </c>
      <c r="R855" s="2" t="inlineStr"/>
    </row>
    <row r="856" ht="15" customHeight="1">
      <c r="A856" t="inlineStr">
        <is>
          <t>A 53456-2022</t>
        </is>
      </c>
      <c r="B856" s="1" t="n">
        <v>44874</v>
      </c>
      <c r="C856" s="1" t="n">
        <v>45986</v>
      </c>
      <c r="D856" t="inlineStr">
        <is>
          <t>JÄMTLANDS LÄN</t>
        </is>
      </c>
      <c r="E856" t="inlineStr">
        <is>
          <t>BERG</t>
        </is>
      </c>
      <c r="G856" t="n">
        <v>13.3</v>
      </c>
      <c r="H856" t="n">
        <v>0</v>
      </c>
      <c r="I856" t="n">
        <v>0</v>
      </c>
      <c r="J856" t="n">
        <v>0</v>
      </c>
      <c r="K856" t="n">
        <v>0</v>
      </c>
      <c r="L856" t="n">
        <v>0</v>
      </c>
      <c r="M856" t="n">
        <v>0</v>
      </c>
      <c r="N856" t="n">
        <v>0</v>
      </c>
      <c r="O856" t="n">
        <v>0</v>
      </c>
      <c r="P856" t="n">
        <v>0</v>
      </c>
      <c r="Q856" t="n">
        <v>0</v>
      </c>
      <c r="R856" s="2" t="inlineStr"/>
    </row>
    <row r="857" ht="15" customHeight="1">
      <c r="A857" t="inlineStr">
        <is>
          <t>A 9252-2025</t>
        </is>
      </c>
      <c r="B857" s="1" t="n">
        <v>45714.59415509259</v>
      </c>
      <c r="C857" s="1" t="n">
        <v>45986</v>
      </c>
      <c r="D857" t="inlineStr">
        <is>
          <t>JÄMTLANDS LÄN</t>
        </is>
      </c>
      <c r="E857" t="inlineStr">
        <is>
          <t>BERG</t>
        </is>
      </c>
      <c r="F857" t="inlineStr">
        <is>
          <t>SCA</t>
        </is>
      </c>
      <c r="G857" t="n">
        <v>4.3</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45279.92739583334</v>
      </c>
      <c r="C858" s="1" t="n">
        <v>45986</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31330-2024</t>
        </is>
      </c>
      <c r="B859" s="1" t="n">
        <v>45504</v>
      </c>
      <c r="C859" s="1" t="n">
        <v>45986</v>
      </c>
      <c r="D859" t="inlineStr">
        <is>
          <t>JÄMTLANDS LÄN</t>
        </is>
      </c>
      <c r="E859" t="inlineStr">
        <is>
          <t>BERG</t>
        </is>
      </c>
      <c r="G859" t="n">
        <v>30.5</v>
      </c>
      <c r="H859" t="n">
        <v>0</v>
      </c>
      <c r="I859" t="n">
        <v>0</v>
      </c>
      <c r="J859" t="n">
        <v>0</v>
      </c>
      <c r="K859" t="n">
        <v>0</v>
      </c>
      <c r="L859" t="n">
        <v>0</v>
      </c>
      <c r="M859" t="n">
        <v>0</v>
      </c>
      <c r="N859" t="n">
        <v>0</v>
      </c>
      <c r="O859" t="n">
        <v>0</v>
      </c>
      <c r="P859" t="n">
        <v>0</v>
      </c>
      <c r="Q859" t="n">
        <v>0</v>
      </c>
      <c r="R859" s="2" t="inlineStr"/>
    </row>
    <row r="860" ht="15" customHeight="1">
      <c r="A860" t="inlineStr">
        <is>
          <t>A 60404-2023</t>
        </is>
      </c>
      <c r="B860" s="1" t="n">
        <v>45259.46332175926</v>
      </c>
      <c r="C860" s="1" t="n">
        <v>45986</v>
      </c>
      <c r="D860" t="inlineStr">
        <is>
          <t>JÄMTLANDS LÄN</t>
        </is>
      </c>
      <c r="E860" t="inlineStr">
        <is>
          <t>BERG</t>
        </is>
      </c>
      <c r="G860" t="n">
        <v>1.2</v>
      </c>
      <c r="H860" t="n">
        <v>0</v>
      </c>
      <c r="I860" t="n">
        <v>0</v>
      </c>
      <c r="J860" t="n">
        <v>0</v>
      </c>
      <c r="K860" t="n">
        <v>0</v>
      </c>
      <c r="L860" t="n">
        <v>0</v>
      </c>
      <c r="M860" t="n">
        <v>0</v>
      </c>
      <c r="N860" t="n">
        <v>0</v>
      </c>
      <c r="O860" t="n">
        <v>0</v>
      </c>
      <c r="P860" t="n">
        <v>0</v>
      </c>
      <c r="Q860" t="n">
        <v>0</v>
      </c>
      <c r="R860" s="2" t="inlineStr"/>
    </row>
    <row r="861" ht="15" customHeight="1">
      <c r="A861" t="inlineStr">
        <is>
          <t>A 39186-2024</t>
        </is>
      </c>
      <c r="B861" s="1" t="n">
        <v>45548.66489583333</v>
      </c>
      <c r="C861" s="1" t="n">
        <v>45986</v>
      </c>
      <c r="D861" t="inlineStr">
        <is>
          <t>JÄMTLANDS LÄN</t>
        </is>
      </c>
      <c r="E861" t="inlineStr">
        <is>
          <t>BERG</t>
        </is>
      </c>
      <c r="G861" t="n">
        <v>38.4</v>
      </c>
      <c r="H861" t="n">
        <v>0</v>
      </c>
      <c r="I861" t="n">
        <v>0</v>
      </c>
      <c r="J861" t="n">
        <v>0</v>
      </c>
      <c r="K861" t="n">
        <v>0</v>
      </c>
      <c r="L861" t="n">
        <v>0</v>
      </c>
      <c r="M861" t="n">
        <v>0</v>
      </c>
      <c r="N861" t="n">
        <v>0</v>
      </c>
      <c r="O861" t="n">
        <v>0</v>
      </c>
      <c r="P861" t="n">
        <v>0</v>
      </c>
      <c r="Q861" t="n">
        <v>0</v>
      </c>
      <c r="R861" s="2" t="inlineStr"/>
    </row>
    <row r="862" ht="15" customHeight="1">
      <c r="A862" t="inlineStr">
        <is>
          <t>A 50706-2023</t>
        </is>
      </c>
      <c r="B862" s="1" t="n">
        <v>45217.55832175926</v>
      </c>
      <c r="C862" s="1" t="n">
        <v>45986</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3625-2024</t>
        </is>
      </c>
      <c r="B863" s="1" t="n">
        <v>45320</v>
      </c>
      <c r="C863" s="1" t="n">
        <v>45986</v>
      </c>
      <c r="D863" t="inlineStr">
        <is>
          <t>JÄMTLANDS LÄN</t>
        </is>
      </c>
      <c r="E863" t="inlineStr">
        <is>
          <t>BERG</t>
        </is>
      </c>
      <c r="F863" t="inlineStr">
        <is>
          <t>SCA</t>
        </is>
      </c>
      <c r="G863" t="n">
        <v>23.7</v>
      </c>
      <c r="H863" t="n">
        <v>0</v>
      </c>
      <c r="I863" t="n">
        <v>0</v>
      </c>
      <c r="J863" t="n">
        <v>0</v>
      </c>
      <c r="K863" t="n">
        <v>0</v>
      </c>
      <c r="L863" t="n">
        <v>0</v>
      </c>
      <c r="M863" t="n">
        <v>0</v>
      </c>
      <c r="N863" t="n">
        <v>0</v>
      </c>
      <c r="O863" t="n">
        <v>0</v>
      </c>
      <c r="P863" t="n">
        <v>0</v>
      </c>
      <c r="Q863" t="n">
        <v>0</v>
      </c>
      <c r="R863" s="2" t="inlineStr"/>
    </row>
    <row r="864" ht="15" customHeight="1">
      <c r="A864" t="inlineStr">
        <is>
          <t>A 18408-2025</t>
        </is>
      </c>
      <c r="B864" s="1" t="n">
        <v>45762.61128472222</v>
      </c>
      <c r="C864" s="1" t="n">
        <v>45986</v>
      </c>
      <c r="D864" t="inlineStr">
        <is>
          <t>JÄMTLANDS LÄN</t>
        </is>
      </c>
      <c r="E864" t="inlineStr">
        <is>
          <t>BERG</t>
        </is>
      </c>
      <c r="G864" t="n">
        <v>5.1</v>
      </c>
      <c r="H864" t="n">
        <v>0</v>
      </c>
      <c r="I864" t="n">
        <v>0</v>
      </c>
      <c r="J864" t="n">
        <v>0</v>
      </c>
      <c r="K864" t="n">
        <v>0</v>
      </c>
      <c r="L864" t="n">
        <v>0</v>
      </c>
      <c r="M864" t="n">
        <v>0</v>
      </c>
      <c r="N864" t="n">
        <v>0</v>
      </c>
      <c r="O864" t="n">
        <v>0</v>
      </c>
      <c r="P864" t="n">
        <v>0</v>
      </c>
      <c r="Q864" t="n">
        <v>0</v>
      </c>
      <c r="R864" s="2" t="inlineStr"/>
    </row>
    <row r="865" ht="15" customHeight="1">
      <c r="A865" t="inlineStr">
        <is>
          <t>A 37086-2024</t>
        </is>
      </c>
      <c r="B865" s="1" t="n">
        <v>45539.49776620371</v>
      </c>
      <c r="C865" s="1" t="n">
        <v>45986</v>
      </c>
      <c r="D865" t="inlineStr">
        <is>
          <t>JÄMTLANDS LÄN</t>
        </is>
      </c>
      <c r="E865" t="inlineStr">
        <is>
          <t>BERG</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59968-2024</t>
        </is>
      </c>
      <c r="B866" s="1" t="n">
        <v>45642</v>
      </c>
      <c r="C866" s="1" t="n">
        <v>45986</v>
      </c>
      <c r="D866" t="inlineStr">
        <is>
          <t>JÄMTLANDS LÄN</t>
        </is>
      </c>
      <c r="E866" t="inlineStr">
        <is>
          <t>BERG</t>
        </is>
      </c>
      <c r="G866" t="n">
        <v>4.7</v>
      </c>
      <c r="H866" t="n">
        <v>0</v>
      </c>
      <c r="I866" t="n">
        <v>0</v>
      </c>
      <c r="J866" t="n">
        <v>0</v>
      </c>
      <c r="K866" t="n">
        <v>0</v>
      </c>
      <c r="L866" t="n">
        <v>0</v>
      </c>
      <c r="M866" t="n">
        <v>0</v>
      </c>
      <c r="N866" t="n">
        <v>0</v>
      </c>
      <c r="O866" t="n">
        <v>0</v>
      </c>
      <c r="P866" t="n">
        <v>0</v>
      </c>
      <c r="Q866" t="n">
        <v>0</v>
      </c>
      <c r="R866" s="2" t="inlineStr"/>
    </row>
    <row r="867" ht="15" customHeight="1">
      <c r="A867" t="inlineStr">
        <is>
          <t>A 22275-2022</t>
        </is>
      </c>
      <c r="B867" s="1" t="n">
        <v>44712</v>
      </c>
      <c r="C867" s="1" t="n">
        <v>45986</v>
      </c>
      <c r="D867" t="inlineStr">
        <is>
          <t>JÄMTLANDS LÄN</t>
        </is>
      </c>
      <c r="E867" t="inlineStr">
        <is>
          <t>BERG</t>
        </is>
      </c>
      <c r="G867" t="n">
        <v>2.1</v>
      </c>
      <c r="H867" t="n">
        <v>0</v>
      </c>
      <c r="I867" t="n">
        <v>0</v>
      </c>
      <c r="J867" t="n">
        <v>0</v>
      </c>
      <c r="K867" t="n">
        <v>0</v>
      </c>
      <c r="L867" t="n">
        <v>0</v>
      </c>
      <c r="M867" t="n">
        <v>0</v>
      </c>
      <c r="N867" t="n">
        <v>0</v>
      </c>
      <c r="O867" t="n">
        <v>0</v>
      </c>
      <c r="P867" t="n">
        <v>0</v>
      </c>
      <c r="Q867" t="n">
        <v>0</v>
      </c>
      <c r="R867" s="2" t="inlineStr"/>
    </row>
    <row r="868" ht="15" customHeight="1">
      <c r="A868" t="inlineStr">
        <is>
          <t>A 4561-2024</t>
        </is>
      </c>
      <c r="B868" s="1" t="n">
        <v>45327</v>
      </c>
      <c r="C868" s="1" t="n">
        <v>45986</v>
      </c>
      <c r="D868" t="inlineStr">
        <is>
          <t>JÄMTLANDS LÄN</t>
        </is>
      </c>
      <c r="E868" t="inlineStr">
        <is>
          <t>BERG</t>
        </is>
      </c>
      <c r="G868" t="n">
        <v>7.4</v>
      </c>
      <c r="H868" t="n">
        <v>0</v>
      </c>
      <c r="I868" t="n">
        <v>0</v>
      </c>
      <c r="J868" t="n">
        <v>0</v>
      </c>
      <c r="K868" t="n">
        <v>0</v>
      </c>
      <c r="L868" t="n">
        <v>0</v>
      </c>
      <c r="M868" t="n">
        <v>0</v>
      </c>
      <c r="N868" t="n">
        <v>0</v>
      </c>
      <c r="O868" t="n">
        <v>0</v>
      </c>
      <c r="P868" t="n">
        <v>0</v>
      </c>
      <c r="Q868" t="n">
        <v>0</v>
      </c>
      <c r="R868" s="2" t="inlineStr"/>
    </row>
    <row r="869" ht="15" customHeight="1">
      <c r="A869" t="inlineStr">
        <is>
          <t>A 14190-2023</t>
        </is>
      </c>
      <c r="B869" s="1" t="n">
        <v>45009.56106481481</v>
      </c>
      <c r="C869" s="1" t="n">
        <v>45986</v>
      </c>
      <c r="D869" t="inlineStr">
        <is>
          <t>JÄMTLANDS LÄN</t>
        </is>
      </c>
      <c r="E869" t="inlineStr">
        <is>
          <t>BERG</t>
        </is>
      </c>
      <c r="G869" t="n">
        <v>3.8</v>
      </c>
      <c r="H869" t="n">
        <v>0</v>
      </c>
      <c r="I869" t="n">
        <v>0</v>
      </c>
      <c r="J869" t="n">
        <v>0</v>
      </c>
      <c r="K869" t="n">
        <v>0</v>
      </c>
      <c r="L869" t="n">
        <v>0</v>
      </c>
      <c r="M869" t="n">
        <v>0</v>
      </c>
      <c r="N869" t="n">
        <v>0</v>
      </c>
      <c r="O869" t="n">
        <v>0</v>
      </c>
      <c r="P869" t="n">
        <v>0</v>
      </c>
      <c r="Q869" t="n">
        <v>0</v>
      </c>
      <c r="R869" s="2" t="inlineStr"/>
    </row>
    <row r="870" ht="15" customHeight="1">
      <c r="A870" t="inlineStr">
        <is>
          <t>A 31079-2024</t>
        </is>
      </c>
      <c r="B870" s="1" t="n">
        <v>45502.46423611111</v>
      </c>
      <c r="C870" s="1" t="n">
        <v>45986</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64487-2023</t>
        </is>
      </c>
      <c r="B871" s="1" t="n">
        <v>45280.92613425926</v>
      </c>
      <c r="C871" s="1" t="n">
        <v>45986</v>
      </c>
      <c r="D871" t="inlineStr">
        <is>
          <t>JÄMTLANDS LÄN</t>
        </is>
      </c>
      <c r="E871" t="inlineStr">
        <is>
          <t>BERG</t>
        </is>
      </c>
      <c r="F871" t="inlineStr">
        <is>
          <t>Övriga Aktiebolag</t>
        </is>
      </c>
      <c r="G871" t="n">
        <v>7.6</v>
      </c>
      <c r="H871" t="n">
        <v>0</v>
      </c>
      <c r="I871" t="n">
        <v>0</v>
      </c>
      <c r="J871" t="n">
        <v>0</v>
      </c>
      <c r="K871" t="n">
        <v>0</v>
      </c>
      <c r="L871" t="n">
        <v>0</v>
      </c>
      <c r="M871" t="n">
        <v>0</v>
      </c>
      <c r="N871" t="n">
        <v>0</v>
      </c>
      <c r="O871" t="n">
        <v>0</v>
      </c>
      <c r="P871" t="n">
        <v>0</v>
      </c>
      <c r="Q871" t="n">
        <v>0</v>
      </c>
      <c r="R871" s="2" t="inlineStr"/>
    </row>
    <row r="872" ht="15" customHeight="1">
      <c r="A872" t="inlineStr">
        <is>
          <t>A 64489-2023</t>
        </is>
      </c>
      <c r="B872" s="1" t="n">
        <v>45280</v>
      </c>
      <c r="C872" s="1" t="n">
        <v>45986</v>
      </c>
      <c r="D872" t="inlineStr">
        <is>
          <t>JÄMTLANDS LÄN</t>
        </is>
      </c>
      <c r="E872" t="inlineStr">
        <is>
          <t>BERG</t>
        </is>
      </c>
      <c r="F872" t="inlineStr">
        <is>
          <t>Övriga Aktiebolag</t>
        </is>
      </c>
      <c r="G872" t="n">
        <v>14.1</v>
      </c>
      <c r="H872" t="n">
        <v>0</v>
      </c>
      <c r="I872" t="n">
        <v>0</v>
      </c>
      <c r="J872" t="n">
        <v>0</v>
      </c>
      <c r="K872" t="n">
        <v>0</v>
      </c>
      <c r="L872" t="n">
        <v>0</v>
      </c>
      <c r="M872" t="n">
        <v>0</v>
      </c>
      <c r="N872" t="n">
        <v>0</v>
      </c>
      <c r="O872" t="n">
        <v>0</v>
      </c>
      <c r="P872" t="n">
        <v>0</v>
      </c>
      <c r="Q872" t="n">
        <v>0</v>
      </c>
      <c r="R872" s="2" t="inlineStr"/>
    </row>
    <row r="873" ht="15" customHeight="1">
      <c r="A873" t="inlineStr">
        <is>
          <t>A 39510-2023</t>
        </is>
      </c>
      <c r="B873" s="1" t="n">
        <v>45166</v>
      </c>
      <c r="C873" s="1" t="n">
        <v>45986</v>
      </c>
      <c r="D873" t="inlineStr">
        <is>
          <t>JÄMTLANDS LÄN</t>
        </is>
      </c>
      <c r="E873" t="inlineStr">
        <is>
          <t>BERG</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41636-2024</t>
        </is>
      </c>
      <c r="B874" s="1" t="n">
        <v>45560.61606481481</v>
      </c>
      <c r="C874" s="1" t="n">
        <v>45986</v>
      </c>
      <c r="D874" t="inlineStr">
        <is>
          <t>JÄMTLANDS LÄN</t>
        </is>
      </c>
      <c r="E874" t="inlineStr">
        <is>
          <t>BERG</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41634-2024</t>
        </is>
      </c>
      <c r="B875" s="1" t="n">
        <v>45560.61496527777</v>
      </c>
      <c r="C875" s="1" t="n">
        <v>45986</v>
      </c>
      <c r="D875" t="inlineStr">
        <is>
          <t>JÄMTLANDS LÄN</t>
        </is>
      </c>
      <c r="E875" t="inlineStr">
        <is>
          <t>BERG</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27395-2021</t>
        </is>
      </c>
      <c r="B876" s="1" t="n">
        <v>44350</v>
      </c>
      <c r="C876" s="1" t="n">
        <v>45986</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5219-2022</t>
        </is>
      </c>
      <c r="B877" s="1" t="n">
        <v>44594.48569444445</v>
      </c>
      <c r="C877" s="1" t="n">
        <v>45986</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14672-2025</t>
        </is>
      </c>
      <c r="B878" s="1" t="n">
        <v>45742.55269675926</v>
      </c>
      <c r="C878" s="1" t="n">
        <v>45986</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13149-2025</t>
        </is>
      </c>
      <c r="B879" s="1" t="n">
        <v>45735.34424768519</v>
      </c>
      <c r="C879" s="1" t="n">
        <v>45986</v>
      </c>
      <c r="D879" t="inlineStr">
        <is>
          <t>JÄMTLANDS LÄN</t>
        </is>
      </c>
      <c r="E879" t="inlineStr">
        <is>
          <t>BERG</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15013-2025</t>
        </is>
      </c>
      <c r="B880" s="1" t="n">
        <v>45743.62734953704</v>
      </c>
      <c r="C880" s="1" t="n">
        <v>45986</v>
      </c>
      <c r="D880" t="inlineStr">
        <is>
          <t>JÄMTLANDS LÄN</t>
        </is>
      </c>
      <c r="E880" t="inlineStr">
        <is>
          <t>BERG</t>
        </is>
      </c>
      <c r="G880" t="n">
        <v>4.6</v>
      </c>
      <c r="H880" t="n">
        <v>0</v>
      </c>
      <c r="I880" t="n">
        <v>0</v>
      </c>
      <c r="J880" t="n">
        <v>0</v>
      </c>
      <c r="K880" t="n">
        <v>0</v>
      </c>
      <c r="L880" t="n">
        <v>0</v>
      </c>
      <c r="M880" t="n">
        <v>0</v>
      </c>
      <c r="N880" t="n">
        <v>0</v>
      </c>
      <c r="O880" t="n">
        <v>0</v>
      </c>
      <c r="P880" t="n">
        <v>0</v>
      </c>
      <c r="Q880" t="n">
        <v>0</v>
      </c>
      <c r="R880" s="2" t="inlineStr"/>
    </row>
    <row r="881" ht="15" customHeight="1">
      <c r="A881" t="inlineStr">
        <is>
          <t>A 40824-2023</t>
        </is>
      </c>
      <c r="B881" s="1" t="n">
        <v>45171</v>
      </c>
      <c r="C881" s="1" t="n">
        <v>45986</v>
      </c>
      <c r="D881" t="inlineStr">
        <is>
          <t>JÄMTLANDS LÄN</t>
        </is>
      </c>
      <c r="E881" t="inlineStr">
        <is>
          <t>BERG</t>
        </is>
      </c>
      <c r="G881" t="n">
        <v>0.5</v>
      </c>
      <c r="H881" t="n">
        <v>0</v>
      </c>
      <c r="I881" t="n">
        <v>0</v>
      </c>
      <c r="J881" t="n">
        <v>0</v>
      </c>
      <c r="K881" t="n">
        <v>0</v>
      </c>
      <c r="L881" t="n">
        <v>0</v>
      </c>
      <c r="M881" t="n">
        <v>0</v>
      </c>
      <c r="N881" t="n">
        <v>0</v>
      </c>
      <c r="O881" t="n">
        <v>0</v>
      </c>
      <c r="P881" t="n">
        <v>0</v>
      </c>
      <c r="Q881" t="n">
        <v>0</v>
      </c>
      <c r="R881" s="2" t="inlineStr"/>
    </row>
    <row r="882" ht="15" customHeight="1">
      <c r="A882" t="inlineStr">
        <is>
          <t>A 35986-2023</t>
        </is>
      </c>
      <c r="B882" s="1" t="n">
        <v>45148</v>
      </c>
      <c r="C882" s="1" t="n">
        <v>45986</v>
      </c>
      <c r="D882" t="inlineStr">
        <is>
          <t>JÄMTLANDS LÄN</t>
        </is>
      </c>
      <c r="E882" t="inlineStr">
        <is>
          <t>BERG</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171-2022</t>
        </is>
      </c>
      <c r="B883" s="1" t="n">
        <v>44564</v>
      </c>
      <c r="C883" s="1" t="n">
        <v>45986</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2002-2022</t>
        </is>
      </c>
      <c r="B884" s="1" t="n">
        <v>44575</v>
      </c>
      <c r="C884" s="1" t="n">
        <v>45986</v>
      </c>
      <c r="D884" t="inlineStr">
        <is>
          <t>JÄMTLANDS LÄN</t>
        </is>
      </c>
      <c r="E884" t="inlineStr">
        <is>
          <t>BERG</t>
        </is>
      </c>
      <c r="G884" t="n">
        <v>11.3</v>
      </c>
      <c r="H884" t="n">
        <v>0</v>
      </c>
      <c r="I884" t="n">
        <v>0</v>
      </c>
      <c r="J884" t="n">
        <v>0</v>
      </c>
      <c r="K884" t="n">
        <v>0</v>
      </c>
      <c r="L884" t="n">
        <v>0</v>
      </c>
      <c r="M884" t="n">
        <v>0</v>
      </c>
      <c r="N884" t="n">
        <v>0</v>
      </c>
      <c r="O884" t="n">
        <v>0</v>
      </c>
      <c r="P884" t="n">
        <v>0</v>
      </c>
      <c r="Q884" t="n">
        <v>0</v>
      </c>
      <c r="R884" s="2" t="inlineStr"/>
    </row>
    <row r="885" ht="15" customHeight="1">
      <c r="A885" t="inlineStr">
        <is>
          <t>A 53883-2023</t>
        </is>
      </c>
      <c r="B885" s="1" t="n">
        <v>45231.5221875</v>
      </c>
      <c r="C885" s="1" t="n">
        <v>45986</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41875-2024</t>
        </is>
      </c>
      <c r="B886" s="1" t="n">
        <v>45561.47431712963</v>
      </c>
      <c r="C886" s="1" t="n">
        <v>45986</v>
      </c>
      <c r="D886" t="inlineStr">
        <is>
          <t>JÄMTLANDS LÄN</t>
        </is>
      </c>
      <c r="E886" t="inlineStr">
        <is>
          <t>BERG</t>
        </is>
      </c>
      <c r="G886" t="n">
        <v>1.3</v>
      </c>
      <c r="H886" t="n">
        <v>0</v>
      </c>
      <c r="I886" t="n">
        <v>0</v>
      </c>
      <c r="J886" t="n">
        <v>0</v>
      </c>
      <c r="K886" t="n">
        <v>0</v>
      </c>
      <c r="L886" t="n">
        <v>0</v>
      </c>
      <c r="M886" t="n">
        <v>0</v>
      </c>
      <c r="N886" t="n">
        <v>0</v>
      </c>
      <c r="O886" t="n">
        <v>0</v>
      </c>
      <c r="P886" t="n">
        <v>0</v>
      </c>
      <c r="Q886" t="n">
        <v>0</v>
      </c>
      <c r="R886" s="2" t="inlineStr"/>
    </row>
    <row r="887" ht="15" customHeight="1">
      <c r="A887" t="inlineStr">
        <is>
          <t>A 4246-2025</t>
        </is>
      </c>
      <c r="B887" s="1" t="n">
        <v>45685.59083333334</v>
      </c>
      <c r="C887" s="1" t="n">
        <v>45986</v>
      </c>
      <c r="D887" t="inlineStr">
        <is>
          <t>JÄMTLANDS LÄN</t>
        </is>
      </c>
      <c r="E887" t="inlineStr">
        <is>
          <t>BERG</t>
        </is>
      </c>
      <c r="G887" t="n">
        <v>2.4</v>
      </c>
      <c r="H887" t="n">
        <v>0</v>
      </c>
      <c r="I887" t="n">
        <v>0</v>
      </c>
      <c r="J887" t="n">
        <v>0</v>
      </c>
      <c r="K887" t="n">
        <v>0</v>
      </c>
      <c r="L887" t="n">
        <v>0</v>
      </c>
      <c r="M887" t="n">
        <v>0</v>
      </c>
      <c r="N887" t="n">
        <v>0</v>
      </c>
      <c r="O887" t="n">
        <v>0</v>
      </c>
      <c r="P887" t="n">
        <v>0</v>
      </c>
      <c r="Q887" t="n">
        <v>0</v>
      </c>
      <c r="R887" s="2" t="inlineStr"/>
    </row>
    <row r="888" ht="15" customHeight="1">
      <c r="A888" t="inlineStr">
        <is>
          <t>A 8251-2023</t>
        </is>
      </c>
      <c r="B888" s="1" t="n">
        <v>44974</v>
      </c>
      <c r="C888" s="1" t="n">
        <v>45986</v>
      </c>
      <c r="D888" t="inlineStr">
        <is>
          <t>JÄMTLANDS LÄN</t>
        </is>
      </c>
      <c r="E888" t="inlineStr">
        <is>
          <t>BERG</t>
        </is>
      </c>
      <c r="G888" t="n">
        <v>1.7</v>
      </c>
      <c r="H888" t="n">
        <v>0</v>
      </c>
      <c r="I888" t="n">
        <v>0</v>
      </c>
      <c r="J888" t="n">
        <v>0</v>
      </c>
      <c r="K888" t="n">
        <v>0</v>
      </c>
      <c r="L888" t="n">
        <v>0</v>
      </c>
      <c r="M888" t="n">
        <v>0</v>
      </c>
      <c r="N888" t="n">
        <v>0</v>
      </c>
      <c r="O888" t="n">
        <v>0</v>
      </c>
      <c r="P888" t="n">
        <v>0</v>
      </c>
      <c r="Q888" t="n">
        <v>0</v>
      </c>
      <c r="R888" s="2" t="inlineStr"/>
    </row>
    <row r="889" ht="15" customHeight="1">
      <c r="A889" t="inlineStr">
        <is>
          <t>A 16553-2025</t>
        </is>
      </c>
      <c r="B889" s="1" t="n">
        <v>45751.69967592593</v>
      </c>
      <c r="C889" s="1" t="n">
        <v>45986</v>
      </c>
      <c r="D889" t="inlineStr">
        <is>
          <t>JÄMTLANDS LÄN</t>
        </is>
      </c>
      <c r="E889" t="inlineStr">
        <is>
          <t>BERG</t>
        </is>
      </c>
      <c r="G889" t="n">
        <v>2</v>
      </c>
      <c r="H889" t="n">
        <v>0</v>
      </c>
      <c r="I889" t="n">
        <v>0</v>
      </c>
      <c r="J889" t="n">
        <v>0</v>
      </c>
      <c r="K889" t="n">
        <v>0</v>
      </c>
      <c r="L889" t="n">
        <v>0</v>
      </c>
      <c r="M889" t="n">
        <v>0</v>
      </c>
      <c r="N889" t="n">
        <v>0</v>
      </c>
      <c r="O889" t="n">
        <v>0</v>
      </c>
      <c r="P889" t="n">
        <v>0</v>
      </c>
      <c r="Q889" t="n">
        <v>0</v>
      </c>
      <c r="R889" s="2" t="inlineStr"/>
    </row>
    <row r="890" ht="15" customHeight="1">
      <c r="A890" t="inlineStr">
        <is>
          <t>A 45081-2022</t>
        </is>
      </c>
      <c r="B890" s="1" t="n">
        <v>44841</v>
      </c>
      <c r="C890" s="1" t="n">
        <v>45986</v>
      </c>
      <c r="D890" t="inlineStr">
        <is>
          <t>JÄMTLANDS LÄN</t>
        </is>
      </c>
      <c r="E890" t="inlineStr">
        <is>
          <t>BERG</t>
        </is>
      </c>
      <c r="F890" t="inlineStr">
        <is>
          <t>SCA</t>
        </is>
      </c>
      <c r="G890" t="n">
        <v>5.7</v>
      </c>
      <c r="H890" t="n">
        <v>0</v>
      </c>
      <c r="I890" t="n">
        <v>0</v>
      </c>
      <c r="J890" t="n">
        <v>0</v>
      </c>
      <c r="K890" t="n">
        <v>0</v>
      </c>
      <c r="L890" t="n">
        <v>0</v>
      </c>
      <c r="M890" t="n">
        <v>0</v>
      </c>
      <c r="N890" t="n">
        <v>0</v>
      </c>
      <c r="O890" t="n">
        <v>0</v>
      </c>
      <c r="P890" t="n">
        <v>0</v>
      </c>
      <c r="Q890" t="n">
        <v>0</v>
      </c>
      <c r="R890" s="2" t="inlineStr"/>
    </row>
    <row r="891" ht="15" customHeight="1">
      <c r="A891" t="inlineStr">
        <is>
          <t>A 47289-2023</t>
        </is>
      </c>
      <c r="B891" s="1" t="n">
        <v>45202.46581018518</v>
      </c>
      <c r="C891" s="1" t="n">
        <v>45986</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8388-2022</t>
        </is>
      </c>
      <c r="B892" s="1" t="n">
        <v>44610</v>
      </c>
      <c r="C892" s="1" t="n">
        <v>45986</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4522-2024</t>
        </is>
      </c>
      <c r="B893" s="1" t="n">
        <v>45327</v>
      </c>
      <c r="C893" s="1" t="n">
        <v>45986</v>
      </c>
      <c r="D893" t="inlineStr">
        <is>
          <t>JÄMTLANDS LÄN</t>
        </is>
      </c>
      <c r="E893" t="inlineStr">
        <is>
          <t>BERG</t>
        </is>
      </c>
      <c r="G893" t="n">
        <v>0.6</v>
      </c>
      <c r="H893" t="n">
        <v>0</v>
      </c>
      <c r="I893" t="n">
        <v>0</v>
      </c>
      <c r="J893" t="n">
        <v>0</v>
      </c>
      <c r="K893" t="n">
        <v>0</v>
      </c>
      <c r="L893" t="n">
        <v>0</v>
      </c>
      <c r="M893" t="n">
        <v>0</v>
      </c>
      <c r="N893" t="n">
        <v>0</v>
      </c>
      <c r="O893" t="n">
        <v>0</v>
      </c>
      <c r="P893" t="n">
        <v>0</v>
      </c>
      <c r="Q893" t="n">
        <v>0</v>
      </c>
      <c r="R893" s="2" t="inlineStr"/>
    </row>
    <row r="894" ht="15" customHeight="1">
      <c r="A894" t="inlineStr">
        <is>
          <t>A 11599-2025</t>
        </is>
      </c>
      <c r="B894" s="1" t="n">
        <v>45727.4261574074</v>
      </c>
      <c r="C894" s="1" t="n">
        <v>45986</v>
      </c>
      <c r="D894" t="inlineStr">
        <is>
          <t>JÄMTLANDS LÄN</t>
        </is>
      </c>
      <c r="E894" t="inlineStr">
        <is>
          <t>BERG</t>
        </is>
      </c>
      <c r="G894" t="n">
        <v>1.4</v>
      </c>
      <c r="H894" t="n">
        <v>0</v>
      </c>
      <c r="I894" t="n">
        <v>0</v>
      </c>
      <c r="J894" t="n">
        <v>0</v>
      </c>
      <c r="K894" t="n">
        <v>0</v>
      </c>
      <c r="L894" t="n">
        <v>0</v>
      </c>
      <c r="M894" t="n">
        <v>0</v>
      </c>
      <c r="N894" t="n">
        <v>0</v>
      </c>
      <c r="O894" t="n">
        <v>0</v>
      </c>
      <c r="P894" t="n">
        <v>0</v>
      </c>
      <c r="Q894" t="n">
        <v>0</v>
      </c>
      <c r="R894" s="2" t="inlineStr"/>
    </row>
    <row r="895" ht="15" customHeight="1">
      <c r="A895" t="inlineStr">
        <is>
          <t>A 48307-2024</t>
        </is>
      </c>
      <c r="B895" s="1" t="n">
        <v>45590.47684027778</v>
      </c>
      <c r="C895" s="1" t="n">
        <v>45986</v>
      </c>
      <c r="D895" t="inlineStr">
        <is>
          <t>JÄMTLANDS LÄN</t>
        </is>
      </c>
      <c r="E895" t="inlineStr">
        <is>
          <t>BERG</t>
        </is>
      </c>
      <c r="G895" t="n">
        <v>3.8</v>
      </c>
      <c r="H895" t="n">
        <v>0</v>
      </c>
      <c r="I895" t="n">
        <v>0</v>
      </c>
      <c r="J895" t="n">
        <v>0</v>
      </c>
      <c r="K895" t="n">
        <v>0</v>
      </c>
      <c r="L895" t="n">
        <v>0</v>
      </c>
      <c r="M895" t="n">
        <v>0</v>
      </c>
      <c r="N895" t="n">
        <v>0</v>
      </c>
      <c r="O895" t="n">
        <v>0</v>
      </c>
      <c r="P895" t="n">
        <v>0</v>
      </c>
      <c r="Q895" t="n">
        <v>0</v>
      </c>
      <c r="R895" s="2" t="inlineStr"/>
    </row>
    <row r="896" ht="15" customHeight="1">
      <c r="A896" t="inlineStr">
        <is>
          <t>A 61652-2024</t>
        </is>
      </c>
      <c r="B896" s="1" t="n">
        <v>45646.72293981481</v>
      </c>
      <c r="C896" s="1" t="n">
        <v>45986</v>
      </c>
      <c r="D896" t="inlineStr">
        <is>
          <t>JÄMTLANDS LÄN</t>
        </is>
      </c>
      <c r="E896" t="inlineStr">
        <is>
          <t>BERG</t>
        </is>
      </c>
      <c r="G896" t="n">
        <v>6.4</v>
      </c>
      <c r="H896" t="n">
        <v>0</v>
      </c>
      <c r="I896" t="n">
        <v>0</v>
      </c>
      <c r="J896" t="n">
        <v>0</v>
      </c>
      <c r="K896" t="n">
        <v>0</v>
      </c>
      <c r="L896" t="n">
        <v>0</v>
      </c>
      <c r="M896" t="n">
        <v>0</v>
      </c>
      <c r="N896" t="n">
        <v>0</v>
      </c>
      <c r="O896" t="n">
        <v>0</v>
      </c>
      <c r="P896" t="n">
        <v>0</v>
      </c>
      <c r="Q896" t="n">
        <v>0</v>
      </c>
      <c r="R896" s="2" t="inlineStr"/>
    </row>
    <row r="897" ht="15" customHeight="1">
      <c r="A897" t="inlineStr">
        <is>
          <t>A 48663-2023</t>
        </is>
      </c>
      <c r="B897" s="1" t="n">
        <v>45202</v>
      </c>
      <c r="C897" s="1" t="n">
        <v>45986</v>
      </c>
      <c r="D897" t="inlineStr">
        <is>
          <t>JÄMTLANDS LÄN</t>
        </is>
      </c>
      <c r="E897" t="inlineStr">
        <is>
          <t>BERG</t>
        </is>
      </c>
      <c r="G897" t="n">
        <v>1.6</v>
      </c>
      <c r="H897" t="n">
        <v>0</v>
      </c>
      <c r="I897" t="n">
        <v>0</v>
      </c>
      <c r="J897" t="n">
        <v>0</v>
      </c>
      <c r="K897" t="n">
        <v>0</v>
      </c>
      <c r="L897" t="n">
        <v>0</v>
      </c>
      <c r="M897" t="n">
        <v>0</v>
      </c>
      <c r="N897" t="n">
        <v>0</v>
      </c>
      <c r="O897" t="n">
        <v>0</v>
      </c>
      <c r="P897" t="n">
        <v>0</v>
      </c>
      <c r="Q897" t="n">
        <v>0</v>
      </c>
      <c r="R897" s="2" t="inlineStr"/>
    </row>
    <row r="898" ht="15" customHeight="1">
      <c r="A898" t="inlineStr">
        <is>
          <t>A 15785-2021</t>
        </is>
      </c>
      <c r="B898" s="1" t="n">
        <v>44286.58679398148</v>
      </c>
      <c r="C898" s="1" t="n">
        <v>45986</v>
      </c>
      <c r="D898" t="inlineStr">
        <is>
          <t>JÄMTLANDS LÄN</t>
        </is>
      </c>
      <c r="E898" t="inlineStr">
        <is>
          <t>BERG</t>
        </is>
      </c>
      <c r="G898" t="n">
        <v>3.2</v>
      </c>
      <c r="H898" t="n">
        <v>0</v>
      </c>
      <c r="I898" t="n">
        <v>0</v>
      </c>
      <c r="J898" t="n">
        <v>0</v>
      </c>
      <c r="K898" t="n">
        <v>0</v>
      </c>
      <c r="L898" t="n">
        <v>0</v>
      </c>
      <c r="M898" t="n">
        <v>0</v>
      </c>
      <c r="N898" t="n">
        <v>0</v>
      </c>
      <c r="O898" t="n">
        <v>0</v>
      </c>
      <c r="P898" t="n">
        <v>0</v>
      </c>
      <c r="Q898" t="n">
        <v>0</v>
      </c>
      <c r="R898" s="2" t="inlineStr"/>
    </row>
    <row r="899" ht="15" customHeight="1">
      <c r="A899" t="inlineStr">
        <is>
          <t>A 38-2024</t>
        </is>
      </c>
      <c r="B899" s="1" t="n">
        <v>45293</v>
      </c>
      <c r="C899" s="1" t="n">
        <v>45986</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43762-2023</t>
        </is>
      </c>
      <c r="B900" s="1" t="n">
        <v>45182</v>
      </c>
      <c r="C900" s="1" t="n">
        <v>45986</v>
      </c>
      <c r="D900" t="inlineStr">
        <is>
          <t>JÄMTLANDS LÄN</t>
        </is>
      </c>
      <c r="E900" t="inlineStr">
        <is>
          <t>BERG</t>
        </is>
      </c>
      <c r="G900" t="n">
        <v>6.4</v>
      </c>
      <c r="H900" t="n">
        <v>0</v>
      </c>
      <c r="I900" t="n">
        <v>0</v>
      </c>
      <c r="J900" t="n">
        <v>0</v>
      </c>
      <c r="K900" t="n">
        <v>0</v>
      </c>
      <c r="L900" t="n">
        <v>0</v>
      </c>
      <c r="M900" t="n">
        <v>0</v>
      </c>
      <c r="N900" t="n">
        <v>0</v>
      </c>
      <c r="O900" t="n">
        <v>0</v>
      </c>
      <c r="P900" t="n">
        <v>0</v>
      </c>
      <c r="Q900" t="n">
        <v>0</v>
      </c>
      <c r="R900" s="2" t="inlineStr"/>
    </row>
    <row r="901" ht="15" customHeight="1">
      <c r="A901" t="inlineStr">
        <is>
          <t>A 51039-2024</t>
        </is>
      </c>
      <c r="B901" s="1" t="n">
        <v>45603.43164351852</v>
      </c>
      <c r="C901" s="1" t="n">
        <v>45986</v>
      </c>
      <c r="D901" t="inlineStr">
        <is>
          <t>JÄMTLANDS LÄN</t>
        </is>
      </c>
      <c r="E901" t="inlineStr">
        <is>
          <t>BERG</t>
        </is>
      </c>
      <c r="G901" t="n">
        <v>14</v>
      </c>
      <c r="H901" t="n">
        <v>0</v>
      </c>
      <c r="I901" t="n">
        <v>0</v>
      </c>
      <c r="J901" t="n">
        <v>0</v>
      </c>
      <c r="K901" t="n">
        <v>0</v>
      </c>
      <c r="L901" t="n">
        <v>0</v>
      </c>
      <c r="M901" t="n">
        <v>0</v>
      </c>
      <c r="N901" t="n">
        <v>0</v>
      </c>
      <c r="O901" t="n">
        <v>0</v>
      </c>
      <c r="P901" t="n">
        <v>0</v>
      </c>
      <c r="Q901" t="n">
        <v>0</v>
      </c>
      <c r="R901" s="2" t="inlineStr"/>
    </row>
    <row r="902" ht="15" customHeight="1">
      <c r="A902" t="inlineStr">
        <is>
          <t>A 60076-2024</t>
        </is>
      </c>
      <c r="B902" s="1" t="n">
        <v>45642.53166666667</v>
      </c>
      <c r="C902" s="1" t="n">
        <v>45986</v>
      </c>
      <c r="D902" t="inlineStr">
        <is>
          <t>JÄMTLANDS LÄN</t>
        </is>
      </c>
      <c r="E902" t="inlineStr">
        <is>
          <t>BERG</t>
        </is>
      </c>
      <c r="G902" t="n">
        <v>1.1</v>
      </c>
      <c r="H902" t="n">
        <v>0</v>
      </c>
      <c r="I902" t="n">
        <v>0</v>
      </c>
      <c r="J902" t="n">
        <v>0</v>
      </c>
      <c r="K902" t="n">
        <v>0</v>
      </c>
      <c r="L902" t="n">
        <v>0</v>
      </c>
      <c r="M902" t="n">
        <v>0</v>
      </c>
      <c r="N902" t="n">
        <v>0</v>
      </c>
      <c r="O902" t="n">
        <v>0</v>
      </c>
      <c r="P902" t="n">
        <v>0</v>
      </c>
      <c r="Q902" t="n">
        <v>0</v>
      </c>
      <c r="R902" s="2" t="inlineStr"/>
    </row>
    <row r="903" ht="15" customHeight="1">
      <c r="A903" t="inlineStr">
        <is>
          <t>A 32711-2024</t>
        </is>
      </c>
      <c r="B903" s="1" t="n">
        <v>45516</v>
      </c>
      <c r="C903" s="1" t="n">
        <v>45986</v>
      </c>
      <c r="D903" t="inlineStr">
        <is>
          <t>JÄMTLANDS LÄN</t>
        </is>
      </c>
      <c r="E903" t="inlineStr">
        <is>
          <t>BERG</t>
        </is>
      </c>
      <c r="G903" t="n">
        <v>0</v>
      </c>
      <c r="H903" t="n">
        <v>0</v>
      </c>
      <c r="I903" t="n">
        <v>0</v>
      </c>
      <c r="J903" t="n">
        <v>0</v>
      </c>
      <c r="K903" t="n">
        <v>0</v>
      </c>
      <c r="L903" t="n">
        <v>0</v>
      </c>
      <c r="M903" t="n">
        <v>0</v>
      </c>
      <c r="N903" t="n">
        <v>0</v>
      </c>
      <c r="O903" t="n">
        <v>0</v>
      </c>
      <c r="P903" t="n">
        <v>0</v>
      </c>
      <c r="Q903" t="n">
        <v>0</v>
      </c>
      <c r="R903" s="2" t="inlineStr"/>
    </row>
    <row r="904" ht="15" customHeight="1">
      <c r="A904" t="inlineStr">
        <is>
          <t>A 15992-2025</t>
        </is>
      </c>
      <c r="B904" s="1" t="n">
        <v>45749.58319444444</v>
      </c>
      <c r="C904" s="1" t="n">
        <v>45986</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2472-2025</t>
        </is>
      </c>
      <c r="B905" s="1" t="n">
        <v>45674.47341435185</v>
      </c>
      <c r="C905" s="1" t="n">
        <v>45986</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8239-2024</t>
        </is>
      </c>
      <c r="B906" s="1" t="n">
        <v>45351</v>
      </c>
      <c r="C906" s="1" t="n">
        <v>45986</v>
      </c>
      <c r="D906" t="inlineStr">
        <is>
          <t>JÄMTLANDS LÄN</t>
        </is>
      </c>
      <c r="E906" t="inlineStr">
        <is>
          <t>BERG</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65207-2023</t>
        </is>
      </c>
      <c r="B907" s="1" t="n">
        <v>45289</v>
      </c>
      <c r="C907" s="1" t="n">
        <v>45986</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44313-2023</t>
        </is>
      </c>
      <c r="B908" s="1" t="n">
        <v>45188.6505787037</v>
      </c>
      <c r="C908" s="1" t="n">
        <v>45986</v>
      </c>
      <c r="D908" t="inlineStr">
        <is>
          <t>JÄMTLANDS LÄN</t>
        </is>
      </c>
      <c r="E908" t="inlineStr">
        <is>
          <t>BERG</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19181-2025</t>
        </is>
      </c>
      <c r="B909" s="1" t="n">
        <v>45769.40174768519</v>
      </c>
      <c r="C909" s="1" t="n">
        <v>45986</v>
      </c>
      <c r="D909" t="inlineStr">
        <is>
          <t>JÄMTLANDS LÄN</t>
        </is>
      </c>
      <c r="E909" t="inlineStr">
        <is>
          <t>BERG</t>
        </is>
      </c>
      <c r="G909" t="n">
        <v>4.4</v>
      </c>
      <c r="H909" t="n">
        <v>0</v>
      </c>
      <c r="I909" t="n">
        <v>0</v>
      </c>
      <c r="J909" t="n">
        <v>0</v>
      </c>
      <c r="K909" t="n">
        <v>0</v>
      </c>
      <c r="L909" t="n">
        <v>0</v>
      </c>
      <c r="M909" t="n">
        <v>0</v>
      </c>
      <c r="N909" t="n">
        <v>0</v>
      </c>
      <c r="O909" t="n">
        <v>0</v>
      </c>
      <c r="P909" t="n">
        <v>0</v>
      </c>
      <c r="Q909" t="n">
        <v>0</v>
      </c>
      <c r="R909" s="2" t="inlineStr"/>
    </row>
    <row r="910" ht="15" customHeight="1">
      <c r="A910" t="inlineStr">
        <is>
          <t>A 19891-2025</t>
        </is>
      </c>
      <c r="B910" s="1" t="n">
        <v>45771.5743287037</v>
      </c>
      <c r="C910" s="1" t="n">
        <v>45986</v>
      </c>
      <c r="D910" t="inlineStr">
        <is>
          <t>JÄMTLANDS LÄN</t>
        </is>
      </c>
      <c r="E910" t="inlineStr">
        <is>
          <t>BERG</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30917-2024</t>
        </is>
      </c>
      <c r="B911" s="1" t="n">
        <v>45498.66611111111</v>
      </c>
      <c r="C911" s="1" t="n">
        <v>45986</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14341-2025</t>
        </is>
      </c>
      <c r="B912" s="1" t="n">
        <v>45741.26008101852</v>
      </c>
      <c r="C912" s="1" t="n">
        <v>45986</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59634-2022</t>
        </is>
      </c>
      <c r="B913" s="1" t="n">
        <v>44907.9645949074</v>
      </c>
      <c r="C913" s="1" t="n">
        <v>45986</v>
      </c>
      <c r="D913" t="inlineStr">
        <is>
          <t>JÄMTLANDS LÄN</t>
        </is>
      </c>
      <c r="E913" t="inlineStr">
        <is>
          <t>BERG</t>
        </is>
      </c>
      <c r="G913" t="n">
        <v>1.2</v>
      </c>
      <c r="H913" t="n">
        <v>0</v>
      </c>
      <c r="I913" t="n">
        <v>0</v>
      </c>
      <c r="J913" t="n">
        <v>0</v>
      </c>
      <c r="K913" t="n">
        <v>0</v>
      </c>
      <c r="L913" t="n">
        <v>0</v>
      </c>
      <c r="M913" t="n">
        <v>0</v>
      </c>
      <c r="N913" t="n">
        <v>0</v>
      </c>
      <c r="O913" t="n">
        <v>0</v>
      </c>
      <c r="P913" t="n">
        <v>0</v>
      </c>
      <c r="Q913" t="n">
        <v>0</v>
      </c>
      <c r="R913" s="2" t="inlineStr"/>
    </row>
    <row r="914" ht="15" customHeight="1">
      <c r="A914" t="inlineStr">
        <is>
          <t>A 46816-2023</t>
        </is>
      </c>
      <c r="B914" s="1" t="n">
        <v>45198</v>
      </c>
      <c r="C914" s="1" t="n">
        <v>45986</v>
      </c>
      <c r="D914" t="inlineStr">
        <is>
          <t>JÄMTLANDS LÄN</t>
        </is>
      </c>
      <c r="E914" t="inlineStr">
        <is>
          <t>BERG</t>
        </is>
      </c>
      <c r="F914" t="inlineStr">
        <is>
          <t>SCA</t>
        </is>
      </c>
      <c r="G914" t="n">
        <v>66.2</v>
      </c>
      <c r="H914" t="n">
        <v>0</v>
      </c>
      <c r="I914" t="n">
        <v>0</v>
      </c>
      <c r="J914" t="n">
        <v>0</v>
      </c>
      <c r="K914" t="n">
        <v>0</v>
      </c>
      <c r="L914" t="n">
        <v>0</v>
      </c>
      <c r="M914" t="n">
        <v>0</v>
      </c>
      <c r="N914" t="n">
        <v>0</v>
      </c>
      <c r="O914" t="n">
        <v>0</v>
      </c>
      <c r="P914" t="n">
        <v>0</v>
      </c>
      <c r="Q914" t="n">
        <v>0</v>
      </c>
      <c r="R914" s="2" t="inlineStr"/>
    </row>
    <row r="915" ht="15" customHeight="1">
      <c r="A915" t="inlineStr">
        <is>
          <t>A 49555-2023</t>
        </is>
      </c>
      <c r="B915" s="1" t="n">
        <v>45205</v>
      </c>
      <c r="C915" s="1" t="n">
        <v>45986</v>
      </c>
      <c r="D915" t="inlineStr">
        <is>
          <t>JÄMTLANDS LÄN</t>
        </is>
      </c>
      <c r="E915" t="inlineStr">
        <is>
          <t>BERG</t>
        </is>
      </c>
      <c r="G915" t="n">
        <v>0.6</v>
      </c>
      <c r="H915" t="n">
        <v>0</v>
      </c>
      <c r="I915" t="n">
        <v>0</v>
      </c>
      <c r="J915" t="n">
        <v>0</v>
      </c>
      <c r="K915" t="n">
        <v>0</v>
      </c>
      <c r="L915" t="n">
        <v>0</v>
      </c>
      <c r="M915" t="n">
        <v>0</v>
      </c>
      <c r="N915" t="n">
        <v>0</v>
      </c>
      <c r="O915" t="n">
        <v>0</v>
      </c>
      <c r="P915" t="n">
        <v>0</v>
      </c>
      <c r="Q915" t="n">
        <v>0</v>
      </c>
      <c r="R915" s="2" t="inlineStr"/>
    </row>
    <row r="916" ht="15" customHeight="1">
      <c r="A916" t="inlineStr">
        <is>
          <t>A 59521-2024</t>
        </is>
      </c>
      <c r="B916" s="1" t="n">
        <v>45638.57283564815</v>
      </c>
      <c r="C916" s="1" t="n">
        <v>45986</v>
      </c>
      <c r="D916" t="inlineStr">
        <is>
          <t>JÄMTLANDS LÄN</t>
        </is>
      </c>
      <c r="E916" t="inlineStr">
        <is>
          <t>BERG</t>
        </is>
      </c>
      <c r="G916" t="n">
        <v>2.1</v>
      </c>
      <c r="H916" t="n">
        <v>0</v>
      </c>
      <c r="I916" t="n">
        <v>0</v>
      </c>
      <c r="J916" t="n">
        <v>0</v>
      </c>
      <c r="K916" t="n">
        <v>0</v>
      </c>
      <c r="L916" t="n">
        <v>0</v>
      </c>
      <c r="M916" t="n">
        <v>0</v>
      </c>
      <c r="N916" t="n">
        <v>0</v>
      </c>
      <c r="O916" t="n">
        <v>0</v>
      </c>
      <c r="P916" t="n">
        <v>0</v>
      </c>
      <c r="Q916" t="n">
        <v>0</v>
      </c>
      <c r="R916" s="2" t="inlineStr"/>
    </row>
    <row r="917" ht="15" customHeight="1">
      <c r="A917" t="inlineStr">
        <is>
          <t>A 19513-2025</t>
        </is>
      </c>
      <c r="B917" s="1" t="n">
        <v>45770.42762731481</v>
      </c>
      <c r="C917" s="1" t="n">
        <v>45986</v>
      </c>
      <c r="D917" t="inlineStr">
        <is>
          <t>JÄMTLANDS LÄN</t>
        </is>
      </c>
      <c r="E917" t="inlineStr">
        <is>
          <t>BERG</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9478-2024</t>
        </is>
      </c>
      <c r="B918" s="1" t="n">
        <v>45359.5732175926</v>
      </c>
      <c r="C918" s="1" t="n">
        <v>45986</v>
      </c>
      <c r="D918" t="inlineStr">
        <is>
          <t>JÄMTLANDS LÄN</t>
        </is>
      </c>
      <c r="E918" t="inlineStr">
        <is>
          <t>BERG</t>
        </is>
      </c>
      <c r="G918" t="n">
        <v>6.2</v>
      </c>
      <c r="H918" t="n">
        <v>0</v>
      </c>
      <c r="I918" t="n">
        <v>0</v>
      </c>
      <c r="J918" t="n">
        <v>0</v>
      </c>
      <c r="K918" t="n">
        <v>0</v>
      </c>
      <c r="L918" t="n">
        <v>0</v>
      </c>
      <c r="M918" t="n">
        <v>0</v>
      </c>
      <c r="N918" t="n">
        <v>0</v>
      </c>
      <c r="O918" t="n">
        <v>0</v>
      </c>
      <c r="P918" t="n">
        <v>0</v>
      </c>
      <c r="Q918" t="n">
        <v>0</v>
      </c>
      <c r="R918" s="2" t="inlineStr"/>
    </row>
    <row r="919" ht="15" customHeight="1">
      <c r="A919" t="inlineStr">
        <is>
          <t>A 21156-2025</t>
        </is>
      </c>
      <c r="B919" s="1" t="n">
        <v>45779.37599537037</v>
      </c>
      <c r="C919" s="1" t="n">
        <v>45986</v>
      </c>
      <c r="D919" t="inlineStr">
        <is>
          <t>JÄMTLANDS LÄN</t>
        </is>
      </c>
      <c r="E919" t="inlineStr">
        <is>
          <t>BERG</t>
        </is>
      </c>
      <c r="F919" t="inlineStr">
        <is>
          <t>Holmen skog AB</t>
        </is>
      </c>
      <c r="G919" t="n">
        <v>5.2</v>
      </c>
      <c r="H919" t="n">
        <v>0</v>
      </c>
      <c r="I919" t="n">
        <v>0</v>
      </c>
      <c r="J919" t="n">
        <v>0</v>
      </c>
      <c r="K919" t="n">
        <v>0</v>
      </c>
      <c r="L919" t="n">
        <v>0</v>
      </c>
      <c r="M919" t="n">
        <v>0</v>
      </c>
      <c r="N919" t="n">
        <v>0</v>
      </c>
      <c r="O919" t="n">
        <v>0</v>
      </c>
      <c r="P919" t="n">
        <v>0</v>
      </c>
      <c r="Q919" t="n">
        <v>0</v>
      </c>
      <c r="R919" s="2" t="inlineStr"/>
    </row>
    <row r="920" ht="15" customHeight="1">
      <c r="A920" t="inlineStr">
        <is>
          <t>A 21472-2025</t>
        </is>
      </c>
      <c r="B920" s="1" t="n">
        <v>45782.59024305556</v>
      </c>
      <c r="C920" s="1" t="n">
        <v>45986</v>
      </c>
      <c r="D920" t="inlineStr">
        <is>
          <t>JÄMTLANDS LÄN</t>
        </is>
      </c>
      <c r="E920" t="inlineStr">
        <is>
          <t>BERG</t>
        </is>
      </c>
      <c r="G920" t="n">
        <v>21.9</v>
      </c>
      <c r="H920" t="n">
        <v>0</v>
      </c>
      <c r="I920" t="n">
        <v>0</v>
      </c>
      <c r="J920" t="n">
        <v>0</v>
      </c>
      <c r="K920" t="n">
        <v>0</v>
      </c>
      <c r="L920" t="n">
        <v>0</v>
      </c>
      <c r="M920" t="n">
        <v>0</v>
      </c>
      <c r="N920" t="n">
        <v>0</v>
      </c>
      <c r="O920" t="n">
        <v>0</v>
      </c>
      <c r="P920" t="n">
        <v>0</v>
      </c>
      <c r="Q920" t="n">
        <v>0</v>
      </c>
      <c r="R920" s="2" t="inlineStr"/>
    </row>
    <row r="921" ht="15" customHeight="1">
      <c r="A921" t="inlineStr">
        <is>
          <t>A 21292-2025</t>
        </is>
      </c>
      <c r="B921" s="1" t="n">
        <v>45780.39354166666</v>
      </c>
      <c r="C921" s="1" t="n">
        <v>45986</v>
      </c>
      <c r="D921" t="inlineStr">
        <is>
          <t>JÄMTLANDS LÄN</t>
        </is>
      </c>
      <c r="E921" t="inlineStr">
        <is>
          <t>BERG</t>
        </is>
      </c>
      <c r="G921" t="n">
        <v>1.6</v>
      </c>
      <c r="H921" t="n">
        <v>0</v>
      </c>
      <c r="I921" t="n">
        <v>0</v>
      </c>
      <c r="J921" t="n">
        <v>0</v>
      </c>
      <c r="K921" t="n">
        <v>0</v>
      </c>
      <c r="L921" t="n">
        <v>0</v>
      </c>
      <c r="M921" t="n">
        <v>0</v>
      </c>
      <c r="N921" t="n">
        <v>0</v>
      </c>
      <c r="O921" t="n">
        <v>0</v>
      </c>
      <c r="P921" t="n">
        <v>0</v>
      </c>
      <c r="Q921" t="n">
        <v>0</v>
      </c>
      <c r="R921" s="2" t="inlineStr"/>
    </row>
    <row r="922">
      <c r="A922" t="inlineStr">
        <is>
          <t>A 32020-2023</t>
        </is>
      </c>
      <c r="B922" s="1" t="n">
        <v>45119.49261574074</v>
      </c>
      <c r="C922" s="1" t="n">
        <v>45986</v>
      </c>
      <c r="D922" t="inlineStr">
        <is>
          <t>JÄMTLANDS LÄN</t>
        </is>
      </c>
      <c r="E922" t="inlineStr">
        <is>
          <t>BERG</t>
        </is>
      </c>
      <c r="G922" t="n">
        <v>10.3</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2025-11-25T10:20:56Z</dcterms:created>
  <dcterms:modified xmlns:dcterms="http://purl.org/dc/terms/" xmlns:xsi="http://www.w3.org/2001/XMLSchema-instance" xsi:type="dcterms:W3CDTF">2025-11-25T10:20:57Z</dcterms:modified>
</cp:coreProperties>
</file>