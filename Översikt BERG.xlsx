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45787</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45787</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45787</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45787</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45787</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45787</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45787</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45787</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45787</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45787</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45787</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45787</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45787</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45787</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45787</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45787</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45787</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45787</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45787</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45787</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45787</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45787</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45787</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45787</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45787</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45787</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45787</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45787</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45787</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45787</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45787</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45787</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45787</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45787</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45787</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45787</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45787</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45787</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45787</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45787</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45787</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45787</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45787</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45787</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45787</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45787</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45787</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45787</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45787</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45787</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45787</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45787</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45787</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45787</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45787</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45787</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45787</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45787</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45787</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45787</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45787</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45787</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45787</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45787</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45787</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45787</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45787</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45787</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45787</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45787</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12973-2024</t>
        </is>
      </c>
      <c r="B77" s="1" t="n">
        <v>45385</v>
      </c>
      <c r="C77" s="1" t="n">
        <v>45787</v>
      </c>
      <c r="D77" t="inlineStr">
        <is>
          <t>JÄMTLANDS LÄN</t>
        </is>
      </c>
      <c r="E77" t="inlineStr">
        <is>
          <t>BERG</t>
        </is>
      </c>
      <c r="G77" t="n">
        <v>1.9</v>
      </c>
      <c r="H77" t="n">
        <v>1</v>
      </c>
      <c r="I77" t="n">
        <v>0</v>
      </c>
      <c r="J77" t="n">
        <v>4</v>
      </c>
      <c r="K77" t="n">
        <v>1</v>
      </c>
      <c r="L77" t="n">
        <v>0</v>
      </c>
      <c r="M77" t="n">
        <v>0</v>
      </c>
      <c r="N77" t="n">
        <v>0</v>
      </c>
      <c r="O77" t="n">
        <v>5</v>
      </c>
      <c r="P77" t="n">
        <v>1</v>
      </c>
      <c r="Q77" t="n">
        <v>5</v>
      </c>
      <c r="R77" s="2" t="inlineStr">
        <is>
          <t>Doftticka
Leptoporus mollis
Lunglav
Rosa skärelav
Ullticka</t>
        </is>
      </c>
      <c r="S77">
        <f>HYPERLINK("https://klasma.github.io/Logging_2326/artfynd/A 12973-2024 artfynd.xlsx", "A 12973-2024")</f>
        <v/>
      </c>
      <c r="T77">
        <f>HYPERLINK("https://klasma.github.io/Logging_2326/kartor/A 12973-2024 karta.png", "A 12973-2024")</f>
        <v/>
      </c>
      <c r="V77">
        <f>HYPERLINK("https://klasma.github.io/Logging_2326/klagomål/A 12973-2024 FSC-klagomål.docx", "A 12973-2024")</f>
        <v/>
      </c>
      <c r="W77">
        <f>HYPERLINK("https://klasma.github.io/Logging_2326/klagomålsmail/A 12973-2024 FSC-klagomål mail.docx", "A 12973-2024")</f>
        <v/>
      </c>
      <c r="X77">
        <f>HYPERLINK("https://klasma.github.io/Logging_2326/tillsyn/A 12973-2024 tillsynsbegäran.docx", "A 12973-2024")</f>
        <v/>
      </c>
      <c r="Y77">
        <f>HYPERLINK("https://klasma.github.io/Logging_2326/tillsynsmail/A 12973-2024 tillsynsbegäran mail.docx", "A 12973-2024")</f>
        <v/>
      </c>
    </row>
    <row r="78" ht="15" customHeight="1">
      <c r="A78" t="inlineStr">
        <is>
          <t>A 24204-2024</t>
        </is>
      </c>
      <c r="B78" s="1" t="n">
        <v>45456</v>
      </c>
      <c r="C78" s="1" t="n">
        <v>45787</v>
      </c>
      <c r="D78" t="inlineStr">
        <is>
          <t>JÄMTLANDS LÄN</t>
        </is>
      </c>
      <c r="E78" t="inlineStr">
        <is>
          <t>BERG</t>
        </is>
      </c>
      <c r="G78" t="n">
        <v>6.9</v>
      </c>
      <c r="H78" t="n">
        <v>5</v>
      </c>
      <c r="I78" t="n">
        <v>0</v>
      </c>
      <c r="J78" t="n">
        <v>5</v>
      </c>
      <c r="K78" t="n">
        <v>0</v>
      </c>
      <c r="L78" t="n">
        <v>0</v>
      </c>
      <c r="M78" t="n">
        <v>0</v>
      </c>
      <c r="N78" t="n">
        <v>0</v>
      </c>
      <c r="O78" t="n">
        <v>5</v>
      </c>
      <c r="P78" t="n">
        <v>0</v>
      </c>
      <c r="Q78" t="n">
        <v>5</v>
      </c>
      <c r="R78" s="2" t="inlineStr">
        <is>
          <t>Drillsnäppa
Fjällvråk
Svartvit flugsnappare
Talltita
Tretåig hackspett</t>
        </is>
      </c>
      <c r="S78">
        <f>HYPERLINK("https://klasma.github.io/Logging_2326/artfynd/A 24204-2024 artfynd.xlsx", "A 24204-2024")</f>
        <v/>
      </c>
      <c r="T78">
        <f>HYPERLINK("https://klasma.github.io/Logging_2326/kartor/A 24204-2024 karta.png", "A 24204-2024")</f>
        <v/>
      </c>
      <c r="V78">
        <f>HYPERLINK("https://klasma.github.io/Logging_2326/klagomål/A 24204-2024 FSC-klagomål.docx", "A 24204-2024")</f>
        <v/>
      </c>
      <c r="W78">
        <f>HYPERLINK("https://klasma.github.io/Logging_2326/klagomålsmail/A 24204-2024 FSC-klagomål mail.docx", "A 24204-2024")</f>
        <v/>
      </c>
      <c r="X78">
        <f>HYPERLINK("https://klasma.github.io/Logging_2326/tillsyn/A 24204-2024 tillsynsbegäran.docx", "A 24204-2024")</f>
        <v/>
      </c>
      <c r="Y78">
        <f>HYPERLINK("https://klasma.github.io/Logging_2326/tillsynsmail/A 24204-2024 tillsynsbegäran mail.docx", "A 24204-2024")</f>
        <v/>
      </c>
      <c r="Z78">
        <f>HYPERLINK("https://klasma.github.io/Logging_2326/fåglar/A 24204-2024 prioriterade fågelarter.docx", "A 24204-2024")</f>
        <v/>
      </c>
    </row>
    <row r="79" ht="15" customHeight="1">
      <c r="A79" t="inlineStr">
        <is>
          <t>A 26853-2024</t>
        </is>
      </c>
      <c r="B79" s="1" t="n">
        <v>45470</v>
      </c>
      <c r="C79" s="1" t="n">
        <v>45787</v>
      </c>
      <c r="D79" t="inlineStr">
        <is>
          <t>JÄMTLANDS LÄN</t>
        </is>
      </c>
      <c r="E79" t="inlineStr">
        <is>
          <t>BERG</t>
        </is>
      </c>
      <c r="G79" t="n">
        <v>25.9</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HYPERLINK("https://klasma.github.io/Logging_2326/artfynd/A 26853-2024 artfynd.xlsx", "A 26853-2024")</f>
        <v/>
      </c>
      <c r="T79">
        <f>HYPERLINK("https://klasma.github.io/Logging_2326/kartor/A 26853-2024 karta.png", "A 26853-2024")</f>
        <v/>
      </c>
      <c r="V79">
        <f>HYPERLINK("https://klasma.github.io/Logging_2326/klagomål/A 26853-2024 FSC-klagomål.docx", "A 26853-2024")</f>
        <v/>
      </c>
      <c r="W79">
        <f>HYPERLINK("https://klasma.github.io/Logging_2326/klagomålsmail/A 26853-2024 FSC-klagomål mail.docx", "A 26853-2024")</f>
        <v/>
      </c>
      <c r="X79">
        <f>HYPERLINK("https://klasma.github.io/Logging_2326/tillsyn/A 26853-2024 tillsynsbegäran.docx", "A 26853-2024")</f>
        <v/>
      </c>
      <c r="Y79">
        <f>HYPERLINK("https://klasma.github.io/Logging_2326/tillsynsmail/A 26853-2024 tillsynsbegäran mail.docx", "A 26853-2024")</f>
        <v/>
      </c>
      <c r="Z79">
        <f>HYPERLINK("https://klasma.github.io/Logging_2326/fåglar/A 26853-2024 prioriterade fågelarter.docx", "A 26853-2024")</f>
        <v/>
      </c>
    </row>
    <row r="80" ht="15" customHeight="1">
      <c r="A80" t="inlineStr">
        <is>
          <t>A 28770-2024</t>
        </is>
      </c>
      <c r="B80" s="1" t="n">
        <v>45478</v>
      </c>
      <c r="C80" s="1" t="n">
        <v>45787</v>
      </c>
      <c r="D80" t="inlineStr">
        <is>
          <t>JÄMTLANDS LÄN</t>
        </is>
      </c>
      <c r="E80" t="inlineStr">
        <is>
          <t>BERG</t>
        </is>
      </c>
      <c r="G80" t="n">
        <v>19.5</v>
      </c>
      <c r="H80" t="n">
        <v>0</v>
      </c>
      <c r="I80" t="n">
        <v>0</v>
      </c>
      <c r="J80" t="n">
        <v>5</v>
      </c>
      <c r="K80" t="n">
        <v>0</v>
      </c>
      <c r="L80" t="n">
        <v>0</v>
      </c>
      <c r="M80" t="n">
        <v>0</v>
      </c>
      <c r="N80" t="n">
        <v>0</v>
      </c>
      <c r="O80" t="n">
        <v>5</v>
      </c>
      <c r="P80" t="n">
        <v>0</v>
      </c>
      <c r="Q80" t="n">
        <v>5</v>
      </c>
      <c r="R80" s="2" t="inlineStr">
        <is>
          <t>Blågrå svartspik
Dvärgbägarlav
Lunglav
Mörk kolflarnlav
Vedskivlav</t>
        </is>
      </c>
      <c r="S80">
        <f>HYPERLINK("https://klasma.github.io/Logging_2326/artfynd/A 28770-2024 artfynd.xlsx", "A 28770-2024")</f>
        <v/>
      </c>
      <c r="T80">
        <f>HYPERLINK("https://klasma.github.io/Logging_2326/kartor/A 28770-2024 karta.png", "A 28770-2024")</f>
        <v/>
      </c>
      <c r="V80">
        <f>HYPERLINK("https://klasma.github.io/Logging_2326/klagomål/A 28770-2024 FSC-klagomål.docx", "A 28770-2024")</f>
        <v/>
      </c>
      <c r="W80">
        <f>HYPERLINK("https://klasma.github.io/Logging_2326/klagomålsmail/A 28770-2024 FSC-klagomål mail.docx", "A 28770-2024")</f>
        <v/>
      </c>
      <c r="X80">
        <f>HYPERLINK("https://klasma.github.io/Logging_2326/tillsyn/A 28770-2024 tillsynsbegäran.docx", "A 28770-2024")</f>
        <v/>
      </c>
      <c r="Y80">
        <f>HYPERLINK("https://klasma.github.io/Logging_2326/tillsynsmail/A 28770-2024 tillsynsbegäran mail.docx", "A 28770-2024")</f>
        <v/>
      </c>
    </row>
    <row r="81" ht="15" customHeight="1">
      <c r="A81" t="inlineStr">
        <is>
          <t>A 49019-2024</t>
        </is>
      </c>
      <c r="B81" s="1" t="n">
        <v>45594</v>
      </c>
      <c r="C81" s="1" t="n">
        <v>45787</v>
      </c>
      <c r="D81" t="inlineStr">
        <is>
          <t>JÄMTLANDS LÄN</t>
        </is>
      </c>
      <c r="E81" t="inlineStr">
        <is>
          <t>BERG</t>
        </is>
      </c>
      <c r="G81" t="n">
        <v>11.6</v>
      </c>
      <c r="H81" t="n">
        <v>1</v>
      </c>
      <c r="I81" t="n">
        <v>0</v>
      </c>
      <c r="J81" t="n">
        <v>3</v>
      </c>
      <c r="K81" t="n">
        <v>2</v>
      </c>
      <c r="L81" t="n">
        <v>0</v>
      </c>
      <c r="M81" t="n">
        <v>0</v>
      </c>
      <c r="N81" t="n">
        <v>0</v>
      </c>
      <c r="O81" t="n">
        <v>5</v>
      </c>
      <c r="P81" t="n">
        <v>2</v>
      </c>
      <c r="Q81" t="n">
        <v>5</v>
      </c>
      <c r="R81" s="2" t="inlineStr">
        <is>
          <t>Knärot
Rynkskinn
Blanksvart spiklav
Granticka
Vedflamlav</t>
        </is>
      </c>
      <c r="S81">
        <f>HYPERLINK("https://klasma.github.io/Logging_2326/artfynd/A 49019-2024 artfynd.xlsx", "A 49019-2024")</f>
        <v/>
      </c>
      <c r="T81">
        <f>HYPERLINK("https://klasma.github.io/Logging_2326/kartor/A 49019-2024 karta.png", "A 49019-2024")</f>
        <v/>
      </c>
      <c r="U81">
        <f>HYPERLINK("https://klasma.github.io/Logging_2326/knärot/A 49019-2024 karta knärot.png", "A 49019-2024")</f>
        <v/>
      </c>
      <c r="V81">
        <f>HYPERLINK("https://klasma.github.io/Logging_2326/klagomål/A 49019-2024 FSC-klagomål.docx", "A 49019-2024")</f>
        <v/>
      </c>
      <c r="W81">
        <f>HYPERLINK("https://klasma.github.io/Logging_2326/klagomålsmail/A 49019-2024 FSC-klagomål mail.docx", "A 49019-2024")</f>
        <v/>
      </c>
      <c r="X81">
        <f>HYPERLINK("https://klasma.github.io/Logging_2326/tillsyn/A 49019-2024 tillsynsbegäran.docx", "A 49019-2024")</f>
        <v/>
      </c>
      <c r="Y81">
        <f>HYPERLINK("https://klasma.github.io/Logging_2326/tillsynsmail/A 49019-2024 tillsynsbegäran mail.docx", "A 49019-2024")</f>
        <v/>
      </c>
    </row>
    <row r="82" ht="15" customHeight="1">
      <c r="A82" t="inlineStr">
        <is>
          <t>A 16051-2025</t>
        </is>
      </c>
      <c r="B82" s="1" t="n">
        <v>45749</v>
      </c>
      <c r="C82" s="1" t="n">
        <v>45787</v>
      </c>
      <c r="D82" t="inlineStr">
        <is>
          <t>JÄMTLANDS LÄN</t>
        </is>
      </c>
      <c r="E82" t="inlineStr">
        <is>
          <t>BERG</t>
        </is>
      </c>
      <c r="G82" t="n">
        <v>4.8</v>
      </c>
      <c r="H82" t="n">
        <v>0</v>
      </c>
      <c r="I82" t="n">
        <v>0</v>
      </c>
      <c r="J82" t="n">
        <v>3</v>
      </c>
      <c r="K82" t="n">
        <v>2</v>
      </c>
      <c r="L82" t="n">
        <v>0</v>
      </c>
      <c r="M82" t="n">
        <v>0</v>
      </c>
      <c r="N82" t="n">
        <v>0</v>
      </c>
      <c r="O82" t="n">
        <v>5</v>
      </c>
      <c r="P82" t="n">
        <v>2</v>
      </c>
      <c r="Q82" t="n">
        <v>5</v>
      </c>
      <c r="R82" s="2" t="inlineStr">
        <is>
          <t>Gräddticka
Rynkskinn
Granticka
Rosenticka
Ullticka</t>
        </is>
      </c>
      <c r="S82">
        <f>HYPERLINK("https://klasma.github.io/Logging_232326/artfynd/A 16051-2025 artfynd.xlsx", "A 16051-2025")</f>
        <v/>
      </c>
      <c r="T82">
        <f>HYPERLINK("https://klasma.github.io/Logging_232326/kartor/A 16051-2025 karta.png", "A 16051-2025")</f>
        <v/>
      </c>
      <c r="V82">
        <f>HYPERLINK("https://klasma.github.io/Logging_232326/klagomål/A 16051-2025 FSC-klagomål.docx", "A 16051-2025")</f>
        <v/>
      </c>
      <c r="W82">
        <f>HYPERLINK("https://klasma.github.io/Logging_232326/klagomålsmail/A 16051-2025 FSC-klagomål mail.docx", "A 16051-2025")</f>
        <v/>
      </c>
      <c r="X82">
        <f>HYPERLINK("https://klasma.github.io/Logging_232326/tillsyn/A 16051-2025 tillsynsbegäran.docx", "A 16051-2025")</f>
        <v/>
      </c>
      <c r="Y82">
        <f>HYPERLINK("https://klasma.github.io/Logging_232326/tillsynsmail/A 16051-2025 tillsynsbegäran mail.docx", "A 16051-2025")</f>
        <v/>
      </c>
    </row>
    <row r="83" ht="15" customHeight="1">
      <c r="A83" t="inlineStr">
        <is>
          <t>A 20337-2025</t>
        </is>
      </c>
      <c r="B83" s="1" t="n">
        <v>45775</v>
      </c>
      <c r="C83" s="1" t="n">
        <v>45787</v>
      </c>
      <c r="D83" t="inlineStr">
        <is>
          <t>JÄMTLANDS LÄN</t>
        </is>
      </c>
      <c r="E83" t="inlineStr">
        <is>
          <t>BERG</t>
        </is>
      </c>
      <c r="F83" t="inlineStr">
        <is>
          <t>SCA</t>
        </is>
      </c>
      <c r="G83" t="n">
        <v>13.8</v>
      </c>
      <c r="H83" t="n">
        <v>0</v>
      </c>
      <c r="I83" t="n">
        <v>0</v>
      </c>
      <c r="J83" t="n">
        <v>3</v>
      </c>
      <c r="K83" t="n">
        <v>2</v>
      </c>
      <c r="L83" t="n">
        <v>0</v>
      </c>
      <c r="M83" t="n">
        <v>0</v>
      </c>
      <c r="N83" t="n">
        <v>0</v>
      </c>
      <c r="O83" t="n">
        <v>5</v>
      </c>
      <c r="P83" t="n">
        <v>2</v>
      </c>
      <c r="Q83" t="n">
        <v>5</v>
      </c>
      <c r="R83" s="2" t="inlineStr">
        <is>
          <t>Gräddporing
Tajgataggsvamp
Dvärgbägarlav
Nordtagging
Vaddporing</t>
        </is>
      </c>
      <c r="S83">
        <f>HYPERLINK("https://klasma.github.io/Logging_232326/artfynd/A 20337-2025 artfynd.xlsx", "A 20337-2025")</f>
        <v/>
      </c>
      <c r="T83">
        <f>HYPERLINK("https://klasma.github.io/Logging_232326/kartor/A 20337-2025 karta.png", "A 20337-2025")</f>
        <v/>
      </c>
      <c r="V83">
        <f>HYPERLINK("https://klasma.github.io/Logging_232326/klagomål/A 20337-2025 FSC-klagomål.docx", "A 20337-2025")</f>
        <v/>
      </c>
      <c r="W83">
        <f>HYPERLINK("https://klasma.github.io/Logging_232326/klagomålsmail/A 20337-2025 FSC-klagomål mail.docx", "A 20337-2025")</f>
        <v/>
      </c>
      <c r="X83">
        <f>HYPERLINK("https://klasma.github.io/Logging_232326/tillsyn/A 20337-2025 tillsynsbegäran.docx", "A 20337-2025")</f>
        <v/>
      </c>
      <c r="Y83">
        <f>HYPERLINK("https://klasma.github.io/Logging_232326/tillsynsmail/A 20337-2025 tillsynsbegäran mail.docx", "A 20337-2025")</f>
        <v/>
      </c>
    </row>
    <row r="84" ht="15" customHeight="1">
      <c r="A84" t="inlineStr">
        <is>
          <t>A 20526-2020</t>
        </is>
      </c>
      <c r="B84" s="1" t="n">
        <v>43948</v>
      </c>
      <c r="C84" s="1" t="n">
        <v>45787</v>
      </c>
      <c r="D84" t="inlineStr">
        <is>
          <t>JÄMTLANDS LÄN</t>
        </is>
      </c>
      <c r="E84" t="inlineStr">
        <is>
          <t>BERG</t>
        </is>
      </c>
      <c r="G84" t="n">
        <v>1</v>
      </c>
      <c r="H84" t="n">
        <v>0</v>
      </c>
      <c r="I84" t="n">
        <v>0</v>
      </c>
      <c r="J84" t="n">
        <v>3</v>
      </c>
      <c r="K84" t="n">
        <v>0</v>
      </c>
      <c r="L84" t="n">
        <v>1</v>
      </c>
      <c r="M84" t="n">
        <v>0</v>
      </c>
      <c r="N84" t="n">
        <v>0</v>
      </c>
      <c r="O84" t="n">
        <v>4</v>
      </c>
      <c r="P84" t="n">
        <v>1</v>
      </c>
      <c r="Q84" t="n">
        <v>4</v>
      </c>
      <c r="R84" s="2" t="inlineStr">
        <is>
          <t>Grynlav
Olivbrun gytterlav
Skrovellav
Ullticka</t>
        </is>
      </c>
      <c r="S84">
        <f>HYPERLINK("https://klasma.github.io/Logging_2326/artfynd/A 20526-2020 artfynd.xlsx", "A 20526-2020")</f>
        <v/>
      </c>
      <c r="T84">
        <f>HYPERLINK("https://klasma.github.io/Logging_2326/kartor/A 20526-2020 karta.png", "A 20526-2020")</f>
        <v/>
      </c>
      <c r="V84">
        <f>HYPERLINK("https://klasma.github.io/Logging_2326/klagomål/A 20526-2020 FSC-klagomål.docx", "A 20526-2020")</f>
        <v/>
      </c>
      <c r="W84">
        <f>HYPERLINK("https://klasma.github.io/Logging_2326/klagomålsmail/A 20526-2020 FSC-klagomål mail.docx", "A 20526-2020")</f>
        <v/>
      </c>
      <c r="X84">
        <f>HYPERLINK("https://klasma.github.io/Logging_2326/tillsyn/A 20526-2020 tillsynsbegäran.docx", "A 20526-2020")</f>
        <v/>
      </c>
      <c r="Y84">
        <f>HYPERLINK("https://klasma.github.io/Logging_2326/tillsynsmail/A 20526-2020 tillsynsbegäran mail.docx", "A 20526-2020")</f>
        <v/>
      </c>
    </row>
    <row r="85" ht="15" customHeight="1">
      <c r="A85" t="inlineStr">
        <is>
          <t>A 32743-2020</t>
        </is>
      </c>
      <c r="B85" s="1" t="n">
        <v>44019</v>
      </c>
      <c r="C85" s="1" t="n">
        <v>45787</v>
      </c>
      <c r="D85" t="inlineStr">
        <is>
          <t>JÄMTLANDS LÄN</t>
        </is>
      </c>
      <c r="E85" t="inlineStr">
        <is>
          <t>BERG</t>
        </is>
      </c>
      <c r="F85" t="inlineStr">
        <is>
          <t>SCA</t>
        </is>
      </c>
      <c r="G85" t="n">
        <v>2.1</v>
      </c>
      <c r="H85" t="n">
        <v>0</v>
      </c>
      <c r="I85" t="n">
        <v>1</v>
      </c>
      <c r="J85" t="n">
        <v>3</v>
      </c>
      <c r="K85" t="n">
        <v>0</v>
      </c>
      <c r="L85" t="n">
        <v>0</v>
      </c>
      <c r="M85" t="n">
        <v>0</v>
      </c>
      <c r="N85" t="n">
        <v>0</v>
      </c>
      <c r="O85" t="n">
        <v>3</v>
      </c>
      <c r="P85" t="n">
        <v>0</v>
      </c>
      <c r="Q85" t="n">
        <v>4</v>
      </c>
      <c r="R85" s="2" t="inlineStr">
        <is>
          <t>Garnlav
Rosenticka
Skrovellav
Barkkornlav</t>
        </is>
      </c>
      <c r="S85">
        <f>HYPERLINK("https://klasma.github.io/Logging_2326/artfynd/A 32743-2020 artfynd.xlsx", "A 32743-2020")</f>
        <v/>
      </c>
      <c r="T85">
        <f>HYPERLINK("https://klasma.github.io/Logging_2326/kartor/A 32743-2020 karta.png", "A 32743-2020")</f>
        <v/>
      </c>
      <c r="V85">
        <f>HYPERLINK("https://klasma.github.io/Logging_2326/klagomål/A 32743-2020 FSC-klagomål.docx", "A 32743-2020")</f>
        <v/>
      </c>
      <c r="W85">
        <f>HYPERLINK("https://klasma.github.io/Logging_2326/klagomålsmail/A 32743-2020 FSC-klagomål mail.docx", "A 32743-2020")</f>
        <v/>
      </c>
      <c r="X85">
        <f>HYPERLINK("https://klasma.github.io/Logging_2326/tillsyn/A 32743-2020 tillsynsbegäran.docx", "A 32743-2020")</f>
        <v/>
      </c>
      <c r="Y85">
        <f>HYPERLINK("https://klasma.github.io/Logging_2326/tillsynsmail/A 32743-2020 tillsynsbegäran mail.docx", "A 32743-2020")</f>
        <v/>
      </c>
    </row>
    <row r="86" ht="15" customHeight="1">
      <c r="A86" t="inlineStr">
        <is>
          <t>A 36669-2020</t>
        </is>
      </c>
      <c r="B86" s="1" t="n">
        <v>44050</v>
      </c>
      <c r="C86" s="1" t="n">
        <v>45787</v>
      </c>
      <c r="D86" t="inlineStr">
        <is>
          <t>JÄMTLANDS LÄN</t>
        </is>
      </c>
      <c r="E86" t="inlineStr">
        <is>
          <t>BERG</t>
        </is>
      </c>
      <c r="F86" t="inlineStr">
        <is>
          <t>SCA</t>
        </is>
      </c>
      <c r="G86" t="n">
        <v>2.7</v>
      </c>
      <c r="H86" t="n">
        <v>0</v>
      </c>
      <c r="I86" t="n">
        <v>0</v>
      </c>
      <c r="J86" t="n">
        <v>4</v>
      </c>
      <c r="K86" t="n">
        <v>0</v>
      </c>
      <c r="L86" t="n">
        <v>0</v>
      </c>
      <c r="M86" t="n">
        <v>0</v>
      </c>
      <c r="N86" t="n">
        <v>0</v>
      </c>
      <c r="O86" t="n">
        <v>4</v>
      </c>
      <c r="P86" t="n">
        <v>0</v>
      </c>
      <c r="Q86" t="n">
        <v>4</v>
      </c>
      <c r="R86" s="2" t="inlineStr">
        <is>
          <t>Gammelgransskål
Garnlav
Harticka
Skrovellav</t>
        </is>
      </c>
      <c r="S86">
        <f>HYPERLINK("https://klasma.github.io/Logging_2326/artfynd/A 36669-2020 artfynd.xlsx", "A 36669-2020")</f>
        <v/>
      </c>
      <c r="T86">
        <f>HYPERLINK("https://klasma.github.io/Logging_2326/kartor/A 36669-2020 karta.png", "A 36669-2020")</f>
        <v/>
      </c>
      <c r="V86">
        <f>HYPERLINK("https://klasma.github.io/Logging_2326/klagomål/A 36669-2020 FSC-klagomål.docx", "A 36669-2020")</f>
        <v/>
      </c>
      <c r="W86">
        <f>HYPERLINK("https://klasma.github.io/Logging_2326/klagomålsmail/A 36669-2020 FSC-klagomål mail.docx", "A 36669-2020")</f>
        <v/>
      </c>
      <c r="X86">
        <f>HYPERLINK("https://klasma.github.io/Logging_2326/tillsyn/A 36669-2020 tillsynsbegäran.docx", "A 36669-2020")</f>
        <v/>
      </c>
      <c r="Y86">
        <f>HYPERLINK("https://klasma.github.io/Logging_2326/tillsynsmail/A 36669-2020 tillsynsbegäran mail.docx", "A 36669-2020")</f>
        <v/>
      </c>
    </row>
    <row r="87" ht="15" customHeight="1">
      <c r="A87" t="inlineStr">
        <is>
          <t>A 41872-2020</t>
        </is>
      </c>
      <c r="B87" s="1" t="n">
        <v>44074</v>
      </c>
      <c r="C87" s="1" t="n">
        <v>45787</v>
      </c>
      <c r="D87" t="inlineStr">
        <is>
          <t>JÄMTLANDS LÄN</t>
        </is>
      </c>
      <c r="E87" t="inlineStr">
        <is>
          <t>BERG</t>
        </is>
      </c>
      <c r="F87" t="inlineStr">
        <is>
          <t>SCA</t>
        </is>
      </c>
      <c r="G87" t="n">
        <v>4.9</v>
      </c>
      <c r="H87" t="n">
        <v>0</v>
      </c>
      <c r="I87" t="n">
        <v>1</v>
      </c>
      <c r="J87" t="n">
        <v>3</v>
      </c>
      <c r="K87" t="n">
        <v>0</v>
      </c>
      <c r="L87" t="n">
        <v>0</v>
      </c>
      <c r="M87" t="n">
        <v>0</v>
      </c>
      <c r="N87" t="n">
        <v>0</v>
      </c>
      <c r="O87" t="n">
        <v>3</v>
      </c>
      <c r="P87" t="n">
        <v>0</v>
      </c>
      <c r="Q87" t="n">
        <v>4</v>
      </c>
      <c r="R87" s="2" t="inlineStr">
        <is>
          <t>Garnlav
Lunglav
Vedskivlav
Dropptaggsvamp</t>
        </is>
      </c>
      <c r="S87">
        <f>HYPERLINK("https://klasma.github.io/Logging_2326/artfynd/A 41872-2020 artfynd.xlsx", "A 41872-2020")</f>
        <v/>
      </c>
      <c r="T87">
        <f>HYPERLINK("https://klasma.github.io/Logging_2326/kartor/A 41872-2020 karta.png", "A 41872-2020")</f>
        <v/>
      </c>
      <c r="V87">
        <f>HYPERLINK("https://klasma.github.io/Logging_2326/klagomål/A 41872-2020 FSC-klagomål.docx", "A 41872-2020")</f>
        <v/>
      </c>
      <c r="W87">
        <f>HYPERLINK("https://klasma.github.io/Logging_2326/klagomålsmail/A 41872-2020 FSC-klagomål mail.docx", "A 41872-2020")</f>
        <v/>
      </c>
      <c r="X87">
        <f>HYPERLINK("https://klasma.github.io/Logging_2326/tillsyn/A 41872-2020 tillsynsbegäran.docx", "A 41872-2020")</f>
        <v/>
      </c>
      <c r="Y87">
        <f>HYPERLINK("https://klasma.github.io/Logging_2326/tillsynsmail/A 41872-2020 tillsynsbegäran mail.docx", "A 41872-2020")</f>
        <v/>
      </c>
    </row>
    <row r="88" ht="15" customHeight="1">
      <c r="A88" t="inlineStr">
        <is>
          <t>A 54979-2021</t>
        </is>
      </c>
      <c r="B88" s="1" t="n">
        <v>44474</v>
      </c>
      <c r="C88" s="1" t="n">
        <v>45787</v>
      </c>
      <c r="D88" t="inlineStr">
        <is>
          <t>JÄMTLANDS LÄN</t>
        </is>
      </c>
      <c r="E88" t="inlineStr">
        <is>
          <t>BERG</t>
        </is>
      </c>
      <c r="G88" t="n">
        <v>13.5</v>
      </c>
      <c r="H88" t="n">
        <v>0</v>
      </c>
      <c r="I88" t="n">
        <v>1</v>
      </c>
      <c r="J88" t="n">
        <v>3</v>
      </c>
      <c r="K88" t="n">
        <v>0</v>
      </c>
      <c r="L88" t="n">
        <v>0</v>
      </c>
      <c r="M88" t="n">
        <v>0</v>
      </c>
      <c r="N88" t="n">
        <v>0</v>
      </c>
      <c r="O88" t="n">
        <v>3</v>
      </c>
      <c r="P88" t="n">
        <v>0</v>
      </c>
      <c r="Q88" t="n">
        <v>4</v>
      </c>
      <c r="R88" s="2" t="inlineStr">
        <is>
          <t>Garnlav
Lunglav
Skrovellav
Luddlav</t>
        </is>
      </c>
      <c r="S88">
        <f>HYPERLINK("https://klasma.github.io/Logging_2326/artfynd/A 54979-2021 artfynd.xlsx", "A 54979-2021")</f>
        <v/>
      </c>
      <c r="T88">
        <f>HYPERLINK("https://klasma.github.io/Logging_2326/kartor/A 54979-2021 karta.png", "A 54979-2021")</f>
        <v/>
      </c>
      <c r="V88">
        <f>HYPERLINK("https://klasma.github.io/Logging_2326/klagomål/A 54979-2021 FSC-klagomål.docx", "A 54979-2021")</f>
        <v/>
      </c>
      <c r="W88">
        <f>HYPERLINK("https://klasma.github.io/Logging_2326/klagomålsmail/A 54979-2021 FSC-klagomål mail.docx", "A 54979-2021")</f>
        <v/>
      </c>
      <c r="X88">
        <f>HYPERLINK("https://klasma.github.io/Logging_2326/tillsyn/A 54979-2021 tillsynsbegäran.docx", "A 54979-2021")</f>
        <v/>
      </c>
      <c r="Y88">
        <f>HYPERLINK("https://klasma.github.io/Logging_2326/tillsynsmail/A 54979-2021 tillsynsbegäran mail.docx", "A 54979-2021")</f>
        <v/>
      </c>
    </row>
    <row r="89" ht="15" customHeight="1">
      <c r="A89" t="inlineStr">
        <is>
          <t>A 7891-2022</t>
        </is>
      </c>
      <c r="B89" s="1" t="n">
        <v>44607</v>
      </c>
      <c r="C89" s="1" t="n">
        <v>45787</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22333-2022</t>
        </is>
      </c>
      <c r="B90" s="1" t="n">
        <v>44712</v>
      </c>
      <c r="C90" s="1" t="n">
        <v>45787</v>
      </c>
      <c r="D90" t="inlineStr">
        <is>
          <t>JÄMTLANDS LÄN</t>
        </is>
      </c>
      <c r="E90" t="inlineStr">
        <is>
          <t>BERG</t>
        </is>
      </c>
      <c r="F90" t="inlineStr">
        <is>
          <t>SCA</t>
        </is>
      </c>
      <c r="G90" t="n">
        <v>5.5</v>
      </c>
      <c r="H90" t="n">
        <v>1</v>
      </c>
      <c r="I90" t="n">
        <v>0</v>
      </c>
      <c r="J90" t="n">
        <v>3</v>
      </c>
      <c r="K90" t="n">
        <v>1</v>
      </c>
      <c r="L90" t="n">
        <v>0</v>
      </c>
      <c r="M90" t="n">
        <v>0</v>
      </c>
      <c r="N90" t="n">
        <v>0</v>
      </c>
      <c r="O90" t="n">
        <v>4</v>
      </c>
      <c r="P90" t="n">
        <v>1</v>
      </c>
      <c r="Q90" t="n">
        <v>4</v>
      </c>
      <c r="R90" s="2" t="inlineStr">
        <is>
          <t>Knärot
Gränsticka
Rosenticka
Ullticka</t>
        </is>
      </c>
      <c r="S90">
        <f>HYPERLINK("https://klasma.github.io/Logging_2326/artfynd/A 22333-2022 artfynd.xlsx", "A 22333-2022")</f>
        <v/>
      </c>
      <c r="T90">
        <f>HYPERLINK("https://klasma.github.io/Logging_2326/kartor/A 22333-2022 karta.png", "A 22333-2022")</f>
        <v/>
      </c>
      <c r="U90">
        <f>HYPERLINK("https://klasma.github.io/Logging_2326/knärot/A 22333-2022 karta knärot.png", "A 22333-2022")</f>
        <v/>
      </c>
      <c r="V90">
        <f>HYPERLINK("https://klasma.github.io/Logging_2326/klagomål/A 22333-2022 FSC-klagomål.docx", "A 22333-2022")</f>
        <v/>
      </c>
      <c r="W90">
        <f>HYPERLINK("https://klasma.github.io/Logging_2326/klagomålsmail/A 22333-2022 FSC-klagomål mail.docx", "A 22333-2022")</f>
        <v/>
      </c>
      <c r="X90">
        <f>HYPERLINK("https://klasma.github.io/Logging_2326/tillsyn/A 22333-2022 tillsynsbegäran.docx", "A 22333-2022")</f>
        <v/>
      </c>
      <c r="Y90">
        <f>HYPERLINK("https://klasma.github.io/Logging_2326/tillsynsmail/A 22333-2022 tillsynsbegäran mail.docx", "A 22333-2022")</f>
        <v/>
      </c>
    </row>
    <row r="91" ht="15" customHeight="1">
      <c r="A91" t="inlineStr">
        <is>
          <t>A 35742-2022</t>
        </is>
      </c>
      <c r="B91" s="1" t="n">
        <v>44799</v>
      </c>
      <c r="C91" s="1" t="n">
        <v>45787</v>
      </c>
      <c r="D91" t="inlineStr">
        <is>
          <t>JÄMTLANDS LÄN</t>
        </is>
      </c>
      <c r="E91" t="inlineStr">
        <is>
          <t>BERG</t>
        </is>
      </c>
      <c r="F91" t="inlineStr">
        <is>
          <t>SCA</t>
        </is>
      </c>
      <c r="G91" t="n">
        <v>16.6</v>
      </c>
      <c r="H91" t="n">
        <v>1</v>
      </c>
      <c r="I91" t="n">
        <v>1</v>
      </c>
      <c r="J91" t="n">
        <v>3</v>
      </c>
      <c r="K91" t="n">
        <v>0</v>
      </c>
      <c r="L91" t="n">
        <v>0</v>
      </c>
      <c r="M91" t="n">
        <v>0</v>
      </c>
      <c r="N91" t="n">
        <v>0</v>
      </c>
      <c r="O91" t="n">
        <v>3</v>
      </c>
      <c r="P91" t="n">
        <v>0</v>
      </c>
      <c r="Q91" t="n">
        <v>4</v>
      </c>
      <c r="R91" s="2" t="inlineStr">
        <is>
          <t>Dvärgbägarlav
Vedflamlav
Vedskivlav
Plattlummer</t>
        </is>
      </c>
      <c r="S91">
        <f>HYPERLINK("https://klasma.github.io/Logging_2326/artfynd/A 35742-2022 artfynd.xlsx", "A 35742-2022")</f>
        <v/>
      </c>
      <c r="T91">
        <f>HYPERLINK("https://klasma.github.io/Logging_2326/kartor/A 35742-2022 karta.png", "A 35742-2022")</f>
        <v/>
      </c>
      <c r="V91">
        <f>HYPERLINK("https://klasma.github.io/Logging_2326/klagomål/A 35742-2022 FSC-klagomål.docx", "A 35742-2022")</f>
        <v/>
      </c>
      <c r="W91">
        <f>HYPERLINK("https://klasma.github.io/Logging_2326/klagomålsmail/A 35742-2022 FSC-klagomål mail.docx", "A 35742-2022")</f>
        <v/>
      </c>
      <c r="X91">
        <f>HYPERLINK("https://klasma.github.io/Logging_2326/tillsyn/A 35742-2022 tillsynsbegäran.docx", "A 35742-2022")</f>
        <v/>
      </c>
      <c r="Y91">
        <f>HYPERLINK("https://klasma.github.io/Logging_2326/tillsynsmail/A 35742-2022 tillsynsbegäran mail.docx", "A 35742-2022")</f>
        <v/>
      </c>
    </row>
    <row r="92" ht="15" customHeight="1">
      <c r="A92" t="inlineStr">
        <is>
          <t>A 37381-2022</t>
        </is>
      </c>
      <c r="B92" s="1" t="n">
        <v>44806</v>
      </c>
      <c r="C92" s="1" t="n">
        <v>45787</v>
      </c>
      <c r="D92" t="inlineStr">
        <is>
          <t>JÄMTLANDS LÄN</t>
        </is>
      </c>
      <c r="E92" t="inlineStr">
        <is>
          <t>BERG</t>
        </is>
      </c>
      <c r="G92" t="n">
        <v>29</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HYPERLINK("https://klasma.github.io/Logging_2326/artfynd/A 37381-2022 artfynd.xlsx", "A 37381-2022")</f>
        <v/>
      </c>
      <c r="T92">
        <f>HYPERLINK("https://klasma.github.io/Logging_2326/kartor/A 37381-2022 karta.png", "A 37381-2022")</f>
        <v/>
      </c>
      <c r="V92">
        <f>HYPERLINK("https://klasma.github.io/Logging_2326/klagomål/A 37381-2022 FSC-klagomål.docx", "A 37381-2022")</f>
        <v/>
      </c>
      <c r="W92">
        <f>HYPERLINK("https://klasma.github.io/Logging_2326/klagomålsmail/A 37381-2022 FSC-klagomål mail.docx", "A 37381-2022")</f>
        <v/>
      </c>
      <c r="X92">
        <f>HYPERLINK("https://klasma.github.io/Logging_2326/tillsyn/A 37381-2022 tillsynsbegäran.docx", "A 37381-2022")</f>
        <v/>
      </c>
      <c r="Y92">
        <f>HYPERLINK("https://klasma.github.io/Logging_2326/tillsynsmail/A 37381-2022 tillsynsbegäran mail.docx", "A 37381-2022")</f>
        <v/>
      </c>
      <c r="Z92">
        <f>HYPERLINK("https://klasma.github.io/Logging_2326/fåglar/A 37381-2022 prioriterade fågelarter.docx", "A 37381-2022")</f>
        <v/>
      </c>
    </row>
    <row r="93" ht="15" customHeight="1">
      <c r="A93" t="inlineStr">
        <is>
          <t>A 20874-2023</t>
        </is>
      </c>
      <c r="B93" s="1" t="n">
        <v>45058</v>
      </c>
      <c r="C93" s="1" t="n">
        <v>45787</v>
      </c>
      <c r="D93" t="inlineStr">
        <is>
          <t>JÄMTLANDS LÄN</t>
        </is>
      </c>
      <c r="E93" t="inlineStr">
        <is>
          <t>BERG</t>
        </is>
      </c>
      <c r="F93" t="inlineStr">
        <is>
          <t>SCA</t>
        </is>
      </c>
      <c r="G93" t="n">
        <v>2.6</v>
      </c>
      <c r="H93" t="n">
        <v>0</v>
      </c>
      <c r="I93" t="n">
        <v>1</v>
      </c>
      <c r="J93" t="n">
        <v>3</v>
      </c>
      <c r="K93" t="n">
        <v>0</v>
      </c>
      <c r="L93" t="n">
        <v>0</v>
      </c>
      <c r="M93" t="n">
        <v>0</v>
      </c>
      <c r="N93" t="n">
        <v>0</v>
      </c>
      <c r="O93" t="n">
        <v>3</v>
      </c>
      <c r="P93" t="n">
        <v>0</v>
      </c>
      <c r="Q93" t="n">
        <v>4</v>
      </c>
      <c r="R93" s="2" t="inlineStr">
        <is>
          <t>Kolflarnlav
Mörk kolflarnlav
Vedskivlav
Skinnlav</t>
        </is>
      </c>
      <c r="S93">
        <f>HYPERLINK("https://klasma.github.io/Logging_2326/artfynd/A 20874-2023 artfynd.xlsx", "A 20874-2023")</f>
        <v/>
      </c>
      <c r="T93">
        <f>HYPERLINK("https://klasma.github.io/Logging_2326/kartor/A 20874-2023 karta.png", "A 20874-2023")</f>
        <v/>
      </c>
      <c r="V93">
        <f>HYPERLINK("https://klasma.github.io/Logging_2326/klagomål/A 20874-2023 FSC-klagomål.docx", "A 20874-2023")</f>
        <v/>
      </c>
      <c r="W93">
        <f>HYPERLINK("https://klasma.github.io/Logging_2326/klagomålsmail/A 20874-2023 FSC-klagomål mail.docx", "A 20874-2023")</f>
        <v/>
      </c>
      <c r="X93">
        <f>HYPERLINK("https://klasma.github.io/Logging_2326/tillsyn/A 20874-2023 tillsynsbegäran.docx", "A 20874-2023")</f>
        <v/>
      </c>
      <c r="Y93">
        <f>HYPERLINK("https://klasma.github.io/Logging_2326/tillsynsmail/A 20874-2023 tillsynsbegäran mail.docx", "A 20874-2023")</f>
        <v/>
      </c>
    </row>
    <row r="94" ht="15" customHeight="1">
      <c r="A94" t="inlineStr">
        <is>
          <t>A 23951-2023</t>
        </is>
      </c>
      <c r="B94" s="1" t="n">
        <v>45078</v>
      </c>
      <c r="C94" s="1" t="n">
        <v>45787</v>
      </c>
      <c r="D94" t="inlineStr">
        <is>
          <t>JÄMTLANDS LÄN</t>
        </is>
      </c>
      <c r="E94" t="inlineStr">
        <is>
          <t>BERG</t>
        </is>
      </c>
      <c r="G94" t="n">
        <v>16.4</v>
      </c>
      <c r="H94" t="n">
        <v>1</v>
      </c>
      <c r="I94" t="n">
        <v>1</v>
      </c>
      <c r="J94" t="n">
        <v>2</v>
      </c>
      <c r="K94" t="n">
        <v>1</v>
      </c>
      <c r="L94" t="n">
        <v>0</v>
      </c>
      <c r="M94" t="n">
        <v>0</v>
      </c>
      <c r="N94" t="n">
        <v>0</v>
      </c>
      <c r="O94" t="n">
        <v>3</v>
      </c>
      <c r="P94" t="n">
        <v>1</v>
      </c>
      <c r="Q94" t="n">
        <v>4</v>
      </c>
      <c r="R94" s="2" t="inlineStr">
        <is>
          <t>Doftticka
Kolflarnlav
Lunglav
Stuplav</t>
        </is>
      </c>
      <c r="S94">
        <f>HYPERLINK("https://klasma.github.io/Logging_2326/artfynd/A 23951-2023 artfynd.xlsx", "A 23951-2023")</f>
        <v/>
      </c>
      <c r="T94">
        <f>HYPERLINK("https://klasma.github.io/Logging_2326/kartor/A 23951-2023 karta.png", "A 23951-2023")</f>
        <v/>
      </c>
      <c r="V94">
        <f>HYPERLINK("https://klasma.github.io/Logging_2326/klagomål/A 23951-2023 FSC-klagomål.docx", "A 23951-2023")</f>
        <v/>
      </c>
      <c r="W94">
        <f>HYPERLINK("https://klasma.github.io/Logging_2326/klagomålsmail/A 23951-2023 FSC-klagomål mail.docx", "A 23951-2023")</f>
        <v/>
      </c>
      <c r="X94">
        <f>HYPERLINK("https://klasma.github.io/Logging_2326/tillsyn/A 23951-2023 tillsynsbegäran.docx", "A 23951-2023")</f>
        <v/>
      </c>
      <c r="Y94">
        <f>HYPERLINK("https://klasma.github.io/Logging_2326/tillsynsmail/A 23951-2023 tillsynsbegäran mail.docx", "A 23951-2023")</f>
        <v/>
      </c>
    </row>
    <row r="95" ht="15" customHeight="1">
      <c r="A95" t="inlineStr">
        <is>
          <t>A 13487-2024</t>
        </is>
      </c>
      <c r="B95" s="1" t="n">
        <v>45387</v>
      </c>
      <c r="C95" s="1" t="n">
        <v>45787</v>
      </c>
      <c r="D95" t="inlineStr">
        <is>
          <t>JÄMTLANDS LÄN</t>
        </is>
      </c>
      <c r="E95" t="inlineStr">
        <is>
          <t>BERG</t>
        </is>
      </c>
      <c r="G95" t="n">
        <v>13.1</v>
      </c>
      <c r="H95" t="n">
        <v>2</v>
      </c>
      <c r="I95" t="n">
        <v>0</v>
      </c>
      <c r="J95" t="n">
        <v>3</v>
      </c>
      <c r="K95" t="n">
        <v>1</v>
      </c>
      <c r="L95" t="n">
        <v>0</v>
      </c>
      <c r="M95" t="n">
        <v>0</v>
      </c>
      <c r="N95" t="n">
        <v>0</v>
      </c>
      <c r="O95" t="n">
        <v>4</v>
      </c>
      <c r="P95" t="n">
        <v>1</v>
      </c>
      <c r="Q95" t="n">
        <v>4</v>
      </c>
      <c r="R95" s="2" t="inlineStr">
        <is>
          <t>Doftticka
Garnlav
Lunglav
Tretåig hackspett</t>
        </is>
      </c>
      <c r="S95">
        <f>HYPERLINK("https://klasma.github.io/Logging_2326/artfynd/A 13487-2024 artfynd.xlsx", "A 13487-2024")</f>
        <v/>
      </c>
      <c r="T95">
        <f>HYPERLINK("https://klasma.github.io/Logging_2326/kartor/A 13487-2024 karta.png", "A 13487-2024")</f>
        <v/>
      </c>
      <c r="V95">
        <f>HYPERLINK("https://klasma.github.io/Logging_2326/klagomål/A 13487-2024 FSC-klagomål.docx", "A 13487-2024")</f>
        <v/>
      </c>
      <c r="W95">
        <f>HYPERLINK("https://klasma.github.io/Logging_2326/klagomålsmail/A 13487-2024 FSC-klagomål mail.docx", "A 13487-2024")</f>
        <v/>
      </c>
      <c r="X95">
        <f>HYPERLINK("https://klasma.github.io/Logging_2326/tillsyn/A 13487-2024 tillsynsbegäran.docx", "A 13487-2024")</f>
        <v/>
      </c>
      <c r="Y95">
        <f>HYPERLINK("https://klasma.github.io/Logging_2326/tillsynsmail/A 13487-2024 tillsynsbegäran mail.docx", "A 13487-2024")</f>
        <v/>
      </c>
      <c r="Z95">
        <f>HYPERLINK("https://klasma.github.io/Logging_2326/fåglar/A 13487-2024 prioriterade fågelarter.docx", "A 13487-2024")</f>
        <v/>
      </c>
    </row>
    <row r="96" ht="15" customHeight="1">
      <c r="A96" t="inlineStr">
        <is>
          <t>A 21529-2024</t>
        </is>
      </c>
      <c r="B96" s="1" t="n">
        <v>45441</v>
      </c>
      <c r="C96" s="1" t="n">
        <v>45787</v>
      </c>
      <c r="D96" t="inlineStr">
        <is>
          <t>JÄMTLANDS LÄN</t>
        </is>
      </c>
      <c r="E96" t="inlineStr">
        <is>
          <t>BERG</t>
        </is>
      </c>
      <c r="G96" t="n">
        <v>2.3</v>
      </c>
      <c r="H96" t="n">
        <v>1</v>
      </c>
      <c r="I96" t="n">
        <v>1</v>
      </c>
      <c r="J96" t="n">
        <v>3</v>
      </c>
      <c r="K96" t="n">
        <v>0</v>
      </c>
      <c r="L96" t="n">
        <v>0</v>
      </c>
      <c r="M96" t="n">
        <v>0</v>
      </c>
      <c r="N96" t="n">
        <v>0</v>
      </c>
      <c r="O96" t="n">
        <v>3</v>
      </c>
      <c r="P96" t="n">
        <v>0</v>
      </c>
      <c r="Q96" t="n">
        <v>4</v>
      </c>
      <c r="R96" s="2" t="inlineStr">
        <is>
          <t>Garnlav
Lunglav
Vedtrappmossa
Spindelblomster</t>
        </is>
      </c>
      <c r="S96">
        <f>HYPERLINK("https://klasma.github.io/Logging_2326/artfynd/A 21529-2024 artfynd.xlsx", "A 21529-2024")</f>
        <v/>
      </c>
      <c r="T96">
        <f>HYPERLINK("https://klasma.github.io/Logging_2326/kartor/A 21529-2024 karta.png", "A 21529-2024")</f>
        <v/>
      </c>
      <c r="V96">
        <f>HYPERLINK("https://klasma.github.io/Logging_2326/klagomål/A 21529-2024 FSC-klagomål.docx", "A 21529-2024")</f>
        <v/>
      </c>
      <c r="W96">
        <f>HYPERLINK("https://klasma.github.io/Logging_2326/klagomålsmail/A 21529-2024 FSC-klagomål mail.docx", "A 21529-2024")</f>
        <v/>
      </c>
      <c r="X96">
        <f>HYPERLINK("https://klasma.github.io/Logging_2326/tillsyn/A 21529-2024 tillsynsbegäran.docx", "A 21529-2024")</f>
        <v/>
      </c>
      <c r="Y96">
        <f>HYPERLINK("https://klasma.github.io/Logging_2326/tillsynsmail/A 21529-2024 tillsynsbegäran mail.docx", "A 21529-2024")</f>
        <v/>
      </c>
    </row>
    <row r="97" ht="15" customHeight="1">
      <c r="A97" t="inlineStr">
        <is>
          <t>A 28911-2024</t>
        </is>
      </c>
      <c r="B97" s="1" t="n">
        <v>45480</v>
      </c>
      <c r="C97" s="1" t="n">
        <v>45787</v>
      </c>
      <c r="D97" t="inlineStr">
        <is>
          <t>JÄMTLANDS LÄN</t>
        </is>
      </c>
      <c r="E97" t="inlineStr">
        <is>
          <t>BERG</t>
        </is>
      </c>
      <c r="G97" t="n">
        <v>2.5</v>
      </c>
      <c r="H97" t="n">
        <v>2</v>
      </c>
      <c r="I97" t="n">
        <v>0</v>
      </c>
      <c r="J97" t="n">
        <v>4</v>
      </c>
      <c r="K97" t="n">
        <v>0</v>
      </c>
      <c r="L97" t="n">
        <v>0</v>
      </c>
      <c r="M97" t="n">
        <v>0</v>
      </c>
      <c r="N97" t="n">
        <v>0</v>
      </c>
      <c r="O97" t="n">
        <v>4</v>
      </c>
      <c r="P97" t="n">
        <v>0</v>
      </c>
      <c r="Q97" t="n">
        <v>4</v>
      </c>
      <c r="R97" s="2" t="inlineStr">
        <is>
          <t>Granticka
Talltita
Tretåig hackspett
Ullticka</t>
        </is>
      </c>
      <c r="S97">
        <f>HYPERLINK("https://klasma.github.io/Logging_2326/artfynd/A 28911-2024 artfynd.xlsx", "A 28911-2024")</f>
        <v/>
      </c>
      <c r="T97">
        <f>HYPERLINK("https://klasma.github.io/Logging_2326/kartor/A 28911-2024 karta.png", "A 28911-2024")</f>
        <v/>
      </c>
      <c r="V97">
        <f>HYPERLINK("https://klasma.github.io/Logging_2326/klagomål/A 28911-2024 FSC-klagomål.docx", "A 28911-2024")</f>
        <v/>
      </c>
      <c r="W97">
        <f>HYPERLINK("https://klasma.github.io/Logging_2326/klagomålsmail/A 28911-2024 FSC-klagomål mail.docx", "A 28911-2024")</f>
        <v/>
      </c>
      <c r="X97">
        <f>HYPERLINK("https://klasma.github.io/Logging_2326/tillsyn/A 28911-2024 tillsynsbegäran.docx", "A 28911-2024")</f>
        <v/>
      </c>
      <c r="Y97">
        <f>HYPERLINK("https://klasma.github.io/Logging_2326/tillsynsmail/A 28911-2024 tillsynsbegäran mail.docx", "A 28911-2024")</f>
        <v/>
      </c>
      <c r="Z97">
        <f>HYPERLINK("https://klasma.github.io/Logging_2326/fåglar/A 28911-2024 prioriterade fågelarter.docx", "A 28911-2024")</f>
        <v/>
      </c>
    </row>
    <row r="98" ht="15" customHeight="1">
      <c r="A98" t="inlineStr">
        <is>
          <t>A 30335-2024</t>
        </is>
      </c>
      <c r="B98" s="1" t="n">
        <v>45491</v>
      </c>
      <c r="C98" s="1" t="n">
        <v>45787</v>
      </c>
      <c r="D98" t="inlineStr">
        <is>
          <t>JÄMTLANDS LÄN</t>
        </is>
      </c>
      <c r="E98" t="inlineStr">
        <is>
          <t>BERG</t>
        </is>
      </c>
      <c r="F98" t="inlineStr">
        <is>
          <t>SCA</t>
        </is>
      </c>
      <c r="G98" t="n">
        <v>15.4</v>
      </c>
      <c r="H98" t="n">
        <v>0</v>
      </c>
      <c r="I98" t="n">
        <v>1</v>
      </c>
      <c r="J98" t="n">
        <v>1</v>
      </c>
      <c r="K98" t="n">
        <v>2</v>
      </c>
      <c r="L98" t="n">
        <v>0</v>
      </c>
      <c r="M98" t="n">
        <v>0</v>
      </c>
      <c r="N98" t="n">
        <v>0</v>
      </c>
      <c r="O98" t="n">
        <v>3</v>
      </c>
      <c r="P98" t="n">
        <v>2</v>
      </c>
      <c r="Q98" t="n">
        <v>4</v>
      </c>
      <c r="R98" s="2" t="inlineStr">
        <is>
          <t>Fläckporing
Gräddporing
Vaddporing
Tibast</t>
        </is>
      </c>
      <c r="S98">
        <f>HYPERLINK("https://klasma.github.io/Logging_2326/artfynd/A 30335-2024 artfynd.xlsx", "A 30335-2024")</f>
        <v/>
      </c>
      <c r="T98">
        <f>HYPERLINK("https://klasma.github.io/Logging_2326/kartor/A 30335-2024 karta.png", "A 30335-2024")</f>
        <v/>
      </c>
      <c r="V98">
        <f>HYPERLINK("https://klasma.github.io/Logging_2326/klagomål/A 30335-2024 FSC-klagomål.docx", "A 30335-2024")</f>
        <v/>
      </c>
      <c r="W98">
        <f>HYPERLINK("https://klasma.github.io/Logging_2326/klagomålsmail/A 30335-2024 FSC-klagomål mail.docx", "A 30335-2024")</f>
        <v/>
      </c>
      <c r="X98">
        <f>HYPERLINK("https://klasma.github.io/Logging_2326/tillsyn/A 30335-2024 tillsynsbegäran.docx", "A 30335-2024")</f>
        <v/>
      </c>
      <c r="Y98">
        <f>HYPERLINK("https://klasma.github.io/Logging_2326/tillsynsmail/A 30335-2024 tillsynsbegäran mail.docx", "A 30335-2024")</f>
        <v/>
      </c>
    </row>
    <row r="99" ht="15" customHeight="1">
      <c r="A99" t="inlineStr">
        <is>
          <t>A 38156-2024</t>
        </is>
      </c>
      <c r="B99" s="1" t="n">
        <v>45545</v>
      </c>
      <c r="C99" s="1" t="n">
        <v>45787</v>
      </c>
      <c r="D99" t="inlineStr">
        <is>
          <t>JÄMTLANDS LÄN</t>
        </is>
      </c>
      <c r="E99" t="inlineStr">
        <is>
          <t>BERG</t>
        </is>
      </c>
      <c r="G99" t="n">
        <v>0.4</v>
      </c>
      <c r="H99" t="n">
        <v>1</v>
      </c>
      <c r="I99" t="n">
        <v>1</v>
      </c>
      <c r="J99" t="n">
        <v>2</v>
      </c>
      <c r="K99" t="n">
        <v>1</v>
      </c>
      <c r="L99" t="n">
        <v>0</v>
      </c>
      <c r="M99" t="n">
        <v>0</v>
      </c>
      <c r="N99" t="n">
        <v>0</v>
      </c>
      <c r="O99" t="n">
        <v>3</v>
      </c>
      <c r="P99" t="n">
        <v>1</v>
      </c>
      <c r="Q99" t="n">
        <v>4</v>
      </c>
      <c r="R99" s="2" t="inlineStr">
        <is>
          <t>Knärot
Garnlav
Tallticka
Vedticka</t>
        </is>
      </c>
      <c r="S99">
        <f>HYPERLINK("https://klasma.github.io/Logging_2326/artfynd/A 38156-2024 artfynd.xlsx", "A 38156-2024")</f>
        <v/>
      </c>
      <c r="T99">
        <f>HYPERLINK("https://klasma.github.io/Logging_2326/kartor/A 38156-2024 karta.png", "A 38156-2024")</f>
        <v/>
      </c>
      <c r="U99">
        <f>HYPERLINK("https://klasma.github.io/Logging_2326/knärot/A 38156-2024 karta knärot.png", "A 38156-2024")</f>
        <v/>
      </c>
      <c r="V99">
        <f>HYPERLINK("https://klasma.github.io/Logging_2326/klagomål/A 38156-2024 FSC-klagomål.docx", "A 38156-2024")</f>
        <v/>
      </c>
      <c r="W99">
        <f>HYPERLINK("https://klasma.github.io/Logging_2326/klagomålsmail/A 38156-2024 FSC-klagomål mail.docx", "A 38156-2024")</f>
        <v/>
      </c>
      <c r="X99">
        <f>HYPERLINK("https://klasma.github.io/Logging_2326/tillsyn/A 38156-2024 tillsynsbegäran.docx", "A 38156-2024")</f>
        <v/>
      </c>
      <c r="Y99">
        <f>HYPERLINK("https://klasma.github.io/Logging_2326/tillsynsmail/A 38156-2024 tillsynsbegäran mail.docx", "A 38156-2024")</f>
        <v/>
      </c>
    </row>
    <row r="100" ht="15" customHeight="1">
      <c r="A100" t="inlineStr">
        <is>
          <t>A 45424-2024</t>
        </is>
      </c>
      <c r="B100" s="1" t="n">
        <v>45576</v>
      </c>
      <c r="C100" s="1" t="n">
        <v>45787</v>
      </c>
      <c r="D100" t="inlineStr">
        <is>
          <t>JÄMTLANDS LÄN</t>
        </is>
      </c>
      <c r="E100" t="inlineStr">
        <is>
          <t>BERG</t>
        </is>
      </c>
      <c r="G100" t="n">
        <v>11.8</v>
      </c>
      <c r="H100" t="n">
        <v>2</v>
      </c>
      <c r="I100" t="n">
        <v>1</v>
      </c>
      <c r="J100" t="n">
        <v>3</v>
      </c>
      <c r="K100" t="n">
        <v>0</v>
      </c>
      <c r="L100" t="n">
        <v>0</v>
      </c>
      <c r="M100" t="n">
        <v>0</v>
      </c>
      <c r="N100" t="n">
        <v>0</v>
      </c>
      <c r="O100" t="n">
        <v>3</v>
      </c>
      <c r="P100" t="n">
        <v>0</v>
      </c>
      <c r="Q100" t="n">
        <v>4</v>
      </c>
      <c r="R100" s="2" t="inlineStr">
        <is>
          <t>Garnlav
Lunglav
Spillkråka
Plattlummer</t>
        </is>
      </c>
      <c r="S100">
        <f>HYPERLINK("https://klasma.github.io/Logging_2326/artfynd/A 45424-2024 artfynd.xlsx", "A 45424-2024")</f>
        <v/>
      </c>
      <c r="T100">
        <f>HYPERLINK("https://klasma.github.io/Logging_2326/kartor/A 45424-2024 karta.png", "A 45424-2024")</f>
        <v/>
      </c>
      <c r="U100">
        <f>HYPERLINK("https://klasma.github.io/Logging_2326/knärot/A 45424-2024 karta knärot.png", "A 45424-2024")</f>
        <v/>
      </c>
      <c r="V100">
        <f>HYPERLINK("https://klasma.github.io/Logging_2326/klagomål/A 45424-2024 FSC-klagomål.docx", "A 45424-2024")</f>
        <v/>
      </c>
      <c r="W100">
        <f>HYPERLINK("https://klasma.github.io/Logging_2326/klagomålsmail/A 45424-2024 FSC-klagomål mail.docx", "A 45424-2024")</f>
        <v/>
      </c>
      <c r="X100">
        <f>HYPERLINK("https://klasma.github.io/Logging_2326/tillsyn/A 45424-2024 tillsynsbegäran.docx", "A 45424-2024")</f>
        <v/>
      </c>
      <c r="Y100">
        <f>HYPERLINK("https://klasma.github.io/Logging_2326/tillsynsmail/A 45424-2024 tillsynsbegäran mail.docx", "A 45424-2024")</f>
        <v/>
      </c>
      <c r="Z100">
        <f>HYPERLINK("https://klasma.github.io/Logging_2326/fåglar/A 45424-2024 prioriterade fågelarter.docx", "A 45424-2024")</f>
        <v/>
      </c>
    </row>
    <row r="101" ht="15" customHeight="1">
      <c r="A101" t="inlineStr">
        <is>
          <t>A 56224-2024</t>
        </is>
      </c>
      <c r="B101" s="1" t="n">
        <v>45624</v>
      </c>
      <c r="C101" s="1" t="n">
        <v>45787</v>
      </c>
      <c r="D101" t="inlineStr">
        <is>
          <t>JÄMTLANDS LÄN</t>
        </is>
      </c>
      <c r="E101" t="inlineStr">
        <is>
          <t>BERG</t>
        </is>
      </c>
      <c r="F101" t="inlineStr">
        <is>
          <t>SCA</t>
        </is>
      </c>
      <c r="G101" t="n">
        <v>21</v>
      </c>
      <c r="H101" t="n">
        <v>0</v>
      </c>
      <c r="I101" t="n">
        <v>0</v>
      </c>
      <c r="J101" t="n">
        <v>4</v>
      </c>
      <c r="K101" t="n">
        <v>0</v>
      </c>
      <c r="L101" t="n">
        <v>0</v>
      </c>
      <c r="M101" t="n">
        <v>0</v>
      </c>
      <c r="N101" t="n">
        <v>0</v>
      </c>
      <c r="O101" t="n">
        <v>4</v>
      </c>
      <c r="P101" t="n">
        <v>0</v>
      </c>
      <c r="Q101" t="n">
        <v>4</v>
      </c>
      <c r="R101" s="2" t="inlineStr">
        <is>
          <t>Dvärgbägarlav
Nordtagging
Vedflamlav
Vedskivlav</t>
        </is>
      </c>
      <c r="S101">
        <f>HYPERLINK("https://klasma.github.io/Logging_2326/artfynd/A 56224-2024 artfynd.xlsx", "A 56224-2024")</f>
        <v/>
      </c>
      <c r="T101">
        <f>HYPERLINK("https://klasma.github.io/Logging_2326/kartor/A 56224-2024 karta.png", "A 56224-2024")</f>
        <v/>
      </c>
      <c r="V101">
        <f>HYPERLINK("https://klasma.github.io/Logging_2326/klagomål/A 56224-2024 FSC-klagomål.docx", "A 56224-2024")</f>
        <v/>
      </c>
      <c r="W101">
        <f>HYPERLINK("https://klasma.github.io/Logging_2326/klagomålsmail/A 56224-2024 FSC-klagomål mail.docx", "A 56224-2024")</f>
        <v/>
      </c>
      <c r="X101">
        <f>HYPERLINK("https://klasma.github.io/Logging_2326/tillsyn/A 56224-2024 tillsynsbegäran.docx", "A 56224-2024")</f>
        <v/>
      </c>
      <c r="Y101">
        <f>HYPERLINK("https://klasma.github.io/Logging_2326/tillsynsmail/A 56224-2024 tillsynsbegäran mail.docx", "A 56224-2024")</f>
        <v/>
      </c>
    </row>
    <row r="102" ht="15" customHeight="1">
      <c r="A102" t="inlineStr">
        <is>
          <t>A 52190-2020</t>
        </is>
      </c>
      <c r="B102" s="1" t="n">
        <v>44111</v>
      </c>
      <c r="C102" s="1" t="n">
        <v>45787</v>
      </c>
      <c r="D102" t="inlineStr">
        <is>
          <t>JÄMTLANDS LÄN</t>
        </is>
      </c>
      <c r="E102" t="inlineStr">
        <is>
          <t>BERG</t>
        </is>
      </c>
      <c r="G102" t="n">
        <v>23.3</v>
      </c>
      <c r="H102" t="n">
        <v>0</v>
      </c>
      <c r="I102" t="n">
        <v>1</v>
      </c>
      <c r="J102" t="n">
        <v>2</v>
      </c>
      <c r="K102" t="n">
        <v>0</v>
      </c>
      <c r="L102" t="n">
        <v>0</v>
      </c>
      <c r="M102" t="n">
        <v>0</v>
      </c>
      <c r="N102" t="n">
        <v>0</v>
      </c>
      <c r="O102" t="n">
        <v>2</v>
      </c>
      <c r="P102" t="n">
        <v>0</v>
      </c>
      <c r="Q102" t="n">
        <v>3</v>
      </c>
      <c r="R102" s="2" t="inlineStr">
        <is>
          <t>Garnlav
Granticka
Ögonpyrola</t>
        </is>
      </c>
      <c r="S102">
        <f>HYPERLINK("https://klasma.github.io/Logging_2326/artfynd/A 52190-2020 artfynd.xlsx", "A 52190-2020")</f>
        <v/>
      </c>
      <c r="T102">
        <f>HYPERLINK("https://klasma.github.io/Logging_2326/kartor/A 52190-2020 karta.png", "A 52190-2020")</f>
        <v/>
      </c>
      <c r="V102">
        <f>HYPERLINK("https://klasma.github.io/Logging_2326/klagomål/A 52190-2020 FSC-klagomål.docx", "A 52190-2020")</f>
        <v/>
      </c>
      <c r="W102">
        <f>HYPERLINK("https://klasma.github.io/Logging_2326/klagomålsmail/A 52190-2020 FSC-klagomål mail.docx", "A 52190-2020")</f>
        <v/>
      </c>
      <c r="X102">
        <f>HYPERLINK("https://klasma.github.io/Logging_2326/tillsyn/A 52190-2020 tillsynsbegäran.docx", "A 52190-2020")</f>
        <v/>
      </c>
      <c r="Y102">
        <f>HYPERLINK("https://klasma.github.io/Logging_2326/tillsynsmail/A 52190-2020 tillsynsbegäran mail.docx", "A 52190-2020")</f>
        <v/>
      </c>
    </row>
    <row r="103" ht="15" customHeight="1">
      <c r="A103" t="inlineStr">
        <is>
          <t>A 14599-2021</t>
        </is>
      </c>
      <c r="B103" s="1" t="n">
        <v>44279</v>
      </c>
      <c r="C103" s="1" t="n">
        <v>45787</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16830-2021</t>
        </is>
      </c>
      <c r="B104" s="1" t="n">
        <v>44293</v>
      </c>
      <c r="C104" s="1" t="n">
        <v>45787</v>
      </c>
      <c r="D104" t="inlineStr">
        <is>
          <t>JÄMTLANDS LÄN</t>
        </is>
      </c>
      <c r="E104" t="inlineStr">
        <is>
          <t>BERG</t>
        </is>
      </c>
      <c r="G104" t="n">
        <v>2</v>
      </c>
      <c r="H104" t="n">
        <v>0</v>
      </c>
      <c r="I104" t="n">
        <v>0</v>
      </c>
      <c r="J104" t="n">
        <v>3</v>
      </c>
      <c r="K104" t="n">
        <v>0</v>
      </c>
      <c r="L104" t="n">
        <v>0</v>
      </c>
      <c r="M104" t="n">
        <v>0</v>
      </c>
      <c r="N104" t="n">
        <v>0</v>
      </c>
      <c r="O104" t="n">
        <v>3</v>
      </c>
      <c r="P104" t="n">
        <v>0</v>
      </c>
      <c r="Q104" t="n">
        <v>3</v>
      </c>
      <c r="R104" s="2" t="inlineStr">
        <is>
          <t>Garnlav
Granticka
Vitgrynig nållav</t>
        </is>
      </c>
      <c r="S104">
        <f>HYPERLINK("https://klasma.github.io/Logging_2326/artfynd/A 16830-2021 artfynd.xlsx", "A 16830-2021")</f>
        <v/>
      </c>
      <c r="T104">
        <f>HYPERLINK("https://klasma.github.io/Logging_2326/kartor/A 16830-2021 karta.png", "A 16830-2021")</f>
        <v/>
      </c>
      <c r="V104">
        <f>HYPERLINK("https://klasma.github.io/Logging_2326/klagomål/A 16830-2021 FSC-klagomål.docx", "A 16830-2021")</f>
        <v/>
      </c>
      <c r="W104">
        <f>HYPERLINK("https://klasma.github.io/Logging_2326/klagomålsmail/A 16830-2021 FSC-klagomål mail.docx", "A 16830-2021")</f>
        <v/>
      </c>
      <c r="X104">
        <f>HYPERLINK("https://klasma.github.io/Logging_2326/tillsyn/A 16830-2021 tillsynsbegäran.docx", "A 16830-2021")</f>
        <v/>
      </c>
      <c r="Y104">
        <f>HYPERLINK("https://klasma.github.io/Logging_2326/tillsynsmail/A 16830-2021 tillsynsbegäran mail.docx", "A 16830-2021")</f>
        <v/>
      </c>
    </row>
    <row r="105" ht="15" customHeight="1">
      <c r="A105" t="inlineStr">
        <is>
          <t>A 37307-2021</t>
        </is>
      </c>
      <c r="B105" s="1" t="n">
        <v>44397</v>
      </c>
      <c r="C105" s="1" t="n">
        <v>45787</v>
      </c>
      <c r="D105" t="inlineStr">
        <is>
          <t>JÄMTLANDS LÄN</t>
        </is>
      </c>
      <c r="E105" t="inlineStr">
        <is>
          <t>BERG</t>
        </is>
      </c>
      <c r="G105" t="n">
        <v>5.4</v>
      </c>
      <c r="H105" t="n">
        <v>2</v>
      </c>
      <c r="I105" t="n">
        <v>1</v>
      </c>
      <c r="J105" t="n">
        <v>2</v>
      </c>
      <c r="K105" t="n">
        <v>0</v>
      </c>
      <c r="L105" t="n">
        <v>0</v>
      </c>
      <c r="M105" t="n">
        <v>0</v>
      </c>
      <c r="N105" t="n">
        <v>0</v>
      </c>
      <c r="O105" t="n">
        <v>2</v>
      </c>
      <c r="P105" t="n">
        <v>0</v>
      </c>
      <c r="Q105" t="n">
        <v>3</v>
      </c>
      <c r="R105" s="2" t="inlineStr">
        <is>
          <t>Talltita
Tretåig hackspett
Skarp dropptaggsvamp</t>
        </is>
      </c>
      <c r="S105">
        <f>HYPERLINK("https://klasma.github.io/Logging_2326/artfynd/A 37307-2021 artfynd.xlsx", "A 37307-2021")</f>
        <v/>
      </c>
      <c r="T105">
        <f>HYPERLINK("https://klasma.github.io/Logging_2326/kartor/A 37307-2021 karta.png", "A 37307-2021")</f>
        <v/>
      </c>
      <c r="V105">
        <f>HYPERLINK("https://klasma.github.io/Logging_2326/klagomål/A 37307-2021 FSC-klagomål.docx", "A 37307-2021")</f>
        <v/>
      </c>
      <c r="W105">
        <f>HYPERLINK("https://klasma.github.io/Logging_2326/klagomålsmail/A 37307-2021 FSC-klagomål mail.docx", "A 37307-2021")</f>
        <v/>
      </c>
      <c r="X105">
        <f>HYPERLINK("https://klasma.github.io/Logging_2326/tillsyn/A 37307-2021 tillsynsbegäran.docx", "A 37307-2021")</f>
        <v/>
      </c>
      <c r="Y105">
        <f>HYPERLINK("https://klasma.github.io/Logging_2326/tillsynsmail/A 37307-2021 tillsynsbegäran mail.docx", "A 37307-2021")</f>
        <v/>
      </c>
      <c r="Z105">
        <f>HYPERLINK("https://klasma.github.io/Logging_2326/fåglar/A 37307-2021 prioriterade fågelarter.docx", "A 37307-2021")</f>
        <v/>
      </c>
    </row>
    <row r="106" ht="15" customHeight="1">
      <c r="A106" t="inlineStr">
        <is>
          <t>A 54802-2021</t>
        </is>
      </c>
      <c r="B106" s="1" t="n">
        <v>44473</v>
      </c>
      <c r="C106" s="1" t="n">
        <v>45787</v>
      </c>
      <c r="D106" t="inlineStr">
        <is>
          <t>JÄMTLANDS LÄN</t>
        </is>
      </c>
      <c r="E106" t="inlineStr">
        <is>
          <t>BERG</t>
        </is>
      </c>
      <c r="F106" t="inlineStr">
        <is>
          <t>SCA</t>
        </is>
      </c>
      <c r="G106" t="n">
        <v>2.8</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62661-2021</t>
        </is>
      </c>
      <c r="B107" s="1" t="n">
        <v>44503</v>
      </c>
      <c r="C107" s="1" t="n">
        <v>45787</v>
      </c>
      <c r="D107" t="inlineStr">
        <is>
          <t>JÄMTLANDS LÄN</t>
        </is>
      </c>
      <c r="E107" t="inlineStr">
        <is>
          <t>BERG</t>
        </is>
      </c>
      <c r="F107" t="inlineStr">
        <is>
          <t>SCA</t>
        </is>
      </c>
      <c r="G107" t="n">
        <v>1.7</v>
      </c>
      <c r="H107" t="n">
        <v>0</v>
      </c>
      <c r="I107" t="n">
        <v>0</v>
      </c>
      <c r="J107" t="n">
        <v>3</v>
      </c>
      <c r="K107" t="n">
        <v>0</v>
      </c>
      <c r="L107" t="n">
        <v>0</v>
      </c>
      <c r="M107" t="n">
        <v>0</v>
      </c>
      <c r="N107" t="n">
        <v>0</v>
      </c>
      <c r="O107" t="n">
        <v>3</v>
      </c>
      <c r="P107" t="n">
        <v>0</v>
      </c>
      <c r="Q107" t="n">
        <v>3</v>
      </c>
      <c r="R107" s="2" t="inlineStr">
        <is>
          <t>Garnlav
Rosenticka
Ullticka</t>
        </is>
      </c>
      <c r="S107">
        <f>HYPERLINK("https://klasma.github.io/Logging_2326/artfynd/A 62661-2021 artfynd.xlsx", "A 62661-2021")</f>
        <v/>
      </c>
      <c r="T107">
        <f>HYPERLINK("https://klasma.github.io/Logging_2326/kartor/A 62661-2021 karta.png", "A 62661-2021")</f>
        <v/>
      </c>
      <c r="V107">
        <f>HYPERLINK("https://klasma.github.io/Logging_2326/klagomål/A 62661-2021 FSC-klagomål.docx", "A 62661-2021")</f>
        <v/>
      </c>
      <c r="W107">
        <f>HYPERLINK("https://klasma.github.io/Logging_2326/klagomålsmail/A 62661-2021 FSC-klagomål mail.docx", "A 62661-2021")</f>
        <v/>
      </c>
      <c r="X107">
        <f>HYPERLINK("https://klasma.github.io/Logging_2326/tillsyn/A 62661-2021 tillsynsbegäran.docx", "A 62661-2021")</f>
        <v/>
      </c>
      <c r="Y107">
        <f>HYPERLINK("https://klasma.github.io/Logging_2326/tillsynsmail/A 62661-2021 tillsynsbegäran mail.docx", "A 62661-2021")</f>
        <v/>
      </c>
    </row>
    <row r="108" ht="15" customHeight="1">
      <c r="A108" t="inlineStr">
        <is>
          <t>A 68433-2021</t>
        </is>
      </c>
      <c r="B108" s="1" t="n">
        <v>44529</v>
      </c>
      <c r="C108" s="1" t="n">
        <v>45787</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54999-2023</t>
        </is>
      </c>
      <c r="B109" s="1" t="n">
        <v>45237</v>
      </c>
      <c r="C109" s="1" t="n">
        <v>45787</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54993-2023</t>
        </is>
      </c>
      <c r="B110" s="1" t="n">
        <v>45237</v>
      </c>
      <c r="C110" s="1" t="n">
        <v>45787</v>
      </c>
      <c r="D110" t="inlineStr">
        <is>
          <t>JÄMTLANDS LÄN</t>
        </is>
      </c>
      <c r="E110" t="inlineStr">
        <is>
          <t>BERG</t>
        </is>
      </c>
      <c r="F110" t="inlineStr">
        <is>
          <t>SCA</t>
        </is>
      </c>
      <c r="G110" t="n">
        <v>19</v>
      </c>
      <c r="H110" t="n">
        <v>0</v>
      </c>
      <c r="I110" t="n">
        <v>0</v>
      </c>
      <c r="J110" t="n">
        <v>1</v>
      </c>
      <c r="K110" t="n">
        <v>2</v>
      </c>
      <c r="L110" t="n">
        <v>0</v>
      </c>
      <c r="M110" t="n">
        <v>0</v>
      </c>
      <c r="N110" t="n">
        <v>0</v>
      </c>
      <c r="O110" t="n">
        <v>3</v>
      </c>
      <c r="P110" t="n">
        <v>2</v>
      </c>
      <c r="Q110" t="n">
        <v>3</v>
      </c>
      <c r="R110" s="2" t="inlineStr">
        <is>
          <t>Fläckporing
Gräddporing
Dvärgbägarlav</t>
        </is>
      </c>
      <c r="S110">
        <f>HYPERLINK("https://klasma.github.io/Logging_2326/artfynd/A 54993-2023 artfynd.xlsx", "A 54993-2023")</f>
        <v/>
      </c>
      <c r="T110">
        <f>HYPERLINK("https://klasma.github.io/Logging_2326/kartor/A 54993-2023 karta.png", "A 54993-2023")</f>
        <v/>
      </c>
      <c r="V110">
        <f>HYPERLINK("https://klasma.github.io/Logging_2326/klagomål/A 54993-2023 FSC-klagomål.docx", "A 54993-2023")</f>
        <v/>
      </c>
      <c r="W110">
        <f>HYPERLINK("https://klasma.github.io/Logging_2326/klagomålsmail/A 54993-2023 FSC-klagomål mail.docx", "A 54993-2023")</f>
        <v/>
      </c>
      <c r="X110">
        <f>HYPERLINK("https://klasma.github.io/Logging_2326/tillsyn/A 54993-2023 tillsynsbegäran.docx", "A 54993-2023")</f>
        <v/>
      </c>
      <c r="Y110">
        <f>HYPERLINK("https://klasma.github.io/Logging_2326/tillsynsmail/A 54993-2023 tillsynsbegäran mail.docx", "A 54993-2023")</f>
        <v/>
      </c>
    </row>
    <row r="111" ht="15" customHeight="1">
      <c r="A111" t="inlineStr">
        <is>
          <t>A 13483-2024</t>
        </is>
      </c>
      <c r="B111" s="1" t="n">
        <v>45387</v>
      </c>
      <c r="C111" s="1" t="n">
        <v>45787</v>
      </c>
      <c r="D111" t="inlineStr">
        <is>
          <t>JÄMTLANDS LÄN</t>
        </is>
      </c>
      <c r="E111" t="inlineStr">
        <is>
          <t>BERG</t>
        </is>
      </c>
      <c r="G111" t="n">
        <v>16.9</v>
      </c>
      <c r="H111" t="n">
        <v>0</v>
      </c>
      <c r="I111" t="n">
        <v>0</v>
      </c>
      <c r="J111" t="n">
        <v>3</v>
      </c>
      <c r="K111" t="n">
        <v>0</v>
      </c>
      <c r="L111" t="n">
        <v>0</v>
      </c>
      <c r="M111" t="n">
        <v>0</v>
      </c>
      <c r="N111" t="n">
        <v>0</v>
      </c>
      <c r="O111" t="n">
        <v>3</v>
      </c>
      <c r="P111" t="n">
        <v>0</v>
      </c>
      <c r="Q111" t="n">
        <v>3</v>
      </c>
      <c r="R111" s="2" t="inlineStr">
        <is>
          <t>Lunglav
Skrovellav
Ullticka</t>
        </is>
      </c>
      <c r="S111">
        <f>HYPERLINK("https://klasma.github.io/Logging_2326/artfynd/A 13483-2024 artfynd.xlsx", "A 13483-2024")</f>
        <v/>
      </c>
      <c r="T111">
        <f>HYPERLINK("https://klasma.github.io/Logging_2326/kartor/A 13483-2024 karta.png", "A 13483-2024")</f>
        <v/>
      </c>
      <c r="V111">
        <f>HYPERLINK("https://klasma.github.io/Logging_2326/klagomål/A 13483-2024 FSC-klagomål.docx", "A 13483-2024")</f>
        <v/>
      </c>
      <c r="W111">
        <f>HYPERLINK("https://klasma.github.io/Logging_2326/klagomålsmail/A 13483-2024 FSC-klagomål mail.docx", "A 13483-2024")</f>
        <v/>
      </c>
      <c r="X111">
        <f>HYPERLINK("https://klasma.github.io/Logging_2326/tillsyn/A 13483-2024 tillsynsbegäran.docx", "A 13483-2024")</f>
        <v/>
      </c>
      <c r="Y111">
        <f>HYPERLINK("https://klasma.github.io/Logging_2326/tillsynsmail/A 13483-2024 tillsynsbegäran mail.docx", "A 13483-2024")</f>
        <v/>
      </c>
    </row>
    <row r="112" ht="15" customHeight="1">
      <c r="A112" t="inlineStr">
        <is>
          <t>A 27921-2024</t>
        </is>
      </c>
      <c r="B112" s="1" t="n">
        <v>45476</v>
      </c>
      <c r="C112" s="1" t="n">
        <v>45787</v>
      </c>
      <c r="D112" t="inlineStr">
        <is>
          <t>JÄMTLANDS LÄN</t>
        </is>
      </c>
      <c r="E112" t="inlineStr">
        <is>
          <t>BERG</t>
        </is>
      </c>
      <c r="F112" t="inlineStr">
        <is>
          <t>SCA</t>
        </is>
      </c>
      <c r="G112" t="n">
        <v>29.9</v>
      </c>
      <c r="H112" t="n">
        <v>0</v>
      </c>
      <c r="I112" t="n">
        <v>1</v>
      </c>
      <c r="J112" t="n">
        <v>1</v>
      </c>
      <c r="K112" t="n">
        <v>1</v>
      </c>
      <c r="L112" t="n">
        <v>0</v>
      </c>
      <c r="M112" t="n">
        <v>0</v>
      </c>
      <c r="N112" t="n">
        <v>0</v>
      </c>
      <c r="O112" t="n">
        <v>2</v>
      </c>
      <c r="P112" t="n">
        <v>1</v>
      </c>
      <c r="Q112" t="n">
        <v>3</v>
      </c>
      <c r="R112" s="2" t="inlineStr">
        <is>
          <t>Smalfotad taggsvamp
Blå taggsvamp
Dropptaggsvamp</t>
        </is>
      </c>
      <c r="S112">
        <f>HYPERLINK("https://klasma.github.io/Logging_2326/artfynd/A 27921-2024 artfynd.xlsx", "A 27921-2024")</f>
        <v/>
      </c>
      <c r="T112">
        <f>HYPERLINK("https://klasma.github.io/Logging_2326/kartor/A 27921-2024 karta.png", "A 27921-2024")</f>
        <v/>
      </c>
      <c r="V112">
        <f>HYPERLINK("https://klasma.github.io/Logging_2326/klagomål/A 27921-2024 FSC-klagomål.docx", "A 27921-2024")</f>
        <v/>
      </c>
      <c r="W112">
        <f>HYPERLINK("https://klasma.github.io/Logging_2326/klagomålsmail/A 27921-2024 FSC-klagomål mail.docx", "A 27921-2024")</f>
        <v/>
      </c>
      <c r="X112">
        <f>HYPERLINK("https://klasma.github.io/Logging_2326/tillsyn/A 27921-2024 tillsynsbegäran.docx", "A 27921-2024")</f>
        <v/>
      </c>
      <c r="Y112">
        <f>HYPERLINK("https://klasma.github.io/Logging_2326/tillsynsmail/A 27921-2024 tillsynsbegäran mail.docx", "A 27921-2024")</f>
        <v/>
      </c>
    </row>
    <row r="113" ht="15" customHeight="1">
      <c r="A113" t="inlineStr">
        <is>
          <t>A 28908-2024</t>
        </is>
      </c>
      <c r="B113" s="1" t="n">
        <v>45480</v>
      </c>
      <c r="C113" s="1" t="n">
        <v>45787</v>
      </c>
      <c r="D113" t="inlineStr">
        <is>
          <t>JÄMTLANDS LÄN</t>
        </is>
      </c>
      <c r="E113" t="inlineStr">
        <is>
          <t>BERG</t>
        </is>
      </c>
      <c r="G113" t="n">
        <v>10.8</v>
      </c>
      <c r="H113" t="n">
        <v>1</v>
      </c>
      <c r="I113" t="n">
        <v>0</v>
      </c>
      <c r="J113" t="n">
        <v>3</v>
      </c>
      <c r="K113" t="n">
        <v>0</v>
      </c>
      <c r="L113" t="n">
        <v>0</v>
      </c>
      <c r="M113" t="n">
        <v>0</v>
      </c>
      <c r="N113" t="n">
        <v>0</v>
      </c>
      <c r="O113" t="n">
        <v>3</v>
      </c>
      <c r="P113" t="n">
        <v>0</v>
      </c>
      <c r="Q113" t="n">
        <v>3</v>
      </c>
      <c r="R113" s="2" t="inlineStr">
        <is>
          <t>Granticka
Tallticka
Tretåig hackspett</t>
        </is>
      </c>
      <c r="S113">
        <f>HYPERLINK("https://klasma.github.io/Logging_2326/artfynd/A 28908-2024 artfynd.xlsx", "A 28908-2024")</f>
        <v/>
      </c>
      <c r="T113">
        <f>HYPERLINK("https://klasma.github.io/Logging_2326/kartor/A 28908-2024 karta.png", "A 28908-2024")</f>
        <v/>
      </c>
      <c r="V113">
        <f>HYPERLINK("https://klasma.github.io/Logging_2326/klagomål/A 28908-2024 FSC-klagomål.docx", "A 28908-2024")</f>
        <v/>
      </c>
      <c r="W113">
        <f>HYPERLINK("https://klasma.github.io/Logging_2326/klagomålsmail/A 28908-2024 FSC-klagomål mail.docx", "A 28908-2024")</f>
        <v/>
      </c>
      <c r="X113">
        <f>HYPERLINK("https://klasma.github.io/Logging_2326/tillsyn/A 28908-2024 tillsynsbegäran.docx", "A 28908-2024")</f>
        <v/>
      </c>
      <c r="Y113">
        <f>HYPERLINK("https://klasma.github.io/Logging_2326/tillsynsmail/A 28908-2024 tillsynsbegäran mail.docx", "A 28908-2024")</f>
        <v/>
      </c>
      <c r="Z113">
        <f>HYPERLINK("https://klasma.github.io/Logging_2326/fåglar/A 28908-2024 prioriterade fågelarter.docx", "A 28908-2024")</f>
        <v/>
      </c>
    </row>
    <row r="114" ht="15" customHeight="1">
      <c r="A114" t="inlineStr">
        <is>
          <t>A 32463-2024</t>
        </is>
      </c>
      <c r="B114" s="1" t="n">
        <v>45513</v>
      </c>
      <c r="C114" s="1" t="n">
        <v>45787</v>
      </c>
      <c r="D114" t="inlineStr">
        <is>
          <t>JÄMTLANDS LÄN</t>
        </is>
      </c>
      <c r="E114" t="inlineStr">
        <is>
          <t>BERG</t>
        </is>
      </c>
      <c r="F114" t="inlineStr">
        <is>
          <t>SCA</t>
        </is>
      </c>
      <c r="G114" t="n">
        <v>9.699999999999999</v>
      </c>
      <c r="H114" t="n">
        <v>1</v>
      </c>
      <c r="I114" t="n">
        <v>2</v>
      </c>
      <c r="J114" t="n">
        <v>0</v>
      </c>
      <c r="K114" t="n">
        <v>1</v>
      </c>
      <c r="L114" t="n">
        <v>0</v>
      </c>
      <c r="M114" t="n">
        <v>0</v>
      </c>
      <c r="N114" t="n">
        <v>0</v>
      </c>
      <c r="O114" t="n">
        <v>1</v>
      </c>
      <c r="P114" t="n">
        <v>1</v>
      </c>
      <c r="Q114" t="n">
        <v>3</v>
      </c>
      <c r="R114" s="2" t="inlineStr">
        <is>
          <t>Doftticka
Dropptaggsvamp
Skarp dropptaggsvamp</t>
        </is>
      </c>
      <c r="S114">
        <f>HYPERLINK("https://klasma.github.io/Logging_2326/artfynd/A 32463-2024 artfynd.xlsx", "A 32463-2024")</f>
        <v/>
      </c>
      <c r="T114">
        <f>HYPERLINK("https://klasma.github.io/Logging_2326/kartor/A 32463-2024 karta.png", "A 32463-2024")</f>
        <v/>
      </c>
      <c r="V114">
        <f>HYPERLINK("https://klasma.github.io/Logging_2326/klagomål/A 32463-2024 FSC-klagomål.docx", "A 32463-2024")</f>
        <v/>
      </c>
      <c r="W114">
        <f>HYPERLINK("https://klasma.github.io/Logging_2326/klagomålsmail/A 32463-2024 FSC-klagomål mail.docx", "A 32463-2024")</f>
        <v/>
      </c>
      <c r="X114">
        <f>HYPERLINK("https://klasma.github.io/Logging_2326/tillsyn/A 32463-2024 tillsynsbegäran.docx", "A 32463-2024")</f>
        <v/>
      </c>
      <c r="Y114">
        <f>HYPERLINK("https://klasma.github.io/Logging_2326/tillsynsmail/A 32463-2024 tillsynsbegäran mail.docx", "A 32463-2024")</f>
        <v/>
      </c>
    </row>
    <row r="115" ht="15" customHeight="1">
      <c r="A115" t="inlineStr">
        <is>
          <t>A 35925-2024</t>
        </is>
      </c>
      <c r="B115" s="1" t="n">
        <v>45533</v>
      </c>
      <c r="C115" s="1" t="n">
        <v>45787</v>
      </c>
      <c r="D115" t="inlineStr">
        <is>
          <t>JÄMTLANDS LÄN</t>
        </is>
      </c>
      <c r="E115" t="inlineStr">
        <is>
          <t>BERG</t>
        </is>
      </c>
      <c r="G115" t="n">
        <v>21.3</v>
      </c>
      <c r="H115" t="n">
        <v>0</v>
      </c>
      <c r="I115" t="n">
        <v>1</v>
      </c>
      <c r="J115" t="n">
        <v>2</v>
      </c>
      <c r="K115" t="n">
        <v>0</v>
      </c>
      <c r="L115" t="n">
        <v>0</v>
      </c>
      <c r="M115" t="n">
        <v>0</v>
      </c>
      <c r="N115" t="n">
        <v>0</v>
      </c>
      <c r="O115" t="n">
        <v>2</v>
      </c>
      <c r="P115" t="n">
        <v>0</v>
      </c>
      <c r="Q115" t="n">
        <v>3</v>
      </c>
      <c r="R115" s="2" t="inlineStr">
        <is>
          <t>Lunglav
Parknål
Bårdlav</t>
        </is>
      </c>
      <c r="S115">
        <f>HYPERLINK("https://klasma.github.io/Logging_2326/artfynd/A 35925-2024 artfynd.xlsx", "A 35925-2024")</f>
        <v/>
      </c>
      <c r="T115">
        <f>HYPERLINK("https://klasma.github.io/Logging_2326/kartor/A 35925-2024 karta.png", "A 35925-2024")</f>
        <v/>
      </c>
      <c r="V115">
        <f>HYPERLINK("https://klasma.github.io/Logging_2326/klagomål/A 35925-2024 FSC-klagomål.docx", "A 35925-2024")</f>
        <v/>
      </c>
      <c r="W115">
        <f>HYPERLINK("https://klasma.github.io/Logging_2326/klagomålsmail/A 35925-2024 FSC-klagomål mail.docx", "A 35925-2024")</f>
        <v/>
      </c>
      <c r="X115">
        <f>HYPERLINK("https://klasma.github.io/Logging_2326/tillsyn/A 35925-2024 tillsynsbegäran.docx", "A 35925-2024")</f>
        <v/>
      </c>
      <c r="Y115">
        <f>HYPERLINK("https://klasma.github.io/Logging_2326/tillsynsmail/A 35925-2024 tillsynsbegäran mail.docx", "A 35925-2024")</f>
        <v/>
      </c>
    </row>
    <row r="116" ht="15" customHeight="1">
      <c r="A116" t="inlineStr">
        <is>
          <t>A 40677-2024</t>
        </is>
      </c>
      <c r="B116" s="1" t="n">
        <v>45557</v>
      </c>
      <c r="C116" s="1" t="n">
        <v>45787</v>
      </c>
      <c r="D116" t="inlineStr">
        <is>
          <t>JÄMTLANDS LÄN</t>
        </is>
      </c>
      <c r="E116" t="inlineStr">
        <is>
          <t>BERG</t>
        </is>
      </c>
      <c r="G116" t="n">
        <v>20.6</v>
      </c>
      <c r="H116" t="n">
        <v>0</v>
      </c>
      <c r="I116" t="n">
        <v>1</v>
      </c>
      <c r="J116" t="n">
        <v>2</v>
      </c>
      <c r="K116" t="n">
        <v>0</v>
      </c>
      <c r="L116" t="n">
        <v>0</v>
      </c>
      <c r="M116" t="n">
        <v>0</v>
      </c>
      <c r="N116" t="n">
        <v>0</v>
      </c>
      <c r="O116" t="n">
        <v>2</v>
      </c>
      <c r="P116" t="n">
        <v>0</v>
      </c>
      <c r="Q116" t="n">
        <v>3</v>
      </c>
      <c r="R116" s="2" t="inlineStr">
        <is>
          <t>Lunglav
Skrovellav
Rödgul trumpetsvamp</t>
        </is>
      </c>
      <c r="S116">
        <f>HYPERLINK("https://klasma.github.io/Logging_2326/artfynd/A 40677-2024 artfynd.xlsx", "A 40677-2024")</f>
        <v/>
      </c>
      <c r="T116">
        <f>HYPERLINK("https://klasma.github.io/Logging_2326/kartor/A 40677-2024 karta.png", "A 40677-2024")</f>
        <v/>
      </c>
      <c r="V116">
        <f>HYPERLINK("https://klasma.github.io/Logging_2326/klagomål/A 40677-2024 FSC-klagomål.docx", "A 40677-2024")</f>
        <v/>
      </c>
      <c r="W116">
        <f>HYPERLINK("https://klasma.github.io/Logging_2326/klagomålsmail/A 40677-2024 FSC-klagomål mail.docx", "A 40677-2024")</f>
        <v/>
      </c>
      <c r="X116">
        <f>HYPERLINK("https://klasma.github.io/Logging_2326/tillsyn/A 40677-2024 tillsynsbegäran.docx", "A 40677-2024")</f>
        <v/>
      </c>
      <c r="Y116">
        <f>HYPERLINK("https://klasma.github.io/Logging_2326/tillsynsmail/A 40677-2024 tillsynsbegäran mail.docx", "A 40677-2024")</f>
        <v/>
      </c>
    </row>
    <row r="117" ht="15" customHeight="1">
      <c r="A117" t="inlineStr">
        <is>
          <t>A 47122-2024</t>
        </is>
      </c>
      <c r="B117" s="1" t="n">
        <v>45586</v>
      </c>
      <c r="C117" s="1" t="n">
        <v>45787</v>
      </c>
      <c r="D117" t="inlineStr">
        <is>
          <t>JÄMTLANDS LÄN</t>
        </is>
      </c>
      <c r="E117" t="inlineStr">
        <is>
          <t>BERG</t>
        </is>
      </c>
      <c r="G117" t="n">
        <v>4.8</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HYPERLINK("https://klasma.github.io/Logging_2326/artfynd/A 47122-2024 artfynd.xlsx", "A 47122-2024")</f>
        <v/>
      </c>
      <c r="T117">
        <f>HYPERLINK("https://klasma.github.io/Logging_2326/kartor/A 47122-2024 karta.png", "A 47122-2024")</f>
        <v/>
      </c>
      <c r="V117">
        <f>HYPERLINK("https://klasma.github.io/Logging_2326/klagomål/A 47122-2024 FSC-klagomål.docx", "A 47122-2024")</f>
        <v/>
      </c>
      <c r="W117">
        <f>HYPERLINK("https://klasma.github.io/Logging_2326/klagomålsmail/A 47122-2024 FSC-klagomål mail.docx", "A 47122-2024")</f>
        <v/>
      </c>
      <c r="X117">
        <f>HYPERLINK("https://klasma.github.io/Logging_2326/tillsyn/A 47122-2024 tillsynsbegäran.docx", "A 47122-2024")</f>
        <v/>
      </c>
      <c r="Y117">
        <f>HYPERLINK("https://klasma.github.io/Logging_2326/tillsynsmail/A 47122-2024 tillsynsbegäran mail.docx", "A 47122-2024")</f>
        <v/>
      </c>
      <c r="Z117">
        <f>HYPERLINK("https://klasma.github.io/Logging_2326/fåglar/A 47122-2024 prioriterade fågelarter.docx", "A 47122-2024")</f>
        <v/>
      </c>
    </row>
    <row r="118" ht="15" customHeight="1">
      <c r="A118" t="inlineStr">
        <is>
          <t>A 52189-2024</t>
        </is>
      </c>
      <c r="B118" s="1" t="n">
        <v>45608</v>
      </c>
      <c r="C118" s="1" t="n">
        <v>45787</v>
      </c>
      <c r="D118" t="inlineStr">
        <is>
          <t>JÄMTLANDS LÄN</t>
        </is>
      </c>
      <c r="E118" t="inlineStr">
        <is>
          <t>BERG</t>
        </is>
      </c>
      <c r="G118" t="n">
        <v>10.6</v>
      </c>
      <c r="H118" t="n">
        <v>0</v>
      </c>
      <c r="I118" t="n">
        <v>0</v>
      </c>
      <c r="J118" t="n">
        <v>3</v>
      </c>
      <c r="K118" t="n">
        <v>0</v>
      </c>
      <c r="L118" t="n">
        <v>0</v>
      </c>
      <c r="M118" t="n">
        <v>0</v>
      </c>
      <c r="N118" t="n">
        <v>0</v>
      </c>
      <c r="O118" t="n">
        <v>3</v>
      </c>
      <c r="P118" t="n">
        <v>0</v>
      </c>
      <c r="Q118" t="n">
        <v>3</v>
      </c>
      <c r="R118" s="2" t="inlineStr">
        <is>
          <t>Granticka
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61084-2024</t>
        </is>
      </c>
      <c r="B119" s="1" t="n">
        <v>45645</v>
      </c>
      <c r="C119" s="1" t="n">
        <v>45787</v>
      </c>
      <c r="D119" t="inlineStr">
        <is>
          <t>JÄMTLANDS LÄN</t>
        </is>
      </c>
      <c r="E119" t="inlineStr">
        <is>
          <t>BERG</t>
        </is>
      </c>
      <c r="F119" t="inlineStr">
        <is>
          <t>SCA</t>
        </is>
      </c>
      <c r="G119" t="n">
        <v>17.7</v>
      </c>
      <c r="H119" t="n">
        <v>0</v>
      </c>
      <c r="I119" t="n">
        <v>0</v>
      </c>
      <c r="J119" t="n">
        <v>1</v>
      </c>
      <c r="K119" t="n">
        <v>2</v>
      </c>
      <c r="L119" t="n">
        <v>0</v>
      </c>
      <c r="M119" t="n">
        <v>0</v>
      </c>
      <c r="N119" t="n">
        <v>0</v>
      </c>
      <c r="O119" t="n">
        <v>3</v>
      </c>
      <c r="P119" t="n">
        <v>2</v>
      </c>
      <c r="Q119" t="n">
        <v>3</v>
      </c>
      <c r="R119" s="2" t="inlineStr">
        <is>
          <t>Gräddporing
Smalfotad taggsvamp
Dvärgbägarlav</t>
        </is>
      </c>
      <c r="S119">
        <f>HYPERLINK("https://klasma.github.io/Logging_2326/artfynd/A 61084-2024 artfynd.xlsx", "A 61084-2024")</f>
        <v/>
      </c>
      <c r="T119">
        <f>HYPERLINK("https://klasma.github.io/Logging_2326/kartor/A 61084-2024 karta.png", "A 61084-2024")</f>
        <v/>
      </c>
      <c r="V119">
        <f>HYPERLINK("https://klasma.github.io/Logging_2326/klagomål/A 61084-2024 FSC-klagomål.docx", "A 61084-2024")</f>
        <v/>
      </c>
      <c r="W119">
        <f>HYPERLINK("https://klasma.github.io/Logging_2326/klagomålsmail/A 61084-2024 FSC-klagomål mail.docx", "A 61084-2024")</f>
        <v/>
      </c>
      <c r="X119">
        <f>HYPERLINK("https://klasma.github.io/Logging_2326/tillsyn/A 61084-2024 tillsynsbegäran.docx", "A 61084-2024")</f>
        <v/>
      </c>
      <c r="Y119">
        <f>HYPERLINK("https://klasma.github.io/Logging_2326/tillsynsmail/A 61084-2024 tillsynsbegäran mail.docx", "A 61084-2024")</f>
        <v/>
      </c>
    </row>
    <row r="120" ht="15" customHeight="1">
      <c r="A120" t="inlineStr">
        <is>
          <t>A 19848-2025</t>
        </is>
      </c>
      <c r="B120" s="1" t="n">
        <v>45771</v>
      </c>
      <c r="C120" s="1" t="n">
        <v>45787</v>
      </c>
      <c r="D120" t="inlineStr">
        <is>
          <t>JÄMTLANDS LÄN</t>
        </is>
      </c>
      <c r="E120" t="inlineStr">
        <is>
          <t>BERG</t>
        </is>
      </c>
      <c r="F120" t="inlineStr">
        <is>
          <t>SCA</t>
        </is>
      </c>
      <c r="G120" t="n">
        <v>23.9</v>
      </c>
      <c r="H120" t="n">
        <v>0</v>
      </c>
      <c r="I120" t="n">
        <v>0</v>
      </c>
      <c r="J120" t="n">
        <v>2</v>
      </c>
      <c r="K120" t="n">
        <v>1</v>
      </c>
      <c r="L120" t="n">
        <v>0</v>
      </c>
      <c r="M120" t="n">
        <v>0</v>
      </c>
      <c r="N120" t="n">
        <v>0</v>
      </c>
      <c r="O120" t="n">
        <v>3</v>
      </c>
      <c r="P120" t="n">
        <v>1</v>
      </c>
      <c r="Q120" t="n">
        <v>3</v>
      </c>
      <c r="R120" s="2" t="inlineStr">
        <is>
          <t>Smalfotad taggsvamp
Dvärgbägarlav
Nordtagging</t>
        </is>
      </c>
      <c r="S120">
        <f>HYPERLINK("https://klasma.github.io/Logging_232326/artfynd/A 19848-2025 artfynd.xlsx", "A 19848-2025")</f>
        <v/>
      </c>
      <c r="T120">
        <f>HYPERLINK("https://klasma.github.io/Logging_232326/kartor/A 19848-2025 karta.png", "A 19848-2025")</f>
        <v/>
      </c>
      <c r="V120">
        <f>HYPERLINK("https://klasma.github.io/Logging_232326/klagomål/A 19848-2025 FSC-klagomål.docx", "A 19848-2025")</f>
        <v/>
      </c>
      <c r="W120">
        <f>HYPERLINK("https://klasma.github.io/Logging_232326/klagomålsmail/A 19848-2025 FSC-klagomål mail.docx", "A 19848-2025")</f>
        <v/>
      </c>
      <c r="X120">
        <f>HYPERLINK("https://klasma.github.io/Logging_232326/tillsyn/A 19848-2025 tillsynsbegäran.docx", "A 19848-2025")</f>
        <v/>
      </c>
      <c r="Y120">
        <f>HYPERLINK("https://klasma.github.io/Logging_232326/tillsynsmail/A 19848-2025 tillsynsbegäran mail.docx", "A 19848-2025")</f>
        <v/>
      </c>
    </row>
    <row r="121" ht="15" customHeight="1">
      <c r="A121" t="inlineStr">
        <is>
          <t>A 26194-2019</t>
        </is>
      </c>
      <c r="B121" s="1" t="n">
        <v>43609</v>
      </c>
      <c r="C121" s="1" t="n">
        <v>45787</v>
      </c>
      <c r="D121" t="inlineStr">
        <is>
          <t>JÄMTLANDS LÄN</t>
        </is>
      </c>
      <c r="E121" t="inlineStr">
        <is>
          <t>BERG</t>
        </is>
      </c>
      <c r="G121" t="n">
        <v>11</v>
      </c>
      <c r="H121" t="n">
        <v>0</v>
      </c>
      <c r="I121" t="n">
        <v>0</v>
      </c>
      <c r="J121" t="n">
        <v>2</v>
      </c>
      <c r="K121" t="n">
        <v>0</v>
      </c>
      <c r="L121" t="n">
        <v>0</v>
      </c>
      <c r="M121" t="n">
        <v>0</v>
      </c>
      <c r="N121" t="n">
        <v>0</v>
      </c>
      <c r="O121" t="n">
        <v>2</v>
      </c>
      <c r="P121" t="n">
        <v>0</v>
      </c>
      <c r="Q121" t="n">
        <v>2</v>
      </c>
      <c r="R121" s="2" t="inlineStr">
        <is>
          <t>Vedflamlav
Vedskivlav</t>
        </is>
      </c>
      <c r="S121">
        <f>HYPERLINK("https://klasma.github.io/Logging_2326/artfynd/A 26194-2019 artfynd.xlsx", "A 26194-2019")</f>
        <v/>
      </c>
      <c r="T121">
        <f>HYPERLINK("https://klasma.github.io/Logging_2326/kartor/A 26194-2019 karta.png", "A 26194-2019")</f>
        <v/>
      </c>
      <c r="V121">
        <f>HYPERLINK("https://klasma.github.io/Logging_2326/klagomål/A 26194-2019 FSC-klagomål.docx", "A 26194-2019")</f>
        <v/>
      </c>
      <c r="W121">
        <f>HYPERLINK("https://klasma.github.io/Logging_2326/klagomålsmail/A 26194-2019 FSC-klagomål mail.docx", "A 26194-2019")</f>
        <v/>
      </c>
      <c r="X121">
        <f>HYPERLINK("https://klasma.github.io/Logging_2326/tillsyn/A 26194-2019 tillsynsbegäran.docx", "A 26194-2019")</f>
        <v/>
      </c>
      <c r="Y121">
        <f>HYPERLINK("https://klasma.github.io/Logging_2326/tillsynsmail/A 26194-2019 tillsynsbegäran mail.docx", "A 26194-2019")</f>
        <v/>
      </c>
    </row>
    <row r="122" ht="15" customHeight="1">
      <c r="A122" t="inlineStr">
        <is>
          <t>A 24421-2020</t>
        </is>
      </c>
      <c r="B122" s="1" t="n">
        <v>43976</v>
      </c>
      <c r="C122" s="1" t="n">
        <v>45787</v>
      </c>
      <c r="D122" t="inlineStr">
        <is>
          <t>JÄMTLANDS LÄN</t>
        </is>
      </c>
      <c r="E122" t="inlineStr">
        <is>
          <t>BERG</t>
        </is>
      </c>
      <c r="F122" t="inlineStr">
        <is>
          <t>SCA</t>
        </is>
      </c>
      <c r="G122" t="n">
        <v>15.8</v>
      </c>
      <c r="H122" t="n">
        <v>0</v>
      </c>
      <c r="I122" t="n">
        <v>0</v>
      </c>
      <c r="J122" t="n">
        <v>2</v>
      </c>
      <c r="K122" t="n">
        <v>0</v>
      </c>
      <c r="L122" t="n">
        <v>0</v>
      </c>
      <c r="M122" t="n">
        <v>0</v>
      </c>
      <c r="N122" t="n">
        <v>0</v>
      </c>
      <c r="O122" t="n">
        <v>2</v>
      </c>
      <c r="P122" t="n">
        <v>0</v>
      </c>
      <c r="Q122" t="n">
        <v>2</v>
      </c>
      <c r="R122" s="2" t="inlineStr">
        <is>
          <t>Blanksvart spiklav
Vedflamlav</t>
        </is>
      </c>
      <c r="S122">
        <f>HYPERLINK("https://klasma.github.io/Logging_2326/artfynd/A 24421-2020 artfynd.xlsx", "A 24421-2020")</f>
        <v/>
      </c>
      <c r="T122">
        <f>HYPERLINK("https://klasma.github.io/Logging_2326/kartor/A 24421-2020 karta.png", "A 24421-2020")</f>
        <v/>
      </c>
      <c r="V122">
        <f>HYPERLINK("https://klasma.github.io/Logging_2326/klagomål/A 24421-2020 FSC-klagomål.docx", "A 24421-2020")</f>
        <v/>
      </c>
      <c r="W122">
        <f>HYPERLINK("https://klasma.github.io/Logging_2326/klagomålsmail/A 24421-2020 FSC-klagomål mail.docx", "A 24421-2020")</f>
        <v/>
      </c>
      <c r="X122">
        <f>HYPERLINK("https://klasma.github.io/Logging_2326/tillsyn/A 24421-2020 tillsynsbegäran.docx", "A 24421-2020")</f>
        <v/>
      </c>
      <c r="Y122">
        <f>HYPERLINK("https://klasma.github.io/Logging_2326/tillsynsmail/A 24421-2020 tillsynsbegäran mail.docx", "A 24421-2020")</f>
        <v/>
      </c>
    </row>
    <row r="123" ht="15" customHeight="1">
      <c r="A123" t="inlineStr">
        <is>
          <t>A 34577-2020</t>
        </is>
      </c>
      <c r="B123" s="1" t="n">
        <v>44033</v>
      </c>
      <c r="C123" s="1" t="n">
        <v>45787</v>
      </c>
      <c r="D123" t="inlineStr">
        <is>
          <t>JÄMTLANDS LÄN</t>
        </is>
      </c>
      <c r="E123" t="inlineStr">
        <is>
          <t>BERG</t>
        </is>
      </c>
      <c r="F123" t="inlineStr">
        <is>
          <t>SCA</t>
        </is>
      </c>
      <c r="G123" t="n">
        <v>7</v>
      </c>
      <c r="H123" t="n">
        <v>1</v>
      </c>
      <c r="I123" t="n">
        <v>0</v>
      </c>
      <c r="J123" t="n">
        <v>1</v>
      </c>
      <c r="K123" t="n">
        <v>1</v>
      </c>
      <c r="L123" t="n">
        <v>0</v>
      </c>
      <c r="M123" t="n">
        <v>0</v>
      </c>
      <c r="N123" t="n">
        <v>0</v>
      </c>
      <c r="O123" t="n">
        <v>2</v>
      </c>
      <c r="P123" t="n">
        <v>1</v>
      </c>
      <c r="Q123" t="n">
        <v>2</v>
      </c>
      <c r="R123" s="2" t="inlineStr">
        <is>
          <t>Doftticka
Skrovellav</t>
        </is>
      </c>
      <c r="S123">
        <f>HYPERLINK("https://klasma.github.io/Logging_2326/artfynd/A 34577-2020 artfynd.xlsx", "A 34577-2020")</f>
        <v/>
      </c>
      <c r="T123">
        <f>HYPERLINK("https://klasma.github.io/Logging_2326/kartor/A 34577-2020 karta.png", "A 34577-2020")</f>
        <v/>
      </c>
      <c r="V123">
        <f>HYPERLINK("https://klasma.github.io/Logging_2326/klagomål/A 34577-2020 FSC-klagomål.docx", "A 34577-2020")</f>
        <v/>
      </c>
      <c r="W123">
        <f>HYPERLINK("https://klasma.github.io/Logging_2326/klagomålsmail/A 34577-2020 FSC-klagomål mail.docx", "A 34577-2020")</f>
        <v/>
      </c>
      <c r="X123">
        <f>HYPERLINK("https://klasma.github.io/Logging_2326/tillsyn/A 34577-2020 tillsynsbegäran.docx", "A 34577-2020")</f>
        <v/>
      </c>
      <c r="Y123">
        <f>HYPERLINK("https://klasma.github.io/Logging_2326/tillsynsmail/A 34577-2020 tillsynsbegäran mail.docx", "A 34577-2020")</f>
        <v/>
      </c>
    </row>
    <row r="124" ht="15" customHeight="1">
      <c r="A124" t="inlineStr">
        <is>
          <t>A 59786-2020</t>
        </is>
      </c>
      <c r="B124" s="1" t="n">
        <v>44148</v>
      </c>
      <c r="C124" s="1" t="n">
        <v>45787</v>
      </c>
      <c r="D124" t="inlineStr">
        <is>
          <t>JÄMTLANDS LÄN</t>
        </is>
      </c>
      <c r="E124" t="inlineStr">
        <is>
          <t>BERG</t>
        </is>
      </c>
      <c r="F124" t="inlineStr">
        <is>
          <t>Kommuner</t>
        </is>
      </c>
      <c r="G124" t="n">
        <v>9.1</v>
      </c>
      <c r="H124" t="n">
        <v>0</v>
      </c>
      <c r="I124" t="n">
        <v>0</v>
      </c>
      <c r="J124" t="n">
        <v>2</v>
      </c>
      <c r="K124" t="n">
        <v>0</v>
      </c>
      <c r="L124" t="n">
        <v>0</v>
      </c>
      <c r="M124" t="n">
        <v>0</v>
      </c>
      <c r="N124" t="n">
        <v>0</v>
      </c>
      <c r="O124" t="n">
        <v>2</v>
      </c>
      <c r="P124" t="n">
        <v>0</v>
      </c>
      <c r="Q124" t="n">
        <v>2</v>
      </c>
      <c r="R124" s="2" t="inlineStr">
        <is>
          <t>Gränsticka
Rosenticka</t>
        </is>
      </c>
      <c r="S124">
        <f>HYPERLINK("https://klasma.github.io/Logging_2326/artfynd/A 59786-2020 artfynd.xlsx", "A 59786-2020")</f>
        <v/>
      </c>
      <c r="T124">
        <f>HYPERLINK("https://klasma.github.io/Logging_2326/kartor/A 59786-2020 karta.png", "A 59786-2020")</f>
        <v/>
      </c>
      <c r="V124">
        <f>HYPERLINK("https://klasma.github.io/Logging_2326/klagomål/A 59786-2020 FSC-klagomål.docx", "A 59786-2020")</f>
        <v/>
      </c>
      <c r="W124">
        <f>HYPERLINK("https://klasma.github.io/Logging_2326/klagomålsmail/A 59786-2020 FSC-klagomål mail.docx", "A 59786-2020")</f>
        <v/>
      </c>
      <c r="X124">
        <f>HYPERLINK("https://klasma.github.io/Logging_2326/tillsyn/A 59786-2020 tillsynsbegäran.docx", "A 59786-2020")</f>
        <v/>
      </c>
      <c r="Y124">
        <f>HYPERLINK("https://klasma.github.io/Logging_2326/tillsynsmail/A 59786-2020 tillsynsbegäran mail.docx", "A 59786-2020")</f>
        <v/>
      </c>
    </row>
    <row r="125" ht="15" customHeight="1">
      <c r="A125" t="inlineStr">
        <is>
          <t>A 14588-2021</t>
        </is>
      </c>
      <c r="B125" s="1" t="n">
        <v>44279</v>
      </c>
      <c r="C125" s="1" t="n">
        <v>45787</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51950-2021</t>
        </is>
      </c>
      <c r="B126" s="1" t="n">
        <v>44463</v>
      </c>
      <c r="C126" s="1" t="n">
        <v>45787</v>
      </c>
      <c r="D126" t="inlineStr">
        <is>
          <t>JÄMTLANDS LÄN</t>
        </is>
      </c>
      <c r="E126" t="inlineStr">
        <is>
          <t>BERG</t>
        </is>
      </c>
      <c r="F126" t="inlineStr">
        <is>
          <t>SCA</t>
        </is>
      </c>
      <c r="G126" t="n">
        <v>0.8</v>
      </c>
      <c r="H126" t="n">
        <v>0</v>
      </c>
      <c r="I126" t="n">
        <v>0</v>
      </c>
      <c r="J126" t="n">
        <v>2</v>
      </c>
      <c r="K126" t="n">
        <v>0</v>
      </c>
      <c r="L126" t="n">
        <v>0</v>
      </c>
      <c r="M126" t="n">
        <v>0</v>
      </c>
      <c r="N126" t="n">
        <v>0</v>
      </c>
      <c r="O126" t="n">
        <v>2</v>
      </c>
      <c r="P126" t="n">
        <v>0</v>
      </c>
      <c r="Q126" t="n">
        <v>2</v>
      </c>
      <c r="R126" s="2" t="inlineStr">
        <is>
          <t>Garnlav
Vedflamlav</t>
        </is>
      </c>
      <c r="S126">
        <f>HYPERLINK("https://klasma.github.io/Logging_2326/artfynd/A 51950-2021 artfynd.xlsx", "A 51950-2021")</f>
        <v/>
      </c>
      <c r="T126">
        <f>HYPERLINK("https://klasma.github.io/Logging_2326/kartor/A 51950-2021 karta.png", "A 51950-2021")</f>
        <v/>
      </c>
      <c r="V126">
        <f>HYPERLINK("https://klasma.github.io/Logging_2326/klagomål/A 51950-2021 FSC-klagomål.docx", "A 51950-2021")</f>
        <v/>
      </c>
      <c r="W126">
        <f>HYPERLINK("https://klasma.github.io/Logging_2326/klagomålsmail/A 51950-2021 FSC-klagomål mail.docx", "A 51950-2021")</f>
        <v/>
      </c>
      <c r="X126">
        <f>HYPERLINK("https://klasma.github.io/Logging_2326/tillsyn/A 51950-2021 tillsynsbegäran.docx", "A 51950-2021")</f>
        <v/>
      </c>
      <c r="Y126">
        <f>HYPERLINK("https://klasma.github.io/Logging_2326/tillsynsmail/A 51950-2021 tillsynsbegäran mail.docx", "A 51950-2021")</f>
        <v/>
      </c>
    </row>
    <row r="127" ht="15" customHeight="1">
      <c r="A127" t="inlineStr">
        <is>
          <t>A 6784-2022</t>
        </is>
      </c>
      <c r="B127" s="1" t="n">
        <v>44602</v>
      </c>
      <c r="C127" s="1" t="n">
        <v>45787</v>
      </c>
      <c r="D127" t="inlineStr">
        <is>
          <t>JÄMTLANDS LÄN</t>
        </is>
      </c>
      <c r="E127" t="inlineStr">
        <is>
          <t>BERG</t>
        </is>
      </c>
      <c r="G127" t="n">
        <v>4</v>
      </c>
      <c r="H127" t="n">
        <v>1</v>
      </c>
      <c r="I127" t="n">
        <v>0</v>
      </c>
      <c r="J127" t="n">
        <v>1</v>
      </c>
      <c r="K127" t="n">
        <v>0</v>
      </c>
      <c r="L127" t="n">
        <v>0</v>
      </c>
      <c r="M127" t="n">
        <v>0</v>
      </c>
      <c r="N127" t="n">
        <v>0</v>
      </c>
      <c r="O127" t="n">
        <v>1</v>
      </c>
      <c r="P127" t="n">
        <v>0</v>
      </c>
      <c r="Q127" t="n">
        <v>2</v>
      </c>
      <c r="R127" s="2" t="inlineStr">
        <is>
          <t>Brunklöver
Brudsporre</t>
        </is>
      </c>
      <c r="S127">
        <f>HYPERLINK("https://klasma.github.io/Logging_2326/artfynd/A 6784-2022 artfynd.xlsx", "A 6784-2022")</f>
        <v/>
      </c>
      <c r="T127">
        <f>HYPERLINK("https://klasma.github.io/Logging_2326/kartor/A 6784-2022 karta.png", "A 6784-2022")</f>
        <v/>
      </c>
      <c r="V127">
        <f>HYPERLINK("https://klasma.github.io/Logging_2326/klagomål/A 6784-2022 FSC-klagomål.docx", "A 6784-2022")</f>
        <v/>
      </c>
      <c r="W127">
        <f>HYPERLINK("https://klasma.github.io/Logging_2326/klagomålsmail/A 6784-2022 FSC-klagomål mail.docx", "A 6784-2022")</f>
        <v/>
      </c>
      <c r="X127">
        <f>HYPERLINK("https://klasma.github.io/Logging_2326/tillsyn/A 6784-2022 tillsynsbegäran.docx", "A 6784-2022")</f>
        <v/>
      </c>
      <c r="Y127">
        <f>HYPERLINK("https://klasma.github.io/Logging_2326/tillsynsmail/A 6784-2022 tillsynsbegäran mail.docx", "A 6784-2022")</f>
        <v/>
      </c>
    </row>
    <row r="128" ht="15" customHeight="1">
      <c r="A128" t="inlineStr">
        <is>
          <t>A 37387-2022</t>
        </is>
      </c>
      <c r="B128" s="1" t="n">
        <v>44806</v>
      </c>
      <c r="C128" s="1" t="n">
        <v>45787</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41823-2022</t>
        </is>
      </c>
      <c r="B129" s="1" t="n">
        <v>44827</v>
      </c>
      <c r="C129" s="1" t="n">
        <v>45787</v>
      </c>
      <c r="D129" t="inlineStr">
        <is>
          <t>JÄMTLANDS LÄN</t>
        </is>
      </c>
      <c r="E129" t="inlineStr">
        <is>
          <t>BERG</t>
        </is>
      </c>
      <c r="F129" t="inlineStr">
        <is>
          <t>SCA</t>
        </is>
      </c>
      <c r="G129" t="n">
        <v>21.6</v>
      </c>
      <c r="H129" t="n">
        <v>1</v>
      </c>
      <c r="I129" t="n">
        <v>0</v>
      </c>
      <c r="J129" t="n">
        <v>1</v>
      </c>
      <c r="K129" t="n">
        <v>1</v>
      </c>
      <c r="L129" t="n">
        <v>0</v>
      </c>
      <c r="M129" t="n">
        <v>0</v>
      </c>
      <c r="N129" t="n">
        <v>0</v>
      </c>
      <c r="O129" t="n">
        <v>2</v>
      </c>
      <c r="P129" t="n">
        <v>1</v>
      </c>
      <c r="Q129" t="n">
        <v>2</v>
      </c>
      <c r="R129" s="2" t="inlineStr">
        <is>
          <t>Doftticka
Reliktbock</t>
        </is>
      </c>
      <c r="S129">
        <f>HYPERLINK("https://klasma.github.io/Logging_2326/artfynd/A 41823-2022 artfynd.xlsx", "A 41823-2022")</f>
        <v/>
      </c>
      <c r="T129">
        <f>HYPERLINK("https://klasma.github.io/Logging_2326/kartor/A 41823-2022 karta.png", "A 41823-2022")</f>
        <v/>
      </c>
      <c r="V129">
        <f>HYPERLINK("https://klasma.github.io/Logging_2326/klagomål/A 41823-2022 FSC-klagomål.docx", "A 41823-2022")</f>
        <v/>
      </c>
      <c r="W129">
        <f>HYPERLINK("https://klasma.github.io/Logging_2326/klagomålsmail/A 41823-2022 FSC-klagomål mail.docx", "A 41823-2022")</f>
        <v/>
      </c>
      <c r="X129">
        <f>HYPERLINK("https://klasma.github.io/Logging_2326/tillsyn/A 41823-2022 tillsynsbegäran.docx", "A 41823-2022")</f>
        <v/>
      </c>
      <c r="Y129">
        <f>HYPERLINK("https://klasma.github.io/Logging_2326/tillsynsmail/A 41823-2022 tillsynsbegäran mail.docx", "A 41823-2022")</f>
        <v/>
      </c>
    </row>
    <row r="130" ht="15" customHeight="1">
      <c r="A130" t="inlineStr">
        <is>
          <t>A 44441-2022</t>
        </is>
      </c>
      <c r="B130" s="1" t="n">
        <v>44840</v>
      </c>
      <c r="C130" s="1" t="n">
        <v>45787</v>
      </c>
      <c r="D130" t="inlineStr">
        <is>
          <t>JÄMTLANDS LÄN</t>
        </is>
      </c>
      <c r="E130" t="inlineStr">
        <is>
          <t>BERG</t>
        </is>
      </c>
      <c r="F130" t="inlineStr">
        <is>
          <t>SCA</t>
        </is>
      </c>
      <c r="G130" t="n">
        <v>3.5</v>
      </c>
      <c r="H130" t="n">
        <v>1</v>
      </c>
      <c r="I130" t="n">
        <v>0</v>
      </c>
      <c r="J130" t="n">
        <v>2</v>
      </c>
      <c r="K130" t="n">
        <v>0</v>
      </c>
      <c r="L130" t="n">
        <v>0</v>
      </c>
      <c r="M130" t="n">
        <v>0</v>
      </c>
      <c r="N130" t="n">
        <v>0</v>
      </c>
      <c r="O130" t="n">
        <v>2</v>
      </c>
      <c r="P130" t="n">
        <v>0</v>
      </c>
      <c r="Q130" t="n">
        <v>2</v>
      </c>
      <c r="R130" s="2" t="inlineStr">
        <is>
          <t>Nordtagging
Tretåig hackspett</t>
        </is>
      </c>
      <c r="S130">
        <f>HYPERLINK("https://klasma.github.io/Logging_2326/artfynd/A 44441-2022 artfynd.xlsx", "A 44441-2022")</f>
        <v/>
      </c>
      <c r="T130">
        <f>HYPERLINK("https://klasma.github.io/Logging_2326/kartor/A 44441-2022 karta.png", "A 44441-2022")</f>
        <v/>
      </c>
      <c r="V130">
        <f>HYPERLINK("https://klasma.github.io/Logging_2326/klagomål/A 44441-2022 FSC-klagomål.docx", "A 44441-2022")</f>
        <v/>
      </c>
      <c r="W130">
        <f>HYPERLINK("https://klasma.github.io/Logging_2326/klagomålsmail/A 44441-2022 FSC-klagomål mail.docx", "A 44441-2022")</f>
        <v/>
      </c>
      <c r="X130">
        <f>HYPERLINK("https://klasma.github.io/Logging_2326/tillsyn/A 44441-2022 tillsynsbegäran.docx", "A 44441-2022")</f>
        <v/>
      </c>
      <c r="Y130">
        <f>HYPERLINK("https://klasma.github.io/Logging_2326/tillsynsmail/A 44441-2022 tillsynsbegäran mail.docx", "A 44441-2022")</f>
        <v/>
      </c>
      <c r="Z130">
        <f>HYPERLINK("https://klasma.github.io/Logging_2326/fåglar/A 44441-2022 prioriterade fågelarter.docx", "A 44441-2022")</f>
        <v/>
      </c>
    </row>
    <row r="131" ht="15" customHeight="1">
      <c r="A131" t="inlineStr">
        <is>
          <t>A 60849-2022</t>
        </is>
      </c>
      <c r="B131" s="1" t="n">
        <v>44908</v>
      </c>
      <c r="C131" s="1" t="n">
        <v>45787</v>
      </c>
      <c r="D131" t="inlineStr">
        <is>
          <t>JÄMTLANDS LÄN</t>
        </is>
      </c>
      <c r="E131" t="inlineStr">
        <is>
          <t>BERG</t>
        </is>
      </c>
      <c r="G131" t="n">
        <v>19.2</v>
      </c>
      <c r="H131" t="n">
        <v>1</v>
      </c>
      <c r="I131" t="n">
        <v>0</v>
      </c>
      <c r="J131" t="n">
        <v>1</v>
      </c>
      <c r="K131" t="n">
        <v>1</v>
      </c>
      <c r="L131" t="n">
        <v>0</v>
      </c>
      <c r="M131" t="n">
        <v>0</v>
      </c>
      <c r="N131" t="n">
        <v>0</v>
      </c>
      <c r="O131" t="n">
        <v>2</v>
      </c>
      <c r="P131" t="n">
        <v>1</v>
      </c>
      <c r="Q131" t="n">
        <v>2</v>
      </c>
      <c r="R131" s="2" t="inlineStr">
        <is>
          <t>Knärot
Garnlav</t>
        </is>
      </c>
      <c r="S131">
        <f>HYPERLINK("https://klasma.github.io/Logging_2326/artfynd/A 60849-2022 artfynd.xlsx", "A 60849-2022")</f>
        <v/>
      </c>
      <c r="T131">
        <f>HYPERLINK("https://klasma.github.io/Logging_2326/kartor/A 60849-2022 karta.png", "A 60849-2022")</f>
        <v/>
      </c>
      <c r="U131">
        <f>HYPERLINK("https://klasma.github.io/Logging_2326/knärot/A 60849-2022 karta knärot.png", "A 60849-2022")</f>
        <v/>
      </c>
      <c r="V131">
        <f>HYPERLINK("https://klasma.github.io/Logging_2326/klagomål/A 60849-2022 FSC-klagomål.docx", "A 60849-2022")</f>
        <v/>
      </c>
      <c r="W131">
        <f>HYPERLINK("https://klasma.github.io/Logging_2326/klagomålsmail/A 60849-2022 FSC-klagomål mail.docx", "A 60849-2022")</f>
        <v/>
      </c>
      <c r="X131">
        <f>HYPERLINK("https://klasma.github.io/Logging_2326/tillsyn/A 60849-2022 tillsynsbegäran.docx", "A 60849-2022")</f>
        <v/>
      </c>
      <c r="Y131">
        <f>HYPERLINK("https://klasma.github.io/Logging_2326/tillsynsmail/A 60849-2022 tillsynsbegäran mail.docx", "A 60849-2022")</f>
        <v/>
      </c>
    </row>
    <row r="132" ht="15" customHeight="1">
      <c r="A132" t="inlineStr">
        <is>
          <t>A 575-2023</t>
        </is>
      </c>
      <c r="B132" s="1" t="n">
        <v>44930</v>
      </c>
      <c r="C132" s="1" t="n">
        <v>45787</v>
      </c>
      <c r="D132" t="inlineStr">
        <is>
          <t>JÄMTLANDS LÄN</t>
        </is>
      </c>
      <c r="E132" t="inlineStr">
        <is>
          <t>BERG</t>
        </is>
      </c>
      <c r="G132" t="n">
        <v>10.9</v>
      </c>
      <c r="H132" t="n">
        <v>0</v>
      </c>
      <c r="I132" t="n">
        <v>1</v>
      </c>
      <c r="J132" t="n">
        <v>1</v>
      </c>
      <c r="K132" t="n">
        <v>0</v>
      </c>
      <c r="L132" t="n">
        <v>0</v>
      </c>
      <c r="M132" t="n">
        <v>0</v>
      </c>
      <c r="N132" t="n">
        <v>0</v>
      </c>
      <c r="O132" t="n">
        <v>1</v>
      </c>
      <c r="P132" t="n">
        <v>0</v>
      </c>
      <c r="Q132" t="n">
        <v>2</v>
      </c>
      <c r="R132" s="2" t="inlineStr">
        <is>
          <t>Lunglav
Rävticka</t>
        </is>
      </c>
      <c r="S132">
        <f>HYPERLINK("https://klasma.github.io/Logging_2326/artfynd/A 575-2023 artfynd.xlsx", "A 575-2023")</f>
        <v/>
      </c>
      <c r="T132">
        <f>HYPERLINK("https://klasma.github.io/Logging_2326/kartor/A 575-2023 karta.png", "A 575-2023")</f>
        <v/>
      </c>
      <c r="V132">
        <f>HYPERLINK("https://klasma.github.io/Logging_2326/klagomål/A 575-2023 FSC-klagomål.docx", "A 575-2023")</f>
        <v/>
      </c>
      <c r="W132">
        <f>HYPERLINK("https://klasma.github.io/Logging_2326/klagomålsmail/A 575-2023 FSC-klagomål mail.docx", "A 575-2023")</f>
        <v/>
      </c>
      <c r="X132">
        <f>HYPERLINK("https://klasma.github.io/Logging_2326/tillsyn/A 575-2023 tillsynsbegäran.docx", "A 575-2023")</f>
        <v/>
      </c>
      <c r="Y132">
        <f>HYPERLINK("https://klasma.github.io/Logging_2326/tillsynsmail/A 575-2023 tillsynsbegäran mail.docx", "A 575-2023")</f>
        <v/>
      </c>
    </row>
    <row r="133" ht="15" customHeight="1">
      <c r="A133" t="inlineStr">
        <is>
          <t>A 10226-2023</t>
        </is>
      </c>
      <c r="B133" s="1" t="n">
        <v>44980</v>
      </c>
      <c r="C133" s="1" t="n">
        <v>45787</v>
      </c>
      <c r="D133" t="inlineStr">
        <is>
          <t>JÄMTLANDS LÄN</t>
        </is>
      </c>
      <c r="E133" t="inlineStr">
        <is>
          <t>BERG</t>
        </is>
      </c>
      <c r="G133" t="n">
        <v>12.1</v>
      </c>
      <c r="H133" t="n">
        <v>2</v>
      </c>
      <c r="I133" t="n">
        <v>0</v>
      </c>
      <c r="J133" t="n">
        <v>2</v>
      </c>
      <c r="K133" t="n">
        <v>0</v>
      </c>
      <c r="L133" t="n">
        <v>0</v>
      </c>
      <c r="M133" t="n">
        <v>0</v>
      </c>
      <c r="N133" t="n">
        <v>0</v>
      </c>
      <c r="O133" t="n">
        <v>2</v>
      </c>
      <c r="P133" t="n">
        <v>0</v>
      </c>
      <c r="Q133" t="n">
        <v>2</v>
      </c>
      <c r="R133" s="2" t="inlineStr">
        <is>
          <t>Spillkråka
Talltita</t>
        </is>
      </c>
      <c r="S133">
        <f>HYPERLINK("https://klasma.github.io/Logging_2326/artfynd/A 10226-2023 artfynd.xlsx", "A 10226-2023")</f>
        <v/>
      </c>
      <c r="T133">
        <f>HYPERLINK("https://klasma.github.io/Logging_2326/kartor/A 10226-2023 karta.png", "A 10226-2023")</f>
        <v/>
      </c>
      <c r="V133">
        <f>HYPERLINK("https://klasma.github.io/Logging_2326/klagomål/A 10226-2023 FSC-klagomål.docx", "A 10226-2023")</f>
        <v/>
      </c>
      <c r="W133">
        <f>HYPERLINK("https://klasma.github.io/Logging_2326/klagomålsmail/A 10226-2023 FSC-klagomål mail.docx", "A 10226-2023")</f>
        <v/>
      </c>
      <c r="X133">
        <f>HYPERLINK("https://klasma.github.io/Logging_2326/tillsyn/A 10226-2023 tillsynsbegäran.docx", "A 10226-2023")</f>
        <v/>
      </c>
      <c r="Y133">
        <f>HYPERLINK("https://klasma.github.io/Logging_2326/tillsynsmail/A 10226-2023 tillsynsbegäran mail.docx", "A 10226-2023")</f>
        <v/>
      </c>
      <c r="Z133">
        <f>HYPERLINK("https://klasma.github.io/Logging_2326/fåglar/A 10226-2023 prioriterade fågelarter.docx", "A 10226-2023")</f>
        <v/>
      </c>
    </row>
    <row r="134" ht="15" customHeight="1">
      <c r="A134" t="inlineStr">
        <is>
          <t>A 10133-2023</t>
        </is>
      </c>
      <c r="B134" s="1" t="n">
        <v>44986</v>
      </c>
      <c r="C134" s="1" t="n">
        <v>45787</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16640-2023</t>
        </is>
      </c>
      <c r="B135" s="1" t="n">
        <v>45028</v>
      </c>
      <c r="C135" s="1" t="n">
        <v>45787</v>
      </c>
      <c r="D135" t="inlineStr">
        <is>
          <t>JÄMTLANDS LÄN</t>
        </is>
      </c>
      <c r="E135" t="inlineStr">
        <is>
          <t>BERG</t>
        </is>
      </c>
      <c r="G135" t="n">
        <v>17.9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16640-2023 artfynd.xlsx", "A 16640-2023")</f>
        <v/>
      </c>
      <c r="T135">
        <f>HYPERLINK("https://klasma.github.io/Logging_2326/kartor/A 16640-2023 karta.png", "A 16640-2023")</f>
        <v/>
      </c>
      <c r="V135">
        <f>HYPERLINK("https://klasma.github.io/Logging_2326/klagomål/A 16640-2023 FSC-klagomål.docx", "A 16640-2023")</f>
        <v/>
      </c>
      <c r="W135">
        <f>HYPERLINK("https://klasma.github.io/Logging_2326/klagomålsmail/A 16640-2023 FSC-klagomål mail.docx", "A 16640-2023")</f>
        <v/>
      </c>
      <c r="X135">
        <f>HYPERLINK("https://klasma.github.io/Logging_2326/tillsyn/A 16640-2023 tillsynsbegäran.docx", "A 16640-2023")</f>
        <v/>
      </c>
      <c r="Y135">
        <f>HYPERLINK("https://klasma.github.io/Logging_2326/tillsynsmail/A 16640-2023 tillsynsbegäran mail.docx", "A 16640-2023")</f>
        <v/>
      </c>
      <c r="Z135">
        <f>HYPERLINK("https://klasma.github.io/Logging_2326/fåglar/A 16640-2023 prioriterade fågelarter.docx", "A 16640-2023")</f>
        <v/>
      </c>
    </row>
    <row r="136" ht="15" customHeight="1">
      <c r="A136" t="inlineStr">
        <is>
          <t>A 29615-2023</t>
        </is>
      </c>
      <c r="B136" s="1" t="n">
        <v>45107</v>
      </c>
      <c r="C136" s="1" t="n">
        <v>45787</v>
      </c>
      <c r="D136" t="inlineStr">
        <is>
          <t>JÄMTLANDS LÄN</t>
        </is>
      </c>
      <c r="E136" t="inlineStr">
        <is>
          <t>BERG</t>
        </is>
      </c>
      <c r="F136" t="inlineStr">
        <is>
          <t>SCA</t>
        </is>
      </c>
      <c r="G136" t="n">
        <v>8.800000000000001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29615-2023 artfynd.xlsx", "A 29615-2023")</f>
        <v/>
      </c>
      <c r="T136">
        <f>HYPERLINK("https://klasma.github.io/Logging_2326/kartor/A 29615-2023 karta.png", "A 29615-2023")</f>
        <v/>
      </c>
      <c r="V136">
        <f>HYPERLINK("https://klasma.github.io/Logging_2326/klagomål/A 29615-2023 FSC-klagomål.docx", "A 29615-2023")</f>
        <v/>
      </c>
      <c r="W136">
        <f>HYPERLINK("https://klasma.github.io/Logging_2326/klagomålsmail/A 29615-2023 FSC-klagomål mail.docx", "A 29615-2023")</f>
        <v/>
      </c>
      <c r="X136">
        <f>HYPERLINK("https://klasma.github.io/Logging_2326/tillsyn/A 29615-2023 tillsynsbegäran.docx", "A 29615-2023")</f>
        <v/>
      </c>
      <c r="Y136">
        <f>HYPERLINK("https://klasma.github.io/Logging_2326/tillsynsmail/A 29615-2023 tillsynsbegäran mail.docx", "A 29615-2023")</f>
        <v/>
      </c>
      <c r="Z136">
        <f>HYPERLINK("https://klasma.github.io/Logging_2326/fåglar/A 29615-2023 prioriterade fågelarter.docx", "A 29615-2023")</f>
        <v/>
      </c>
    </row>
    <row r="137" ht="15" customHeight="1">
      <c r="A137" t="inlineStr">
        <is>
          <t>A 48880-2023</t>
        </is>
      </c>
      <c r="B137" s="1" t="n">
        <v>45209</v>
      </c>
      <c r="C137" s="1" t="n">
        <v>45787</v>
      </c>
      <c r="D137" t="inlineStr">
        <is>
          <t>JÄMTLANDS LÄN</t>
        </is>
      </c>
      <c r="E137" t="inlineStr">
        <is>
          <t>BERG</t>
        </is>
      </c>
      <c r="F137" t="inlineStr">
        <is>
          <t>Naturvårdsverket</t>
        </is>
      </c>
      <c r="G137" t="n">
        <v>5.5</v>
      </c>
      <c r="H137" t="n">
        <v>0</v>
      </c>
      <c r="I137" t="n">
        <v>0</v>
      </c>
      <c r="J137" t="n">
        <v>2</v>
      </c>
      <c r="K137" t="n">
        <v>0</v>
      </c>
      <c r="L137" t="n">
        <v>0</v>
      </c>
      <c r="M137" t="n">
        <v>0</v>
      </c>
      <c r="N137" t="n">
        <v>0</v>
      </c>
      <c r="O137" t="n">
        <v>2</v>
      </c>
      <c r="P137" t="n">
        <v>0</v>
      </c>
      <c r="Q137" t="n">
        <v>2</v>
      </c>
      <c r="R137" s="2" t="inlineStr">
        <is>
          <t>Garnlav
Lunglav</t>
        </is>
      </c>
      <c r="S137">
        <f>HYPERLINK("https://klasma.github.io/Logging_2326/artfynd/A 48880-2023 artfynd.xlsx", "A 48880-2023")</f>
        <v/>
      </c>
      <c r="T137">
        <f>HYPERLINK("https://klasma.github.io/Logging_2326/kartor/A 48880-2023 karta.png", "A 48880-2023")</f>
        <v/>
      </c>
      <c r="U137">
        <f>HYPERLINK("https://klasma.github.io/Logging_2326/knärot/A 48880-2023 karta knärot.png", "A 48880-2023")</f>
        <v/>
      </c>
      <c r="V137">
        <f>HYPERLINK("https://klasma.github.io/Logging_2326/klagomål/A 48880-2023 FSC-klagomål.docx", "A 48880-2023")</f>
        <v/>
      </c>
      <c r="W137">
        <f>HYPERLINK("https://klasma.github.io/Logging_2326/klagomålsmail/A 48880-2023 FSC-klagomål mail.docx", "A 48880-2023")</f>
        <v/>
      </c>
      <c r="X137">
        <f>HYPERLINK("https://klasma.github.io/Logging_2326/tillsyn/A 48880-2023 tillsynsbegäran.docx", "A 48880-2023")</f>
        <v/>
      </c>
      <c r="Y137">
        <f>HYPERLINK("https://klasma.github.io/Logging_2326/tillsynsmail/A 48880-2023 tillsynsbegäran mail.docx", "A 48880-2023")</f>
        <v/>
      </c>
    </row>
    <row r="138" ht="15" customHeight="1">
      <c r="A138" t="inlineStr">
        <is>
          <t>A 54313-2023</t>
        </is>
      </c>
      <c r="B138" s="1" t="n">
        <v>45232</v>
      </c>
      <c r="C138" s="1" t="n">
        <v>45787</v>
      </c>
      <c r="D138" t="inlineStr">
        <is>
          <t>JÄMTLANDS LÄN</t>
        </is>
      </c>
      <c r="E138" t="inlineStr">
        <is>
          <t>BERG</t>
        </is>
      </c>
      <c r="G138" t="n">
        <v>4.1</v>
      </c>
      <c r="H138" t="n">
        <v>0</v>
      </c>
      <c r="I138" t="n">
        <v>1</v>
      </c>
      <c r="J138" t="n">
        <v>1</v>
      </c>
      <c r="K138" t="n">
        <v>0</v>
      </c>
      <c r="L138" t="n">
        <v>0</v>
      </c>
      <c r="M138" t="n">
        <v>0</v>
      </c>
      <c r="N138" t="n">
        <v>0</v>
      </c>
      <c r="O138" t="n">
        <v>1</v>
      </c>
      <c r="P138" t="n">
        <v>0</v>
      </c>
      <c r="Q138" t="n">
        <v>2</v>
      </c>
      <c r="R138" s="2" t="inlineStr">
        <is>
          <t>Granticka
Kattfotslav</t>
        </is>
      </c>
      <c r="S138">
        <f>HYPERLINK("https://klasma.github.io/Logging_2326/artfynd/A 54313-2023 artfynd.xlsx", "A 54313-2023")</f>
        <v/>
      </c>
      <c r="T138">
        <f>HYPERLINK("https://klasma.github.io/Logging_2326/kartor/A 54313-2023 karta.png", "A 54313-2023")</f>
        <v/>
      </c>
      <c r="V138">
        <f>HYPERLINK("https://klasma.github.io/Logging_2326/klagomål/A 54313-2023 FSC-klagomål.docx", "A 54313-2023")</f>
        <v/>
      </c>
      <c r="W138">
        <f>HYPERLINK("https://klasma.github.io/Logging_2326/klagomålsmail/A 54313-2023 FSC-klagomål mail.docx", "A 54313-2023")</f>
        <v/>
      </c>
      <c r="X138">
        <f>HYPERLINK("https://klasma.github.io/Logging_2326/tillsyn/A 54313-2023 tillsynsbegäran.docx", "A 54313-2023")</f>
        <v/>
      </c>
      <c r="Y138">
        <f>HYPERLINK("https://klasma.github.io/Logging_2326/tillsynsmail/A 54313-2023 tillsynsbegäran mail.docx", "A 54313-2023")</f>
        <v/>
      </c>
    </row>
    <row r="139" ht="15" customHeight="1">
      <c r="A139" t="inlineStr">
        <is>
          <t>A 54996-2023</t>
        </is>
      </c>
      <c r="B139" s="1" t="n">
        <v>45237</v>
      </c>
      <c r="C139" s="1" t="n">
        <v>45787</v>
      </c>
      <c r="D139" t="inlineStr">
        <is>
          <t>JÄMTLANDS LÄN</t>
        </is>
      </c>
      <c r="E139" t="inlineStr">
        <is>
          <t>BERG</t>
        </is>
      </c>
      <c r="F139" t="inlineStr">
        <is>
          <t>SCA</t>
        </is>
      </c>
      <c r="G139" t="n">
        <v>6.2</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HYPERLINK("https://klasma.github.io/Logging_2326/artfynd/A 54996-2023 artfynd.xlsx", "A 54996-2023")</f>
        <v/>
      </c>
      <c r="T139">
        <f>HYPERLINK("https://klasma.github.io/Logging_2326/kartor/A 54996-2023 karta.png", "A 54996-2023")</f>
        <v/>
      </c>
      <c r="V139">
        <f>HYPERLINK("https://klasma.github.io/Logging_2326/klagomål/A 54996-2023 FSC-klagomål.docx", "A 54996-2023")</f>
        <v/>
      </c>
      <c r="W139">
        <f>HYPERLINK("https://klasma.github.io/Logging_2326/klagomålsmail/A 54996-2023 FSC-klagomål mail.docx", "A 54996-2023")</f>
        <v/>
      </c>
      <c r="X139">
        <f>HYPERLINK("https://klasma.github.io/Logging_2326/tillsyn/A 54996-2023 tillsynsbegäran.docx", "A 54996-2023")</f>
        <v/>
      </c>
      <c r="Y139">
        <f>HYPERLINK("https://klasma.github.io/Logging_2326/tillsynsmail/A 54996-2023 tillsynsbegäran mail.docx", "A 54996-2023")</f>
        <v/>
      </c>
    </row>
    <row r="140" ht="15" customHeight="1">
      <c r="A140" t="inlineStr">
        <is>
          <t>A 55331-2023</t>
        </is>
      </c>
      <c r="B140" s="1" t="n">
        <v>45238</v>
      </c>
      <c r="C140" s="1" t="n">
        <v>45787</v>
      </c>
      <c r="D140" t="inlineStr">
        <is>
          <t>JÄMTLANDS LÄN</t>
        </is>
      </c>
      <c r="E140" t="inlineStr">
        <is>
          <t>BERG</t>
        </is>
      </c>
      <c r="F140" t="inlineStr">
        <is>
          <t>SCA</t>
        </is>
      </c>
      <c r="G140" t="n">
        <v>8.800000000000001</v>
      </c>
      <c r="H140" t="n">
        <v>1</v>
      </c>
      <c r="I140" t="n">
        <v>1</v>
      </c>
      <c r="J140" t="n">
        <v>0</v>
      </c>
      <c r="K140" t="n">
        <v>0</v>
      </c>
      <c r="L140" t="n">
        <v>0</v>
      </c>
      <c r="M140" t="n">
        <v>0</v>
      </c>
      <c r="N140" t="n">
        <v>0</v>
      </c>
      <c r="O140" t="n">
        <v>0</v>
      </c>
      <c r="P140" t="n">
        <v>0</v>
      </c>
      <c r="Q140" t="n">
        <v>2</v>
      </c>
      <c r="R140" s="2" t="inlineStr">
        <is>
          <t>Tibast
Fläcknycklar</t>
        </is>
      </c>
      <c r="S140">
        <f>HYPERLINK("https://klasma.github.io/Logging_2326/artfynd/A 55331-2023 artfynd.xlsx", "A 55331-2023")</f>
        <v/>
      </c>
      <c r="T140">
        <f>HYPERLINK("https://klasma.github.io/Logging_2326/kartor/A 55331-2023 karta.png", "A 55331-2023")</f>
        <v/>
      </c>
      <c r="V140">
        <f>HYPERLINK("https://klasma.github.io/Logging_2326/klagomål/A 55331-2023 FSC-klagomål.docx", "A 55331-2023")</f>
        <v/>
      </c>
      <c r="W140">
        <f>HYPERLINK("https://klasma.github.io/Logging_2326/klagomålsmail/A 55331-2023 FSC-klagomål mail.docx", "A 55331-2023")</f>
        <v/>
      </c>
      <c r="X140">
        <f>HYPERLINK("https://klasma.github.io/Logging_2326/tillsyn/A 55331-2023 tillsynsbegäran.docx", "A 55331-2023")</f>
        <v/>
      </c>
      <c r="Y140">
        <f>HYPERLINK("https://klasma.github.io/Logging_2326/tillsynsmail/A 55331-2023 tillsynsbegäran mail.docx", "A 55331-2023")</f>
        <v/>
      </c>
    </row>
    <row r="141" ht="15" customHeight="1">
      <c r="A141" t="inlineStr">
        <is>
          <t>A 12361-2024</t>
        </is>
      </c>
      <c r="B141" s="1" t="n">
        <v>45378</v>
      </c>
      <c r="C141" s="1" t="n">
        <v>45787</v>
      </c>
      <c r="D141" t="inlineStr">
        <is>
          <t>JÄMTLANDS LÄN</t>
        </is>
      </c>
      <c r="E141" t="inlineStr">
        <is>
          <t>BERG</t>
        </is>
      </c>
      <c r="F141" t="inlineStr">
        <is>
          <t>SCA</t>
        </is>
      </c>
      <c r="G141" t="n">
        <v>21.2</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HYPERLINK("https://klasma.github.io/Logging_2326/artfynd/A 12361-2024 artfynd.xlsx", "A 12361-2024")</f>
        <v/>
      </c>
      <c r="T141">
        <f>HYPERLINK("https://klasma.github.io/Logging_2326/kartor/A 12361-2024 karta.png", "A 12361-2024")</f>
        <v/>
      </c>
      <c r="V141">
        <f>HYPERLINK("https://klasma.github.io/Logging_2326/klagomål/A 12361-2024 FSC-klagomål.docx", "A 12361-2024")</f>
        <v/>
      </c>
      <c r="W141">
        <f>HYPERLINK("https://klasma.github.io/Logging_2326/klagomålsmail/A 12361-2024 FSC-klagomål mail.docx", "A 12361-2024")</f>
        <v/>
      </c>
      <c r="X141">
        <f>HYPERLINK("https://klasma.github.io/Logging_2326/tillsyn/A 12361-2024 tillsynsbegäran.docx", "A 12361-2024")</f>
        <v/>
      </c>
      <c r="Y141">
        <f>HYPERLINK("https://klasma.github.io/Logging_2326/tillsynsmail/A 12361-2024 tillsynsbegäran mail.docx", "A 12361-2024")</f>
        <v/>
      </c>
    </row>
    <row r="142" ht="15" customHeight="1">
      <c r="A142" t="inlineStr">
        <is>
          <t>A 12734-2024</t>
        </is>
      </c>
      <c r="B142" s="1" t="n">
        <v>45384</v>
      </c>
      <c r="C142" s="1" t="n">
        <v>45787</v>
      </c>
      <c r="D142" t="inlineStr">
        <is>
          <t>JÄMTLANDS LÄN</t>
        </is>
      </c>
      <c r="E142" t="inlineStr">
        <is>
          <t>BERG</t>
        </is>
      </c>
      <c r="G142" t="n">
        <v>7.2</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12734-2024 artfynd.xlsx", "A 12734-2024")</f>
        <v/>
      </c>
      <c r="T142">
        <f>HYPERLINK("https://klasma.github.io/Logging_2326/kartor/A 12734-2024 karta.png", "A 12734-2024")</f>
        <v/>
      </c>
      <c r="V142">
        <f>HYPERLINK("https://klasma.github.io/Logging_2326/klagomål/A 12734-2024 FSC-klagomål.docx", "A 12734-2024")</f>
        <v/>
      </c>
      <c r="W142">
        <f>HYPERLINK("https://klasma.github.io/Logging_2326/klagomålsmail/A 12734-2024 FSC-klagomål mail.docx", "A 12734-2024")</f>
        <v/>
      </c>
      <c r="X142">
        <f>HYPERLINK("https://klasma.github.io/Logging_2326/tillsyn/A 12734-2024 tillsynsbegäran.docx", "A 12734-2024")</f>
        <v/>
      </c>
      <c r="Y142">
        <f>HYPERLINK("https://klasma.github.io/Logging_2326/tillsynsmail/A 12734-2024 tillsynsbegäran mail.docx", "A 12734-2024")</f>
        <v/>
      </c>
      <c r="Z142">
        <f>HYPERLINK("https://klasma.github.io/Logging_2326/fåglar/A 12734-2024 prioriterade fågelarter.docx", "A 12734-2024")</f>
        <v/>
      </c>
    </row>
    <row r="143" ht="15" customHeight="1">
      <c r="A143" t="inlineStr">
        <is>
          <t>A 12745-2024</t>
        </is>
      </c>
      <c r="B143" s="1" t="n">
        <v>45384</v>
      </c>
      <c r="C143" s="1" t="n">
        <v>45787</v>
      </c>
      <c r="D143" t="inlineStr">
        <is>
          <t>JÄMTLANDS LÄN</t>
        </is>
      </c>
      <c r="E143" t="inlineStr">
        <is>
          <t>BERG</t>
        </is>
      </c>
      <c r="G143" t="n">
        <v>8.5</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12745-2024 artfynd.xlsx", "A 12745-2024")</f>
        <v/>
      </c>
      <c r="T143">
        <f>HYPERLINK("https://klasma.github.io/Logging_2326/kartor/A 12745-2024 karta.png", "A 12745-2024")</f>
        <v/>
      </c>
      <c r="V143">
        <f>HYPERLINK("https://klasma.github.io/Logging_2326/klagomål/A 12745-2024 FSC-klagomål.docx", "A 12745-2024")</f>
        <v/>
      </c>
      <c r="W143">
        <f>HYPERLINK("https://klasma.github.io/Logging_2326/klagomålsmail/A 12745-2024 FSC-klagomål mail.docx", "A 12745-2024")</f>
        <v/>
      </c>
      <c r="X143">
        <f>HYPERLINK("https://klasma.github.io/Logging_2326/tillsyn/A 12745-2024 tillsynsbegäran.docx", "A 12745-2024")</f>
        <v/>
      </c>
      <c r="Y143">
        <f>HYPERLINK("https://klasma.github.io/Logging_2326/tillsynsmail/A 12745-2024 tillsynsbegäran mail.docx", "A 12745-2024")</f>
        <v/>
      </c>
      <c r="Z143">
        <f>HYPERLINK("https://klasma.github.io/Logging_2326/fåglar/A 12745-2024 prioriterade fågelarter.docx", "A 12745-2024")</f>
        <v/>
      </c>
    </row>
    <row r="144" ht="15" customHeight="1">
      <c r="A144" t="inlineStr">
        <is>
          <t>A 13463-2024</t>
        </is>
      </c>
      <c r="B144" s="1" t="n">
        <v>45387</v>
      </c>
      <c r="C144" s="1" t="n">
        <v>45787</v>
      </c>
      <c r="D144" t="inlineStr">
        <is>
          <t>JÄMTLANDS LÄN</t>
        </is>
      </c>
      <c r="E144" t="inlineStr">
        <is>
          <t>BERG</t>
        </is>
      </c>
      <c r="G144" t="n">
        <v>13</v>
      </c>
      <c r="H144" t="n">
        <v>2</v>
      </c>
      <c r="I144" t="n">
        <v>0</v>
      </c>
      <c r="J144" t="n">
        <v>2</v>
      </c>
      <c r="K144" t="n">
        <v>0</v>
      </c>
      <c r="L144" t="n">
        <v>0</v>
      </c>
      <c r="M144" t="n">
        <v>0</v>
      </c>
      <c r="N144" t="n">
        <v>0</v>
      </c>
      <c r="O144" t="n">
        <v>2</v>
      </c>
      <c r="P144" t="n">
        <v>0</v>
      </c>
      <c r="Q144" t="n">
        <v>2</v>
      </c>
      <c r="R144" s="2" t="inlineStr">
        <is>
          <t>Duvhök
Tretåig hackspett</t>
        </is>
      </c>
      <c r="S144">
        <f>HYPERLINK("https://klasma.github.io/Logging_2326/artfynd/A 13463-2024 artfynd.xlsx", "A 13463-2024")</f>
        <v/>
      </c>
      <c r="T144">
        <f>HYPERLINK("https://klasma.github.io/Logging_2326/kartor/A 13463-2024 karta.png", "A 13463-2024")</f>
        <v/>
      </c>
      <c r="V144">
        <f>HYPERLINK("https://klasma.github.io/Logging_2326/klagomål/A 13463-2024 FSC-klagomål.docx", "A 13463-2024")</f>
        <v/>
      </c>
      <c r="W144">
        <f>HYPERLINK("https://klasma.github.io/Logging_2326/klagomålsmail/A 13463-2024 FSC-klagomål mail.docx", "A 13463-2024")</f>
        <v/>
      </c>
      <c r="X144">
        <f>HYPERLINK("https://klasma.github.io/Logging_2326/tillsyn/A 13463-2024 tillsynsbegäran.docx", "A 13463-2024")</f>
        <v/>
      </c>
      <c r="Y144">
        <f>HYPERLINK("https://klasma.github.io/Logging_2326/tillsynsmail/A 13463-2024 tillsynsbegäran mail.docx", "A 13463-2024")</f>
        <v/>
      </c>
      <c r="Z144">
        <f>HYPERLINK("https://klasma.github.io/Logging_2326/fåglar/A 13463-2024 prioriterade fågelarter.docx", "A 13463-2024")</f>
        <v/>
      </c>
    </row>
    <row r="145" ht="15" customHeight="1">
      <c r="A145" t="inlineStr">
        <is>
          <t>A 16438-2024</t>
        </is>
      </c>
      <c r="B145" s="1" t="n">
        <v>45407</v>
      </c>
      <c r="C145" s="1" t="n">
        <v>45787</v>
      </c>
      <c r="D145" t="inlineStr">
        <is>
          <t>JÄMTLANDS LÄN</t>
        </is>
      </c>
      <c r="E145" t="inlineStr">
        <is>
          <t>BERG</t>
        </is>
      </c>
      <c r="G145" t="n">
        <v>26.3</v>
      </c>
      <c r="H145" t="n">
        <v>1</v>
      </c>
      <c r="I145" t="n">
        <v>0</v>
      </c>
      <c r="J145" t="n">
        <v>1</v>
      </c>
      <c r="K145" t="n">
        <v>0</v>
      </c>
      <c r="L145" t="n">
        <v>0</v>
      </c>
      <c r="M145" t="n">
        <v>0</v>
      </c>
      <c r="N145" t="n">
        <v>0</v>
      </c>
      <c r="O145" t="n">
        <v>1</v>
      </c>
      <c r="P145" t="n">
        <v>0</v>
      </c>
      <c r="Q145" t="n">
        <v>2</v>
      </c>
      <c r="R145" s="2" t="inlineStr">
        <is>
          <t>Dvärgbägarlav
Tjäder</t>
        </is>
      </c>
      <c r="S145">
        <f>HYPERLINK("https://klasma.github.io/Logging_2326/artfynd/A 16438-2024 artfynd.xlsx", "A 16438-2024")</f>
        <v/>
      </c>
      <c r="T145">
        <f>HYPERLINK("https://klasma.github.io/Logging_2326/kartor/A 16438-2024 karta.png", "A 16438-2024")</f>
        <v/>
      </c>
      <c r="V145">
        <f>HYPERLINK("https://klasma.github.io/Logging_2326/klagomål/A 16438-2024 FSC-klagomål.docx", "A 16438-2024")</f>
        <v/>
      </c>
      <c r="W145">
        <f>HYPERLINK("https://klasma.github.io/Logging_2326/klagomålsmail/A 16438-2024 FSC-klagomål mail.docx", "A 16438-2024")</f>
        <v/>
      </c>
      <c r="X145">
        <f>HYPERLINK("https://klasma.github.io/Logging_2326/tillsyn/A 16438-2024 tillsynsbegäran.docx", "A 16438-2024")</f>
        <v/>
      </c>
      <c r="Y145">
        <f>HYPERLINK("https://klasma.github.io/Logging_2326/tillsynsmail/A 16438-2024 tillsynsbegäran mail.docx", "A 16438-2024")</f>
        <v/>
      </c>
      <c r="Z145">
        <f>HYPERLINK("https://klasma.github.io/Logging_2326/fåglar/A 16438-2024 prioriterade fågelarter.docx", "A 16438-2024")</f>
        <v/>
      </c>
    </row>
    <row r="146" ht="15" customHeight="1">
      <c r="A146" t="inlineStr">
        <is>
          <t>A 17881-2024</t>
        </is>
      </c>
      <c r="B146" s="1" t="n">
        <v>45419</v>
      </c>
      <c r="C146" s="1" t="n">
        <v>45787</v>
      </c>
      <c r="D146" t="inlineStr">
        <is>
          <t>JÄMTLANDS LÄN</t>
        </is>
      </c>
      <c r="E146" t="inlineStr">
        <is>
          <t>BERG</t>
        </is>
      </c>
      <c r="G146" t="n">
        <v>24.3</v>
      </c>
      <c r="H146" t="n">
        <v>0</v>
      </c>
      <c r="I146" t="n">
        <v>0</v>
      </c>
      <c r="J146" t="n">
        <v>2</v>
      </c>
      <c r="K146" t="n">
        <v>0</v>
      </c>
      <c r="L146" t="n">
        <v>0</v>
      </c>
      <c r="M146" t="n">
        <v>0</v>
      </c>
      <c r="N146" t="n">
        <v>0</v>
      </c>
      <c r="O146" t="n">
        <v>2</v>
      </c>
      <c r="P146" t="n">
        <v>0</v>
      </c>
      <c r="Q146" t="n">
        <v>2</v>
      </c>
      <c r="R146" s="2" t="inlineStr">
        <is>
          <t>Lunglav
Skrovellav</t>
        </is>
      </c>
      <c r="S146">
        <f>HYPERLINK("https://klasma.github.io/Logging_2326/artfynd/A 17881-2024 artfynd.xlsx", "A 17881-2024")</f>
        <v/>
      </c>
      <c r="T146">
        <f>HYPERLINK("https://klasma.github.io/Logging_2326/kartor/A 17881-2024 karta.png", "A 17881-2024")</f>
        <v/>
      </c>
      <c r="V146">
        <f>HYPERLINK("https://klasma.github.io/Logging_2326/klagomål/A 17881-2024 FSC-klagomål.docx", "A 17881-2024")</f>
        <v/>
      </c>
      <c r="W146">
        <f>HYPERLINK("https://klasma.github.io/Logging_2326/klagomålsmail/A 17881-2024 FSC-klagomål mail.docx", "A 17881-2024")</f>
        <v/>
      </c>
      <c r="X146">
        <f>HYPERLINK("https://klasma.github.io/Logging_2326/tillsyn/A 17881-2024 tillsynsbegäran.docx", "A 17881-2024")</f>
        <v/>
      </c>
      <c r="Y146">
        <f>HYPERLINK("https://klasma.github.io/Logging_2326/tillsynsmail/A 17881-2024 tillsynsbegäran mail.docx", "A 17881-2024")</f>
        <v/>
      </c>
    </row>
    <row r="147" ht="15" customHeight="1">
      <c r="A147" t="inlineStr">
        <is>
          <t>A 26944-2024</t>
        </is>
      </c>
      <c r="B147" s="1" t="n">
        <v>45471</v>
      </c>
      <c r="C147" s="1" t="n">
        <v>45787</v>
      </c>
      <c r="D147" t="inlineStr">
        <is>
          <t>JÄMTLANDS LÄN</t>
        </is>
      </c>
      <c r="E147" t="inlineStr">
        <is>
          <t>BERG</t>
        </is>
      </c>
      <c r="F147" t="inlineStr">
        <is>
          <t>SCA</t>
        </is>
      </c>
      <c r="G147" t="n">
        <v>5.7</v>
      </c>
      <c r="H147" t="n">
        <v>0</v>
      </c>
      <c r="I147" t="n">
        <v>0</v>
      </c>
      <c r="J147" t="n">
        <v>2</v>
      </c>
      <c r="K147" t="n">
        <v>0</v>
      </c>
      <c r="L147" t="n">
        <v>0</v>
      </c>
      <c r="M147" t="n">
        <v>0</v>
      </c>
      <c r="N147" t="n">
        <v>0</v>
      </c>
      <c r="O147" t="n">
        <v>2</v>
      </c>
      <c r="P147" t="n">
        <v>0</v>
      </c>
      <c r="Q147" t="n">
        <v>2</v>
      </c>
      <c r="R147" s="2" t="inlineStr">
        <is>
          <t>Blå taggsvamp
Gammelgransskål</t>
        </is>
      </c>
      <c r="S147">
        <f>HYPERLINK("https://klasma.github.io/Logging_2326/artfynd/A 26944-2024 artfynd.xlsx", "A 26944-2024")</f>
        <v/>
      </c>
      <c r="T147">
        <f>HYPERLINK("https://klasma.github.io/Logging_2326/kartor/A 26944-2024 karta.png", "A 26944-2024")</f>
        <v/>
      </c>
      <c r="V147">
        <f>HYPERLINK("https://klasma.github.io/Logging_2326/klagomål/A 26944-2024 FSC-klagomål.docx", "A 26944-2024")</f>
        <v/>
      </c>
      <c r="W147">
        <f>HYPERLINK("https://klasma.github.io/Logging_2326/klagomålsmail/A 26944-2024 FSC-klagomål mail.docx", "A 26944-2024")</f>
        <v/>
      </c>
      <c r="X147">
        <f>HYPERLINK("https://klasma.github.io/Logging_2326/tillsyn/A 26944-2024 tillsynsbegäran.docx", "A 26944-2024")</f>
        <v/>
      </c>
      <c r="Y147">
        <f>HYPERLINK("https://klasma.github.io/Logging_2326/tillsynsmail/A 26944-2024 tillsynsbegäran mail.docx", "A 26944-2024")</f>
        <v/>
      </c>
    </row>
    <row r="148" ht="15" customHeight="1">
      <c r="A148" t="inlineStr">
        <is>
          <t>A 27919-2024</t>
        </is>
      </c>
      <c r="B148" s="1" t="n">
        <v>45476</v>
      </c>
      <c r="C148" s="1" t="n">
        <v>45787</v>
      </c>
      <c r="D148" t="inlineStr">
        <is>
          <t>JÄMTLANDS LÄN</t>
        </is>
      </c>
      <c r="E148" t="inlineStr">
        <is>
          <t>BERG</t>
        </is>
      </c>
      <c r="F148" t="inlineStr">
        <is>
          <t>SCA</t>
        </is>
      </c>
      <c r="G148" t="n">
        <v>17.2</v>
      </c>
      <c r="H148" t="n">
        <v>0</v>
      </c>
      <c r="I148" t="n">
        <v>1</v>
      </c>
      <c r="J148" t="n">
        <v>1</v>
      </c>
      <c r="K148" t="n">
        <v>0</v>
      </c>
      <c r="L148" t="n">
        <v>0</v>
      </c>
      <c r="M148" t="n">
        <v>0</v>
      </c>
      <c r="N148" t="n">
        <v>0</v>
      </c>
      <c r="O148" t="n">
        <v>1</v>
      </c>
      <c r="P148" t="n">
        <v>0</v>
      </c>
      <c r="Q148" t="n">
        <v>2</v>
      </c>
      <c r="R148" s="2" t="inlineStr">
        <is>
          <t>Reliktbock
Dropptaggsvamp</t>
        </is>
      </c>
      <c r="S148">
        <f>HYPERLINK("https://klasma.github.io/Logging_2326/artfynd/A 27919-2024 artfynd.xlsx", "A 27919-2024")</f>
        <v/>
      </c>
      <c r="T148">
        <f>HYPERLINK("https://klasma.github.io/Logging_2326/kartor/A 27919-2024 karta.png", "A 27919-2024")</f>
        <v/>
      </c>
      <c r="V148">
        <f>HYPERLINK("https://klasma.github.io/Logging_2326/klagomål/A 27919-2024 FSC-klagomål.docx", "A 27919-2024")</f>
        <v/>
      </c>
      <c r="W148">
        <f>HYPERLINK("https://klasma.github.io/Logging_2326/klagomålsmail/A 27919-2024 FSC-klagomål mail.docx", "A 27919-2024")</f>
        <v/>
      </c>
      <c r="X148">
        <f>HYPERLINK("https://klasma.github.io/Logging_2326/tillsyn/A 27919-2024 tillsynsbegäran.docx", "A 27919-2024")</f>
        <v/>
      </c>
      <c r="Y148">
        <f>HYPERLINK("https://klasma.github.io/Logging_2326/tillsynsmail/A 27919-2024 tillsynsbegäran mail.docx", "A 27919-2024")</f>
        <v/>
      </c>
    </row>
    <row r="149" ht="15" customHeight="1">
      <c r="A149" t="inlineStr">
        <is>
          <t>A 28769-2024</t>
        </is>
      </c>
      <c r="B149" s="1" t="n">
        <v>45478</v>
      </c>
      <c r="C149" s="1" t="n">
        <v>45787</v>
      </c>
      <c r="D149" t="inlineStr">
        <is>
          <t>JÄMTLANDS LÄN</t>
        </is>
      </c>
      <c r="E149" t="inlineStr">
        <is>
          <t>BERG</t>
        </is>
      </c>
      <c r="F149" t="inlineStr">
        <is>
          <t>Sveaskog</t>
        </is>
      </c>
      <c r="G149" t="n">
        <v>2.2</v>
      </c>
      <c r="H149" t="n">
        <v>1</v>
      </c>
      <c r="I149" t="n">
        <v>0</v>
      </c>
      <c r="J149" t="n">
        <v>1</v>
      </c>
      <c r="K149" t="n">
        <v>0</v>
      </c>
      <c r="L149" t="n">
        <v>0</v>
      </c>
      <c r="M149" t="n">
        <v>0</v>
      </c>
      <c r="N149" t="n">
        <v>0</v>
      </c>
      <c r="O149" t="n">
        <v>1</v>
      </c>
      <c r="P149" t="n">
        <v>0</v>
      </c>
      <c r="Q149" t="n">
        <v>2</v>
      </c>
      <c r="R149" s="2" t="inlineStr">
        <is>
          <t>Lunglav
Fläcknycklar</t>
        </is>
      </c>
      <c r="S149">
        <f>HYPERLINK("https://klasma.github.io/Logging_2326/artfynd/A 28769-2024 artfynd.xlsx", "A 28769-2024")</f>
        <v/>
      </c>
      <c r="T149">
        <f>HYPERLINK("https://klasma.github.io/Logging_2326/kartor/A 28769-2024 karta.png", "A 28769-2024")</f>
        <v/>
      </c>
      <c r="V149">
        <f>HYPERLINK("https://klasma.github.io/Logging_2326/klagomål/A 28769-2024 FSC-klagomål.docx", "A 28769-2024")</f>
        <v/>
      </c>
      <c r="W149">
        <f>HYPERLINK("https://klasma.github.io/Logging_2326/klagomålsmail/A 28769-2024 FSC-klagomål mail.docx", "A 28769-2024")</f>
        <v/>
      </c>
      <c r="X149">
        <f>HYPERLINK("https://klasma.github.io/Logging_2326/tillsyn/A 28769-2024 tillsynsbegäran.docx", "A 28769-2024")</f>
        <v/>
      </c>
      <c r="Y149">
        <f>HYPERLINK("https://klasma.github.io/Logging_2326/tillsynsmail/A 28769-2024 tillsynsbegäran mail.docx", "A 28769-2024")</f>
        <v/>
      </c>
    </row>
    <row r="150" ht="15" customHeight="1">
      <c r="A150" t="inlineStr">
        <is>
          <t>A 30334-2024</t>
        </is>
      </c>
      <c r="B150" s="1" t="n">
        <v>45491</v>
      </c>
      <c r="C150" s="1" t="n">
        <v>45787</v>
      </c>
      <c r="D150" t="inlineStr">
        <is>
          <t>JÄMTLANDS LÄN</t>
        </is>
      </c>
      <c r="E150" t="inlineStr">
        <is>
          <t>BERG</t>
        </is>
      </c>
      <c r="F150" t="inlineStr">
        <is>
          <t>SCA</t>
        </is>
      </c>
      <c r="G150" t="n">
        <v>1.8</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30334-2024 artfynd.xlsx", "A 30334-2024")</f>
        <v/>
      </c>
      <c r="T150">
        <f>HYPERLINK("https://klasma.github.io/Logging_2326/kartor/A 30334-2024 karta.png", "A 30334-2024")</f>
        <v/>
      </c>
      <c r="V150">
        <f>HYPERLINK("https://klasma.github.io/Logging_2326/klagomål/A 30334-2024 FSC-klagomål.docx", "A 30334-2024")</f>
        <v/>
      </c>
      <c r="W150">
        <f>HYPERLINK("https://klasma.github.io/Logging_2326/klagomålsmail/A 30334-2024 FSC-klagomål mail.docx", "A 30334-2024")</f>
        <v/>
      </c>
      <c r="X150">
        <f>HYPERLINK("https://klasma.github.io/Logging_2326/tillsyn/A 30334-2024 tillsynsbegäran.docx", "A 30334-2024")</f>
        <v/>
      </c>
      <c r="Y150">
        <f>HYPERLINK("https://klasma.github.io/Logging_2326/tillsynsmail/A 30334-2024 tillsynsbegäran mail.docx", "A 30334-2024")</f>
        <v/>
      </c>
    </row>
    <row r="151" ht="15" customHeight="1">
      <c r="A151" t="inlineStr">
        <is>
          <t>A 33009-2024</t>
        </is>
      </c>
      <c r="B151" s="1" t="n">
        <v>45517</v>
      </c>
      <c r="C151" s="1" t="n">
        <v>45787</v>
      </c>
      <c r="D151" t="inlineStr">
        <is>
          <t>JÄMTLANDS LÄN</t>
        </is>
      </c>
      <c r="E151" t="inlineStr">
        <is>
          <t>BERG</t>
        </is>
      </c>
      <c r="G151" t="n">
        <v>2.7</v>
      </c>
      <c r="H151" t="n">
        <v>1</v>
      </c>
      <c r="I151" t="n">
        <v>0</v>
      </c>
      <c r="J151" t="n">
        <v>2</v>
      </c>
      <c r="K151" t="n">
        <v>0</v>
      </c>
      <c r="L151" t="n">
        <v>0</v>
      </c>
      <c r="M151" t="n">
        <v>0</v>
      </c>
      <c r="N151" t="n">
        <v>0</v>
      </c>
      <c r="O151" t="n">
        <v>2</v>
      </c>
      <c r="P151" t="n">
        <v>0</v>
      </c>
      <c r="Q151" t="n">
        <v>2</v>
      </c>
      <c r="R151" s="2" t="inlineStr">
        <is>
          <t>Garnlav
Talltita</t>
        </is>
      </c>
      <c r="S151">
        <f>HYPERLINK("https://klasma.github.io/Logging_2326/artfynd/A 33009-2024 artfynd.xlsx", "A 33009-2024")</f>
        <v/>
      </c>
      <c r="T151">
        <f>HYPERLINK("https://klasma.github.io/Logging_2326/kartor/A 33009-2024 karta.png", "A 33009-2024")</f>
        <v/>
      </c>
      <c r="V151">
        <f>HYPERLINK("https://klasma.github.io/Logging_2326/klagomål/A 33009-2024 FSC-klagomål.docx", "A 33009-2024")</f>
        <v/>
      </c>
      <c r="W151">
        <f>HYPERLINK("https://klasma.github.io/Logging_2326/klagomålsmail/A 33009-2024 FSC-klagomål mail.docx", "A 33009-2024")</f>
        <v/>
      </c>
      <c r="X151">
        <f>HYPERLINK("https://klasma.github.io/Logging_2326/tillsyn/A 33009-2024 tillsynsbegäran.docx", "A 33009-2024")</f>
        <v/>
      </c>
      <c r="Y151">
        <f>HYPERLINK("https://klasma.github.io/Logging_2326/tillsynsmail/A 33009-2024 tillsynsbegäran mail.docx", "A 33009-2024")</f>
        <v/>
      </c>
      <c r="Z151">
        <f>HYPERLINK("https://klasma.github.io/Logging_2326/fåglar/A 33009-2024 prioriterade fågelarter.docx", "A 33009-2024")</f>
        <v/>
      </c>
    </row>
    <row r="152" ht="15" customHeight="1">
      <c r="A152" t="inlineStr">
        <is>
          <t>A 50317-2024</t>
        </is>
      </c>
      <c r="B152" s="1" t="n">
        <v>45600</v>
      </c>
      <c r="C152" s="1" t="n">
        <v>45787</v>
      </c>
      <c r="D152" t="inlineStr">
        <is>
          <t>JÄMTLANDS LÄN</t>
        </is>
      </c>
      <c r="E152" t="inlineStr">
        <is>
          <t>BERG</t>
        </is>
      </c>
      <c r="F152" t="inlineStr">
        <is>
          <t>SCA</t>
        </is>
      </c>
      <c r="G152" t="n">
        <v>11.6</v>
      </c>
      <c r="H152" t="n">
        <v>0</v>
      </c>
      <c r="I152" t="n">
        <v>0</v>
      </c>
      <c r="J152" t="n">
        <v>1</v>
      </c>
      <c r="K152" t="n">
        <v>1</v>
      </c>
      <c r="L152" t="n">
        <v>0</v>
      </c>
      <c r="M152" t="n">
        <v>0</v>
      </c>
      <c r="N152" t="n">
        <v>0</v>
      </c>
      <c r="O152" t="n">
        <v>2</v>
      </c>
      <c r="P152" t="n">
        <v>1</v>
      </c>
      <c r="Q152" t="n">
        <v>2</v>
      </c>
      <c r="R152" s="2" t="inlineStr">
        <is>
          <t>Smalfotad taggsvamp
Dvärgbägarlav</t>
        </is>
      </c>
      <c r="S152">
        <f>HYPERLINK("https://klasma.github.io/Logging_2326/artfynd/A 50317-2024 artfynd.xlsx", "A 50317-2024")</f>
        <v/>
      </c>
      <c r="T152">
        <f>HYPERLINK("https://klasma.github.io/Logging_2326/kartor/A 50317-2024 karta.png", "A 50317-2024")</f>
        <v/>
      </c>
      <c r="V152">
        <f>HYPERLINK("https://klasma.github.io/Logging_2326/klagomål/A 50317-2024 FSC-klagomål.docx", "A 50317-2024")</f>
        <v/>
      </c>
      <c r="W152">
        <f>HYPERLINK("https://klasma.github.io/Logging_2326/klagomålsmail/A 50317-2024 FSC-klagomål mail.docx", "A 50317-2024")</f>
        <v/>
      </c>
      <c r="X152">
        <f>HYPERLINK("https://klasma.github.io/Logging_2326/tillsyn/A 50317-2024 tillsynsbegäran.docx", "A 50317-2024")</f>
        <v/>
      </c>
      <c r="Y152">
        <f>HYPERLINK("https://klasma.github.io/Logging_2326/tillsynsmail/A 50317-2024 tillsynsbegäran mail.docx", "A 50317-2024")</f>
        <v/>
      </c>
    </row>
    <row r="153" ht="15" customHeight="1">
      <c r="A153" t="inlineStr">
        <is>
          <t>A 60333-2024</t>
        </is>
      </c>
      <c r="B153" s="1" t="n">
        <v>45643</v>
      </c>
      <c r="C153" s="1" t="n">
        <v>45787</v>
      </c>
      <c r="D153" t="inlineStr">
        <is>
          <t>JÄMTLANDS LÄN</t>
        </is>
      </c>
      <c r="E153" t="inlineStr">
        <is>
          <t>BERG</t>
        </is>
      </c>
      <c r="G153" t="n">
        <v>25.5</v>
      </c>
      <c r="H153" t="n">
        <v>0</v>
      </c>
      <c r="I153" t="n">
        <v>2</v>
      </c>
      <c r="J153" t="n">
        <v>0</v>
      </c>
      <c r="K153" t="n">
        <v>0</v>
      </c>
      <c r="L153" t="n">
        <v>0</v>
      </c>
      <c r="M153" t="n">
        <v>0</v>
      </c>
      <c r="N153" t="n">
        <v>0</v>
      </c>
      <c r="O153" t="n">
        <v>0</v>
      </c>
      <c r="P153" t="n">
        <v>0</v>
      </c>
      <c r="Q153" t="n">
        <v>2</v>
      </c>
      <c r="R153" s="2" t="inlineStr">
        <is>
          <t>Honungsvaxing
Ängsvaxskivling</t>
        </is>
      </c>
      <c r="S153">
        <f>HYPERLINK("https://klasma.github.io/Logging_2326/artfynd/A 60333-2024 artfynd.xlsx", "A 60333-2024")</f>
        <v/>
      </c>
      <c r="T153">
        <f>HYPERLINK("https://klasma.github.io/Logging_2326/kartor/A 60333-2024 karta.png", "A 60333-2024")</f>
        <v/>
      </c>
      <c r="V153">
        <f>HYPERLINK("https://klasma.github.io/Logging_2326/klagomål/A 60333-2024 FSC-klagomål.docx", "A 60333-2024")</f>
        <v/>
      </c>
      <c r="W153">
        <f>HYPERLINK("https://klasma.github.io/Logging_2326/klagomålsmail/A 60333-2024 FSC-klagomål mail.docx", "A 60333-2024")</f>
        <v/>
      </c>
      <c r="X153">
        <f>HYPERLINK("https://klasma.github.io/Logging_2326/tillsyn/A 60333-2024 tillsynsbegäran.docx", "A 60333-2024")</f>
        <v/>
      </c>
      <c r="Y153">
        <f>HYPERLINK("https://klasma.github.io/Logging_2326/tillsynsmail/A 60333-2024 tillsynsbegäran mail.docx", "A 60333-2024")</f>
        <v/>
      </c>
    </row>
    <row r="154" ht="15" customHeight="1">
      <c r="A154" t="inlineStr">
        <is>
          <t>A 8734-2025</t>
        </is>
      </c>
      <c r="B154" s="1" t="n">
        <v>45712</v>
      </c>
      <c r="C154" s="1" t="n">
        <v>45787</v>
      </c>
      <c r="D154" t="inlineStr">
        <is>
          <t>JÄMTLANDS LÄN</t>
        </is>
      </c>
      <c r="E154" t="inlineStr">
        <is>
          <t>BERG</t>
        </is>
      </c>
      <c r="F154" t="inlineStr">
        <is>
          <t>SCA</t>
        </is>
      </c>
      <c r="G154" t="n">
        <v>4.2</v>
      </c>
      <c r="H154" t="n">
        <v>1</v>
      </c>
      <c r="I154" t="n">
        <v>0</v>
      </c>
      <c r="J154" t="n">
        <v>1</v>
      </c>
      <c r="K154" t="n">
        <v>0</v>
      </c>
      <c r="L154" t="n">
        <v>0</v>
      </c>
      <c r="M154" t="n">
        <v>0</v>
      </c>
      <c r="N154" t="n">
        <v>0</v>
      </c>
      <c r="O154" t="n">
        <v>1</v>
      </c>
      <c r="P154" t="n">
        <v>0</v>
      </c>
      <c r="Q154" t="n">
        <v>2</v>
      </c>
      <c r="R154" s="2" t="inlineStr">
        <is>
          <t>Brunklöver
Gullviva</t>
        </is>
      </c>
      <c r="S154">
        <f>HYPERLINK("https://klasma.github.io/Logging_2326/artfynd/A 8734-2025 artfynd.xlsx", "A 8734-2025")</f>
        <v/>
      </c>
      <c r="T154">
        <f>HYPERLINK("https://klasma.github.io/Logging_2326/kartor/A 8734-2025 karta.png", "A 8734-2025")</f>
        <v/>
      </c>
      <c r="V154">
        <f>HYPERLINK("https://klasma.github.io/Logging_2326/klagomål/A 8734-2025 FSC-klagomål.docx", "A 8734-2025")</f>
        <v/>
      </c>
      <c r="W154">
        <f>HYPERLINK("https://klasma.github.io/Logging_2326/klagomålsmail/A 8734-2025 FSC-klagomål mail.docx", "A 8734-2025")</f>
        <v/>
      </c>
      <c r="X154">
        <f>HYPERLINK("https://klasma.github.io/Logging_2326/tillsyn/A 8734-2025 tillsynsbegäran.docx", "A 8734-2025")</f>
        <v/>
      </c>
      <c r="Y154">
        <f>HYPERLINK("https://klasma.github.io/Logging_2326/tillsynsmail/A 8734-2025 tillsynsbegäran mail.docx", "A 8734-2025")</f>
        <v/>
      </c>
    </row>
    <row r="155" ht="15" customHeight="1">
      <c r="A155" t="inlineStr">
        <is>
          <t>A 14344-2025</t>
        </is>
      </c>
      <c r="B155" s="1" t="n">
        <v>45741</v>
      </c>
      <c r="C155" s="1" t="n">
        <v>45787</v>
      </c>
      <c r="D155" t="inlineStr">
        <is>
          <t>JÄMTLANDS LÄN</t>
        </is>
      </c>
      <c r="E155" t="inlineStr">
        <is>
          <t>BERG</t>
        </is>
      </c>
      <c r="G155" t="n">
        <v>3.4</v>
      </c>
      <c r="H155" t="n">
        <v>1</v>
      </c>
      <c r="I155" t="n">
        <v>1</v>
      </c>
      <c r="J155" t="n">
        <v>0</v>
      </c>
      <c r="K155" t="n">
        <v>0</v>
      </c>
      <c r="L155" t="n">
        <v>0</v>
      </c>
      <c r="M155" t="n">
        <v>0</v>
      </c>
      <c r="N155" t="n">
        <v>0</v>
      </c>
      <c r="O155" t="n">
        <v>0</v>
      </c>
      <c r="P155" t="n">
        <v>0</v>
      </c>
      <c r="Q155" t="n">
        <v>2</v>
      </c>
      <c r="R155" s="2" t="inlineStr">
        <is>
          <t>Svart trolldruva
Revlummer</t>
        </is>
      </c>
      <c r="S155">
        <f>HYPERLINK("https://klasma.github.io/Logging_232326/artfynd/A 14344-2025 artfynd.xlsx", "A 14344-2025")</f>
        <v/>
      </c>
      <c r="T155">
        <f>HYPERLINK("https://klasma.github.io/Logging_232326/kartor/A 14344-2025 karta.png", "A 14344-2025")</f>
        <v/>
      </c>
      <c r="V155">
        <f>HYPERLINK("https://klasma.github.io/Logging_232326/klagomål/A 14344-2025 FSC-klagomål.docx", "A 14344-2025")</f>
        <v/>
      </c>
      <c r="W155">
        <f>HYPERLINK("https://klasma.github.io/Logging_232326/klagomålsmail/A 14344-2025 FSC-klagomål mail.docx", "A 14344-2025")</f>
        <v/>
      </c>
      <c r="X155">
        <f>HYPERLINK("https://klasma.github.io/Logging_232326/tillsyn/A 14344-2025 tillsynsbegäran.docx", "A 14344-2025")</f>
        <v/>
      </c>
      <c r="Y155">
        <f>HYPERLINK("https://klasma.github.io/Logging_232326/tillsynsmail/A 14344-2025 tillsynsbegäran mail.docx", "A 14344-2025")</f>
        <v/>
      </c>
    </row>
    <row r="156" ht="15" customHeight="1">
      <c r="A156" t="inlineStr">
        <is>
          <t>A 19556-2025</t>
        </is>
      </c>
      <c r="B156" s="1" t="n">
        <v>45770</v>
      </c>
      <c r="C156" s="1" t="n">
        <v>45787</v>
      </c>
      <c r="D156" t="inlineStr">
        <is>
          <t>JÄMTLANDS LÄN</t>
        </is>
      </c>
      <c r="E156" t="inlineStr">
        <is>
          <t>BERG</t>
        </is>
      </c>
      <c r="F156" t="inlineStr">
        <is>
          <t>SCA</t>
        </is>
      </c>
      <c r="G156" t="n">
        <v>1.1</v>
      </c>
      <c r="H156" t="n">
        <v>0</v>
      </c>
      <c r="I156" t="n">
        <v>0</v>
      </c>
      <c r="J156" t="n">
        <v>1</v>
      </c>
      <c r="K156" t="n">
        <v>1</v>
      </c>
      <c r="L156" t="n">
        <v>0</v>
      </c>
      <c r="M156" t="n">
        <v>0</v>
      </c>
      <c r="N156" t="n">
        <v>0</v>
      </c>
      <c r="O156" t="n">
        <v>2</v>
      </c>
      <c r="P156" t="n">
        <v>1</v>
      </c>
      <c r="Q156" t="n">
        <v>2</v>
      </c>
      <c r="R156" s="2" t="inlineStr">
        <is>
          <t>Rynkskinn
Garnlav</t>
        </is>
      </c>
      <c r="S156">
        <f>HYPERLINK("https://klasma.github.io/Logging_232326/artfynd/A 19556-2025 artfynd.xlsx", "A 19556-2025")</f>
        <v/>
      </c>
      <c r="T156">
        <f>HYPERLINK("https://klasma.github.io/Logging_232326/kartor/A 19556-2025 karta.png", "A 19556-2025")</f>
        <v/>
      </c>
      <c r="V156">
        <f>HYPERLINK("https://klasma.github.io/Logging_232326/klagomål/A 19556-2025 FSC-klagomål.docx", "A 19556-2025")</f>
        <v/>
      </c>
      <c r="W156">
        <f>HYPERLINK("https://klasma.github.io/Logging_232326/klagomålsmail/A 19556-2025 FSC-klagomål mail.docx", "A 19556-2025")</f>
        <v/>
      </c>
      <c r="X156">
        <f>HYPERLINK("https://klasma.github.io/Logging_232326/tillsyn/A 19556-2025 tillsynsbegäran.docx", "A 19556-2025")</f>
        <v/>
      </c>
      <c r="Y156">
        <f>HYPERLINK("https://klasma.github.io/Logging_232326/tillsynsmail/A 19556-2025 tillsynsbegäran mail.docx", "A 19556-2025")</f>
        <v/>
      </c>
    </row>
    <row r="157" ht="15" customHeight="1">
      <c r="A157" t="inlineStr">
        <is>
          <t>A 21518-2025</t>
        </is>
      </c>
      <c r="B157" s="1" t="n">
        <v>45782</v>
      </c>
      <c r="C157" s="1" t="n">
        <v>45787</v>
      </c>
      <c r="D157" t="inlineStr">
        <is>
          <t>JÄMTLANDS LÄN</t>
        </is>
      </c>
      <c r="E157" t="inlineStr">
        <is>
          <t>BERG</t>
        </is>
      </c>
      <c r="F157" t="inlineStr">
        <is>
          <t>SCA</t>
        </is>
      </c>
      <c r="G157" t="n">
        <v>3.6</v>
      </c>
      <c r="H157" t="n">
        <v>0</v>
      </c>
      <c r="I157" t="n">
        <v>1</v>
      </c>
      <c r="J157" t="n">
        <v>1</v>
      </c>
      <c r="K157" t="n">
        <v>0</v>
      </c>
      <c r="L157" t="n">
        <v>0</v>
      </c>
      <c r="M157" t="n">
        <v>0</v>
      </c>
      <c r="N157" t="n">
        <v>0</v>
      </c>
      <c r="O157" t="n">
        <v>1</v>
      </c>
      <c r="P157" t="n">
        <v>0</v>
      </c>
      <c r="Q157" t="n">
        <v>2</v>
      </c>
      <c r="R157" s="2" t="inlineStr">
        <is>
          <t>Dvärgbägarlav
Skarp dropptaggsvamp</t>
        </is>
      </c>
      <c r="S157">
        <f>HYPERLINK("https://klasma.github.io/Logging_232326/artfynd/A 21518-2025 artfynd.xlsx", "A 21518-2025")</f>
        <v/>
      </c>
      <c r="T157">
        <f>HYPERLINK("https://klasma.github.io/Logging_232326/kartor/A 21518-2025 karta.png", "A 21518-2025")</f>
        <v/>
      </c>
      <c r="V157">
        <f>HYPERLINK("https://klasma.github.io/Logging_232326/klagomål/A 21518-2025 FSC-klagomål.docx", "A 21518-2025")</f>
        <v/>
      </c>
      <c r="W157">
        <f>HYPERLINK("https://klasma.github.io/Logging_232326/klagomålsmail/A 21518-2025 FSC-klagomål mail.docx", "A 21518-2025")</f>
        <v/>
      </c>
      <c r="X157">
        <f>HYPERLINK("https://klasma.github.io/Logging_232326/tillsyn/A 21518-2025 tillsynsbegäran.docx", "A 21518-2025")</f>
        <v/>
      </c>
      <c r="Y157">
        <f>HYPERLINK("https://klasma.github.io/Logging_232326/tillsynsmail/A 21518-2025 tillsynsbegäran mail.docx", "A 21518-2025")</f>
        <v/>
      </c>
    </row>
    <row r="158" ht="15" customHeight="1">
      <c r="A158" t="inlineStr">
        <is>
          <t>A 32121-2019</t>
        </is>
      </c>
      <c r="B158" s="1" t="n">
        <v>43643</v>
      </c>
      <c r="C158" s="1" t="n">
        <v>45787</v>
      </c>
      <c r="D158" t="inlineStr">
        <is>
          <t>JÄMTLANDS LÄN</t>
        </is>
      </c>
      <c r="E158" t="inlineStr">
        <is>
          <t>BERG</t>
        </is>
      </c>
      <c r="F158" t="inlineStr">
        <is>
          <t>Sveaskog</t>
        </is>
      </c>
      <c r="G158" t="n">
        <v>5.2</v>
      </c>
      <c r="H158" t="n">
        <v>0</v>
      </c>
      <c r="I158" t="n">
        <v>0</v>
      </c>
      <c r="J158" t="n">
        <v>1</v>
      </c>
      <c r="K158" t="n">
        <v>0</v>
      </c>
      <c r="L158" t="n">
        <v>0</v>
      </c>
      <c r="M158" t="n">
        <v>0</v>
      </c>
      <c r="N158" t="n">
        <v>0</v>
      </c>
      <c r="O158" t="n">
        <v>1</v>
      </c>
      <c r="P158" t="n">
        <v>0</v>
      </c>
      <c r="Q158" t="n">
        <v>1</v>
      </c>
      <c r="R158" s="2" t="inlineStr">
        <is>
          <t>Lunglav</t>
        </is>
      </c>
      <c r="S158">
        <f>HYPERLINK("https://klasma.github.io/Logging_2326/artfynd/A 32121-2019 artfynd.xlsx", "A 32121-2019")</f>
        <v/>
      </c>
      <c r="T158">
        <f>HYPERLINK("https://klasma.github.io/Logging_2326/kartor/A 32121-2019 karta.png", "A 32121-2019")</f>
        <v/>
      </c>
      <c r="V158">
        <f>HYPERLINK("https://klasma.github.io/Logging_2326/klagomål/A 32121-2019 FSC-klagomål.docx", "A 32121-2019")</f>
        <v/>
      </c>
      <c r="W158">
        <f>HYPERLINK("https://klasma.github.io/Logging_2326/klagomålsmail/A 32121-2019 FSC-klagomål mail.docx", "A 32121-2019")</f>
        <v/>
      </c>
      <c r="X158">
        <f>HYPERLINK("https://klasma.github.io/Logging_2326/tillsyn/A 32121-2019 tillsynsbegäran.docx", "A 32121-2019")</f>
        <v/>
      </c>
      <c r="Y158">
        <f>HYPERLINK("https://klasma.github.io/Logging_2326/tillsynsmail/A 32121-2019 tillsynsbegäran mail.docx", "A 32121-2019")</f>
        <v/>
      </c>
    </row>
    <row r="159" ht="15" customHeight="1">
      <c r="A159" t="inlineStr">
        <is>
          <t>A 43295-2019</t>
        </is>
      </c>
      <c r="B159" s="1" t="n">
        <v>43703</v>
      </c>
      <c r="C159" s="1" t="n">
        <v>45787</v>
      </c>
      <c r="D159" t="inlineStr">
        <is>
          <t>JÄMTLANDS LÄN</t>
        </is>
      </c>
      <c r="E159" t="inlineStr">
        <is>
          <t>BERG</t>
        </is>
      </c>
      <c r="G159" t="n">
        <v>0.7</v>
      </c>
      <c r="H159" t="n">
        <v>1</v>
      </c>
      <c r="I159" t="n">
        <v>0</v>
      </c>
      <c r="J159" t="n">
        <v>1</v>
      </c>
      <c r="K159" t="n">
        <v>0</v>
      </c>
      <c r="L159" t="n">
        <v>0</v>
      </c>
      <c r="M159" t="n">
        <v>0</v>
      </c>
      <c r="N159" t="n">
        <v>0</v>
      </c>
      <c r="O159" t="n">
        <v>1</v>
      </c>
      <c r="P159" t="n">
        <v>0</v>
      </c>
      <c r="Q159" t="n">
        <v>1</v>
      </c>
      <c r="R159" s="2" t="inlineStr">
        <is>
          <t>Mindre hackspett</t>
        </is>
      </c>
      <c r="S159">
        <f>HYPERLINK("https://klasma.github.io/Logging_2326/artfynd/A 43295-2019 artfynd.xlsx", "A 43295-2019")</f>
        <v/>
      </c>
      <c r="T159">
        <f>HYPERLINK("https://klasma.github.io/Logging_2326/kartor/A 43295-2019 karta.png", "A 43295-2019")</f>
        <v/>
      </c>
      <c r="V159">
        <f>HYPERLINK("https://klasma.github.io/Logging_2326/klagomål/A 43295-2019 FSC-klagomål.docx", "A 43295-2019")</f>
        <v/>
      </c>
      <c r="W159">
        <f>HYPERLINK("https://klasma.github.io/Logging_2326/klagomålsmail/A 43295-2019 FSC-klagomål mail.docx", "A 43295-2019")</f>
        <v/>
      </c>
      <c r="X159">
        <f>HYPERLINK("https://klasma.github.io/Logging_2326/tillsyn/A 43295-2019 tillsynsbegäran.docx", "A 43295-2019")</f>
        <v/>
      </c>
      <c r="Y159">
        <f>HYPERLINK("https://klasma.github.io/Logging_2326/tillsynsmail/A 43295-2019 tillsynsbegäran mail.docx", "A 43295-2019")</f>
        <v/>
      </c>
      <c r="Z159">
        <f>HYPERLINK("https://klasma.github.io/Logging_2326/fåglar/A 43295-2019 prioriterade fågelarter.docx", "A 43295-2019")</f>
        <v/>
      </c>
    </row>
    <row r="160" ht="15" customHeight="1">
      <c r="A160" t="inlineStr">
        <is>
          <t>A 43203-2019</t>
        </is>
      </c>
      <c r="B160" s="1" t="n">
        <v>43705</v>
      </c>
      <c r="C160" s="1" t="n">
        <v>45787</v>
      </c>
      <c r="D160" t="inlineStr">
        <is>
          <t>JÄMTLANDS LÄN</t>
        </is>
      </c>
      <c r="E160" t="inlineStr">
        <is>
          <t>BERG</t>
        </is>
      </c>
      <c r="F160" t="inlineStr">
        <is>
          <t>SCA</t>
        </is>
      </c>
      <c r="G160" t="n">
        <v>2.6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43203-2019 artfynd.xlsx", "A 43203-2019")</f>
        <v/>
      </c>
      <c r="T160">
        <f>HYPERLINK("https://klasma.github.io/Logging_2326/kartor/A 43203-2019 karta.png", "A 43203-2019")</f>
        <v/>
      </c>
      <c r="V160">
        <f>HYPERLINK("https://klasma.github.io/Logging_2326/klagomål/A 43203-2019 FSC-klagomål.docx", "A 43203-2019")</f>
        <v/>
      </c>
      <c r="W160">
        <f>HYPERLINK("https://klasma.github.io/Logging_2326/klagomålsmail/A 43203-2019 FSC-klagomål mail.docx", "A 43203-2019")</f>
        <v/>
      </c>
      <c r="X160">
        <f>HYPERLINK("https://klasma.github.io/Logging_2326/tillsyn/A 43203-2019 tillsynsbegäran.docx", "A 43203-2019")</f>
        <v/>
      </c>
      <c r="Y160">
        <f>HYPERLINK("https://klasma.github.io/Logging_2326/tillsynsmail/A 43203-2019 tillsynsbegäran mail.docx", "A 43203-2019")</f>
        <v/>
      </c>
    </row>
    <row r="161" ht="15" customHeight="1">
      <c r="A161" t="inlineStr">
        <is>
          <t>A 61775-2019</t>
        </is>
      </c>
      <c r="B161" s="1" t="n">
        <v>43784</v>
      </c>
      <c r="C161" s="1" t="n">
        <v>45787</v>
      </c>
      <c r="D161" t="inlineStr">
        <is>
          <t>JÄMTLANDS LÄN</t>
        </is>
      </c>
      <c r="E161" t="inlineStr">
        <is>
          <t>BERG</t>
        </is>
      </c>
      <c r="F161" t="inlineStr">
        <is>
          <t>SCA</t>
        </is>
      </c>
      <c r="G161" t="n">
        <v>5.4</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61775-2019 artfynd.xlsx", "A 61775-2019")</f>
        <v/>
      </c>
      <c r="T161">
        <f>HYPERLINK("https://klasma.github.io/Logging_2326/kartor/A 61775-2019 karta.png", "A 61775-2019")</f>
        <v/>
      </c>
      <c r="V161">
        <f>HYPERLINK("https://klasma.github.io/Logging_2326/klagomål/A 61775-2019 FSC-klagomål.docx", "A 61775-2019")</f>
        <v/>
      </c>
      <c r="W161">
        <f>HYPERLINK("https://klasma.github.io/Logging_2326/klagomålsmail/A 61775-2019 FSC-klagomål mail.docx", "A 61775-2019")</f>
        <v/>
      </c>
      <c r="X161">
        <f>HYPERLINK("https://klasma.github.io/Logging_2326/tillsyn/A 61775-2019 tillsynsbegäran.docx", "A 61775-2019")</f>
        <v/>
      </c>
      <c r="Y161">
        <f>HYPERLINK("https://klasma.github.io/Logging_2326/tillsynsmail/A 61775-2019 tillsynsbegäran mail.docx", "A 61775-2019")</f>
        <v/>
      </c>
    </row>
    <row r="162" ht="15" customHeight="1">
      <c r="A162" t="inlineStr">
        <is>
          <t>A 67342-2019</t>
        </is>
      </c>
      <c r="B162" s="1" t="n">
        <v>43812</v>
      </c>
      <c r="C162" s="1" t="n">
        <v>45787</v>
      </c>
      <c r="D162" t="inlineStr">
        <is>
          <t>JÄMTLANDS LÄN</t>
        </is>
      </c>
      <c r="E162" t="inlineStr">
        <is>
          <t>BERG</t>
        </is>
      </c>
      <c r="G162" t="n">
        <v>5</v>
      </c>
      <c r="H162" t="n">
        <v>1</v>
      </c>
      <c r="I162" t="n">
        <v>0</v>
      </c>
      <c r="J162" t="n">
        <v>0</v>
      </c>
      <c r="K162" t="n">
        <v>0</v>
      </c>
      <c r="L162" t="n">
        <v>0</v>
      </c>
      <c r="M162" t="n">
        <v>0</v>
      </c>
      <c r="N162" t="n">
        <v>0</v>
      </c>
      <c r="O162" t="n">
        <v>0</v>
      </c>
      <c r="P162" t="n">
        <v>0</v>
      </c>
      <c r="Q162" t="n">
        <v>1</v>
      </c>
      <c r="R162" s="2" t="inlineStr">
        <is>
          <t>Revlummer</t>
        </is>
      </c>
      <c r="S162">
        <f>HYPERLINK("https://klasma.github.io/Logging_2326/artfynd/A 67342-2019 artfynd.xlsx", "A 67342-2019")</f>
        <v/>
      </c>
      <c r="T162">
        <f>HYPERLINK("https://klasma.github.io/Logging_2326/kartor/A 67342-2019 karta.png", "A 67342-2019")</f>
        <v/>
      </c>
      <c r="V162">
        <f>HYPERLINK("https://klasma.github.io/Logging_2326/klagomål/A 67342-2019 FSC-klagomål.docx", "A 67342-2019")</f>
        <v/>
      </c>
      <c r="W162">
        <f>HYPERLINK("https://klasma.github.io/Logging_2326/klagomålsmail/A 67342-2019 FSC-klagomål mail.docx", "A 67342-2019")</f>
        <v/>
      </c>
      <c r="X162">
        <f>HYPERLINK("https://klasma.github.io/Logging_2326/tillsyn/A 67342-2019 tillsynsbegäran.docx", "A 67342-2019")</f>
        <v/>
      </c>
      <c r="Y162">
        <f>HYPERLINK("https://klasma.github.io/Logging_2326/tillsynsmail/A 67342-2019 tillsynsbegäran mail.docx", "A 67342-2019")</f>
        <v/>
      </c>
    </row>
    <row r="163" ht="15" customHeight="1">
      <c r="A163" t="inlineStr">
        <is>
          <t>A 34582-2020</t>
        </is>
      </c>
      <c r="B163" s="1" t="n">
        <v>44033</v>
      </c>
      <c r="C163" s="1" t="n">
        <v>45787</v>
      </c>
      <c r="D163" t="inlineStr">
        <is>
          <t>JÄMTLANDS LÄN</t>
        </is>
      </c>
      <c r="E163" t="inlineStr">
        <is>
          <t>BERG</t>
        </is>
      </c>
      <c r="F163" t="inlineStr">
        <is>
          <t>SCA</t>
        </is>
      </c>
      <c r="G163" t="n">
        <v>10.6</v>
      </c>
      <c r="H163" t="n">
        <v>0</v>
      </c>
      <c r="I163" t="n">
        <v>0</v>
      </c>
      <c r="J163" t="n">
        <v>1</v>
      </c>
      <c r="K163" t="n">
        <v>0</v>
      </c>
      <c r="L163" t="n">
        <v>0</v>
      </c>
      <c r="M163" t="n">
        <v>0</v>
      </c>
      <c r="N163" t="n">
        <v>0</v>
      </c>
      <c r="O163" t="n">
        <v>1</v>
      </c>
      <c r="P163" t="n">
        <v>0</v>
      </c>
      <c r="Q163" t="n">
        <v>1</v>
      </c>
      <c r="R163" s="2" t="inlineStr">
        <is>
          <t>Kolflarnlav</t>
        </is>
      </c>
      <c r="S163">
        <f>HYPERLINK("https://klasma.github.io/Logging_2326/artfynd/A 34582-2020 artfynd.xlsx", "A 34582-2020")</f>
        <v/>
      </c>
      <c r="T163">
        <f>HYPERLINK("https://klasma.github.io/Logging_2326/kartor/A 34582-2020 karta.png", "A 34582-2020")</f>
        <v/>
      </c>
      <c r="V163">
        <f>HYPERLINK("https://klasma.github.io/Logging_2326/klagomål/A 34582-2020 FSC-klagomål.docx", "A 34582-2020")</f>
        <v/>
      </c>
      <c r="W163">
        <f>HYPERLINK("https://klasma.github.io/Logging_2326/klagomålsmail/A 34582-2020 FSC-klagomål mail.docx", "A 34582-2020")</f>
        <v/>
      </c>
      <c r="X163">
        <f>HYPERLINK("https://klasma.github.io/Logging_2326/tillsyn/A 34582-2020 tillsynsbegäran.docx", "A 34582-2020")</f>
        <v/>
      </c>
      <c r="Y163">
        <f>HYPERLINK("https://klasma.github.io/Logging_2326/tillsynsmail/A 34582-2020 tillsynsbegäran mail.docx", "A 34582-2020")</f>
        <v/>
      </c>
    </row>
    <row r="164" ht="15" customHeight="1">
      <c r="A164" t="inlineStr">
        <is>
          <t>A 36966-2020</t>
        </is>
      </c>
      <c r="B164" s="1" t="n">
        <v>44053</v>
      </c>
      <c r="C164" s="1" t="n">
        <v>45787</v>
      </c>
      <c r="D164" t="inlineStr">
        <is>
          <t>JÄMTLANDS LÄN</t>
        </is>
      </c>
      <c r="E164" t="inlineStr">
        <is>
          <t>BERG</t>
        </is>
      </c>
      <c r="F164" t="inlineStr">
        <is>
          <t>SCA</t>
        </is>
      </c>
      <c r="G164" t="n">
        <v>2.7</v>
      </c>
      <c r="H164" t="n">
        <v>0</v>
      </c>
      <c r="I164" t="n">
        <v>0</v>
      </c>
      <c r="J164" t="n">
        <v>1</v>
      </c>
      <c r="K164" t="n">
        <v>0</v>
      </c>
      <c r="L164" t="n">
        <v>0</v>
      </c>
      <c r="M164" t="n">
        <v>0</v>
      </c>
      <c r="N164" t="n">
        <v>0</v>
      </c>
      <c r="O164" t="n">
        <v>1</v>
      </c>
      <c r="P164" t="n">
        <v>0</v>
      </c>
      <c r="Q164" t="n">
        <v>1</v>
      </c>
      <c r="R164" s="2" t="inlineStr">
        <is>
          <t>Reliktbock</t>
        </is>
      </c>
      <c r="S164">
        <f>HYPERLINK("https://klasma.github.io/Logging_2326/artfynd/A 36966-2020 artfynd.xlsx", "A 36966-2020")</f>
        <v/>
      </c>
      <c r="T164">
        <f>HYPERLINK("https://klasma.github.io/Logging_2326/kartor/A 36966-2020 karta.png", "A 36966-2020")</f>
        <v/>
      </c>
      <c r="V164">
        <f>HYPERLINK("https://klasma.github.io/Logging_2326/klagomål/A 36966-2020 FSC-klagomål.docx", "A 36966-2020")</f>
        <v/>
      </c>
      <c r="W164">
        <f>HYPERLINK("https://klasma.github.io/Logging_2326/klagomålsmail/A 36966-2020 FSC-klagomål mail.docx", "A 36966-2020")</f>
        <v/>
      </c>
      <c r="X164">
        <f>HYPERLINK("https://klasma.github.io/Logging_2326/tillsyn/A 36966-2020 tillsynsbegäran.docx", "A 36966-2020")</f>
        <v/>
      </c>
      <c r="Y164">
        <f>HYPERLINK("https://klasma.github.io/Logging_2326/tillsynsmail/A 36966-2020 tillsynsbegäran mail.docx", "A 36966-2020")</f>
        <v/>
      </c>
    </row>
    <row r="165" ht="15" customHeight="1">
      <c r="A165" t="inlineStr">
        <is>
          <t>A 16834-2021</t>
        </is>
      </c>
      <c r="B165" s="1" t="n">
        <v>44293</v>
      </c>
      <c r="C165" s="1" t="n">
        <v>45787</v>
      </c>
      <c r="D165" t="inlineStr">
        <is>
          <t>JÄMTLANDS LÄN</t>
        </is>
      </c>
      <c r="E165" t="inlineStr">
        <is>
          <t>BERG</t>
        </is>
      </c>
      <c r="G165" t="n">
        <v>18.7</v>
      </c>
      <c r="H165" t="n">
        <v>0</v>
      </c>
      <c r="I165" t="n">
        <v>0</v>
      </c>
      <c r="J165" t="n">
        <v>1</v>
      </c>
      <c r="K165" t="n">
        <v>0</v>
      </c>
      <c r="L165" t="n">
        <v>0</v>
      </c>
      <c r="M165" t="n">
        <v>0</v>
      </c>
      <c r="N165" t="n">
        <v>0</v>
      </c>
      <c r="O165" t="n">
        <v>1</v>
      </c>
      <c r="P165" t="n">
        <v>0</v>
      </c>
      <c r="Q165" t="n">
        <v>1</v>
      </c>
      <c r="R165" s="2" t="inlineStr">
        <is>
          <t>Gränsticka</t>
        </is>
      </c>
      <c r="S165">
        <f>HYPERLINK("https://klasma.github.io/Logging_2326/artfynd/A 16834-2021 artfynd.xlsx", "A 16834-2021")</f>
        <v/>
      </c>
      <c r="T165">
        <f>HYPERLINK("https://klasma.github.io/Logging_2326/kartor/A 16834-2021 karta.png", "A 16834-2021")</f>
        <v/>
      </c>
      <c r="V165">
        <f>HYPERLINK("https://klasma.github.io/Logging_2326/klagomål/A 16834-2021 FSC-klagomål.docx", "A 16834-2021")</f>
        <v/>
      </c>
      <c r="W165">
        <f>HYPERLINK("https://klasma.github.io/Logging_2326/klagomålsmail/A 16834-2021 FSC-klagomål mail.docx", "A 16834-2021")</f>
        <v/>
      </c>
      <c r="X165">
        <f>HYPERLINK("https://klasma.github.io/Logging_2326/tillsyn/A 16834-2021 tillsynsbegäran.docx", "A 16834-2021")</f>
        <v/>
      </c>
      <c r="Y165">
        <f>HYPERLINK("https://klasma.github.io/Logging_2326/tillsynsmail/A 16834-2021 tillsynsbegäran mail.docx", "A 16834-2021")</f>
        <v/>
      </c>
    </row>
    <row r="166" ht="15" customHeight="1">
      <c r="A166" t="inlineStr">
        <is>
          <t>A 33557-2021</t>
        </is>
      </c>
      <c r="B166" s="1" t="n">
        <v>44377</v>
      </c>
      <c r="C166" s="1" t="n">
        <v>45787</v>
      </c>
      <c r="D166" t="inlineStr">
        <is>
          <t>JÄMTLANDS LÄN</t>
        </is>
      </c>
      <c r="E166" t="inlineStr">
        <is>
          <t>BERG</t>
        </is>
      </c>
      <c r="F166" t="inlineStr">
        <is>
          <t>SCA</t>
        </is>
      </c>
      <c r="G166" t="n">
        <v>10</v>
      </c>
      <c r="H166" t="n">
        <v>0</v>
      </c>
      <c r="I166" t="n">
        <v>0</v>
      </c>
      <c r="J166" t="n">
        <v>0</v>
      </c>
      <c r="K166" t="n">
        <v>1</v>
      </c>
      <c r="L166" t="n">
        <v>0</v>
      </c>
      <c r="M166" t="n">
        <v>0</v>
      </c>
      <c r="N166" t="n">
        <v>0</v>
      </c>
      <c r="O166" t="n">
        <v>1</v>
      </c>
      <c r="P166" t="n">
        <v>1</v>
      </c>
      <c r="Q166" t="n">
        <v>1</v>
      </c>
      <c r="R166" s="2" t="inlineStr">
        <is>
          <t>Gräddporing</t>
        </is>
      </c>
      <c r="S166">
        <f>HYPERLINK("https://klasma.github.io/Logging_2326/artfynd/A 33557-2021 artfynd.xlsx", "A 33557-2021")</f>
        <v/>
      </c>
      <c r="T166">
        <f>HYPERLINK("https://klasma.github.io/Logging_2326/kartor/A 33557-2021 karta.png", "A 33557-2021")</f>
        <v/>
      </c>
      <c r="V166">
        <f>HYPERLINK("https://klasma.github.io/Logging_2326/klagomål/A 33557-2021 FSC-klagomål.docx", "A 33557-2021")</f>
        <v/>
      </c>
      <c r="W166">
        <f>HYPERLINK("https://klasma.github.io/Logging_2326/klagomålsmail/A 33557-2021 FSC-klagomål mail.docx", "A 33557-2021")</f>
        <v/>
      </c>
      <c r="X166">
        <f>HYPERLINK("https://klasma.github.io/Logging_2326/tillsyn/A 33557-2021 tillsynsbegäran.docx", "A 33557-2021")</f>
        <v/>
      </c>
      <c r="Y166">
        <f>HYPERLINK("https://klasma.github.io/Logging_2326/tillsynsmail/A 33557-2021 tillsynsbegäran mail.docx", "A 33557-2021")</f>
        <v/>
      </c>
    </row>
    <row r="167" ht="15" customHeight="1">
      <c r="A167" t="inlineStr">
        <is>
          <t>A 56202-2021</t>
        </is>
      </c>
      <c r="B167" s="1" t="n">
        <v>44477</v>
      </c>
      <c r="C167" s="1" t="n">
        <v>45787</v>
      </c>
      <c r="D167" t="inlineStr">
        <is>
          <t>JÄMTLANDS LÄN</t>
        </is>
      </c>
      <c r="E167" t="inlineStr">
        <is>
          <t>BERG</t>
        </is>
      </c>
      <c r="F167" t="inlineStr">
        <is>
          <t>SCA</t>
        </is>
      </c>
      <c r="G167" t="n">
        <v>1.1</v>
      </c>
      <c r="H167" t="n">
        <v>1</v>
      </c>
      <c r="I167" t="n">
        <v>0</v>
      </c>
      <c r="J167" t="n">
        <v>0</v>
      </c>
      <c r="K167" t="n">
        <v>1</v>
      </c>
      <c r="L167" t="n">
        <v>0</v>
      </c>
      <c r="M167" t="n">
        <v>0</v>
      </c>
      <c r="N167" t="n">
        <v>0</v>
      </c>
      <c r="O167" t="n">
        <v>1</v>
      </c>
      <c r="P167" t="n">
        <v>1</v>
      </c>
      <c r="Q167" t="n">
        <v>1</v>
      </c>
      <c r="R167" s="2" t="inlineStr">
        <is>
          <t>Knärot</t>
        </is>
      </c>
      <c r="S167">
        <f>HYPERLINK("https://klasma.github.io/Logging_2326/artfynd/A 56202-2021 artfynd.xlsx", "A 56202-2021")</f>
        <v/>
      </c>
      <c r="T167">
        <f>HYPERLINK("https://klasma.github.io/Logging_2326/kartor/A 56202-2021 karta.png", "A 56202-2021")</f>
        <v/>
      </c>
      <c r="U167">
        <f>HYPERLINK("https://klasma.github.io/Logging_2326/knärot/A 56202-2021 karta knärot.png", "A 56202-2021")</f>
        <v/>
      </c>
      <c r="V167">
        <f>HYPERLINK("https://klasma.github.io/Logging_2326/klagomål/A 56202-2021 FSC-klagomål.docx", "A 56202-2021")</f>
        <v/>
      </c>
      <c r="W167">
        <f>HYPERLINK("https://klasma.github.io/Logging_2326/klagomålsmail/A 56202-2021 FSC-klagomål mail.docx", "A 56202-2021")</f>
        <v/>
      </c>
      <c r="X167">
        <f>HYPERLINK("https://klasma.github.io/Logging_2326/tillsyn/A 56202-2021 tillsynsbegäran.docx", "A 56202-2021")</f>
        <v/>
      </c>
      <c r="Y167">
        <f>HYPERLINK("https://klasma.github.io/Logging_2326/tillsynsmail/A 56202-2021 tillsynsbegäran mail.docx", "A 56202-2021")</f>
        <v/>
      </c>
    </row>
    <row r="168" ht="15" customHeight="1">
      <c r="A168" t="inlineStr">
        <is>
          <t>A 68434-2021</t>
        </is>
      </c>
      <c r="B168" s="1" t="n">
        <v>44529</v>
      </c>
      <c r="C168" s="1" t="n">
        <v>45787</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32686-2022</t>
        </is>
      </c>
      <c r="B169" s="1" t="n">
        <v>44776</v>
      </c>
      <c r="C169" s="1" t="n">
        <v>45787</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32307-2022</t>
        </is>
      </c>
      <c r="B170" s="1" t="n">
        <v>44781</v>
      </c>
      <c r="C170" s="1" t="n">
        <v>45787</v>
      </c>
      <c r="D170" t="inlineStr">
        <is>
          <t>JÄMTLANDS LÄN</t>
        </is>
      </c>
      <c r="E170" t="inlineStr">
        <is>
          <t>BERG</t>
        </is>
      </c>
      <c r="G170" t="n">
        <v>4.8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32307-2022 artfynd.xlsx", "A 32307-2022")</f>
        <v/>
      </c>
      <c r="T170">
        <f>HYPERLINK("https://klasma.github.io/Logging_2326/kartor/A 32307-2022 karta.png", "A 32307-2022")</f>
        <v/>
      </c>
      <c r="V170">
        <f>HYPERLINK("https://klasma.github.io/Logging_2326/klagomål/A 32307-2022 FSC-klagomål.docx", "A 32307-2022")</f>
        <v/>
      </c>
      <c r="W170">
        <f>HYPERLINK("https://klasma.github.io/Logging_2326/klagomålsmail/A 32307-2022 FSC-klagomål mail.docx", "A 32307-2022")</f>
        <v/>
      </c>
      <c r="X170">
        <f>HYPERLINK("https://klasma.github.io/Logging_2326/tillsyn/A 32307-2022 tillsynsbegäran.docx", "A 32307-2022")</f>
        <v/>
      </c>
      <c r="Y170">
        <f>HYPERLINK("https://klasma.github.io/Logging_2326/tillsynsmail/A 32307-2022 tillsynsbegäran mail.docx", "A 32307-2022")</f>
        <v/>
      </c>
      <c r="Z170">
        <f>HYPERLINK("https://klasma.github.io/Logging_2326/fåglar/A 32307-2022 prioriterade fågelarter.docx", "A 32307-2022")</f>
        <v/>
      </c>
    </row>
    <row r="171" ht="15" customHeight="1">
      <c r="A171" t="inlineStr">
        <is>
          <t>A 34271-2022</t>
        </is>
      </c>
      <c r="B171" s="1" t="n">
        <v>44792</v>
      </c>
      <c r="C171" s="1" t="n">
        <v>45787</v>
      </c>
      <c r="D171" t="inlineStr">
        <is>
          <t>JÄMTLANDS LÄN</t>
        </is>
      </c>
      <c r="E171" t="inlineStr">
        <is>
          <t>BERG</t>
        </is>
      </c>
      <c r="F171" t="inlineStr">
        <is>
          <t>SCA</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HYPERLINK("https://klasma.github.io/Logging_2326/artfynd/A 34271-2022 artfynd.xlsx", "A 34271-2022")</f>
        <v/>
      </c>
      <c r="T171">
        <f>HYPERLINK("https://klasma.github.io/Logging_2326/kartor/A 34271-2022 karta.png", "A 34271-2022")</f>
        <v/>
      </c>
      <c r="V171">
        <f>HYPERLINK("https://klasma.github.io/Logging_2326/klagomål/A 34271-2022 FSC-klagomål.docx", "A 34271-2022")</f>
        <v/>
      </c>
      <c r="W171">
        <f>HYPERLINK("https://klasma.github.io/Logging_2326/klagomålsmail/A 34271-2022 FSC-klagomål mail.docx", "A 34271-2022")</f>
        <v/>
      </c>
      <c r="X171">
        <f>HYPERLINK("https://klasma.github.io/Logging_2326/tillsyn/A 34271-2022 tillsynsbegäran.docx", "A 34271-2022")</f>
        <v/>
      </c>
      <c r="Y171">
        <f>HYPERLINK("https://klasma.github.io/Logging_2326/tillsynsmail/A 34271-2022 tillsynsbegäran mail.docx", "A 34271-2022")</f>
        <v/>
      </c>
      <c r="Z171">
        <f>HYPERLINK("https://klasma.github.io/Logging_2326/fåglar/A 34271-2022 prioriterade fågelarter.docx", "A 34271-2022")</f>
        <v/>
      </c>
    </row>
    <row r="172" ht="15" customHeight="1">
      <c r="A172" t="inlineStr">
        <is>
          <t>A 34274-2022</t>
        </is>
      </c>
      <c r="B172" s="1" t="n">
        <v>44791</v>
      </c>
      <c r="C172" s="1" t="n">
        <v>45787</v>
      </c>
      <c r="D172" t="inlineStr">
        <is>
          <t>JÄMTLANDS LÄN</t>
        </is>
      </c>
      <c r="E172" t="inlineStr">
        <is>
          <t>BERG</t>
        </is>
      </c>
      <c r="F172" t="inlineStr">
        <is>
          <t>SCA</t>
        </is>
      </c>
      <c r="G172" t="n">
        <v>6.1</v>
      </c>
      <c r="H172" t="n">
        <v>0</v>
      </c>
      <c r="I172" t="n">
        <v>0</v>
      </c>
      <c r="J172" t="n">
        <v>1</v>
      </c>
      <c r="K172" t="n">
        <v>0</v>
      </c>
      <c r="L172" t="n">
        <v>0</v>
      </c>
      <c r="M172" t="n">
        <v>0</v>
      </c>
      <c r="N172" t="n">
        <v>0</v>
      </c>
      <c r="O172" t="n">
        <v>1</v>
      </c>
      <c r="P172" t="n">
        <v>0</v>
      </c>
      <c r="Q172" t="n">
        <v>1</v>
      </c>
      <c r="R172" s="2" t="inlineStr">
        <is>
          <t>Rosenticka</t>
        </is>
      </c>
      <c r="S172">
        <f>HYPERLINK("https://klasma.github.io/Logging_2326/artfynd/A 34274-2022 artfynd.xlsx", "A 34274-2022")</f>
        <v/>
      </c>
      <c r="T172">
        <f>HYPERLINK("https://klasma.github.io/Logging_2326/kartor/A 34274-2022 karta.png", "A 34274-2022")</f>
        <v/>
      </c>
      <c r="V172">
        <f>HYPERLINK("https://klasma.github.io/Logging_2326/klagomål/A 34274-2022 FSC-klagomål.docx", "A 34274-2022")</f>
        <v/>
      </c>
      <c r="W172">
        <f>HYPERLINK("https://klasma.github.io/Logging_2326/klagomålsmail/A 34274-2022 FSC-klagomål mail.docx", "A 34274-2022")</f>
        <v/>
      </c>
      <c r="X172">
        <f>HYPERLINK("https://klasma.github.io/Logging_2326/tillsyn/A 34274-2022 tillsynsbegäran.docx", "A 34274-2022")</f>
        <v/>
      </c>
      <c r="Y172">
        <f>HYPERLINK("https://klasma.github.io/Logging_2326/tillsynsmail/A 34274-2022 tillsynsbegäran mail.docx", "A 34274-2022")</f>
        <v/>
      </c>
    </row>
    <row r="173" ht="15" customHeight="1">
      <c r="A173" t="inlineStr">
        <is>
          <t>A 41317-2022</t>
        </is>
      </c>
      <c r="B173" s="1" t="n">
        <v>44826</v>
      </c>
      <c r="C173" s="1" t="n">
        <v>45787</v>
      </c>
      <c r="D173" t="inlineStr">
        <is>
          <t>JÄMTLANDS LÄN</t>
        </is>
      </c>
      <c r="E173" t="inlineStr">
        <is>
          <t>BERG</t>
        </is>
      </c>
      <c r="G173" t="n">
        <v>0.5</v>
      </c>
      <c r="H173" t="n">
        <v>1</v>
      </c>
      <c r="I173" t="n">
        <v>0</v>
      </c>
      <c r="J173" t="n">
        <v>0</v>
      </c>
      <c r="K173" t="n">
        <v>0</v>
      </c>
      <c r="L173" t="n">
        <v>0</v>
      </c>
      <c r="M173" t="n">
        <v>0</v>
      </c>
      <c r="N173" t="n">
        <v>0</v>
      </c>
      <c r="O173" t="n">
        <v>0</v>
      </c>
      <c r="P173" t="n">
        <v>0</v>
      </c>
      <c r="Q173" t="n">
        <v>1</v>
      </c>
      <c r="R173" s="2" t="inlineStr">
        <is>
          <t>Fläcknycklar</t>
        </is>
      </c>
      <c r="S173">
        <f>HYPERLINK("https://klasma.github.io/Logging_2326/artfynd/A 41317-2022 artfynd.xlsx", "A 41317-2022")</f>
        <v/>
      </c>
      <c r="T173">
        <f>HYPERLINK("https://klasma.github.io/Logging_2326/kartor/A 41317-2022 karta.png", "A 41317-2022")</f>
        <v/>
      </c>
      <c r="V173">
        <f>HYPERLINK("https://klasma.github.io/Logging_2326/klagomål/A 41317-2022 FSC-klagomål.docx", "A 41317-2022")</f>
        <v/>
      </c>
      <c r="W173">
        <f>HYPERLINK("https://klasma.github.io/Logging_2326/klagomålsmail/A 41317-2022 FSC-klagomål mail.docx", "A 41317-2022")</f>
        <v/>
      </c>
      <c r="X173">
        <f>HYPERLINK("https://klasma.github.io/Logging_2326/tillsyn/A 41317-2022 tillsynsbegäran.docx", "A 41317-2022")</f>
        <v/>
      </c>
      <c r="Y173">
        <f>HYPERLINK("https://klasma.github.io/Logging_2326/tillsynsmail/A 41317-2022 tillsynsbegäran mail.docx", "A 41317-2022")</f>
        <v/>
      </c>
    </row>
    <row r="174" ht="15" customHeight="1">
      <c r="A174" t="inlineStr">
        <is>
          <t>A 43132-2022</t>
        </is>
      </c>
      <c r="B174" s="1" t="n">
        <v>44833</v>
      </c>
      <c r="C174" s="1" t="n">
        <v>45787</v>
      </c>
      <c r="D174" t="inlineStr">
        <is>
          <t>JÄMTLANDS LÄN</t>
        </is>
      </c>
      <c r="E174" t="inlineStr">
        <is>
          <t>BERG</t>
        </is>
      </c>
      <c r="F174" t="inlineStr">
        <is>
          <t>SCA</t>
        </is>
      </c>
      <c r="G174" t="n">
        <v>11.5</v>
      </c>
      <c r="H174" t="n">
        <v>0</v>
      </c>
      <c r="I174" t="n">
        <v>0</v>
      </c>
      <c r="J174" t="n">
        <v>0</v>
      </c>
      <c r="K174" t="n">
        <v>1</v>
      </c>
      <c r="L174" t="n">
        <v>0</v>
      </c>
      <c r="M174" t="n">
        <v>0</v>
      </c>
      <c r="N174" t="n">
        <v>0</v>
      </c>
      <c r="O174" t="n">
        <v>1</v>
      </c>
      <c r="P174" t="n">
        <v>1</v>
      </c>
      <c r="Q174" t="n">
        <v>1</v>
      </c>
      <c r="R174" s="2" t="inlineStr">
        <is>
          <t>Gräddporing</t>
        </is>
      </c>
      <c r="S174">
        <f>HYPERLINK("https://klasma.github.io/Logging_2326/artfynd/A 43132-2022 artfynd.xlsx", "A 43132-2022")</f>
        <v/>
      </c>
      <c r="T174">
        <f>HYPERLINK("https://klasma.github.io/Logging_2326/kartor/A 43132-2022 karta.png", "A 43132-2022")</f>
        <v/>
      </c>
      <c r="V174">
        <f>HYPERLINK("https://klasma.github.io/Logging_2326/klagomål/A 43132-2022 FSC-klagomål.docx", "A 43132-2022")</f>
        <v/>
      </c>
      <c r="W174">
        <f>HYPERLINK("https://klasma.github.io/Logging_2326/klagomålsmail/A 43132-2022 FSC-klagomål mail.docx", "A 43132-2022")</f>
        <v/>
      </c>
      <c r="X174">
        <f>HYPERLINK("https://klasma.github.io/Logging_2326/tillsyn/A 43132-2022 tillsynsbegäran.docx", "A 43132-2022")</f>
        <v/>
      </c>
      <c r="Y174">
        <f>HYPERLINK("https://klasma.github.io/Logging_2326/tillsynsmail/A 43132-2022 tillsynsbegäran mail.docx", "A 43132-2022")</f>
        <v/>
      </c>
    </row>
    <row r="175" ht="15" customHeight="1">
      <c r="A175" t="inlineStr">
        <is>
          <t>A 43166-2022</t>
        </is>
      </c>
      <c r="B175" s="1" t="n">
        <v>44833</v>
      </c>
      <c r="C175" s="1" t="n">
        <v>45787</v>
      </c>
      <c r="D175" t="inlineStr">
        <is>
          <t>JÄMTLANDS LÄN</t>
        </is>
      </c>
      <c r="E175" t="inlineStr">
        <is>
          <t>BERG</t>
        </is>
      </c>
      <c r="F175" t="inlineStr">
        <is>
          <t>SCA</t>
        </is>
      </c>
      <c r="G175" t="n">
        <v>22.3</v>
      </c>
      <c r="H175" t="n">
        <v>0</v>
      </c>
      <c r="I175" t="n">
        <v>0</v>
      </c>
      <c r="J175" t="n">
        <v>1</v>
      </c>
      <c r="K175" t="n">
        <v>0</v>
      </c>
      <c r="L175" t="n">
        <v>0</v>
      </c>
      <c r="M175" t="n">
        <v>0</v>
      </c>
      <c r="N175" t="n">
        <v>0</v>
      </c>
      <c r="O175" t="n">
        <v>1</v>
      </c>
      <c r="P175" t="n">
        <v>0</v>
      </c>
      <c r="Q175" t="n">
        <v>1</v>
      </c>
      <c r="R175" s="2" t="inlineStr">
        <is>
          <t>Skrovellav</t>
        </is>
      </c>
      <c r="S175">
        <f>HYPERLINK("https://klasma.github.io/Logging_2326/artfynd/A 43166-2022 artfynd.xlsx", "A 43166-2022")</f>
        <v/>
      </c>
      <c r="T175">
        <f>HYPERLINK("https://klasma.github.io/Logging_2326/kartor/A 43166-2022 karta.png", "A 43166-2022")</f>
        <v/>
      </c>
      <c r="V175">
        <f>HYPERLINK("https://klasma.github.io/Logging_2326/klagomål/A 43166-2022 FSC-klagomål.docx", "A 43166-2022")</f>
        <v/>
      </c>
      <c r="W175">
        <f>HYPERLINK("https://klasma.github.io/Logging_2326/klagomålsmail/A 43166-2022 FSC-klagomål mail.docx", "A 43166-2022")</f>
        <v/>
      </c>
      <c r="X175">
        <f>HYPERLINK("https://klasma.github.io/Logging_2326/tillsyn/A 43166-2022 tillsynsbegäran.docx", "A 43166-2022")</f>
        <v/>
      </c>
      <c r="Y175">
        <f>HYPERLINK("https://klasma.github.io/Logging_2326/tillsynsmail/A 43166-2022 tillsynsbegäran mail.docx", "A 43166-2022")</f>
        <v/>
      </c>
    </row>
    <row r="176" ht="15" customHeight="1">
      <c r="A176" t="inlineStr">
        <is>
          <t>A 45082-2022</t>
        </is>
      </c>
      <c r="B176" s="1" t="n">
        <v>44842</v>
      </c>
      <c r="C176" s="1" t="n">
        <v>45787</v>
      </c>
      <c r="D176" t="inlineStr">
        <is>
          <t>JÄMTLANDS LÄN</t>
        </is>
      </c>
      <c r="E176" t="inlineStr">
        <is>
          <t>BERG</t>
        </is>
      </c>
      <c r="F176" t="inlineStr">
        <is>
          <t>SCA</t>
        </is>
      </c>
      <c r="G176" t="n">
        <v>10.8</v>
      </c>
      <c r="H176" t="n">
        <v>1</v>
      </c>
      <c r="I176" t="n">
        <v>0</v>
      </c>
      <c r="J176" t="n">
        <v>1</v>
      </c>
      <c r="K176" t="n">
        <v>0</v>
      </c>
      <c r="L176" t="n">
        <v>0</v>
      </c>
      <c r="M176" t="n">
        <v>0</v>
      </c>
      <c r="N176" t="n">
        <v>0</v>
      </c>
      <c r="O176" t="n">
        <v>1</v>
      </c>
      <c r="P176" t="n">
        <v>0</v>
      </c>
      <c r="Q176" t="n">
        <v>1</v>
      </c>
      <c r="R176" s="2" t="inlineStr">
        <is>
          <t>Fjällvråk</t>
        </is>
      </c>
      <c r="S176">
        <f>HYPERLINK("https://klasma.github.io/Logging_2326/artfynd/A 45082-2022 artfynd.xlsx", "A 45082-2022")</f>
        <v/>
      </c>
      <c r="T176">
        <f>HYPERLINK("https://klasma.github.io/Logging_2326/kartor/A 45082-2022 karta.png", "A 45082-2022")</f>
        <v/>
      </c>
      <c r="V176">
        <f>HYPERLINK("https://klasma.github.io/Logging_2326/klagomål/A 45082-2022 FSC-klagomål.docx", "A 45082-2022")</f>
        <v/>
      </c>
      <c r="W176">
        <f>HYPERLINK("https://klasma.github.io/Logging_2326/klagomålsmail/A 45082-2022 FSC-klagomål mail.docx", "A 45082-2022")</f>
        <v/>
      </c>
      <c r="X176">
        <f>HYPERLINK("https://klasma.github.io/Logging_2326/tillsyn/A 45082-2022 tillsynsbegäran.docx", "A 45082-2022")</f>
        <v/>
      </c>
      <c r="Y176">
        <f>HYPERLINK("https://klasma.github.io/Logging_2326/tillsynsmail/A 45082-2022 tillsynsbegäran mail.docx", "A 45082-2022")</f>
        <v/>
      </c>
      <c r="Z176">
        <f>HYPERLINK("https://klasma.github.io/Logging_2326/fåglar/A 45082-2022 prioriterade fågelarter.docx", "A 45082-2022")</f>
        <v/>
      </c>
    </row>
    <row r="177" ht="15" customHeight="1">
      <c r="A177" t="inlineStr">
        <is>
          <t>A 49532-2022</t>
        </is>
      </c>
      <c r="B177" s="1" t="n">
        <v>44861</v>
      </c>
      <c r="C177" s="1" t="n">
        <v>45787</v>
      </c>
      <c r="D177" t="inlineStr">
        <is>
          <t>JÄMTLANDS LÄN</t>
        </is>
      </c>
      <c r="E177" t="inlineStr">
        <is>
          <t>BERG</t>
        </is>
      </c>
      <c r="F177" t="inlineStr">
        <is>
          <t>SCA</t>
        </is>
      </c>
      <c r="G177" t="n">
        <v>12.7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49532-2022 artfynd.xlsx", "A 49532-2022")</f>
        <v/>
      </c>
      <c r="T177">
        <f>HYPERLINK("https://klasma.github.io/Logging_2326/kartor/A 49532-2022 karta.png", "A 49532-2022")</f>
        <v/>
      </c>
      <c r="V177">
        <f>HYPERLINK("https://klasma.github.io/Logging_2326/klagomål/A 49532-2022 FSC-klagomål.docx", "A 49532-2022")</f>
        <v/>
      </c>
      <c r="W177">
        <f>HYPERLINK("https://klasma.github.io/Logging_2326/klagomålsmail/A 49532-2022 FSC-klagomål mail.docx", "A 49532-2022")</f>
        <v/>
      </c>
      <c r="X177">
        <f>HYPERLINK("https://klasma.github.io/Logging_2326/tillsyn/A 49532-2022 tillsynsbegäran.docx", "A 49532-2022")</f>
        <v/>
      </c>
      <c r="Y177">
        <f>HYPERLINK("https://klasma.github.io/Logging_2326/tillsynsmail/A 49532-2022 tillsynsbegäran mail.docx", "A 49532-2022")</f>
        <v/>
      </c>
    </row>
    <row r="178" ht="15" customHeight="1">
      <c r="A178" t="inlineStr">
        <is>
          <t>A 53014-2022</t>
        </is>
      </c>
      <c r="B178" s="1" t="n">
        <v>44875</v>
      </c>
      <c r="C178" s="1" t="n">
        <v>45787</v>
      </c>
      <c r="D178" t="inlineStr">
        <is>
          <t>JÄMTLANDS LÄN</t>
        </is>
      </c>
      <c r="E178" t="inlineStr">
        <is>
          <t>BERG</t>
        </is>
      </c>
      <c r="F178" t="inlineStr">
        <is>
          <t>SCA</t>
        </is>
      </c>
      <c r="G178" t="n">
        <v>13</v>
      </c>
      <c r="H178" t="n">
        <v>0</v>
      </c>
      <c r="I178" t="n">
        <v>0</v>
      </c>
      <c r="J178" t="n">
        <v>0</v>
      </c>
      <c r="K178" t="n">
        <v>1</v>
      </c>
      <c r="L178" t="n">
        <v>0</v>
      </c>
      <c r="M178" t="n">
        <v>0</v>
      </c>
      <c r="N178" t="n">
        <v>0</v>
      </c>
      <c r="O178" t="n">
        <v>1</v>
      </c>
      <c r="P178" t="n">
        <v>1</v>
      </c>
      <c r="Q178" t="n">
        <v>1</v>
      </c>
      <c r="R178" s="2" t="inlineStr">
        <is>
          <t>Gräddporing</t>
        </is>
      </c>
      <c r="S178">
        <f>HYPERLINK("https://klasma.github.io/Logging_2326/artfynd/A 53014-2022 artfynd.xlsx", "A 53014-2022")</f>
        <v/>
      </c>
      <c r="T178">
        <f>HYPERLINK("https://klasma.github.io/Logging_2326/kartor/A 53014-2022 karta.png", "A 53014-2022")</f>
        <v/>
      </c>
      <c r="V178">
        <f>HYPERLINK("https://klasma.github.io/Logging_2326/klagomål/A 53014-2022 FSC-klagomål.docx", "A 53014-2022")</f>
        <v/>
      </c>
      <c r="W178">
        <f>HYPERLINK("https://klasma.github.io/Logging_2326/klagomålsmail/A 53014-2022 FSC-klagomål mail.docx", "A 53014-2022")</f>
        <v/>
      </c>
      <c r="X178">
        <f>HYPERLINK("https://klasma.github.io/Logging_2326/tillsyn/A 53014-2022 tillsynsbegäran.docx", "A 53014-2022")</f>
        <v/>
      </c>
      <c r="Y178">
        <f>HYPERLINK("https://klasma.github.io/Logging_2326/tillsynsmail/A 53014-2022 tillsynsbegäran mail.docx", "A 53014-2022")</f>
        <v/>
      </c>
    </row>
    <row r="179" ht="15" customHeight="1">
      <c r="A179" t="inlineStr">
        <is>
          <t>A 59823-2022</t>
        </is>
      </c>
      <c r="B179" s="1" t="n">
        <v>44900</v>
      </c>
      <c r="C179" s="1" t="n">
        <v>45787</v>
      </c>
      <c r="D179" t="inlineStr">
        <is>
          <t>JÄMTLANDS LÄN</t>
        </is>
      </c>
      <c r="E179" t="inlineStr">
        <is>
          <t>BERG</t>
        </is>
      </c>
      <c r="G179" t="n">
        <v>14.8</v>
      </c>
      <c r="H179" t="n">
        <v>0</v>
      </c>
      <c r="I179" t="n">
        <v>0</v>
      </c>
      <c r="J179" t="n">
        <v>1</v>
      </c>
      <c r="K179" t="n">
        <v>0</v>
      </c>
      <c r="L179" t="n">
        <v>0</v>
      </c>
      <c r="M179" t="n">
        <v>0</v>
      </c>
      <c r="N179" t="n">
        <v>0</v>
      </c>
      <c r="O179" t="n">
        <v>1</v>
      </c>
      <c r="P179" t="n">
        <v>0</v>
      </c>
      <c r="Q179" t="n">
        <v>1</v>
      </c>
      <c r="R179" s="2" t="inlineStr">
        <is>
          <t>Granticka</t>
        </is>
      </c>
      <c r="S179">
        <f>HYPERLINK("https://klasma.github.io/Logging_2326/artfynd/A 59823-2022 artfynd.xlsx", "A 59823-2022")</f>
        <v/>
      </c>
      <c r="T179">
        <f>HYPERLINK("https://klasma.github.io/Logging_2326/kartor/A 59823-2022 karta.png", "A 59823-2022")</f>
        <v/>
      </c>
      <c r="V179">
        <f>HYPERLINK("https://klasma.github.io/Logging_2326/klagomål/A 59823-2022 FSC-klagomål.docx", "A 59823-2022")</f>
        <v/>
      </c>
      <c r="W179">
        <f>HYPERLINK("https://klasma.github.io/Logging_2326/klagomålsmail/A 59823-2022 FSC-klagomål mail.docx", "A 59823-2022")</f>
        <v/>
      </c>
      <c r="X179">
        <f>HYPERLINK("https://klasma.github.io/Logging_2326/tillsyn/A 59823-2022 tillsynsbegäran.docx", "A 59823-2022")</f>
        <v/>
      </c>
      <c r="Y179">
        <f>HYPERLINK("https://klasma.github.io/Logging_2326/tillsynsmail/A 59823-2022 tillsynsbegäran mail.docx", "A 59823-2022")</f>
        <v/>
      </c>
    </row>
    <row r="180" ht="15" customHeight="1">
      <c r="A180" t="inlineStr">
        <is>
          <t>A 47-2023</t>
        </is>
      </c>
      <c r="B180" s="1" t="n">
        <v>44928</v>
      </c>
      <c r="C180" s="1" t="n">
        <v>45787</v>
      </c>
      <c r="D180" t="inlineStr">
        <is>
          <t>JÄMTLANDS LÄN</t>
        </is>
      </c>
      <c r="E180" t="inlineStr">
        <is>
          <t>BERG</t>
        </is>
      </c>
      <c r="F180" t="inlineStr">
        <is>
          <t>Naturvårdsverket</t>
        </is>
      </c>
      <c r="G180" t="n">
        <v>1.5</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47-2023 artfynd.xlsx", "A 47-2023")</f>
        <v/>
      </c>
      <c r="T180">
        <f>HYPERLINK("https://klasma.github.io/Logging_2326/kartor/A 47-2023 karta.png", "A 47-2023")</f>
        <v/>
      </c>
      <c r="V180">
        <f>HYPERLINK("https://klasma.github.io/Logging_2326/klagomål/A 47-2023 FSC-klagomål.docx", "A 47-2023")</f>
        <v/>
      </c>
      <c r="W180">
        <f>HYPERLINK("https://klasma.github.io/Logging_2326/klagomålsmail/A 47-2023 FSC-klagomål mail.docx", "A 47-2023")</f>
        <v/>
      </c>
      <c r="X180">
        <f>HYPERLINK("https://klasma.github.io/Logging_2326/tillsyn/A 47-2023 tillsynsbegäran.docx", "A 47-2023")</f>
        <v/>
      </c>
      <c r="Y180">
        <f>HYPERLINK("https://klasma.github.io/Logging_2326/tillsynsmail/A 47-2023 tillsynsbegäran mail.docx", "A 47-2023")</f>
        <v/>
      </c>
    </row>
    <row r="181" ht="15" customHeight="1">
      <c r="A181" t="inlineStr">
        <is>
          <t>A 9657-2023</t>
        </is>
      </c>
      <c r="B181" s="1" t="n">
        <v>44978</v>
      </c>
      <c r="C181" s="1" t="n">
        <v>45787</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9838-2023</t>
        </is>
      </c>
      <c r="B182" s="1" t="n">
        <v>44984</v>
      </c>
      <c r="C182" s="1" t="n">
        <v>45787</v>
      </c>
      <c r="D182" t="inlineStr">
        <is>
          <t>JÄMTLANDS LÄN</t>
        </is>
      </c>
      <c r="E182" t="inlineStr">
        <is>
          <t>BERG</t>
        </is>
      </c>
      <c r="F182" t="inlineStr">
        <is>
          <t>Kyrkan</t>
        </is>
      </c>
      <c r="G182" t="n">
        <v>13.7</v>
      </c>
      <c r="H182" t="n">
        <v>0</v>
      </c>
      <c r="I182" t="n">
        <v>0</v>
      </c>
      <c r="J182" t="n">
        <v>1</v>
      </c>
      <c r="K182" t="n">
        <v>0</v>
      </c>
      <c r="L182" t="n">
        <v>0</v>
      </c>
      <c r="M182" t="n">
        <v>0</v>
      </c>
      <c r="N182" t="n">
        <v>0</v>
      </c>
      <c r="O182" t="n">
        <v>1</v>
      </c>
      <c r="P182" t="n">
        <v>0</v>
      </c>
      <c r="Q182" t="n">
        <v>1</v>
      </c>
      <c r="R182" s="2" t="inlineStr">
        <is>
          <t>Motaggsvamp</t>
        </is>
      </c>
      <c r="S182">
        <f>HYPERLINK("https://klasma.github.io/Logging_2326/artfynd/A 9838-2023 artfynd.xlsx", "A 9838-2023")</f>
        <v/>
      </c>
      <c r="T182">
        <f>HYPERLINK("https://klasma.github.io/Logging_2326/kartor/A 9838-2023 karta.png", "A 9838-2023")</f>
        <v/>
      </c>
      <c r="V182">
        <f>HYPERLINK("https://klasma.github.io/Logging_2326/klagomål/A 9838-2023 FSC-klagomål.docx", "A 9838-2023")</f>
        <v/>
      </c>
      <c r="W182">
        <f>HYPERLINK("https://klasma.github.io/Logging_2326/klagomålsmail/A 9838-2023 FSC-klagomål mail.docx", "A 9838-2023")</f>
        <v/>
      </c>
      <c r="X182">
        <f>HYPERLINK("https://klasma.github.io/Logging_2326/tillsyn/A 9838-2023 tillsynsbegäran.docx", "A 9838-2023")</f>
        <v/>
      </c>
      <c r="Y182">
        <f>HYPERLINK("https://klasma.github.io/Logging_2326/tillsynsmail/A 9838-2023 tillsynsbegäran mail.docx", "A 9838-2023")</f>
        <v/>
      </c>
    </row>
    <row r="183" ht="15" customHeight="1">
      <c r="A183" t="inlineStr">
        <is>
          <t>A 24309-2023</t>
        </is>
      </c>
      <c r="B183" s="1" t="n">
        <v>45079</v>
      </c>
      <c r="C183" s="1" t="n">
        <v>45787</v>
      </c>
      <c r="D183" t="inlineStr">
        <is>
          <t>JÄMTLANDS LÄN</t>
        </is>
      </c>
      <c r="E183" t="inlineStr">
        <is>
          <t>BERG</t>
        </is>
      </c>
      <c r="F183" t="inlineStr">
        <is>
          <t>SCA</t>
        </is>
      </c>
      <c r="G183" t="n">
        <v>3.3</v>
      </c>
      <c r="H183" t="n">
        <v>1</v>
      </c>
      <c r="I183" t="n">
        <v>0</v>
      </c>
      <c r="J183" t="n">
        <v>0</v>
      </c>
      <c r="K183" t="n">
        <v>0</v>
      </c>
      <c r="L183" t="n">
        <v>0</v>
      </c>
      <c r="M183" t="n">
        <v>0</v>
      </c>
      <c r="N183" t="n">
        <v>0</v>
      </c>
      <c r="O183" t="n">
        <v>0</v>
      </c>
      <c r="P183" t="n">
        <v>0</v>
      </c>
      <c r="Q183" t="n">
        <v>1</v>
      </c>
      <c r="R183" s="2" t="inlineStr">
        <is>
          <t>Vanlig groda</t>
        </is>
      </c>
      <c r="S183">
        <f>HYPERLINK("https://klasma.github.io/Logging_2326/artfynd/A 24309-2023 artfynd.xlsx", "A 24309-2023")</f>
        <v/>
      </c>
      <c r="T183">
        <f>HYPERLINK("https://klasma.github.io/Logging_2326/kartor/A 24309-2023 karta.png", "A 24309-2023")</f>
        <v/>
      </c>
      <c r="V183">
        <f>HYPERLINK("https://klasma.github.io/Logging_2326/klagomål/A 24309-2023 FSC-klagomål.docx", "A 24309-2023")</f>
        <v/>
      </c>
      <c r="W183">
        <f>HYPERLINK("https://klasma.github.io/Logging_2326/klagomålsmail/A 24309-2023 FSC-klagomål mail.docx", "A 24309-2023")</f>
        <v/>
      </c>
      <c r="X183">
        <f>HYPERLINK("https://klasma.github.io/Logging_2326/tillsyn/A 24309-2023 tillsynsbegäran.docx", "A 24309-2023")</f>
        <v/>
      </c>
      <c r="Y183">
        <f>HYPERLINK("https://klasma.github.io/Logging_2326/tillsynsmail/A 24309-2023 tillsynsbegäran mail.docx", "A 24309-2023")</f>
        <v/>
      </c>
    </row>
    <row r="184" ht="15" customHeight="1">
      <c r="A184" t="inlineStr">
        <is>
          <t>A 29326-2023</t>
        </is>
      </c>
      <c r="B184" s="1" t="n">
        <v>45106</v>
      </c>
      <c r="C184" s="1" t="n">
        <v>45787</v>
      </c>
      <c r="D184" t="inlineStr">
        <is>
          <t>JÄMTLANDS LÄN</t>
        </is>
      </c>
      <c r="E184" t="inlineStr">
        <is>
          <t>BERG</t>
        </is>
      </c>
      <c r="F184" t="inlineStr">
        <is>
          <t>SCA</t>
        </is>
      </c>
      <c r="G184" t="n">
        <v>2</v>
      </c>
      <c r="H184" t="n">
        <v>0</v>
      </c>
      <c r="I184" t="n">
        <v>0</v>
      </c>
      <c r="J184" t="n">
        <v>1</v>
      </c>
      <c r="K184" t="n">
        <v>0</v>
      </c>
      <c r="L184" t="n">
        <v>0</v>
      </c>
      <c r="M184" t="n">
        <v>0</v>
      </c>
      <c r="N184" t="n">
        <v>0</v>
      </c>
      <c r="O184" t="n">
        <v>1</v>
      </c>
      <c r="P184" t="n">
        <v>0</v>
      </c>
      <c r="Q184" t="n">
        <v>1</v>
      </c>
      <c r="R184" s="2" t="inlineStr">
        <is>
          <t>Garnlav</t>
        </is>
      </c>
      <c r="S184">
        <f>HYPERLINK("https://klasma.github.io/Logging_2326/artfynd/A 29326-2023 artfynd.xlsx", "A 29326-2023")</f>
        <v/>
      </c>
      <c r="T184">
        <f>HYPERLINK("https://klasma.github.io/Logging_2326/kartor/A 29326-2023 karta.png", "A 29326-2023")</f>
        <v/>
      </c>
      <c r="V184">
        <f>HYPERLINK("https://klasma.github.io/Logging_2326/klagomål/A 29326-2023 FSC-klagomål.docx", "A 29326-2023")</f>
        <v/>
      </c>
      <c r="W184">
        <f>HYPERLINK("https://klasma.github.io/Logging_2326/klagomålsmail/A 29326-2023 FSC-klagomål mail.docx", "A 29326-2023")</f>
        <v/>
      </c>
      <c r="X184">
        <f>HYPERLINK("https://klasma.github.io/Logging_2326/tillsyn/A 29326-2023 tillsynsbegäran.docx", "A 29326-2023")</f>
        <v/>
      </c>
      <c r="Y184">
        <f>HYPERLINK("https://klasma.github.io/Logging_2326/tillsynsmail/A 29326-2023 tillsynsbegäran mail.docx", "A 29326-2023")</f>
        <v/>
      </c>
    </row>
    <row r="185" ht="15" customHeight="1">
      <c r="A185" t="inlineStr">
        <is>
          <t>A 33124-2023</t>
        </is>
      </c>
      <c r="B185" s="1" t="n">
        <v>45126</v>
      </c>
      <c r="C185" s="1" t="n">
        <v>45787</v>
      </c>
      <c r="D185" t="inlineStr">
        <is>
          <t>JÄMTLANDS LÄN</t>
        </is>
      </c>
      <c r="E185" t="inlineStr">
        <is>
          <t>BERG</t>
        </is>
      </c>
      <c r="F185" t="inlineStr">
        <is>
          <t>Sveaskog</t>
        </is>
      </c>
      <c r="G185" t="n">
        <v>4.2</v>
      </c>
      <c r="H185" t="n">
        <v>0</v>
      </c>
      <c r="I185" t="n">
        <v>0</v>
      </c>
      <c r="J185" t="n">
        <v>1</v>
      </c>
      <c r="K185" t="n">
        <v>0</v>
      </c>
      <c r="L185" t="n">
        <v>0</v>
      </c>
      <c r="M185" t="n">
        <v>0</v>
      </c>
      <c r="N185" t="n">
        <v>0</v>
      </c>
      <c r="O185" t="n">
        <v>1</v>
      </c>
      <c r="P185" t="n">
        <v>0</v>
      </c>
      <c r="Q185" t="n">
        <v>1</v>
      </c>
      <c r="R185" s="2" t="inlineStr">
        <is>
          <t>Lunglav</t>
        </is>
      </c>
      <c r="S185">
        <f>HYPERLINK("https://klasma.github.io/Logging_2326/artfynd/A 33124-2023 artfynd.xlsx", "A 33124-2023")</f>
        <v/>
      </c>
      <c r="T185">
        <f>HYPERLINK("https://klasma.github.io/Logging_2326/kartor/A 33124-2023 karta.png", "A 33124-2023")</f>
        <v/>
      </c>
      <c r="V185">
        <f>HYPERLINK("https://klasma.github.io/Logging_2326/klagomål/A 33124-2023 FSC-klagomål.docx", "A 33124-2023")</f>
        <v/>
      </c>
      <c r="W185">
        <f>HYPERLINK("https://klasma.github.io/Logging_2326/klagomålsmail/A 33124-2023 FSC-klagomål mail.docx", "A 33124-2023")</f>
        <v/>
      </c>
      <c r="X185">
        <f>HYPERLINK("https://klasma.github.io/Logging_2326/tillsyn/A 33124-2023 tillsynsbegäran.docx", "A 33124-2023")</f>
        <v/>
      </c>
      <c r="Y185">
        <f>HYPERLINK("https://klasma.github.io/Logging_2326/tillsynsmail/A 33124-2023 tillsynsbegäran mail.docx", "A 33124-2023")</f>
        <v/>
      </c>
    </row>
    <row r="186" ht="15" customHeight="1">
      <c r="A186" t="inlineStr">
        <is>
          <t>A 35275-2023</t>
        </is>
      </c>
      <c r="B186" s="1" t="n">
        <v>45145</v>
      </c>
      <c r="C186" s="1" t="n">
        <v>45787</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Motaggsvamp</t>
        </is>
      </c>
      <c r="S186">
        <f>HYPERLINK("https://klasma.github.io/Logging_2326/artfynd/A 35275-2023 artfynd.xlsx", "A 35275-2023")</f>
        <v/>
      </c>
      <c r="T186">
        <f>HYPERLINK("https://klasma.github.io/Logging_2326/kartor/A 35275-2023 karta.png", "A 35275-2023")</f>
        <v/>
      </c>
      <c r="V186">
        <f>HYPERLINK("https://klasma.github.io/Logging_2326/klagomål/A 35275-2023 FSC-klagomål.docx", "A 35275-2023")</f>
        <v/>
      </c>
      <c r="W186">
        <f>HYPERLINK("https://klasma.github.io/Logging_2326/klagomålsmail/A 35275-2023 FSC-klagomål mail.docx", "A 35275-2023")</f>
        <v/>
      </c>
      <c r="X186">
        <f>HYPERLINK("https://klasma.github.io/Logging_2326/tillsyn/A 35275-2023 tillsynsbegäran.docx", "A 35275-2023")</f>
        <v/>
      </c>
      <c r="Y186">
        <f>HYPERLINK("https://klasma.github.io/Logging_2326/tillsynsmail/A 35275-2023 tillsynsbegäran mail.docx", "A 35275-2023")</f>
        <v/>
      </c>
    </row>
    <row r="187" ht="15" customHeight="1">
      <c r="A187" t="inlineStr">
        <is>
          <t>A 50543-2023</t>
        </is>
      </c>
      <c r="B187" s="1" t="n">
        <v>45210</v>
      </c>
      <c r="C187" s="1" t="n">
        <v>45787</v>
      </c>
      <c r="D187" t="inlineStr">
        <is>
          <t>JÄMTLANDS LÄN</t>
        </is>
      </c>
      <c r="E187" t="inlineStr">
        <is>
          <t>BERG</t>
        </is>
      </c>
      <c r="F187" t="inlineStr">
        <is>
          <t>Övriga statliga verk och myndigheter</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50543-2023 artfynd.xlsx", "A 50543-2023")</f>
        <v/>
      </c>
      <c r="T187">
        <f>HYPERLINK("https://klasma.github.io/Logging_2326/kartor/A 50543-2023 karta.png", "A 50543-2023")</f>
        <v/>
      </c>
      <c r="V187">
        <f>HYPERLINK("https://klasma.github.io/Logging_2326/klagomål/A 50543-2023 FSC-klagomål.docx", "A 50543-2023")</f>
        <v/>
      </c>
      <c r="W187">
        <f>HYPERLINK("https://klasma.github.io/Logging_2326/klagomålsmail/A 50543-2023 FSC-klagomål mail.docx", "A 50543-2023")</f>
        <v/>
      </c>
      <c r="X187">
        <f>HYPERLINK("https://klasma.github.io/Logging_2326/tillsyn/A 50543-2023 tillsynsbegäran.docx", "A 50543-2023")</f>
        <v/>
      </c>
      <c r="Y187">
        <f>HYPERLINK("https://klasma.github.io/Logging_2326/tillsynsmail/A 50543-2023 tillsynsbegäran mail.docx", "A 50543-2023")</f>
        <v/>
      </c>
      <c r="Z187">
        <f>HYPERLINK("https://klasma.github.io/Logging_2326/fåglar/A 50543-2023 prioriterade fågelarter.docx", "A 50543-2023")</f>
        <v/>
      </c>
    </row>
    <row r="188" ht="15" customHeight="1">
      <c r="A188" t="inlineStr">
        <is>
          <t>A 50765-2023</t>
        </is>
      </c>
      <c r="B188" s="1" t="n">
        <v>45210</v>
      </c>
      <c r="C188" s="1" t="n">
        <v>45787</v>
      </c>
      <c r="D188" t="inlineStr">
        <is>
          <t>JÄMTLANDS LÄN</t>
        </is>
      </c>
      <c r="E188" t="inlineStr">
        <is>
          <t>BERG</t>
        </is>
      </c>
      <c r="G188" t="n">
        <v>9.4</v>
      </c>
      <c r="H188" t="n">
        <v>0</v>
      </c>
      <c r="I188" t="n">
        <v>0</v>
      </c>
      <c r="J188" t="n">
        <v>1</v>
      </c>
      <c r="K188" t="n">
        <v>0</v>
      </c>
      <c r="L188" t="n">
        <v>0</v>
      </c>
      <c r="M188" t="n">
        <v>0</v>
      </c>
      <c r="N188" t="n">
        <v>0</v>
      </c>
      <c r="O188" t="n">
        <v>1</v>
      </c>
      <c r="P188" t="n">
        <v>0</v>
      </c>
      <c r="Q188" t="n">
        <v>1</v>
      </c>
      <c r="R188" s="2" t="inlineStr">
        <is>
          <t>Äggvaxskivling</t>
        </is>
      </c>
      <c r="S188">
        <f>HYPERLINK("https://klasma.github.io/Logging_2326/artfynd/A 50765-2023 artfynd.xlsx", "A 50765-2023")</f>
        <v/>
      </c>
      <c r="T188">
        <f>HYPERLINK("https://klasma.github.io/Logging_2326/kartor/A 50765-2023 karta.png", "A 50765-2023")</f>
        <v/>
      </c>
      <c r="V188">
        <f>HYPERLINK("https://klasma.github.io/Logging_2326/klagomål/A 50765-2023 FSC-klagomål.docx", "A 50765-2023")</f>
        <v/>
      </c>
      <c r="W188">
        <f>HYPERLINK("https://klasma.github.io/Logging_2326/klagomålsmail/A 50765-2023 FSC-klagomål mail.docx", "A 50765-2023")</f>
        <v/>
      </c>
      <c r="X188">
        <f>HYPERLINK("https://klasma.github.io/Logging_2326/tillsyn/A 50765-2023 tillsynsbegäran.docx", "A 50765-2023")</f>
        <v/>
      </c>
      <c r="Y188">
        <f>HYPERLINK("https://klasma.github.io/Logging_2326/tillsynsmail/A 50765-2023 tillsynsbegäran mail.docx", "A 50765-2023")</f>
        <v/>
      </c>
    </row>
    <row r="189" ht="15" customHeight="1">
      <c r="A189" t="inlineStr">
        <is>
          <t>A 53443-2023</t>
        </is>
      </c>
      <c r="B189" s="1" t="n">
        <v>45210</v>
      </c>
      <c r="C189" s="1" t="n">
        <v>45787</v>
      </c>
      <c r="D189" t="inlineStr">
        <is>
          <t>JÄMTLANDS LÄN</t>
        </is>
      </c>
      <c r="E189" t="inlineStr">
        <is>
          <t>BERG</t>
        </is>
      </c>
      <c r="F189" t="inlineStr">
        <is>
          <t>Övriga statliga verk och myndigheter</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53443-2023 artfynd.xlsx", "A 53443-2023")</f>
        <v/>
      </c>
      <c r="T189">
        <f>HYPERLINK("https://klasma.github.io/Logging_2326/kartor/A 53443-2023 karta.png", "A 53443-2023")</f>
        <v/>
      </c>
      <c r="V189">
        <f>HYPERLINK("https://klasma.github.io/Logging_2326/klagomål/A 53443-2023 FSC-klagomål.docx", "A 53443-2023")</f>
        <v/>
      </c>
      <c r="W189">
        <f>HYPERLINK("https://klasma.github.io/Logging_2326/klagomålsmail/A 53443-2023 FSC-klagomål mail.docx", "A 53443-2023")</f>
        <v/>
      </c>
      <c r="X189">
        <f>HYPERLINK("https://klasma.github.io/Logging_2326/tillsyn/A 53443-2023 tillsynsbegäran.docx", "A 53443-2023")</f>
        <v/>
      </c>
      <c r="Y189">
        <f>HYPERLINK("https://klasma.github.io/Logging_2326/tillsynsmail/A 53443-2023 tillsynsbegäran mail.docx", "A 53443-2023")</f>
        <v/>
      </c>
      <c r="Z189">
        <f>HYPERLINK("https://klasma.github.io/Logging_2326/fåglar/A 53443-2023 prioriterade fågelarter.docx", "A 53443-2023")</f>
        <v/>
      </c>
    </row>
    <row r="190" ht="15" customHeight="1">
      <c r="A190" t="inlineStr">
        <is>
          <t>A 50225-2023</t>
        </is>
      </c>
      <c r="B190" s="1" t="n">
        <v>45215</v>
      </c>
      <c r="C190" s="1" t="n">
        <v>45787</v>
      </c>
      <c r="D190" t="inlineStr">
        <is>
          <t>JÄMTLANDS LÄN</t>
        </is>
      </c>
      <c r="E190" t="inlineStr">
        <is>
          <t>BERG</t>
        </is>
      </c>
      <c r="F190" t="inlineStr">
        <is>
          <t>SCA</t>
        </is>
      </c>
      <c r="G190" t="n">
        <v>4.3</v>
      </c>
      <c r="H190" t="n">
        <v>0</v>
      </c>
      <c r="I190" t="n">
        <v>0</v>
      </c>
      <c r="J190" t="n">
        <v>0</v>
      </c>
      <c r="K190" t="n">
        <v>1</v>
      </c>
      <c r="L190" t="n">
        <v>0</v>
      </c>
      <c r="M190" t="n">
        <v>0</v>
      </c>
      <c r="N190" t="n">
        <v>0</v>
      </c>
      <c r="O190" t="n">
        <v>1</v>
      </c>
      <c r="P190" t="n">
        <v>1</v>
      </c>
      <c r="Q190" t="n">
        <v>1</v>
      </c>
      <c r="R190" s="2" t="inlineStr">
        <is>
          <t>Rynkskinn</t>
        </is>
      </c>
      <c r="S190">
        <f>HYPERLINK("https://klasma.github.io/Logging_2326/artfynd/A 50225-2023 artfynd.xlsx", "A 50225-2023")</f>
        <v/>
      </c>
      <c r="T190">
        <f>HYPERLINK("https://klasma.github.io/Logging_2326/kartor/A 50225-2023 karta.png", "A 50225-2023")</f>
        <v/>
      </c>
      <c r="V190">
        <f>HYPERLINK("https://klasma.github.io/Logging_2326/klagomål/A 50225-2023 FSC-klagomål.docx", "A 50225-2023")</f>
        <v/>
      </c>
      <c r="W190">
        <f>HYPERLINK("https://klasma.github.io/Logging_2326/klagomålsmail/A 50225-2023 FSC-klagomål mail.docx", "A 50225-2023")</f>
        <v/>
      </c>
      <c r="X190">
        <f>HYPERLINK("https://klasma.github.io/Logging_2326/tillsyn/A 50225-2023 tillsynsbegäran.docx", "A 50225-2023")</f>
        <v/>
      </c>
      <c r="Y190">
        <f>HYPERLINK("https://klasma.github.io/Logging_2326/tillsynsmail/A 50225-2023 tillsynsbegäran mail.docx", "A 50225-2023")</f>
        <v/>
      </c>
    </row>
    <row r="191" ht="15" customHeight="1">
      <c r="A191" t="inlineStr">
        <is>
          <t>A 50224-2023</t>
        </is>
      </c>
      <c r="B191" s="1" t="n">
        <v>45215</v>
      </c>
      <c r="C191" s="1" t="n">
        <v>45787</v>
      </c>
      <c r="D191" t="inlineStr">
        <is>
          <t>JÄMTLANDS LÄN</t>
        </is>
      </c>
      <c r="E191" t="inlineStr">
        <is>
          <t>BERG</t>
        </is>
      </c>
      <c r="F191" t="inlineStr">
        <is>
          <t>SCA</t>
        </is>
      </c>
      <c r="G191" t="n">
        <v>10.3</v>
      </c>
      <c r="H191" t="n">
        <v>0</v>
      </c>
      <c r="I191" t="n">
        <v>0</v>
      </c>
      <c r="J191" t="n">
        <v>1</v>
      </c>
      <c r="K191" t="n">
        <v>0</v>
      </c>
      <c r="L191" t="n">
        <v>0</v>
      </c>
      <c r="M191" t="n">
        <v>0</v>
      </c>
      <c r="N191" t="n">
        <v>0</v>
      </c>
      <c r="O191" t="n">
        <v>1</v>
      </c>
      <c r="P191" t="n">
        <v>0</v>
      </c>
      <c r="Q191" t="n">
        <v>1</v>
      </c>
      <c r="R191" s="2" t="inlineStr">
        <is>
          <t>Kolflarnlav</t>
        </is>
      </c>
      <c r="S191">
        <f>HYPERLINK("https://klasma.github.io/Logging_2326/artfynd/A 50224-2023 artfynd.xlsx", "A 50224-2023")</f>
        <v/>
      </c>
      <c r="T191">
        <f>HYPERLINK("https://klasma.github.io/Logging_2326/kartor/A 50224-2023 karta.png", "A 50224-2023")</f>
        <v/>
      </c>
      <c r="V191">
        <f>HYPERLINK("https://klasma.github.io/Logging_2326/klagomål/A 50224-2023 FSC-klagomål.docx", "A 50224-2023")</f>
        <v/>
      </c>
      <c r="W191">
        <f>HYPERLINK("https://klasma.github.io/Logging_2326/klagomålsmail/A 50224-2023 FSC-klagomål mail.docx", "A 50224-2023")</f>
        <v/>
      </c>
      <c r="X191">
        <f>HYPERLINK("https://klasma.github.io/Logging_2326/tillsyn/A 50224-2023 tillsynsbegäran.docx", "A 50224-2023")</f>
        <v/>
      </c>
      <c r="Y191">
        <f>HYPERLINK("https://klasma.github.io/Logging_2326/tillsynsmail/A 50224-2023 tillsynsbegäran mail.docx", "A 50224-2023")</f>
        <v/>
      </c>
    </row>
    <row r="192" ht="15" customHeight="1">
      <c r="A192" t="inlineStr">
        <is>
          <t>A 50519-2023</t>
        </is>
      </c>
      <c r="B192" s="1" t="n">
        <v>45217</v>
      </c>
      <c r="C192" s="1" t="n">
        <v>45787</v>
      </c>
      <c r="D192" t="inlineStr">
        <is>
          <t>JÄMTLANDS LÄN</t>
        </is>
      </c>
      <c r="E192" t="inlineStr">
        <is>
          <t>BERG</t>
        </is>
      </c>
      <c r="F192" t="inlineStr">
        <is>
          <t>SCA</t>
        </is>
      </c>
      <c r="G192" t="n">
        <v>0.8</v>
      </c>
      <c r="H192" t="n">
        <v>0</v>
      </c>
      <c r="I192" t="n">
        <v>1</v>
      </c>
      <c r="J192" t="n">
        <v>0</v>
      </c>
      <c r="K192" t="n">
        <v>0</v>
      </c>
      <c r="L192" t="n">
        <v>0</v>
      </c>
      <c r="M192" t="n">
        <v>0</v>
      </c>
      <c r="N192" t="n">
        <v>0</v>
      </c>
      <c r="O192" t="n">
        <v>0</v>
      </c>
      <c r="P192" t="n">
        <v>0</v>
      </c>
      <c r="Q192" t="n">
        <v>1</v>
      </c>
      <c r="R192" s="2" t="inlineStr">
        <is>
          <t>Norrlandslav</t>
        </is>
      </c>
      <c r="S192">
        <f>HYPERLINK("https://klasma.github.io/Logging_2326/artfynd/A 50519-2023 artfynd.xlsx", "A 50519-2023")</f>
        <v/>
      </c>
      <c r="T192">
        <f>HYPERLINK("https://klasma.github.io/Logging_2326/kartor/A 50519-2023 karta.png", "A 50519-2023")</f>
        <v/>
      </c>
      <c r="V192">
        <f>HYPERLINK("https://klasma.github.io/Logging_2326/klagomål/A 50519-2023 FSC-klagomål.docx", "A 50519-2023")</f>
        <v/>
      </c>
      <c r="W192">
        <f>HYPERLINK("https://klasma.github.io/Logging_2326/klagomålsmail/A 50519-2023 FSC-klagomål mail.docx", "A 50519-2023")</f>
        <v/>
      </c>
      <c r="X192">
        <f>HYPERLINK("https://klasma.github.io/Logging_2326/tillsyn/A 50519-2023 tillsynsbegäran.docx", "A 50519-2023")</f>
        <v/>
      </c>
      <c r="Y192">
        <f>HYPERLINK("https://klasma.github.io/Logging_2326/tillsynsmail/A 50519-2023 tillsynsbegäran mail.docx", "A 50519-2023")</f>
        <v/>
      </c>
    </row>
    <row r="193" ht="15" customHeight="1">
      <c r="A193" t="inlineStr">
        <is>
          <t>A 51811-2023</t>
        </is>
      </c>
      <c r="B193" s="1" t="n">
        <v>45222</v>
      </c>
      <c r="C193" s="1" t="n">
        <v>45787</v>
      </c>
      <c r="D193" t="inlineStr">
        <is>
          <t>JÄMTLANDS LÄN</t>
        </is>
      </c>
      <c r="E193" t="inlineStr">
        <is>
          <t>BERG</t>
        </is>
      </c>
      <c r="F193" t="inlineStr">
        <is>
          <t>SCA</t>
        </is>
      </c>
      <c r="G193" t="n">
        <v>7.9</v>
      </c>
      <c r="H193" t="n">
        <v>0</v>
      </c>
      <c r="I193" t="n">
        <v>0</v>
      </c>
      <c r="J193" t="n">
        <v>0</v>
      </c>
      <c r="K193" t="n">
        <v>1</v>
      </c>
      <c r="L193" t="n">
        <v>0</v>
      </c>
      <c r="M193" t="n">
        <v>0</v>
      </c>
      <c r="N193" t="n">
        <v>0</v>
      </c>
      <c r="O193" t="n">
        <v>1</v>
      </c>
      <c r="P193" t="n">
        <v>1</v>
      </c>
      <c r="Q193" t="n">
        <v>1</v>
      </c>
      <c r="R193" s="2" t="inlineStr">
        <is>
          <t>Gräddporing</t>
        </is>
      </c>
      <c r="S193">
        <f>HYPERLINK("https://klasma.github.io/Logging_2326/artfynd/A 51811-2023 artfynd.xlsx", "A 51811-2023")</f>
        <v/>
      </c>
      <c r="T193">
        <f>HYPERLINK("https://klasma.github.io/Logging_2326/kartor/A 51811-2023 karta.png", "A 51811-2023")</f>
        <v/>
      </c>
      <c r="V193">
        <f>HYPERLINK("https://klasma.github.io/Logging_2326/klagomål/A 51811-2023 FSC-klagomål.docx", "A 51811-2023")</f>
        <v/>
      </c>
      <c r="W193">
        <f>HYPERLINK("https://klasma.github.io/Logging_2326/klagomålsmail/A 51811-2023 FSC-klagomål mail.docx", "A 51811-2023")</f>
        <v/>
      </c>
      <c r="X193">
        <f>HYPERLINK("https://klasma.github.io/Logging_2326/tillsyn/A 51811-2023 tillsynsbegäran.docx", "A 51811-2023")</f>
        <v/>
      </c>
      <c r="Y193">
        <f>HYPERLINK("https://klasma.github.io/Logging_2326/tillsynsmail/A 51811-2023 tillsynsbegäran mail.docx", "A 51811-2023")</f>
        <v/>
      </c>
    </row>
    <row r="194" ht="15" customHeight="1">
      <c r="A194" t="inlineStr">
        <is>
          <t>A 54337-2023</t>
        </is>
      </c>
      <c r="B194" s="1" t="n">
        <v>45233</v>
      </c>
      <c r="C194" s="1" t="n">
        <v>45787</v>
      </c>
      <c r="D194" t="inlineStr">
        <is>
          <t>JÄMTLANDS LÄN</t>
        </is>
      </c>
      <c r="E194" t="inlineStr">
        <is>
          <t>BERG</t>
        </is>
      </c>
      <c r="F194" t="inlineStr">
        <is>
          <t>SCA</t>
        </is>
      </c>
      <c r="G194" t="n">
        <v>18.7</v>
      </c>
      <c r="H194" t="n">
        <v>0</v>
      </c>
      <c r="I194" t="n">
        <v>1</v>
      </c>
      <c r="J194" t="n">
        <v>0</v>
      </c>
      <c r="K194" t="n">
        <v>0</v>
      </c>
      <c r="L194" t="n">
        <v>0</v>
      </c>
      <c r="M194" t="n">
        <v>0</v>
      </c>
      <c r="N194" t="n">
        <v>0</v>
      </c>
      <c r="O194" t="n">
        <v>0</v>
      </c>
      <c r="P194" t="n">
        <v>0</v>
      </c>
      <c r="Q194" t="n">
        <v>1</v>
      </c>
      <c r="R194" s="2" t="inlineStr">
        <is>
          <t>Dropptaggsvamp</t>
        </is>
      </c>
      <c r="S194">
        <f>HYPERLINK("https://klasma.github.io/Logging_2326/artfynd/A 54337-2023 artfynd.xlsx", "A 54337-2023")</f>
        <v/>
      </c>
      <c r="T194">
        <f>HYPERLINK("https://klasma.github.io/Logging_2326/kartor/A 54337-2023 karta.png", "A 54337-2023")</f>
        <v/>
      </c>
      <c r="V194">
        <f>HYPERLINK("https://klasma.github.io/Logging_2326/klagomål/A 54337-2023 FSC-klagomål.docx", "A 54337-2023")</f>
        <v/>
      </c>
      <c r="W194">
        <f>HYPERLINK("https://klasma.github.io/Logging_2326/klagomålsmail/A 54337-2023 FSC-klagomål mail.docx", "A 54337-2023")</f>
        <v/>
      </c>
      <c r="X194">
        <f>HYPERLINK("https://klasma.github.io/Logging_2326/tillsyn/A 54337-2023 tillsynsbegäran.docx", "A 54337-2023")</f>
        <v/>
      </c>
      <c r="Y194">
        <f>HYPERLINK("https://klasma.github.io/Logging_2326/tillsynsmail/A 54337-2023 tillsynsbegäran mail.docx", "A 54337-2023")</f>
        <v/>
      </c>
    </row>
    <row r="195" ht="15" customHeight="1">
      <c r="A195" t="inlineStr">
        <is>
          <t>A 54347-2023</t>
        </is>
      </c>
      <c r="B195" s="1" t="n">
        <v>45233</v>
      </c>
      <c r="C195" s="1" t="n">
        <v>45787</v>
      </c>
      <c r="D195" t="inlineStr">
        <is>
          <t>JÄMTLANDS LÄN</t>
        </is>
      </c>
      <c r="E195" t="inlineStr">
        <is>
          <t>BERG</t>
        </is>
      </c>
      <c r="F195" t="inlineStr">
        <is>
          <t>SCA</t>
        </is>
      </c>
      <c r="G195" t="n">
        <v>13.4</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54347-2023 artfynd.xlsx", "A 54347-2023")</f>
        <v/>
      </c>
      <c r="T195">
        <f>HYPERLINK("https://klasma.github.io/Logging_2326/kartor/A 54347-2023 karta.png", "A 54347-2023")</f>
        <v/>
      </c>
      <c r="V195">
        <f>HYPERLINK("https://klasma.github.io/Logging_2326/klagomål/A 54347-2023 FSC-klagomål.docx", "A 54347-2023")</f>
        <v/>
      </c>
      <c r="W195">
        <f>HYPERLINK("https://klasma.github.io/Logging_2326/klagomålsmail/A 54347-2023 FSC-klagomål mail.docx", "A 54347-2023")</f>
        <v/>
      </c>
      <c r="X195">
        <f>HYPERLINK("https://klasma.github.io/Logging_2326/tillsyn/A 54347-2023 tillsynsbegäran.docx", "A 54347-2023")</f>
        <v/>
      </c>
      <c r="Y195">
        <f>HYPERLINK("https://klasma.github.io/Logging_2326/tillsynsmail/A 54347-2023 tillsynsbegäran mail.docx", "A 54347-2023")</f>
        <v/>
      </c>
    </row>
    <row r="196" ht="15" customHeight="1">
      <c r="A196" t="inlineStr">
        <is>
          <t>A 55000-2023</t>
        </is>
      </c>
      <c r="B196" s="1" t="n">
        <v>45237</v>
      </c>
      <c r="C196" s="1" t="n">
        <v>45787</v>
      </c>
      <c r="D196" t="inlineStr">
        <is>
          <t>JÄMTLANDS LÄN</t>
        </is>
      </c>
      <c r="E196" t="inlineStr">
        <is>
          <t>BERG</t>
        </is>
      </c>
      <c r="F196" t="inlineStr">
        <is>
          <t>SCA</t>
        </is>
      </c>
      <c r="G196" t="n">
        <v>1.2</v>
      </c>
      <c r="H196" t="n">
        <v>0</v>
      </c>
      <c r="I196" t="n">
        <v>0</v>
      </c>
      <c r="J196" t="n">
        <v>1</v>
      </c>
      <c r="K196" t="n">
        <v>0</v>
      </c>
      <c r="L196" t="n">
        <v>0</v>
      </c>
      <c r="M196" t="n">
        <v>0</v>
      </c>
      <c r="N196" t="n">
        <v>0</v>
      </c>
      <c r="O196" t="n">
        <v>1</v>
      </c>
      <c r="P196" t="n">
        <v>0</v>
      </c>
      <c r="Q196" t="n">
        <v>1</v>
      </c>
      <c r="R196" s="2" t="inlineStr">
        <is>
          <t>Blå taggsvamp</t>
        </is>
      </c>
      <c r="S196">
        <f>HYPERLINK("https://klasma.github.io/Logging_2326/artfynd/A 55000-2023 artfynd.xlsx", "A 55000-2023")</f>
        <v/>
      </c>
      <c r="T196">
        <f>HYPERLINK("https://klasma.github.io/Logging_2326/kartor/A 55000-2023 karta.png", "A 55000-2023")</f>
        <v/>
      </c>
      <c r="V196">
        <f>HYPERLINK("https://klasma.github.io/Logging_2326/klagomål/A 55000-2023 FSC-klagomål.docx", "A 55000-2023")</f>
        <v/>
      </c>
      <c r="W196">
        <f>HYPERLINK("https://klasma.github.io/Logging_2326/klagomålsmail/A 55000-2023 FSC-klagomål mail.docx", "A 55000-2023")</f>
        <v/>
      </c>
      <c r="X196">
        <f>HYPERLINK("https://klasma.github.io/Logging_2326/tillsyn/A 55000-2023 tillsynsbegäran.docx", "A 55000-2023")</f>
        <v/>
      </c>
      <c r="Y196">
        <f>HYPERLINK("https://klasma.github.io/Logging_2326/tillsynsmail/A 55000-2023 tillsynsbegäran mail.docx", "A 55000-2023")</f>
        <v/>
      </c>
    </row>
    <row r="197" ht="15" customHeight="1">
      <c r="A197" t="inlineStr">
        <is>
          <t>A 57421-2023</t>
        </is>
      </c>
      <c r="B197" s="1" t="n">
        <v>45245</v>
      </c>
      <c r="C197" s="1" t="n">
        <v>45787</v>
      </c>
      <c r="D197" t="inlineStr">
        <is>
          <t>JÄMTLANDS LÄN</t>
        </is>
      </c>
      <c r="E197" t="inlineStr">
        <is>
          <t>BERG</t>
        </is>
      </c>
      <c r="F197" t="inlineStr">
        <is>
          <t>SCA</t>
        </is>
      </c>
      <c r="G197" t="n">
        <v>5.4</v>
      </c>
      <c r="H197" t="n">
        <v>0</v>
      </c>
      <c r="I197" t="n">
        <v>0</v>
      </c>
      <c r="J197" t="n">
        <v>0</v>
      </c>
      <c r="K197" t="n">
        <v>1</v>
      </c>
      <c r="L197" t="n">
        <v>0</v>
      </c>
      <c r="M197" t="n">
        <v>0</v>
      </c>
      <c r="N197" t="n">
        <v>0</v>
      </c>
      <c r="O197" t="n">
        <v>1</v>
      </c>
      <c r="P197" t="n">
        <v>1</v>
      </c>
      <c r="Q197" t="n">
        <v>1</v>
      </c>
      <c r="R197" s="2" t="inlineStr">
        <is>
          <t>Gräddporing</t>
        </is>
      </c>
      <c r="S197">
        <f>HYPERLINK("https://klasma.github.io/Logging_2326/artfynd/A 57421-2023 artfynd.xlsx", "A 57421-2023")</f>
        <v/>
      </c>
      <c r="T197">
        <f>HYPERLINK("https://klasma.github.io/Logging_2326/kartor/A 57421-2023 karta.png", "A 57421-2023")</f>
        <v/>
      </c>
      <c r="V197">
        <f>HYPERLINK("https://klasma.github.io/Logging_2326/klagomål/A 57421-2023 FSC-klagomål.docx", "A 57421-2023")</f>
        <v/>
      </c>
      <c r="W197">
        <f>HYPERLINK("https://klasma.github.io/Logging_2326/klagomålsmail/A 57421-2023 FSC-klagomål mail.docx", "A 57421-2023")</f>
        <v/>
      </c>
      <c r="X197">
        <f>HYPERLINK("https://klasma.github.io/Logging_2326/tillsyn/A 57421-2023 tillsynsbegäran.docx", "A 57421-2023")</f>
        <v/>
      </c>
      <c r="Y197">
        <f>HYPERLINK("https://klasma.github.io/Logging_2326/tillsynsmail/A 57421-2023 tillsynsbegäran mail.docx", "A 57421-2023")</f>
        <v/>
      </c>
    </row>
    <row r="198" ht="15" customHeight="1">
      <c r="A198" t="inlineStr">
        <is>
          <t>A 7195-2024</t>
        </is>
      </c>
      <c r="B198" s="1" t="n">
        <v>45344</v>
      </c>
      <c r="C198" s="1" t="n">
        <v>45787</v>
      </c>
      <c r="D198" t="inlineStr">
        <is>
          <t>JÄMTLANDS LÄN</t>
        </is>
      </c>
      <c r="E198" t="inlineStr">
        <is>
          <t>BERG</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HYPERLINK("https://klasma.github.io/Logging_2326/artfynd/A 7195-2024 artfynd.xlsx", "A 7195-2024")</f>
        <v/>
      </c>
      <c r="T198">
        <f>HYPERLINK("https://klasma.github.io/Logging_2326/kartor/A 7195-2024 karta.png", "A 7195-2024")</f>
        <v/>
      </c>
      <c r="V198">
        <f>HYPERLINK("https://klasma.github.io/Logging_2326/klagomål/A 7195-2024 FSC-klagomål.docx", "A 7195-2024")</f>
        <v/>
      </c>
      <c r="W198">
        <f>HYPERLINK("https://klasma.github.io/Logging_2326/klagomålsmail/A 7195-2024 FSC-klagomål mail.docx", "A 7195-2024")</f>
        <v/>
      </c>
      <c r="X198">
        <f>HYPERLINK("https://klasma.github.io/Logging_2326/tillsyn/A 7195-2024 tillsynsbegäran.docx", "A 7195-2024")</f>
        <v/>
      </c>
      <c r="Y198">
        <f>HYPERLINK("https://klasma.github.io/Logging_2326/tillsynsmail/A 7195-2024 tillsynsbegäran mail.docx", "A 7195-2024")</f>
        <v/>
      </c>
    </row>
    <row r="199" ht="15" customHeight="1">
      <c r="A199" t="inlineStr">
        <is>
          <t>A 12733-2024</t>
        </is>
      </c>
      <c r="B199" s="1" t="n">
        <v>45384</v>
      </c>
      <c r="C199" s="1" t="n">
        <v>45787</v>
      </c>
      <c r="D199" t="inlineStr">
        <is>
          <t>JÄMTLANDS LÄN</t>
        </is>
      </c>
      <c r="E199" t="inlineStr">
        <is>
          <t>BERG</t>
        </is>
      </c>
      <c r="G199" t="n">
        <v>9.9</v>
      </c>
      <c r="H199" t="n">
        <v>0</v>
      </c>
      <c r="I199" t="n">
        <v>0</v>
      </c>
      <c r="J199" t="n">
        <v>1</v>
      </c>
      <c r="K199" t="n">
        <v>0</v>
      </c>
      <c r="L199" t="n">
        <v>0</v>
      </c>
      <c r="M199" t="n">
        <v>0</v>
      </c>
      <c r="N199" t="n">
        <v>0</v>
      </c>
      <c r="O199" t="n">
        <v>1</v>
      </c>
      <c r="P199" t="n">
        <v>0</v>
      </c>
      <c r="Q199" t="n">
        <v>1</v>
      </c>
      <c r="R199" s="2" t="inlineStr">
        <is>
          <t>Lunglav</t>
        </is>
      </c>
      <c r="S199">
        <f>HYPERLINK("https://klasma.github.io/Logging_2326/artfynd/A 12733-2024 artfynd.xlsx", "A 12733-2024")</f>
        <v/>
      </c>
      <c r="T199">
        <f>HYPERLINK("https://klasma.github.io/Logging_2326/kartor/A 12733-2024 karta.png", "A 12733-2024")</f>
        <v/>
      </c>
      <c r="V199">
        <f>HYPERLINK("https://klasma.github.io/Logging_2326/klagomål/A 12733-2024 FSC-klagomål.docx", "A 12733-2024")</f>
        <v/>
      </c>
      <c r="W199">
        <f>HYPERLINK("https://klasma.github.io/Logging_2326/klagomålsmail/A 12733-2024 FSC-klagomål mail.docx", "A 12733-2024")</f>
        <v/>
      </c>
      <c r="X199">
        <f>HYPERLINK("https://klasma.github.io/Logging_2326/tillsyn/A 12733-2024 tillsynsbegäran.docx", "A 12733-2024")</f>
        <v/>
      </c>
      <c r="Y199">
        <f>HYPERLINK("https://klasma.github.io/Logging_2326/tillsynsmail/A 12733-2024 tillsynsbegäran mail.docx", "A 12733-2024")</f>
        <v/>
      </c>
    </row>
    <row r="200" ht="15" customHeight="1">
      <c r="A200" t="inlineStr">
        <is>
          <t>A 20808-2024</t>
        </is>
      </c>
      <c r="B200" s="1" t="n">
        <v>45439</v>
      </c>
      <c r="C200" s="1" t="n">
        <v>45787</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20808-2024 artfynd.xlsx", "A 20808-2024")</f>
        <v/>
      </c>
      <c r="T200">
        <f>HYPERLINK("https://klasma.github.io/Logging_2326/kartor/A 20808-2024 karta.png", "A 20808-2024")</f>
        <v/>
      </c>
      <c r="V200">
        <f>HYPERLINK("https://klasma.github.io/Logging_2326/klagomål/A 20808-2024 FSC-klagomål.docx", "A 20808-2024")</f>
        <v/>
      </c>
      <c r="W200">
        <f>HYPERLINK("https://klasma.github.io/Logging_2326/klagomålsmail/A 20808-2024 FSC-klagomål mail.docx", "A 20808-2024")</f>
        <v/>
      </c>
      <c r="X200">
        <f>HYPERLINK("https://klasma.github.io/Logging_2326/tillsyn/A 20808-2024 tillsynsbegäran.docx", "A 20808-2024")</f>
        <v/>
      </c>
      <c r="Y200">
        <f>HYPERLINK("https://klasma.github.io/Logging_2326/tillsynsmail/A 20808-2024 tillsynsbegäran mail.docx", "A 20808-2024")</f>
        <v/>
      </c>
      <c r="Z200">
        <f>HYPERLINK("https://klasma.github.io/Logging_2326/fåglar/A 20808-2024 prioriterade fågelarter.docx", "A 20808-2024")</f>
        <v/>
      </c>
    </row>
    <row r="201" ht="15" customHeight="1">
      <c r="A201" t="inlineStr">
        <is>
          <t>A 22540-2024</t>
        </is>
      </c>
      <c r="B201" s="1" t="n">
        <v>45447</v>
      </c>
      <c r="C201" s="1" t="n">
        <v>45787</v>
      </c>
      <c r="D201" t="inlineStr">
        <is>
          <t>JÄMTLANDS LÄN</t>
        </is>
      </c>
      <c r="E201" t="inlineStr">
        <is>
          <t>BERG</t>
        </is>
      </c>
      <c r="G201" t="n">
        <v>9.199999999999999</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22540-2024 artfynd.xlsx", "A 22540-2024")</f>
        <v/>
      </c>
      <c r="T201">
        <f>HYPERLINK("https://klasma.github.io/Logging_2326/kartor/A 22540-2024 karta.png", "A 22540-2024")</f>
        <v/>
      </c>
      <c r="V201">
        <f>HYPERLINK("https://klasma.github.io/Logging_2326/klagomål/A 22540-2024 FSC-klagomål.docx", "A 22540-2024")</f>
        <v/>
      </c>
      <c r="W201">
        <f>HYPERLINK("https://klasma.github.io/Logging_2326/klagomålsmail/A 22540-2024 FSC-klagomål mail.docx", "A 22540-2024")</f>
        <v/>
      </c>
      <c r="X201">
        <f>HYPERLINK("https://klasma.github.io/Logging_2326/tillsyn/A 22540-2024 tillsynsbegäran.docx", "A 22540-2024")</f>
        <v/>
      </c>
      <c r="Y201">
        <f>HYPERLINK("https://klasma.github.io/Logging_2326/tillsynsmail/A 22540-2024 tillsynsbegäran mail.docx", "A 22540-2024")</f>
        <v/>
      </c>
    </row>
    <row r="202" ht="15" customHeight="1">
      <c r="A202" t="inlineStr">
        <is>
          <t>A 23966-2024</t>
        </is>
      </c>
      <c r="B202" s="1" t="n">
        <v>45456</v>
      </c>
      <c r="C202" s="1" t="n">
        <v>45787</v>
      </c>
      <c r="D202" t="inlineStr">
        <is>
          <t>JÄMTLANDS LÄN</t>
        </is>
      </c>
      <c r="E202" t="inlineStr">
        <is>
          <t>BERG</t>
        </is>
      </c>
      <c r="F202" t="inlineStr">
        <is>
          <t>SCA</t>
        </is>
      </c>
      <c r="G202" t="n">
        <v>28.7</v>
      </c>
      <c r="H202" t="n">
        <v>0</v>
      </c>
      <c r="I202" t="n">
        <v>0</v>
      </c>
      <c r="J202" t="n">
        <v>0</v>
      </c>
      <c r="K202" t="n">
        <v>1</v>
      </c>
      <c r="L202" t="n">
        <v>0</v>
      </c>
      <c r="M202" t="n">
        <v>0</v>
      </c>
      <c r="N202" t="n">
        <v>0</v>
      </c>
      <c r="O202" t="n">
        <v>1</v>
      </c>
      <c r="P202" t="n">
        <v>1</v>
      </c>
      <c r="Q202" t="n">
        <v>1</v>
      </c>
      <c r="R202" s="2" t="inlineStr">
        <is>
          <t>Gräddporing</t>
        </is>
      </c>
      <c r="S202">
        <f>HYPERLINK("https://klasma.github.io/Logging_2326/artfynd/A 23966-2024 artfynd.xlsx", "A 23966-2024")</f>
        <v/>
      </c>
      <c r="T202">
        <f>HYPERLINK("https://klasma.github.io/Logging_2326/kartor/A 23966-2024 karta.png", "A 23966-2024")</f>
        <v/>
      </c>
      <c r="V202">
        <f>HYPERLINK("https://klasma.github.io/Logging_2326/klagomål/A 23966-2024 FSC-klagomål.docx", "A 23966-2024")</f>
        <v/>
      </c>
      <c r="W202">
        <f>HYPERLINK("https://klasma.github.io/Logging_2326/klagomålsmail/A 23966-2024 FSC-klagomål mail.docx", "A 23966-2024")</f>
        <v/>
      </c>
      <c r="X202">
        <f>HYPERLINK("https://klasma.github.io/Logging_2326/tillsyn/A 23966-2024 tillsynsbegäran.docx", "A 23966-2024")</f>
        <v/>
      </c>
      <c r="Y202">
        <f>HYPERLINK("https://klasma.github.io/Logging_2326/tillsynsmail/A 23966-2024 tillsynsbegäran mail.docx", "A 23966-2024")</f>
        <v/>
      </c>
    </row>
    <row r="203" ht="15" customHeight="1">
      <c r="A203" t="inlineStr">
        <is>
          <t>A 29746-2024</t>
        </is>
      </c>
      <c r="B203" s="1" t="n">
        <v>45485</v>
      </c>
      <c r="C203" s="1" t="n">
        <v>45787</v>
      </c>
      <c r="D203" t="inlineStr">
        <is>
          <t>JÄMTLANDS LÄN</t>
        </is>
      </c>
      <c r="E203" t="inlineStr">
        <is>
          <t>BERG</t>
        </is>
      </c>
      <c r="F203" t="inlineStr">
        <is>
          <t>Sveaskog</t>
        </is>
      </c>
      <c r="G203" t="n">
        <v>6</v>
      </c>
      <c r="H203" t="n">
        <v>0</v>
      </c>
      <c r="I203" t="n">
        <v>0</v>
      </c>
      <c r="J203" t="n">
        <v>1</v>
      </c>
      <c r="K203" t="n">
        <v>0</v>
      </c>
      <c r="L203" t="n">
        <v>0</v>
      </c>
      <c r="M203" t="n">
        <v>0</v>
      </c>
      <c r="N203" t="n">
        <v>0</v>
      </c>
      <c r="O203" t="n">
        <v>1</v>
      </c>
      <c r="P203" t="n">
        <v>0</v>
      </c>
      <c r="Q203" t="n">
        <v>1</v>
      </c>
      <c r="R203" s="2" t="inlineStr">
        <is>
          <t>Lunglav</t>
        </is>
      </c>
      <c r="S203">
        <f>HYPERLINK("https://klasma.github.io/Logging_2326/artfynd/A 29746-2024 artfynd.xlsx", "A 29746-2024")</f>
        <v/>
      </c>
      <c r="T203">
        <f>HYPERLINK("https://klasma.github.io/Logging_2326/kartor/A 29746-2024 karta.png", "A 29746-2024")</f>
        <v/>
      </c>
      <c r="V203">
        <f>HYPERLINK("https://klasma.github.io/Logging_2326/klagomål/A 29746-2024 FSC-klagomål.docx", "A 29746-2024")</f>
        <v/>
      </c>
      <c r="W203">
        <f>HYPERLINK("https://klasma.github.io/Logging_2326/klagomålsmail/A 29746-2024 FSC-klagomål mail.docx", "A 29746-2024")</f>
        <v/>
      </c>
      <c r="X203">
        <f>HYPERLINK("https://klasma.github.io/Logging_2326/tillsyn/A 29746-2024 tillsynsbegäran.docx", "A 29746-2024")</f>
        <v/>
      </c>
      <c r="Y203">
        <f>HYPERLINK("https://klasma.github.io/Logging_2326/tillsynsmail/A 29746-2024 tillsynsbegäran mail.docx", "A 29746-2024")</f>
        <v/>
      </c>
    </row>
    <row r="204" ht="15" customHeight="1">
      <c r="A204" t="inlineStr">
        <is>
          <t>A 32171-2024</t>
        </is>
      </c>
      <c r="B204" s="1" t="n">
        <v>45511</v>
      </c>
      <c r="C204" s="1" t="n">
        <v>45787</v>
      </c>
      <c r="D204" t="inlineStr">
        <is>
          <t>JÄMTLANDS LÄN</t>
        </is>
      </c>
      <c r="E204" t="inlineStr">
        <is>
          <t>BERG</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32171-2024 artfynd.xlsx", "A 32171-2024")</f>
        <v/>
      </c>
      <c r="T204">
        <f>HYPERLINK("https://klasma.github.io/Logging_2326/kartor/A 32171-2024 karta.png", "A 32171-2024")</f>
        <v/>
      </c>
      <c r="V204">
        <f>HYPERLINK("https://klasma.github.io/Logging_2326/klagomål/A 32171-2024 FSC-klagomål.docx", "A 32171-2024")</f>
        <v/>
      </c>
      <c r="W204">
        <f>HYPERLINK("https://klasma.github.io/Logging_2326/klagomålsmail/A 32171-2024 FSC-klagomål mail.docx", "A 32171-2024")</f>
        <v/>
      </c>
      <c r="X204">
        <f>HYPERLINK("https://klasma.github.io/Logging_2326/tillsyn/A 32171-2024 tillsynsbegäran.docx", "A 32171-2024")</f>
        <v/>
      </c>
      <c r="Y204">
        <f>HYPERLINK("https://klasma.github.io/Logging_2326/tillsynsmail/A 32171-2024 tillsynsbegäran mail.docx", "A 32171-2024")</f>
        <v/>
      </c>
      <c r="Z204">
        <f>HYPERLINK("https://klasma.github.io/Logging_2326/fåglar/A 32171-2024 prioriterade fågelarter.docx", "A 32171-2024")</f>
        <v/>
      </c>
    </row>
    <row r="205" ht="15" customHeight="1">
      <c r="A205" t="inlineStr">
        <is>
          <t>A 32246-2024</t>
        </is>
      </c>
      <c r="B205" s="1" t="n">
        <v>45512</v>
      </c>
      <c r="C205" s="1" t="n">
        <v>45787</v>
      </c>
      <c r="D205" t="inlineStr">
        <is>
          <t>JÄMTLANDS LÄN</t>
        </is>
      </c>
      <c r="E205" t="inlineStr">
        <is>
          <t>BERG</t>
        </is>
      </c>
      <c r="F205" t="inlineStr">
        <is>
          <t>SCA</t>
        </is>
      </c>
      <c r="G205" t="n">
        <v>1.7</v>
      </c>
      <c r="H205" t="n">
        <v>0</v>
      </c>
      <c r="I205" t="n">
        <v>0</v>
      </c>
      <c r="J205" t="n">
        <v>1</v>
      </c>
      <c r="K205" t="n">
        <v>0</v>
      </c>
      <c r="L205" t="n">
        <v>0</v>
      </c>
      <c r="M205" t="n">
        <v>0</v>
      </c>
      <c r="N205" t="n">
        <v>0</v>
      </c>
      <c r="O205" t="n">
        <v>1</v>
      </c>
      <c r="P205" t="n">
        <v>0</v>
      </c>
      <c r="Q205" t="n">
        <v>1</v>
      </c>
      <c r="R205" s="2" t="inlineStr">
        <is>
          <t>Brunklöver</t>
        </is>
      </c>
      <c r="S205">
        <f>HYPERLINK("https://klasma.github.io/Logging_2326/artfynd/A 32246-2024 artfynd.xlsx", "A 32246-2024")</f>
        <v/>
      </c>
      <c r="T205">
        <f>HYPERLINK("https://klasma.github.io/Logging_2326/kartor/A 32246-2024 karta.png", "A 32246-2024")</f>
        <v/>
      </c>
      <c r="V205">
        <f>HYPERLINK("https://klasma.github.io/Logging_2326/klagomål/A 32246-2024 FSC-klagomål.docx", "A 32246-2024")</f>
        <v/>
      </c>
      <c r="W205">
        <f>HYPERLINK("https://klasma.github.io/Logging_2326/klagomålsmail/A 32246-2024 FSC-klagomål mail.docx", "A 32246-2024")</f>
        <v/>
      </c>
      <c r="X205">
        <f>HYPERLINK("https://klasma.github.io/Logging_2326/tillsyn/A 32246-2024 tillsynsbegäran.docx", "A 32246-2024")</f>
        <v/>
      </c>
      <c r="Y205">
        <f>HYPERLINK("https://klasma.github.io/Logging_2326/tillsynsmail/A 32246-2024 tillsynsbegäran mail.docx", "A 32246-2024")</f>
        <v/>
      </c>
    </row>
    <row r="206" ht="15" customHeight="1">
      <c r="A206" t="inlineStr">
        <is>
          <t>A 33083-2024</t>
        </is>
      </c>
      <c r="B206" s="1" t="n">
        <v>45517</v>
      </c>
      <c r="C206" s="1" t="n">
        <v>45787</v>
      </c>
      <c r="D206" t="inlineStr">
        <is>
          <t>JÄMTLANDS LÄN</t>
        </is>
      </c>
      <c r="E206" t="inlineStr">
        <is>
          <t>BERG</t>
        </is>
      </c>
      <c r="G206" t="n">
        <v>0.2</v>
      </c>
      <c r="H206" t="n">
        <v>0</v>
      </c>
      <c r="I206" t="n">
        <v>0</v>
      </c>
      <c r="J206" t="n">
        <v>1</v>
      </c>
      <c r="K206" t="n">
        <v>0</v>
      </c>
      <c r="L206" t="n">
        <v>0</v>
      </c>
      <c r="M206" t="n">
        <v>0</v>
      </c>
      <c r="N206" t="n">
        <v>0</v>
      </c>
      <c r="O206" t="n">
        <v>1</v>
      </c>
      <c r="P206" t="n">
        <v>0</v>
      </c>
      <c r="Q206" t="n">
        <v>1</v>
      </c>
      <c r="R206" s="2" t="inlineStr">
        <is>
          <t>Garnlav</t>
        </is>
      </c>
      <c r="S206">
        <f>HYPERLINK("https://klasma.github.io/Logging_2326/artfynd/A 33083-2024 artfynd.xlsx", "A 33083-2024")</f>
        <v/>
      </c>
      <c r="T206">
        <f>HYPERLINK("https://klasma.github.io/Logging_2326/kartor/A 33083-2024 karta.png", "A 33083-2024")</f>
        <v/>
      </c>
      <c r="V206">
        <f>HYPERLINK("https://klasma.github.io/Logging_2326/klagomål/A 33083-2024 FSC-klagomål.docx", "A 33083-2024")</f>
        <v/>
      </c>
      <c r="W206">
        <f>HYPERLINK("https://klasma.github.io/Logging_2326/klagomålsmail/A 33083-2024 FSC-klagomål mail.docx", "A 33083-2024")</f>
        <v/>
      </c>
      <c r="X206">
        <f>HYPERLINK("https://klasma.github.io/Logging_2326/tillsyn/A 33083-2024 tillsynsbegäran.docx", "A 33083-2024")</f>
        <v/>
      </c>
      <c r="Y206">
        <f>HYPERLINK("https://klasma.github.io/Logging_2326/tillsynsmail/A 33083-2024 tillsynsbegäran mail.docx", "A 33083-2024")</f>
        <v/>
      </c>
    </row>
    <row r="207" ht="15" customHeight="1">
      <c r="A207" t="inlineStr">
        <is>
          <t>A 33126-2024</t>
        </is>
      </c>
      <c r="B207" s="1" t="n">
        <v>45518</v>
      </c>
      <c r="C207" s="1" t="n">
        <v>45787</v>
      </c>
      <c r="D207" t="inlineStr">
        <is>
          <t>JÄMTLANDS LÄN</t>
        </is>
      </c>
      <c r="E207" t="inlineStr">
        <is>
          <t>BERG</t>
        </is>
      </c>
      <c r="F207" t="inlineStr">
        <is>
          <t>SCA</t>
        </is>
      </c>
      <c r="G207" t="n">
        <v>4.2</v>
      </c>
      <c r="H207" t="n">
        <v>0</v>
      </c>
      <c r="I207" t="n">
        <v>0</v>
      </c>
      <c r="J207" t="n">
        <v>0</v>
      </c>
      <c r="K207" t="n">
        <v>1</v>
      </c>
      <c r="L207" t="n">
        <v>0</v>
      </c>
      <c r="M207" t="n">
        <v>0</v>
      </c>
      <c r="N207" t="n">
        <v>0</v>
      </c>
      <c r="O207" t="n">
        <v>1</v>
      </c>
      <c r="P207" t="n">
        <v>1</v>
      </c>
      <c r="Q207" t="n">
        <v>1</v>
      </c>
      <c r="R207" s="2" t="inlineStr">
        <is>
          <t>Gräddporing</t>
        </is>
      </c>
      <c r="S207">
        <f>HYPERLINK("https://klasma.github.io/Logging_2326/artfynd/A 33126-2024 artfynd.xlsx", "A 33126-2024")</f>
        <v/>
      </c>
      <c r="T207">
        <f>HYPERLINK("https://klasma.github.io/Logging_2326/kartor/A 33126-2024 karta.png", "A 33126-2024")</f>
        <v/>
      </c>
      <c r="V207">
        <f>HYPERLINK("https://klasma.github.io/Logging_2326/klagomål/A 33126-2024 FSC-klagomål.docx", "A 33126-2024")</f>
        <v/>
      </c>
      <c r="W207">
        <f>HYPERLINK("https://klasma.github.io/Logging_2326/klagomålsmail/A 33126-2024 FSC-klagomål mail.docx", "A 33126-2024")</f>
        <v/>
      </c>
      <c r="X207">
        <f>HYPERLINK("https://klasma.github.io/Logging_2326/tillsyn/A 33126-2024 tillsynsbegäran.docx", "A 33126-2024")</f>
        <v/>
      </c>
      <c r="Y207">
        <f>HYPERLINK("https://klasma.github.io/Logging_2326/tillsynsmail/A 33126-2024 tillsynsbegäran mail.docx", "A 33126-2024")</f>
        <v/>
      </c>
    </row>
    <row r="208" ht="15" customHeight="1">
      <c r="A208" t="inlineStr">
        <is>
          <t>A 33317-2024</t>
        </is>
      </c>
      <c r="B208" s="1" t="n">
        <v>45519</v>
      </c>
      <c r="C208" s="1" t="n">
        <v>45787</v>
      </c>
      <c r="D208" t="inlineStr">
        <is>
          <t>JÄMTLANDS LÄN</t>
        </is>
      </c>
      <c r="E208" t="inlineStr">
        <is>
          <t>BERG</t>
        </is>
      </c>
      <c r="F208" t="inlineStr">
        <is>
          <t>SCA</t>
        </is>
      </c>
      <c r="G208" t="n">
        <v>12.8</v>
      </c>
      <c r="H208" t="n">
        <v>0</v>
      </c>
      <c r="I208" t="n">
        <v>0</v>
      </c>
      <c r="J208" t="n">
        <v>1</v>
      </c>
      <c r="K208" t="n">
        <v>0</v>
      </c>
      <c r="L208" t="n">
        <v>0</v>
      </c>
      <c r="M208" t="n">
        <v>0</v>
      </c>
      <c r="N208" t="n">
        <v>0</v>
      </c>
      <c r="O208" t="n">
        <v>1</v>
      </c>
      <c r="P208" t="n">
        <v>0</v>
      </c>
      <c r="Q208" t="n">
        <v>1</v>
      </c>
      <c r="R208" s="2" t="inlineStr">
        <is>
          <t>Gammelgransskål</t>
        </is>
      </c>
      <c r="S208">
        <f>HYPERLINK("https://klasma.github.io/Logging_2326/artfynd/A 33317-2024 artfynd.xlsx", "A 33317-2024")</f>
        <v/>
      </c>
      <c r="T208">
        <f>HYPERLINK("https://klasma.github.io/Logging_2326/kartor/A 33317-2024 karta.png", "A 33317-2024")</f>
        <v/>
      </c>
      <c r="V208">
        <f>HYPERLINK("https://klasma.github.io/Logging_2326/klagomål/A 33317-2024 FSC-klagomål.docx", "A 33317-2024")</f>
        <v/>
      </c>
      <c r="W208">
        <f>HYPERLINK("https://klasma.github.io/Logging_2326/klagomålsmail/A 33317-2024 FSC-klagomål mail.docx", "A 33317-2024")</f>
        <v/>
      </c>
      <c r="X208">
        <f>HYPERLINK("https://klasma.github.io/Logging_2326/tillsyn/A 33317-2024 tillsynsbegäran.docx", "A 33317-2024")</f>
        <v/>
      </c>
      <c r="Y208">
        <f>HYPERLINK("https://klasma.github.io/Logging_2326/tillsynsmail/A 33317-2024 tillsynsbegäran mail.docx", "A 33317-2024")</f>
        <v/>
      </c>
    </row>
    <row r="209" ht="15" customHeight="1">
      <c r="A209" t="inlineStr">
        <is>
          <t>A 36356-2024</t>
        </is>
      </c>
      <c r="B209" s="1" t="n">
        <v>45534</v>
      </c>
      <c r="C209" s="1" t="n">
        <v>45787</v>
      </c>
      <c r="D209" t="inlineStr">
        <is>
          <t>JÄMTLANDS LÄN</t>
        </is>
      </c>
      <c r="E209" t="inlineStr">
        <is>
          <t>BERG</t>
        </is>
      </c>
      <c r="F209" t="inlineStr">
        <is>
          <t>SCA</t>
        </is>
      </c>
      <c r="G209" t="n">
        <v>12.2</v>
      </c>
      <c r="H209" t="n">
        <v>0</v>
      </c>
      <c r="I209" t="n">
        <v>0</v>
      </c>
      <c r="J209" t="n">
        <v>0</v>
      </c>
      <c r="K209" t="n">
        <v>1</v>
      </c>
      <c r="L209" t="n">
        <v>0</v>
      </c>
      <c r="M209" t="n">
        <v>0</v>
      </c>
      <c r="N209" t="n">
        <v>0</v>
      </c>
      <c r="O209" t="n">
        <v>1</v>
      </c>
      <c r="P209" t="n">
        <v>1</v>
      </c>
      <c r="Q209" t="n">
        <v>1</v>
      </c>
      <c r="R209" s="2" t="inlineStr">
        <is>
          <t>Gräddporing</t>
        </is>
      </c>
      <c r="S209">
        <f>HYPERLINK("https://klasma.github.io/Logging_2326/artfynd/A 36356-2024 artfynd.xlsx", "A 36356-2024")</f>
        <v/>
      </c>
      <c r="T209">
        <f>HYPERLINK("https://klasma.github.io/Logging_2326/kartor/A 36356-2024 karta.png", "A 36356-2024")</f>
        <v/>
      </c>
      <c r="V209">
        <f>HYPERLINK("https://klasma.github.io/Logging_2326/klagomål/A 36356-2024 FSC-klagomål.docx", "A 36356-2024")</f>
        <v/>
      </c>
      <c r="W209">
        <f>HYPERLINK("https://klasma.github.io/Logging_2326/klagomålsmail/A 36356-2024 FSC-klagomål mail.docx", "A 36356-2024")</f>
        <v/>
      </c>
      <c r="X209">
        <f>HYPERLINK("https://klasma.github.io/Logging_2326/tillsyn/A 36356-2024 tillsynsbegäran.docx", "A 36356-2024")</f>
        <v/>
      </c>
      <c r="Y209">
        <f>HYPERLINK("https://klasma.github.io/Logging_2326/tillsynsmail/A 36356-2024 tillsynsbegäran mail.docx", "A 36356-2024")</f>
        <v/>
      </c>
    </row>
    <row r="210" ht="15" customHeight="1">
      <c r="A210" t="inlineStr">
        <is>
          <t>A 40215-2024</t>
        </is>
      </c>
      <c r="B210" s="1" t="n">
        <v>45554</v>
      </c>
      <c r="C210" s="1" t="n">
        <v>45787</v>
      </c>
      <c r="D210" t="inlineStr">
        <is>
          <t>JÄMTLANDS LÄN</t>
        </is>
      </c>
      <c r="E210" t="inlineStr">
        <is>
          <t>BERG</t>
        </is>
      </c>
      <c r="F210" t="inlineStr">
        <is>
          <t>SCA</t>
        </is>
      </c>
      <c r="G210" t="n">
        <v>18.6</v>
      </c>
      <c r="H210" t="n">
        <v>0</v>
      </c>
      <c r="I210" t="n">
        <v>1</v>
      </c>
      <c r="J210" t="n">
        <v>0</v>
      </c>
      <c r="K210" t="n">
        <v>0</v>
      </c>
      <c r="L210" t="n">
        <v>0</v>
      </c>
      <c r="M210" t="n">
        <v>0</v>
      </c>
      <c r="N210" t="n">
        <v>0</v>
      </c>
      <c r="O210" t="n">
        <v>0</v>
      </c>
      <c r="P210" t="n">
        <v>0</v>
      </c>
      <c r="Q210" t="n">
        <v>1</v>
      </c>
      <c r="R210" s="2" t="inlineStr">
        <is>
          <t>Dropptaggsvamp</t>
        </is>
      </c>
      <c r="S210">
        <f>HYPERLINK("https://klasma.github.io/Logging_2326/artfynd/A 40215-2024 artfynd.xlsx", "A 40215-2024")</f>
        <v/>
      </c>
      <c r="T210">
        <f>HYPERLINK("https://klasma.github.io/Logging_2326/kartor/A 40215-2024 karta.png", "A 40215-2024")</f>
        <v/>
      </c>
      <c r="V210">
        <f>HYPERLINK("https://klasma.github.io/Logging_2326/klagomål/A 40215-2024 FSC-klagomål.docx", "A 40215-2024")</f>
        <v/>
      </c>
      <c r="W210">
        <f>HYPERLINK("https://klasma.github.io/Logging_2326/klagomålsmail/A 40215-2024 FSC-klagomål mail.docx", "A 40215-2024")</f>
        <v/>
      </c>
      <c r="X210">
        <f>HYPERLINK("https://klasma.github.io/Logging_2326/tillsyn/A 40215-2024 tillsynsbegäran.docx", "A 40215-2024")</f>
        <v/>
      </c>
      <c r="Y210">
        <f>HYPERLINK("https://klasma.github.io/Logging_2326/tillsynsmail/A 40215-2024 tillsynsbegäran mail.docx", "A 40215-2024")</f>
        <v/>
      </c>
    </row>
    <row r="211" ht="15" customHeight="1">
      <c r="A211" t="inlineStr">
        <is>
          <t>A 40210-2024</t>
        </is>
      </c>
      <c r="B211" s="1" t="n">
        <v>45554</v>
      </c>
      <c r="C211" s="1" t="n">
        <v>45787</v>
      </c>
      <c r="D211" t="inlineStr">
        <is>
          <t>JÄMTLANDS LÄN</t>
        </is>
      </c>
      <c r="E211" t="inlineStr">
        <is>
          <t>BERG</t>
        </is>
      </c>
      <c r="F211" t="inlineStr">
        <is>
          <t>SCA</t>
        </is>
      </c>
      <c r="G211" t="n">
        <v>13.1</v>
      </c>
      <c r="H211" t="n">
        <v>0</v>
      </c>
      <c r="I211" t="n">
        <v>0</v>
      </c>
      <c r="J211" t="n">
        <v>1</v>
      </c>
      <c r="K211" t="n">
        <v>0</v>
      </c>
      <c r="L211" t="n">
        <v>0</v>
      </c>
      <c r="M211" t="n">
        <v>0</v>
      </c>
      <c r="N211" t="n">
        <v>0</v>
      </c>
      <c r="O211" t="n">
        <v>1</v>
      </c>
      <c r="P211" t="n">
        <v>0</v>
      </c>
      <c r="Q211" t="n">
        <v>1</v>
      </c>
      <c r="R211" s="2" t="inlineStr">
        <is>
          <t>Blå taggsvamp</t>
        </is>
      </c>
      <c r="S211">
        <f>HYPERLINK("https://klasma.github.io/Logging_2326/artfynd/A 40210-2024 artfynd.xlsx", "A 40210-2024")</f>
        <v/>
      </c>
      <c r="T211">
        <f>HYPERLINK("https://klasma.github.io/Logging_2326/kartor/A 40210-2024 karta.png", "A 40210-2024")</f>
        <v/>
      </c>
      <c r="V211">
        <f>HYPERLINK("https://klasma.github.io/Logging_2326/klagomål/A 40210-2024 FSC-klagomål.docx", "A 40210-2024")</f>
        <v/>
      </c>
      <c r="W211">
        <f>HYPERLINK("https://klasma.github.io/Logging_2326/klagomålsmail/A 40210-2024 FSC-klagomål mail.docx", "A 40210-2024")</f>
        <v/>
      </c>
      <c r="X211">
        <f>HYPERLINK("https://klasma.github.io/Logging_2326/tillsyn/A 40210-2024 tillsynsbegäran.docx", "A 40210-2024")</f>
        <v/>
      </c>
      <c r="Y211">
        <f>HYPERLINK("https://klasma.github.io/Logging_2326/tillsynsmail/A 40210-2024 tillsynsbegäran mail.docx", "A 40210-2024")</f>
        <v/>
      </c>
    </row>
    <row r="212" ht="15" customHeight="1">
      <c r="A212" t="inlineStr">
        <is>
          <t>A 40440-2024</t>
        </is>
      </c>
      <c r="B212" s="1" t="n">
        <v>45555</v>
      </c>
      <c r="C212" s="1" t="n">
        <v>45787</v>
      </c>
      <c r="D212" t="inlineStr">
        <is>
          <t>JÄMTLANDS LÄN</t>
        </is>
      </c>
      <c r="E212" t="inlineStr">
        <is>
          <t>BERG</t>
        </is>
      </c>
      <c r="G212" t="n">
        <v>3.6</v>
      </c>
      <c r="H212" t="n">
        <v>1</v>
      </c>
      <c r="I212" t="n">
        <v>0</v>
      </c>
      <c r="J212" t="n">
        <v>0</v>
      </c>
      <c r="K212" t="n">
        <v>0</v>
      </c>
      <c r="L212" t="n">
        <v>0</v>
      </c>
      <c r="M212" t="n">
        <v>0</v>
      </c>
      <c r="N212" t="n">
        <v>0</v>
      </c>
      <c r="O212" t="n">
        <v>0</v>
      </c>
      <c r="P212" t="n">
        <v>0</v>
      </c>
      <c r="Q212" t="n">
        <v>1</v>
      </c>
      <c r="R212" s="2" t="inlineStr">
        <is>
          <t>Fläcknycklar</t>
        </is>
      </c>
      <c r="S212">
        <f>HYPERLINK("https://klasma.github.io/Logging_2326/artfynd/A 40440-2024 artfynd.xlsx", "A 40440-2024")</f>
        <v/>
      </c>
      <c r="T212">
        <f>HYPERLINK("https://klasma.github.io/Logging_2326/kartor/A 40440-2024 karta.png", "A 40440-2024")</f>
        <v/>
      </c>
      <c r="V212">
        <f>HYPERLINK("https://klasma.github.io/Logging_2326/klagomål/A 40440-2024 FSC-klagomål.docx", "A 40440-2024")</f>
        <v/>
      </c>
      <c r="W212">
        <f>HYPERLINK("https://klasma.github.io/Logging_2326/klagomålsmail/A 40440-2024 FSC-klagomål mail.docx", "A 40440-2024")</f>
        <v/>
      </c>
      <c r="X212">
        <f>HYPERLINK("https://klasma.github.io/Logging_2326/tillsyn/A 40440-2024 tillsynsbegäran.docx", "A 40440-2024")</f>
        <v/>
      </c>
      <c r="Y212">
        <f>HYPERLINK("https://klasma.github.io/Logging_2326/tillsynsmail/A 40440-2024 tillsynsbegäran mail.docx", "A 40440-2024")</f>
        <v/>
      </c>
    </row>
    <row r="213" ht="15" customHeight="1">
      <c r="A213" t="inlineStr">
        <is>
          <t>A 41635-2024</t>
        </is>
      </c>
      <c r="B213" s="1" t="n">
        <v>45560</v>
      </c>
      <c r="C213" s="1" t="n">
        <v>45787</v>
      </c>
      <c r="D213" t="inlineStr">
        <is>
          <t>JÄMTLANDS LÄN</t>
        </is>
      </c>
      <c r="E213" t="inlineStr">
        <is>
          <t>BERG</t>
        </is>
      </c>
      <c r="F213" t="inlineStr">
        <is>
          <t>SCA</t>
        </is>
      </c>
      <c r="G213" t="n">
        <v>4.2</v>
      </c>
      <c r="H213" t="n">
        <v>0</v>
      </c>
      <c r="I213" t="n">
        <v>0</v>
      </c>
      <c r="J213" t="n">
        <v>1</v>
      </c>
      <c r="K213" t="n">
        <v>0</v>
      </c>
      <c r="L213" t="n">
        <v>0</v>
      </c>
      <c r="M213" t="n">
        <v>0</v>
      </c>
      <c r="N213" t="n">
        <v>0</v>
      </c>
      <c r="O213" t="n">
        <v>1</v>
      </c>
      <c r="P213" t="n">
        <v>0</v>
      </c>
      <c r="Q213" t="n">
        <v>1</v>
      </c>
      <c r="R213" s="2" t="inlineStr">
        <is>
          <t>Dvärgbägarlav</t>
        </is>
      </c>
      <c r="S213">
        <f>HYPERLINK("https://klasma.github.io/Logging_2326/artfynd/A 41635-2024 artfynd.xlsx", "A 41635-2024")</f>
        <v/>
      </c>
      <c r="T213">
        <f>HYPERLINK("https://klasma.github.io/Logging_2326/kartor/A 41635-2024 karta.png", "A 41635-2024")</f>
        <v/>
      </c>
      <c r="V213">
        <f>HYPERLINK("https://klasma.github.io/Logging_2326/klagomål/A 41635-2024 FSC-klagomål.docx", "A 41635-2024")</f>
        <v/>
      </c>
      <c r="W213">
        <f>HYPERLINK("https://klasma.github.io/Logging_2326/klagomålsmail/A 41635-2024 FSC-klagomål mail.docx", "A 41635-2024")</f>
        <v/>
      </c>
      <c r="X213">
        <f>HYPERLINK("https://klasma.github.io/Logging_2326/tillsyn/A 41635-2024 tillsynsbegäran.docx", "A 41635-2024")</f>
        <v/>
      </c>
      <c r="Y213">
        <f>HYPERLINK("https://klasma.github.io/Logging_2326/tillsynsmail/A 41635-2024 tillsynsbegäran mail.docx", "A 41635-2024")</f>
        <v/>
      </c>
    </row>
    <row r="214" ht="15" customHeight="1">
      <c r="A214" t="inlineStr">
        <is>
          <t>A 44259-2024</t>
        </is>
      </c>
      <c r="B214" s="1" t="n">
        <v>45573</v>
      </c>
      <c r="C214" s="1" t="n">
        <v>45787</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44259-2024 artfynd.xlsx", "A 44259-2024")</f>
        <v/>
      </c>
      <c r="T214">
        <f>HYPERLINK("https://klasma.github.io/Logging_2326/kartor/A 44259-2024 karta.png", "A 44259-2024")</f>
        <v/>
      </c>
      <c r="V214">
        <f>HYPERLINK("https://klasma.github.io/Logging_2326/klagomål/A 44259-2024 FSC-klagomål.docx", "A 44259-2024")</f>
        <v/>
      </c>
      <c r="W214">
        <f>HYPERLINK("https://klasma.github.io/Logging_2326/klagomålsmail/A 44259-2024 FSC-klagomål mail.docx", "A 44259-2024")</f>
        <v/>
      </c>
      <c r="X214">
        <f>HYPERLINK("https://klasma.github.io/Logging_2326/tillsyn/A 44259-2024 tillsynsbegäran.docx", "A 44259-2024")</f>
        <v/>
      </c>
      <c r="Y214">
        <f>HYPERLINK("https://klasma.github.io/Logging_2326/tillsynsmail/A 44259-2024 tillsynsbegäran mail.docx", "A 44259-2024")</f>
        <v/>
      </c>
      <c r="Z214">
        <f>HYPERLINK("https://klasma.github.io/Logging_2326/fåglar/A 44259-2024 prioriterade fågelarter.docx", "A 44259-2024")</f>
        <v/>
      </c>
    </row>
    <row r="215" ht="15" customHeight="1">
      <c r="A215" t="inlineStr">
        <is>
          <t>A 49049-2024</t>
        </is>
      </c>
      <c r="B215" s="1" t="n">
        <v>45594</v>
      </c>
      <c r="C215" s="1" t="n">
        <v>45787</v>
      </c>
      <c r="D215" t="inlineStr">
        <is>
          <t>JÄMTLANDS LÄN</t>
        </is>
      </c>
      <c r="E215" t="inlineStr">
        <is>
          <t>BERG</t>
        </is>
      </c>
      <c r="G215" t="n">
        <v>0.8</v>
      </c>
      <c r="H215" t="n">
        <v>1</v>
      </c>
      <c r="I215" t="n">
        <v>1</v>
      </c>
      <c r="J215" t="n">
        <v>0</v>
      </c>
      <c r="K215" t="n">
        <v>0</v>
      </c>
      <c r="L215" t="n">
        <v>0</v>
      </c>
      <c r="M215" t="n">
        <v>0</v>
      </c>
      <c r="N215" t="n">
        <v>0</v>
      </c>
      <c r="O215" t="n">
        <v>0</v>
      </c>
      <c r="P215" t="n">
        <v>0</v>
      </c>
      <c r="Q215" t="n">
        <v>1</v>
      </c>
      <c r="R215" s="2" t="inlineStr">
        <is>
          <t>Korallrot</t>
        </is>
      </c>
      <c r="S215">
        <f>HYPERLINK("https://klasma.github.io/Logging_2326/artfynd/A 49049-2024 artfynd.xlsx", "A 49049-2024")</f>
        <v/>
      </c>
      <c r="T215">
        <f>HYPERLINK("https://klasma.github.io/Logging_2326/kartor/A 49049-2024 karta.png", "A 49049-2024")</f>
        <v/>
      </c>
      <c r="V215">
        <f>HYPERLINK("https://klasma.github.io/Logging_2326/klagomål/A 49049-2024 FSC-klagomål.docx", "A 49049-2024")</f>
        <v/>
      </c>
      <c r="W215">
        <f>HYPERLINK("https://klasma.github.io/Logging_2326/klagomålsmail/A 49049-2024 FSC-klagomål mail.docx", "A 49049-2024")</f>
        <v/>
      </c>
      <c r="X215">
        <f>HYPERLINK("https://klasma.github.io/Logging_2326/tillsyn/A 49049-2024 tillsynsbegäran.docx", "A 49049-2024")</f>
        <v/>
      </c>
      <c r="Y215">
        <f>HYPERLINK("https://klasma.github.io/Logging_2326/tillsynsmail/A 49049-2024 tillsynsbegäran mail.docx", "A 49049-2024")</f>
        <v/>
      </c>
    </row>
    <row r="216" ht="15" customHeight="1">
      <c r="A216" t="inlineStr">
        <is>
          <t>A 49276-2024</t>
        </is>
      </c>
      <c r="B216" s="1" t="n">
        <v>45595</v>
      </c>
      <c r="C216" s="1" t="n">
        <v>45787</v>
      </c>
      <c r="D216" t="inlineStr">
        <is>
          <t>JÄMTLANDS LÄN</t>
        </is>
      </c>
      <c r="E216" t="inlineStr">
        <is>
          <t>BERG</t>
        </is>
      </c>
      <c r="G216" t="n">
        <v>0.8</v>
      </c>
      <c r="H216" t="n">
        <v>1</v>
      </c>
      <c r="I216" t="n">
        <v>1</v>
      </c>
      <c r="J216" t="n">
        <v>0</v>
      </c>
      <c r="K216" t="n">
        <v>0</v>
      </c>
      <c r="L216" t="n">
        <v>0</v>
      </c>
      <c r="M216" t="n">
        <v>0</v>
      </c>
      <c r="N216" t="n">
        <v>0</v>
      </c>
      <c r="O216" t="n">
        <v>0</v>
      </c>
      <c r="P216" t="n">
        <v>0</v>
      </c>
      <c r="Q216" t="n">
        <v>1</v>
      </c>
      <c r="R216" s="2" t="inlineStr">
        <is>
          <t>Korallrot</t>
        </is>
      </c>
      <c r="S216">
        <f>HYPERLINK("https://klasma.github.io/Logging_2326/artfynd/A 49276-2024 artfynd.xlsx", "A 49276-2024")</f>
        <v/>
      </c>
      <c r="T216">
        <f>HYPERLINK("https://klasma.github.io/Logging_2326/kartor/A 49276-2024 karta.png", "A 49276-2024")</f>
        <v/>
      </c>
      <c r="V216">
        <f>HYPERLINK("https://klasma.github.io/Logging_2326/klagomål/A 49276-2024 FSC-klagomål.docx", "A 49276-2024")</f>
        <v/>
      </c>
      <c r="W216">
        <f>HYPERLINK("https://klasma.github.io/Logging_2326/klagomålsmail/A 49276-2024 FSC-klagomål mail.docx", "A 49276-2024")</f>
        <v/>
      </c>
      <c r="X216">
        <f>HYPERLINK("https://klasma.github.io/Logging_2326/tillsyn/A 49276-2024 tillsynsbegäran.docx", "A 49276-2024")</f>
        <v/>
      </c>
      <c r="Y216">
        <f>HYPERLINK("https://klasma.github.io/Logging_2326/tillsynsmail/A 49276-2024 tillsynsbegäran mail.docx", "A 49276-2024")</f>
        <v/>
      </c>
    </row>
    <row r="217" ht="15" customHeight="1">
      <c r="A217" t="inlineStr">
        <is>
          <t>A 50556-2024</t>
        </is>
      </c>
      <c r="B217" s="1" t="n">
        <v>45601</v>
      </c>
      <c r="C217" s="1" t="n">
        <v>45787</v>
      </c>
      <c r="D217" t="inlineStr">
        <is>
          <t>JÄMTLANDS LÄN</t>
        </is>
      </c>
      <c r="E217" t="inlineStr">
        <is>
          <t>BERG</t>
        </is>
      </c>
      <c r="G217" t="n">
        <v>5.7</v>
      </c>
      <c r="H217" t="n">
        <v>0</v>
      </c>
      <c r="I217" t="n">
        <v>0</v>
      </c>
      <c r="J217" t="n">
        <v>1</v>
      </c>
      <c r="K217" t="n">
        <v>0</v>
      </c>
      <c r="L217" t="n">
        <v>0</v>
      </c>
      <c r="M217" t="n">
        <v>0</v>
      </c>
      <c r="N217" t="n">
        <v>0</v>
      </c>
      <c r="O217" t="n">
        <v>1</v>
      </c>
      <c r="P217" t="n">
        <v>0</v>
      </c>
      <c r="Q217" t="n">
        <v>1</v>
      </c>
      <c r="R217" s="2" t="inlineStr">
        <is>
          <t>Kalkbräken</t>
        </is>
      </c>
      <c r="S217">
        <f>HYPERLINK("https://klasma.github.io/Logging_2326/artfynd/A 50556-2024 artfynd.xlsx", "A 50556-2024")</f>
        <v/>
      </c>
      <c r="T217">
        <f>HYPERLINK("https://klasma.github.io/Logging_2326/kartor/A 50556-2024 karta.png", "A 50556-2024")</f>
        <v/>
      </c>
      <c r="V217">
        <f>HYPERLINK("https://klasma.github.io/Logging_2326/klagomål/A 50556-2024 FSC-klagomål.docx", "A 50556-2024")</f>
        <v/>
      </c>
      <c r="W217">
        <f>HYPERLINK("https://klasma.github.io/Logging_2326/klagomålsmail/A 50556-2024 FSC-klagomål mail.docx", "A 50556-2024")</f>
        <v/>
      </c>
      <c r="X217">
        <f>HYPERLINK("https://klasma.github.io/Logging_2326/tillsyn/A 50556-2024 tillsynsbegäran.docx", "A 50556-2024")</f>
        <v/>
      </c>
      <c r="Y217">
        <f>HYPERLINK("https://klasma.github.io/Logging_2326/tillsynsmail/A 50556-2024 tillsynsbegäran mail.docx", "A 50556-2024")</f>
        <v/>
      </c>
    </row>
    <row r="218" ht="15" customHeight="1">
      <c r="A218" t="inlineStr">
        <is>
          <t>A 52193-2024</t>
        </is>
      </c>
      <c r="B218" s="1" t="n">
        <v>45608</v>
      </c>
      <c r="C218" s="1" t="n">
        <v>45787</v>
      </c>
      <c r="D218" t="inlineStr">
        <is>
          <t>JÄMTLANDS LÄN</t>
        </is>
      </c>
      <c r="E218" t="inlineStr">
        <is>
          <t>BERG</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52193-2024 artfynd.xlsx", "A 52193-2024")</f>
        <v/>
      </c>
      <c r="T218">
        <f>HYPERLINK("https://klasma.github.io/Logging_2326/kartor/A 52193-2024 karta.png", "A 52193-2024")</f>
        <v/>
      </c>
      <c r="V218">
        <f>HYPERLINK("https://klasma.github.io/Logging_2326/klagomål/A 52193-2024 FSC-klagomål.docx", "A 52193-2024")</f>
        <v/>
      </c>
      <c r="W218">
        <f>HYPERLINK("https://klasma.github.io/Logging_2326/klagomålsmail/A 52193-2024 FSC-klagomål mail.docx", "A 52193-2024")</f>
        <v/>
      </c>
      <c r="X218">
        <f>HYPERLINK("https://klasma.github.io/Logging_2326/tillsyn/A 52193-2024 tillsynsbegäran.docx", "A 52193-2024")</f>
        <v/>
      </c>
      <c r="Y218">
        <f>HYPERLINK("https://klasma.github.io/Logging_2326/tillsynsmail/A 52193-2024 tillsynsbegäran mail.docx", "A 52193-2024")</f>
        <v/>
      </c>
      <c r="Z218">
        <f>HYPERLINK("https://klasma.github.io/Logging_2326/fåglar/A 52193-2024 prioriterade fågelarter.docx", "A 52193-2024")</f>
        <v/>
      </c>
    </row>
    <row r="219" ht="15" customHeight="1">
      <c r="A219" t="inlineStr">
        <is>
          <t>A 53086-2024</t>
        </is>
      </c>
      <c r="B219" s="1" t="n">
        <v>45611</v>
      </c>
      <c r="C219" s="1" t="n">
        <v>45787</v>
      </c>
      <c r="D219" t="inlineStr">
        <is>
          <t>JÄMTLANDS LÄN</t>
        </is>
      </c>
      <c r="E219" t="inlineStr">
        <is>
          <t>BERG</t>
        </is>
      </c>
      <c r="F219" t="inlineStr">
        <is>
          <t>SCA</t>
        </is>
      </c>
      <c r="G219" t="n">
        <v>7.7</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53086-2024 artfynd.xlsx", "A 53086-2024")</f>
        <v/>
      </c>
      <c r="T219">
        <f>HYPERLINK("https://klasma.github.io/Logging_2326/kartor/A 53086-2024 karta.png", "A 53086-2024")</f>
        <v/>
      </c>
      <c r="V219">
        <f>HYPERLINK("https://klasma.github.io/Logging_2326/klagomål/A 53086-2024 FSC-klagomål.docx", "A 53086-2024")</f>
        <v/>
      </c>
      <c r="W219">
        <f>HYPERLINK("https://klasma.github.io/Logging_2326/klagomålsmail/A 53086-2024 FSC-klagomål mail.docx", "A 53086-2024")</f>
        <v/>
      </c>
      <c r="X219">
        <f>HYPERLINK("https://klasma.github.io/Logging_2326/tillsyn/A 53086-2024 tillsynsbegäran.docx", "A 53086-2024")</f>
        <v/>
      </c>
      <c r="Y219">
        <f>HYPERLINK("https://klasma.github.io/Logging_2326/tillsynsmail/A 53086-2024 tillsynsbegäran mail.docx", "A 53086-2024")</f>
        <v/>
      </c>
    </row>
    <row r="220" ht="15" customHeight="1">
      <c r="A220" t="inlineStr">
        <is>
          <t>A 54595-2024</t>
        </is>
      </c>
      <c r="B220" s="1" t="n">
        <v>45617</v>
      </c>
      <c r="C220" s="1" t="n">
        <v>45787</v>
      </c>
      <c r="D220" t="inlineStr">
        <is>
          <t>JÄMTLANDS LÄN</t>
        </is>
      </c>
      <c r="E220" t="inlineStr">
        <is>
          <t>BERG</t>
        </is>
      </c>
      <c r="G220" t="n">
        <v>4.4</v>
      </c>
      <c r="H220" t="n">
        <v>1</v>
      </c>
      <c r="I220" t="n">
        <v>0</v>
      </c>
      <c r="J220" t="n">
        <v>0</v>
      </c>
      <c r="K220" t="n">
        <v>0</v>
      </c>
      <c r="L220" t="n">
        <v>0</v>
      </c>
      <c r="M220" t="n">
        <v>0</v>
      </c>
      <c r="N220" t="n">
        <v>0</v>
      </c>
      <c r="O220" t="n">
        <v>0</v>
      </c>
      <c r="P220" t="n">
        <v>0</v>
      </c>
      <c r="Q220" t="n">
        <v>1</v>
      </c>
      <c r="R220" s="2" t="inlineStr">
        <is>
          <t>Tjäder</t>
        </is>
      </c>
      <c r="S220">
        <f>HYPERLINK("https://klasma.github.io/Logging_2326/artfynd/A 54595-2024 artfynd.xlsx", "A 54595-2024")</f>
        <v/>
      </c>
      <c r="T220">
        <f>HYPERLINK("https://klasma.github.io/Logging_2326/kartor/A 54595-2024 karta.png", "A 54595-2024")</f>
        <v/>
      </c>
      <c r="V220">
        <f>HYPERLINK("https://klasma.github.io/Logging_2326/klagomål/A 54595-2024 FSC-klagomål.docx", "A 54595-2024")</f>
        <v/>
      </c>
      <c r="W220">
        <f>HYPERLINK("https://klasma.github.io/Logging_2326/klagomålsmail/A 54595-2024 FSC-klagomål mail.docx", "A 54595-2024")</f>
        <v/>
      </c>
      <c r="X220">
        <f>HYPERLINK("https://klasma.github.io/Logging_2326/tillsyn/A 54595-2024 tillsynsbegäran.docx", "A 54595-2024")</f>
        <v/>
      </c>
      <c r="Y220">
        <f>HYPERLINK("https://klasma.github.io/Logging_2326/tillsynsmail/A 54595-2024 tillsynsbegäran mail.docx", "A 54595-2024")</f>
        <v/>
      </c>
      <c r="Z220">
        <f>HYPERLINK("https://klasma.github.io/Logging_2326/fåglar/A 54595-2024 prioriterade fågelarter.docx", "A 54595-2024")</f>
        <v/>
      </c>
    </row>
    <row r="221" ht="15" customHeight="1">
      <c r="A221" t="inlineStr">
        <is>
          <t>A 56368-2024</t>
        </is>
      </c>
      <c r="B221" s="1" t="n">
        <v>45625</v>
      </c>
      <c r="C221" s="1" t="n">
        <v>45787</v>
      </c>
      <c r="D221" t="inlineStr">
        <is>
          <t>JÄMTLANDS LÄN</t>
        </is>
      </c>
      <c r="E221" t="inlineStr">
        <is>
          <t>BERG</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HYPERLINK("https://klasma.github.io/Logging_2326/artfynd/A 56368-2024 artfynd.xlsx", "A 56368-2024")</f>
        <v/>
      </c>
      <c r="T221">
        <f>HYPERLINK("https://klasma.github.io/Logging_2326/kartor/A 56368-2024 karta.png", "A 56368-2024")</f>
        <v/>
      </c>
      <c r="V221">
        <f>HYPERLINK("https://klasma.github.io/Logging_2326/klagomål/A 56368-2024 FSC-klagomål.docx", "A 56368-2024")</f>
        <v/>
      </c>
      <c r="W221">
        <f>HYPERLINK("https://klasma.github.io/Logging_2326/klagomålsmail/A 56368-2024 FSC-klagomål mail.docx", "A 56368-2024")</f>
        <v/>
      </c>
      <c r="X221">
        <f>HYPERLINK("https://klasma.github.io/Logging_2326/tillsyn/A 56368-2024 tillsynsbegäran.docx", "A 56368-2024")</f>
        <v/>
      </c>
      <c r="Y221">
        <f>HYPERLINK("https://klasma.github.io/Logging_2326/tillsynsmail/A 56368-2024 tillsynsbegäran mail.docx", "A 56368-2024")</f>
        <v/>
      </c>
    </row>
    <row r="222" ht="15" customHeight="1">
      <c r="A222" t="inlineStr">
        <is>
          <t>A 56364-2024</t>
        </is>
      </c>
      <c r="B222" s="1" t="n">
        <v>45625</v>
      </c>
      <c r="C222" s="1" t="n">
        <v>45787</v>
      </c>
      <c r="D222" t="inlineStr">
        <is>
          <t>JÄMTLANDS LÄN</t>
        </is>
      </c>
      <c r="E222" t="inlineStr">
        <is>
          <t>BERG</t>
        </is>
      </c>
      <c r="G222" t="n">
        <v>3.7</v>
      </c>
      <c r="H222" t="n">
        <v>1</v>
      </c>
      <c r="I222" t="n">
        <v>0</v>
      </c>
      <c r="J222" t="n">
        <v>0</v>
      </c>
      <c r="K222" t="n">
        <v>0</v>
      </c>
      <c r="L222" t="n">
        <v>0</v>
      </c>
      <c r="M222" t="n">
        <v>0</v>
      </c>
      <c r="N222" t="n">
        <v>0</v>
      </c>
      <c r="O222" t="n">
        <v>0</v>
      </c>
      <c r="P222" t="n">
        <v>0</v>
      </c>
      <c r="Q222" t="n">
        <v>1</v>
      </c>
      <c r="R222" s="2" t="inlineStr">
        <is>
          <t>Mattlummer</t>
        </is>
      </c>
      <c r="S222">
        <f>HYPERLINK("https://klasma.github.io/Logging_2326/artfynd/A 56364-2024 artfynd.xlsx", "A 56364-2024")</f>
        <v/>
      </c>
      <c r="T222">
        <f>HYPERLINK("https://klasma.github.io/Logging_2326/kartor/A 56364-2024 karta.png", "A 56364-2024")</f>
        <v/>
      </c>
      <c r="V222">
        <f>HYPERLINK("https://klasma.github.io/Logging_2326/klagomål/A 56364-2024 FSC-klagomål.docx", "A 56364-2024")</f>
        <v/>
      </c>
      <c r="W222">
        <f>HYPERLINK("https://klasma.github.io/Logging_2326/klagomålsmail/A 56364-2024 FSC-klagomål mail.docx", "A 56364-2024")</f>
        <v/>
      </c>
      <c r="X222">
        <f>HYPERLINK("https://klasma.github.io/Logging_2326/tillsyn/A 56364-2024 tillsynsbegäran.docx", "A 56364-2024")</f>
        <v/>
      </c>
      <c r="Y222">
        <f>HYPERLINK("https://klasma.github.io/Logging_2326/tillsynsmail/A 56364-2024 tillsynsbegäran mail.docx", "A 56364-2024")</f>
        <v/>
      </c>
    </row>
    <row r="223" ht="15" customHeight="1">
      <c r="A223" t="inlineStr">
        <is>
          <t>A 5504-2025</t>
        </is>
      </c>
      <c r="B223" s="1" t="n">
        <v>45693</v>
      </c>
      <c r="C223" s="1" t="n">
        <v>45787</v>
      </c>
      <c r="D223" t="inlineStr">
        <is>
          <t>JÄMTLANDS LÄN</t>
        </is>
      </c>
      <c r="E223" t="inlineStr">
        <is>
          <t>BERG</t>
        </is>
      </c>
      <c r="G223" t="n">
        <v>19.1</v>
      </c>
      <c r="H223" t="n">
        <v>0</v>
      </c>
      <c r="I223" t="n">
        <v>0</v>
      </c>
      <c r="J223" t="n">
        <v>0</v>
      </c>
      <c r="K223" t="n">
        <v>1</v>
      </c>
      <c r="L223" t="n">
        <v>0</v>
      </c>
      <c r="M223" t="n">
        <v>0</v>
      </c>
      <c r="N223" t="n">
        <v>0</v>
      </c>
      <c r="O223" t="n">
        <v>1</v>
      </c>
      <c r="P223" t="n">
        <v>1</v>
      </c>
      <c r="Q223" t="n">
        <v>1</v>
      </c>
      <c r="R223" s="2" t="inlineStr">
        <is>
          <t>Gräddporing</t>
        </is>
      </c>
      <c r="S223">
        <f>HYPERLINK("https://klasma.github.io/Logging_2326/artfynd/A 5504-2025 artfynd.xlsx", "A 5504-2025")</f>
        <v/>
      </c>
      <c r="T223">
        <f>HYPERLINK("https://klasma.github.io/Logging_2326/kartor/A 5504-2025 karta.png", "A 5504-2025")</f>
        <v/>
      </c>
      <c r="V223">
        <f>HYPERLINK("https://klasma.github.io/Logging_2326/klagomål/A 5504-2025 FSC-klagomål.docx", "A 5504-2025")</f>
        <v/>
      </c>
      <c r="W223">
        <f>HYPERLINK("https://klasma.github.io/Logging_2326/klagomålsmail/A 5504-2025 FSC-klagomål mail.docx", "A 5504-2025")</f>
        <v/>
      </c>
      <c r="X223">
        <f>HYPERLINK("https://klasma.github.io/Logging_2326/tillsyn/A 5504-2025 tillsynsbegäran.docx", "A 5504-2025")</f>
        <v/>
      </c>
      <c r="Y223">
        <f>HYPERLINK("https://klasma.github.io/Logging_2326/tillsynsmail/A 5504-2025 tillsynsbegäran mail.docx", "A 5504-2025")</f>
        <v/>
      </c>
    </row>
    <row r="224" ht="15" customHeight="1">
      <c r="A224" t="inlineStr">
        <is>
          <t>A 20242-2025</t>
        </is>
      </c>
      <c r="B224" s="1" t="n">
        <v>45772</v>
      </c>
      <c r="C224" s="1" t="n">
        <v>45787</v>
      </c>
      <c r="D224" t="inlineStr">
        <is>
          <t>JÄMTLANDS LÄN</t>
        </is>
      </c>
      <c r="E224" t="inlineStr">
        <is>
          <t>BERG</t>
        </is>
      </c>
      <c r="F224" t="inlineStr">
        <is>
          <t>SCA</t>
        </is>
      </c>
      <c r="G224" t="n">
        <v>4.3</v>
      </c>
      <c r="H224" t="n">
        <v>0</v>
      </c>
      <c r="I224" t="n">
        <v>0</v>
      </c>
      <c r="J224" t="n">
        <v>1</v>
      </c>
      <c r="K224" t="n">
        <v>0</v>
      </c>
      <c r="L224" t="n">
        <v>0</v>
      </c>
      <c r="M224" t="n">
        <v>0</v>
      </c>
      <c r="N224" t="n">
        <v>0</v>
      </c>
      <c r="O224" t="n">
        <v>1</v>
      </c>
      <c r="P224" t="n">
        <v>0</v>
      </c>
      <c r="Q224" t="n">
        <v>1</v>
      </c>
      <c r="R224" s="2" t="inlineStr">
        <is>
          <t>Kolflarnlav</t>
        </is>
      </c>
      <c r="S224">
        <f>HYPERLINK("https://klasma.github.io/Logging_232326/artfynd/A 20242-2025 artfynd.xlsx", "A 20242-2025")</f>
        <v/>
      </c>
      <c r="T224">
        <f>HYPERLINK("https://klasma.github.io/Logging_232326/kartor/A 20242-2025 karta.png", "A 20242-2025")</f>
        <v/>
      </c>
      <c r="V224">
        <f>HYPERLINK("https://klasma.github.io/Logging_232326/klagomål/A 20242-2025 FSC-klagomål.docx", "A 20242-2025")</f>
        <v/>
      </c>
      <c r="W224">
        <f>HYPERLINK("https://klasma.github.io/Logging_232326/klagomålsmail/A 20242-2025 FSC-klagomål mail.docx", "A 20242-2025")</f>
        <v/>
      </c>
      <c r="X224">
        <f>HYPERLINK("https://klasma.github.io/Logging_232326/tillsyn/A 20242-2025 tillsynsbegäran.docx", "A 20242-2025")</f>
        <v/>
      </c>
      <c r="Y224">
        <f>HYPERLINK("https://klasma.github.io/Logging_232326/tillsynsmail/A 20242-2025 tillsynsbegäran mail.docx", "A 20242-2025")</f>
        <v/>
      </c>
    </row>
    <row r="225" ht="15" customHeight="1">
      <c r="A225" t="inlineStr">
        <is>
          <t>A 20444-2025</t>
        </is>
      </c>
      <c r="B225" s="1" t="n">
        <v>45775</v>
      </c>
      <c r="C225" s="1" t="n">
        <v>45787</v>
      </c>
      <c r="D225" t="inlineStr">
        <is>
          <t>JÄMTLANDS LÄN</t>
        </is>
      </c>
      <c r="E225" t="inlineStr">
        <is>
          <t>BERG</t>
        </is>
      </c>
      <c r="F225" t="inlineStr">
        <is>
          <t>SCA</t>
        </is>
      </c>
      <c r="G225" t="n">
        <v>2.3</v>
      </c>
      <c r="H225" t="n">
        <v>0</v>
      </c>
      <c r="I225" t="n">
        <v>0</v>
      </c>
      <c r="J225" t="n">
        <v>0</v>
      </c>
      <c r="K225" t="n">
        <v>1</v>
      </c>
      <c r="L225" t="n">
        <v>0</v>
      </c>
      <c r="M225" t="n">
        <v>0</v>
      </c>
      <c r="N225" t="n">
        <v>0</v>
      </c>
      <c r="O225" t="n">
        <v>1</v>
      </c>
      <c r="P225" t="n">
        <v>1</v>
      </c>
      <c r="Q225" t="n">
        <v>1</v>
      </c>
      <c r="R225" s="2" t="inlineStr">
        <is>
          <t>Gräddporing</t>
        </is>
      </c>
      <c r="S225">
        <f>HYPERLINK("https://klasma.github.io/Logging_232326/artfynd/A 20444-2025 artfynd.xlsx", "A 20444-2025")</f>
        <v/>
      </c>
      <c r="T225">
        <f>HYPERLINK("https://klasma.github.io/Logging_232326/kartor/A 20444-2025 karta.png", "A 20444-2025")</f>
        <v/>
      </c>
      <c r="V225">
        <f>HYPERLINK("https://klasma.github.io/Logging_232326/klagomål/A 20444-2025 FSC-klagomål.docx", "A 20444-2025")</f>
        <v/>
      </c>
      <c r="W225">
        <f>HYPERLINK("https://klasma.github.io/Logging_232326/klagomålsmail/A 20444-2025 FSC-klagomål mail.docx", "A 20444-2025")</f>
        <v/>
      </c>
      <c r="X225">
        <f>HYPERLINK("https://klasma.github.io/Logging_232326/tillsyn/A 20444-2025 tillsynsbegäran.docx", "A 20444-2025")</f>
        <v/>
      </c>
      <c r="Y225">
        <f>HYPERLINK("https://klasma.github.io/Logging_232326/tillsynsmail/A 20444-2025 tillsynsbegäran mail.docx", "A 20444-2025")</f>
        <v/>
      </c>
    </row>
    <row r="226" ht="15" customHeight="1">
      <c r="A226" t="inlineStr">
        <is>
          <t>A 21025-2025</t>
        </is>
      </c>
      <c r="B226" s="1" t="n">
        <v>45777</v>
      </c>
      <c r="C226" s="1" t="n">
        <v>45787</v>
      </c>
      <c r="D226" t="inlineStr">
        <is>
          <t>JÄMTLANDS LÄN</t>
        </is>
      </c>
      <c r="E226" t="inlineStr">
        <is>
          <t>BERG</t>
        </is>
      </c>
      <c r="G226" t="n">
        <v>8.300000000000001</v>
      </c>
      <c r="H226" t="n">
        <v>1</v>
      </c>
      <c r="I226" t="n">
        <v>0</v>
      </c>
      <c r="J226" t="n">
        <v>0</v>
      </c>
      <c r="K226" t="n">
        <v>0</v>
      </c>
      <c r="L226" t="n">
        <v>0</v>
      </c>
      <c r="M226" t="n">
        <v>0</v>
      </c>
      <c r="N226" t="n">
        <v>0</v>
      </c>
      <c r="O226" t="n">
        <v>0</v>
      </c>
      <c r="P226" t="n">
        <v>0</v>
      </c>
      <c r="Q226" t="n">
        <v>1</v>
      </c>
      <c r="R226" s="2" t="inlineStr">
        <is>
          <t>Blåsippa</t>
        </is>
      </c>
      <c r="S226">
        <f>HYPERLINK("https://klasma.github.io/Logging_232326/artfynd/A 21025-2025 artfynd.xlsx", "A 21025-2025")</f>
        <v/>
      </c>
      <c r="T226">
        <f>HYPERLINK("https://klasma.github.io/Logging_232326/kartor/A 21025-2025 karta.png", "A 21025-2025")</f>
        <v/>
      </c>
      <c r="V226">
        <f>HYPERLINK("https://klasma.github.io/Logging_232326/klagomål/A 21025-2025 FSC-klagomål.docx", "A 21025-2025")</f>
        <v/>
      </c>
      <c r="W226">
        <f>HYPERLINK("https://klasma.github.io/Logging_232326/klagomålsmail/A 21025-2025 FSC-klagomål mail.docx", "A 21025-2025")</f>
        <v/>
      </c>
      <c r="X226">
        <f>HYPERLINK("https://klasma.github.io/Logging_232326/tillsyn/A 21025-2025 tillsynsbegäran.docx", "A 21025-2025")</f>
        <v/>
      </c>
      <c r="Y226">
        <f>HYPERLINK("https://klasma.github.io/Logging_232326/tillsynsmail/A 21025-2025 tillsynsbegäran mail.docx", "A 21025-2025")</f>
        <v/>
      </c>
    </row>
    <row r="227" ht="15" customHeight="1">
      <c r="A227" t="inlineStr">
        <is>
          <t>A 21020-2025</t>
        </is>
      </c>
      <c r="B227" s="1" t="n">
        <v>45777</v>
      </c>
      <c r="C227" s="1" t="n">
        <v>45787</v>
      </c>
      <c r="D227" t="inlineStr">
        <is>
          <t>JÄMTLANDS LÄN</t>
        </is>
      </c>
      <c r="E227" t="inlineStr">
        <is>
          <t>BERG</t>
        </is>
      </c>
      <c r="G227" t="n">
        <v>9</v>
      </c>
      <c r="H227" t="n">
        <v>1</v>
      </c>
      <c r="I227" t="n">
        <v>0</v>
      </c>
      <c r="J227" t="n">
        <v>0</v>
      </c>
      <c r="K227" t="n">
        <v>0</v>
      </c>
      <c r="L227" t="n">
        <v>0</v>
      </c>
      <c r="M227" t="n">
        <v>0</v>
      </c>
      <c r="N227" t="n">
        <v>0</v>
      </c>
      <c r="O227" t="n">
        <v>0</v>
      </c>
      <c r="P227" t="n">
        <v>0</v>
      </c>
      <c r="Q227" t="n">
        <v>1</v>
      </c>
      <c r="R227" s="2" t="inlineStr">
        <is>
          <t>Blåsippa</t>
        </is>
      </c>
      <c r="S227">
        <f>HYPERLINK("https://klasma.github.io/Logging_232326/artfynd/A 21020-2025 artfynd.xlsx", "A 21020-2025")</f>
        <v/>
      </c>
      <c r="T227">
        <f>HYPERLINK("https://klasma.github.io/Logging_232326/kartor/A 21020-2025 karta.png", "A 21020-2025")</f>
        <v/>
      </c>
      <c r="V227">
        <f>HYPERLINK("https://klasma.github.io/Logging_232326/klagomål/A 21020-2025 FSC-klagomål.docx", "A 21020-2025")</f>
        <v/>
      </c>
      <c r="W227">
        <f>HYPERLINK("https://klasma.github.io/Logging_232326/klagomålsmail/A 21020-2025 FSC-klagomål mail.docx", "A 21020-2025")</f>
        <v/>
      </c>
      <c r="X227">
        <f>HYPERLINK("https://klasma.github.io/Logging_232326/tillsyn/A 21020-2025 tillsynsbegäran.docx", "A 21020-2025")</f>
        <v/>
      </c>
      <c r="Y227">
        <f>HYPERLINK("https://klasma.github.io/Logging_232326/tillsynsmail/A 21020-2025 tillsynsbegäran mail.docx", "A 21020-2025")</f>
        <v/>
      </c>
    </row>
    <row r="228" ht="15" customHeight="1">
      <c r="A228" t="inlineStr">
        <is>
          <t>A 21681-2025</t>
        </is>
      </c>
      <c r="B228" s="1" t="n">
        <v>45783</v>
      </c>
      <c r="C228" s="1" t="n">
        <v>45787</v>
      </c>
      <c r="D228" t="inlineStr">
        <is>
          <t>JÄMTLANDS LÄN</t>
        </is>
      </c>
      <c r="E228" t="inlineStr">
        <is>
          <t>BERG</t>
        </is>
      </c>
      <c r="F228" t="inlineStr">
        <is>
          <t>SCA</t>
        </is>
      </c>
      <c r="G228" t="n">
        <v>10.2</v>
      </c>
      <c r="H228" t="n">
        <v>0</v>
      </c>
      <c r="I228" t="n">
        <v>0</v>
      </c>
      <c r="J228" t="n">
        <v>0</v>
      </c>
      <c r="K228" t="n">
        <v>1</v>
      </c>
      <c r="L228" t="n">
        <v>0</v>
      </c>
      <c r="M228" t="n">
        <v>0</v>
      </c>
      <c r="N228" t="n">
        <v>0</v>
      </c>
      <c r="O228" t="n">
        <v>1</v>
      </c>
      <c r="P228" t="n">
        <v>1</v>
      </c>
      <c r="Q228" t="n">
        <v>1</v>
      </c>
      <c r="R228" s="2" t="inlineStr">
        <is>
          <t>Gräddporing</t>
        </is>
      </c>
      <c r="S228">
        <f>HYPERLINK("https://klasma.github.io/Logging_232326/artfynd/A 21681-2025 artfynd.xlsx", "A 21681-2025")</f>
        <v/>
      </c>
      <c r="T228">
        <f>HYPERLINK("https://klasma.github.io/Logging_232326/kartor/A 21681-2025 karta.png", "A 21681-2025")</f>
        <v/>
      </c>
      <c r="V228">
        <f>HYPERLINK("https://klasma.github.io/Logging_232326/klagomål/A 21681-2025 FSC-klagomål.docx", "A 21681-2025")</f>
        <v/>
      </c>
      <c r="W228">
        <f>HYPERLINK("https://klasma.github.io/Logging_232326/klagomålsmail/A 21681-2025 FSC-klagomål mail.docx", "A 21681-2025")</f>
        <v/>
      </c>
      <c r="X228">
        <f>HYPERLINK("https://klasma.github.io/Logging_232326/tillsyn/A 21681-2025 tillsynsbegäran.docx", "A 21681-2025")</f>
        <v/>
      </c>
      <c r="Y228">
        <f>HYPERLINK("https://klasma.github.io/Logging_232326/tillsynsmail/A 21681-2025 tillsynsbegäran mail.docx", "A 21681-2025")</f>
        <v/>
      </c>
    </row>
    <row r="229" ht="15" customHeight="1">
      <c r="A229" t="inlineStr">
        <is>
          <t>A 17791-2019</t>
        </is>
      </c>
      <c r="B229" s="1" t="n">
        <v>43556</v>
      </c>
      <c r="C229" s="1" t="n">
        <v>45787</v>
      </c>
      <c r="D229" t="inlineStr">
        <is>
          <t>JÄMTLANDS LÄN</t>
        </is>
      </c>
      <c r="E229" t="inlineStr">
        <is>
          <t>BERG</t>
        </is>
      </c>
      <c r="G229" t="n">
        <v>14.3</v>
      </c>
      <c r="H229" t="n">
        <v>0</v>
      </c>
      <c r="I229" t="n">
        <v>0</v>
      </c>
      <c r="J229" t="n">
        <v>0</v>
      </c>
      <c r="K229" t="n">
        <v>0</v>
      </c>
      <c r="L229" t="n">
        <v>0</v>
      </c>
      <c r="M229" t="n">
        <v>0</v>
      </c>
      <c r="N229" t="n">
        <v>0</v>
      </c>
      <c r="O229" t="n">
        <v>0</v>
      </c>
      <c r="P229" t="n">
        <v>0</v>
      </c>
      <c r="Q229" t="n">
        <v>0</v>
      </c>
      <c r="R229" s="2" t="inlineStr"/>
    </row>
    <row r="230" ht="15" customHeight="1">
      <c r="A230" t="inlineStr">
        <is>
          <t>A 21225-2019</t>
        </is>
      </c>
      <c r="B230" s="1" t="n">
        <v>43579</v>
      </c>
      <c r="C230" s="1" t="n">
        <v>45787</v>
      </c>
      <c r="D230" t="inlineStr">
        <is>
          <t>JÄMTLANDS LÄN</t>
        </is>
      </c>
      <c r="E230" t="inlineStr">
        <is>
          <t>BERG</t>
        </is>
      </c>
      <c r="G230" t="n">
        <v>6.3</v>
      </c>
      <c r="H230" t="n">
        <v>0</v>
      </c>
      <c r="I230" t="n">
        <v>0</v>
      </c>
      <c r="J230" t="n">
        <v>0</v>
      </c>
      <c r="K230" t="n">
        <v>0</v>
      </c>
      <c r="L230" t="n">
        <v>0</v>
      </c>
      <c r="M230" t="n">
        <v>0</v>
      </c>
      <c r="N230" t="n">
        <v>0</v>
      </c>
      <c r="O230" t="n">
        <v>0</v>
      </c>
      <c r="P230" t="n">
        <v>0</v>
      </c>
      <c r="Q230" t="n">
        <v>0</v>
      </c>
      <c r="R230" s="2" t="inlineStr"/>
    </row>
    <row r="231" ht="15" customHeight="1">
      <c r="A231" t="inlineStr">
        <is>
          <t>A 24710-2019</t>
        </is>
      </c>
      <c r="B231" s="1" t="n">
        <v>43601</v>
      </c>
      <c r="C231" s="1" t="n">
        <v>45787</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24839-2019</t>
        </is>
      </c>
      <c r="B232" s="1" t="n">
        <v>43602</v>
      </c>
      <c r="C232" s="1" t="n">
        <v>45787</v>
      </c>
      <c r="D232" t="inlineStr">
        <is>
          <t>JÄMTLANDS LÄN</t>
        </is>
      </c>
      <c r="E232" t="inlineStr">
        <is>
          <t>BERG</t>
        </is>
      </c>
      <c r="G232" t="n">
        <v>5.9</v>
      </c>
      <c r="H232" t="n">
        <v>0</v>
      </c>
      <c r="I232" t="n">
        <v>0</v>
      </c>
      <c r="J232" t="n">
        <v>0</v>
      </c>
      <c r="K232" t="n">
        <v>0</v>
      </c>
      <c r="L232" t="n">
        <v>0</v>
      </c>
      <c r="M232" t="n">
        <v>0</v>
      </c>
      <c r="N232" t="n">
        <v>0</v>
      </c>
      <c r="O232" t="n">
        <v>0</v>
      </c>
      <c r="P232" t="n">
        <v>0</v>
      </c>
      <c r="Q232" t="n">
        <v>0</v>
      </c>
      <c r="R232" s="2" t="inlineStr"/>
    </row>
    <row r="233" ht="15" customHeight="1">
      <c r="A233" t="inlineStr">
        <is>
          <t>A 25844-2019</t>
        </is>
      </c>
      <c r="B233" s="1" t="n">
        <v>43605</v>
      </c>
      <c r="C233" s="1" t="n">
        <v>45787</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25588-2019</t>
        </is>
      </c>
      <c r="B234" s="1" t="n">
        <v>43607</v>
      </c>
      <c r="C234" s="1" t="n">
        <v>45787</v>
      </c>
      <c r="D234" t="inlineStr">
        <is>
          <t>JÄMTLANDS LÄN</t>
        </is>
      </c>
      <c r="E234" t="inlineStr">
        <is>
          <t>BERG</t>
        </is>
      </c>
      <c r="G234" t="n">
        <v>1.8</v>
      </c>
      <c r="H234" t="n">
        <v>0</v>
      </c>
      <c r="I234" t="n">
        <v>0</v>
      </c>
      <c r="J234" t="n">
        <v>0</v>
      </c>
      <c r="K234" t="n">
        <v>0</v>
      </c>
      <c r="L234" t="n">
        <v>0</v>
      </c>
      <c r="M234" t="n">
        <v>0</v>
      </c>
      <c r="N234" t="n">
        <v>0</v>
      </c>
      <c r="O234" t="n">
        <v>0</v>
      </c>
      <c r="P234" t="n">
        <v>0</v>
      </c>
      <c r="Q234" t="n">
        <v>0</v>
      </c>
      <c r="R234" s="2" t="inlineStr"/>
    </row>
    <row r="235" ht="15" customHeight="1">
      <c r="A235" t="inlineStr">
        <is>
          <t>A 25969-2019</t>
        </is>
      </c>
      <c r="B235" s="1" t="n">
        <v>43608</v>
      </c>
      <c r="C235" s="1" t="n">
        <v>45787</v>
      </c>
      <c r="D235" t="inlineStr">
        <is>
          <t>JÄMTLANDS LÄN</t>
        </is>
      </c>
      <c r="E235" t="inlineStr">
        <is>
          <t>BERG</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28788-2019</t>
        </is>
      </c>
      <c r="B236" s="1" t="n">
        <v>43616</v>
      </c>
      <c r="C236" s="1" t="n">
        <v>45787</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27540-2019</t>
        </is>
      </c>
      <c r="B237" s="1" t="n">
        <v>43619</v>
      </c>
      <c r="C237" s="1" t="n">
        <v>45787</v>
      </c>
      <c r="D237" t="inlineStr">
        <is>
          <t>JÄMTLANDS LÄN</t>
        </is>
      </c>
      <c r="E237" t="inlineStr">
        <is>
          <t>BERG</t>
        </is>
      </c>
      <c r="G237" t="n">
        <v>2.1</v>
      </c>
      <c r="H237" t="n">
        <v>0</v>
      </c>
      <c r="I237" t="n">
        <v>0</v>
      </c>
      <c r="J237" t="n">
        <v>0</v>
      </c>
      <c r="K237" t="n">
        <v>0</v>
      </c>
      <c r="L237" t="n">
        <v>0</v>
      </c>
      <c r="M237" t="n">
        <v>0</v>
      </c>
      <c r="N237" t="n">
        <v>0</v>
      </c>
      <c r="O237" t="n">
        <v>0</v>
      </c>
      <c r="P237" t="n">
        <v>0</v>
      </c>
      <c r="Q237" t="n">
        <v>0</v>
      </c>
      <c r="R237" s="2" t="inlineStr"/>
    </row>
    <row r="238" ht="15" customHeight="1">
      <c r="A238" t="inlineStr">
        <is>
          <t>A 28250-2019</t>
        </is>
      </c>
      <c r="B238" s="1" t="n">
        <v>43622</v>
      </c>
      <c r="C238" s="1" t="n">
        <v>45787</v>
      </c>
      <c r="D238" t="inlineStr">
        <is>
          <t>JÄMTLANDS LÄN</t>
        </is>
      </c>
      <c r="E238" t="inlineStr">
        <is>
          <t>BERG</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29339-2019</t>
        </is>
      </c>
      <c r="B239" s="1" t="n">
        <v>43626</v>
      </c>
      <c r="C239" s="1" t="n">
        <v>45787</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29202-2019</t>
        </is>
      </c>
      <c r="B240" s="1" t="n">
        <v>43629</v>
      </c>
      <c r="C240" s="1" t="n">
        <v>45787</v>
      </c>
      <c r="D240" t="inlineStr">
        <is>
          <t>JÄMTLANDS LÄN</t>
        </is>
      </c>
      <c r="E240" t="inlineStr">
        <is>
          <t>BERG</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29728-2019</t>
        </is>
      </c>
      <c r="B241" s="1" t="n">
        <v>43630</v>
      </c>
      <c r="C241" s="1" t="n">
        <v>45787</v>
      </c>
      <c r="D241" t="inlineStr">
        <is>
          <t>JÄMTLANDS LÄN</t>
        </is>
      </c>
      <c r="E241" t="inlineStr">
        <is>
          <t>BERG</t>
        </is>
      </c>
      <c r="G241" t="n">
        <v>8.1</v>
      </c>
      <c r="H241" t="n">
        <v>0</v>
      </c>
      <c r="I241" t="n">
        <v>0</v>
      </c>
      <c r="J241" t="n">
        <v>0</v>
      </c>
      <c r="K241" t="n">
        <v>0</v>
      </c>
      <c r="L241" t="n">
        <v>0</v>
      </c>
      <c r="M241" t="n">
        <v>0</v>
      </c>
      <c r="N241" t="n">
        <v>0</v>
      </c>
      <c r="O241" t="n">
        <v>0</v>
      </c>
      <c r="P241" t="n">
        <v>0</v>
      </c>
      <c r="Q241" t="n">
        <v>0</v>
      </c>
      <c r="R241" s="2" t="inlineStr"/>
    </row>
    <row r="242" ht="15" customHeight="1">
      <c r="A242" t="inlineStr">
        <is>
          <t>A 31238-2019</t>
        </is>
      </c>
      <c r="B242" s="1" t="n">
        <v>43640</v>
      </c>
      <c r="C242" s="1" t="n">
        <v>45787</v>
      </c>
      <c r="D242" t="inlineStr">
        <is>
          <t>JÄMTLANDS LÄN</t>
        </is>
      </c>
      <c r="E242" t="inlineStr">
        <is>
          <t>BERG</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31206-2019</t>
        </is>
      </c>
      <c r="B243" s="1" t="n">
        <v>43640</v>
      </c>
      <c r="C243" s="1" t="n">
        <v>45787</v>
      </c>
      <c r="D243" t="inlineStr">
        <is>
          <t>JÄMTLANDS LÄN</t>
        </is>
      </c>
      <c r="E243" t="inlineStr">
        <is>
          <t>BERG</t>
        </is>
      </c>
      <c r="F243" t="inlineStr">
        <is>
          <t>Sveaskog</t>
        </is>
      </c>
      <c r="G243" t="n">
        <v>10.1</v>
      </c>
      <c r="H243" t="n">
        <v>0</v>
      </c>
      <c r="I243" t="n">
        <v>0</v>
      </c>
      <c r="J243" t="n">
        <v>0</v>
      </c>
      <c r="K243" t="n">
        <v>0</v>
      </c>
      <c r="L243" t="n">
        <v>0</v>
      </c>
      <c r="M243" t="n">
        <v>0</v>
      </c>
      <c r="N243" t="n">
        <v>0</v>
      </c>
      <c r="O243" t="n">
        <v>0</v>
      </c>
      <c r="P243" t="n">
        <v>0</v>
      </c>
      <c r="Q243" t="n">
        <v>0</v>
      </c>
      <c r="R243" s="2" t="inlineStr"/>
    </row>
    <row r="244" ht="15" customHeight="1">
      <c r="A244" t="inlineStr">
        <is>
          <t>A 31568-2019</t>
        </is>
      </c>
      <c r="B244" s="1" t="n">
        <v>43641</v>
      </c>
      <c r="C244" s="1" t="n">
        <v>45787</v>
      </c>
      <c r="D244" t="inlineStr">
        <is>
          <t>JÄMTLANDS LÄN</t>
        </is>
      </c>
      <c r="E244" t="inlineStr">
        <is>
          <t>BERG</t>
        </is>
      </c>
      <c r="F244" t="inlineStr">
        <is>
          <t>SCA</t>
        </is>
      </c>
      <c r="G244" t="n">
        <v>16.4</v>
      </c>
      <c r="H244" t="n">
        <v>0</v>
      </c>
      <c r="I244" t="n">
        <v>0</v>
      </c>
      <c r="J244" t="n">
        <v>0</v>
      </c>
      <c r="K244" t="n">
        <v>0</v>
      </c>
      <c r="L244" t="n">
        <v>0</v>
      </c>
      <c r="M244" t="n">
        <v>0</v>
      </c>
      <c r="N244" t="n">
        <v>0</v>
      </c>
      <c r="O244" t="n">
        <v>0</v>
      </c>
      <c r="P244" t="n">
        <v>0</v>
      </c>
      <c r="Q244" t="n">
        <v>0</v>
      </c>
      <c r="R244" s="2" t="inlineStr"/>
    </row>
    <row r="245" ht="15" customHeight="1">
      <c r="A245" t="inlineStr">
        <is>
          <t>A 32054-2019</t>
        </is>
      </c>
      <c r="B245" s="1" t="n">
        <v>43643</v>
      </c>
      <c r="C245" s="1" t="n">
        <v>45787</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32123-2019</t>
        </is>
      </c>
      <c r="B246" s="1" t="n">
        <v>43643</v>
      </c>
      <c r="C246" s="1" t="n">
        <v>45787</v>
      </c>
      <c r="D246" t="inlineStr">
        <is>
          <t>JÄMTLANDS LÄN</t>
        </is>
      </c>
      <c r="E246" t="inlineStr">
        <is>
          <t>BERG</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32156-2019</t>
        </is>
      </c>
      <c r="B247" s="1" t="n">
        <v>43643</v>
      </c>
      <c r="C247" s="1" t="n">
        <v>45787</v>
      </c>
      <c r="D247" t="inlineStr">
        <is>
          <t>JÄMTLANDS LÄN</t>
        </is>
      </c>
      <c r="E247" t="inlineStr">
        <is>
          <t>BERG</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34469-2019</t>
        </is>
      </c>
      <c r="B248" s="1" t="n">
        <v>43656</v>
      </c>
      <c r="C248" s="1" t="n">
        <v>45787</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34468-2019</t>
        </is>
      </c>
      <c r="B249" s="1" t="n">
        <v>43656</v>
      </c>
      <c r="C249" s="1" t="n">
        <v>45787</v>
      </c>
      <c r="D249" t="inlineStr">
        <is>
          <t>JÄMTLANDS LÄN</t>
        </is>
      </c>
      <c r="E249" t="inlineStr">
        <is>
          <t>BERG</t>
        </is>
      </c>
      <c r="G249" t="n">
        <v>2</v>
      </c>
      <c r="H249" t="n">
        <v>0</v>
      </c>
      <c r="I249" t="n">
        <v>0</v>
      </c>
      <c r="J249" t="n">
        <v>0</v>
      </c>
      <c r="K249" t="n">
        <v>0</v>
      </c>
      <c r="L249" t="n">
        <v>0</v>
      </c>
      <c r="M249" t="n">
        <v>0</v>
      </c>
      <c r="N249" t="n">
        <v>0</v>
      </c>
      <c r="O249" t="n">
        <v>0</v>
      </c>
      <c r="P249" t="n">
        <v>0</v>
      </c>
      <c r="Q249" t="n">
        <v>0</v>
      </c>
      <c r="R249" s="2" t="inlineStr"/>
    </row>
    <row r="250" ht="15" customHeight="1">
      <c r="A250" t="inlineStr">
        <is>
          <t>A 34663-2019</t>
        </is>
      </c>
      <c r="B250" s="1" t="n">
        <v>43657</v>
      </c>
      <c r="C250" s="1" t="n">
        <v>45787</v>
      </c>
      <c r="D250" t="inlineStr">
        <is>
          <t>JÄMTLANDS LÄN</t>
        </is>
      </c>
      <c r="E250" t="inlineStr">
        <is>
          <t>BERG</t>
        </is>
      </c>
      <c r="G250" t="n">
        <v>0.5</v>
      </c>
      <c r="H250" t="n">
        <v>0</v>
      </c>
      <c r="I250" t="n">
        <v>0</v>
      </c>
      <c r="J250" t="n">
        <v>0</v>
      </c>
      <c r="K250" t="n">
        <v>0</v>
      </c>
      <c r="L250" t="n">
        <v>0</v>
      </c>
      <c r="M250" t="n">
        <v>0</v>
      </c>
      <c r="N250" t="n">
        <v>0</v>
      </c>
      <c r="O250" t="n">
        <v>0</v>
      </c>
      <c r="P250" t="n">
        <v>0</v>
      </c>
      <c r="Q250" t="n">
        <v>0</v>
      </c>
      <c r="R250" s="2" t="inlineStr"/>
    </row>
    <row r="251" ht="15" customHeight="1">
      <c r="A251" t="inlineStr">
        <is>
          <t>A 35043-2019</t>
        </is>
      </c>
      <c r="B251" s="1" t="n">
        <v>43661</v>
      </c>
      <c r="C251" s="1" t="n">
        <v>45787</v>
      </c>
      <c r="D251" t="inlineStr">
        <is>
          <t>JÄMTLANDS LÄN</t>
        </is>
      </c>
      <c r="E251" t="inlineStr">
        <is>
          <t>BERG</t>
        </is>
      </c>
      <c r="G251" t="n">
        <v>4</v>
      </c>
      <c r="H251" t="n">
        <v>0</v>
      </c>
      <c r="I251" t="n">
        <v>0</v>
      </c>
      <c r="J251" t="n">
        <v>0</v>
      </c>
      <c r="K251" t="n">
        <v>0</v>
      </c>
      <c r="L251" t="n">
        <v>0</v>
      </c>
      <c r="M251" t="n">
        <v>0</v>
      </c>
      <c r="N251" t="n">
        <v>0</v>
      </c>
      <c r="O251" t="n">
        <v>0</v>
      </c>
      <c r="P251" t="n">
        <v>0</v>
      </c>
      <c r="Q251" t="n">
        <v>0</v>
      </c>
      <c r="R251" s="2" t="inlineStr"/>
    </row>
    <row r="252" ht="15" customHeight="1">
      <c r="A252" t="inlineStr">
        <is>
          <t>A 36375-2019</t>
        </is>
      </c>
      <c r="B252" s="1" t="n">
        <v>43662</v>
      </c>
      <c r="C252" s="1" t="n">
        <v>45787</v>
      </c>
      <c r="D252" t="inlineStr">
        <is>
          <t>JÄMTLANDS LÄN</t>
        </is>
      </c>
      <c r="E252" t="inlineStr">
        <is>
          <t>BERG</t>
        </is>
      </c>
      <c r="G252" t="n">
        <v>1.5</v>
      </c>
      <c r="H252" t="n">
        <v>0</v>
      </c>
      <c r="I252" t="n">
        <v>0</v>
      </c>
      <c r="J252" t="n">
        <v>0</v>
      </c>
      <c r="K252" t="n">
        <v>0</v>
      </c>
      <c r="L252" t="n">
        <v>0</v>
      </c>
      <c r="M252" t="n">
        <v>0</v>
      </c>
      <c r="N252" t="n">
        <v>0</v>
      </c>
      <c r="O252" t="n">
        <v>0</v>
      </c>
      <c r="P252" t="n">
        <v>0</v>
      </c>
      <c r="Q252" t="n">
        <v>0</v>
      </c>
      <c r="R252" s="2" t="inlineStr"/>
    </row>
    <row r="253" ht="15" customHeight="1">
      <c r="A253" t="inlineStr">
        <is>
          <t>A 36702-2019</t>
        </is>
      </c>
      <c r="B253" s="1" t="n">
        <v>43671</v>
      </c>
      <c r="C253" s="1" t="n">
        <v>45787</v>
      </c>
      <c r="D253" t="inlineStr">
        <is>
          <t>JÄMTLANDS LÄN</t>
        </is>
      </c>
      <c r="E253" t="inlineStr">
        <is>
          <t>BERG</t>
        </is>
      </c>
      <c r="F253" t="inlineStr">
        <is>
          <t>SCA</t>
        </is>
      </c>
      <c r="G253" t="n">
        <v>16.6</v>
      </c>
      <c r="H253" t="n">
        <v>0</v>
      </c>
      <c r="I253" t="n">
        <v>0</v>
      </c>
      <c r="J253" t="n">
        <v>0</v>
      </c>
      <c r="K253" t="n">
        <v>0</v>
      </c>
      <c r="L253" t="n">
        <v>0</v>
      </c>
      <c r="M253" t="n">
        <v>0</v>
      </c>
      <c r="N253" t="n">
        <v>0</v>
      </c>
      <c r="O253" t="n">
        <v>0</v>
      </c>
      <c r="P253" t="n">
        <v>0</v>
      </c>
      <c r="Q253" t="n">
        <v>0</v>
      </c>
      <c r="R253" s="2" t="inlineStr"/>
    </row>
    <row r="254" ht="15" customHeight="1">
      <c r="A254" t="inlineStr">
        <is>
          <t>A 37426-2019</t>
        </is>
      </c>
      <c r="B254" s="1" t="n">
        <v>43678</v>
      </c>
      <c r="C254" s="1" t="n">
        <v>45787</v>
      </c>
      <c r="D254" t="inlineStr">
        <is>
          <t>JÄMTLANDS LÄN</t>
        </is>
      </c>
      <c r="E254" t="inlineStr">
        <is>
          <t>BERG</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37890-2019</t>
        </is>
      </c>
      <c r="B255" s="1" t="n">
        <v>43682</v>
      </c>
      <c r="C255" s="1" t="n">
        <v>45787</v>
      </c>
      <c r="D255" t="inlineStr">
        <is>
          <t>JÄMTLANDS LÄN</t>
        </is>
      </c>
      <c r="E255" t="inlineStr">
        <is>
          <t>BERG</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38319-2019</t>
        </is>
      </c>
      <c r="B256" s="1" t="n">
        <v>43684</v>
      </c>
      <c r="C256" s="1" t="n">
        <v>45787</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39128-2019</t>
        </is>
      </c>
      <c r="B257" s="1" t="n">
        <v>43689</v>
      </c>
      <c r="C257" s="1" t="n">
        <v>45787</v>
      </c>
      <c r="D257" t="inlineStr">
        <is>
          <t>JÄMTLANDS LÄN</t>
        </is>
      </c>
      <c r="E257" t="inlineStr">
        <is>
          <t>BERG</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39127-2019</t>
        </is>
      </c>
      <c r="B258" s="1" t="n">
        <v>43689</v>
      </c>
      <c r="C258" s="1" t="n">
        <v>45787</v>
      </c>
      <c r="D258" t="inlineStr">
        <is>
          <t>JÄMTLANDS LÄN</t>
        </is>
      </c>
      <c r="E258" t="inlineStr">
        <is>
          <t>BERG</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39130-2019</t>
        </is>
      </c>
      <c r="B259" s="1" t="n">
        <v>43689</v>
      </c>
      <c r="C259" s="1" t="n">
        <v>45787</v>
      </c>
      <c r="D259" t="inlineStr">
        <is>
          <t>JÄMTLANDS LÄN</t>
        </is>
      </c>
      <c r="E259" t="inlineStr">
        <is>
          <t>BERG</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40478-2019</t>
        </is>
      </c>
      <c r="B260" s="1" t="n">
        <v>43696</v>
      </c>
      <c r="C260" s="1" t="n">
        <v>45787</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40529-2019</t>
        </is>
      </c>
      <c r="B261" s="1" t="n">
        <v>43696</v>
      </c>
      <c r="C261" s="1" t="n">
        <v>45787</v>
      </c>
      <c r="D261" t="inlineStr">
        <is>
          <t>JÄMTLANDS LÄN</t>
        </is>
      </c>
      <c r="E261" t="inlineStr">
        <is>
          <t>BERG</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40479-2019</t>
        </is>
      </c>
      <c r="B262" s="1" t="n">
        <v>43696</v>
      </c>
      <c r="C262" s="1" t="n">
        <v>45787</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40584-2019</t>
        </is>
      </c>
      <c r="B263" s="1" t="n">
        <v>43696</v>
      </c>
      <c r="C263" s="1" t="n">
        <v>45787</v>
      </c>
      <c r="D263" t="inlineStr">
        <is>
          <t>JÄMTLANDS LÄN</t>
        </is>
      </c>
      <c r="E263" t="inlineStr">
        <is>
          <t>BERG</t>
        </is>
      </c>
      <c r="G263" t="n">
        <v>7.1</v>
      </c>
      <c r="H263" t="n">
        <v>0</v>
      </c>
      <c r="I263" t="n">
        <v>0</v>
      </c>
      <c r="J263" t="n">
        <v>0</v>
      </c>
      <c r="K263" t="n">
        <v>0</v>
      </c>
      <c r="L263" t="n">
        <v>0</v>
      </c>
      <c r="M263" t="n">
        <v>0</v>
      </c>
      <c r="N263" t="n">
        <v>0</v>
      </c>
      <c r="O263" t="n">
        <v>0</v>
      </c>
      <c r="P263" t="n">
        <v>0</v>
      </c>
      <c r="Q263" t="n">
        <v>0</v>
      </c>
      <c r="R263" s="2" t="inlineStr"/>
    </row>
    <row r="264" ht="15" customHeight="1">
      <c r="A264" t="inlineStr">
        <is>
          <t>A 41452-2019</t>
        </is>
      </c>
      <c r="B264" s="1" t="n">
        <v>43699</v>
      </c>
      <c r="C264" s="1" t="n">
        <v>45787</v>
      </c>
      <c r="D264" t="inlineStr">
        <is>
          <t>JÄMTLANDS LÄN</t>
        </is>
      </c>
      <c r="E264" t="inlineStr">
        <is>
          <t>BERG</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43210-2019</t>
        </is>
      </c>
      <c r="B265" s="1" t="n">
        <v>43705</v>
      </c>
      <c r="C265" s="1" t="n">
        <v>45787</v>
      </c>
      <c r="D265" t="inlineStr">
        <is>
          <t>JÄMTLANDS LÄN</t>
        </is>
      </c>
      <c r="E265" t="inlineStr">
        <is>
          <t>BERG</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43942-2019</t>
        </is>
      </c>
      <c r="B266" s="1" t="n">
        <v>43707</v>
      </c>
      <c r="C266" s="1" t="n">
        <v>45787</v>
      </c>
      <c r="D266" t="inlineStr">
        <is>
          <t>JÄMTLANDS LÄN</t>
        </is>
      </c>
      <c r="E266" t="inlineStr">
        <is>
          <t>BERG</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44810-2019</t>
        </is>
      </c>
      <c r="B267" s="1" t="n">
        <v>43712</v>
      </c>
      <c r="C267" s="1" t="n">
        <v>45787</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44631-2019</t>
        </is>
      </c>
      <c r="B268" s="1" t="n">
        <v>43712</v>
      </c>
      <c r="C268" s="1" t="n">
        <v>45787</v>
      </c>
      <c r="D268" t="inlineStr">
        <is>
          <t>JÄMTLANDS LÄN</t>
        </is>
      </c>
      <c r="E268" t="inlineStr">
        <is>
          <t>BERG</t>
        </is>
      </c>
      <c r="G268" t="n">
        <v>5.7</v>
      </c>
      <c r="H268" t="n">
        <v>0</v>
      </c>
      <c r="I268" t="n">
        <v>0</v>
      </c>
      <c r="J268" t="n">
        <v>0</v>
      </c>
      <c r="K268" t="n">
        <v>0</v>
      </c>
      <c r="L268" t="n">
        <v>0</v>
      </c>
      <c r="M268" t="n">
        <v>0</v>
      </c>
      <c r="N268" t="n">
        <v>0</v>
      </c>
      <c r="O268" t="n">
        <v>0</v>
      </c>
      <c r="P268" t="n">
        <v>0</v>
      </c>
      <c r="Q268" t="n">
        <v>0</v>
      </c>
      <c r="R268" s="2" t="inlineStr"/>
    </row>
    <row r="269" ht="15" customHeight="1">
      <c r="A269" t="inlineStr">
        <is>
          <t>A 45623-2019</t>
        </is>
      </c>
      <c r="B269" s="1" t="n">
        <v>43717</v>
      </c>
      <c r="C269" s="1" t="n">
        <v>45787</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47918-2019</t>
        </is>
      </c>
      <c r="B270" s="1" t="n">
        <v>43725</v>
      </c>
      <c r="C270" s="1" t="n">
        <v>45787</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50896-2019</t>
        </is>
      </c>
      <c r="B271" s="1" t="n">
        <v>43738</v>
      </c>
      <c r="C271" s="1" t="n">
        <v>45787</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50969-2019</t>
        </is>
      </c>
      <c r="B272" s="1" t="n">
        <v>43738</v>
      </c>
      <c r="C272" s="1" t="n">
        <v>45787</v>
      </c>
      <c r="D272" t="inlineStr">
        <is>
          <t>JÄMTLANDS LÄN</t>
        </is>
      </c>
      <c r="E272" t="inlineStr">
        <is>
          <t>BERG</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51206-2019</t>
        </is>
      </c>
      <c r="B273" s="1" t="n">
        <v>43739</v>
      </c>
      <c r="C273" s="1" t="n">
        <v>45787</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53415-2019</t>
        </is>
      </c>
      <c r="B274" s="1" t="n">
        <v>43740</v>
      </c>
      <c r="C274" s="1" t="n">
        <v>45787</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52470-2019</t>
        </is>
      </c>
      <c r="B275" s="1" t="n">
        <v>43745</v>
      </c>
      <c r="C275" s="1" t="n">
        <v>45787</v>
      </c>
      <c r="D275" t="inlineStr">
        <is>
          <t>JÄMTLANDS LÄN</t>
        </is>
      </c>
      <c r="E275" t="inlineStr">
        <is>
          <t>BERG</t>
        </is>
      </c>
      <c r="G275" t="n">
        <v>5.4</v>
      </c>
      <c r="H275" t="n">
        <v>0</v>
      </c>
      <c r="I275" t="n">
        <v>0</v>
      </c>
      <c r="J275" t="n">
        <v>0</v>
      </c>
      <c r="K275" t="n">
        <v>0</v>
      </c>
      <c r="L275" t="n">
        <v>0</v>
      </c>
      <c r="M275" t="n">
        <v>0</v>
      </c>
      <c r="N275" t="n">
        <v>0</v>
      </c>
      <c r="O275" t="n">
        <v>0</v>
      </c>
      <c r="P275" t="n">
        <v>0</v>
      </c>
      <c r="Q275" t="n">
        <v>0</v>
      </c>
      <c r="R275" s="2" t="inlineStr"/>
    </row>
    <row r="276" ht="15" customHeight="1">
      <c r="A276" t="inlineStr">
        <is>
          <t>A 52985-2019</t>
        </is>
      </c>
      <c r="B276" s="1" t="n">
        <v>43747</v>
      </c>
      <c r="C276" s="1" t="n">
        <v>45787</v>
      </c>
      <c r="D276" t="inlineStr">
        <is>
          <t>JÄMTLANDS LÄN</t>
        </is>
      </c>
      <c r="E276" t="inlineStr">
        <is>
          <t>BERG</t>
        </is>
      </c>
      <c r="G276" t="n">
        <v>8.4</v>
      </c>
      <c r="H276" t="n">
        <v>0</v>
      </c>
      <c r="I276" t="n">
        <v>0</v>
      </c>
      <c r="J276" t="n">
        <v>0</v>
      </c>
      <c r="K276" t="n">
        <v>0</v>
      </c>
      <c r="L276" t="n">
        <v>0</v>
      </c>
      <c r="M276" t="n">
        <v>0</v>
      </c>
      <c r="N276" t="n">
        <v>0</v>
      </c>
      <c r="O276" t="n">
        <v>0</v>
      </c>
      <c r="P276" t="n">
        <v>0</v>
      </c>
      <c r="Q276" t="n">
        <v>0</v>
      </c>
      <c r="R276" s="2" t="inlineStr"/>
    </row>
    <row r="277" ht="15" customHeight="1">
      <c r="A277" t="inlineStr">
        <is>
          <t>A 54594-2019</t>
        </is>
      </c>
      <c r="B277" s="1" t="n">
        <v>43754</v>
      </c>
      <c r="C277" s="1" t="n">
        <v>45787</v>
      </c>
      <c r="D277" t="inlineStr">
        <is>
          <t>JÄMTLANDS LÄN</t>
        </is>
      </c>
      <c r="E277" t="inlineStr">
        <is>
          <t>BERG</t>
        </is>
      </c>
      <c r="G277" t="n">
        <v>3.9</v>
      </c>
      <c r="H277" t="n">
        <v>0</v>
      </c>
      <c r="I277" t="n">
        <v>0</v>
      </c>
      <c r="J277" t="n">
        <v>0</v>
      </c>
      <c r="K277" t="n">
        <v>0</v>
      </c>
      <c r="L277" t="n">
        <v>0</v>
      </c>
      <c r="M277" t="n">
        <v>0</v>
      </c>
      <c r="N277" t="n">
        <v>0</v>
      </c>
      <c r="O277" t="n">
        <v>0</v>
      </c>
      <c r="P277" t="n">
        <v>0</v>
      </c>
      <c r="Q277" t="n">
        <v>0</v>
      </c>
      <c r="R277" s="2" t="inlineStr"/>
    </row>
    <row r="278" ht="15" customHeight="1">
      <c r="A278" t="inlineStr">
        <is>
          <t>A 55611-2019</t>
        </is>
      </c>
      <c r="B278" s="1" t="n">
        <v>43760</v>
      </c>
      <c r="C278" s="1" t="n">
        <v>45787</v>
      </c>
      <c r="D278" t="inlineStr">
        <is>
          <t>JÄMTLANDS LÄN</t>
        </is>
      </c>
      <c r="E278" t="inlineStr">
        <is>
          <t>BERG</t>
        </is>
      </c>
      <c r="G278" t="n">
        <v>10</v>
      </c>
      <c r="H278" t="n">
        <v>0</v>
      </c>
      <c r="I278" t="n">
        <v>0</v>
      </c>
      <c r="J278" t="n">
        <v>0</v>
      </c>
      <c r="K278" t="n">
        <v>0</v>
      </c>
      <c r="L278" t="n">
        <v>0</v>
      </c>
      <c r="M278" t="n">
        <v>0</v>
      </c>
      <c r="N278" t="n">
        <v>0</v>
      </c>
      <c r="O278" t="n">
        <v>0</v>
      </c>
      <c r="P278" t="n">
        <v>0</v>
      </c>
      <c r="Q278" t="n">
        <v>0</v>
      </c>
      <c r="R278" s="2" t="inlineStr"/>
    </row>
    <row r="279" ht="15" customHeight="1">
      <c r="A279" t="inlineStr">
        <is>
          <t>A 55678-2019</t>
        </is>
      </c>
      <c r="B279" s="1" t="n">
        <v>43760</v>
      </c>
      <c r="C279" s="1" t="n">
        <v>45787</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58364-2019</t>
        </is>
      </c>
      <c r="B280" s="1" t="n">
        <v>43770</v>
      </c>
      <c r="C280" s="1" t="n">
        <v>45787</v>
      </c>
      <c r="D280" t="inlineStr">
        <is>
          <t>JÄMTLANDS LÄN</t>
        </is>
      </c>
      <c r="E280" t="inlineStr">
        <is>
          <t>BERG</t>
        </is>
      </c>
      <c r="G280" t="n">
        <v>4.8</v>
      </c>
      <c r="H280" t="n">
        <v>0</v>
      </c>
      <c r="I280" t="n">
        <v>0</v>
      </c>
      <c r="J280" t="n">
        <v>0</v>
      </c>
      <c r="K280" t="n">
        <v>0</v>
      </c>
      <c r="L280" t="n">
        <v>0</v>
      </c>
      <c r="M280" t="n">
        <v>0</v>
      </c>
      <c r="N280" t="n">
        <v>0</v>
      </c>
      <c r="O280" t="n">
        <v>0</v>
      </c>
      <c r="P280" t="n">
        <v>0</v>
      </c>
      <c r="Q280" t="n">
        <v>0</v>
      </c>
      <c r="R280" s="2" t="inlineStr"/>
    </row>
    <row r="281" ht="15" customHeight="1">
      <c r="A281" t="inlineStr">
        <is>
          <t>A 58361-2019</t>
        </is>
      </c>
      <c r="B281" s="1" t="n">
        <v>43770</v>
      </c>
      <c r="C281" s="1" t="n">
        <v>45787</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62908-2019</t>
        </is>
      </c>
      <c r="B282" s="1" t="n">
        <v>43783</v>
      </c>
      <c r="C282" s="1" t="n">
        <v>45787</v>
      </c>
      <c r="D282" t="inlineStr">
        <is>
          <t>JÄMTLANDS LÄN</t>
        </is>
      </c>
      <c r="E282" t="inlineStr">
        <is>
          <t>BERG</t>
        </is>
      </c>
      <c r="G282" t="n">
        <v>1.7</v>
      </c>
      <c r="H282" t="n">
        <v>0</v>
      </c>
      <c r="I282" t="n">
        <v>0</v>
      </c>
      <c r="J282" t="n">
        <v>0</v>
      </c>
      <c r="K282" t="n">
        <v>0</v>
      </c>
      <c r="L282" t="n">
        <v>0</v>
      </c>
      <c r="M282" t="n">
        <v>0</v>
      </c>
      <c r="N282" t="n">
        <v>0</v>
      </c>
      <c r="O282" t="n">
        <v>0</v>
      </c>
      <c r="P282" t="n">
        <v>0</v>
      </c>
      <c r="Q282" t="n">
        <v>0</v>
      </c>
      <c r="R282" s="2" t="inlineStr"/>
    </row>
    <row r="283" ht="15" customHeight="1">
      <c r="A283" t="inlineStr">
        <is>
          <t>A 62943-2019</t>
        </is>
      </c>
      <c r="B283" s="1" t="n">
        <v>43783</v>
      </c>
      <c r="C283" s="1" t="n">
        <v>45787</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62973-2019</t>
        </is>
      </c>
      <c r="B284" s="1" t="n">
        <v>43790</v>
      </c>
      <c r="C284" s="1" t="n">
        <v>45787</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63144-2019</t>
        </is>
      </c>
      <c r="B285" s="1" t="n">
        <v>43791</v>
      </c>
      <c r="C285" s="1" t="n">
        <v>45787</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65893-2019</t>
        </is>
      </c>
      <c r="B286" s="1" t="n">
        <v>43805</v>
      </c>
      <c r="C286" s="1" t="n">
        <v>45787</v>
      </c>
      <c r="D286" t="inlineStr">
        <is>
          <t>JÄMTLANDS LÄN</t>
        </is>
      </c>
      <c r="E286" t="inlineStr">
        <is>
          <t>BERG</t>
        </is>
      </c>
      <c r="G286" t="n">
        <v>6.7</v>
      </c>
      <c r="H286" t="n">
        <v>0</v>
      </c>
      <c r="I286" t="n">
        <v>0</v>
      </c>
      <c r="J286" t="n">
        <v>0</v>
      </c>
      <c r="K286" t="n">
        <v>0</v>
      </c>
      <c r="L286" t="n">
        <v>0</v>
      </c>
      <c r="M286" t="n">
        <v>0</v>
      </c>
      <c r="N286" t="n">
        <v>0</v>
      </c>
      <c r="O286" t="n">
        <v>0</v>
      </c>
      <c r="P286" t="n">
        <v>0</v>
      </c>
      <c r="Q286" t="n">
        <v>0</v>
      </c>
      <c r="R286" s="2" t="inlineStr"/>
    </row>
    <row r="287" ht="15" customHeight="1">
      <c r="A287" t="inlineStr">
        <is>
          <t>A 66275-2019</t>
        </is>
      </c>
      <c r="B287" s="1" t="n">
        <v>43808</v>
      </c>
      <c r="C287" s="1" t="n">
        <v>45787</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67556-2019</t>
        </is>
      </c>
      <c r="B288" s="1" t="n">
        <v>43808</v>
      </c>
      <c r="C288" s="1" t="n">
        <v>45787</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67898-2019</t>
        </is>
      </c>
      <c r="B289" s="1" t="n">
        <v>43811</v>
      </c>
      <c r="C289" s="1" t="n">
        <v>45787</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67225-2019</t>
        </is>
      </c>
      <c r="B290" s="1" t="n">
        <v>43811</v>
      </c>
      <c r="C290" s="1" t="n">
        <v>45787</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67255-2019</t>
        </is>
      </c>
      <c r="B291" s="1" t="n">
        <v>43812</v>
      </c>
      <c r="C291" s="1" t="n">
        <v>45787</v>
      </c>
      <c r="D291" t="inlineStr">
        <is>
          <t>JÄMTLANDS LÄN</t>
        </is>
      </c>
      <c r="E291" t="inlineStr">
        <is>
          <t>BERG</t>
        </is>
      </c>
      <c r="G291" t="n">
        <v>14.7</v>
      </c>
      <c r="H291" t="n">
        <v>0</v>
      </c>
      <c r="I291" t="n">
        <v>0</v>
      </c>
      <c r="J291" t="n">
        <v>0</v>
      </c>
      <c r="K291" t="n">
        <v>0</v>
      </c>
      <c r="L291" t="n">
        <v>0</v>
      </c>
      <c r="M291" t="n">
        <v>0</v>
      </c>
      <c r="N291" t="n">
        <v>0</v>
      </c>
      <c r="O291" t="n">
        <v>0</v>
      </c>
      <c r="P291" t="n">
        <v>0</v>
      </c>
      <c r="Q291" t="n">
        <v>0</v>
      </c>
      <c r="R291" s="2" t="inlineStr"/>
    </row>
    <row r="292" ht="15" customHeight="1">
      <c r="A292" t="inlineStr">
        <is>
          <t>A 152-2020</t>
        </is>
      </c>
      <c r="B292" s="1" t="n">
        <v>43833</v>
      </c>
      <c r="C292" s="1" t="n">
        <v>45787</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3389-2020</t>
        </is>
      </c>
      <c r="B293" s="1" t="n">
        <v>43844</v>
      </c>
      <c r="C293" s="1" t="n">
        <v>45787</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3321-2020</t>
        </is>
      </c>
      <c r="B294" s="1" t="n">
        <v>43844</v>
      </c>
      <c r="C294" s="1" t="n">
        <v>45787</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5556-2020</t>
        </is>
      </c>
      <c r="B295" s="1" t="n">
        <v>43860</v>
      </c>
      <c r="C295" s="1" t="n">
        <v>45787</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6333-2020</t>
        </is>
      </c>
      <c r="B296" s="1" t="n">
        <v>43866</v>
      </c>
      <c r="C296" s="1" t="n">
        <v>45787</v>
      </c>
      <c r="D296" t="inlineStr">
        <is>
          <t>JÄMTLANDS LÄN</t>
        </is>
      </c>
      <c r="E296" t="inlineStr">
        <is>
          <t>BERG</t>
        </is>
      </c>
      <c r="G296" t="n">
        <v>7.8</v>
      </c>
      <c r="H296" t="n">
        <v>0</v>
      </c>
      <c r="I296" t="n">
        <v>0</v>
      </c>
      <c r="J296" t="n">
        <v>0</v>
      </c>
      <c r="K296" t="n">
        <v>0</v>
      </c>
      <c r="L296" t="n">
        <v>0</v>
      </c>
      <c r="M296" t="n">
        <v>0</v>
      </c>
      <c r="N296" t="n">
        <v>0</v>
      </c>
      <c r="O296" t="n">
        <v>0</v>
      </c>
      <c r="P296" t="n">
        <v>0</v>
      </c>
      <c r="Q296" t="n">
        <v>0</v>
      </c>
      <c r="R296" s="2" t="inlineStr"/>
    </row>
    <row r="297" ht="15" customHeight="1">
      <c r="A297" t="inlineStr">
        <is>
          <t>A 7228-2020</t>
        </is>
      </c>
      <c r="B297" s="1" t="n">
        <v>43871</v>
      </c>
      <c r="C297" s="1" t="n">
        <v>45787</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8715-2020</t>
        </is>
      </c>
      <c r="B298" s="1" t="n">
        <v>43878</v>
      </c>
      <c r="C298" s="1" t="n">
        <v>45787</v>
      </c>
      <c r="D298" t="inlineStr">
        <is>
          <t>JÄMTLANDS LÄN</t>
        </is>
      </c>
      <c r="E298" t="inlineStr">
        <is>
          <t>BERG</t>
        </is>
      </c>
      <c r="G298" t="n">
        <v>11.1</v>
      </c>
      <c r="H298" t="n">
        <v>0</v>
      </c>
      <c r="I298" t="n">
        <v>0</v>
      </c>
      <c r="J298" t="n">
        <v>0</v>
      </c>
      <c r="K298" t="n">
        <v>0</v>
      </c>
      <c r="L298" t="n">
        <v>0</v>
      </c>
      <c r="M298" t="n">
        <v>0</v>
      </c>
      <c r="N298" t="n">
        <v>0</v>
      </c>
      <c r="O298" t="n">
        <v>0</v>
      </c>
      <c r="P298" t="n">
        <v>0</v>
      </c>
      <c r="Q298" t="n">
        <v>0</v>
      </c>
      <c r="R298" s="2" t="inlineStr"/>
    </row>
    <row r="299" ht="15" customHeight="1">
      <c r="A299" t="inlineStr">
        <is>
          <t>A 9627-2020</t>
        </is>
      </c>
      <c r="B299" s="1" t="n">
        <v>43881</v>
      </c>
      <c r="C299" s="1" t="n">
        <v>45787</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9670-2020</t>
        </is>
      </c>
      <c r="B300" s="1" t="n">
        <v>43881</v>
      </c>
      <c r="C300" s="1" t="n">
        <v>45787</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10715-2020</t>
        </is>
      </c>
      <c r="B301" s="1" t="n">
        <v>43888</v>
      </c>
      <c r="C301" s="1" t="n">
        <v>45787</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11788-2020</t>
        </is>
      </c>
      <c r="B302" s="1" t="n">
        <v>43894</v>
      </c>
      <c r="C302" s="1" t="n">
        <v>45787</v>
      </c>
      <c r="D302" t="inlineStr">
        <is>
          <t>JÄMTLANDS LÄN</t>
        </is>
      </c>
      <c r="E302" t="inlineStr">
        <is>
          <t>BERG</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11825-2020</t>
        </is>
      </c>
      <c r="B303" s="1" t="n">
        <v>43894</v>
      </c>
      <c r="C303" s="1" t="n">
        <v>45787</v>
      </c>
      <c r="D303" t="inlineStr">
        <is>
          <t>JÄMTLANDS LÄN</t>
        </is>
      </c>
      <c r="E303" t="inlineStr">
        <is>
          <t>BERG</t>
        </is>
      </c>
      <c r="F303" t="inlineStr">
        <is>
          <t>Holmen skog AB</t>
        </is>
      </c>
      <c r="G303" t="n">
        <v>17.7</v>
      </c>
      <c r="H303" t="n">
        <v>0</v>
      </c>
      <c r="I303" t="n">
        <v>0</v>
      </c>
      <c r="J303" t="n">
        <v>0</v>
      </c>
      <c r="K303" t="n">
        <v>0</v>
      </c>
      <c r="L303" t="n">
        <v>0</v>
      </c>
      <c r="M303" t="n">
        <v>0</v>
      </c>
      <c r="N303" t="n">
        <v>0</v>
      </c>
      <c r="O303" t="n">
        <v>0</v>
      </c>
      <c r="P303" t="n">
        <v>0</v>
      </c>
      <c r="Q303" t="n">
        <v>0</v>
      </c>
      <c r="R303" s="2" t="inlineStr"/>
    </row>
    <row r="304" ht="15" customHeight="1">
      <c r="A304" t="inlineStr">
        <is>
          <t>A 11890-2020</t>
        </is>
      </c>
      <c r="B304" s="1" t="n">
        <v>43894</v>
      </c>
      <c r="C304" s="1" t="n">
        <v>45787</v>
      </c>
      <c r="D304" t="inlineStr">
        <is>
          <t>JÄMTLANDS LÄN</t>
        </is>
      </c>
      <c r="E304" t="inlineStr">
        <is>
          <t>BERG</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11785-2020</t>
        </is>
      </c>
      <c r="B305" s="1" t="n">
        <v>43894</v>
      </c>
      <c r="C305" s="1" t="n">
        <v>45787</v>
      </c>
      <c r="D305" t="inlineStr">
        <is>
          <t>JÄMTLANDS LÄN</t>
        </is>
      </c>
      <c r="E305" t="inlineStr">
        <is>
          <t>BERG</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14854-2020</t>
        </is>
      </c>
      <c r="B306" s="1" t="n">
        <v>43909</v>
      </c>
      <c r="C306" s="1" t="n">
        <v>45787</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18047-2020</t>
        </is>
      </c>
      <c r="B307" s="1" t="n">
        <v>43927</v>
      </c>
      <c r="C307" s="1" t="n">
        <v>45787</v>
      </c>
      <c r="D307" t="inlineStr">
        <is>
          <t>JÄMTLANDS LÄN</t>
        </is>
      </c>
      <c r="E307" t="inlineStr">
        <is>
          <t>BERG</t>
        </is>
      </c>
      <c r="G307" t="n">
        <v>15.8</v>
      </c>
      <c r="H307" t="n">
        <v>0</v>
      </c>
      <c r="I307" t="n">
        <v>0</v>
      </c>
      <c r="J307" t="n">
        <v>0</v>
      </c>
      <c r="K307" t="n">
        <v>0</v>
      </c>
      <c r="L307" t="n">
        <v>0</v>
      </c>
      <c r="M307" t="n">
        <v>0</v>
      </c>
      <c r="N307" t="n">
        <v>0</v>
      </c>
      <c r="O307" t="n">
        <v>0</v>
      </c>
      <c r="P307" t="n">
        <v>0</v>
      </c>
      <c r="Q307" t="n">
        <v>0</v>
      </c>
      <c r="R307" s="2" t="inlineStr"/>
    </row>
    <row r="308" ht="15" customHeight="1">
      <c r="A308" t="inlineStr">
        <is>
          <t>A 18613-2020</t>
        </is>
      </c>
      <c r="B308" s="1" t="n">
        <v>43929</v>
      </c>
      <c r="C308" s="1" t="n">
        <v>45787</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19531-2020</t>
        </is>
      </c>
      <c r="B309" s="1" t="n">
        <v>43940</v>
      </c>
      <c r="C309" s="1" t="n">
        <v>45787</v>
      </c>
      <c r="D309" t="inlineStr">
        <is>
          <t>JÄMTLANDS LÄN</t>
        </is>
      </c>
      <c r="E309" t="inlineStr">
        <is>
          <t>BERG</t>
        </is>
      </c>
      <c r="G309" t="n">
        <v>4.2</v>
      </c>
      <c r="H309" t="n">
        <v>0</v>
      </c>
      <c r="I309" t="n">
        <v>0</v>
      </c>
      <c r="J309" t="n">
        <v>0</v>
      </c>
      <c r="K309" t="n">
        <v>0</v>
      </c>
      <c r="L309" t="n">
        <v>0</v>
      </c>
      <c r="M309" t="n">
        <v>0</v>
      </c>
      <c r="N309" t="n">
        <v>0</v>
      </c>
      <c r="O309" t="n">
        <v>0</v>
      </c>
      <c r="P309" t="n">
        <v>0</v>
      </c>
      <c r="Q309" t="n">
        <v>0</v>
      </c>
      <c r="R309" s="2" t="inlineStr"/>
    </row>
    <row r="310" ht="15" customHeight="1">
      <c r="A310" t="inlineStr">
        <is>
          <t>A 19532-2020</t>
        </is>
      </c>
      <c r="B310" s="1" t="n">
        <v>43941</v>
      </c>
      <c r="C310" s="1" t="n">
        <v>45787</v>
      </c>
      <c r="D310" t="inlineStr">
        <is>
          <t>JÄMTLANDS LÄN</t>
        </is>
      </c>
      <c r="E310" t="inlineStr">
        <is>
          <t>BERG</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20745-2020</t>
        </is>
      </c>
      <c r="B311" s="1" t="n">
        <v>43949</v>
      </c>
      <c r="C311" s="1" t="n">
        <v>45787</v>
      </c>
      <c r="D311" t="inlineStr">
        <is>
          <t>JÄMTLANDS LÄN</t>
        </is>
      </c>
      <c r="E311" t="inlineStr">
        <is>
          <t>BERG</t>
        </is>
      </c>
      <c r="G311" t="n">
        <v>9.1</v>
      </c>
      <c r="H311" t="n">
        <v>0</v>
      </c>
      <c r="I311" t="n">
        <v>0</v>
      </c>
      <c r="J311" t="n">
        <v>0</v>
      </c>
      <c r="K311" t="n">
        <v>0</v>
      </c>
      <c r="L311" t="n">
        <v>0</v>
      </c>
      <c r="M311" t="n">
        <v>0</v>
      </c>
      <c r="N311" t="n">
        <v>0</v>
      </c>
      <c r="O311" t="n">
        <v>0</v>
      </c>
      <c r="P311" t="n">
        <v>0</v>
      </c>
      <c r="Q311" t="n">
        <v>0</v>
      </c>
      <c r="R311" s="2" t="inlineStr"/>
    </row>
    <row r="312" ht="15" customHeight="1">
      <c r="A312" t="inlineStr">
        <is>
          <t>A 23490-2020</t>
        </is>
      </c>
      <c r="B312" s="1" t="n">
        <v>43966</v>
      </c>
      <c r="C312" s="1" t="n">
        <v>45787</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24292-2020</t>
        </is>
      </c>
      <c r="B313" s="1" t="n">
        <v>43976</v>
      </c>
      <c r="C313" s="1" t="n">
        <v>45787</v>
      </c>
      <c r="D313" t="inlineStr">
        <is>
          <t>JÄMTLANDS LÄN</t>
        </is>
      </c>
      <c r="E313" t="inlineStr">
        <is>
          <t>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24932-2020</t>
        </is>
      </c>
      <c r="B314" s="1" t="n">
        <v>43979</v>
      </c>
      <c r="C314" s="1" t="n">
        <v>45787</v>
      </c>
      <c r="D314" t="inlineStr">
        <is>
          <t>JÄMTLANDS LÄN</t>
        </is>
      </c>
      <c r="E314" t="inlineStr">
        <is>
          <t>BERG</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25017-2020</t>
        </is>
      </c>
      <c r="B315" s="1" t="n">
        <v>43979</v>
      </c>
      <c r="C315" s="1" t="n">
        <v>45787</v>
      </c>
      <c r="D315" t="inlineStr">
        <is>
          <t>JÄMTLANDS LÄN</t>
        </is>
      </c>
      <c r="E315" t="inlineStr">
        <is>
          <t>BERG</t>
        </is>
      </c>
      <c r="G315" t="n">
        <v>6.3</v>
      </c>
      <c r="H315" t="n">
        <v>0</v>
      </c>
      <c r="I315" t="n">
        <v>0</v>
      </c>
      <c r="J315" t="n">
        <v>0</v>
      </c>
      <c r="K315" t="n">
        <v>0</v>
      </c>
      <c r="L315" t="n">
        <v>0</v>
      </c>
      <c r="M315" t="n">
        <v>0</v>
      </c>
      <c r="N315" t="n">
        <v>0</v>
      </c>
      <c r="O315" t="n">
        <v>0</v>
      </c>
      <c r="P315" t="n">
        <v>0</v>
      </c>
      <c r="Q315" t="n">
        <v>0</v>
      </c>
      <c r="R315" s="2" t="inlineStr"/>
    </row>
    <row r="316" ht="15" customHeight="1">
      <c r="A316" t="inlineStr">
        <is>
          <t>A 25978-2020</t>
        </is>
      </c>
      <c r="B316" s="1" t="n">
        <v>43985</v>
      </c>
      <c r="C316" s="1" t="n">
        <v>45787</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25993-2020</t>
        </is>
      </c>
      <c r="B317" s="1" t="n">
        <v>43985</v>
      </c>
      <c r="C317" s="1" t="n">
        <v>45787</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25984-2020</t>
        </is>
      </c>
      <c r="B318" s="1" t="n">
        <v>43985</v>
      </c>
      <c r="C318" s="1" t="n">
        <v>45787</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26175-2020</t>
        </is>
      </c>
      <c r="B319" s="1" t="n">
        <v>43985</v>
      </c>
      <c r="C319" s="1" t="n">
        <v>45787</v>
      </c>
      <c r="D319" t="inlineStr">
        <is>
          <t>JÄMTLANDS LÄN</t>
        </is>
      </c>
      <c r="E319" t="inlineStr">
        <is>
          <t>BERG</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25975-2020</t>
        </is>
      </c>
      <c r="B320" s="1" t="n">
        <v>43985</v>
      </c>
      <c r="C320" s="1" t="n">
        <v>45787</v>
      </c>
      <c r="D320" t="inlineStr">
        <is>
          <t>JÄMTLANDS LÄN</t>
        </is>
      </c>
      <c r="E320" t="inlineStr">
        <is>
          <t>BERG</t>
        </is>
      </c>
      <c r="G320" t="n">
        <v>5.4</v>
      </c>
      <c r="H320" t="n">
        <v>0</v>
      </c>
      <c r="I320" t="n">
        <v>0</v>
      </c>
      <c r="J320" t="n">
        <v>0</v>
      </c>
      <c r="K320" t="n">
        <v>0</v>
      </c>
      <c r="L320" t="n">
        <v>0</v>
      </c>
      <c r="M320" t="n">
        <v>0</v>
      </c>
      <c r="N320" t="n">
        <v>0</v>
      </c>
      <c r="O320" t="n">
        <v>0</v>
      </c>
      <c r="P320" t="n">
        <v>0</v>
      </c>
      <c r="Q320" t="n">
        <v>0</v>
      </c>
      <c r="R320" s="2" t="inlineStr"/>
    </row>
    <row r="321" ht="15" customHeight="1">
      <c r="A321" t="inlineStr">
        <is>
          <t>A 28767-2020</t>
        </is>
      </c>
      <c r="B321" s="1" t="n">
        <v>44000</v>
      </c>
      <c r="C321" s="1" t="n">
        <v>45787</v>
      </c>
      <c r="D321" t="inlineStr">
        <is>
          <t>JÄMTLANDS LÄN</t>
        </is>
      </c>
      <c r="E321" t="inlineStr">
        <is>
          <t>BERG</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28961-2020</t>
        </is>
      </c>
      <c r="B322" s="1" t="n">
        <v>44000</v>
      </c>
      <c r="C322" s="1" t="n">
        <v>45787</v>
      </c>
      <c r="D322" t="inlineStr">
        <is>
          <t>JÄMTLANDS LÄN</t>
        </is>
      </c>
      <c r="E322" t="inlineStr">
        <is>
          <t>BERG</t>
        </is>
      </c>
      <c r="G322" t="n">
        <v>7.6</v>
      </c>
      <c r="H322" t="n">
        <v>0</v>
      </c>
      <c r="I322" t="n">
        <v>0</v>
      </c>
      <c r="J322" t="n">
        <v>0</v>
      </c>
      <c r="K322" t="n">
        <v>0</v>
      </c>
      <c r="L322" t="n">
        <v>0</v>
      </c>
      <c r="M322" t="n">
        <v>0</v>
      </c>
      <c r="N322" t="n">
        <v>0</v>
      </c>
      <c r="O322" t="n">
        <v>0</v>
      </c>
      <c r="P322" t="n">
        <v>0</v>
      </c>
      <c r="Q322" t="n">
        <v>0</v>
      </c>
      <c r="R322" s="2" t="inlineStr"/>
    </row>
    <row r="323" ht="15" customHeight="1">
      <c r="A323" t="inlineStr">
        <is>
          <t>A 29004-2020</t>
        </is>
      </c>
      <c r="B323" s="1" t="n">
        <v>44000</v>
      </c>
      <c r="C323" s="1" t="n">
        <v>45787</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29052-2020</t>
        </is>
      </c>
      <c r="B324" s="1" t="n">
        <v>44000</v>
      </c>
      <c r="C324" s="1" t="n">
        <v>45787</v>
      </c>
      <c r="D324" t="inlineStr">
        <is>
          <t>JÄMTLANDS LÄN</t>
        </is>
      </c>
      <c r="E324" t="inlineStr">
        <is>
          <t>BERG</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29788-2020</t>
        </is>
      </c>
      <c r="B325" s="1" t="n">
        <v>44005</v>
      </c>
      <c r="C325" s="1" t="n">
        <v>45787</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30477-2020</t>
        </is>
      </c>
      <c r="B326" s="1" t="n">
        <v>44007</v>
      </c>
      <c r="C326" s="1" t="n">
        <v>45787</v>
      </c>
      <c r="D326" t="inlineStr">
        <is>
          <t>JÄMTLANDS LÄN</t>
        </is>
      </c>
      <c r="E326" t="inlineStr">
        <is>
          <t>BERG</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31970-2020</t>
        </is>
      </c>
      <c r="B327" s="1" t="n">
        <v>44015</v>
      </c>
      <c r="C327" s="1" t="n">
        <v>45787</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32744-2020</t>
        </is>
      </c>
      <c r="B328" s="1" t="n">
        <v>44019</v>
      </c>
      <c r="C328" s="1" t="n">
        <v>45787</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33885-2020</t>
        </is>
      </c>
      <c r="B329" s="1" t="n">
        <v>44027</v>
      </c>
      <c r="C329" s="1" t="n">
        <v>45787</v>
      </c>
      <c r="D329" t="inlineStr">
        <is>
          <t>JÄMTLANDS LÄN</t>
        </is>
      </c>
      <c r="E329" t="inlineStr">
        <is>
          <t>BERG</t>
        </is>
      </c>
      <c r="G329" t="n">
        <v>7.2</v>
      </c>
      <c r="H329" t="n">
        <v>0</v>
      </c>
      <c r="I329" t="n">
        <v>0</v>
      </c>
      <c r="J329" t="n">
        <v>0</v>
      </c>
      <c r="K329" t="n">
        <v>0</v>
      </c>
      <c r="L329" t="n">
        <v>0</v>
      </c>
      <c r="M329" t="n">
        <v>0</v>
      </c>
      <c r="N329" t="n">
        <v>0</v>
      </c>
      <c r="O329" t="n">
        <v>0</v>
      </c>
      <c r="P329" t="n">
        <v>0</v>
      </c>
      <c r="Q329" t="n">
        <v>0</v>
      </c>
      <c r="R329" s="2" t="inlineStr"/>
    </row>
    <row r="330" ht="15" customHeight="1">
      <c r="A330" t="inlineStr">
        <is>
          <t>A 34584-2020</t>
        </is>
      </c>
      <c r="B330" s="1" t="n">
        <v>44033</v>
      </c>
      <c r="C330" s="1" t="n">
        <v>45787</v>
      </c>
      <c r="D330" t="inlineStr">
        <is>
          <t>JÄMTLANDS LÄN</t>
        </is>
      </c>
      <c r="E330" t="inlineStr">
        <is>
          <t>BERG</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34581-2020</t>
        </is>
      </c>
      <c r="B331" s="1" t="n">
        <v>44033</v>
      </c>
      <c r="C331" s="1" t="n">
        <v>45787</v>
      </c>
      <c r="D331" t="inlineStr">
        <is>
          <t>JÄMTLANDS LÄN</t>
        </is>
      </c>
      <c r="E331" t="inlineStr">
        <is>
          <t>BERG</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34738-2020</t>
        </is>
      </c>
      <c r="B332" s="1" t="n">
        <v>44035</v>
      </c>
      <c r="C332" s="1" t="n">
        <v>45787</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34804-2020</t>
        </is>
      </c>
      <c r="B333" s="1" t="n">
        <v>44036</v>
      </c>
      <c r="C333" s="1" t="n">
        <v>45787</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35620-2020</t>
        </is>
      </c>
      <c r="B334" s="1" t="n">
        <v>44045</v>
      </c>
      <c r="C334" s="1" t="n">
        <v>45787</v>
      </c>
      <c r="D334" t="inlineStr">
        <is>
          <t>JÄMTLANDS LÄN</t>
        </is>
      </c>
      <c r="E334" t="inlineStr">
        <is>
          <t>BERG</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38077-2020</t>
        </is>
      </c>
      <c r="B335" s="1" t="n">
        <v>44057</v>
      </c>
      <c r="C335" s="1" t="n">
        <v>45787</v>
      </c>
      <c r="D335" t="inlineStr">
        <is>
          <t>JÄMTLANDS LÄN</t>
        </is>
      </c>
      <c r="E335" t="inlineStr">
        <is>
          <t>BERG</t>
        </is>
      </c>
      <c r="G335" t="n">
        <v>0.5</v>
      </c>
      <c r="H335" t="n">
        <v>0</v>
      </c>
      <c r="I335" t="n">
        <v>0</v>
      </c>
      <c r="J335" t="n">
        <v>0</v>
      </c>
      <c r="K335" t="n">
        <v>0</v>
      </c>
      <c r="L335" t="n">
        <v>0</v>
      </c>
      <c r="M335" t="n">
        <v>0</v>
      </c>
      <c r="N335" t="n">
        <v>0</v>
      </c>
      <c r="O335" t="n">
        <v>0</v>
      </c>
      <c r="P335" t="n">
        <v>0</v>
      </c>
      <c r="Q335" t="n">
        <v>0</v>
      </c>
      <c r="R335" s="2" t="inlineStr"/>
    </row>
    <row r="336" ht="15" customHeight="1">
      <c r="A336" t="inlineStr">
        <is>
          <t>A 39137-2020</t>
        </is>
      </c>
      <c r="B336" s="1" t="n">
        <v>44062</v>
      </c>
      <c r="C336" s="1" t="n">
        <v>45787</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39220-2020</t>
        </is>
      </c>
      <c r="B337" s="1" t="n">
        <v>44063</v>
      </c>
      <c r="C337" s="1" t="n">
        <v>45787</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39200-2020</t>
        </is>
      </c>
      <c r="B338" s="1" t="n">
        <v>44063</v>
      </c>
      <c r="C338" s="1" t="n">
        <v>45787</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39212-2020</t>
        </is>
      </c>
      <c r="B339" s="1" t="n">
        <v>44063</v>
      </c>
      <c r="C339" s="1" t="n">
        <v>45787</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39228-2020</t>
        </is>
      </c>
      <c r="B340" s="1" t="n">
        <v>44063</v>
      </c>
      <c r="C340" s="1" t="n">
        <v>45787</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39205-2020</t>
        </is>
      </c>
      <c r="B341" s="1" t="n">
        <v>44063</v>
      </c>
      <c r="C341" s="1" t="n">
        <v>45787</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40333-2020</t>
        </is>
      </c>
      <c r="B342" s="1" t="n">
        <v>44068</v>
      </c>
      <c r="C342" s="1" t="n">
        <v>45787</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44003-2020</t>
        </is>
      </c>
      <c r="B343" s="1" t="n">
        <v>44083</v>
      </c>
      <c r="C343" s="1" t="n">
        <v>45787</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44422-2020</t>
        </is>
      </c>
      <c r="B344" s="1" t="n">
        <v>44084</v>
      </c>
      <c r="C344" s="1" t="n">
        <v>45787</v>
      </c>
      <c r="D344" t="inlineStr">
        <is>
          <t>JÄMTLANDS LÄN</t>
        </is>
      </c>
      <c r="E344" t="inlineStr">
        <is>
          <t>BERG</t>
        </is>
      </c>
      <c r="G344" t="n">
        <v>6.9</v>
      </c>
      <c r="H344" t="n">
        <v>0</v>
      </c>
      <c r="I344" t="n">
        <v>0</v>
      </c>
      <c r="J344" t="n">
        <v>0</v>
      </c>
      <c r="K344" t="n">
        <v>0</v>
      </c>
      <c r="L344" t="n">
        <v>0</v>
      </c>
      <c r="M344" t="n">
        <v>0</v>
      </c>
      <c r="N344" t="n">
        <v>0</v>
      </c>
      <c r="O344" t="n">
        <v>0</v>
      </c>
      <c r="P344" t="n">
        <v>0</v>
      </c>
      <c r="Q344" t="n">
        <v>0</v>
      </c>
      <c r="R344" s="2" t="inlineStr"/>
    </row>
    <row r="345" ht="15" customHeight="1">
      <c r="A345" t="inlineStr">
        <is>
          <t>A 46657-2020</t>
        </is>
      </c>
      <c r="B345" s="1" t="n">
        <v>44095</v>
      </c>
      <c r="C345" s="1" t="n">
        <v>45787</v>
      </c>
      <c r="D345" t="inlineStr">
        <is>
          <t>JÄMTLANDS LÄN</t>
        </is>
      </c>
      <c r="E345" t="inlineStr">
        <is>
          <t>BERG</t>
        </is>
      </c>
      <c r="F345" t="inlineStr">
        <is>
          <t>Kommuner</t>
        </is>
      </c>
      <c r="G345" t="n">
        <v>3.8</v>
      </c>
      <c r="H345" t="n">
        <v>0</v>
      </c>
      <c r="I345" t="n">
        <v>0</v>
      </c>
      <c r="J345" t="n">
        <v>0</v>
      </c>
      <c r="K345" t="n">
        <v>0</v>
      </c>
      <c r="L345" t="n">
        <v>0</v>
      </c>
      <c r="M345" t="n">
        <v>0</v>
      </c>
      <c r="N345" t="n">
        <v>0</v>
      </c>
      <c r="O345" t="n">
        <v>0</v>
      </c>
      <c r="P345" t="n">
        <v>0</v>
      </c>
      <c r="Q345" t="n">
        <v>0</v>
      </c>
      <c r="R345" s="2" t="inlineStr"/>
    </row>
    <row r="346" ht="15" customHeight="1">
      <c r="A346" t="inlineStr">
        <is>
          <t>A 46616-2020</t>
        </is>
      </c>
      <c r="B346" s="1" t="n">
        <v>44095</v>
      </c>
      <c r="C346" s="1" t="n">
        <v>45787</v>
      </c>
      <c r="D346" t="inlineStr">
        <is>
          <t>JÄMTLANDS LÄN</t>
        </is>
      </c>
      <c r="E346" t="inlineStr">
        <is>
          <t>BERG</t>
        </is>
      </c>
      <c r="F346" t="inlineStr">
        <is>
          <t>Kommuner</t>
        </is>
      </c>
      <c r="G346" t="n">
        <v>42.8</v>
      </c>
      <c r="H346" t="n">
        <v>0</v>
      </c>
      <c r="I346" t="n">
        <v>0</v>
      </c>
      <c r="J346" t="n">
        <v>0</v>
      </c>
      <c r="K346" t="n">
        <v>0</v>
      </c>
      <c r="L346" t="n">
        <v>0</v>
      </c>
      <c r="M346" t="n">
        <v>0</v>
      </c>
      <c r="N346" t="n">
        <v>0</v>
      </c>
      <c r="O346" t="n">
        <v>0</v>
      </c>
      <c r="P346" t="n">
        <v>0</v>
      </c>
      <c r="Q346" t="n">
        <v>0</v>
      </c>
      <c r="R346" s="2" t="inlineStr"/>
    </row>
    <row r="347" ht="15" customHeight="1">
      <c r="A347" t="inlineStr">
        <is>
          <t>A 46635-2020</t>
        </is>
      </c>
      <c r="B347" s="1" t="n">
        <v>44095</v>
      </c>
      <c r="C347" s="1" t="n">
        <v>45787</v>
      </c>
      <c r="D347" t="inlineStr">
        <is>
          <t>JÄMTLANDS LÄN</t>
        </is>
      </c>
      <c r="E347" t="inlineStr">
        <is>
          <t>BERG</t>
        </is>
      </c>
      <c r="F347" t="inlineStr">
        <is>
          <t>Kommuner</t>
        </is>
      </c>
      <c r="G347" t="n">
        <v>14.5</v>
      </c>
      <c r="H347" t="n">
        <v>0</v>
      </c>
      <c r="I347" t="n">
        <v>0</v>
      </c>
      <c r="J347" t="n">
        <v>0</v>
      </c>
      <c r="K347" t="n">
        <v>0</v>
      </c>
      <c r="L347" t="n">
        <v>0</v>
      </c>
      <c r="M347" t="n">
        <v>0</v>
      </c>
      <c r="N347" t="n">
        <v>0</v>
      </c>
      <c r="O347" t="n">
        <v>0</v>
      </c>
      <c r="P347" t="n">
        <v>0</v>
      </c>
      <c r="Q347" t="n">
        <v>0</v>
      </c>
      <c r="R347" s="2" t="inlineStr"/>
    </row>
    <row r="348" ht="15" customHeight="1">
      <c r="A348" t="inlineStr">
        <is>
          <t>A 46660-2020</t>
        </is>
      </c>
      <c r="B348" s="1" t="n">
        <v>44095</v>
      </c>
      <c r="C348" s="1" t="n">
        <v>45787</v>
      </c>
      <c r="D348" t="inlineStr">
        <is>
          <t>JÄMTLANDS LÄN</t>
        </is>
      </c>
      <c r="E348" t="inlineStr">
        <is>
          <t>BERG</t>
        </is>
      </c>
      <c r="F348" t="inlineStr">
        <is>
          <t>Kommuner</t>
        </is>
      </c>
      <c r="G348" t="n">
        <v>2.1</v>
      </c>
      <c r="H348" t="n">
        <v>0</v>
      </c>
      <c r="I348" t="n">
        <v>0</v>
      </c>
      <c r="J348" t="n">
        <v>0</v>
      </c>
      <c r="K348" t="n">
        <v>0</v>
      </c>
      <c r="L348" t="n">
        <v>0</v>
      </c>
      <c r="M348" t="n">
        <v>0</v>
      </c>
      <c r="N348" t="n">
        <v>0</v>
      </c>
      <c r="O348" t="n">
        <v>0</v>
      </c>
      <c r="P348" t="n">
        <v>0</v>
      </c>
      <c r="Q348" t="n">
        <v>0</v>
      </c>
      <c r="R348" s="2" t="inlineStr"/>
    </row>
    <row r="349" ht="15" customHeight="1">
      <c r="A349" t="inlineStr">
        <is>
          <t>A 48801-2020</t>
        </is>
      </c>
      <c r="B349" s="1" t="n">
        <v>44103</v>
      </c>
      <c r="C349" s="1" t="n">
        <v>45787</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49174-2020</t>
        </is>
      </c>
      <c r="B350" s="1" t="n">
        <v>44104</v>
      </c>
      <c r="C350" s="1" t="n">
        <v>45787</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53958-2020</t>
        </is>
      </c>
      <c r="B351" s="1" t="n">
        <v>44123</v>
      </c>
      <c r="C351" s="1" t="n">
        <v>45787</v>
      </c>
      <c r="D351" t="inlineStr">
        <is>
          <t>JÄMTLANDS LÄN</t>
        </is>
      </c>
      <c r="E351" t="inlineStr">
        <is>
          <t>BERG</t>
        </is>
      </c>
      <c r="G351" t="n">
        <v>27.9</v>
      </c>
      <c r="H351" t="n">
        <v>0</v>
      </c>
      <c r="I351" t="n">
        <v>0</v>
      </c>
      <c r="J351" t="n">
        <v>0</v>
      </c>
      <c r="K351" t="n">
        <v>0</v>
      </c>
      <c r="L351" t="n">
        <v>0</v>
      </c>
      <c r="M351" t="n">
        <v>0</v>
      </c>
      <c r="N351" t="n">
        <v>0</v>
      </c>
      <c r="O351" t="n">
        <v>0</v>
      </c>
      <c r="P351" t="n">
        <v>0</v>
      </c>
      <c r="Q351" t="n">
        <v>0</v>
      </c>
      <c r="R351" s="2" t="inlineStr"/>
    </row>
    <row r="352" ht="15" customHeight="1">
      <c r="A352" t="inlineStr">
        <is>
          <t>A 53950-2020</t>
        </is>
      </c>
      <c r="B352" s="1" t="n">
        <v>44123</v>
      </c>
      <c r="C352" s="1" t="n">
        <v>45787</v>
      </c>
      <c r="D352" t="inlineStr">
        <is>
          <t>JÄMTLANDS LÄN</t>
        </is>
      </c>
      <c r="E352" t="inlineStr">
        <is>
          <t>BERG</t>
        </is>
      </c>
      <c r="G352" t="n">
        <v>11.8</v>
      </c>
      <c r="H352" t="n">
        <v>0</v>
      </c>
      <c r="I352" t="n">
        <v>0</v>
      </c>
      <c r="J352" t="n">
        <v>0</v>
      </c>
      <c r="K352" t="n">
        <v>0</v>
      </c>
      <c r="L352" t="n">
        <v>0</v>
      </c>
      <c r="M352" t="n">
        <v>0</v>
      </c>
      <c r="N352" t="n">
        <v>0</v>
      </c>
      <c r="O352" t="n">
        <v>0</v>
      </c>
      <c r="P352" t="n">
        <v>0</v>
      </c>
      <c r="Q352" t="n">
        <v>0</v>
      </c>
      <c r="R352" s="2" t="inlineStr"/>
    </row>
    <row r="353" ht="15" customHeight="1">
      <c r="A353" t="inlineStr">
        <is>
          <t>A 53877-2020</t>
        </is>
      </c>
      <c r="B353" s="1" t="n">
        <v>44123</v>
      </c>
      <c r="C353" s="1" t="n">
        <v>45787</v>
      </c>
      <c r="D353" t="inlineStr">
        <is>
          <t>JÄMTLANDS LÄN</t>
        </is>
      </c>
      <c r="E353" t="inlineStr">
        <is>
          <t>BERG</t>
        </is>
      </c>
      <c r="G353" t="n">
        <v>32.8</v>
      </c>
      <c r="H353" t="n">
        <v>0</v>
      </c>
      <c r="I353" t="n">
        <v>0</v>
      </c>
      <c r="J353" t="n">
        <v>0</v>
      </c>
      <c r="K353" t="n">
        <v>0</v>
      </c>
      <c r="L353" t="n">
        <v>0</v>
      </c>
      <c r="M353" t="n">
        <v>0</v>
      </c>
      <c r="N353" t="n">
        <v>0</v>
      </c>
      <c r="O353" t="n">
        <v>0</v>
      </c>
      <c r="P353" t="n">
        <v>0</v>
      </c>
      <c r="Q353" t="n">
        <v>0</v>
      </c>
      <c r="R353" s="2" t="inlineStr"/>
    </row>
    <row r="354" ht="15" customHeight="1">
      <c r="A354" t="inlineStr">
        <is>
          <t>A 53886-2020</t>
        </is>
      </c>
      <c r="B354" s="1" t="n">
        <v>44123</v>
      </c>
      <c r="C354" s="1" t="n">
        <v>45787</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53902-2020</t>
        </is>
      </c>
      <c r="B355" s="1" t="n">
        <v>44123</v>
      </c>
      <c r="C355" s="1" t="n">
        <v>45787</v>
      </c>
      <c r="D355" t="inlineStr">
        <is>
          <t>JÄMTLANDS LÄN</t>
        </is>
      </c>
      <c r="E355" t="inlineStr">
        <is>
          <t>BERG</t>
        </is>
      </c>
      <c r="G355" t="n">
        <v>22.5</v>
      </c>
      <c r="H355" t="n">
        <v>0</v>
      </c>
      <c r="I355" t="n">
        <v>0</v>
      </c>
      <c r="J355" t="n">
        <v>0</v>
      </c>
      <c r="K355" t="n">
        <v>0</v>
      </c>
      <c r="L355" t="n">
        <v>0</v>
      </c>
      <c r="M355" t="n">
        <v>0</v>
      </c>
      <c r="N355" t="n">
        <v>0</v>
      </c>
      <c r="O355" t="n">
        <v>0</v>
      </c>
      <c r="P355" t="n">
        <v>0</v>
      </c>
      <c r="Q355" t="n">
        <v>0</v>
      </c>
      <c r="R355" s="2" t="inlineStr"/>
    </row>
    <row r="356" ht="15" customHeight="1">
      <c r="A356" t="inlineStr">
        <is>
          <t>A 54511-2020</t>
        </is>
      </c>
      <c r="B356" s="1" t="n">
        <v>44126</v>
      </c>
      <c r="C356" s="1" t="n">
        <v>45787</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55311-2020</t>
        </is>
      </c>
      <c r="B357" s="1" t="n">
        <v>44130</v>
      </c>
      <c r="C357" s="1" t="n">
        <v>45787</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62340-2020</t>
        </is>
      </c>
      <c r="B358" s="1" t="n">
        <v>44158</v>
      </c>
      <c r="C358" s="1" t="n">
        <v>45787</v>
      </c>
      <c r="D358" t="inlineStr">
        <is>
          <t>JÄMTLANDS LÄN</t>
        </is>
      </c>
      <c r="E358" t="inlineStr">
        <is>
          <t>BERG</t>
        </is>
      </c>
      <c r="G358" t="n">
        <v>2.5</v>
      </c>
      <c r="H358" t="n">
        <v>0</v>
      </c>
      <c r="I358" t="n">
        <v>0</v>
      </c>
      <c r="J358" t="n">
        <v>0</v>
      </c>
      <c r="K358" t="n">
        <v>0</v>
      </c>
      <c r="L358" t="n">
        <v>0</v>
      </c>
      <c r="M358" t="n">
        <v>0</v>
      </c>
      <c r="N358" t="n">
        <v>0</v>
      </c>
      <c r="O358" t="n">
        <v>0</v>
      </c>
      <c r="P358" t="n">
        <v>0</v>
      </c>
      <c r="Q358" t="n">
        <v>0</v>
      </c>
      <c r="R358" s="2" t="inlineStr"/>
    </row>
    <row r="359" ht="15" customHeight="1">
      <c r="A359" t="inlineStr">
        <is>
          <t>A 62490-2020</t>
        </is>
      </c>
      <c r="B359" s="1" t="n">
        <v>44160</v>
      </c>
      <c r="C359" s="1" t="n">
        <v>45787</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62494-2020</t>
        </is>
      </c>
      <c r="B360" s="1" t="n">
        <v>44160</v>
      </c>
      <c r="C360" s="1" t="n">
        <v>45787</v>
      </c>
      <c r="D360" t="inlineStr">
        <is>
          <t>JÄMTLANDS LÄN</t>
        </is>
      </c>
      <c r="E360" t="inlineStr">
        <is>
          <t>BERG</t>
        </is>
      </c>
      <c r="G360" t="n">
        <v>7.5</v>
      </c>
      <c r="H360" t="n">
        <v>0</v>
      </c>
      <c r="I360" t="n">
        <v>0</v>
      </c>
      <c r="J360" t="n">
        <v>0</v>
      </c>
      <c r="K360" t="n">
        <v>0</v>
      </c>
      <c r="L360" t="n">
        <v>0</v>
      </c>
      <c r="M360" t="n">
        <v>0</v>
      </c>
      <c r="N360" t="n">
        <v>0</v>
      </c>
      <c r="O360" t="n">
        <v>0</v>
      </c>
      <c r="P360" t="n">
        <v>0</v>
      </c>
      <c r="Q360" t="n">
        <v>0</v>
      </c>
      <c r="R360" s="2" t="inlineStr"/>
    </row>
    <row r="361" ht="15" customHeight="1">
      <c r="A361" t="inlineStr">
        <is>
          <t>A 63009-2020</t>
        </is>
      </c>
      <c r="B361" s="1" t="n">
        <v>44162</v>
      </c>
      <c r="C361" s="1" t="n">
        <v>45787</v>
      </c>
      <c r="D361" t="inlineStr">
        <is>
          <t>JÄMTLANDS LÄN</t>
        </is>
      </c>
      <c r="E361" t="inlineStr">
        <is>
          <t>BERG</t>
        </is>
      </c>
      <c r="G361" t="n">
        <v>4.9</v>
      </c>
      <c r="H361" t="n">
        <v>0</v>
      </c>
      <c r="I361" t="n">
        <v>0</v>
      </c>
      <c r="J361" t="n">
        <v>0</v>
      </c>
      <c r="K361" t="n">
        <v>0</v>
      </c>
      <c r="L361" t="n">
        <v>0</v>
      </c>
      <c r="M361" t="n">
        <v>0</v>
      </c>
      <c r="N361" t="n">
        <v>0</v>
      </c>
      <c r="O361" t="n">
        <v>0</v>
      </c>
      <c r="P361" t="n">
        <v>0</v>
      </c>
      <c r="Q361" t="n">
        <v>0</v>
      </c>
      <c r="R361" s="2" t="inlineStr"/>
    </row>
    <row r="362" ht="15" customHeight="1">
      <c r="A362" t="inlineStr">
        <is>
          <t>A 63002-2020</t>
        </is>
      </c>
      <c r="B362" s="1" t="n">
        <v>44162</v>
      </c>
      <c r="C362" s="1" t="n">
        <v>45787</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63522-2020</t>
        </is>
      </c>
      <c r="B363" s="1" t="n">
        <v>44165</v>
      </c>
      <c r="C363" s="1" t="n">
        <v>45787</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64492-2020</t>
        </is>
      </c>
      <c r="B364" s="1" t="n">
        <v>44168</v>
      </c>
      <c r="C364" s="1" t="n">
        <v>45787</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64490-2020</t>
        </is>
      </c>
      <c r="B365" s="1" t="n">
        <v>44168</v>
      </c>
      <c r="C365" s="1" t="n">
        <v>45787</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68770-2020</t>
        </is>
      </c>
      <c r="B366" s="1" t="n">
        <v>44187</v>
      </c>
      <c r="C366" s="1" t="n">
        <v>45787</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68896-2020</t>
        </is>
      </c>
      <c r="B367" s="1" t="n">
        <v>44187</v>
      </c>
      <c r="C367" s="1" t="n">
        <v>45787</v>
      </c>
      <c r="D367" t="inlineStr">
        <is>
          <t>JÄMTLANDS LÄN</t>
        </is>
      </c>
      <c r="E367" t="inlineStr">
        <is>
          <t>BERG</t>
        </is>
      </c>
      <c r="G367" t="n">
        <v>9.6</v>
      </c>
      <c r="H367" t="n">
        <v>0</v>
      </c>
      <c r="I367" t="n">
        <v>0</v>
      </c>
      <c r="J367" t="n">
        <v>0</v>
      </c>
      <c r="K367" t="n">
        <v>0</v>
      </c>
      <c r="L367" t="n">
        <v>0</v>
      </c>
      <c r="M367" t="n">
        <v>0</v>
      </c>
      <c r="N367" t="n">
        <v>0</v>
      </c>
      <c r="O367" t="n">
        <v>0</v>
      </c>
      <c r="P367" t="n">
        <v>0</v>
      </c>
      <c r="Q367" t="n">
        <v>0</v>
      </c>
      <c r="R367" s="2" t="inlineStr"/>
    </row>
    <row r="368" ht="15" customHeight="1">
      <c r="A368" t="inlineStr">
        <is>
          <t>A 592-2021</t>
        </is>
      </c>
      <c r="B368" s="1" t="n">
        <v>44201</v>
      </c>
      <c r="C368" s="1" t="n">
        <v>45787</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702-2021</t>
        </is>
      </c>
      <c r="B369" s="1" t="n">
        <v>44203</v>
      </c>
      <c r="C369" s="1" t="n">
        <v>45787</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692-2021</t>
        </is>
      </c>
      <c r="B370" s="1" t="n">
        <v>44203</v>
      </c>
      <c r="C370" s="1" t="n">
        <v>45787</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1032-2021</t>
        </is>
      </c>
      <c r="B371" s="1" t="n">
        <v>44207</v>
      </c>
      <c r="C371" s="1" t="n">
        <v>45787</v>
      </c>
      <c r="D371" t="inlineStr">
        <is>
          <t>JÄMTLANDS LÄN</t>
        </is>
      </c>
      <c r="E371" t="inlineStr">
        <is>
          <t>BERG</t>
        </is>
      </c>
      <c r="G371" t="n">
        <v>3.4</v>
      </c>
      <c r="H371" t="n">
        <v>0</v>
      </c>
      <c r="I371" t="n">
        <v>0</v>
      </c>
      <c r="J371" t="n">
        <v>0</v>
      </c>
      <c r="K371" t="n">
        <v>0</v>
      </c>
      <c r="L371" t="n">
        <v>0</v>
      </c>
      <c r="M371" t="n">
        <v>0</v>
      </c>
      <c r="N371" t="n">
        <v>0</v>
      </c>
      <c r="O371" t="n">
        <v>0</v>
      </c>
      <c r="P371" t="n">
        <v>0</v>
      </c>
      <c r="Q371" t="n">
        <v>0</v>
      </c>
      <c r="R371" s="2" t="inlineStr"/>
    </row>
    <row r="372" ht="15" customHeight="1">
      <c r="A372" t="inlineStr">
        <is>
          <t>A 1640-2021</t>
        </is>
      </c>
      <c r="B372" s="1" t="n">
        <v>44209</v>
      </c>
      <c r="C372" s="1" t="n">
        <v>45787</v>
      </c>
      <c r="D372" t="inlineStr">
        <is>
          <t>JÄMTLANDS LÄN</t>
        </is>
      </c>
      <c r="E372" t="inlineStr">
        <is>
          <t>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1651-2021</t>
        </is>
      </c>
      <c r="B373" s="1" t="n">
        <v>44209</v>
      </c>
      <c r="C373" s="1" t="n">
        <v>45787</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1646-2021</t>
        </is>
      </c>
      <c r="B374" s="1" t="n">
        <v>44209</v>
      </c>
      <c r="C374" s="1" t="n">
        <v>45787</v>
      </c>
      <c r="D374" t="inlineStr">
        <is>
          <t>JÄMTLANDS LÄN</t>
        </is>
      </c>
      <c r="E374" t="inlineStr">
        <is>
          <t>BERG</t>
        </is>
      </c>
      <c r="G374" t="n">
        <v>0.1</v>
      </c>
      <c r="H374" t="n">
        <v>0</v>
      </c>
      <c r="I374" t="n">
        <v>0</v>
      </c>
      <c r="J374" t="n">
        <v>0</v>
      </c>
      <c r="K374" t="n">
        <v>0</v>
      </c>
      <c r="L374" t="n">
        <v>0</v>
      </c>
      <c r="M374" t="n">
        <v>0</v>
      </c>
      <c r="N374" t="n">
        <v>0</v>
      </c>
      <c r="O374" t="n">
        <v>0</v>
      </c>
      <c r="P374" t="n">
        <v>0</v>
      </c>
      <c r="Q374" t="n">
        <v>0</v>
      </c>
      <c r="R374" s="2" t="inlineStr"/>
    </row>
    <row r="375" ht="15" customHeight="1">
      <c r="A375" t="inlineStr">
        <is>
          <t>A 1657-2021</t>
        </is>
      </c>
      <c r="B375" s="1" t="n">
        <v>44209</v>
      </c>
      <c r="C375" s="1" t="n">
        <v>45787</v>
      </c>
      <c r="D375" t="inlineStr">
        <is>
          <t>JÄMTLANDS LÄN</t>
        </is>
      </c>
      <c r="E375" t="inlineStr">
        <is>
          <t>BERG</t>
        </is>
      </c>
      <c r="G375" t="n">
        <v>0.1</v>
      </c>
      <c r="H375" t="n">
        <v>0</v>
      </c>
      <c r="I375" t="n">
        <v>0</v>
      </c>
      <c r="J375" t="n">
        <v>0</v>
      </c>
      <c r="K375" t="n">
        <v>0</v>
      </c>
      <c r="L375" t="n">
        <v>0</v>
      </c>
      <c r="M375" t="n">
        <v>0</v>
      </c>
      <c r="N375" t="n">
        <v>0</v>
      </c>
      <c r="O375" t="n">
        <v>0</v>
      </c>
      <c r="P375" t="n">
        <v>0</v>
      </c>
      <c r="Q375" t="n">
        <v>0</v>
      </c>
      <c r="R375" s="2" t="inlineStr"/>
    </row>
    <row r="376" ht="15" customHeight="1">
      <c r="A376" t="inlineStr">
        <is>
          <t>A 3511-2021</t>
        </is>
      </c>
      <c r="B376" s="1" t="n">
        <v>44218</v>
      </c>
      <c r="C376" s="1" t="n">
        <v>45787</v>
      </c>
      <c r="D376" t="inlineStr">
        <is>
          <t>JÄMTLANDS LÄN</t>
        </is>
      </c>
      <c r="E376" t="inlineStr">
        <is>
          <t>BERG</t>
        </is>
      </c>
      <c r="G376" t="n">
        <v>3.9</v>
      </c>
      <c r="H376" t="n">
        <v>0</v>
      </c>
      <c r="I376" t="n">
        <v>0</v>
      </c>
      <c r="J376" t="n">
        <v>0</v>
      </c>
      <c r="K376" t="n">
        <v>0</v>
      </c>
      <c r="L376" t="n">
        <v>0</v>
      </c>
      <c r="M376" t="n">
        <v>0</v>
      </c>
      <c r="N376" t="n">
        <v>0</v>
      </c>
      <c r="O376" t="n">
        <v>0</v>
      </c>
      <c r="P376" t="n">
        <v>0</v>
      </c>
      <c r="Q376" t="n">
        <v>0</v>
      </c>
      <c r="R376" s="2" t="inlineStr"/>
    </row>
    <row r="377" ht="15" customHeight="1">
      <c r="A377" t="inlineStr">
        <is>
          <t>A 4651-2021</t>
        </is>
      </c>
      <c r="B377" s="1" t="n">
        <v>44224</v>
      </c>
      <c r="C377" s="1" t="n">
        <v>45787</v>
      </c>
      <c r="D377" t="inlineStr">
        <is>
          <t>JÄMTLANDS LÄN</t>
        </is>
      </c>
      <c r="E377" t="inlineStr">
        <is>
          <t>BERG</t>
        </is>
      </c>
      <c r="G377" t="n">
        <v>5.2</v>
      </c>
      <c r="H377" t="n">
        <v>0</v>
      </c>
      <c r="I377" t="n">
        <v>0</v>
      </c>
      <c r="J377" t="n">
        <v>0</v>
      </c>
      <c r="K377" t="n">
        <v>0</v>
      </c>
      <c r="L377" t="n">
        <v>0</v>
      </c>
      <c r="M377" t="n">
        <v>0</v>
      </c>
      <c r="N377" t="n">
        <v>0</v>
      </c>
      <c r="O377" t="n">
        <v>0</v>
      </c>
      <c r="P377" t="n">
        <v>0</v>
      </c>
      <c r="Q377" t="n">
        <v>0</v>
      </c>
      <c r="R377" s="2" t="inlineStr"/>
    </row>
    <row r="378" ht="15" customHeight="1">
      <c r="A378" t="inlineStr">
        <is>
          <t>A 8639-2021</t>
        </is>
      </c>
      <c r="B378" s="1" t="n">
        <v>44245</v>
      </c>
      <c r="C378" s="1" t="n">
        <v>45787</v>
      </c>
      <c r="D378" t="inlineStr">
        <is>
          <t>JÄMTLANDS LÄN</t>
        </is>
      </c>
      <c r="E378" t="inlineStr">
        <is>
          <t>BERG</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9629-2021</t>
        </is>
      </c>
      <c r="B379" s="1" t="n">
        <v>44251</v>
      </c>
      <c r="C379" s="1" t="n">
        <v>45787</v>
      </c>
      <c r="D379" t="inlineStr">
        <is>
          <t>JÄMTLANDS LÄN</t>
        </is>
      </c>
      <c r="E379" t="inlineStr">
        <is>
          <t>BERG</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9920-2021</t>
        </is>
      </c>
      <c r="B380" s="1" t="n">
        <v>44253</v>
      </c>
      <c r="C380" s="1" t="n">
        <v>45787</v>
      </c>
      <c r="D380" t="inlineStr">
        <is>
          <t>JÄMTLANDS LÄN</t>
        </is>
      </c>
      <c r="E380" t="inlineStr">
        <is>
          <t>BERG</t>
        </is>
      </c>
      <c r="G380" t="n">
        <v>3.5</v>
      </c>
      <c r="H380" t="n">
        <v>0</v>
      </c>
      <c r="I380" t="n">
        <v>0</v>
      </c>
      <c r="J380" t="n">
        <v>0</v>
      </c>
      <c r="K380" t="n">
        <v>0</v>
      </c>
      <c r="L380" t="n">
        <v>0</v>
      </c>
      <c r="M380" t="n">
        <v>0</v>
      </c>
      <c r="N380" t="n">
        <v>0</v>
      </c>
      <c r="O380" t="n">
        <v>0</v>
      </c>
      <c r="P380" t="n">
        <v>0</v>
      </c>
      <c r="Q380" t="n">
        <v>0</v>
      </c>
      <c r="R380" s="2" t="inlineStr"/>
    </row>
    <row r="381" ht="15" customHeight="1">
      <c r="A381" t="inlineStr">
        <is>
          <t>A 12499-2021</t>
        </is>
      </c>
      <c r="B381" s="1" t="n">
        <v>44267</v>
      </c>
      <c r="C381" s="1" t="n">
        <v>45787</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14226-2021</t>
        </is>
      </c>
      <c r="B382" s="1" t="n">
        <v>44277</v>
      </c>
      <c r="C382" s="1" t="n">
        <v>45787</v>
      </c>
      <c r="D382" t="inlineStr">
        <is>
          <t>JÄMTLANDS LÄN</t>
        </is>
      </c>
      <c r="E382" t="inlineStr">
        <is>
          <t>BERG</t>
        </is>
      </c>
      <c r="G382" t="n">
        <v>23.7</v>
      </c>
      <c r="H382" t="n">
        <v>0</v>
      </c>
      <c r="I382" t="n">
        <v>0</v>
      </c>
      <c r="J382" t="n">
        <v>0</v>
      </c>
      <c r="K382" t="n">
        <v>0</v>
      </c>
      <c r="L382" t="n">
        <v>0</v>
      </c>
      <c r="M382" t="n">
        <v>0</v>
      </c>
      <c r="N382" t="n">
        <v>0</v>
      </c>
      <c r="O382" t="n">
        <v>0</v>
      </c>
      <c r="P382" t="n">
        <v>0</v>
      </c>
      <c r="Q382" t="n">
        <v>0</v>
      </c>
      <c r="R382" s="2" t="inlineStr"/>
    </row>
    <row r="383" ht="15" customHeight="1">
      <c r="A383" t="inlineStr">
        <is>
          <t>A 14218-2021</t>
        </is>
      </c>
      <c r="B383" s="1" t="n">
        <v>44277</v>
      </c>
      <c r="C383" s="1" t="n">
        <v>45787</v>
      </c>
      <c r="D383" t="inlineStr">
        <is>
          <t>JÄMTLANDS LÄN</t>
        </is>
      </c>
      <c r="E383" t="inlineStr">
        <is>
          <t>BERG</t>
        </is>
      </c>
      <c r="G383" t="n">
        <v>19.9</v>
      </c>
      <c r="H383" t="n">
        <v>0</v>
      </c>
      <c r="I383" t="n">
        <v>0</v>
      </c>
      <c r="J383" t="n">
        <v>0</v>
      </c>
      <c r="K383" t="n">
        <v>0</v>
      </c>
      <c r="L383" t="n">
        <v>0</v>
      </c>
      <c r="M383" t="n">
        <v>0</v>
      </c>
      <c r="N383" t="n">
        <v>0</v>
      </c>
      <c r="O383" t="n">
        <v>0</v>
      </c>
      <c r="P383" t="n">
        <v>0</v>
      </c>
      <c r="Q383" t="n">
        <v>0</v>
      </c>
      <c r="R383" s="2" t="inlineStr"/>
    </row>
    <row r="384" ht="15" customHeight="1">
      <c r="A384" t="inlineStr">
        <is>
          <t>A 14163-2021</t>
        </is>
      </c>
      <c r="B384" s="1" t="n">
        <v>44277</v>
      </c>
      <c r="C384" s="1" t="n">
        <v>45787</v>
      </c>
      <c r="D384" t="inlineStr">
        <is>
          <t>JÄMTLANDS LÄN</t>
        </is>
      </c>
      <c r="E384" t="inlineStr">
        <is>
          <t>BERG</t>
        </is>
      </c>
      <c r="G384" t="n">
        <v>8.1</v>
      </c>
      <c r="H384" t="n">
        <v>0</v>
      </c>
      <c r="I384" t="n">
        <v>0</v>
      </c>
      <c r="J384" t="n">
        <v>0</v>
      </c>
      <c r="K384" t="n">
        <v>0</v>
      </c>
      <c r="L384" t="n">
        <v>0</v>
      </c>
      <c r="M384" t="n">
        <v>0</v>
      </c>
      <c r="N384" t="n">
        <v>0</v>
      </c>
      <c r="O384" t="n">
        <v>0</v>
      </c>
      <c r="P384" t="n">
        <v>0</v>
      </c>
      <c r="Q384" t="n">
        <v>0</v>
      </c>
      <c r="R384" s="2" t="inlineStr"/>
    </row>
    <row r="385" ht="15" customHeight="1">
      <c r="A385" t="inlineStr">
        <is>
          <t>A 14224-2021</t>
        </is>
      </c>
      <c r="B385" s="1" t="n">
        <v>44277</v>
      </c>
      <c r="C385" s="1" t="n">
        <v>45787</v>
      </c>
      <c r="D385" t="inlineStr">
        <is>
          <t>JÄMTLANDS LÄN</t>
        </is>
      </c>
      <c r="E385" t="inlineStr">
        <is>
          <t>BERG</t>
        </is>
      </c>
      <c r="G385" t="n">
        <v>24.9</v>
      </c>
      <c r="H385" t="n">
        <v>0</v>
      </c>
      <c r="I385" t="n">
        <v>0</v>
      </c>
      <c r="J385" t="n">
        <v>0</v>
      </c>
      <c r="K385" t="n">
        <v>0</v>
      </c>
      <c r="L385" t="n">
        <v>0</v>
      </c>
      <c r="M385" t="n">
        <v>0</v>
      </c>
      <c r="N385" t="n">
        <v>0</v>
      </c>
      <c r="O385" t="n">
        <v>0</v>
      </c>
      <c r="P385" t="n">
        <v>0</v>
      </c>
      <c r="Q385" t="n">
        <v>0</v>
      </c>
      <c r="R385" s="2" t="inlineStr"/>
    </row>
    <row r="386" ht="15" customHeight="1">
      <c r="A386" t="inlineStr">
        <is>
          <t>A 14325-2021</t>
        </is>
      </c>
      <c r="B386" s="1" t="n">
        <v>44278</v>
      </c>
      <c r="C386" s="1" t="n">
        <v>45787</v>
      </c>
      <c r="D386" t="inlineStr">
        <is>
          <t>JÄMTLANDS LÄN</t>
        </is>
      </c>
      <c r="E386" t="inlineStr">
        <is>
          <t>BERG</t>
        </is>
      </c>
      <c r="G386" t="n">
        <v>27.3</v>
      </c>
      <c r="H386" t="n">
        <v>0</v>
      </c>
      <c r="I386" t="n">
        <v>0</v>
      </c>
      <c r="J386" t="n">
        <v>0</v>
      </c>
      <c r="K386" t="n">
        <v>0</v>
      </c>
      <c r="L386" t="n">
        <v>0</v>
      </c>
      <c r="M386" t="n">
        <v>0</v>
      </c>
      <c r="N386" t="n">
        <v>0</v>
      </c>
      <c r="O386" t="n">
        <v>0</v>
      </c>
      <c r="P386" t="n">
        <v>0</v>
      </c>
      <c r="Q386" t="n">
        <v>0</v>
      </c>
      <c r="R386" s="2" t="inlineStr"/>
    </row>
    <row r="387" ht="15" customHeight="1">
      <c r="A387" t="inlineStr">
        <is>
          <t>A 14772-2021</t>
        </is>
      </c>
      <c r="B387" s="1" t="n">
        <v>44280</v>
      </c>
      <c r="C387" s="1" t="n">
        <v>45787</v>
      </c>
      <c r="D387" t="inlineStr">
        <is>
          <t>JÄMTLANDS LÄN</t>
        </is>
      </c>
      <c r="E387" t="inlineStr">
        <is>
          <t>BERG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15277-2021</t>
        </is>
      </c>
      <c r="B388" s="1" t="n">
        <v>44284</v>
      </c>
      <c r="C388" s="1" t="n">
        <v>45787</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15785-2021</t>
        </is>
      </c>
      <c r="B389" s="1" t="n">
        <v>44286</v>
      </c>
      <c r="C389" s="1" t="n">
        <v>45787</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16819-2021</t>
        </is>
      </c>
      <c r="B390" s="1" t="n">
        <v>44293</v>
      </c>
      <c r="C390" s="1" t="n">
        <v>45787</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16822-2021</t>
        </is>
      </c>
      <c r="B391" s="1" t="n">
        <v>44293</v>
      </c>
      <c r="C391" s="1" t="n">
        <v>45787</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16831-2021</t>
        </is>
      </c>
      <c r="B392" s="1" t="n">
        <v>44293</v>
      </c>
      <c r="C392" s="1" t="n">
        <v>45787</v>
      </c>
      <c r="D392" t="inlineStr">
        <is>
          <t>JÄMTLANDS LÄN</t>
        </is>
      </c>
      <c r="E392" t="inlineStr">
        <is>
          <t>BERG</t>
        </is>
      </c>
      <c r="G392" t="n">
        <v>13.7</v>
      </c>
      <c r="H392" t="n">
        <v>0</v>
      </c>
      <c r="I392" t="n">
        <v>0</v>
      </c>
      <c r="J392" t="n">
        <v>0</v>
      </c>
      <c r="K392" t="n">
        <v>0</v>
      </c>
      <c r="L392" t="n">
        <v>0</v>
      </c>
      <c r="M392" t="n">
        <v>0</v>
      </c>
      <c r="N392" t="n">
        <v>0</v>
      </c>
      <c r="O392" t="n">
        <v>0</v>
      </c>
      <c r="P392" t="n">
        <v>0</v>
      </c>
      <c r="Q392" t="n">
        <v>0</v>
      </c>
      <c r="R392" s="2" t="inlineStr"/>
    </row>
    <row r="393" ht="15" customHeight="1">
      <c r="A393" t="inlineStr">
        <is>
          <t>A 16828-2021</t>
        </is>
      </c>
      <c r="B393" s="1" t="n">
        <v>44293</v>
      </c>
      <c r="C393" s="1" t="n">
        <v>45787</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16825-2021</t>
        </is>
      </c>
      <c r="B394" s="1" t="n">
        <v>44293</v>
      </c>
      <c r="C394" s="1" t="n">
        <v>45787</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18569-2021</t>
        </is>
      </c>
      <c r="B395" s="1" t="n">
        <v>44306</v>
      </c>
      <c r="C395" s="1" t="n">
        <v>45787</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18567-2021</t>
        </is>
      </c>
      <c r="B396" s="1" t="n">
        <v>44306</v>
      </c>
      <c r="C396" s="1" t="n">
        <v>45787</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20179-2021</t>
        </is>
      </c>
      <c r="B397" s="1" t="n">
        <v>44314</v>
      </c>
      <c r="C397" s="1" t="n">
        <v>45787</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21629-2021</t>
        </is>
      </c>
      <c r="B398" s="1" t="n">
        <v>44321</v>
      </c>
      <c r="C398" s="1" t="n">
        <v>45787</v>
      </c>
      <c r="D398" t="inlineStr">
        <is>
          <t>JÄMTLANDS LÄN</t>
        </is>
      </c>
      <c r="E398" t="inlineStr">
        <is>
          <t>BERG</t>
        </is>
      </c>
      <c r="G398" t="n">
        <v>15.9</v>
      </c>
      <c r="H398" t="n">
        <v>0</v>
      </c>
      <c r="I398" t="n">
        <v>0</v>
      </c>
      <c r="J398" t="n">
        <v>0</v>
      </c>
      <c r="K398" t="n">
        <v>0</v>
      </c>
      <c r="L398" t="n">
        <v>0</v>
      </c>
      <c r="M398" t="n">
        <v>0</v>
      </c>
      <c r="N398" t="n">
        <v>0</v>
      </c>
      <c r="O398" t="n">
        <v>0</v>
      </c>
      <c r="P398" t="n">
        <v>0</v>
      </c>
      <c r="Q398" t="n">
        <v>0</v>
      </c>
      <c r="R398" s="2" t="inlineStr"/>
    </row>
    <row r="399" ht="15" customHeight="1">
      <c r="A399" t="inlineStr">
        <is>
          <t>A 21841-2021</t>
        </is>
      </c>
      <c r="B399" s="1" t="n">
        <v>44322</v>
      </c>
      <c r="C399" s="1" t="n">
        <v>45787</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21836-2021</t>
        </is>
      </c>
      <c r="B400" s="1" t="n">
        <v>44322</v>
      </c>
      <c r="C400" s="1" t="n">
        <v>45787</v>
      </c>
      <c r="D400" t="inlineStr">
        <is>
          <t>JÄMTLANDS LÄN</t>
        </is>
      </c>
      <c r="E400" t="inlineStr">
        <is>
          <t>BERG</t>
        </is>
      </c>
      <c r="G400" t="n">
        <v>2</v>
      </c>
      <c r="H400" t="n">
        <v>0</v>
      </c>
      <c r="I400" t="n">
        <v>0</v>
      </c>
      <c r="J400" t="n">
        <v>0</v>
      </c>
      <c r="K400" t="n">
        <v>0</v>
      </c>
      <c r="L400" t="n">
        <v>0</v>
      </c>
      <c r="M400" t="n">
        <v>0</v>
      </c>
      <c r="N400" t="n">
        <v>0</v>
      </c>
      <c r="O400" t="n">
        <v>0</v>
      </c>
      <c r="P400" t="n">
        <v>0</v>
      </c>
      <c r="Q400" t="n">
        <v>0</v>
      </c>
      <c r="R400" s="2" t="inlineStr"/>
    </row>
    <row r="401" ht="15" customHeight="1">
      <c r="A401" t="inlineStr">
        <is>
          <t>A 24136-2021</t>
        </is>
      </c>
      <c r="B401" s="1" t="n">
        <v>44336</v>
      </c>
      <c r="C401" s="1" t="n">
        <v>45787</v>
      </c>
      <c r="D401" t="inlineStr">
        <is>
          <t>JÄMTLANDS LÄN</t>
        </is>
      </c>
      <c r="E401" t="inlineStr">
        <is>
          <t>BERG</t>
        </is>
      </c>
      <c r="G401" t="n">
        <v>12.6</v>
      </c>
      <c r="H401" t="n">
        <v>0</v>
      </c>
      <c r="I401" t="n">
        <v>0</v>
      </c>
      <c r="J401" t="n">
        <v>0</v>
      </c>
      <c r="K401" t="n">
        <v>0</v>
      </c>
      <c r="L401" t="n">
        <v>0</v>
      </c>
      <c r="M401" t="n">
        <v>0</v>
      </c>
      <c r="N401" t="n">
        <v>0</v>
      </c>
      <c r="O401" t="n">
        <v>0</v>
      </c>
      <c r="P401" t="n">
        <v>0</v>
      </c>
      <c r="Q401" t="n">
        <v>0</v>
      </c>
      <c r="R401" s="2" t="inlineStr"/>
    </row>
    <row r="402" ht="15" customHeight="1">
      <c r="A402" t="inlineStr">
        <is>
          <t>A 24843-2021</t>
        </is>
      </c>
      <c r="B402" s="1" t="n">
        <v>44340</v>
      </c>
      <c r="C402" s="1" t="n">
        <v>45787</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26721-2021</t>
        </is>
      </c>
      <c r="B403" s="1" t="n">
        <v>44349</v>
      </c>
      <c r="C403" s="1" t="n">
        <v>45787</v>
      </c>
      <c r="D403" t="inlineStr">
        <is>
          <t>JÄMTLANDS LÄN</t>
        </is>
      </c>
      <c r="E403" t="inlineStr">
        <is>
          <t>BERG</t>
        </is>
      </c>
      <c r="G403" t="n">
        <v>10.7</v>
      </c>
      <c r="H403" t="n">
        <v>0</v>
      </c>
      <c r="I403" t="n">
        <v>0</v>
      </c>
      <c r="J403" t="n">
        <v>0</v>
      </c>
      <c r="K403" t="n">
        <v>0</v>
      </c>
      <c r="L403" t="n">
        <v>0</v>
      </c>
      <c r="M403" t="n">
        <v>0</v>
      </c>
      <c r="N403" t="n">
        <v>0</v>
      </c>
      <c r="O403" t="n">
        <v>0</v>
      </c>
      <c r="P403" t="n">
        <v>0</v>
      </c>
      <c r="Q403" t="n">
        <v>0</v>
      </c>
      <c r="R403" s="2" t="inlineStr"/>
    </row>
    <row r="404" ht="15" customHeight="1">
      <c r="A404" t="inlineStr">
        <is>
          <t>A 26973-2021</t>
        </is>
      </c>
      <c r="B404" s="1" t="n">
        <v>44349</v>
      </c>
      <c r="C404" s="1" t="n">
        <v>45787</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27144-2021</t>
        </is>
      </c>
      <c r="B405" s="1" t="n">
        <v>44350</v>
      </c>
      <c r="C405" s="1" t="n">
        <v>45787</v>
      </c>
      <c r="D405" t="inlineStr">
        <is>
          <t>JÄMTLANDS LÄN</t>
        </is>
      </c>
      <c r="E405" t="inlineStr">
        <is>
          <t>BERG</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27395-2021</t>
        </is>
      </c>
      <c r="B406" s="1" t="n">
        <v>44350</v>
      </c>
      <c r="C406" s="1" t="n">
        <v>45787</v>
      </c>
      <c r="D406" t="inlineStr">
        <is>
          <t>JÄMTLANDS LÄN</t>
        </is>
      </c>
      <c r="E406" t="inlineStr">
        <is>
          <t>BERG</t>
        </is>
      </c>
      <c r="G406" t="n">
        <v>4.4</v>
      </c>
      <c r="H406" t="n">
        <v>0</v>
      </c>
      <c r="I406" t="n">
        <v>0</v>
      </c>
      <c r="J406" t="n">
        <v>0</v>
      </c>
      <c r="K406" t="n">
        <v>0</v>
      </c>
      <c r="L406" t="n">
        <v>0</v>
      </c>
      <c r="M406" t="n">
        <v>0</v>
      </c>
      <c r="N406" t="n">
        <v>0</v>
      </c>
      <c r="O406" t="n">
        <v>0</v>
      </c>
      <c r="P406" t="n">
        <v>0</v>
      </c>
      <c r="Q406" t="n">
        <v>0</v>
      </c>
      <c r="R406" s="2" t="inlineStr"/>
    </row>
    <row r="407" ht="15" customHeight="1">
      <c r="A407" t="inlineStr">
        <is>
          <t>A 27772-2021</t>
        </is>
      </c>
      <c r="B407" s="1" t="n">
        <v>44354</v>
      </c>
      <c r="C407" s="1" t="n">
        <v>45787</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28883-2021</t>
        </is>
      </c>
      <c r="B408" s="1" t="n">
        <v>44357</v>
      </c>
      <c r="C408" s="1" t="n">
        <v>45787</v>
      </c>
      <c r="D408" t="inlineStr">
        <is>
          <t>JÄMTLANDS LÄN</t>
        </is>
      </c>
      <c r="E408" t="inlineStr">
        <is>
          <t>BERG</t>
        </is>
      </c>
      <c r="F408" t="inlineStr">
        <is>
          <t>Kyrkan</t>
        </is>
      </c>
      <c r="G408" t="n">
        <v>7.3</v>
      </c>
      <c r="H408" t="n">
        <v>0</v>
      </c>
      <c r="I408" t="n">
        <v>0</v>
      </c>
      <c r="J408" t="n">
        <v>0</v>
      </c>
      <c r="K408" t="n">
        <v>0</v>
      </c>
      <c r="L408" t="n">
        <v>0</v>
      </c>
      <c r="M408" t="n">
        <v>0</v>
      </c>
      <c r="N408" t="n">
        <v>0</v>
      </c>
      <c r="O408" t="n">
        <v>0</v>
      </c>
      <c r="P408" t="n">
        <v>0</v>
      </c>
      <c r="Q408" t="n">
        <v>0</v>
      </c>
      <c r="R408" s="2" t="inlineStr"/>
    </row>
    <row r="409" ht="15" customHeight="1">
      <c r="A409" t="inlineStr">
        <is>
          <t>A 29019-2021</t>
        </is>
      </c>
      <c r="B409" s="1" t="n">
        <v>44358</v>
      </c>
      <c r="C409" s="1" t="n">
        <v>45787</v>
      </c>
      <c r="D409" t="inlineStr">
        <is>
          <t>JÄMTLANDS LÄN</t>
        </is>
      </c>
      <c r="E409" t="inlineStr">
        <is>
          <t>BERG</t>
        </is>
      </c>
      <c r="F409" t="inlineStr">
        <is>
          <t>Sveaskog</t>
        </is>
      </c>
      <c r="G409" t="n">
        <v>27.1</v>
      </c>
      <c r="H409" t="n">
        <v>0</v>
      </c>
      <c r="I409" t="n">
        <v>0</v>
      </c>
      <c r="J409" t="n">
        <v>0</v>
      </c>
      <c r="K409" t="n">
        <v>0</v>
      </c>
      <c r="L409" t="n">
        <v>0</v>
      </c>
      <c r="M409" t="n">
        <v>0</v>
      </c>
      <c r="N409" t="n">
        <v>0</v>
      </c>
      <c r="O409" t="n">
        <v>0</v>
      </c>
      <c r="P409" t="n">
        <v>0</v>
      </c>
      <c r="Q409" t="n">
        <v>0</v>
      </c>
      <c r="R409" s="2" t="inlineStr"/>
    </row>
    <row r="410" ht="15" customHeight="1">
      <c r="A410" t="inlineStr">
        <is>
          <t>A 29511-2021</t>
        </is>
      </c>
      <c r="B410" s="1" t="n">
        <v>44361</v>
      </c>
      <c r="C410" s="1" t="n">
        <v>45787</v>
      </c>
      <c r="D410" t="inlineStr">
        <is>
          <t>JÄMTLANDS LÄN</t>
        </is>
      </c>
      <c r="E410" t="inlineStr">
        <is>
          <t>BERG</t>
        </is>
      </c>
      <c r="G410" t="n">
        <v>5.6</v>
      </c>
      <c r="H410" t="n">
        <v>0</v>
      </c>
      <c r="I410" t="n">
        <v>0</v>
      </c>
      <c r="J410" t="n">
        <v>0</v>
      </c>
      <c r="K410" t="n">
        <v>0</v>
      </c>
      <c r="L410" t="n">
        <v>0</v>
      </c>
      <c r="M410" t="n">
        <v>0</v>
      </c>
      <c r="N410" t="n">
        <v>0</v>
      </c>
      <c r="O410" t="n">
        <v>0</v>
      </c>
      <c r="P410" t="n">
        <v>0</v>
      </c>
      <c r="Q410" t="n">
        <v>0</v>
      </c>
      <c r="R410" s="2" t="inlineStr"/>
    </row>
    <row r="411" ht="15" customHeight="1">
      <c r="A411" t="inlineStr">
        <is>
          <t>A 33878-2021</t>
        </is>
      </c>
      <c r="B411" s="1" t="n">
        <v>44378</v>
      </c>
      <c r="C411" s="1" t="n">
        <v>45787</v>
      </c>
      <c r="D411" t="inlineStr">
        <is>
          <t>JÄMTLANDS LÄN</t>
        </is>
      </c>
      <c r="E411" t="inlineStr">
        <is>
          <t>BERG</t>
        </is>
      </c>
      <c r="G411" t="n">
        <v>6.6</v>
      </c>
      <c r="H411" t="n">
        <v>0</v>
      </c>
      <c r="I411" t="n">
        <v>0</v>
      </c>
      <c r="J411" t="n">
        <v>0</v>
      </c>
      <c r="K411" t="n">
        <v>0</v>
      </c>
      <c r="L411" t="n">
        <v>0</v>
      </c>
      <c r="M411" t="n">
        <v>0</v>
      </c>
      <c r="N411" t="n">
        <v>0</v>
      </c>
      <c r="O411" t="n">
        <v>0</v>
      </c>
      <c r="P411" t="n">
        <v>0</v>
      </c>
      <c r="Q411" t="n">
        <v>0</v>
      </c>
      <c r="R411" s="2" t="inlineStr"/>
    </row>
    <row r="412" ht="15" customHeight="1">
      <c r="A412" t="inlineStr">
        <is>
          <t>A 35308-2021</t>
        </is>
      </c>
      <c r="B412" s="1" t="n">
        <v>44384</v>
      </c>
      <c r="C412" s="1" t="n">
        <v>45787</v>
      </c>
      <c r="D412" t="inlineStr">
        <is>
          <t>JÄMTLANDS LÄN</t>
        </is>
      </c>
      <c r="E412" t="inlineStr">
        <is>
          <t>BERG</t>
        </is>
      </c>
      <c r="G412" t="n">
        <v>2.9</v>
      </c>
      <c r="H412" t="n">
        <v>0</v>
      </c>
      <c r="I412" t="n">
        <v>0</v>
      </c>
      <c r="J412" t="n">
        <v>0</v>
      </c>
      <c r="K412" t="n">
        <v>0</v>
      </c>
      <c r="L412" t="n">
        <v>0</v>
      </c>
      <c r="M412" t="n">
        <v>0</v>
      </c>
      <c r="N412" t="n">
        <v>0</v>
      </c>
      <c r="O412" t="n">
        <v>0</v>
      </c>
      <c r="P412" t="n">
        <v>0</v>
      </c>
      <c r="Q412" t="n">
        <v>0</v>
      </c>
      <c r="R412" s="2" t="inlineStr"/>
      <c r="U412">
        <f>HYPERLINK("https://klasma.github.io/Logging_2326/knärot/A 35308-2021 karta knärot.png", "A 35308-2021")</f>
        <v/>
      </c>
      <c r="V412">
        <f>HYPERLINK("https://klasma.github.io/Logging_2326/klagomål/A 35308-2021 FSC-klagomål.docx", "A 35308-2021")</f>
        <v/>
      </c>
      <c r="W412">
        <f>HYPERLINK("https://klasma.github.io/Logging_2326/klagomålsmail/A 35308-2021 FSC-klagomål mail.docx", "A 35308-2021")</f>
        <v/>
      </c>
      <c r="X412">
        <f>HYPERLINK("https://klasma.github.io/Logging_2326/tillsyn/A 35308-2021 tillsynsbegäran.docx", "A 35308-2021")</f>
        <v/>
      </c>
      <c r="Y412">
        <f>HYPERLINK("https://klasma.github.io/Logging_2326/tillsynsmail/A 35308-2021 tillsynsbegäran mail.docx", "A 35308-2021")</f>
        <v/>
      </c>
    </row>
    <row r="413" ht="15" customHeight="1">
      <c r="A413" t="inlineStr">
        <is>
          <t>A 35867-2021</t>
        </is>
      </c>
      <c r="B413" s="1" t="n">
        <v>44387</v>
      </c>
      <c r="C413" s="1" t="n">
        <v>45787</v>
      </c>
      <c r="D413" t="inlineStr">
        <is>
          <t>JÄMTLANDS LÄN</t>
        </is>
      </c>
      <c r="E413" t="inlineStr">
        <is>
          <t>BERG</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36031-2021</t>
        </is>
      </c>
      <c r="B414" s="1" t="n">
        <v>44389</v>
      </c>
      <c r="C414" s="1" t="n">
        <v>45787</v>
      </c>
      <c r="D414" t="inlineStr">
        <is>
          <t>JÄMTLANDS LÄN</t>
        </is>
      </c>
      <c r="E414" t="inlineStr">
        <is>
          <t>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36033-2021</t>
        </is>
      </c>
      <c r="B415" s="1" t="n">
        <v>44389</v>
      </c>
      <c r="C415" s="1" t="n">
        <v>45787</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36720-2021</t>
        </is>
      </c>
      <c r="B416" s="1" t="n">
        <v>44392</v>
      </c>
      <c r="C416" s="1" t="n">
        <v>45787</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37591-2021</t>
        </is>
      </c>
      <c r="B417" s="1" t="n">
        <v>44399</v>
      </c>
      <c r="C417" s="1" t="n">
        <v>45787</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37586-2021</t>
        </is>
      </c>
      <c r="B418" s="1" t="n">
        <v>44399</v>
      </c>
      <c r="C418" s="1" t="n">
        <v>45787</v>
      </c>
      <c r="D418" t="inlineStr">
        <is>
          <t>JÄMTLANDS LÄN</t>
        </is>
      </c>
      <c r="E418" t="inlineStr">
        <is>
          <t>BERG</t>
        </is>
      </c>
      <c r="G418" t="n">
        <v>15.4</v>
      </c>
      <c r="H418" t="n">
        <v>0</v>
      </c>
      <c r="I418" t="n">
        <v>0</v>
      </c>
      <c r="J418" t="n">
        <v>0</v>
      </c>
      <c r="K418" t="n">
        <v>0</v>
      </c>
      <c r="L418" t="n">
        <v>0</v>
      </c>
      <c r="M418" t="n">
        <v>0</v>
      </c>
      <c r="N418" t="n">
        <v>0</v>
      </c>
      <c r="O418" t="n">
        <v>0</v>
      </c>
      <c r="P418" t="n">
        <v>0</v>
      </c>
      <c r="Q418" t="n">
        <v>0</v>
      </c>
      <c r="R418" s="2" t="inlineStr"/>
    </row>
    <row r="419" ht="15" customHeight="1">
      <c r="A419" t="inlineStr">
        <is>
          <t>A 37589-2021</t>
        </is>
      </c>
      <c r="B419" s="1" t="n">
        <v>44399</v>
      </c>
      <c r="C419" s="1" t="n">
        <v>45787</v>
      </c>
      <c r="D419" t="inlineStr">
        <is>
          <t>JÄMTLANDS LÄN</t>
        </is>
      </c>
      <c r="E419" t="inlineStr">
        <is>
          <t>BERG</t>
        </is>
      </c>
      <c r="G419" t="n">
        <v>8.6</v>
      </c>
      <c r="H419" t="n">
        <v>0</v>
      </c>
      <c r="I419" t="n">
        <v>0</v>
      </c>
      <c r="J419" t="n">
        <v>0</v>
      </c>
      <c r="K419" t="n">
        <v>0</v>
      </c>
      <c r="L419" t="n">
        <v>0</v>
      </c>
      <c r="M419" t="n">
        <v>0</v>
      </c>
      <c r="N419" t="n">
        <v>0</v>
      </c>
      <c r="O419" t="n">
        <v>0</v>
      </c>
      <c r="P419" t="n">
        <v>0</v>
      </c>
      <c r="Q419" t="n">
        <v>0</v>
      </c>
      <c r="R419" s="2" t="inlineStr"/>
    </row>
    <row r="420" ht="15" customHeight="1">
      <c r="A420" t="inlineStr">
        <is>
          <t>A 37588-2021</t>
        </is>
      </c>
      <c r="B420" s="1" t="n">
        <v>44399</v>
      </c>
      <c r="C420" s="1" t="n">
        <v>45787</v>
      </c>
      <c r="D420" t="inlineStr">
        <is>
          <t>JÄMTLANDS LÄN</t>
        </is>
      </c>
      <c r="E420" t="inlineStr">
        <is>
          <t>BERG</t>
        </is>
      </c>
      <c r="G420" t="n">
        <v>4</v>
      </c>
      <c r="H420" t="n">
        <v>0</v>
      </c>
      <c r="I420" t="n">
        <v>0</v>
      </c>
      <c r="J420" t="n">
        <v>0</v>
      </c>
      <c r="K420" t="n">
        <v>0</v>
      </c>
      <c r="L420" t="n">
        <v>0</v>
      </c>
      <c r="M420" t="n">
        <v>0</v>
      </c>
      <c r="N420" t="n">
        <v>0</v>
      </c>
      <c r="O420" t="n">
        <v>0</v>
      </c>
      <c r="P420" t="n">
        <v>0</v>
      </c>
      <c r="Q420" t="n">
        <v>0</v>
      </c>
      <c r="R420" s="2" t="inlineStr"/>
    </row>
    <row r="421" ht="15" customHeight="1">
      <c r="A421" t="inlineStr">
        <is>
          <t>A 37687-2021</t>
        </is>
      </c>
      <c r="B421" s="1" t="n">
        <v>44400</v>
      </c>
      <c r="C421" s="1" t="n">
        <v>45787</v>
      </c>
      <c r="D421" t="inlineStr">
        <is>
          <t>JÄMTLANDS LÄN</t>
        </is>
      </c>
      <c r="E421" t="inlineStr">
        <is>
          <t>BERG</t>
        </is>
      </c>
      <c r="F421" t="inlineStr">
        <is>
          <t>Sveaskog</t>
        </is>
      </c>
      <c r="G421" t="n">
        <v>15.7</v>
      </c>
      <c r="H421" t="n">
        <v>0</v>
      </c>
      <c r="I421" t="n">
        <v>0</v>
      </c>
      <c r="J421" t="n">
        <v>0</v>
      </c>
      <c r="K421" t="n">
        <v>0</v>
      </c>
      <c r="L421" t="n">
        <v>0</v>
      </c>
      <c r="M421" t="n">
        <v>0</v>
      </c>
      <c r="N421" t="n">
        <v>0</v>
      </c>
      <c r="O421" t="n">
        <v>0</v>
      </c>
      <c r="P421" t="n">
        <v>0</v>
      </c>
      <c r="Q421" t="n">
        <v>0</v>
      </c>
      <c r="R421" s="2" t="inlineStr"/>
    </row>
    <row r="422" ht="15" customHeight="1">
      <c r="A422" t="inlineStr">
        <is>
          <t>A 39943-2021</t>
        </is>
      </c>
      <c r="B422" s="1" t="n">
        <v>44417</v>
      </c>
      <c r="C422" s="1" t="n">
        <v>45787</v>
      </c>
      <c r="D422" t="inlineStr">
        <is>
          <t>JÄMTLANDS LÄN</t>
        </is>
      </c>
      <c r="E422" t="inlineStr">
        <is>
          <t>BERG</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44088-2021</t>
        </is>
      </c>
      <c r="B423" s="1" t="n">
        <v>44434</v>
      </c>
      <c r="C423" s="1" t="n">
        <v>45787</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44911-2021</t>
        </is>
      </c>
      <c r="B424" s="1" t="n">
        <v>44435</v>
      </c>
      <c r="C424" s="1" t="n">
        <v>45787</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44997-2021</t>
        </is>
      </c>
      <c r="B425" s="1" t="n">
        <v>44438</v>
      </c>
      <c r="C425" s="1" t="n">
        <v>45787</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45349-2021</t>
        </is>
      </c>
      <c r="B426" s="1" t="n">
        <v>44440</v>
      </c>
      <c r="C426" s="1" t="n">
        <v>45787</v>
      </c>
      <c r="D426" t="inlineStr">
        <is>
          <t>JÄMTLANDS LÄN</t>
        </is>
      </c>
      <c r="E426" t="inlineStr">
        <is>
          <t>BERG</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46115-2021</t>
        </is>
      </c>
      <c r="B427" s="1" t="n">
        <v>44441</v>
      </c>
      <c r="C427" s="1" t="n">
        <v>45787</v>
      </c>
      <c r="D427" t="inlineStr">
        <is>
          <t>JÄMTLANDS LÄN</t>
        </is>
      </c>
      <c r="E427" t="inlineStr">
        <is>
          <t>BERG</t>
        </is>
      </c>
      <c r="G427" t="n">
        <v>15.1</v>
      </c>
      <c r="H427" t="n">
        <v>0</v>
      </c>
      <c r="I427" t="n">
        <v>0</v>
      </c>
      <c r="J427" t="n">
        <v>0</v>
      </c>
      <c r="K427" t="n">
        <v>0</v>
      </c>
      <c r="L427" t="n">
        <v>0</v>
      </c>
      <c r="M427" t="n">
        <v>0</v>
      </c>
      <c r="N427" t="n">
        <v>0</v>
      </c>
      <c r="O427" t="n">
        <v>0</v>
      </c>
      <c r="P427" t="n">
        <v>0</v>
      </c>
      <c r="Q427" t="n">
        <v>0</v>
      </c>
      <c r="R427" s="2" t="inlineStr"/>
    </row>
    <row r="428" ht="15" customHeight="1">
      <c r="A428" t="inlineStr">
        <is>
          <t>A 46515-2021</t>
        </is>
      </c>
      <c r="B428" s="1" t="n">
        <v>44445</v>
      </c>
      <c r="C428" s="1" t="n">
        <v>45787</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46853-2021</t>
        </is>
      </c>
      <c r="B429" s="1" t="n">
        <v>44446</v>
      </c>
      <c r="C429" s="1" t="n">
        <v>45787</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46937-2021</t>
        </is>
      </c>
      <c r="B430" s="1" t="n">
        <v>44446</v>
      </c>
      <c r="C430" s="1" t="n">
        <v>45787</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50453-2021</t>
        </is>
      </c>
      <c r="B431" s="1" t="n">
        <v>44455</v>
      </c>
      <c r="C431" s="1" t="n">
        <v>45787</v>
      </c>
      <c r="D431" t="inlineStr">
        <is>
          <t>JÄMTLANDS LÄN</t>
        </is>
      </c>
      <c r="E431" t="inlineStr">
        <is>
          <t>BERG</t>
        </is>
      </c>
      <c r="G431" t="n">
        <v>3.9</v>
      </c>
      <c r="H431" t="n">
        <v>0</v>
      </c>
      <c r="I431" t="n">
        <v>0</v>
      </c>
      <c r="J431" t="n">
        <v>0</v>
      </c>
      <c r="K431" t="n">
        <v>0</v>
      </c>
      <c r="L431" t="n">
        <v>0</v>
      </c>
      <c r="M431" t="n">
        <v>0</v>
      </c>
      <c r="N431" t="n">
        <v>0</v>
      </c>
      <c r="O431" t="n">
        <v>0</v>
      </c>
      <c r="P431" t="n">
        <v>0</v>
      </c>
      <c r="Q431" t="n">
        <v>0</v>
      </c>
      <c r="R431" s="2" t="inlineStr"/>
    </row>
    <row r="432" ht="15" customHeight="1">
      <c r="A432" t="inlineStr">
        <is>
          <t>A 50780-2021</t>
        </is>
      </c>
      <c r="B432" s="1" t="n">
        <v>44459</v>
      </c>
      <c r="C432" s="1" t="n">
        <v>45787</v>
      </c>
      <c r="D432" t="inlineStr">
        <is>
          <t>JÄMTLANDS LÄN</t>
        </is>
      </c>
      <c r="E432" t="inlineStr">
        <is>
          <t>BERG</t>
        </is>
      </c>
      <c r="G432" t="n">
        <v>3.5</v>
      </c>
      <c r="H432" t="n">
        <v>0</v>
      </c>
      <c r="I432" t="n">
        <v>0</v>
      </c>
      <c r="J432" t="n">
        <v>0</v>
      </c>
      <c r="K432" t="n">
        <v>0</v>
      </c>
      <c r="L432" t="n">
        <v>0</v>
      </c>
      <c r="M432" t="n">
        <v>0</v>
      </c>
      <c r="N432" t="n">
        <v>0</v>
      </c>
      <c r="O432" t="n">
        <v>0</v>
      </c>
      <c r="P432" t="n">
        <v>0</v>
      </c>
      <c r="Q432" t="n">
        <v>0</v>
      </c>
      <c r="R432" s="2" t="inlineStr"/>
    </row>
    <row r="433" ht="15" customHeight="1">
      <c r="A433" t="inlineStr">
        <is>
          <t>A 51951-2021</t>
        </is>
      </c>
      <c r="B433" s="1" t="n">
        <v>44462</v>
      </c>
      <c r="C433" s="1" t="n">
        <v>45787</v>
      </c>
      <c r="D433" t="inlineStr">
        <is>
          <t>JÄMTLANDS LÄN</t>
        </is>
      </c>
      <c r="E433" t="inlineStr">
        <is>
          <t>BERG</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54766-2021</t>
        </is>
      </c>
      <c r="B434" s="1" t="n">
        <v>44473</v>
      </c>
      <c r="C434" s="1" t="n">
        <v>45787</v>
      </c>
      <c r="D434" t="inlineStr">
        <is>
          <t>JÄMTLANDS LÄN</t>
        </is>
      </c>
      <c r="E434" t="inlineStr">
        <is>
          <t>BERG</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54799-2021</t>
        </is>
      </c>
      <c r="B435" s="1" t="n">
        <v>44473</v>
      </c>
      <c r="C435" s="1" t="n">
        <v>45787</v>
      </c>
      <c r="D435" t="inlineStr">
        <is>
          <t>JÄMTLANDS LÄN</t>
        </is>
      </c>
      <c r="E435" t="inlineStr">
        <is>
          <t>BERG</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56220-2021</t>
        </is>
      </c>
      <c r="B436" s="1" t="n">
        <v>44477</v>
      </c>
      <c r="C436" s="1" t="n">
        <v>45787</v>
      </c>
      <c r="D436" t="inlineStr">
        <is>
          <t>JÄMTLANDS LÄN</t>
        </is>
      </c>
      <c r="E436" t="inlineStr">
        <is>
          <t>BERG</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57949-2021</t>
        </is>
      </c>
      <c r="B437" s="1" t="n">
        <v>44487</v>
      </c>
      <c r="C437" s="1" t="n">
        <v>45787</v>
      </c>
      <c r="D437" t="inlineStr">
        <is>
          <t>JÄMTLANDS LÄN</t>
        </is>
      </c>
      <c r="E437" t="inlineStr">
        <is>
          <t>BERG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58088-2021</t>
        </is>
      </c>
      <c r="B438" s="1" t="n">
        <v>44487</v>
      </c>
      <c r="C438" s="1" t="n">
        <v>45787</v>
      </c>
      <c r="D438" t="inlineStr">
        <is>
          <t>JÄMTLANDS LÄN</t>
        </is>
      </c>
      <c r="E438" t="inlineStr">
        <is>
          <t>BERG</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58157-2021</t>
        </is>
      </c>
      <c r="B439" s="1" t="n">
        <v>44487</v>
      </c>
      <c r="C439" s="1" t="n">
        <v>45787</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58151-2021</t>
        </is>
      </c>
      <c r="B440" s="1" t="n">
        <v>44487</v>
      </c>
      <c r="C440" s="1" t="n">
        <v>45787</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59245-2021</t>
        </is>
      </c>
      <c r="B441" s="1" t="n">
        <v>44490</v>
      </c>
      <c r="C441" s="1" t="n">
        <v>45787</v>
      </c>
      <c r="D441" t="inlineStr">
        <is>
          <t>JÄMTLANDS LÄN</t>
        </is>
      </c>
      <c r="E441" t="inlineStr">
        <is>
          <t>BERG</t>
        </is>
      </c>
      <c r="G441" t="n">
        <v>15.8</v>
      </c>
      <c r="H441" t="n">
        <v>0</v>
      </c>
      <c r="I441" t="n">
        <v>0</v>
      </c>
      <c r="J441" t="n">
        <v>0</v>
      </c>
      <c r="K441" t="n">
        <v>0</v>
      </c>
      <c r="L441" t="n">
        <v>0</v>
      </c>
      <c r="M441" t="n">
        <v>0</v>
      </c>
      <c r="N441" t="n">
        <v>0</v>
      </c>
      <c r="O441" t="n">
        <v>0</v>
      </c>
      <c r="P441" t="n">
        <v>0</v>
      </c>
      <c r="Q441" t="n">
        <v>0</v>
      </c>
      <c r="R441" s="2" t="inlineStr"/>
    </row>
    <row r="442" ht="15" customHeight="1">
      <c r="A442" t="inlineStr">
        <is>
          <t>A 64709-2021</t>
        </is>
      </c>
      <c r="B442" s="1" t="n">
        <v>44512</v>
      </c>
      <c r="C442" s="1" t="n">
        <v>45787</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68441-2021</t>
        </is>
      </c>
      <c r="B443" s="1" t="n">
        <v>44529</v>
      </c>
      <c r="C443" s="1" t="n">
        <v>45787</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68450-2021</t>
        </is>
      </c>
      <c r="B444" s="1" t="n">
        <v>44529</v>
      </c>
      <c r="C444" s="1" t="n">
        <v>45787</v>
      </c>
      <c r="D444" t="inlineStr">
        <is>
          <t>JÄMTLANDS LÄN</t>
        </is>
      </c>
      <c r="E444" t="inlineStr">
        <is>
          <t>BERG</t>
        </is>
      </c>
      <c r="G444" t="n">
        <v>7.3</v>
      </c>
      <c r="H444" t="n">
        <v>0</v>
      </c>
      <c r="I444" t="n">
        <v>0</v>
      </c>
      <c r="J444" t="n">
        <v>0</v>
      </c>
      <c r="K444" t="n">
        <v>0</v>
      </c>
      <c r="L444" t="n">
        <v>0</v>
      </c>
      <c r="M444" t="n">
        <v>0</v>
      </c>
      <c r="N444" t="n">
        <v>0</v>
      </c>
      <c r="O444" t="n">
        <v>0</v>
      </c>
      <c r="P444" t="n">
        <v>0</v>
      </c>
      <c r="Q444" t="n">
        <v>0</v>
      </c>
      <c r="R444" s="2" t="inlineStr"/>
    </row>
    <row r="445" ht="15" customHeight="1">
      <c r="A445" t="inlineStr">
        <is>
          <t>A 68468-2021</t>
        </is>
      </c>
      <c r="B445" s="1" t="n">
        <v>44529</v>
      </c>
      <c r="C445" s="1" t="n">
        <v>45787</v>
      </c>
      <c r="D445" t="inlineStr">
        <is>
          <t>JÄMTLANDS LÄN</t>
        </is>
      </c>
      <c r="E445" t="inlineStr">
        <is>
          <t>BERG</t>
        </is>
      </c>
      <c r="G445" t="n">
        <v>4.6</v>
      </c>
      <c r="H445" t="n">
        <v>0</v>
      </c>
      <c r="I445" t="n">
        <v>0</v>
      </c>
      <c r="J445" t="n">
        <v>0</v>
      </c>
      <c r="K445" t="n">
        <v>0</v>
      </c>
      <c r="L445" t="n">
        <v>0</v>
      </c>
      <c r="M445" t="n">
        <v>0</v>
      </c>
      <c r="N445" t="n">
        <v>0</v>
      </c>
      <c r="O445" t="n">
        <v>0</v>
      </c>
      <c r="P445" t="n">
        <v>0</v>
      </c>
      <c r="Q445" t="n">
        <v>0</v>
      </c>
      <c r="R445" s="2" t="inlineStr"/>
    </row>
    <row r="446" ht="15" customHeight="1">
      <c r="A446" t="inlineStr">
        <is>
          <t>A 68483-2021</t>
        </is>
      </c>
      <c r="B446" s="1" t="n">
        <v>44529</v>
      </c>
      <c r="C446" s="1" t="n">
        <v>45787</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68854-2021</t>
        </is>
      </c>
      <c r="B447" s="1" t="n">
        <v>44530</v>
      </c>
      <c r="C447" s="1" t="n">
        <v>45787</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70463-2021</t>
        </is>
      </c>
      <c r="B448" s="1" t="n">
        <v>44536</v>
      </c>
      <c r="C448" s="1" t="n">
        <v>45787</v>
      </c>
      <c r="D448" t="inlineStr">
        <is>
          <t>JÄMTLANDS LÄN</t>
        </is>
      </c>
      <c r="E448" t="inlineStr">
        <is>
          <t>BERG</t>
        </is>
      </c>
      <c r="G448" t="n">
        <v>10.8</v>
      </c>
      <c r="H448" t="n">
        <v>0</v>
      </c>
      <c r="I448" t="n">
        <v>0</v>
      </c>
      <c r="J448" t="n">
        <v>0</v>
      </c>
      <c r="K448" t="n">
        <v>0</v>
      </c>
      <c r="L448" t="n">
        <v>0</v>
      </c>
      <c r="M448" t="n">
        <v>0</v>
      </c>
      <c r="N448" t="n">
        <v>0</v>
      </c>
      <c r="O448" t="n">
        <v>0</v>
      </c>
      <c r="P448" t="n">
        <v>0</v>
      </c>
      <c r="Q448" t="n">
        <v>0</v>
      </c>
      <c r="R448" s="2" t="inlineStr"/>
    </row>
    <row r="449" ht="15" customHeight="1">
      <c r="A449" t="inlineStr">
        <is>
          <t>A 70570-2021</t>
        </is>
      </c>
      <c r="B449" s="1" t="n">
        <v>44536</v>
      </c>
      <c r="C449" s="1" t="n">
        <v>45787</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70468-2021</t>
        </is>
      </c>
      <c r="B450" s="1" t="n">
        <v>44536</v>
      </c>
      <c r="C450" s="1" t="n">
        <v>45787</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71525-2021</t>
        </is>
      </c>
      <c r="B451" s="1" t="n">
        <v>44540</v>
      </c>
      <c r="C451" s="1" t="n">
        <v>45787</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72265-2021</t>
        </is>
      </c>
      <c r="B452" s="1" t="n">
        <v>44543</v>
      </c>
      <c r="C452" s="1" t="n">
        <v>45787</v>
      </c>
      <c r="D452" t="inlineStr">
        <is>
          <t>JÄMTLANDS LÄN</t>
        </is>
      </c>
      <c r="E452" t="inlineStr">
        <is>
          <t>BERG</t>
        </is>
      </c>
      <c r="G452" t="n">
        <v>9.9</v>
      </c>
      <c r="H452" t="n">
        <v>0</v>
      </c>
      <c r="I452" t="n">
        <v>0</v>
      </c>
      <c r="J452" t="n">
        <v>0</v>
      </c>
      <c r="K452" t="n">
        <v>0</v>
      </c>
      <c r="L452" t="n">
        <v>0</v>
      </c>
      <c r="M452" t="n">
        <v>0</v>
      </c>
      <c r="N452" t="n">
        <v>0</v>
      </c>
      <c r="O452" t="n">
        <v>0</v>
      </c>
      <c r="P452" t="n">
        <v>0</v>
      </c>
      <c r="Q452" t="n">
        <v>0</v>
      </c>
      <c r="R452" s="2" t="inlineStr"/>
    </row>
    <row r="453" ht="15" customHeight="1">
      <c r="A453" t="inlineStr">
        <is>
          <t>A 72264-2021</t>
        </is>
      </c>
      <c r="B453" s="1" t="n">
        <v>44543</v>
      </c>
      <c r="C453" s="1" t="n">
        <v>45787</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72498-2021</t>
        </is>
      </c>
      <c r="B454" s="1" t="n">
        <v>44545</v>
      </c>
      <c r="C454" s="1" t="n">
        <v>45787</v>
      </c>
      <c r="D454" t="inlineStr">
        <is>
          <t>JÄMTLANDS LÄN</t>
        </is>
      </c>
      <c r="E454" t="inlineStr">
        <is>
          <t>BERG</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72926-2021</t>
        </is>
      </c>
      <c r="B455" s="1" t="n">
        <v>44546</v>
      </c>
      <c r="C455" s="1" t="n">
        <v>45787</v>
      </c>
      <c r="D455" t="inlineStr">
        <is>
          <t>JÄMTLANDS LÄN</t>
        </is>
      </c>
      <c r="E455" t="inlineStr">
        <is>
          <t>BERG</t>
        </is>
      </c>
      <c r="G455" t="n">
        <v>4.6</v>
      </c>
      <c r="H455" t="n">
        <v>0</v>
      </c>
      <c r="I455" t="n">
        <v>0</v>
      </c>
      <c r="J455" t="n">
        <v>0</v>
      </c>
      <c r="K455" t="n">
        <v>0</v>
      </c>
      <c r="L455" t="n">
        <v>0</v>
      </c>
      <c r="M455" t="n">
        <v>0</v>
      </c>
      <c r="N455" t="n">
        <v>0</v>
      </c>
      <c r="O455" t="n">
        <v>0</v>
      </c>
      <c r="P455" t="n">
        <v>0</v>
      </c>
      <c r="Q455" t="n">
        <v>0</v>
      </c>
      <c r="R455" s="2" t="inlineStr"/>
    </row>
    <row r="456" ht="15" customHeight="1">
      <c r="A456" t="inlineStr">
        <is>
          <t>A 73586-2021</t>
        </is>
      </c>
      <c r="B456" s="1" t="n">
        <v>44551</v>
      </c>
      <c r="C456" s="1" t="n">
        <v>45787</v>
      </c>
      <c r="D456" t="inlineStr">
        <is>
          <t>JÄMTLANDS LÄN</t>
        </is>
      </c>
      <c r="E456" t="inlineStr">
        <is>
          <t>BERG</t>
        </is>
      </c>
      <c r="G456" t="n">
        <v>5.1</v>
      </c>
      <c r="H456" t="n">
        <v>0</v>
      </c>
      <c r="I456" t="n">
        <v>0</v>
      </c>
      <c r="J456" t="n">
        <v>0</v>
      </c>
      <c r="K456" t="n">
        <v>0</v>
      </c>
      <c r="L456" t="n">
        <v>0</v>
      </c>
      <c r="M456" t="n">
        <v>0</v>
      </c>
      <c r="N456" t="n">
        <v>0</v>
      </c>
      <c r="O456" t="n">
        <v>0</v>
      </c>
      <c r="P456" t="n">
        <v>0</v>
      </c>
      <c r="Q456" t="n">
        <v>0</v>
      </c>
      <c r="R456" s="2" t="inlineStr"/>
    </row>
    <row r="457" ht="15" customHeight="1">
      <c r="A457" t="inlineStr">
        <is>
          <t>A 164-2022</t>
        </is>
      </c>
      <c r="B457" s="1" t="n">
        <v>44564</v>
      </c>
      <c r="C457" s="1" t="n">
        <v>45787</v>
      </c>
      <c r="D457" t="inlineStr">
        <is>
          <t>JÄMTLANDS LÄN</t>
        </is>
      </c>
      <c r="E457" t="inlineStr">
        <is>
          <t>BERG</t>
        </is>
      </c>
      <c r="G457" t="n">
        <v>12.4</v>
      </c>
      <c r="H457" t="n">
        <v>0</v>
      </c>
      <c r="I457" t="n">
        <v>0</v>
      </c>
      <c r="J457" t="n">
        <v>0</v>
      </c>
      <c r="K457" t="n">
        <v>0</v>
      </c>
      <c r="L457" t="n">
        <v>0</v>
      </c>
      <c r="M457" t="n">
        <v>0</v>
      </c>
      <c r="N457" t="n">
        <v>0</v>
      </c>
      <c r="O457" t="n">
        <v>0</v>
      </c>
      <c r="P457" t="n">
        <v>0</v>
      </c>
      <c r="Q457" t="n">
        <v>0</v>
      </c>
      <c r="R457" s="2" t="inlineStr"/>
    </row>
    <row r="458" ht="15" customHeight="1">
      <c r="A458" t="inlineStr">
        <is>
          <t>A 171-2022</t>
        </is>
      </c>
      <c r="B458" s="1" t="n">
        <v>44564</v>
      </c>
      <c r="C458" s="1" t="n">
        <v>45787</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1344-2022</t>
        </is>
      </c>
      <c r="B459" s="1" t="n">
        <v>44572</v>
      </c>
      <c r="C459" s="1" t="n">
        <v>45787</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1520-2022</t>
        </is>
      </c>
      <c r="B460" s="1" t="n">
        <v>44572</v>
      </c>
      <c r="C460" s="1" t="n">
        <v>45787</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1559-2022</t>
        </is>
      </c>
      <c r="B461" s="1" t="n">
        <v>44573</v>
      </c>
      <c r="C461" s="1" t="n">
        <v>45787</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1983-2022</t>
        </is>
      </c>
      <c r="B462" s="1" t="n">
        <v>44575</v>
      </c>
      <c r="C462" s="1" t="n">
        <v>45787</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2002-2022</t>
        </is>
      </c>
      <c r="B463" s="1" t="n">
        <v>44575</v>
      </c>
      <c r="C463" s="1" t="n">
        <v>45787</v>
      </c>
      <c r="D463" t="inlineStr">
        <is>
          <t>JÄMTLANDS LÄN</t>
        </is>
      </c>
      <c r="E463" t="inlineStr">
        <is>
          <t>BERG</t>
        </is>
      </c>
      <c r="G463" t="n">
        <v>11.3</v>
      </c>
      <c r="H463" t="n">
        <v>0</v>
      </c>
      <c r="I463" t="n">
        <v>0</v>
      </c>
      <c r="J463" t="n">
        <v>0</v>
      </c>
      <c r="K463" t="n">
        <v>0</v>
      </c>
      <c r="L463" t="n">
        <v>0</v>
      </c>
      <c r="M463" t="n">
        <v>0</v>
      </c>
      <c r="N463" t="n">
        <v>0</v>
      </c>
      <c r="O463" t="n">
        <v>0</v>
      </c>
      <c r="P463" t="n">
        <v>0</v>
      </c>
      <c r="Q463" t="n">
        <v>0</v>
      </c>
      <c r="R463" s="2" t="inlineStr"/>
    </row>
    <row r="464" ht="15" customHeight="1">
      <c r="A464" t="inlineStr">
        <is>
          <t>A 2009-2022</t>
        </is>
      </c>
      <c r="B464" s="1" t="n">
        <v>44575</v>
      </c>
      <c r="C464" s="1" t="n">
        <v>45787</v>
      </c>
      <c r="D464" t="inlineStr">
        <is>
          <t>JÄMTLANDS LÄN</t>
        </is>
      </c>
      <c r="E464" t="inlineStr">
        <is>
          <t>BERG</t>
        </is>
      </c>
      <c r="G464" t="n">
        <v>11.9</v>
      </c>
      <c r="H464" t="n">
        <v>0</v>
      </c>
      <c r="I464" t="n">
        <v>0</v>
      </c>
      <c r="J464" t="n">
        <v>0</v>
      </c>
      <c r="K464" t="n">
        <v>0</v>
      </c>
      <c r="L464" t="n">
        <v>0</v>
      </c>
      <c r="M464" t="n">
        <v>0</v>
      </c>
      <c r="N464" t="n">
        <v>0</v>
      </c>
      <c r="O464" t="n">
        <v>0</v>
      </c>
      <c r="P464" t="n">
        <v>0</v>
      </c>
      <c r="Q464" t="n">
        <v>0</v>
      </c>
      <c r="R464" s="2" t="inlineStr"/>
    </row>
    <row r="465" ht="15" customHeight="1">
      <c r="A465" t="inlineStr">
        <is>
          <t>A 2010-2022</t>
        </is>
      </c>
      <c r="B465" s="1" t="n">
        <v>44575</v>
      </c>
      <c r="C465" s="1" t="n">
        <v>45787</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1982-2022</t>
        </is>
      </c>
      <c r="B466" s="1" t="n">
        <v>44575</v>
      </c>
      <c r="C466" s="1" t="n">
        <v>45787</v>
      </c>
      <c r="D466" t="inlineStr">
        <is>
          <t>JÄMTLANDS LÄN</t>
        </is>
      </c>
      <c r="E466" t="inlineStr">
        <is>
          <t>BERG</t>
        </is>
      </c>
      <c r="G466" t="n">
        <v>1.6</v>
      </c>
      <c r="H466" t="n">
        <v>0</v>
      </c>
      <c r="I466" t="n">
        <v>0</v>
      </c>
      <c r="J466" t="n">
        <v>0</v>
      </c>
      <c r="K466" t="n">
        <v>0</v>
      </c>
      <c r="L466" t="n">
        <v>0</v>
      </c>
      <c r="M466" t="n">
        <v>0</v>
      </c>
      <c r="N466" t="n">
        <v>0</v>
      </c>
      <c r="O466" t="n">
        <v>0</v>
      </c>
      <c r="P466" t="n">
        <v>0</v>
      </c>
      <c r="Q466" t="n">
        <v>0</v>
      </c>
      <c r="R466" s="2" t="inlineStr"/>
    </row>
    <row r="467" ht="15" customHeight="1">
      <c r="A467" t="inlineStr">
        <is>
          <t>A 2076-2022</t>
        </is>
      </c>
      <c r="B467" s="1" t="n">
        <v>44575</v>
      </c>
      <c r="C467" s="1" t="n">
        <v>45787</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2539-2022</t>
        </is>
      </c>
      <c r="B468" s="1" t="n">
        <v>44580</v>
      </c>
      <c r="C468" s="1" t="n">
        <v>45787</v>
      </c>
      <c r="D468" t="inlineStr">
        <is>
          <t>JÄMTLANDS LÄN</t>
        </is>
      </c>
      <c r="E468" t="inlineStr">
        <is>
          <t>BERG</t>
        </is>
      </c>
      <c r="G468" t="n">
        <v>6.3</v>
      </c>
      <c r="H468" t="n">
        <v>0</v>
      </c>
      <c r="I468" t="n">
        <v>0</v>
      </c>
      <c r="J468" t="n">
        <v>0</v>
      </c>
      <c r="K468" t="n">
        <v>0</v>
      </c>
      <c r="L468" t="n">
        <v>0</v>
      </c>
      <c r="M468" t="n">
        <v>0</v>
      </c>
      <c r="N468" t="n">
        <v>0</v>
      </c>
      <c r="O468" t="n">
        <v>0</v>
      </c>
      <c r="P468" t="n">
        <v>0</v>
      </c>
      <c r="Q468" t="n">
        <v>0</v>
      </c>
      <c r="R468" s="2" t="inlineStr"/>
    </row>
    <row r="469" ht="15" customHeight="1">
      <c r="A469" t="inlineStr">
        <is>
          <t>A 2544-2022</t>
        </is>
      </c>
      <c r="B469" s="1" t="n">
        <v>44580</v>
      </c>
      <c r="C469" s="1" t="n">
        <v>45787</v>
      </c>
      <c r="D469" t="inlineStr">
        <is>
          <t>JÄMTLANDS LÄN</t>
        </is>
      </c>
      <c r="E469" t="inlineStr">
        <is>
          <t>BERG</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3543-2022</t>
        </is>
      </c>
      <c r="B470" s="1" t="n">
        <v>44585</v>
      </c>
      <c r="C470" s="1" t="n">
        <v>45787</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3801-2022</t>
        </is>
      </c>
      <c r="B471" s="1" t="n">
        <v>44586</v>
      </c>
      <c r="C471" s="1" t="n">
        <v>45787</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3798-2022</t>
        </is>
      </c>
      <c r="B472" s="1" t="n">
        <v>44586</v>
      </c>
      <c r="C472" s="1" t="n">
        <v>45787</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3891-2022</t>
        </is>
      </c>
      <c r="B473" s="1" t="n">
        <v>44587</v>
      </c>
      <c r="C473" s="1" t="n">
        <v>45787</v>
      </c>
      <c r="D473" t="inlineStr">
        <is>
          <t>JÄMTLANDS LÄN</t>
        </is>
      </c>
      <c r="E473" t="inlineStr">
        <is>
          <t>BERG</t>
        </is>
      </c>
      <c r="G473" t="n">
        <v>2.6</v>
      </c>
      <c r="H473" t="n">
        <v>0</v>
      </c>
      <c r="I473" t="n">
        <v>0</v>
      </c>
      <c r="J473" t="n">
        <v>0</v>
      </c>
      <c r="K473" t="n">
        <v>0</v>
      </c>
      <c r="L473" t="n">
        <v>0</v>
      </c>
      <c r="M473" t="n">
        <v>0</v>
      </c>
      <c r="N473" t="n">
        <v>0</v>
      </c>
      <c r="O473" t="n">
        <v>0</v>
      </c>
      <c r="P473" t="n">
        <v>0</v>
      </c>
      <c r="Q473" t="n">
        <v>0</v>
      </c>
      <c r="R473" s="2" t="inlineStr"/>
    </row>
    <row r="474" ht="15" customHeight="1">
      <c r="A474" t="inlineStr">
        <is>
          <t>A 3870-2022</t>
        </is>
      </c>
      <c r="B474" s="1" t="n">
        <v>44587</v>
      </c>
      <c r="C474" s="1" t="n">
        <v>45787</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3983-2022</t>
        </is>
      </c>
      <c r="B475" s="1" t="n">
        <v>44587</v>
      </c>
      <c r="C475" s="1" t="n">
        <v>45787</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5221-2022</t>
        </is>
      </c>
      <c r="B476" s="1" t="n">
        <v>44594</v>
      </c>
      <c r="C476" s="1" t="n">
        <v>45787</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5219-2022</t>
        </is>
      </c>
      <c r="B477" s="1" t="n">
        <v>44594</v>
      </c>
      <c r="C477" s="1" t="n">
        <v>45787</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5222-2022</t>
        </is>
      </c>
      <c r="B478" s="1" t="n">
        <v>44594</v>
      </c>
      <c r="C478" s="1" t="n">
        <v>45787</v>
      </c>
      <c r="D478" t="inlineStr">
        <is>
          <t>JÄMTLANDS LÄN</t>
        </is>
      </c>
      <c r="E478" t="inlineStr">
        <is>
          <t>BERG</t>
        </is>
      </c>
      <c r="G478" t="n">
        <v>12.3</v>
      </c>
      <c r="H478" t="n">
        <v>0</v>
      </c>
      <c r="I478" t="n">
        <v>0</v>
      </c>
      <c r="J478" t="n">
        <v>0</v>
      </c>
      <c r="K478" t="n">
        <v>0</v>
      </c>
      <c r="L478" t="n">
        <v>0</v>
      </c>
      <c r="M478" t="n">
        <v>0</v>
      </c>
      <c r="N478" t="n">
        <v>0</v>
      </c>
      <c r="O478" t="n">
        <v>0</v>
      </c>
      <c r="P478" t="n">
        <v>0</v>
      </c>
      <c r="Q478" t="n">
        <v>0</v>
      </c>
      <c r="R478" s="2" t="inlineStr"/>
    </row>
    <row r="479" ht="15" customHeight="1">
      <c r="A479" t="inlineStr">
        <is>
          <t>A 5218-2022</t>
        </is>
      </c>
      <c r="B479" s="1" t="n">
        <v>44594</v>
      </c>
      <c r="C479" s="1" t="n">
        <v>45787</v>
      </c>
      <c r="D479" t="inlineStr">
        <is>
          <t>JÄMTLANDS LÄN</t>
        </is>
      </c>
      <c r="E479" t="inlineStr">
        <is>
          <t>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6090-2022</t>
        </is>
      </c>
      <c r="B480" s="1" t="n">
        <v>44599</v>
      </c>
      <c r="C480" s="1" t="n">
        <v>45787</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6919-2022</t>
        </is>
      </c>
      <c r="B481" s="1" t="n">
        <v>44602</v>
      </c>
      <c r="C481" s="1" t="n">
        <v>45787</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6943-2022</t>
        </is>
      </c>
      <c r="B482" s="1" t="n">
        <v>44603</v>
      </c>
      <c r="C482" s="1" t="n">
        <v>45787</v>
      </c>
      <c r="D482" t="inlineStr">
        <is>
          <t>JÄMTLANDS LÄN</t>
        </is>
      </c>
      <c r="E482" t="inlineStr">
        <is>
          <t>BERG</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7482-2022</t>
        </is>
      </c>
      <c r="B483" s="1" t="n">
        <v>44606</v>
      </c>
      <c r="C483" s="1" t="n">
        <v>45787</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7447-2022</t>
        </is>
      </c>
      <c r="B484" s="1" t="n">
        <v>44606</v>
      </c>
      <c r="C484" s="1" t="n">
        <v>45787</v>
      </c>
      <c r="D484" t="inlineStr">
        <is>
          <t>JÄMTLANDS LÄN</t>
        </is>
      </c>
      <c r="E484" t="inlineStr">
        <is>
          <t>BERG</t>
        </is>
      </c>
      <c r="G484" t="n">
        <v>0.9</v>
      </c>
      <c r="H484" t="n">
        <v>0</v>
      </c>
      <c r="I484" t="n">
        <v>0</v>
      </c>
      <c r="J484" t="n">
        <v>0</v>
      </c>
      <c r="K484" t="n">
        <v>0</v>
      </c>
      <c r="L484" t="n">
        <v>0</v>
      </c>
      <c r="M484" t="n">
        <v>0</v>
      </c>
      <c r="N484" t="n">
        <v>0</v>
      </c>
      <c r="O484" t="n">
        <v>0</v>
      </c>
      <c r="P484" t="n">
        <v>0</v>
      </c>
      <c r="Q484" t="n">
        <v>0</v>
      </c>
      <c r="R484" s="2" t="inlineStr"/>
    </row>
    <row r="485" ht="15" customHeight="1">
      <c r="A485" t="inlineStr">
        <is>
          <t>A 8388-2022</t>
        </is>
      </c>
      <c r="B485" s="1" t="n">
        <v>44610</v>
      </c>
      <c r="C485" s="1" t="n">
        <v>45787</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8594-2022</t>
        </is>
      </c>
      <c r="B486" s="1" t="n">
        <v>44613</v>
      </c>
      <c r="C486" s="1" t="n">
        <v>45787</v>
      </c>
      <c r="D486" t="inlineStr">
        <is>
          <t>JÄMTLANDS LÄN</t>
        </is>
      </c>
      <c r="E486" t="inlineStr">
        <is>
          <t>BERG</t>
        </is>
      </c>
      <c r="G486" t="n">
        <v>4.2</v>
      </c>
      <c r="H486" t="n">
        <v>0</v>
      </c>
      <c r="I486" t="n">
        <v>0</v>
      </c>
      <c r="J486" t="n">
        <v>0</v>
      </c>
      <c r="K486" t="n">
        <v>0</v>
      </c>
      <c r="L486" t="n">
        <v>0</v>
      </c>
      <c r="M486" t="n">
        <v>0</v>
      </c>
      <c r="N486" t="n">
        <v>0</v>
      </c>
      <c r="O486" t="n">
        <v>0</v>
      </c>
      <c r="P486" t="n">
        <v>0</v>
      </c>
      <c r="Q486" t="n">
        <v>0</v>
      </c>
      <c r="R486" s="2" t="inlineStr"/>
    </row>
    <row r="487" ht="15" customHeight="1">
      <c r="A487" t="inlineStr">
        <is>
          <t>A 9114-2022</t>
        </is>
      </c>
      <c r="B487" s="1" t="n">
        <v>44615</v>
      </c>
      <c r="C487" s="1" t="n">
        <v>45787</v>
      </c>
      <c r="D487" t="inlineStr">
        <is>
          <t>JÄMTLANDS LÄN</t>
        </is>
      </c>
      <c r="E487" t="inlineStr">
        <is>
          <t>BERG</t>
        </is>
      </c>
      <c r="G487" t="n">
        <v>2.9</v>
      </c>
      <c r="H487" t="n">
        <v>0</v>
      </c>
      <c r="I487" t="n">
        <v>0</v>
      </c>
      <c r="J487" t="n">
        <v>0</v>
      </c>
      <c r="K487" t="n">
        <v>0</v>
      </c>
      <c r="L487" t="n">
        <v>0</v>
      </c>
      <c r="M487" t="n">
        <v>0</v>
      </c>
      <c r="N487" t="n">
        <v>0</v>
      </c>
      <c r="O487" t="n">
        <v>0</v>
      </c>
      <c r="P487" t="n">
        <v>0</v>
      </c>
      <c r="Q487" t="n">
        <v>0</v>
      </c>
      <c r="R487" s="2" t="inlineStr"/>
    </row>
    <row r="488" ht="15" customHeight="1">
      <c r="A488" t="inlineStr">
        <is>
          <t>A 12457-2022</t>
        </is>
      </c>
      <c r="B488" s="1" t="n">
        <v>44638</v>
      </c>
      <c r="C488" s="1" t="n">
        <v>45787</v>
      </c>
      <c r="D488" t="inlineStr">
        <is>
          <t>JÄMTLANDS LÄN</t>
        </is>
      </c>
      <c r="E488" t="inlineStr">
        <is>
          <t>BERG</t>
        </is>
      </c>
      <c r="G488" t="n">
        <v>11.7</v>
      </c>
      <c r="H488" t="n">
        <v>0</v>
      </c>
      <c r="I488" t="n">
        <v>0</v>
      </c>
      <c r="J488" t="n">
        <v>0</v>
      </c>
      <c r="K488" t="n">
        <v>0</v>
      </c>
      <c r="L488" t="n">
        <v>0</v>
      </c>
      <c r="M488" t="n">
        <v>0</v>
      </c>
      <c r="N488" t="n">
        <v>0</v>
      </c>
      <c r="O488" t="n">
        <v>0</v>
      </c>
      <c r="P488" t="n">
        <v>0</v>
      </c>
      <c r="Q488" t="n">
        <v>0</v>
      </c>
      <c r="R488" s="2" t="inlineStr"/>
    </row>
    <row r="489" ht="15" customHeight="1">
      <c r="A489" t="inlineStr">
        <is>
          <t>A 13634-2022</t>
        </is>
      </c>
      <c r="B489" s="1" t="n">
        <v>44648</v>
      </c>
      <c r="C489" s="1" t="n">
        <v>45787</v>
      </c>
      <c r="D489" t="inlineStr">
        <is>
          <t>JÄMTLANDS LÄN</t>
        </is>
      </c>
      <c r="E489" t="inlineStr">
        <is>
          <t>BERG</t>
        </is>
      </c>
      <c r="G489" t="n">
        <v>3.8</v>
      </c>
      <c r="H489" t="n">
        <v>0</v>
      </c>
      <c r="I489" t="n">
        <v>0</v>
      </c>
      <c r="J489" t="n">
        <v>0</v>
      </c>
      <c r="K489" t="n">
        <v>0</v>
      </c>
      <c r="L489" t="n">
        <v>0</v>
      </c>
      <c r="M489" t="n">
        <v>0</v>
      </c>
      <c r="N489" t="n">
        <v>0</v>
      </c>
      <c r="O489" t="n">
        <v>0</v>
      </c>
      <c r="P489" t="n">
        <v>0</v>
      </c>
      <c r="Q489" t="n">
        <v>0</v>
      </c>
      <c r="R489" s="2" t="inlineStr"/>
    </row>
    <row r="490" ht="15" customHeight="1">
      <c r="A490" t="inlineStr">
        <is>
          <t>A 13636-2022</t>
        </is>
      </c>
      <c r="B490" s="1" t="n">
        <v>44648</v>
      </c>
      <c r="C490" s="1" t="n">
        <v>45787</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14506-2022</t>
        </is>
      </c>
      <c r="B491" s="1" t="n">
        <v>44655</v>
      </c>
      <c r="C491" s="1" t="n">
        <v>45787</v>
      </c>
      <c r="D491" t="inlineStr">
        <is>
          <t>JÄMTLANDS LÄN</t>
        </is>
      </c>
      <c r="E491" t="inlineStr">
        <is>
          <t>BERG</t>
        </is>
      </c>
      <c r="G491" t="n">
        <v>16.9</v>
      </c>
      <c r="H491" t="n">
        <v>0</v>
      </c>
      <c r="I491" t="n">
        <v>0</v>
      </c>
      <c r="J491" t="n">
        <v>0</v>
      </c>
      <c r="K491" t="n">
        <v>0</v>
      </c>
      <c r="L491" t="n">
        <v>0</v>
      </c>
      <c r="M491" t="n">
        <v>0</v>
      </c>
      <c r="N491" t="n">
        <v>0</v>
      </c>
      <c r="O491" t="n">
        <v>0</v>
      </c>
      <c r="P491" t="n">
        <v>0</v>
      </c>
      <c r="Q491" t="n">
        <v>0</v>
      </c>
      <c r="R491" s="2" t="inlineStr"/>
    </row>
    <row r="492" ht="15" customHeight="1">
      <c r="A492" t="inlineStr">
        <is>
          <t>A 17750-2022</t>
        </is>
      </c>
      <c r="B492" s="1" t="n">
        <v>44680</v>
      </c>
      <c r="C492" s="1" t="n">
        <v>45787</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17746-2022</t>
        </is>
      </c>
      <c r="B493" s="1" t="n">
        <v>44681</v>
      </c>
      <c r="C493" s="1" t="n">
        <v>45787</v>
      </c>
      <c r="D493" t="inlineStr">
        <is>
          <t>JÄMTLANDS LÄN</t>
        </is>
      </c>
      <c r="E493" t="inlineStr">
        <is>
          <t>BERG</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18261-2022</t>
        </is>
      </c>
      <c r="B494" s="1" t="n">
        <v>44685</v>
      </c>
      <c r="C494" s="1" t="n">
        <v>45787</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18629-2022</t>
        </is>
      </c>
      <c r="B495" s="1" t="n">
        <v>44687</v>
      </c>
      <c r="C495" s="1" t="n">
        <v>45787</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19004-2022</t>
        </is>
      </c>
      <c r="B496" s="1" t="n">
        <v>44691</v>
      </c>
      <c r="C496" s="1" t="n">
        <v>45787</v>
      </c>
      <c r="D496" t="inlineStr">
        <is>
          <t>JÄMTLANDS LÄN</t>
        </is>
      </c>
      <c r="E496" t="inlineStr">
        <is>
          <t>BERG</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19807-2022</t>
        </is>
      </c>
      <c r="B497" s="1" t="n">
        <v>44694</v>
      </c>
      <c r="C497" s="1" t="n">
        <v>45787</v>
      </c>
      <c r="D497" t="inlineStr">
        <is>
          <t>JÄMTLANDS LÄN</t>
        </is>
      </c>
      <c r="E497" t="inlineStr">
        <is>
          <t>BERG</t>
        </is>
      </c>
      <c r="G497" t="n">
        <v>14.9</v>
      </c>
      <c r="H497" t="n">
        <v>0</v>
      </c>
      <c r="I497" t="n">
        <v>0</v>
      </c>
      <c r="J497" t="n">
        <v>0</v>
      </c>
      <c r="K497" t="n">
        <v>0</v>
      </c>
      <c r="L497" t="n">
        <v>0</v>
      </c>
      <c r="M497" t="n">
        <v>0</v>
      </c>
      <c r="N497" t="n">
        <v>0</v>
      </c>
      <c r="O497" t="n">
        <v>0</v>
      </c>
      <c r="P497" t="n">
        <v>0</v>
      </c>
      <c r="Q497" t="n">
        <v>0</v>
      </c>
      <c r="R497" s="2" t="inlineStr"/>
    </row>
    <row r="498" ht="15" customHeight="1">
      <c r="A498" t="inlineStr">
        <is>
          <t>A 19809-2022</t>
        </is>
      </c>
      <c r="B498" s="1" t="n">
        <v>44694</v>
      </c>
      <c r="C498" s="1" t="n">
        <v>45787</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19818-2022</t>
        </is>
      </c>
      <c r="B499" s="1" t="n">
        <v>44695</v>
      </c>
      <c r="C499" s="1" t="n">
        <v>45787</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20304-2022</t>
        </is>
      </c>
      <c r="B500" s="1" t="n">
        <v>44699</v>
      </c>
      <c r="C500" s="1" t="n">
        <v>45787</v>
      </c>
      <c r="D500" t="inlineStr">
        <is>
          <t>JÄMTLANDS LÄN</t>
        </is>
      </c>
      <c r="E500" t="inlineStr">
        <is>
          <t>BERG</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21064-2022</t>
        </is>
      </c>
      <c r="B501" s="1" t="n">
        <v>44704</v>
      </c>
      <c r="C501" s="1" t="n">
        <v>45787</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21080-2022</t>
        </is>
      </c>
      <c r="B502" s="1" t="n">
        <v>44704</v>
      </c>
      <c r="C502" s="1" t="n">
        <v>45787</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21203-2022</t>
        </is>
      </c>
      <c r="B503" s="1" t="n">
        <v>44705</v>
      </c>
      <c r="C503" s="1" t="n">
        <v>45787</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21201-2022</t>
        </is>
      </c>
      <c r="B504" s="1" t="n">
        <v>44705</v>
      </c>
      <c r="C504" s="1" t="n">
        <v>45787</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21202-2022</t>
        </is>
      </c>
      <c r="B505" s="1" t="n">
        <v>44705</v>
      </c>
      <c r="C505" s="1" t="n">
        <v>45787</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21200-2022</t>
        </is>
      </c>
      <c r="B506" s="1" t="n">
        <v>44705</v>
      </c>
      <c r="C506" s="1" t="n">
        <v>45787</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21403-2022</t>
        </is>
      </c>
      <c r="B507" s="1" t="n">
        <v>44706</v>
      </c>
      <c r="C507" s="1" t="n">
        <v>45787</v>
      </c>
      <c r="D507" t="inlineStr">
        <is>
          <t>JÄMTLANDS LÄN</t>
        </is>
      </c>
      <c r="E507" t="inlineStr">
        <is>
          <t>BERG</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21400-2022</t>
        </is>
      </c>
      <c r="B508" s="1" t="n">
        <v>44706</v>
      </c>
      <c r="C508" s="1" t="n">
        <v>45787</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21401-2022</t>
        </is>
      </c>
      <c r="B509" s="1" t="n">
        <v>44706</v>
      </c>
      <c r="C509" s="1" t="n">
        <v>45787</v>
      </c>
      <c r="D509" t="inlineStr">
        <is>
          <t>JÄMTLANDS LÄN</t>
        </is>
      </c>
      <c r="E509" t="inlineStr">
        <is>
          <t>BERG</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22275-2022</t>
        </is>
      </c>
      <c r="B510" s="1" t="n">
        <v>44712</v>
      </c>
      <c r="C510" s="1" t="n">
        <v>45787</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22297-2022</t>
        </is>
      </c>
      <c r="B511" s="1" t="n">
        <v>44712</v>
      </c>
      <c r="C511" s="1" t="n">
        <v>45787</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22680-2022</t>
        </is>
      </c>
      <c r="B512" s="1" t="n">
        <v>44714</v>
      </c>
      <c r="C512" s="1" t="n">
        <v>45787</v>
      </c>
      <c r="D512" t="inlineStr">
        <is>
          <t>JÄMTLANDS LÄN</t>
        </is>
      </c>
      <c r="E512" t="inlineStr">
        <is>
          <t>BERG</t>
        </is>
      </c>
      <c r="G512" t="n">
        <v>15.4</v>
      </c>
      <c r="H512" t="n">
        <v>0</v>
      </c>
      <c r="I512" t="n">
        <v>0</v>
      </c>
      <c r="J512" t="n">
        <v>0</v>
      </c>
      <c r="K512" t="n">
        <v>0</v>
      </c>
      <c r="L512" t="n">
        <v>0</v>
      </c>
      <c r="M512" t="n">
        <v>0</v>
      </c>
      <c r="N512" t="n">
        <v>0</v>
      </c>
      <c r="O512" t="n">
        <v>0</v>
      </c>
      <c r="P512" t="n">
        <v>0</v>
      </c>
      <c r="Q512" t="n">
        <v>0</v>
      </c>
      <c r="R512" s="2" t="inlineStr"/>
    </row>
    <row r="513" ht="15" customHeight="1">
      <c r="A513" t="inlineStr">
        <is>
          <t>A 22947-2022</t>
        </is>
      </c>
      <c r="B513" s="1" t="n">
        <v>44716</v>
      </c>
      <c r="C513" s="1" t="n">
        <v>45787</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23451-2022</t>
        </is>
      </c>
      <c r="B514" s="1" t="n">
        <v>44721</v>
      </c>
      <c r="C514" s="1" t="n">
        <v>45787</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24119-2022</t>
        </is>
      </c>
      <c r="B515" s="1" t="n">
        <v>44725</v>
      </c>
      <c r="C515" s="1" t="n">
        <v>45787</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24378-2022</t>
        </is>
      </c>
      <c r="B516" s="1" t="n">
        <v>44726</v>
      </c>
      <c r="C516" s="1" t="n">
        <v>45787</v>
      </c>
      <c r="D516" t="inlineStr">
        <is>
          <t>JÄMTLANDS LÄN</t>
        </is>
      </c>
      <c r="E516" t="inlineStr">
        <is>
          <t>BERG</t>
        </is>
      </c>
      <c r="G516" t="n">
        <v>4</v>
      </c>
      <c r="H516" t="n">
        <v>0</v>
      </c>
      <c r="I516" t="n">
        <v>0</v>
      </c>
      <c r="J516" t="n">
        <v>0</v>
      </c>
      <c r="K516" t="n">
        <v>0</v>
      </c>
      <c r="L516" t="n">
        <v>0</v>
      </c>
      <c r="M516" t="n">
        <v>0</v>
      </c>
      <c r="N516" t="n">
        <v>0</v>
      </c>
      <c r="O516" t="n">
        <v>0</v>
      </c>
      <c r="P516" t="n">
        <v>0</v>
      </c>
      <c r="Q516" t="n">
        <v>0</v>
      </c>
      <c r="R516" s="2" t="inlineStr"/>
    </row>
    <row r="517" ht="15" customHeight="1">
      <c r="A517" t="inlineStr">
        <is>
          <t>A 24661-2022</t>
        </is>
      </c>
      <c r="B517" s="1" t="n">
        <v>44727</v>
      </c>
      <c r="C517" s="1" t="n">
        <v>45787</v>
      </c>
      <c r="D517" t="inlineStr">
        <is>
          <t>JÄMTLANDS LÄN</t>
        </is>
      </c>
      <c r="E517" t="inlineStr">
        <is>
          <t>BERG</t>
        </is>
      </c>
      <c r="G517" t="n">
        <v>7.6</v>
      </c>
      <c r="H517" t="n">
        <v>0</v>
      </c>
      <c r="I517" t="n">
        <v>0</v>
      </c>
      <c r="J517" t="n">
        <v>0</v>
      </c>
      <c r="K517" t="n">
        <v>0</v>
      </c>
      <c r="L517" t="n">
        <v>0</v>
      </c>
      <c r="M517" t="n">
        <v>0</v>
      </c>
      <c r="N517" t="n">
        <v>0</v>
      </c>
      <c r="O517" t="n">
        <v>0</v>
      </c>
      <c r="P517" t="n">
        <v>0</v>
      </c>
      <c r="Q517" t="n">
        <v>0</v>
      </c>
      <c r="R517" s="2" t="inlineStr"/>
    </row>
    <row r="518" ht="15" customHeight="1">
      <c r="A518" t="inlineStr">
        <is>
          <t>A 25265-2022</t>
        </is>
      </c>
      <c r="B518" s="1" t="n">
        <v>44730</v>
      </c>
      <c r="C518" s="1" t="n">
        <v>45787</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25264-2022</t>
        </is>
      </c>
      <c r="B519" s="1" t="n">
        <v>44730</v>
      </c>
      <c r="C519" s="1" t="n">
        <v>45787</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25266-2022</t>
        </is>
      </c>
      <c r="B520" s="1" t="n">
        <v>44729</v>
      </c>
      <c r="C520" s="1" t="n">
        <v>45787</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25657-2022</t>
        </is>
      </c>
      <c r="B521" s="1" t="n">
        <v>44733</v>
      </c>
      <c r="C521" s="1" t="n">
        <v>45787</v>
      </c>
      <c r="D521" t="inlineStr">
        <is>
          <t>JÄMTLANDS LÄN</t>
        </is>
      </c>
      <c r="E521" t="inlineStr">
        <is>
          <t>BERG</t>
        </is>
      </c>
      <c r="F521" t="inlineStr">
        <is>
          <t>SCA</t>
        </is>
      </c>
      <c r="G521" t="n">
        <v>10.5</v>
      </c>
      <c r="H521" t="n">
        <v>0</v>
      </c>
      <c r="I521" t="n">
        <v>0</v>
      </c>
      <c r="J521" t="n">
        <v>0</v>
      </c>
      <c r="K521" t="n">
        <v>0</v>
      </c>
      <c r="L521" t="n">
        <v>0</v>
      </c>
      <c r="M521" t="n">
        <v>0</v>
      </c>
      <c r="N521" t="n">
        <v>0</v>
      </c>
      <c r="O521" t="n">
        <v>0</v>
      </c>
      <c r="P521" t="n">
        <v>0</v>
      </c>
      <c r="Q521" t="n">
        <v>0</v>
      </c>
      <c r="R521" s="2" t="inlineStr"/>
    </row>
    <row r="522" ht="15" customHeight="1">
      <c r="A522" t="inlineStr">
        <is>
          <t>A 26062-2022</t>
        </is>
      </c>
      <c r="B522" s="1" t="n">
        <v>44734</v>
      </c>
      <c r="C522" s="1" t="n">
        <v>45787</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26405-2022</t>
        </is>
      </c>
      <c r="B523" s="1" t="n">
        <v>44735</v>
      </c>
      <c r="C523" s="1" t="n">
        <v>45787</v>
      </c>
      <c r="D523" t="inlineStr">
        <is>
          <t>JÄMTLANDS LÄN</t>
        </is>
      </c>
      <c r="E523" t="inlineStr">
        <is>
          <t>BERG</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26739-2022</t>
        </is>
      </c>
      <c r="B524" s="1" t="n">
        <v>44740</v>
      </c>
      <c r="C524" s="1" t="n">
        <v>45787</v>
      </c>
      <c r="D524" t="inlineStr">
        <is>
          <t>JÄMTLANDS LÄN</t>
        </is>
      </c>
      <c r="E524" t="inlineStr">
        <is>
          <t>BERG</t>
        </is>
      </c>
      <c r="F524" t="inlineStr">
        <is>
          <t>SCA</t>
        </is>
      </c>
      <c r="G524" t="n">
        <v>16.4</v>
      </c>
      <c r="H524" t="n">
        <v>0</v>
      </c>
      <c r="I524" t="n">
        <v>0</v>
      </c>
      <c r="J524" t="n">
        <v>0</v>
      </c>
      <c r="K524" t="n">
        <v>0</v>
      </c>
      <c r="L524" t="n">
        <v>0</v>
      </c>
      <c r="M524" t="n">
        <v>0</v>
      </c>
      <c r="N524" t="n">
        <v>0</v>
      </c>
      <c r="O524" t="n">
        <v>0</v>
      </c>
      <c r="P524" t="n">
        <v>0</v>
      </c>
      <c r="Q524" t="n">
        <v>0</v>
      </c>
      <c r="R524" s="2" t="inlineStr"/>
    </row>
    <row r="525" ht="15" customHeight="1">
      <c r="A525" t="inlineStr">
        <is>
          <t>A 26738-2022</t>
        </is>
      </c>
      <c r="B525" s="1" t="n">
        <v>44739</v>
      </c>
      <c r="C525" s="1" t="n">
        <v>45787</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26944-2022</t>
        </is>
      </c>
      <c r="B526" s="1" t="n">
        <v>44740</v>
      </c>
      <c r="C526" s="1" t="n">
        <v>45787</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26959-2022</t>
        </is>
      </c>
      <c r="B527" s="1" t="n">
        <v>44740</v>
      </c>
      <c r="C527" s="1" t="n">
        <v>45787</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27599-2022</t>
        </is>
      </c>
      <c r="B528" s="1" t="n">
        <v>44742</v>
      </c>
      <c r="C528" s="1" t="n">
        <v>45787</v>
      </c>
      <c r="D528" t="inlineStr">
        <is>
          <t>JÄMTLANDS LÄN</t>
        </is>
      </c>
      <c r="E528" t="inlineStr">
        <is>
          <t>BERG</t>
        </is>
      </c>
      <c r="F528" t="inlineStr">
        <is>
          <t>SCA</t>
        </is>
      </c>
      <c r="G528" t="n">
        <v>7</v>
      </c>
      <c r="H528" t="n">
        <v>0</v>
      </c>
      <c r="I528" t="n">
        <v>0</v>
      </c>
      <c r="J528" t="n">
        <v>0</v>
      </c>
      <c r="K528" t="n">
        <v>0</v>
      </c>
      <c r="L528" t="n">
        <v>0</v>
      </c>
      <c r="M528" t="n">
        <v>0</v>
      </c>
      <c r="N528" t="n">
        <v>0</v>
      </c>
      <c r="O528" t="n">
        <v>0</v>
      </c>
      <c r="P528" t="n">
        <v>0</v>
      </c>
      <c r="Q528" t="n">
        <v>0</v>
      </c>
      <c r="R528" s="2" t="inlineStr"/>
    </row>
    <row r="529" ht="15" customHeight="1">
      <c r="A529" t="inlineStr">
        <is>
          <t>A 27598-2022</t>
        </is>
      </c>
      <c r="B529" s="1" t="n">
        <v>44743</v>
      </c>
      <c r="C529" s="1" t="n">
        <v>45787</v>
      </c>
      <c r="D529" t="inlineStr">
        <is>
          <t>JÄMTLANDS LÄN</t>
        </is>
      </c>
      <c r="E529" t="inlineStr">
        <is>
          <t>BERG</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28500-2022</t>
        </is>
      </c>
      <c r="B530" s="1" t="n">
        <v>44747</v>
      </c>
      <c r="C530" s="1" t="n">
        <v>45787</v>
      </c>
      <c r="D530" t="inlineStr">
        <is>
          <t>JÄMTLANDS LÄN</t>
        </is>
      </c>
      <c r="E530" t="inlineStr">
        <is>
          <t>BERG</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28501-2022</t>
        </is>
      </c>
      <c r="B531" s="1" t="n">
        <v>44748</v>
      </c>
      <c r="C531" s="1" t="n">
        <v>45787</v>
      </c>
      <c r="D531" t="inlineStr">
        <is>
          <t>JÄMTLANDS LÄN</t>
        </is>
      </c>
      <c r="E531" t="inlineStr">
        <is>
          <t>BERG</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29498-2022</t>
        </is>
      </c>
      <c r="B532" s="1" t="n">
        <v>44753</v>
      </c>
      <c r="C532" s="1" t="n">
        <v>45787</v>
      </c>
      <c r="D532" t="inlineStr">
        <is>
          <t>JÄMTLANDS LÄN</t>
        </is>
      </c>
      <c r="E532" t="inlineStr">
        <is>
          <t>BERG</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30187-2022</t>
        </is>
      </c>
      <c r="B533" s="1" t="n">
        <v>44757</v>
      </c>
      <c r="C533" s="1" t="n">
        <v>45787</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30765-2022</t>
        </is>
      </c>
      <c r="B534" s="1" t="n">
        <v>44764</v>
      </c>
      <c r="C534" s="1" t="n">
        <v>45787</v>
      </c>
      <c r="D534" t="inlineStr">
        <is>
          <t>JÄMTLANDS LÄN</t>
        </is>
      </c>
      <c r="E534" t="inlineStr">
        <is>
          <t>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31371-2022</t>
        </is>
      </c>
      <c r="B535" s="1" t="n">
        <v>44774</v>
      </c>
      <c r="C535" s="1" t="n">
        <v>45787</v>
      </c>
      <c r="D535" t="inlineStr">
        <is>
          <t>JÄMTLANDS LÄN</t>
        </is>
      </c>
      <c r="E535" t="inlineStr">
        <is>
          <t>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31375-2022</t>
        </is>
      </c>
      <c r="B536" s="1" t="n">
        <v>44774</v>
      </c>
      <c r="C536" s="1" t="n">
        <v>45787</v>
      </c>
      <c r="D536" t="inlineStr">
        <is>
          <t>JÄMTLANDS LÄN</t>
        </is>
      </c>
      <c r="E536" t="inlineStr">
        <is>
          <t>BERG</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31564-2022</t>
        </is>
      </c>
      <c r="B537" s="1" t="n">
        <v>44775</v>
      </c>
      <c r="C537" s="1" t="n">
        <v>45787</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31641-2022</t>
        </is>
      </c>
      <c r="B538" s="1" t="n">
        <v>44776</v>
      </c>
      <c r="C538" s="1" t="n">
        <v>45787</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31638-2022</t>
        </is>
      </c>
      <c r="B539" s="1" t="n">
        <v>44775</v>
      </c>
      <c r="C539" s="1" t="n">
        <v>45787</v>
      </c>
      <c r="D539" t="inlineStr">
        <is>
          <t>JÄMTLANDS LÄN</t>
        </is>
      </c>
      <c r="E539" t="inlineStr">
        <is>
          <t>BERG</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45787</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32703-2022</t>
        </is>
      </c>
      <c r="B541" s="1" t="n">
        <v>44776</v>
      </c>
      <c r="C541" s="1" t="n">
        <v>45787</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32133-2022</t>
        </is>
      </c>
      <c r="B542" s="1" t="n">
        <v>44779</v>
      </c>
      <c r="C542" s="1" t="n">
        <v>45787</v>
      </c>
      <c r="D542" t="inlineStr">
        <is>
          <t>JÄMTLANDS LÄN</t>
        </is>
      </c>
      <c r="E542" t="inlineStr">
        <is>
          <t>BERG</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32707-2022</t>
        </is>
      </c>
      <c r="B543" s="1" t="n">
        <v>44783</v>
      </c>
      <c r="C543" s="1" t="n">
        <v>45787</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33068-2022</t>
        </is>
      </c>
      <c r="B544" s="1" t="n">
        <v>44785</v>
      </c>
      <c r="C544" s="1" t="n">
        <v>45787</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33232-2022</t>
        </is>
      </c>
      <c r="B545" s="1" t="n">
        <v>44786</v>
      </c>
      <c r="C545" s="1" t="n">
        <v>45787</v>
      </c>
      <c r="D545" t="inlineStr">
        <is>
          <t>JÄMTLANDS LÄN</t>
        </is>
      </c>
      <c r="E545" t="inlineStr">
        <is>
          <t>BERG</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34260-2022</t>
        </is>
      </c>
      <c r="B546" s="1" t="n">
        <v>44791</v>
      </c>
      <c r="C546" s="1" t="n">
        <v>45787</v>
      </c>
      <c r="D546" t="inlineStr">
        <is>
          <t>JÄMTLANDS LÄN</t>
        </is>
      </c>
      <c r="E546" t="inlineStr">
        <is>
          <t>BERG</t>
        </is>
      </c>
      <c r="F546" t="inlineStr">
        <is>
          <t>Övriga Aktiebolag</t>
        </is>
      </c>
      <c r="G546" t="n">
        <v>32.2</v>
      </c>
      <c r="H546" t="n">
        <v>0</v>
      </c>
      <c r="I546" t="n">
        <v>0</v>
      </c>
      <c r="J546" t="n">
        <v>0</v>
      </c>
      <c r="K546" t="n">
        <v>0</v>
      </c>
      <c r="L546" t="n">
        <v>0</v>
      </c>
      <c r="M546" t="n">
        <v>0</v>
      </c>
      <c r="N546" t="n">
        <v>0</v>
      </c>
      <c r="O546" t="n">
        <v>0</v>
      </c>
      <c r="P546" t="n">
        <v>0</v>
      </c>
      <c r="Q546" t="n">
        <v>0</v>
      </c>
      <c r="R546" s="2" t="inlineStr"/>
    </row>
    <row r="547" ht="15" customHeight="1">
      <c r="A547" t="inlineStr">
        <is>
          <t>A 34273-2022</t>
        </is>
      </c>
      <c r="B547" s="1" t="n">
        <v>44792</v>
      </c>
      <c r="C547" s="1" t="n">
        <v>45787</v>
      </c>
      <c r="D547" t="inlineStr">
        <is>
          <t>JÄMTLANDS LÄN</t>
        </is>
      </c>
      <c r="E547" t="inlineStr">
        <is>
          <t>BERG</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34272-2022</t>
        </is>
      </c>
      <c r="B548" s="1" t="n">
        <v>44791</v>
      </c>
      <c r="C548" s="1" t="n">
        <v>45787</v>
      </c>
      <c r="D548" t="inlineStr">
        <is>
          <t>JÄMTLANDS LÄN</t>
        </is>
      </c>
      <c r="E548" t="inlineStr">
        <is>
          <t>BERG</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34803-2022</t>
        </is>
      </c>
      <c r="B549" s="1" t="n">
        <v>44796</v>
      </c>
      <c r="C549" s="1" t="n">
        <v>45787</v>
      </c>
      <c r="D549" t="inlineStr">
        <is>
          <t>JÄMTLANDS LÄN</t>
        </is>
      </c>
      <c r="E549" t="inlineStr">
        <is>
          <t>BERG</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35126-2022</t>
        </is>
      </c>
      <c r="B550" s="1" t="n">
        <v>44797</v>
      </c>
      <c r="C550" s="1" t="n">
        <v>45787</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35740-2022</t>
        </is>
      </c>
      <c r="B551" s="1" t="n">
        <v>44800</v>
      </c>
      <c r="C551" s="1" t="n">
        <v>45787</v>
      </c>
      <c r="D551" t="inlineStr">
        <is>
          <t>JÄMTLANDS LÄN</t>
        </is>
      </c>
      <c r="E551" t="inlineStr">
        <is>
          <t>BERG</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36071-2022</t>
        </is>
      </c>
      <c r="B552" s="1" t="n">
        <v>44802</v>
      </c>
      <c r="C552" s="1" t="n">
        <v>45787</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36373-2022</t>
        </is>
      </c>
      <c r="B553" s="1" t="n">
        <v>44803</v>
      </c>
      <c r="C553" s="1" t="n">
        <v>45787</v>
      </c>
      <c r="D553" t="inlineStr">
        <is>
          <t>JÄMTLANDS LÄN</t>
        </is>
      </c>
      <c r="E553" t="inlineStr">
        <is>
          <t>BERG</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37333-2022</t>
        </is>
      </c>
      <c r="B554" s="1" t="n">
        <v>44806</v>
      </c>
      <c r="C554" s="1" t="n">
        <v>45787</v>
      </c>
      <c r="D554" t="inlineStr">
        <is>
          <t>JÄMTLANDS LÄN</t>
        </is>
      </c>
      <c r="E554" t="inlineStr">
        <is>
          <t>BERG</t>
        </is>
      </c>
      <c r="G554" t="n">
        <v>5.5</v>
      </c>
      <c r="H554" t="n">
        <v>0</v>
      </c>
      <c r="I554" t="n">
        <v>0</v>
      </c>
      <c r="J554" t="n">
        <v>0</v>
      </c>
      <c r="K554" t="n">
        <v>0</v>
      </c>
      <c r="L554" t="n">
        <v>0</v>
      </c>
      <c r="M554" t="n">
        <v>0</v>
      </c>
      <c r="N554" t="n">
        <v>0</v>
      </c>
      <c r="O554" t="n">
        <v>0</v>
      </c>
      <c r="P554" t="n">
        <v>0</v>
      </c>
      <c r="Q554" t="n">
        <v>0</v>
      </c>
      <c r="R554" s="2" t="inlineStr"/>
    </row>
    <row r="555" ht="15" customHeight="1">
      <c r="A555" t="inlineStr">
        <is>
          <t>A 37711-2022</t>
        </is>
      </c>
      <c r="B555" s="1" t="n">
        <v>44810</v>
      </c>
      <c r="C555" s="1" t="n">
        <v>45787</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37726-2022</t>
        </is>
      </c>
      <c r="B556" s="1" t="n">
        <v>44810</v>
      </c>
      <c r="C556" s="1" t="n">
        <v>45787</v>
      </c>
      <c r="D556" t="inlineStr">
        <is>
          <t>JÄMTLANDS LÄN</t>
        </is>
      </c>
      <c r="E556" t="inlineStr">
        <is>
          <t>BERG</t>
        </is>
      </c>
      <c r="G556" t="n">
        <v>1.4</v>
      </c>
      <c r="H556" t="n">
        <v>0</v>
      </c>
      <c r="I556" t="n">
        <v>0</v>
      </c>
      <c r="J556" t="n">
        <v>0</v>
      </c>
      <c r="K556" t="n">
        <v>0</v>
      </c>
      <c r="L556" t="n">
        <v>0</v>
      </c>
      <c r="M556" t="n">
        <v>0</v>
      </c>
      <c r="N556" t="n">
        <v>0</v>
      </c>
      <c r="O556" t="n">
        <v>0</v>
      </c>
      <c r="P556" t="n">
        <v>0</v>
      </c>
      <c r="Q556" t="n">
        <v>0</v>
      </c>
      <c r="R556" s="2" t="inlineStr"/>
    </row>
    <row r="557" ht="15" customHeight="1">
      <c r="A557" t="inlineStr">
        <is>
          <t>A 40601-2022</t>
        </is>
      </c>
      <c r="B557" s="1" t="n">
        <v>44823</v>
      </c>
      <c r="C557" s="1" t="n">
        <v>45787</v>
      </c>
      <c r="D557" t="inlineStr">
        <is>
          <t>JÄMTLANDS LÄN</t>
        </is>
      </c>
      <c r="E557" t="inlineStr">
        <is>
          <t>BERG</t>
        </is>
      </c>
      <c r="G557" t="n">
        <v>4</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45787</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40847-2022</t>
        </is>
      </c>
      <c r="B559" s="1" t="n">
        <v>44824</v>
      </c>
      <c r="C559" s="1" t="n">
        <v>45787</v>
      </c>
      <c r="D559" t="inlineStr">
        <is>
          <t>JÄMTLANDS LÄN</t>
        </is>
      </c>
      <c r="E559" t="inlineStr">
        <is>
          <t>BERG</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41063-2022</t>
        </is>
      </c>
      <c r="B560" s="1" t="n">
        <v>44824</v>
      </c>
      <c r="C560" s="1" t="n">
        <v>45787</v>
      </c>
      <c r="D560" t="inlineStr">
        <is>
          <t>JÄMTLANDS LÄN</t>
        </is>
      </c>
      <c r="E560" t="inlineStr">
        <is>
          <t>BERG</t>
        </is>
      </c>
      <c r="G560" t="n">
        <v>13.6</v>
      </c>
      <c r="H560" t="n">
        <v>0</v>
      </c>
      <c r="I560" t="n">
        <v>0</v>
      </c>
      <c r="J560" t="n">
        <v>0</v>
      </c>
      <c r="K560" t="n">
        <v>0</v>
      </c>
      <c r="L560" t="n">
        <v>0</v>
      </c>
      <c r="M560" t="n">
        <v>0</v>
      </c>
      <c r="N560" t="n">
        <v>0</v>
      </c>
      <c r="O560" t="n">
        <v>0</v>
      </c>
      <c r="P560" t="n">
        <v>0</v>
      </c>
      <c r="Q560" t="n">
        <v>0</v>
      </c>
      <c r="R560" s="2" t="inlineStr"/>
    </row>
    <row r="561" ht="15" customHeight="1">
      <c r="A561" t="inlineStr">
        <is>
          <t>A 41069-2022</t>
        </is>
      </c>
      <c r="B561" s="1" t="n">
        <v>44825</v>
      </c>
      <c r="C561" s="1" t="n">
        <v>45787</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43168-2022</t>
        </is>
      </c>
      <c r="B562" s="1" t="n">
        <v>44834</v>
      </c>
      <c r="C562" s="1" t="n">
        <v>45787</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43296-2022</t>
        </is>
      </c>
      <c r="B563" s="1" t="n">
        <v>44834</v>
      </c>
      <c r="C563" s="1" t="n">
        <v>45787</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43298-2022</t>
        </is>
      </c>
      <c r="B564" s="1" t="n">
        <v>44834</v>
      </c>
      <c r="C564" s="1" t="n">
        <v>45787</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44110-2022</t>
        </is>
      </c>
      <c r="B565" s="1" t="n">
        <v>44837</v>
      </c>
      <c r="C565" s="1" t="n">
        <v>45787</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44443-2022</t>
        </is>
      </c>
      <c r="B566" s="1" t="n">
        <v>44840</v>
      </c>
      <c r="C566" s="1" t="n">
        <v>45787</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44442-2022</t>
        </is>
      </c>
      <c r="B567" s="1" t="n">
        <v>44839</v>
      </c>
      <c r="C567" s="1" t="n">
        <v>45787</v>
      </c>
      <c r="D567" t="inlineStr">
        <is>
          <t>JÄMTLANDS LÄN</t>
        </is>
      </c>
      <c r="E567" t="inlineStr">
        <is>
          <t>BERG</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45081-2022</t>
        </is>
      </c>
      <c r="B568" s="1" t="n">
        <v>44841</v>
      </c>
      <c r="C568" s="1" t="n">
        <v>45787</v>
      </c>
      <c r="D568" t="inlineStr">
        <is>
          <t>JÄMTLANDS LÄN</t>
        </is>
      </c>
      <c r="E568" t="inlineStr">
        <is>
          <t>BERG</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45487-2022</t>
        </is>
      </c>
      <c r="B569" s="1" t="n">
        <v>44845</v>
      </c>
      <c r="C569" s="1" t="n">
        <v>45787</v>
      </c>
      <c r="D569" t="inlineStr">
        <is>
          <t>JÄMTLANDS LÄN</t>
        </is>
      </c>
      <c r="E569" t="inlineStr">
        <is>
          <t>BERG</t>
        </is>
      </c>
      <c r="G569" t="n">
        <v>5.4</v>
      </c>
      <c r="H569" t="n">
        <v>0</v>
      </c>
      <c r="I569" t="n">
        <v>0</v>
      </c>
      <c r="J569" t="n">
        <v>0</v>
      </c>
      <c r="K569" t="n">
        <v>0</v>
      </c>
      <c r="L569" t="n">
        <v>0</v>
      </c>
      <c r="M569" t="n">
        <v>0</v>
      </c>
      <c r="N569" t="n">
        <v>0</v>
      </c>
      <c r="O569" t="n">
        <v>0</v>
      </c>
      <c r="P569" t="n">
        <v>0</v>
      </c>
      <c r="Q569" t="n">
        <v>0</v>
      </c>
      <c r="R569" s="2" t="inlineStr"/>
    </row>
    <row r="570" ht="15" customHeight="1">
      <c r="A570" t="inlineStr">
        <is>
          <t>A 46167-2022</t>
        </is>
      </c>
      <c r="B570" s="1" t="n">
        <v>44845</v>
      </c>
      <c r="C570" s="1" t="n">
        <v>45787</v>
      </c>
      <c r="D570" t="inlineStr">
        <is>
          <t>JÄMTLANDS LÄN</t>
        </is>
      </c>
      <c r="E570" t="inlineStr">
        <is>
          <t>BERG</t>
        </is>
      </c>
      <c r="G570" t="n">
        <v>35.2</v>
      </c>
      <c r="H570" t="n">
        <v>0</v>
      </c>
      <c r="I570" t="n">
        <v>0</v>
      </c>
      <c r="J570" t="n">
        <v>0</v>
      </c>
      <c r="K570" t="n">
        <v>0</v>
      </c>
      <c r="L570" t="n">
        <v>0</v>
      </c>
      <c r="M570" t="n">
        <v>0</v>
      </c>
      <c r="N570" t="n">
        <v>0</v>
      </c>
      <c r="O570" t="n">
        <v>0</v>
      </c>
      <c r="P570" t="n">
        <v>0</v>
      </c>
      <c r="Q570" t="n">
        <v>0</v>
      </c>
      <c r="R570" s="2" t="inlineStr"/>
    </row>
    <row r="571" ht="15" customHeight="1">
      <c r="A571" t="inlineStr">
        <is>
          <t>A 46151-2022</t>
        </is>
      </c>
      <c r="B571" s="1" t="n">
        <v>44845</v>
      </c>
      <c r="C571" s="1" t="n">
        <v>45787</v>
      </c>
      <c r="D571" t="inlineStr">
        <is>
          <t>JÄMTLANDS LÄN</t>
        </is>
      </c>
      <c r="E571" t="inlineStr">
        <is>
          <t>BERG</t>
        </is>
      </c>
      <c r="G571" t="n">
        <v>2.2</v>
      </c>
      <c r="H571" t="n">
        <v>0</v>
      </c>
      <c r="I571" t="n">
        <v>0</v>
      </c>
      <c r="J571" t="n">
        <v>0</v>
      </c>
      <c r="K571" t="n">
        <v>0</v>
      </c>
      <c r="L571" t="n">
        <v>0</v>
      </c>
      <c r="M571" t="n">
        <v>0</v>
      </c>
      <c r="N571" t="n">
        <v>0</v>
      </c>
      <c r="O571" t="n">
        <v>0</v>
      </c>
      <c r="P571" t="n">
        <v>0</v>
      </c>
      <c r="Q571" t="n">
        <v>0</v>
      </c>
      <c r="R571" s="2" t="inlineStr"/>
    </row>
    <row r="572" ht="15" customHeight="1">
      <c r="A572" t="inlineStr">
        <is>
          <t>A 45972-2022</t>
        </is>
      </c>
      <c r="B572" s="1" t="n">
        <v>44846</v>
      </c>
      <c r="C572" s="1" t="n">
        <v>45787</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45967-2022</t>
        </is>
      </c>
      <c r="B573" s="1" t="n">
        <v>44846</v>
      </c>
      <c r="C573" s="1" t="n">
        <v>45787</v>
      </c>
      <c r="D573" t="inlineStr">
        <is>
          <t>JÄMTLANDS LÄN</t>
        </is>
      </c>
      <c r="E573" t="inlineStr">
        <is>
          <t>BERG</t>
        </is>
      </c>
      <c r="G573" t="n">
        <v>5.9</v>
      </c>
      <c r="H573" t="n">
        <v>0</v>
      </c>
      <c r="I573" t="n">
        <v>0</v>
      </c>
      <c r="J573" t="n">
        <v>0</v>
      </c>
      <c r="K573" t="n">
        <v>0</v>
      </c>
      <c r="L573" t="n">
        <v>0</v>
      </c>
      <c r="M573" t="n">
        <v>0</v>
      </c>
      <c r="N573" t="n">
        <v>0</v>
      </c>
      <c r="O573" t="n">
        <v>0</v>
      </c>
      <c r="P573" t="n">
        <v>0</v>
      </c>
      <c r="Q573" t="n">
        <v>0</v>
      </c>
      <c r="R573" s="2" t="inlineStr"/>
    </row>
    <row r="574" ht="15" customHeight="1">
      <c r="A574" t="inlineStr">
        <is>
          <t>A 46199-2022</t>
        </is>
      </c>
      <c r="B574" s="1" t="n">
        <v>44847</v>
      </c>
      <c r="C574" s="1" t="n">
        <v>45787</v>
      </c>
      <c r="D574" t="inlineStr">
        <is>
          <t>JÄMTLANDS LÄN</t>
        </is>
      </c>
      <c r="E574" t="inlineStr">
        <is>
          <t>BERG</t>
        </is>
      </c>
      <c r="G574" t="n">
        <v>5.6</v>
      </c>
      <c r="H574" t="n">
        <v>0</v>
      </c>
      <c r="I574" t="n">
        <v>0</v>
      </c>
      <c r="J574" t="n">
        <v>0</v>
      </c>
      <c r="K574" t="n">
        <v>0</v>
      </c>
      <c r="L574" t="n">
        <v>0</v>
      </c>
      <c r="M574" t="n">
        <v>0</v>
      </c>
      <c r="N574" t="n">
        <v>0</v>
      </c>
      <c r="O574" t="n">
        <v>0</v>
      </c>
      <c r="P574" t="n">
        <v>0</v>
      </c>
      <c r="Q574" t="n">
        <v>0</v>
      </c>
      <c r="R574" s="2" t="inlineStr"/>
    </row>
    <row r="575" ht="15" customHeight="1">
      <c r="A575" t="inlineStr">
        <is>
          <t>A 46278-2022</t>
        </is>
      </c>
      <c r="B575" s="1" t="n">
        <v>44847</v>
      </c>
      <c r="C575" s="1" t="n">
        <v>45787</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46907-2022</t>
        </is>
      </c>
      <c r="B576" s="1" t="n">
        <v>44851</v>
      </c>
      <c r="C576" s="1" t="n">
        <v>45787</v>
      </c>
      <c r="D576" t="inlineStr">
        <is>
          <t>JÄMTLANDS LÄN</t>
        </is>
      </c>
      <c r="E576" t="inlineStr">
        <is>
          <t>BERG</t>
        </is>
      </c>
      <c r="G576" t="n">
        <v>15.1</v>
      </c>
      <c r="H576" t="n">
        <v>0</v>
      </c>
      <c r="I576" t="n">
        <v>0</v>
      </c>
      <c r="J576" t="n">
        <v>0</v>
      </c>
      <c r="K576" t="n">
        <v>0</v>
      </c>
      <c r="L576" t="n">
        <v>0</v>
      </c>
      <c r="M576" t="n">
        <v>0</v>
      </c>
      <c r="N576" t="n">
        <v>0</v>
      </c>
      <c r="O576" t="n">
        <v>0</v>
      </c>
      <c r="P576" t="n">
        <v>0</v>
      </c>
      <c r="Q576" t="n">
        <v>0</v>
      </c>
      <c r="R576" s="2" t="inlineStr"/>
    </row>
    <row r="577" ht="15" customHeight="1">
      <c r="A577" t="inlineStr">
        <is>
          <t>A 47432-2022</t>
        </is>
      </c>
      <c r="B577" s="1" t="n">
        <v>44853</v>
      </c>
      <c r="C577" s="1" t="n">
        <v>45787</v>
      </c>
      <c r="D577" t="inlineStr">
        <is>
          <t>JÄMTLANDS LÄN</t>
        </is>
      </c>
      <c r="E577" t="inlineStr">
        <is>
          <t>BERG</t>
        </is>
      </c>
      <c r="F577" t="inlineStr">
        <is>
          <t>Sveaskog</t>
        </is>
      </c>
      <c r="G577" t="n">
        <v>9.1</v>
      </c>
      <c r="H577" t="n">
        <v>0</v>
      </c>
      <c r="I577" t="n">
        <v>0</v>
      </c>
      <c r="J577" t="n">
        <v>0</v>
      </c>
      <c r="K577" t="n">
        <v>0</v>
      </c>
      <c r="L577" t="n">
        <v>0</v>
      </c>
      <c r="M577" t="n">
        <v>0</v>
      </c>
      <c r="N577" t="n">
        <v>0</v>
      </c>
      <c r="O577" t="n">
        <v>0</v>
      </c>
      <c r="P577" t="n">
        <v>0</v>
      </c>
      <c r="Q577" t="n">
        <v>0</v>
      </c>
      <c r="R577" s="2" t="inlineStr"/>
    </row>
    <row r="578" ht="15" customHeight="1">
      <c r="A578" t="inlineStr">
        <is>
          <t>A 47982-2022</t>
        </is>
      </c>
      <c r="B578" s="1" t="n">
        <v>44853</v>
      </c>
      <c r="C578" s="1" t="n">
        <v>45787</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47967-2022</t>
        </is>
      </c>
      <c r="B579" s="1" t="n">
        <v>44853</v>
      </c>
      <c r="C579" s="1" t="n">
        <v>45787</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47978-2022</t>
        </is>
      </c>
      <c r="B580" s="1" t="n">
        <v>44853</v>
      </c>
      <c r="C580" s="1" t="n">
        <v>45787</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48729-2022</t>
        </is>
      </c>
      <c r="B581" s="1" t="n">
        <v>44855</v>
      </c>
      <c r="C581" s="1" t="n">
        <v>45787</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49035-2022</t>
        </is>
      </c>
      <c r="B582" s="1" t="n">
        <v>44855</v>
      </c>
      <c r="C582" s="1" t="n">
        <v>45787</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49104-2022</t>
        </is>
      </c>
      <c r="B583" s="1" t="n">
        <v>44855</v>
      </c>
      <c r="C583" s="1" t="n">
        <v>45787</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48756-2022</t>
        </is>
      </c>
      <c r="B584" s="1" t="n">
        <v>44859</v>
      </c>
      <c r="C584" s="1" t="n">
        <v>45787</v>
      </c>
      <c r="D584" t="inlineStr">
        <is>
          <t>JÄMTLANDS LÄN</t>
        </is>
      </c>
      <c r="E584" t="inlineStr">
        <is>
          <t>BERG</t>
        </is>
      </c>
      <c r="G584" t="n">
        <v>10.8</v>
      </c>
      <c r="H584" t="n">
        <v>0</v>
      </c>
      <c r="I584" t="n">
        <v>0</v>
      </c>
      <c r="J584" t="n">
        <v>0</v>
      </c>
      <c r="K584" t="n">
        <v>0</v>
      </c>
      <c r="L584" t="n">
        <v>0</v>
      </c>
      <c r="M584" t="n">
        <v>0</v>
      </c>
      <c r="N584" t="n">
        <v>0</v>
      </c>
      <c r="O584" t="n">
        <v>0</v>
      </c>
      <c r="P584" t="n">
        <v>0</v>
      </c>
      <c r="Q584" t="n">
        <v>0</v>
      </c>
      <c r="R584" s="2" t="inlineStr"/>
    </row>
    <row r="585" ht="15" customHeight="1">
      <c r="A585" t="inlineStr">
        <is>
          <t>A 49196-2022</t>
        </is>
      </c>
      <c r="B585" s="1" t="n">
        <v>44861</v>
      </c>
      <c r="C585" s="1" t="n">
        <v>45787</v>
      </c>
      <c r="D585" t="inlineStr">
        <is>
          <t>JÄMTLANDS LÄN</t>
        </is>
      </c>
      <c r="E585" t="inlineStr">
        <is>
          <t>BERG</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50024-2022</t>
        </is>
      </c>
      <c r="B586" s="1" t="n">
        <v>44860</v>
      </c>
      <c r="C586" s="1" t="n">
        <v>45787</v>
      </c>
      <c r="D586" t="inlineStr">
        <is>
          <t>JÄMTLANDS LÄN</t>
        </is>
      </c>
      <c r="E586" t="inlineStr">
        <is>
          <t>BERG</t>
        </is>
      </c>
      <c r="G586" t="n">
        <v>1.8</v>
      </c>
      <c r="H586" t="n">
        <v>0</v>
      </c>
      <c r="I586" t="n">
        <v>0</v>
      </c>
      <c r="J586" t="n">
        <v>0</v>
      </c>
      <c r="K586" t="n">
        <v>0</v>
      </c>
      <c r="L586" t="n">
        <v>0</v>
      </c>
      <c r="M586" t="n">
        <v>0</v>
      </c>
      <c r="N586" t="n">
        <v>0</v>
      </c>
      <c r="O586" t="n">
        <v>0</v>
      </c>
      <c r="P586" t="n">
        <v>0</v>
      </c>
      <c r="Q586" t="n">
        <v>0</v>
      </c>
      <c r="R586" s="2" t="inlineStr"/>
    </row>
    <row r="587" ht="15" customHeight="1">
      <c r="A587" t="inlineStr">
        <is>
          <t>A 49643-2022</t>
        </is>
      </c>
      <c r="B587" s="1" t="n">
        <v>44862</v>
      </c>
      <c r="C587" s="1" t="n">
        <v>45787</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49851-2022</t>
        </is>
      </c>
      <c r="B588" s="1" t="n">
        <v>44863</v>
      </c>
      <c r="C588" s="1" t="n">
        <v>45787</v>
      </c>
      <c r="D588" t="inlineStr">
        <is>
          <t>JÄMTLANDS LÄN</t>
        </is>
      </c>
      <c r="E588" t="inlineStr">
        <is>
          <t>BERG</t>
        </is>
      </c>
      <c r="F588" t="inlineStr">
        <is>
          <t>SCA</t>
        </is>
      </c>
      <c r="G588" t="n">
        <v>8.9</v>
      </c>
      <c r="H588" t="n">
        <v>0</v>
      </c>
      <c r="I588" t="n">
        <v>0</v>
      </c>
      <c r="J588" t="n">
        <v>0</v>
      </c>
      <c r="K588" t="n">
        <v>0</v>
      </c>
      <c r="L588" t="n">
        <v>0</v>
      </c>
      <c r="M588" t="n">
        <v>0</v>
      </c>
      <c r="N588" t="n">
        <v>0</v>
      </c>
      <c r="O588" t="n">
        <v>0</v>
      </c>
      <c r="P588" t="n">
        <v>0</v>
      </c>
      <c r="Q588" t="n">
        <v>0</v>
      </c>
      <c r="R588" s="2" t="inlineStr"/>
    </row>
    <row r="589" ht="15" customHeight="1">
      <c r="A589" t="inlineStr">
        <is>
          <t>A 50679-2022</t>
        </is>
      </c>
      <c r="B589" s="1" t="n">
        <v>44866</v>
      </c>
      <c r="C589" s="1" t="n">
        <v>45787</v>
      </c>
      <c r="D589" t="inlineStr">
        <is>
          <t>JÄMTLANDS LÄN</t>
        </is>
      </c>
      <c r="E589" t="inlineStr">
        <is>
          <t>BERG</t>
        </is>
      </c>
      <c r="F589" t="inlineStr">
        <is>
          <t>SCA</t>
        </is>
      </c>
      <c r="G589" t="n">
        <v>18.6</v>
      </c>
      <c r="H589" t="n">
        <v>0</v>
      </c>
      <c r="I589" t="n">
        <v>0</v>
      </c>
      <c r="J589" t="n">
        <v>0</v>
      </c>
      <c r="K589" t="n">
        <v>0</v>
      </c>
      <c r="L589" t="n">
        <v>0</v>
      </c>
      <c r="M589" t="n">
        <v>0</v>
      </c>
      <c r="N589" t="n">
        <v>0</v>
      </c>
      <c r="O589" t="n">
        <v>0</v>
      </c>
      <c r="P589" t="n">
        <v>0</v>
      </c>
      <c r="Q589" t="n">
        <v>0</v>
      </c>
      <c r="R589" s="2" t="inlineStr"/>
    </row>
    <row r="590" ht="15" customHeight="1">
      <c r="A590" t="inlineStr">
        <is>
          <t>A 50678-2022</t>
        </is>
      </c>
      <c r="B590" s="1" t="n">
        <v>44866</v>
      </c>
      <c r="C590" s="1" t="n">
        <v>45787</v>
      </c>
      <c r="D590" t="inlineStr">
        <is>
          <t>JÄMTLANDS LÄN</t>
        </is>
      </c>
      <c r="E590" t="inlineStr">
        <is>
          <t>BERG</t>
        </is>
      </c>
      <c r="F590" t="inlineStr">
        <is>
          <t>SCA</t>
        </is>
      </c>
      <c r="G590" t="n">
        <v>18.5</v>
      </c>
      <c r="H590" t="n">
        <v>0</v>
      </c>
      <c r="I590" t="n">
        <v>0</v>
      </c>
      <c r="J590" t="n">
        <v>0</v>
      </c>
      <c r="K590" t="n">
        <v>0</v>
      </c>
      <c r="L590" t="n">
        <v>0</v>
      </c>
      <c r="M590" t="n">
        <v>0</v>
      </c>
      <c r="N590" t="n">
        <v>0</v>
      </c>
      <c r="O590" t="n">
        <v>0</v>
      </c>
      <c r="P590" t="n">
        <v>0</v>
      </c>
      <c r="Q590" t="n">
        <v>0</v>
      </c>
      <c r="R590" s="2" t="inlineStr"/>
    </row>
    <row r="591" ht="15" customHeight="1">
      <c r="A591" t="inlineStr">
        <is>
          <t>A 52927-2022</t>
        </is>
      </c>
      <c r="B591" s="1" t="n">
        <v>44872</v>
      </c>
      <c r="C591" s="1" t="n">
        <v>45787</v>
      </c>
      <c r="D591" t="inlineStr">
        <is>
          <t>JÄMTLANDS LÄN</t>
        </is>
      </c>
      <c r="E591" t="inlineStr">
        <is>
          <t>BERG</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53456-2022</t>
        </is>
      </c>
      <c r="B592" s="1" t="n">
        <v>44874</v>
      </c>
      <c r="C592" s="1" t="n">
        <v>45787</v>
      </c>
      <c r="D592" t="inlineStr">
        <is>
          <t>JÄMTLANDS LÄN</t>
        </is>
      </c>
      <c r="E592" t="inlineStr">
        <is>
          <t>BERG</t>
        </is>
      </c>
      <c r="G592" t="n">
        <v>13.3</v>
      </c>
      <c r="H592" t="n">
        <v>0</v>
      </c>
      <c r="I592" t="n">
        <v>0</v>
      </c>
      <c r="J592" t="n">
        <v>0</v>
      </c>
      <c r="K592" t="n">
        <v>0</v>
      </c>
      <c r="L592" t="n">
        <v>0</v>
      </c>
      <c r="M592" t="n">
        <v>0</v>
      </c>
      <c r="N592" t="n">
        <v>0</v>
      </c>
      <c r="O592" t="n">
        <v>0</v>
      </c>
      <c r="P592" t="n">
        <v>0</v>
      </c>
      <c r="Q592" t="n">
        <v>0</v>
      </c>
      <c r="R592" s="2" t="inlineStr"/>
    </row>
    <row r="593" ht="15" customHeight="1">
      <c r="A593" t="inlineStr">
        <is>
          <t>A 53015-2022</t>
        </is>
      </c>
      <c r="B593" s="1" t="n">
        <v>44875</v>
      </c>
      <c r="C593" s="1" t="n">
        <v>45787</v>
      </c>
      <c r="D593" t="inlineStr">
        <is>
          <t>JÄMTLANDS LÄN</t>
        </is>
      </c>
      <c r="E593" t="inlineStr">
        <is>
          <t>BERG</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53521-2022</t>
        </is>
      </c>
      <c r="B594" s="1" t="n">
        <v>44875</v>
      </c>
      <c r="C594" s="1" t="n">
        <v>45787</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54410-2022</t>
        </is>
      </c>
      <c r="B595" s="1" t="n">
        <v>44879</v>
      </c>
      <c r="C595" s="1" t="n">
        <v>45787</v>
      </c>
      <c r="D595" t="inlineStr">
        <is>
          <t>JÄMTLANDS LÄN</t>
        </is>
      </c>
      <c r="E595" t="inlineStr">
        <is>
          <t>BERG</t>
        </is>
      </c>
      <c r="G595" t="n">
        <v>8.5</v>
      </c>
      <c r="H595" t="n">
        <v>0</v>
      </c>
      <c r="I595" t="n">
        <v>0</v>
      </c>
      <c r="J595" t="n">
        <v>0</v>
      </c>
      <c r="K595" t="n">
        <v>0</v>
      </c>
      <c r="L595" t="n">
        <v>0</v>
      </c>
      <c r="M595" t="n">
        <v>0</v>
      </c>
      <c r="N595" t="n">
        <v>0</v>
      </c>
      <c r="O595" t="n">
        <v>0</v>
      </c>
      <c r="P595" t="n">
        <v>0</v>
      </c>
      <c r="Q595" t="n">
        <v>0</v>
      </c>
      <c r="R595" s="2" t="inlineStr"/>
    </row>
    <row r="596" ht="15" customHeight="1">
      <c r="A596" t="inlineStr">
        <is>
          <t>A 55518-2022</t>
        </is>
      </c>
      <c r="B596" s="1" t="n">
        <v>44887</v>
      </c>
      <c r="C596" s="1" t="n">
        <v>45787</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57183-2022</t>
        </is>
      </c>
      <c r="B597" s="1" t="n">
        <v>44895</v>
      </c>
      <c r="C597" s="1" t="n">
        <v>45787</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57226-2022</t>
        </is>
      </c>
      <c r="B598" s="1" t="n">
        <v>44895</v>
      </c>
      <c r="C598" s="1" t="n">
        <v>45787</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57842-2022</t>
        </is>
      </c>
      <c r="B599" s="1" t="n">
        <v>44897</v>
      </c>
      <c r="C599" s="1" t="n">
        <v>45787</v>
      </c>
      <c r="D599" t="inlineStr">
        <is>
          <t>JÄMTLANDS LÄN</t>
        </is>
      </c>
      <c r="E599" t="inlineStr">
        <is>
          <t>BERG</t>
        </is>
      </c>
      <c r="G599" t="n">
        <v>9.9</v>
      </c>
      <c r="H599" t="n">
        <v>0</v>
      </c>
      <c r="I599" t="n">
        <v>0</v>
      </c>
      <c r="J599" t="n">
        <v>0</v>
      </c>
      <c r="K599" t="n">
        <v>0</v>
      </c>
      <c r="L599" t="n">
        <v>0</v>
      </c>
      <c r="M599" t="n">
        <v>0</v>
      </c>
      <c r="N599" t="n">
        <v>0</v>
      </c>
      <c r="O599" t="n">
        <v>0</v>
      </c>
      <c r="P599" t="n">
        <v>0</v>
      </c>
      <c r="Q599" t="n">
        <v>0</v>
      </c>
      <c r="R599" s="2" t="inlineStr"/>
    </row>
    <row r="600" ht="15" customHeight="1">
      <c r="A600" t="inlineStr">
        <is>
          <t>A 58180-2022</t>
        </is>
      </c>
      <c r="B600" s="1" t="n">
        <v>44900</v>
      </c>
      <c r="C600" s="1" t="n">
        <v>45787</v>
      </c>
      <c r="D600" t="inlineStr">
        <is>
          <t>JÄMTLANDS LÄN</t>
        </is>
      </c>
      <c r="E600" t="inlineStr">
        <is>
          <t>BERG</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58431-2022</t>
        </is>
      </c>
      <c r="B601" s="1" t="n">
        <v>44901</v>
      </c>
      <c r="C601" s="1" t="n">
        <v>45787</v>
      </c>
      <c r="D601" t="inlineStr">
        <is>
          <t>JÄMTLANDS LÄN</t>
        </is>
      </c>
      <c r="E601" t="inlineStr">
        <is>
          <t>BERG</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58432-2022</t>
        </is>
      </c>
      <c r="B602" s="1" t="n">
        <v>44901</v>
      </c>
      <c r="C602" s="1" t="n">
        <v>45787</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60068-2022</t>
        </is>
      </c>
      <c r="B603" s="1" t="n">
        <v>44902</v>
      </c>
      <c r="C603" s="1" t="n">
        <v>45787</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60028-2022</t>
        </is>
      </c>
      <c r="B604" s="1" t="n">
        <v>44902</v>
      </c>
      <c r="C604" s="1" t="n">
        <v>45787</v>
      </c>
      <c r="D604" t="inlineStr">
        <is>
          <t>JÄMTLANDS LÄN</t>
        </is>
      </c>
      <c r="E604" t="inlineStr">
        <is>
          <t>BERG</t>
        </is>
      </c>
      <c r="G604" t="n">
        <v>20</v>
      </c>
      <c r="H604" t="n">
        <v>0</v>
      </c>
      <c r="I604" t="n">
        <v>0</v>
      </c>
      <c r="J604" t="n">
        <v>0</v>
      </c>
      <c r="K604" t="n">
        <v>0</v>
      </c>
      <c r="L604" t="n">
        <v>0</v>
      </c>
      <c r="M604" t="n">
        <v>0</v>
      </c>
      <c r="N604" t="n">
        <v>0</v>
      </c>
      <c r="O604" t="n">
        <v>0</v>
      </c>
      <c r="P604" t="n">
        <v>0</v>
      </c>
      <c r="Q604" t="n">
        <v>0</v>
      </c>
      <c r="R604" s="2" t="inlineStr"/>
    </row>
    <row r="605" ht="15" customHeight="1">
      <c r="A605" t="inlineStr">
        <is>
          <t>A 60024-2022</t>
        </is>
      </c>
      <c r="B605" s="1" t="n">
        <v>44902</v>
      </c>
      <c r="C605" s="1" t="n">
        <v>45787</v>
      </c>
      <c r="D605" t="inlineStr">
        <is>
          <t>JÄMTLANDS LÄN</t>
        </is>
      </c>
      <c r="E605" t="inlineStr">
        <is>
          <t>BERG</t>
        </is>
      </c>
      <c r="G605" t="n">
        <v>6.2</v>
      </c>
      <c r="H605" t="n">
        <v>0</v>
      </c>
      <c r="I605" t="n">
        <v>0</v>
      </c>
      <c r="J605" t="n">
        <v>0</v>
      </c>
      <c r="K605" t="n">
        <v>0</v>
      </c>
      <c r="L605" t="n">
        <v>0</v>
      </c>
      <c r="M605" t="n">
        <v>0</v>
      </c>
      <c r="N605" t="n">
        <v>0</v>
      </c>
      <c r="O605" t="n">
        <v>0</v>
      </c>
      <c r="P605" t="n">
        <v>0</v>
      </c>
      <c r="Q605" t="n">
        <v>0</v>
      </c>
      <c r="R605" s="2" t="inlineStr"/>
    </row>
    <row r="606" ht="15" customHeight="1">
      <c r="A606" t="inlineStr">
        <is>
          <t>A 58910-2022</t>
        </is>
      </c>
      <c r="B606" s="1" t="n">
        <v>44903</v>
      </c>
      <c r="C606" s="1" t="n">
        <v>45787</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60274-2022</t>
        </is>
      </c>
      <c r="B607" s="1" t="n">
        <v>44903</v>
      </c>
      <c r="C607" s="1" t="n">
        <v>45787</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60249-2022</t>
        </is>
      </c>
      <c r="B608" s="1" t="n">
        <v>44903</v>
      </c>
      <c r="C608" s="1" t="n">
        <v>45787</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60280-2022</t>
        </is>
      </c>
      <c r="B609" s="1" t="n">
        <v>44903</v>
      </c>
      <c r="C609" s="1" t="n">
        <v>45787</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60271-2022</t>
        </is>
      </c>
      <c r="B610" s="1" t="n">
        <v>44903</v>
      </c>
      <c r="C610" s="1" t="n">
        <v>45787</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59634-2022</t>
        </is>
      </c>
      <c r="B611" s="1" t="n">
        <v>44908</v>
      </c>
      <c r="C611" s="1" t="n">
        <v>45787</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59652-2022</t>
        </is>
      </c>
      <c r="B612" s="1" t="n">
        <v>44908</v>
      </c>
      <c r="C612" s="1" t="n">
        <v>45787</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59635-2022</t>
        </is>
      </c>
      <c r="B613" s="1" t="n">
        <v>44907</v>
      </c>
      <c r="C613" s="1" t="n">
        <v>45787</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60845-2022</t>
        </is>
      </c>
      <c r="B614" s="1" t="n">
        <v>44907</v>
      </c>
      <c r="C614" s="1" t="n">
        <v>45787</v>
      </c>
      <c r="D614" t="inlineStr">
        <is>
          <t>JÄMTLANDS LÄN</t>
        </is>
      </c>
      <c r="E614" t="inlineStr">
        <is>
          <t>BERG</t>
        </is>
      </c>
      <c r="G614" t="n">
        <v>14.6</v>
      </c>
      <c r="H614" t="n">
        <v>0</v>
      </c>
      <c r="I614" t="n">
        <v>0</v>
      </c>
      <c r="J614" t="n">
        <v>0</v>
      </c>
      <c r="K614" t="n">
        <v>0</v>
      </c>
      <c r="L614" t="n">
        <v>0</v>
      </c>
      <c r="M614" t="n">
        <v>0</v>
      </c>
      <c r="N614" t="n">
        <v>0</v>
      </c>
      <c r="O614" t="n">
        <v>0</v>
      </c>
      <c r="P614" t="n">
        <v>0</v>
      </c>
      <c r="Q614" t="n">
        <v>0</v>
      </c>
      <c r="R614" s="2" t="inlineStr"/>
    </row>
    <row r="615" ht="15" customHeight="1">
      <c r="A615" t="inlineStr">
        <is>
          <t>A 59650-2022</t>
        </is>
      </c>
      <c r="B615" s="1" t="n">
        <v>44907</v>
      </c>
      <c r="C615" s="1" t="n">
        <v>45787</v>
      </c>
      <c r="D615" t="inlineStr">
        <is>
          <t>JÄMTLANDS LÄN</t>
        </is>
      </c>
      <c r="E615" t="inlineStr">
        <is>
          <t>BERG</t>
        </is>
      </c>
      <c r="G615" t="n">
        <v>3.3</v>
      </c>
      <c r="H615" t="n">
        <v>0</v>
      </c>
      <c r="I615" t="n">
        <v>0</v>
      </c>
      <c r="J615" t="n">
        <v>0</v>
      </c>
      <c r="K615" t="n">
        <v>0</v>
      </c>
      <c r="L615" t="n">
        <v>0</v>
      </c>
      <c r="M615" t="n">
        <v>0</v>
      </c>
      <c r="N615" t="n">
        <v>0</v>
      </c>
      <c r="O615" t="n">
        <v>0</v>
      </c>
      <c r="P615" t="n">
        <v>0</v>
      </c>
      <c r="Q615" t="n">
        <v>0</v>
      </c>
      <c r="R615" s="2" t="inlineStr"/>
    </row>
    <row r="616" ht="15" customHeight="1">
      <c r="A616" t="inlineStr">
        <is>
          <t>A 59651-2022</t>
        </is>
      </c>
      <c r="B616" s="1" t="n">
        <v>44908</v>
      </c>
      <c r="C616" s="1" t="n">
        <v>45787</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60852-2022</t>
        </is>
      </c>
      <c r="B617" s="1" t="n">
        <v>44908</v>
      </c>
      <c r="C617" s="1" t="n">
        <v>45787</v>
      </c>
      <c r="D617" t="inlineStr">
        <is>
          <t>JÄMTLANDS LÄN</t>
        </is>
      </c>
      <c r="E617" t="inlineStr">
        <is>
          <t>BERG</t>
        </is>
      </c>
      <c r="G617" t="n">
        <v>17.3</v>
      </c>
      <c r="H617" t="n">
        <v>0</v>
      </c>
      <c r="I617" t="n">
        <v>0</v>
      </c>
      <c r="J617" t="n">
        <v>0</v>
      </c>
      <c r="K617" t="n">
        <v>0</v>
      </c>
      <c r="L617" t="n">
        <v>0</v>
      </c>
      <c r="M617" t="n">
        <v>0</v>
      </c>
      <c r="N617" t="n">
        <v>0</v>
      </c>
      <c r="O617" t="n">
        <v>0</v>
      </c>
      <c r="P617" t="n">
        <v>0</v>
      </c>
      <c r="Q617" t="n">
        <v>0</v>
      </c>
      <c r="R617" s="2" t="inlineStr"/>
    </row>
    <row r="618" ht="15" customHeight="1">
      <c r="A618" t="inlineStr">
        <is>
          <t>A 60854-2022</t>
        </is>
      </c>
      <c r="B618" s="1" t="n">
        <v>44908</v>
      </c>
      <c r="C618" s="1" t="n">
        <v>45787</v>
      </c>
      <c r="D618" t="inlineStr">
        <is>
          <t>JÄMTLANDS LÄN</t>
        </is>
      </c>
      <c r="E618" t="inlineStr">
        <is>
          <t>BERG</t>
        </is>
      </c>
      <c r="G618" t="n">
        <v>26.9</v>
      </c>
      <c r="H618" t="n">
        <v>0</v>
      </c>
      <c r="I618" t="n">
        <v>0</v>
      </c>
      <c r="J618" t="n">
        <v>0</v>
      </c>
      <c r="K618" t="n">
        <v>0</v>
      </c>
      <c r="L618" t="n">
        <v>0</v>
      </c>
      <c r="M618" t="n">
        <v>0</v>
      </c>
      <c r="N618" t="n">
        <v>0</v>
      </c>
      <c r="O618" t="n">
        <v>0</v>
      </c>
      <c r="P618" t="n">
        <v>0</v>
      </c>
      <c r="Q618" t="n">
        <v>0</v>
      </c>
      <c r="R618" s="2" t="inlineStr"/>
    </row>
    <row r="619" ht="15" customHeight="1">
      <c r="A619" t="inlineStr">
        <is>
          <t>A 61248-2022</t>
        </is>
      </c>
      <c r="B619" s="1" t="n">
        <v>44909</v>
      </c>
      <c r="C619" s="1" t="n">
        <v>45787</v>
      </c>
      <c r="D619" t="inlineStr">
        <is>
          <t>JÄMTLANDS LÄN</t>
        </is>
      </c>
      <c r="E619" t="inlineStr">
        <is>
          <t>BERG</t>
        </is>
      </c>
      <c r="G619" t="n">
        <v>2.8</v>
      </c>
      <c r="H619" t="n">
        <v>0</v>
      </c>
      <c r="I619" t="n">
        <v>0</v>
      </c>
      <c r="J619" t="n">
        <v>0</v>
      </c>
      <c r="K619" t="n">
        <v>0</v>
      </c>
      <c r="L619" t="n">
        <v>0</v>
      </c>
      <c r="M619" t="n">
        <v>0</v>
      </c>
      <c r="N619" t="n">
        <v>0</v>
      </c>
      <c r="O619" t="n">
        <v>0</v>
      </c>
      <c r="P619" t="n">
        <v>0</v>
      </c>
      <c r="Q619" t="n">
        <v>0</v>
      </c>
      <c r="R619" s="2" t="inlineStr"/>
    </row>
    <row r="620" ht="15" customHeight="1">
      <c r="A620" t="inlineStr">
        <is>
          <t>A 61251-2022</t>
        </is>
      </c>
      <c r="B620" s="1" t="n">
        <v>44909</v>
      </c>
      <c r="C620" s="1" t="n">
        <v>45787</v>
      </c>
      <c r="D620" t="inlineStr">
        <is>
          <t>JÄMTLANDS LÄN</t>
        </is>
      </c>
      <c r="E620" t="inlineStr">
        <is>
          <t>BERG</t>
        </is>
      </c>
      <c r="G620" t="n">
        <v>3</v>
      </c>
      <c r="H620" t="n">
        <v>0</v>
      </c>
      <c r="I620" t="n">
        <v>0</v>
      </c>
      <c r="J620" t="n">
        <v>0</v>
      </c>
      <c r="K620" t="n">
        <v>0</v>
      </c>
      <c r="L620" t="n">
        <v>0</v>
      </c>
      <c r="M620" t="n">
        <v>0</v>
      </c>
      <c r="N620" t="n">
        <v>0</v>
      </c>
      <c r="O620" t="n">
        <v>0</v>
      </c>
      <c r="P620" t="n">
        <v>0</v>
      </c>
      <c r="Q620" t="n">
        <v>0</v>
      </c>
      <c r="R620" s="2" t="inlineStr"/>
    </row>
    <row r="621" ht="15" customHeight="1">
      <c r="A621" t="inlineStr">
        <is>
          <t>A 61239-2022</t>
        </is>
      </c>
      <c r="B621" s="1" t="n">
        <v>44909</v>
      </c>
      <c r="C621" s="1" t="n">
        <v>45787</v>
      </c>
      <c r="D621" t="inlineStr">
        <is>
          <t>JÄMTLANDS LÄN</t>
        </is>
      </c>
      <c r="E621" t="inlineStr">
        <is>
          <t>BERG</t>
        </is>
      </c>
      <c r="G621" t="n">
        <v>13.5</v>
      </c>
      <c r="H621" t="n">
        <v>0</v>
      </c>
      <c r="I621" t="n">
        <v>0</v>
      </c>
      <c r="J621" t="n">
        <v>0</v>
      </c>
      <c r="K621" t="n">
        <v>0</v>
      </c>
      <c r="L621" t="n">
        <v>0</v>
      </c>
      <c r="M621" t="n">
        <v>0</v>
      </c>
      <c r="N621" t="n">
        <v>0</v>
      </c>
      <c r="O621" t="n">
        <v>0</v>
      </c>
      <c r="P621" t="n">
        <v>0</v>
      </c>
      <c r="Q621" t="n">
        <v>0</v>
      </c>
      <c r="R621" s="2" t="inlineStr"/>
    </row>
    <row r="622" ht="15" customHeight="1">
      <c r="A622" t="inlineStr">
        <is>
          <t>A 61255-2022</t>
        </is>
      </c>
      <c r="B622" s="1" t="n">
        <v>44909</v>
      </c>
      <c r="C622" s="1" t="n">
        <v>45787</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60587-2022</t>
        </is>
      </c>
      <c r="B623" s="1" t="n">
        <v>44911</v>
      </c>
      <c r="C623" s="1" t="n">
        <v>45787</v>
      </c>
      <c r="D623" t="inlineStr">
        <is>
          <t>JÄMTLANDS LÄN</t>
        </is>
      </c>
      <c r="E623" t="inlineStr">
        <is>
          <t>BERG</t>
        </is>
      </c>
      <c r="G623" t="n">
        <v>4.8</v>
      </c>
      <c r="H623" t="n">
        <v>0</v>
      </c>
      <c r="I623" t="n">
        <v>0</v>
      </c>
      <c r="J623" t="n">
        <v>0</v>
      </c>
      <c r="K623" t="n">
        <v>0</v>
      </c>
      <c r="L623" t="n">
        <v>0</v>
      </c>
      <c r="M623" t="n">
        <v>0</v>
      </c>
      <c r="N623" t="n">
        <v>0</v>
      </c>
      <c r="O623" t="n">
        <v>0</v>
      </c>
      <c r="P623" t="n">
        <v>0</v>
      </c>
      <c r="Q623" t="n">
        <v>0</v>
      </c>
      <c r="R623" s="2" t="inlineStr"/>
    </row>
    <row r="624" ht="15" customHeight="1">
      <c r="A624" t="inlineStr">
        <is>
          <t>A 60668-2022</t>
        </is>
      </c>
      <c r="B624" s="1" t="n">
        <v>44911</v>
      </c>
      <c r="C624" s="1" t="n">
        <v>45787</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60657-2022</t>
        </is>
      </c>
      <c r="B625" s="1" t="n">
        <v>44911</v>
      </c>
      <c r="C625" s="1" t="n">
        <v>45787</v>
      </c>
      <c r="D625" t="inlineStr">
        <is>
          <t>JÄMTLANDS LÄN</t>
        </is>
      </c>
      <c r="E625" t="inlineStr">
        <is>
          <t>BERG</t>
        </is>
      </c>
      <c r="G625" t="n">
        <v>11.7</v>
      </c>
      <c r="H625" t="n">
        <v>0</v>
      </c>
      <c r="I625" t="n">
        <v>0</v>
      </c>
      <c r="J625" t="n">
        <v>0</v>
      </c>
      <c r="K625" t="n">
        <v>0</v>
      </c>
      <c r="L625" t="n">
        <v>0</v>
      </c>
      <c r="M625" t="n">
        <v>0</v>
      </c>
      <c r="N625" t="n">
        <v>0</v>
      </c>
      <c r="O625" t="n">
        <v>0</v>
      </c>
      <c r="P625" t="n">
        <v>0</v>
      </c>
      <c r="Q625" t="n">
        <v>0</v>
      </c>
      <c r="R625" s="2" t="inlineStr"/>
    </row>
    <row r="626" ht="15" customHeight="1">
      <c r="A626" t="inlineStr">
        <is>
          <t>A 62153-2022</t>
        </is>
      </c>
      <c r="B626" s="1" t="n">
        <v>44914</v>
      </c>
      <c r="C626" s="1" t="n">
        <v>45787</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62147-2022</t>
        </is>
      </c>
      <c r="B627" s="1" t="n">
        <v>44914</v>
      </c>
      <c r="C627" s="1" t="n">
        <v>45787</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62205-2022</t>
        </is>
      </c>
      <c r="B628" s="1" t="n">
        <v>44915</v>
      </c>
      <c r="C628" s="1" t="n">
        <v>45787</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61472-2022</t>
        </is>
      </c>
      <c r="B629" s="1" t="n">
        <v>44916</v>
      </c>
      <c r="C629" s="1" t="n">
        <v>45787</v>
      </c>
      <c r="D629" t="inlineStr">
        <is>
          <t>JÄMTLANDS LÄN</t>
        </is>
      </c>
      <c r="E629" t="inlineStr">
        <is>
          <t>BERG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61917-2022</t>
        </is>
      </c>
      <c r="B630" s="1" t="n">
        <v>44917</v>
      </c>
      <c r="C630" s="1" t="n">
        <v>45787</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62659-2022</t>
        </is>
      </c>
      <c r="B631" s="1" t="n">
        <v>44917</v>
      </c>
      <c r="C631" s="1" t="n">
        <v>45787</v>
      </c>
      <c r="D631" t="inlineStr">
        <is>
          <t>JÄMTLANDS LÄN</t>
        </is>
      </c>
      <c r="E631" t="inlineStr">
        <is>
          <t>BERG</t>
        </is>
      </c>
      <c r="G631" t="n">
        <v>10.3</v>
      </c>
      <c r="H631" t="n">
        <v>0</v>
      </c>
      <c r="I631" t="n">
        <v>0</v>
      </c>
      <c r="J631" t="n">
        <v>0</v>
      </c>
      <c r="K631" t="n">
        <v>0</v>
      </c>
      <c r="L631" t="n">
        <v>0</v>
      </c>
      <c r="M631" t="n">
        <v>0</v>
      </c>
      <c r="N631" t="n">
        <v>0</v>
      </c>
      <c r="O631" t="n">
        <v>0</v>
      </c>
      <c r="P631" t="n">
        <v>0</v>
      </c>
      <c r="Q631" t="n">
        <v>0</v>
      </c>
      <c r="R631" s="2" t="inlineStr"/>
    </row>
    <row r="632" ht="15" customHeight="1">
      <c r="A632" t="inlineStr">
        <is>
          <t>A 62029-2022</t>
        </is>
      </c>
      <c r="B632" s="1" t="n">
        <v>44918</v>
      </c>
      <c r="C632" s="1" t="n">
        <v>45787</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441-2023</t>
        </is>
      </c>
      <c r="B633" s="1" t="n">
        <v>44923</v>
      </c>
      <c r="C633" s="1" t="n">
        <v>45787</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433-2023</t>
        </is>
      </c>
      <c r="B634" s="1" t="n">
        <v>44923</v>
      </c>
      <c r="C634" s="1" t="n">
        <v>45787</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442-2023</t>
        </is>
      </c>
      <c r="B635" s="1" t="n">
        <v>44923</v>
      </c>
      <c r="C635" s="1" t="n">
        <v>45787</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525-2023</t>
        </is>
      </c>
      <c r="B636" s="1" t="n">
        <v>44924</v>
      </c>
      <c r="C636" s="1" t="n">
        <v>45787</v>
      </c>
      <c r="D636" t="inlineStr">
        <is>
          <t>JÄMTLANDS LÄN</t>
        </is>
      </c>
      <c r="E636" t="inlineStr">
        <is>
          <t>BERG</t>
        </is>
      </c>
      <c r="G636" t="n">
        <v>4</v>
      </c>
      <c r="H636" t="n">
        <v>0</v>
      </c>
      <c r="I636" t="n">
        <v>0</v>
      </c>
      <c r="J636" t="n">
        <v>0</v>
      </c>
      <c r="K636" t="n">
        <v>0</v>
      </c>
      <c r="L636" t="n">
        <v>0</v>
      </c>
      <c r="M636" t="n">
        <v>0</v>
      </c>
      <c r="N636" t="n">
        <v>0</v>
      </c>
      <c r="O636" t="n">
        <v>0</v>
      </c>
      <c r="P636" t="n">
        <v>0</v>
      </c>
      <c r="Q636" t="n">
        <v>0</v>
      </c>
      <c r="R636" s="2" t="inlineStr"/>
    </row>
    <row r="637" ht="15" customHeight="1">
      <c r="A637" t="inlineStr">
        <is>
          <t>A 613-2023</t>
        </is>
      </c>
      <c r="B637" s="1" t="n">
        <v>44924</v>
      </c>
      <c r="C637" s="1" t="n">
        <v>45787</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461-2023</t>
        </is>
      </c>
      <c r="B638" s="1" t="n">
        <v>44929</v>
      </c>
      <c r="C638" s="1" t="n">
        <v>45787</v>
      </c>
      <c r="D638" t="inlineStr">
        <is>
          <t>JÄMTLANDS LÄN</t>
        </is>
      </c>
      <c r="E638" t="inlineStr">
        <is>
          <t>BERG</t>
        </is>
      </c>
      <c r="G638" t="n">
        <v>5.8</v>
      </c>
      <c r="H638" t="n">
        <v>0</v>
      </c>
      <c r="I638" t="n">
        <v>0</v>
      </c>
      <c r="J638" t="n">
        <v>0</v>
      </c>
      <c r="K638" t="n">
        <v>0</v>
      </c>
      <c r="L638" t="n">
        <v>0</v>
      </c>
      <c r="M638" t="n">
        <v>0</v>
      </c>
      <c r="N638" t="n">
        <v>0</v>
      </c>
      <c r="O638" t="n">
        <v>0</v>
      </c>
      <c r="P638" t="n">
        <v>0</v>
      </c>
      <c r="Q638" t="n">
        <v>0</v>
      </c>
      <c r="R638" s="2" t="inlineStr"/>
    </row>
    <row r="639" ht="15" customHeight="1">
      <c r="A639" t="inlineStr">
        <is>
          <t>A 2267-2023</t>
        </is>
      </c>
      <c r="B639" s="1" t="n">
        <v>44942</v>
      </c>
      <c r="C639" s="1" t="n">
        <v>45787</v>
      </c>
      <c r="D639" t="inlineStr">
        <is>
          <t>JÄMTLANDS LÄN</t>
        </is>
      </c>
      <c r="E639" t="inlineStr">
        <is>
          <t>BERG</t>
        </is>
      </c>
      <c r="G639" t="n">
        <v>4.6</v>
      </c>
      <c r="H639" t="n">
        <v>0</v>
      </c>
      <c r="I639" t="n">
        <v>0</v>
      </c>
      <c r="J639" t="n">
        <v>0</v>
      </c>
      <c r="K639" t="n">
        <v>0</v>
      </c>
      <c r="L639" t="n">
        <v>0</v>
      </c>
      <c r="M639" t="n">
        <v>0</v>
      </c>
      <c r="N639" t="n">
        <v>0</v>
      </c>
      <c r="O639" t="n">
        <v>0</v>
      </c>
      <c r="P639" t="n">
        <v>0</v>
      </c>
      <c r="Q639" t="n">
        <v>0</v>
      </c>
      <c r="R639" s="2" t="inlineStr"/>
    </row>
    <row r="640" ht="15" customHeight="1">
      <c r="A640" t="inlineStr">
        <is>
          <t>A 3842-2023</t>
        </is>
      </c>
      <c r="B640" s="1" t="n">
        <v>44951</v>
      </c>
      <c r="C640" s="1" t="n">
        <v>45787</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7099-2023</t>
        </is>
      </c>
      <c r="B641" s="1" t="n">
        <v>44965</v>
      </c>
      <c r="C641" s="1" t="n">
        <v>45787</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7105-2023</t>
        </is>
      </c>
      <c r="B642" s="1" t="n">
        <v>44965</v>
      </c>
      <c r="C642" s="1" t="n">
        <v>45787</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7488-2023</t>
        </is>
      </c>
      <c r="B643" s="1" t="n">
        <v>44966</v>
      </c>
      <c r="C643" s="1" t="n">
        <v>45787</v>
      </c>
      <c r="D643" t="inlineStr">
        <is>
          <t>JÄMTLANDS LÄN</t>
        </is>
      </c>
      <c r="E643" t="inlineStr">
        <is>
          <t>BERG</t>
        </is>
      </c>
      <c r="G643" t="n">
        <v>19.5</v>
      </c>
      <c r="H643" t="n">
        <v>0</v>
      </c>
      <c r="I643" t="n">
        <v>0</v>
      </c>
      <c r="J643" t="n">
        <v>0</v>
      </c>
      <c r="K643" t="n">
        <v>0</v>
      </c>
      <c r="L643" t="n">
        <v>0</v>
      </c>
      <c r="M643" t="n">
        <v>0</v>
      </c>
      <c r="N643" t="n">
        <v>0</v>
      </c>
      <c r="O643" t="n">
        <v>0</v>
      </c>
      <c r="P643" t="n">
        <v>0</v>
      </c>
      <c r="Q643" t="n">
        <v>0</v>
      </c>
      <c r="R643" s="2" t="inlineStr"/>
    </row>
    <row r="644" ht="15" customHeight="1">
      <c r="A644" t="inlineStr">
        <is>
          <t>A 7463-2023</t>
        </is>
      </c>
      <c r="B644" s="1" t="n">
        <v>44966</v>
      </c>
      <c r="C644" s="1" t="n">
        <v>45787</v>
      </c>
      <c r="D644" t="inlineStr">
        <is>
          <t>JÄMTLANDS LÄN</t>
        </is>
      </c>
      <c r="E644" t="inlineStr">
        <is>
          <t>BERG</t>
        </is>
      </c>
      <c r="G644" t="n">
        <v>13.1</v>
      </c>
      <c r="H644" t="n">
        <v>0</v>
      </c>
      <c r="I644" t="n">
        <v>0</v>
      </c>
      <c r="J644" t="n">
        <v>0</v>
      </c>
      <c r="K644" t="n">
        <v>0</v>
      </c>
      <c r="L644" t="n">
        <v>0</v>
      </c>
      <c r="M644" t="n">
        <v>0</v>
      </c>
      <c r="N644" t="n">
        <v>0</v>
      </c>
      <c r="O644" t="n">
        <v>0</v>
      </c>
      <c r="P644" t="n">
        <v>0</v>
      </c>
      <c r="Q644" t="n">
        <v>0</v>
      </c>
      <c r="R644" s="2" t="inlineStr"/>
    </row>
    <row r="645" ht="15" customHeight="1">
      <c r="A645" t="inlineStr">
        <is>
          <t>A 7483-2023</t>
        </is>
      </c>
      <c r="B645" s="1" t="n">
        <v>44966</v>
      </c>
      <c r="C645" s="1" t="n">
        <v>45787</v>
      </c>
      <c r="D645" t="inlineStr">
        <is>
          <t>JÄMTLANDS LÄN</t>
        </is>
      </c>
      <c r="E645" t="inlineStr">
        <is>
          <t>BERG</t>
        </is>
      </c>
      <c r="G645" t="n">
        <v>20.1</v>
      </c>
      <c r="H645" t="n">
        <v>0</v>
      </c>
      <c r="I645" t="n">
        <v>0</v>
      </c>
      <c r="J645" t="n">
        <v>0</v>
      </c>
      <c r="K645" t="n">
        <v>0</v>
      </c>
      <c r="L645" t="n">
        <v>0</v>
      </c>
      <c r="M645" t="n">
        <v>0</v>
      </c>
      <c r="N645" t="n">
        <v>0</v>
      </c>
      <c r="O645" t="n">
        <v>0</v>
      </c>
      <c r="P645" t="n">
        <v>0</v>
      </c>
      <c r="Q645" t="n">
        <v>0</v>
      </c>
      <c r="R645" s="2" t="inlineStr"/>
    </row>
    <row r="646" ht="15" customHeight="1">
      <c r="A646" t="inlineStr">
        <is>
          <t>A 7802-2023</t>
        </is>
      </c>
      <c r="B646" s="1" t="n">
        <v>44973</v>
      </c>
      <c r="C646" s="1" t="n">
        <v>45787</v>
      </c>
      <c r="D646" t="inlineStr">
        <is>
          <t>JÄMTLANDS LÄN</t>
        </is>
      </c>
      <c r="E646" t="inlineStr">
        <is>
          <t>BERG</t>
        </is>
      </c>
      <c r="F646" t="inlineStr">
        <is>
          <t>Kyrkan</t>
        </is>
      </c>
      <c r="G646" t="n">
        <v>0.7</v>
      </c>
      <c r="H646" t="n">
        <v>0</v>
      </c>
      <c r="I646" t="n">
        <v>0</v>
      </c>
      <c r="J646" t="n">
        <v>0</v>
      </c>
      <c r="K646" t="n">
        <v>0</v>
      </c>
      <c r="L646" t="n">
        <v>0</v>
      </c>
      <c r="M646" t="n">
        <v>0</v>
      </c>
      <c r="N646" t="n">
        <v>0</v>
      </c>
      <c r="O646" t="n">
        <v>0</v>
      </c>
      <c r="P646" t="n">
        <v>0</v>
      </c>
      <c r="Q646" t="n">
        <v>0</v>
      </c>
      <c r="R646" s="2" t="inlineStr"/>
    </row>
    <row r="647" ht="15" customHeight="1">
      <c r="A647" t="inlineStr">
        <is>
          <t>A 8251-2023</t>
        </is>
      </c>
      <c r="B647" s="1" t="n">
        <v>44974</v>
      </c>
      <c r="C647" s="1" t="n">
        <v>45787</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8413-2023</t>
        </is>
      </c>
      <c r="B648" s="1" t="n">
        <v>44977</v>
      </c>
      <c r="C648" s="1" t="n">
        <v>45787</v>
      </c>
      <c r="D648" t="inlineStr">
        <is>
          <t>JÄMTLANDS LÄN</t>
        </is>
      </c>
      <c r="E648" t="inlineStr">
        <is>
          <t>BERG</t>
        </is>
      </c>
      <c r="F648" t="inlineStr">
        <is>
          <t>Kyrkan</t>
        </is>
      </c>
      <c r="G648" t="n">
        <v>10.1</v>
      </c>
      <c r="H648" t="n">
        <v>0</v>
      </c>
      <c r="I648" t="n">
        <v>0</v>
      </c>
      <c r="J648" t="n">
        <v>0</v>
      </c>
      <c r="K648" t="n">
        <v>0</v>
      </c>
      <c r="L648" t="n">
        <v>0</v>
      </c>
      <c r="M648" t="n">
        <v>0</v>
      </c>
      <c r="N648" t="n">
        <v>0</v>
      </c>
      <c r="O648" t="n">
        <v>0</v>
      </c>
      <c r="P648" t="n">
        <v>0</v>
      </c>
      <c r="Q648" t="n">
        <v>0</v>
      </c>
      <c r="R648" s="2" t="inlineStr"/>
    </row>
    <row r="649" ht="15" customHeight="1">
      <c r="A649" t="inlineStr">
        <is>
          <t>A 8624-2023</t>
        </is>
      </c>
      <c r="B649" s="1" t="n">
        <v>44977</v>
      </c>
      <c r="C649" s="1" t="n">
        <v>45787</v>
      </c>
      <c r="D649" t="inlineStr">
        <is>
          <t>JÄMTLANDS LÄN</t>
        </is>
      </c>
      <c r="E649" t="inlineStr">
        <is>
          <t>BERG</t>
        </is>
      </c>
      <c r="F649" t="inlineStr">
        <is>
          <t>Kyrkan</t>
        </is>
      </c>
      <c r="G649" t="n">
        <v>7</v>
      </c>
      <c r="H649" t="n">
        <v>0</v>
      </c>
      <c r="I649" t="n">
        <v>0</v>
      </c>
      <c r="J649" t="n">
        <v>0</v>
      </c>
      <c r="K649" t="n">
        <v>0</v>
      </c>
      <c r="L649" t="n">
        <v>0</v>
      </c>
      <c r="M649" t="n">
        <v>0</v>
      </c>
      <c r="N649" t="n">
        <v>0</v>
      </c>
      <c r="O649" t="n">
        <v>0</v>
      </c>
      <c r="P649" t="n">
        <v>0</v>
      </c>
      <c r="Q649" t="n">
        <v>0</v>
      </c>
      <c r="R649" s="2" t="inlineStr"/>
    </row>
    <row r="650" ht="15" customHeight="1">
      <c r="A650" t="inlineStr">
        <is>
          <t>A 9077-2023</t>
        </is>
      </c>
      <c r="B650" s="1" t="n">
        <v>44979</v>
      </c>
      <c r="C650" s="1" t="n">
        <v>45787</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10254-2023</t>
        </is>
      </c>
      <c r="B651" s="1" t="n">
        <v>44980</v>
      </c>
      <c r="C651" s="1" t="n">
        <v>45787</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10255-2023</t>
        </is>
      </c>
      <c r="B652" s="1" t="n">
        <v>44980</v>
      </c>
      <c r="C652" s="1" t="n">
        <v>45787</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10125-2023</t>
        </is>
      </c>
      <c r="B653" s="1" t="n">
        <v>44986</v>
      </c>
      <c r="C653" s="1" t="n">
        <v>45787</v>
      </c>
      <c r="D653" t="inlineStr">
        <is>
          <t>JÄMTLANDS LÄN</t>
        </is>
      </c>
      <c r="E653" t="inlineStr">
        <is>
          <t>BERG</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10138-2023</t>
        </is>
      </c>
      <c r="B654" s="1" t="n">
        <v>44986</v>
      </c>
      <c r="C654" s="1" t="n">
        <v>45787</v>
      </c>
      <c r="D654" t="inlineStr">
        <is>
          <t>JÄMTLANDS LÄN</t>
        </is>
      </c>
      <c r="E654" t="inlineStr">
        <is>
          <t>BERG</t>
        </is>
      </c>
      <c r="F654" t="inlineStr">
        <is>
          <t>Holmen skog AB</t>
        </is>
      </c>
      <c r="G654" t="n">
        <v>7.5</v>
      </c>
      <c r="H654" t="n">
        <v>0</v>
      </c>
      <c r="I654" t="n">
        <v>0</v>
      </c>
      <c r="J654" t="n">
        <v>0</v>
      </c>
      <c r="K654" t="n">
        <v>0</v>
      </c>
      <c r="L654" t="n">
        <v>0</v>
      </c>
      <c r="M654" t="n">
        <v>0</v>
      </c>
      <c r="N654" t="n">
        <v>0</v>
      </c>
      <c r="O654" t="n">
        <v>0</v>
      </c>
      <c r="P654" t="n">
        <v>0</v>
      </c>
      <c r="Q654" t="n">
        <v>0</v>
      </c>
      <c r="R654" s="2" t="inlineStr"/>
    </row>
    <row r="655" ht="15" customHeight="1">
      <c r="A655" t="inlineStr">
        <is>
          <t>A 10465-2023</t>
        </is>
      </c>
      <c r="B655" s="1" t="n">
        <v>44987</v>
      </c>
      <c r="C655" s="1" t="n">
        <v>45787</v>
      </c>
      <c r="D655" t="inlineStr">
        <is>
          <t>JÄMTLANDS LÄN</t>
        </is>
      </c>
      <c r="E655" t="inlineStr">
        <is>
          <t>BERG</t>
        </is>
      </c>
      <c r="G655" t="n">
        <v>3.4</v>
      </c>
      <c r="H655" t="n">
        <v>0</v>
      </c>
      <c r="I655" t="n">
        <v>0</v>
      </c>
      <c r="J655" t="n">
        <v>0</v>
      </c>
      <c r="K655" t="n">
        <v>0</v>
      </c>
      <c r="L655" t="n">
        <v>0</v>
      </c>
      <c r="M655" t="n">
        <v>0</v>
      </c>
      <c r="N655" t="n">
        <v>0</v>
      </c>
      <c r="O655" t="n">
        <v>0</v>
      </c>
      <c r="P655" t="n">
        <v>0</v>
      </c>
      <c r="Q655" t="n">
        <v>0</v>
      </c>
      <c r="R655" s="2" t="inlineStr"/>
    </row>
    <row r="656" ht="15" customHeight="1">
      <c r="A656" t="inlineStr">
        <is>
          <t>A 10495-2023</t>
        </is>
      </c>
      <c r="B656" s="1" t="n">
        <v>44987</v>
      </c>
      <c r="C656" s="1" t="n">
        <v>45787</v>
      </c>
      <c r="D656" t="inlineStr">
        <is>
          <t>JÄMTLANDS LÄN</t>
        </is>
      </c>
      <c r="E656" t="inlineStr">
        <is>
          <t>BERG</t>
        </is>
      </c>
      <c r="G656" t="n">
        <v>12.8</v>
      </c>
      <c r="H656" t="n">
        <v>0</v>
      </c>
      <c r="I656" t="n">
        <v>0</v>
      </c>
      <c r="J656" t="n">
        <v>0</v>
      </c>
      <c r="K656" t="n">
        <v>0</v>
      </c>
      <c r="L656" t="n">
        <v>0</v>
      </c>
      <c r="M656" t="n">
        <v>0</v>
      </c>
      <c r="N656" t="n">
        <v>0</v>
      </c>
      <c r="O656" t="n">
        <v>0</v>
      </c>
      <c r="P656" t="n">
        <v>0</v>
      </c>
      <c r="Q656" t="n">
        <v>0</v>
      </c>
      <c r="R656" s="2" t="inlineStr"/>
    </row>
    <row r="657" ht="15" customHeight="1">
      <c r="A657" t="inlineStr">
        <is>
          <t>A 10478-2023</t>
        </is>
      </c>
      <c r="B657" s="1" t="n">
        <v>44987</v>
      </c>
      <c r="C657" s="1" t="n">
        <v>45787</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11185-2023</t>
        </is>
      </c>
      <c r="B658" s="1" t="n">
        <v>44987</v>
      </c>
      <c r="C658" s="1" t="n">
        <v>45787</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11702-2023</t>
        </is>
      </c>
      <c r="B659" s="1" t="n">
        <v>44994</v>
      </c>
      <c r="C659" s="1" t="n">
        <v>45787</v>
      </c>
      <c r="D659" t="inlineStr">
        <is>
          <t>JÄMTLANDS LÄN</t>
        </is>
      </c>
      <c r="E659" t="inlineStr">
        <is>
          <t>BERG</t>
        </is>
      </c>
      <c r="G659" t="n">
        <v>2</v>
      </c>
      <c r="H659" t="n">
        <v>0</v>
      </c>
      <c r="I659" t="n">
        <v>0</v>
      </c>
      <c r="J659" t="n">
        <v>0</v>
      </c>
      <c r="K659" t="n">
        <v>0</v>
      </c>
      <c r="L659" t="n">
        <v>0</v>
      </c>
      <c r="M659" t="n">
        <v>0</v>
      </c>
      <c r="N659" t="n">
        <v>0</v>
      </c>
      <c r="O659" t="n">
        <v>0</v>
      </c>
      <c r="P659" t="n">
        <v>0</v>
      </c>
      <c r="Q659" t="n">
        <v>0</v>
      </c>
      <c r="R659" s="2" t="inlineStr"/>
    </row>
    <row r="660" ht="15" customHeight="1">
      <c r="A660" t="inlineStr">
        <is>
          <t>A 11697-2023</t>
        </is>
      </c>
      <c r="B660" s="1" t="n">
        <v>44994</v>
      </c>
      <c r="C660" s="1" t="n">
        <v>45787</v>
      </c>
      <c r="D660" t="inlineStr">
        <is>
          <t>JÄMTLANDS LÄN</t>
        </is>
      </c>
      <c r="E660" t="inlineStr">
        <is>
          <t>BERG</t>
        </is>
      </c>
      <c r="G660" t="n">
        <v>8.9</v>
      </c>
      <c r="H660" t="n">
        <v>0</v>
      </c>
      <c r="I660" t="n">
        <v>0</v>
      </c>
      <c r="J660" t="n">
        <v>0</v>
      </c>
      <c r="K660" t="n">
        <v>0</v>
      </c>
      <c r="L660" t="n">
        <v>0</v>
      </c>
      <c r="M660" t="n">
        <v>0</v>
      </c>
      <c r="N660" t="n">
        <v>0</v>
      </c>
      <c r="O660" t="n">
        <v>0</v>
      </c>
      <c r="P660" t="n">
        <v>0</v>
      </c>
      <c r="Q660" t="n">
        <v>0</v>
      </c>
      <c r="R660" s="2" t="inlineStr"/>
    </row>
    <row r="661" ht="15" customHeight="1">
      <c r="A661" t="inlineStr">
        <is>
          <t>A 11704-2023</t>
        </is>
      </c>
      <c r="B661" s="1" t="n">
        <v>44994</v>
      </c>
      <c r="C661" s="1" t="n">
        <v>45787</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11948-2023</t>
        </is>
      </c>
      <c r="B662" s="1" t="n">
        <v>44994</v>
      </c>
      <c r="C662" s="1" t="n">
        <v>45787</v>
      </c>
      <c r="D662" t="inlineStr">
        <is>
          <t>JÄMTLANDS LÄN</t>
        </is>
      </c>
      <c r="E662" t="inlineStr">
        <is>
          <t>BERG</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12342-2023</t>
        </is>
      </c>
      <c r="B663" s="1" t="n">
        <v>44998</v>
      </c>
      <c r="C663" s="1" t="n">
        <v>45787</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12636-2023</t>
        </is>
      </c>
      <c r="B664" s="1" t="n">
        <v>44999</v>
      </c>
      <c r="C664" s="1" t="n">
        <v>45787</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12774-2023</t>
        </is>
      </c>
      <c r="B665" s="1" t="n">
        <v>45001</v>
      </c>
      <c r="C665" s="1" t="n">
        <v>45787</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14160-2023</t>
        </is>
      </c>
      <c r="B666" s="1" t="n">
        <v>45008</v>
      </c>
      <c r="C666" s="1" t="n">
        <v>45787</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14153-2023</t>
        </is>
      </c>
      <c r="B667" s="1" t="n">
        <v>45008</v>
      </c>
      <c r="C667" s="1" t="n">
        <v>45787</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14192-2023</t>
        </is>
      </c>
      <c r="B668" s="1" t="n">
        <v>45009</v>
      </c>
      <c r="C668" s="1" t="n">
        <v>45787</v>
      </c>
      <c r="D668" t="inlineStr">
        <is>
          <t>JÄMTLANDS LÄN</t>
        </is>
      </c>
      <c r="E668" t="inlineStr">
        <is>
          <t>BERG</t>
        </is>
      </c>
      <c r="G668" t="n">
        <v>4.7</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v>
      </c>
      <c r="C669" s="1" t="n">
        <v>45787</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14198-2023</t>
        </is>
      </c>
      <c r="B670" s="1" t="n">
        <v>45009</v>
      </c>
      <c r="C670" s="1" t="n">
        <v>45787</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14663-2023</t>
        </is>
      </c>
      <c r="B671" s="1" t="n">
        <v>45014</v>
      </c>
      <c r="C671" s="1" t="n">
        <v>45787</v>
      </c>
      <c r="D671" t="inlineStr">
        <is>
          <t>JÄMTLANDS LÄN</t>
        </is>
      </c>
      <c r="E671" t="inlineStr">
        <is>
          <t>BERG</t>
        </is>
      </c>
      <c r="G671" t="n">
        <v>4.2</v>
      </c>
      <c r="H671" t="n">
        <v>0</v>
      </c>
      <c r="I671" t="n">
        <v>0</v>
      </c>
      <c r="J671" t="n">
        <v>0</v>
      </c>
      <c r="K671" t="n">
        <v>0</v>
      </c>
      <c r="L671" t="n">
        <v>0</v>
      </c>
      <c r="M671" t="n">
        <v>0</v>
      </c>
      <c r="N671" t="n">
        <v>0</v>
      </c>
      <c r="O671" t="n">
        <v>0</v>
      </c>
      <c r="P671" t="n">
        <v>0</v>
      </c>
      <c r="Q671" t="n">
        <v>0</v>
      </c>
      <c r="R671" s="2" t="inlineStr"/>
    </row>
    <row r="672" ht="15" customHeight="1">
      <c r="A672" t="inlineStr">
        <is>
          <t>A 15409-2023</t>
        </is>
      </c>
      <c r="B672" s="1" t="n">
        <v>45016</v>
      </c>
      <c r="C672" s="1" t="n">
        <v>45787</v>
      </c>
      <c r="D672" t="inlineStr">
        <is>
          <t>JÄMTLANDS LÄN</t>
        </is>
      </c>
      <c r="E672" t="inlineStr">
        <is>
          <t>BERG</t>
        </is>
      </c>
      <c r="G672" t="n">
        <v>10.7</v>
      </c>
      <c r="H672" t="n">
        <v>0</v>
      </c>
      <c r="I672" t="n">
        <v>0</v>
      </c>
      <c r="J672" t="n">
        <v>0</v>
      </c>
      <c r="K672" t="n">
        <v>0</v>
      </c>
      <c r="L672" t="n">
        <v>0</v>
      </c>
      <c r="M672" t="n">
        <v>0</v>
      </c>
      <c r="N672" t="n">
        <v>0</v>
      </c>
      <c r="O672" t="n">
        <v>0</v>
      </c>
      <c r="P672" t="n">
        <v>0</v>
      </c>
      <c r="Q672" t="n">
        <v>0</v>
      </c>
      <c r="R672" s="2" t="inlineStr"/>
    </row>
    <row r="673" ht="15" customHeight="1">
      <c r="A673" t="inlineStr">
        <is>
          <t>A 15624-2023</t>
        </is>
      </c>
      <c r="B673" s="1" t="n">
        <v>45021</v>
      </c>
      <c r="C673" s="1" t="n">
        <v>45787</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16491-2023</t>
        </is>
      </c>
      <c r="B674" s="1" t="n">
        <v>45027</v>
      </c>
      <c r="C674" s="1" t="n">
        <v>45787</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16245-2023</t>
        </is>
      </c>
      <c r="B675" s="1" t="n">
        <v>45028</v>
      </c>
      <c r="C675" s="1" t="n">
        <v>45787</v>
      </c>
      <c r="D675" t="inlineStr">
        <is>
          <t>JÄMTLANDS LÄN</t>
        </is>
      </c>
      <c r="E675" t="inlineStr">
        <is>
          <t>BERG</t>
        </is>
      </c>
      <c r="G675" t="n">
        <v>16.2</v>
      </c>
      <c r="H675" t="n">
        <v>0</v>
      </c>
      <c r="I675" t="n">
        <v>0</v>
      </c>
      <c r="J675" t="n">
        <v>0</v>
      </c>
      <c r="K675" t="n">
        <v>0</v>
      </c>
      <c r="L675" t="n">
        <v>0</v>
      </c>
      <c r="M675" t="n">
        <v>0</v>
      </c>
      <c r="N675" t="n">
        <v>0</v>
      </c>
      <c r="O675" t="n">
        <v>0</v>
      </c>
      <c r="P675" t="n">
        <v>0</v>
      </c>
      <c r="Q675" t="n">
        <v>0</v>
      </c>
      <c r="R675" s="2" t="inlineStr"/>
    </row>
    <row r="676" ht="15" customHeight="1">
      <c r="A676" t="inlineStr">
        <is>
          <t>A 18217-2023</t>
        </is>
      </c>
      <c r="B676" s="1" t="n">
        <v>45040</v>
      </c>
      <c r="C676" s="1" t="n">
        <v>45787</v>
      </c>
      <c r="D676" t="inlineStr">
        <is>
          <t>JÄMTLANDS LÄN</t>
        </is>
      </c>
      <c r="E676" t="inlineStr">
        <is>
          <t>BERG</t>
        </is>
      </c>
      <c r="G676" t="n">
        <v>4.5</v>
      </c>
      <c r="H676" t="n">
        <v>0</v>
      </c>
      <c r="I676" t="n">
        <v>0</v>
      </c>
      <c r="J676" t="n">
        <v>0</v>
      </c>
      <c r="K676" t="n">
        <v>0</v>
      </c>
      <c r="L676" t="n">
        <v>0</v>
      </c>
      <c r="M676" t="n">
        <v>0</v>
      </c>
      <c r="N676" t="n">
        <v>0</v>
      </c>
      <c r="O676" t="n">
        <v>0</v>
      </c>
      <c r="P676" t="n">
        <v>0</v>
      </c>
      <c r="Q676" t="n">
        <v>0</v>
      </c>
      <c r="R676" s="2" t="inlineStr"/>
    </row>
    <row r="677" ht="15" customHeight="1">
      <c r="A677" t="inlineStr">
        <is>
          <t>A 18497-2023</t>
        </is>
      </c>
      <c r="B677" s="1" t="n">
        <v>45042</v>
      </c>
      <c r="C677" s="1" t="n">
        <v>45787</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18872-2023</t>
        </is>
      </c>
      <c r="B678" s="1" t="n">
        <v>45042</v>
      </c>
      <c r="C678" s="1" t="n">
        <v>45787</v>
      </c>
      <c r="D678" t="inlineStr">
        <is>
          <t>JÄMTLANDS LÄN</t>
        </is>
      </c>
      <c r="E678" t="inlineStr">
        <is>
          <t>BERG</t>
        </is>
      </c>
      <c r="G678" t="n">
        <v>13.2</v>
      </c>
      <c r="H678" t="n">
        <v>0</v>
      </c>
      <c r="I678" t="n">
        <v>0</v>
      </c>
      <c r="J678" t="n">
        <v>0</v>
      </c>
      <c r="K678" t="n">
        <v>0</v>
      </c>
      <c r="L678" t="n">
        <v>0</v>
      </c>
      <c r="M678" t="n">
        <v>0</v>
      </c>
      <c r="N678" t="n">
        <v>0</v>
      </c>
      <c r="O678" t="n">
        <v>0</v>
      </c>
      <c r="P678" t="n">
        <v>0</v>
      </c>
      <c r="Q678" t="n">
        <v>0</v>
      </c>
      <c r="R678" s="2" t="inlineStr"/>
    </row>
    <row r="679" ht="15" customHeight="1">
      <c r="A679" t="inlineStr">
        <is>
          <t>A 19325-2023</t>
        </is>
      </c>
      <c r="B679" s="1" t="n">
        <v>45048</v>
      </c>
      <c r="C679" s="1" t="n">
        <v>45787</v>
      </c>
      <c r="D679" t="inlineStr">
        <is>
          <t>JÄMTLANDS LÄN</t>
        </is>
      </c>
      <c r="E679" t="inlineStr">
        <is>
          <t>BERG</t>
        </is>
      </c>
      <c r="G679" t="n">
        <v>2.9</v>
      </c>
      <c r="H679" t="n">
        <v>0</v>
      </c>
      <c r="I679" t="n">
        <v>0</v>
      </c>
      <c r="J679" t="n">
        <v>0</v>
      </c>
      <c r="K679" t="n">
        <v>0</v>
      </c>
      <c r="L679" t="n">
        <v>0</v>
      </c>
      <c r="M679" t="n">
        <v>0</v>
      </c>
      <c r="N679" t="n">
        <v>0</v>
      </c>
      <c r="O679" t="n">
        <v>0</v>
      </c>
      <c r="P679" t="n">
        <v>0</v>
      </c>
      <c r="Q679" t="n">
        <v>0</v>
      </c>
      <c r="R679" s="2" t="inlineStr"/>
    </row>
    <row r="680" ht="15" customHeight="1">
      <c r="A680" t="inlineStr">
        <is>
          <t>A 19538-2023</t>
        </is>
      </c>
      <c r="B680" s="1" t="n">
        <v>45050</v>
      </c>
      <c r="C680" s="1" t="n">
        <v>45787</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19529-2023</t>
        </is>
      </c>
      <c r="B681" s="1" t="n">
        <v>45050</v>
      </c>
      <c r="C681" s="1" t="n">
        <v>45787</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19535-2023</t>
        </is>
      </c>
      <c r="B682" s="1" t="n">
        <v>45050</v>
      </c>
      <c r="C682" s="1" t="n">
        <v>45787</v>
      </c>
      <c r="D682" t="inlineStr">
        <is>
          <t>JÄMTLANDS LÄN</t>
        </is>
      </c>
      <c r="E682" t="inlineStr">
        <is>
          <t>BERG</t>
        </is>
      </c>
      <c r="G682" t="n">
        <v>10</v>
      </c>
      <c r="H682" t="n">
        <v>0</v>
      </c>
      <c r="I682" t="n">
        <v>0</v>
      </c>
      <c r="J682" t="n">
        <v>0</v>
      </c>
      <c r="K682" t="n">
        <v>0</v>
      </c>
      <c r="L682" t="n">
        <v>0</v>
      </c>
      <c r="M682" t="n">
        <v>0</v>
      </c>
      <c r="N682" t="n">
        <v>0</v>
      </c>
      <c r="O682" t="n">
        <v>0</v>
      </c>
      <c r="P682" t="n">
        <v>0</v>
      </c>
      <c r="Q682" t="n">
        <v>0</v>
      </c>
      <c r="R682" s="2" t="inlineStr"/>
    </row>
    <row r="683" ht="15" customHeight="1">
      <c r="A683" t="inlineStr">
        <is>
          <t>A 20882-2023</t>
        </is>
      </c>
      <c r="B683" s="1" t="n">
        <v>45058</v>
      </c>
      <c r="C683" s="1" t="n">
        <v>45787</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20899-2023</t>
        </is>
      </c>
      <c r="B684" s="1" t="n">
        <v>45060</v>
      </c>
      <c r="C684" s="1" t="n">
        <v>45787</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21679-2023</t>
        </is>
      </c>
      <c r="B685" s="1" t="n">
        <v>45064</v>
      </c>
      <c r="C685" s="1" t="n">
        <v>45787</v>
      </c>
      <c r="D685" t="inlineStr">
        <is>
          <t>JÄMTLANDS LÄN</t>
        </is>
      </c>
      <c r="E685" t="inlineStr">
        <is>
          <t>BERG</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21717-2023</t>
        </is>
      </c>
      <c r="B686" s="1" t="n">
        <v>45063</v>
      </c>
      <c r="C686" s="1" t="n">
        <v>45787</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22950-2023</t>
        </is>
      </c>
      <c r="B687" s="1" t="n">
        <v>45072</v>
      </c>
      <c r="C687" s="1" t="n">
        <v>45787</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22991-2023</t>
        </is>
      </c>
      <c r="B688" s="1" t="n">
        <v>45073</v>
      </c>
      <c r="C688" s="1" t="n">
        <v>45787</v>
      </c>
      <c r="D688" t="inlineStr">
        <is>
          <t>JÄMTLANDS LÄN</t>
        </is>
      </c>
      <c r="E688" t="inlineStr">
        <is>
          <t>BERG</t>
        </is>
      </c>
      <c r="G688" t="n">
        <v>4.1</v>
      </c>
      <c r="H688" t="n">
        <v>0</v>
      </c>
      <c r="I688" t="n">
        <v>0</v>
      </c>
      <c r="J688" t="n">
        <v>0</v>
      </c>
      <c r="K688" t="n">
        <v>0</v>
      </c>
      <c r="L688" t="n">
        <v>0</v>
      </c>
      <c r="M688" t="n">
        <v>0</v>
      </c>
      <c r="N688" t="n">
        <v>0</v>
      </c>
      <c r="O688" t="n">
        <v>0</v>
      </c>
      <c r="P688" t="n">
        <v>0</v>
      </c>
      <c r="Q688" t="n">
        <v>0</v>
      </c>
      <c r="R688" s="2" t="inlineStr"/>
    </row>
    <row r="689" ht="15" customHeight="1">
      <c r="A689" t="inlineStr">
        <is>
          <t>A 24011-2023</t>
        </is>
      </c>
      <c r="B689" s="1" t="n">
        <v>45078</v>
      </c>
      <c r="C689" s="1" t="n">
        <v>45787</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24310-2023</t>
        </is>
      </c>
      <c r="B690" s="1" t="n">
        <v>45079</v>
      </c>
      <c r="C690" s="1" t="n">
        <v>45787</v>
      </c>
      <c r="D690" t="inlineStr">
        <is>
          <t>JÄMTLANDS LÄN</t>
        </is>
      </c>
      <c r="E690" t="inlineStr">
        <is>
          <t>BERG</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45080</v>
      </c>
      <c r="C691" s="1" t="n">
        <v>45787</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25507-2023</t>
        </is>
      </c>
      <c r="B692" s="1" t="n">
        <v>45082</v>
      </c>
      <c r="C692" s="1" t="n">
        <v>45787</v>
      </c>
      <c r="D692" t="inlineStr">
        <is>
          <t>JÄMTLANDS LÄN</t>
        </is>
      </c>
      <c r="E692" t="inlineStr">
        <is>
          <t>BERG</t>
        </is>
      </c>
      <c r="G692" t="n">
        <v>7</v>
      </c>
      <c r="H692" t="n">
        <v>0</v>
      </c>
      <c r="I692" t="n">
        <v>0</v>
      </c>
      <c r="J692" t="n">
        <v>0</v>
      </c>
      <c r="K692" t="n">
        <v>0</v>
      </c>
      <c r="L692" t="n">
        <v>0</v>
      </c>
      <c r="M692" t="n">
        <v>0</v>
      </c>
      <c r="N692" t="n">
        <v>0</v>
      </c>
      <c r="O692" t="n">
        <v>0</v>
      </c>
      <c r="P692" t="n">
        <v>0</v>
      </c>
      <c r="Q692" t="n">
        <v>0</v>
      </c>
      <c r="R692" s="2" t="inlineStr"/>
    </row>
    <row r="693" ht="15" customHeight="1">
      <c r="A693" t="inlineStr">
        <is>
          <t>A 24542-2023</t>
        </is>
      </c>
      <c r="B693" s="1" t="n">
        <v>45082</v>
      </c>
      <c r="C693" s="1" t="n">
        <v>45787</v>
      </c>
      <c r="D693" t="inlineStr">
        <is>
          <t>JÄMTLANDS LÄN</t>
        </is>
      </c>
      <c r="E693" t="inlineStr">
        <is>
          <t>BERG</t>
        </is>
      </c>
      <c r="F693" t="inlineStr">
        <is>
          <t>SCA</t>
        </is>
      </c>
      <c r="G693" t="n">
        <v>12.1</v>
      </c>
      <c r="H693" t="n">
        <v>0</v>
      </c>
      <c r="I693" t="n">
        <v>0</v>
      </c>
      <c r="J693" t="n">
        <v>0</v>
      </c>
      <c r="K693" t="n">
        <v>0</v>
      </c>
      <c r="L693" t="n">
        <v>0</v>
      </c>
      <c r="M693" t="n">
        <v>0</v>
      </c>
      <c r="N693" t="n">
        <v>0</v>
      </c>
      <c r="O693" t="n">
        <v>0</v>
      </c>
      <c r="P693" t="n">
        <v>0</v>
      </c>
      <c r="Q693" t="n">
        <v>0</v>
      </c>
      <c r="R693" s="2" t="inlineStr"/>
    </row>
    <row r="694" ht="15" customHeight="1">
      <c r="A694" t="inlineStr">
        <is>
          <t>A 25565-2023</t>
        </is>
      </c>
      <c r="B694" s="1" t="n">
        <v>45082</v>
      </c>
      <c r="C694" s="1" t="n">
        <v>45787</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45787</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26011-2023</t>
        </is>
      </c>
      <c r="B696" s="1" t="n">
        <v>45091</v>
      </c>
      <c r="C696" s="1" t="n">
        <v>45787</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26009-2023</t>
        </is>
      </c>
      <c r="B697" s="1" t="n">
        <v>45091</v>
      </c>
      <c r="C697" s="1" t="n">
        <v>45787</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25990-2023</t>
        </is>
      </c>
      <c r="B698" s="1" t="n">
        <v>45091</v>
      </c>
      <c r="C698" s="1" t="n">
        <v>45787</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26010-2023</t>
        </is>
      </c>
      <c r="B699" s="1" t="n">
        <v>45091</v>
      </c>
      <c r="C699" s="1" t="n">
        <v>45787</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26008-2023</t>
        </is>
      </c>
      <c r="B700" s="1" t="n">
        <v>45091</v>
      </c>
      <c r="C700" s="1" t="n">
        <v>45787</v>
      </c>
      <c r="D700" t="inlineStr">
        <is>
          <t>JÄMTLANDS LÄN</t>
        </is>
      </c>
      <c r="E700" t="inlineStr">
        <is>
          <t>BERG</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26652-2023</t>
        </is>
      </c>
      <c r="B701" s="1" t="n">
        <v>45093</v>
      </c>
      <c r="C701" s="1" t="n">
        <v>45787</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27239-2023</t>
        </is>
      </c>
      <c r="B702" s="1" t="n">
        <v>45092</v>
      </c>
      <c r="C702" s="1" t="n">
        <v>45787</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27377-2023</t>
        </is>
      </c>
      <c r="B703" s="1" t="n">
        <v>45096</v>
      </c>
      <c r="C703" s="1" t="n">
        <v>45787</v>
      </c>
      <c r="D703" t="inlineStr">
        <is>
          <t>JÄMTLANDS LÄN</t>
        </is>
      </c>
      <c r="E703" t="inlineStr">
        <is>
          <t>BERG</t>
        </is>
      </c>
      <c r="F703" t="inlineStr">
        <is>
          <t>SCA</t>
        </is>
      </c>
      <c r="G703" t="n">
        <v>25.3</v>
      </c>
      <c r="H703" t="n">
        <v>0</v>
      </c>
      <c r="I703" t="n">
        <v>0</v>
      </c>
      <c r="J703" t="n">
        <v>0</v>
      </c>
      <c r="K703" t="n">
        <v>0</v>
      </c>
      <c r="L703" t="n">
        <v>0</v>
      </c>
      <c r="M703" t="n">
        <v>0</v>
      </c>
      <c r="N703" t="n">
        <v>0</v>
      </c>
      <c r="O703" t="n">
        <v>0</v>
      </c>
      <c r="P703" t="n">
        <v>0</v>
      </c>
      <c r="Q703" t="n">
        <v>0</v>
      </c>
      <c r="R703" s="2" t="inlineStr"/>
    </row>
    <row r="704" ht="15" customHeight="1">
      <c r="A704" t="inlineStr">
        <is>
          <t>A 27376-2023</t>
        </is>
      </c>
      <c r="B704" s="1" t="n">
        <v>45097</v>
      </c>
      <c r="C704" s="1" t="n">
        <v>45787</v>
      </c>
      <c r="D704" t="inlineStr">
        <is>
          <t>JÄMTLANDS LÄN</t>
        </is>
      </c>
      <c r="E704" t="inlineStr">
        <is>
          <t>BERG</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29143-2023</t>
        </is>
      </c>
      <c r="B705" s="1" t="n">
        <v>45097</v>
      </c>
      <c r="C705" s="1" t="n">
        <v>45787</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29078-2023</t>
        </is>
      </c>
      <c r="B706" s="1" t="n">
        <v>45097</v>
      </c>
      <c r="C706" s="1" t="n">
        <v>45787</v>
      </c>
      <c r="D706" t="inlineStr">
        <is>
          <t>JÄMTLANDS LÄN</t>
        </is>
      </c>
      <c r="E706" t="inlineStr">
        <is>
          <t>BERG</t>
        </is>
      </c>
      <c r="G706" t="n">
        <v>5.9</v>
      </c>
      <c r="H706" t="n">
        <v>0</v>
      </c>
      <c r="I706" t="n">
        <v>0</v>
      </c>
      <c r="J706" t="n">
        <v>0</v>
      </c>
      <c r="K706" t="n">
        <v>0</v>
      </c>
      <c r="L706" t="n">
        <v>0</v>
      </c>
      <c r="M706" t="n">
        <v>0</v>
      </c>
      <c r="N706" t="n">
        <v>0</v>
      </c>
      <c r="O706" t="n">
        <v>0</v>
      </c>
      <c r="P706" t="n">
        <v>0</v>
      </c>
      <c r="Q706" t="n">
        <v>0</v>
      </c>
      <c r="R706" s="2" t="inlineStr"/>
    </row>
    <row r="707" ht="15" customHeight="1">
      <c r="A707" t="inlineStr">
        <is>
          <t>A 28009-2023</t>
        </is>
      </c>
      <c r="B707" s="1" t="n">
        <v>45098</v>
      </c>
      <c r="C707" s="1" t="n">
        <v>45787</v>
      </c>
      <c r="D707" t="inlineStr">
        <is>
          <t>JÄMTLANDS LÄN</t>
        </is>
      </c>
      <c r="E707" t="inlineStr">
        <is>
          <t>BERG</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28363-2023</t>
        </is>
      </c>
      <c r="B708" s="1" t="n">
        <v>45100</v>
      </c>
      <c r="C708" s="1" t="n">
        <v>45787</v>
      </c>
      <c r="D708" t="inlineStr">
        <is>
          <t>JÄMTLANDS LÄN</t>
        </is>
      </c>
      <c r="E708" t="inlineStr">
        <is>
          <t>BERG</t>
        </is>
      </c>
      <c r="G708" t="n">
        <v>18.1</v>
      </c>
      <c r="H708" t="n">
        <v>0</v>
      </c>
      <c r="I708" t="n">
        <v>0</v>
      </c>
      <c r="J708" t="n">
        <v>0</v>
      </c>
      <c r="K708" t="n">
        <v>0</v>
      </c>
      <c r="L708" t="n">
        <v>0</v>
      </c>
      <c r="M708" t="n">
        <v>0</v>
      </c>
      <c r="N708" t="n">
        <v>0</v>
      </c>
      <c r="O708" t="n">
        <v>0</v>
      </c>
      <c r="P708" t="n">
        <v>0</v>
      </c>
      <c r="Q708" t="n">
        <v>0</v>
      </c>
      <c r="R708" s="2" t="inlineStr"/>
    </row>
    <row r="709" ht="15" customHeight="1">
      <c r="A709" t="inlineStr">
        <is>
          <t>A 30191-2023</t>
        </is>
      </c>
      <c r="B709" s="1" t="n">
        <v>45099</v>
      </c>
      <c r="C709" s="1" t="n">
        <v>45787</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30391-2023</t>
        </is>
      </c>
      <c r="B710" s="1" t="n">
        <v>45111</v>
      </c>
      <c r="C710" s="1" t="n">
        <v>45787</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31442-2023</t>
        </is>
      </c>
      <c r="B711" s="1" t="n">
        <v>45114</v>
      </c>
      <c r="C711" s="1" t="n">
        <v>45787</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32020-2023</t>
        </is>
      </c>
      <c r="B712" s="1" t="n">
        <v>45119</v>
      </c>
      <c r="C712" s="1" t="n">
        <v>45787</v>
      </c>
      <c r="D712" t="inlineStr">
        <is>
          <t>JÄMTLANDS LÄN</t>
        </is>
      </c>
      <c r="E712" t="inlineStr">
        <is>
          <t>BERG</t>
        </is>
      </c>
      <c r="G712" t="n">
        <v>10.3</v>
      </c>
      <c r="H712" t="n">
        <v>0</v>
      </c>
      <c r="I712" t="n">
        <v>0</v>
      </c>
      <c r="J712" t="n">
        <v>0</v>
      </c>
      <c r="K712" t="n">
        <v>0</v>
      </c>
      <c r="L712" t="n">
        <v>0</v>
      </c>
      <c r="M712" t="n">
        <v>0</v>
      </c>
      <c r="N712" t="n">
        <v>0</v>
      </c>
      <c r="O712" t="n">
        <v>0</v>
      </c>
      <c r="P712" t="n">
        <v>0</v>
      </c>
      <c r="Q712" t="n">
        <v>0</v>
      </c>
      <c r="R712" s="2" t="inlineStr"/>
    </row>
    <row r="713" ht="15" customHeight="1">
      <c r="A713" t="inlineStr">
        <is>
          <t>A 32214-2023</t>
        </is>
      </c>
      <c r="B713" s="1" t="n">
        <v>45119</v>
      </c>
      <c r="C713" s="1" t="n">
        <v>45787</v>
      </c>
      <c r="D713" t="inlineStr">
        <is>
          <t>JÄMTLANDS LÄN</t>
        </is>
      </c>
      <c r="E713" t="inlineStr">
        <is>
          <t>BERG</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32215-2023</t>
        </is>
      </c>
      <c r="B714" s="1" t="n">
        <v>45119</v>
      </c>
      <c r="C714" s="1" t="n">
        <v>45787</v>
      </c>
      <c r="D714" t="inlineStr">
        <is>
          <t>JÄMTLANDS LÄN</t>
        </is>
      </c>
      <c r="E714" t="inlineStr">
        <is>
          <t>BERG</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32064-2023</t>
        </is>
      </c>
      <c r="B715" s="1" t="n">
        <v>45119</v>
      </c>
      <c r="C715" s="1" t="n">
        <v>45787</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33654-2023</t>
        </is>
      </c>
      <c r="B716" s="1" t="n">
        <v>45119</v>
      </c>
      <c r="C716" s="1" t="n">
        <v>45787</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33750-2023</t>
        </is>
      </c>
      <c r="B717" s="1" t="n">
        <v>45120</v>
      </c>
      <c r="C717" s="1" t="n">
        <v>45787</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33042-2023</t>
        </is>
      </c>
      <c r="B718" s="1" t="n">
        <v>45125</v>
      </c>
      <c r="C718" s="1" t="n">
        <v>45787</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33173-2023</t>
        </is>
      </c>
      <c r="B719" s="1" t="n">
        <v>45127</v>
      </c>
      <c r="C719" s="1" t="n">
        <v>45787</v>
      </c>
      <c r="D719" t="inlineStr">
        <is>
          <t>JÄMTLANDS LÄN</t>
        </is>
      </c>
      <c r="E719" t="inlineStr">
        <is>
          <t>BERG</t>
        </is>
      </c>
      <c r="G719" t="n">
        <v>6.7</v>
      </c>
      <c r="H719" t="n">
        <v>0</v>
      </c>
      <c r="I719" t="n">
        <v>0</v>
      </c>
      <c r="J719" t="n">
        <v>0</v>
      </c>
      <c r="K719" t="n">
        <v>0</v>
      </c>
      <c r="L719" t="n">
        <v>0</v>
      </c>
      <c r="M719" t="n">
        <v>0</v>
      </c>
      <c r="N719" t="n">
        <v>0</v>
      </c>
      <c r="O719" t="n">
        <v>0</v>
      </c>
      <c r="P719" t="n">
        <v>0</v>
      </c>
      <c r="Q719" t="n">
        <v>0</v>
      </c>
      <c r="R719" s="2" t="inlineStr"/>
    </row>
    <row r="720" ht="15" customHeight="1">
      <c r="A720" t="inlineStr">
        <is>
          <t>A 33304-2023</t>
        </is>
      </c>
      <c r="B720" s="1" t="n">
        <v>45127</v>
      </c>
      <c r="C720" s="1" t="n">
        <v>45787</v>
      </c>
      <c r="D720" t="inlineStr">
        <is>
          <t>JÄMTLANDS LÄN</t>
        </is>
      </c>
      <c r="E720" t="inlineStr">
        <is>
          <t>BERG</t>
        </is>
      </c>
      <c r="G720" t="n">
        <v>3.5</v>
      </c>
      <c r="H720" t="n">
        <v>0</v>
      </c>
      <c r="I720" t="n">
        <v>0</v>
      </c>
      <c r="J720" t="n">
        <v>0</v>
      </c>
      <c r="K720" t="n">
        <v>0</v>
      </c>
      <c r="L720" t="n">
        <v>0</v>
      </c>
      <c r="M720" t="n">
        <v>0</v>
      </c>
      <c r="N720" t="n">
        <v>0</v>
      </c>
      <c r="O720" t="n">
        <v>0</v>
      </c>
      <c r="P720" t="n">
        <v>0</v>
      </c>
      <c r="Q720" t="n">
        <v>0</v>
      </c>
      <c r="R720" s="2" t="inlineStr"/>
    </row>
    <row r="721" ht="15" customHeight="1">
      <c r="A721" t="inlineStr">
        <is>
          <t>A 33476-2023</t>
        </is>
      </c>
      <c r="B721" s="1" t="n">
        <v>45131</v>
      </c>
      <c r="C721" s="1" t="n">
        <v>45787</v>
      </c>
      <c r="D721" t="inlineStr">
        <is>
          <t>JÄMTLANDS LÄN</t>
        </is>
      </c>
      <c r="E721" t="inlineStr">
        <is>
          <t>BERG</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45787</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34819-2023</t>
        </is>
      </c>
      <c r="B723" s="1" t="n">
        <v>45140</v>
      </c>
      <c r="C723" s="1" t="n">
        <v>45787</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34845-2023</t>
        </is>
      </c>
      <c r="B724" s="1" t="n">
        <v>45142</v>
      </c>
      <c r="C724" s="1" t="n">
        <v>45787</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35636-2023</t>
        </is>
      </c>
      <c r="B725" s="1" t="n">
        <v>45147</v>
      </c>
      <c r="C725" s="1" t="n">
        <v>45787</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35986-2023</t>
        </is>
      </c>
      <c r="B726" s="1" t="n">
        <v>45148</v>
      </c>
      <c r="C726" s="1" t="n">
        <v>45787</v>
      </c>
      <c r="D726" t="inlineStr">
        <is>
          <t>JÄMTLANDS LÄN</t>
        </is>
      </c>
      <c r="E726" t="inlineStr">
        <is>
          <t>BERG</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36351-2023</t>
        </is>
      </c>
      <c r="B727" s="1" t="n">
        <v>45149</v>
      </c>
      <c r="C727" s="1" t="n">
        <v>45787</v>
      </c>
      <c r="D727" t="inlineStr">
        <is>
          <t>JÄMTLANDS LÄN</t>
        </is>
      </c>
      <c r="E727" t="inlineStr">
        <is>
          <t>BERG</t>
        </is>
      </c>
      <c r="G727" t="n">
        <v>11.7</v>
      </c>
      <c r="H727" t="n">
        <v>0</v>
      </c>
      <c r="I727" t="n">
        <v>0</v>
      </c>
      <c r="J727" t="n">
        <v>0</v>
      </c>
      <c r="K727" t="n">
        <v>0</v>
      </c>
      <c r="L727" t="n">
        <v>0</v>
      </c>
      <c r="M727" t="n">
        <v>0</v>
      </c>
      <c r="N727" t="n">
        <v>0</v>
      </c>
      <c r="O727" t="n">
        <v>0</v>
      </c>
      <c r="P727" t="n">
        <v>0</v>
      </c>
      <c r="Q727" t="n">
        <v>0</v>
      </c>
      <c r="R727" s="2" t="inlineStr"/>
    </row>
    <row r="728" ht="15" customHeight="1">
      <c r="A728" t="inlineStr">
        <is>
          <t>A 36708-2023</t>
        </is>
      </c>
      <c r="B728" s="1" t="n">
        <v>45153</v>
      </c>
      <c r="C728" s="1" t="n">
        <v>45787</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37067-2023</t>
        </is>
      </c>
      <c r="B729" s="1" t="n">
        <v>45154</v>
      </c>
      <c r="C729" s="1" t="n">
        <v>45787</v>
      </c>
      <c r="D729" t="inlineStr">
        <is>
          <t>JÄMTLANDS LÄN</t>
        </is>
      </c>
      <c r="E729" t="inlineStr">
        <is>
          <t>BERG</t>
        </is>
      </c>
      <c r="G729" t="n">
        <v>7.4</v>
      </c>
      <c r="H729" t="n">
        <v>0</v>
      </c>
      <c r="I729" t="n">
        <v>0</v>
      </c>
      <c r="J729" t="n">
        <v>0</v>
      </c>
      <c r="K729" t="n">
        <v>0</v>
      </c>
      <c r="L729" t="n">
        <v>0</v>
      </c>
      <c r="M729" t="n">
        <v>0</v>
      </c>
      <c r="N729" t="n">
        <v>0</v>
      </c>
      <c r="O729" t="n">
        <v>0</v>
      </c>
      <c r="P729" t="n">
        <v>0</v>
      </c>
      <c r="Q729" t="n">
        <v>0</v>
      </c>
      <c r="R729" s="2" t="inlineStr"/>
    </row>
    <row r="730" ht="15" customHeight="1">
      <c r="A730" t="inlineStr">
        <is>
          <t>A 37248-2023</t>
        </is>
      </c>
      <c r="B730" s="1" t="n">
        <v>45156</v>
      </c>
      <c r="C730" s="1" t="n">
        <v>45787</v>
      </c>
      <c r="D730" t="inlineStr">
        <is>
          <t>JÄMTLANDS LÄN</t>
        </is>
      </c>
      <c r="E730" t="inlineStr">
        <is>
          <t>BERG</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37246-2023</t>
        </is>
      </c>
      <c r="B731" s="1" t="n">
        <v>45155</v>
      </c>
      <c r="C731" s="1" t="n">
        <v>45787</v>
      </c>
      <c r="D731" t="inlineStr">
        <is>
          <t>JÄMTLANDS LÄN</t>
        </is>
      </c>
      <c r="E731" t="inlineStr">
        <is>
          <t>BERG</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37521-2023</t>
        </is>
      </c>
      <c r="B732" s="1" t="n">
        <v>45158</v>
      </c>
      <c r="C732" s="1" t="n">
        <v>45787</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37969-2023</t>
        </is>
      </c>
      <c r="B733" s="1" t="n">
        <v>45160</v>
      </c>
      <c r="C733" s="1" t="n">
        <v>45787</v>
      </c>
      <c r="D733" t="inlineStr">
        <is>
          <t>JÄMTLANDS LÄN</t>
        </is>
      </c>
      <c r="E733" t="inlineStr">
        <is>
          <t>BERG</t>
        </is>
      </c>
      <c r="G733" t="n">
        <v>4.7</v>
      </c>
      <c r="H733" t="n">
        <v>0</v>
      </c>
      <c r="I733" t="n">
        <v>0</v>
      </c>
      <c r="J733" t="n">
        <v>0</v>
      </c>
      <c r="K733" t="n">
        <v>0</v>
      </c>
      <c r="L733" t="n">
        <v>0</v>
      </c>
      <c r="M733" t="n">
        <v>0</v>
      </c>
      <c r="N733" t="n">
        <v>0</v>
      </c>
      <c r="O733" t="n">
        <v>0</v>
      </c>
      <c r="P733" t="n">
        <v>0</v>
      </c>
      <c r="Q733" t="n">
        <v>0</v>
      </c>
      <c r="R733" s="2" t="inlineStr"/>
    </row>
    <row r="734" ht="15" customHeight="1">
      <c r="A734" t="inlineStr">
        <is>
          <t>A 38381-2023</t>
        </is>
      </c>
      <c r="B734" s="1" t="n">
        <v>45161</v>
      </c>
      <c r="C734" s="1" t="n">
        <v>45787</v>
      </c>
      <c r="D734" t="inlineStr">
        <is>
          <t>JÄMTLANDS LÄN</t>
        </is>
      </c>
      <c r="E734" t="inlineStr">
        <is>
          <t>BERG</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38679-2023</t>
        </is>
      </c>
      <c r="B735" s="1" t="n">
        <v>45163</v>
      </c>
      <c r="C735" s="1" t="n">
        <v>45787</v>
      </c>
      <c r="D735" t="inlineStr">
        <is>
          <t>JÄMTLANDS LÄN</t>
        </is>
      </c>
      <c r="E735" t="inlineStr">
        <is>
          <t>BERG</t>
        </is>
      </c>
      <c r="F735" t="inlineStr">
        <is>
          <t>SCA</t>
        </is>
      </c>
      <c r="G735" t="n">
        <v>14.1</v>
      </c>
      <c r="H735" t="n">
        <v>0</v>
      </c>
      <c r="I735" t="n">
        <v>0</v>
      </c>
      <c r="J735" t="n">
        <v>0</v>
      </c>
      <c r="K735" t="n">
        <v>0</v>
      </c>
      <c r="L735" t="n">
        <v>0</v>
      </c>
      <c r="M735" t="n">
        <v>0</v>
      </c>
      <c r="N735" t="n">
        <v>0</v>
      </c>
      <c r="O735" t="n">
        <v>0</v>
      </c>
      <c r="P735" t="n">
        <v>0</v>
      </c>
      <c r="Q735" t="n">
        <v>0</v>
      </c>
      <c r="R735" s="2" t="inlineStr"/>
    </row>
    <row r="736" ht="15" customHeight="1">
      <c r="A736" t="inlineStr">
        <is>
          <t>A 38678-2023</t>
        </is>
      </c>
      <c r="B736" s="1" t="n">
        <v>45163</v>
      </c>
      <c r="C736" s="1" t="n">
        <v>45787</v>
      </c>
      <c r="D736" t="inlineStr">
        <is>
          <t>JÄMTLANDS LÄN</t>
        </is>
      </c>
      <c r="E736" t="inlineStr">
        <is>
          <t>BERG</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38682-2023</t>
        </is>
      </c>
      <c r="B737" s="1" t="n">
        <v>45162</v>
      </c>
      <c r="C737" s="1" t="n">
        <v>45787</v>
      </c>
      <c r="D737" t="inlineStr">
        <is>
          <t>JÄMTLANDS LÄN</t>
        </is>
      </c>
      <c r="E737" t="inlineStr">
        <is>
          <t>BERG</t>
        </is>
      </c>
      <c r="F737" t="inlineStr">
        <is>
          <t>SCA</t>
        </is>
      </c>
      <c r="G737" t="n">
        <v>21.3</v>
      </c>
      <c r="H737" t="n">
        <v>0</v>
      </c>
      <c r="I737" t="n">
        <v>0</v>
      </c>
      <c r="J737" t="n">
        <v>0</v>
      </c>
      <c r="K737" t="n">
        <v>0</v>
      </c>
      <c r="L737" t="n">
        <v>0</v>
      </c>
      <c r="M737" t="n">
        <v>0</v>
      </c>
      <c r="N737" t="n">
        <v>0</v>
      </c>
      <c r="O737" t="n">
        <v>0</v>
      </c>
      <c r="P737" t="n">
        <v>0</v>
      </c>
      <c r="Q737" t="n">
        <v>0</v>
      </c>
      <c r="R737" s="2" t="inlineStr"/>
    </row>
    <row r="738" ht="15" customHeight="1">
      <c r="A738" t="inlineStr">
        <is>
          <t>A 38686-2023</t>
        </is>
      </c>
      <c r="B738" s="1" t="n">
        <v>45163</v>
      </c>
      <c r="C738" s="1" t="n">
        <v>45787</v>
      </c>
      <c r="D738" t="inlineStr">
        <is>
          <t>JÄMTLANDS LÄN</t>
        </is>
      </c>
      <c r="E738" t="inlineStr">
        <is>
          <t>BERG</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39144-2023</t>
        </is>
      </c>
      <c r="B739" s="1" t="n">
        <v>45165</v>
      </c>
      <c r="C739" s="1" t="n">
        <v>45787</v>
      </c>
      <c r="D739" t="inlineStr">
        <is>
          <t>JÄMTLANDS LÄN</t>
        </is>
      </c>
      <c r="E739" t="inlineStr">
        <is>
          <t>BERG</t>
        </is>
      </c>
      <c r="F739" t="inlineStr">
        <is>
          <t>SCA</t>
        </is>
      </c>
      <c r="G739" t="n">
        <v>31.9</v>
      </c>
      <c r="H739" t="n">
        <v>0</v>
      </c>
      <c r="I739" t="n">
        <v>0</v>
      </c>
      <c r="J739" t="n">
        <v>0</v>
      </c>
      <c r="K739" t="n">
        <v>0</v>
      </c>
      <c r="L739" t="n">
        <v>0</v>
      </c>
      <c r="M739" t="n">
        <v>0</v>
      </c>
      <c r="N739" t="n">
        <v>0</v>
      </c>
      <c r="O739" t="n">
        <v>0</v>
      </c>
      <c r="P739" t="n">
        <v>0</v>
      </c>
      <c r="Q739" t="n">
        <v>0</v>
      </c>
      <c r="R739" s="2" t="inlineStr"/>
    </row>
    <row r="740" ht="15" customHeight="1">
      <c r="A740" t="inlineStr">
        <is>
          <t>A 39510-2023</t>
        </is>
      </c>
      <c r="B740" s="1" t="n">
        <v>45166</v>
      </c>
      <c r="C740" s="1" t="n">
        <v>45787</v>
      </c>
      <c r="D740" t="inlineStr">
        <is>
          <t>JÄMTLANDS LÄN</t>
        </is>
      </c>
      <c r="E740" t="inlineStr">
        <is>
          <t>BERG</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39806-2023</t>
        </is>
      </c>
      <c r="B741" s="1" t="n">
        <v>45167</v>
      </c>
      <c r="C741" s="1" t="n">
        <v>45787</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40415-2023</t>
        </is>
      </c>
      <c r="B742" s="1" t="n">
        <v>45170</v>
      </c>
      <c r="C742" s="1" t="n">
        <v>45787</v>
      </c>
      <c r="D742" t="inlineStr">
        <is>
          <t>JÄMTLANDS LÄN</t>
        </is>
      </c>
      <c r="E742" t="inlineStr">
        <is>
          <t>BERG</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40414-2023</t>
        </is>
      </c>
      <c r="B743" s="1" t="n">
        <v>45169</v>
      </c>
      <c r="C743" s="1" t="n">
        <v>45787</v>
      </c>
      <c r="D743" t="inlineStr">
        <is>
          <t>JÄMTLANDS LÄN</t>
        </is>
      </c>
      <c r="E743" t="inlineStr">
        <is>
          <t>BERG</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40416-2023</t>
        </is>
      </c>
      <c r="B744" s="1" t="n">
        <v>45169</v>
      </c>
      <c r="C744" s="1" t="n">
        <v>45787</v>
      </c>
      <c r="D744" t="inlineStr">
        <is>
          <t>JÄMTLANDS LÄN</t>
        </is>
      </c>
      <c r="E744" t="inlineStr">
        <is>
          <t>BERG</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40797-2023</t>
        </is>
      </c>
      <c r="B745" s="1" t="n">
        <v>45171</v>
      </c>
      <c r="C745" s="1" t="n">
        <v>45787</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41091-2023</t>
        </is>
      </c>
      <c r="B746" s="1" t="n">
        <v>45170</v>
      </c>
      <c r="C746" s="1" t="n">
        <v>45787</v>
      </c>
      <c r="D746" t="inlineStr">
        <is>
          <t>JÄMTLANDS LÄN</t>
        </is>
      </c>
      <c r="E746" t="inlineStr">
        <is>
          <t>BERG</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41106-2023</t>
        </is>
      </c>
      <c r="B747" s="1" t="n">
        <v>45170</v>
      </c>
      <c r="C747" s="1" t="n">
        <v>45787</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41098-2023</t>
        </is>
      </c>
      <c r="B748" s="1" t="n">
        <v>45170</v>
      </c>
      <c r="C748" s="1" t="n">
        <v>45787</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40795-2023</t>
        </is>
      </c>
      <c r="B749" s="1" t="n">
        <v>45171</v>
      </c>
      <c r="C749" s="1" t="n">
        <v>45787</v>
      </c>
      <c r="D749" t="inlineStr">
        <is>
          <t>JÄMTLANDS LÄN</t>
        </is>
      </c>
      <c r="E749" t="inlineStr">
        <is>
          <t>BERG</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40799-2023</t>
        </is>
      </c>
      <c r="B750" s="1" t="n">
        <v>45170</v>
      </c>
      <c r="C750" s="1" t="n">
        <v>45787</v>
      </c>
      <c r="D750" t="inlineStr">
        <is>
          <t>JÄMTLANDS LÄN</t>
        </is>
      </c>
      <c r="E750" t="inlineStr">
        <is>
          <t>BERG</t>
        </is>
      </c>
      <c r="F750" t="inlineStr">
        <is>
          <t>SCA</t>
        </is>
      </c>
      <c r="G750" t="n">
        <v>17.2</v>
      </c>
      <c r="H750" t="n">
        <v>0</v>
      </c>
      <c r="I750" t="n">
        <v>0</v>
      </c>
      <c r="J750" t="n">
        <v>0</v>
      </c>
      <c r="K750" t="n">
        <v>0</v>
      </c>
      <c r="L750" t="n">
        <v>0</v>
      </c>
      <c r="M750" t="n">
        <v>0</v>
      </c>
      <c r="N750" t="n">
        <v>0</v>
      </c>
      <c r="O750" t="n">
        <v>0</v>
      </c>
      <c r="P750" t="n">
        <v>0</v>
      </c>
      <c r="Q750" t="n">
        <v>0</v>
      </c>
      <c r="R750" s="2" t="inlineStr"/>
    </row>
    <row r="751" ht="15" customHeight="1">
      <c r="A751" t="inlineStr">
        <is>
          <t>A 40796-2023</t>
        </is>
      </c>
      <c r="B751" s="1" t="n">
        <v>45170</v>
      </c>
      <c r="C751" s="1" t="n">
        <v>45787</v>
      </c>
      <c r="D751" t="inlineStr">
        <is>
          <t>JÄMTLANDS LÄN</t>
        </is>
      </c>
      <c r="E751" t="inlineStr">
        <is>
          <t>BERG</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41105-2023</t>
        </is>
      </c>
      <c r="B752" s="1" t="n">
        <v>45170</v>
      </c>
      <c r="C752" s="1" t="n">
        <v>45787</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40824-2023</t>
        </is>
      </c>
      <c r="B753" s="1" t="n">
        <v>45171</v>
      </c>
      <c r="C753" s="1" t="n">
        <v>45787</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41927-2023</t>
        </is>
      </c>
      <c r="B754" s="1" t="n">
        <v>45176</v>
      </c>
      <c r="C754" s="1" t="n">
        <v>45787</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41926-2023</t>
        </is>
      </c>
      <c r="B755" s="1" t="n">
        <v>45176</v>
      </c>
      <c r="C755" s="1" t="n">
        <v>45787</v>
      </c>
      <c r="D755" t="inlineStr">
        <is>
          <t>JÄMTLANDS LÄN</t>
        </is>
      </c>
      <c r="E755" t="inlineStr">
        <is>
          <t>BERG</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41925-2023</t>
        </is>
      </c>
      <c r="B756" s="1" t="n">
        <v>45176</v>
      </c>
      <c r="C756" s="1" t="n">
        <v>45787</v>
      </c>
      <c r="D756" t="inlineStr">
        <is>
          <t>JÄMTLANDS LÄN</t>
        </is>
      </c>
      <c r="E756" t="inlineStr">
        <is>
          <t>BERG</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41920-2023</t>
        </is>
      </c>
      <c r="B757" s="1" t="n">
        <v>45176</v>
      </c>
      <c r="C757" s="1" t="n">
        <v>45787</v>
      </c>
      <c r="D757" t="inlineStr">
        <is>
          <t>JÄMTLANDS LÄN</t>
        </is>
      </c>
      <c r="E757" t="inlineStr">
        <is>
          <t>BERG</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42929-2023</t>
        </is>
      </c>
      <c r="B758" s="1" t="n">
        <v>45177</v>
      </c>
      <c r="C758" s="1" t="n">
        <v>45787</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42504-2023</t>
        </is>
      </c>
      <c r="B759" s="1" t="n">
        <v>45181</v>
      </c>
      <c r="C759" s="1" t="n">
        <v>45787</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42672-2023</t>
        </is>
      </c>
      <c r="B760" s="1" t="n">
        <v>45181</v>
      </c>
      <c r="C760" s="1" t="n">
        <v>45787</v>
      </c>
      <c r="D760" t="inlineStr">
        <is>
          <t>JÄMTLANDS LÄN</t>
        </is>
      </c>
      <c r="E760" t="inlineStr">
        <is>
          <t>BERG</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42676-2023</t>
        </is>
      </c>
      <c r="B761" s="1" t="n">
        <v>45181</v>
      </c>
      <c r="C761" s="1" t="n">
        <v>45787</v>
      </c>
      <c r="D761" t="inlineStr">
        <is>
          <t>JÄMTLANDS LÄN</t>
        </is>
      </c>
      <c r="E761" t="inlineStr">
        <is>
          <t>BERG</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42870-2023</t>
        </is>
      </c>
      <c r="B762" s="1" t="n">
        <v>45182</v>
      </c>
      <c r="C762" s="1" t="n">
        <v>45787</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42827-2023</t>
        </is>
      </c>
      <c r="B763" s="1" t="n">
        <v>45182</v>
      </c>
      <c r="C763" s="1" t="n">
        <v>45787</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42859-2023</t>
        </is>
      </c>
      <c r="B764" s="1" t="n">
        <v>45182</v>
      </c>
      <c r="C764" s="1" t="n">
        <v>45787</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42864-2023</t>
        </is>
      </c>
      <c r="B765" s="1" t="n">
        <v>45182</v>
      </c>
      <c r="C765" s="1" t="n">
        <v>45787</v>
      </c>
      <c r="D765" t="inlineStr">
        <is>
          <t>JÄMTLANDS LÄN</t>
        </is>
      </c>
      <c r="E765" t="inlineStr">
        <is>
          <t>BERG</t>
        </is>
      </c>
      <c r="G765" t="n">
        <v>4.3</v>
      </c>
      <c r="H765" t="n">
        <v>0</v>
      </c>
      <c r="I765" t="n">
        <v>0</v>
      </c>
      <c r="J765" t="n">
        <v>0</v>
      </c>
      <c r="K765" t="n">
        <v>0</v>
      </c>
      <c r="L765" t="n">
        <v>0</v>
      </c>
      <c r="M765" t="n">
        <v>0</v>
      </c>
      <c r="N765" t="n">
        <v>0</v>
      </c>
      <c r="O765" t="n">
        <v>0</v>
      </c>
      <c r="P765" t="n">
        <v>0</v>
      </c>
      <c r="Q765" t="n">
        <v>0</v>
      </c>
      <c r="R765" s="2" t="inlineStr"/>
    </row>
    <row r="766" ht="15" customHeight="1">
      <c r="A766" t="inlineStr">
        <is>
          <t>A 42840-2023</t>
        </is>
      </c>
      <c r="B766" s="1" t="n">
        <v>45182</v>
      </c>
      <c r="C766" s="1" t="n">
        <v>45787</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43762-2023</t>
        </is>
      </c>
      <c r="B767" s="1" t="n">
        <v>45182</v>
      </c>
      <c r="C767" s="1" t="n">
        <v>45787</v>
      </c>
      <c r="D767" t="inlineStr">
        <is>
          <t>JÄMTLANDS LÄN</t>
        </is>
      </c>
      <c r="E767" t="inlineStr">
        <is>
          <t>BERG</t>
        </is>
      </c>
      <c r="G767" t="n">
        <v>6.4</v>
      </c>
      <c r="H767" t="n">
        <v>0</v>
      </c>
      <c r="I767" t="n">
        <v>0</v>
      </c>
      <c r="J767" t="n">
        <v>0</v>
      </c>
      <c r="K767" t="n">
        <v>0</v>
      </c>
      <c r="L767" t="n">
        <v>0</v>
      </c>
      <c r="M767" t="n">
        <v>0</v>
      </c>
      <c r="N767" t="n">
        <v>0</v>
      </c>
      <c r="O767" t="n">
        <v>0</v>
      </c>
      <c r="P767" t="n">
        <v>0</v>
      </c>
      <c r="Q767" t="n">
        <v>0</v>
      </c>
      <c r="R767" s="2" t="inlineStr"/>
    </row>
    <row r="768" ht="15" customHeight="1">
      <c r="A768" t="inlineStr">
        <is>
          <t>A 43403-2023</t>
        </is>
      </c>
      <c r="B768" s="1" t="n">
        <v>45183</v>
      </c>
      <c r="C768" s="1" t="n">
        <v>45787</v>
      </c>
      <c r="D768" t="inlineStr">
        <is>
          <t>JÄMTLANDS LÄN</t>
        </is>
      </c>
      <c r="E768" t="inlineStr">
        <is>
          <t>BERG</t>
        </is>
      </c>
      <c r="F768" t="inlineStr">
        <is>
          <t>SCA</t>
        </is>
      </c>
      <c r="G768" t="n">
        <v>0.1</v>
      </c>
      <c r="H768" t="n">
        <v>0</v>
      </c>
      <c r="I768" t="n">
        <v>0</v>
      </c>
      <c r="J768" t="n">
        <v>0</v>
      </c>
      <c r="K768" t="n">
        <v>0</v>
      </c>
      <c r="L768" t="n">
        <v>0</v>
      </c>
      <c r="M768" t="n">
        <v>0</v>
      </c>
      <c r="N768" t="n">
        <v>0</v>
      </c>
      <c r="O768" t="n">
        <v>0</v>
      </c>
      <c r="P768" t="n">
        <v>0</v>
      </c>
      <c r="Q768" t="n">
        <v>0</v>
      </c>
      <c r="R768" s="2" t="inlineStr"/>
    </row>
    <row r="769" ht="15" customHeight="1">
      <c r="A769" t="inlineStr">
        <is>
          <t>A 43410-2023</t>
        </is>
      </c>
      <c r="B769" s="1" t="n">
        <v>45184</v>
      </c>
      <c r="C769" s="1" t="n">
        <v>45787</v>
      </c>
      <c r="D769" t="inlineStr">
        <is>
          <t>JÄMTLANDS LÄN</t>
        </is>
      </c>
      <c r="E769" t="inlineStr">
        <is>
          <t>BERG</t>
        </is>
      </c>
      <c r="F769" t="inlineStr">
        <is>
          <t>SCA</t>
        </is>
      </c>
      <c r="G769" t="n">
        <v>24.9</v>
      </c>
      <c r="H769" t="n">
        <v>0</v>
      </c>
      <c r="I769" t="n">
        <v>0</v>
      </c>
      <c r="J769" t="n">
        <v>0</v>
      </c>
      <c r="K769" t="n">
        <v>0</v>
      </c>
      <c r="L769" t="n">
        <v>0</v>
      </c>
      <c r="M769" t="n">
        <v>0</v>
      </c>
      <c r="N769" t="n">
        <v>0</v>
      </c>
      <c r="O769" t="n">
        <v>0</v>
      </c>
      <c r="P769" t="n">
        <v>0</v>
      </c>
      <c r="Q769" t="n">
        <v>0</v>
      </c>
      <c r="R769" s="2" t="inlineStr"/>
    </row>
    <row r="770" ht="15" customHeight="1">
      <c r="A770" t="inlineStr">
        <is>
          <t>A 43744-2023</t>
        </is>
      </c>
      <c r="B770" s="1" t="n">
        <v>45187</v>
      </c>
      <c r="C770" s="1" t="n">
        <v>45787</v>
      </c>
      <c r="D770" t="inlineStr">
        <is>
          <t>JÄMTLANDS LÄN</t>
        </is>
      </c>
      <c r="E770" t="inlineStr">
        <is>
          <t>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44937-2023</t>
        </is>
      </c>
      <c r="B771" s="1" t="n">
        <v>45187</v>
      </c>
      <c r="C771" s="1" t="n">
        <v>45787</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44309-2023</t>
        </is>
      </c>
      <c r="B772" s="1" t="n">
        <v>45188</v>
      </c>
      <c r="C772" s="1" t="n">
        <v>45787</v>
      </c>
      <c r="D772" t="inlineStr">
        <is>
          <t>JÄMTLANDS LÄN</t>
        </is>
      </c>
      <c r="E772" t="inlineStr">
        <is>
          <t>BERG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44314-2023</t>
        </is>
      </c>
      <c r="B773" s="1" t="n">
        <v>45188</v>
      </c>
      <c r="C773" s="1" t="n">
        <v>45787</v>
      </c>
      <c r="D773" t="inlineStr">
        <is>
          <t>JÄMTLANDS LÄN</t>
        </is>
      </c>
      <c r="E773" t="inlineStr">
        <is>
          <t>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v>
      </c>
      <c r="C774" s="1" t="n">
        <v>45787</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45993-2023</t>
        </is>
      </c>
      <c r="B775" s="1" t="n">
        <v>45189</v>
      </c>
      <c r="C775" s="1" t="n">
        <v>45787</v>
      </c>
      <c r="D775" t="inlineStr">
        <is>
          <t>JÄMTLANDS LÄN</t>
        </is>
      </c>
      <c r="E775" t="inlineStr">
        <is>
          <t>BERG</t>
        </is>
      </c>
      <c r="G775" t="n">
        <v>7.8</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45787</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45346-2023</t>
        </is>
      </c>
      <c r="B777" s="1" t="n">
        <v>45191</v>
      </c>
      <c r="C777" s="1" t="n">
        <v>45787</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46270-2023</t>
        </is>
      </c>
      <c r="B778" s="1" t="n">
        <v>45196</v>
      </c>
      <c r="C778" s="1" t="n">
        <v>45787</v>
      </c>
      <c r="D778" t="inlineStr">
        <is>
          <t>JÄMTLANDS LÄN</t>
        </is>
      </c>
      <c r="E778" t="inlineStr">
        <is>
          <t>BERG</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46269-2023</t>
        </is>
      </c>
      <c r="B779" s="1" t="n">
        <v>45196</v>
      </c>
      <c r="C779" s="1" t="n">
        <v>45787</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46275-2023</t>
        </is>
      </c>
      <c r="B780" s="1" t="n">
        <v>45196</v>
      </c>
      <c r="C780" s="1" t="n">
        <v>45787</v>
      </c>
      <c r="D780" t="inlineStr">
        <is>
          <t>JÄMTLANDS LÄN</t>
        </is>
      </c>
      <c r="E780" t="inlineStr">
        <is>
          <t>BERG</t>
        </is>
      </c>
      <c r="F780" t="inlineStr">
        <is>
          <t>SCA</t>
        </is>
      </c>
      <c r="G780" t="n">
        <v>17.6</v>
      </c>
      <c r="H780" t="n">
        <v>0</v>
      </c>
      <c r="I780" t="n">
        <v>0</v>
      </c>
      <c r="J780" t="n">
        <v>0</v>
      </c>
      <c r="K780" t="n">
        <v>0</v>
      </c>
      <c r="L780" t="n">
        <v>0</v>
      </c>
      <c r="M780" t="n">
        <v>0</v>
      </c>
      <c r="N780" t="n">
        <v>0</v>
      </c>
      <c r="O780" t="n">
        <v>0</v>
      </c>
      <c r="P780" t="n">
        <v>0</v>
      </c>
      <c r="Q780" t="n">
        <v>0</v>
      </c>
      <c r="R780" s="2" t="inlineStr"/>
    </row>
    <row r="781" ht="15" customHeight="1">
      <c r="A781" t="inlineStr">
        <is>
          <t>A 47340-2023</t>
        </is>
      </c>
      <c r="B781" s="1" t="n">
        <v>45196</v>
      </c>
      <c r="C781" s="1" t="n">
        <v>45787</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46268-2023</t>
        </is>
      </c>
      <c r="B782" s="1" t="n">
        <v>45196</v>
      </c>
      <c r="C782" s="1" t="n">
        <v>45787</v>
      </c>
      <c r="D782" t="inlineStr">
        <is>
          <t>JÄMTLANDS LÄN</t>
        </is>
      </c>
      <c r="E782" t="inlineStr">
        <is>
          <t>BERG</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47337-2023</t>
        </is>
      </c>
      <c r="B783" s="1" t="n">
        <v>45196</v>
      </c>
      <c r="C783" s="1" t="n">
        <v>45787</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46797-2023</t>
        </is>
      </c>
      <c r="B784" s="1" t="n">
        <v>45198</v>
      </c>
      <c r="C784" s="1" t="n">
        <v>45787</v>
      </c>
      <c r="D784" t="inlineStr">
        <is>
          <t>JÄMTLANDS LÄN</t>
        </is>
      </c>
      <c r="E784" t="inlineStr">
        <is>
          <t>BERG</t>
        </is>
      </c>
      <c r="G784" t="n">
        <v>4.5</v>
      </c>
      <c r="H784" t="n">
        <v>0</v>
      </c>
      <c r="I784" t="n">
        <v>0</v>
      </c>
      <c r="J784" t="n">
        <v>0</v>
      </c>
      <c r="K784" t="n">
        <v>0</v>
      </c>
      <c r="L784" t="n">
        <v>0</v>
      </c>
      <c r="M784" t="n">
        <v>0</v>
      </c>
      <c r="N784" t="n">
        <v>0</v>
      </c>
      <c r="O784" t="n">
        <v>0</v>
      </c>
      <c r="P784" t="n">
        <v>0</v>
      </c>
      <c r="Q784" t="n">
        <v>0</v>
      </c>
      <c r="R784" s="2" t="inlineStr"/>
    </row>
    <row r="785" ht="15" customHeight="1">
      <c r="A785" t="inlineStr">
        <is>
          <t>A 46816-2023</t>
        </is>
      </c>
      <c r="B785" s="1" t="n">
        <v>45198</v>
      </c>
      <c r="C785" s="1" t="n">
        <v>45787</v>
      </c>
      <c r="D785" t="inlineStr">
        <is>
          <t>JÄMTLANDS LÄN</t>
        </is>
      </c>
      <c r="E785" t="inlineStr">
        <is>
          <t>BERG</t>
        </is>
      </c>
      <c r="F785" t="inlineStr">
        <is>
          <t>SCA</t>
        </is>
      </c>
      <c r="G785" t="n">
        <v>66.2</v>
      </c>
      <c r="H785" t="n">
        <v>0</v>
      </c>
      <c r="I785" t="n">
        <v>0</v>
      </c>
      <c r="J785" t="n">
        <v>0</v>
      </c>
      <c r="K785" t="n">
        <v>0</v>
      </c>
      <c r="L785" t="n">
        <v>0</v>
      </c>
      <c r="M785" t="n">
        <v>0</v>
      </c>
      <c r="N785" t="n">
        <v>0</v>
      </c>
      <c r="O785" t="n">
        <v>0</v>
      </c>
      <c r="P785" t="n">
        <v>0</v>
      </c>
      <c r="Q785" t="n">
        <v>0</v>
      </c>
      <c r="R785" s="2" t="inlineStr"/>
    </row>
    <row r="786" ht="15" customHeight="1">
      <c r="A786" t="inlineStr">
        <is>
          <t>A 46859-2023</t>
        </is>
      </c>
      <c r="B786" s="1" t="n">
        <v>45200</v>
      </c>
      <c r="C786" s="1" t="n">
        <v>45787</v>
      </c>
      <c r="D786" t="inlineStr">
        <is>
          <t>JÄMTLANDS LÄN</t>
        </is>
      </c>
      <c r="E786" t="inlineStr">
        <is>
          <t>BERG</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46858-2023</t>
        </is>
      </c>
      <c r="B787" s="1" t="n">
        <v>45200</v>
      </c>
      <c r="C787" s="1" t="n">
        <v>45787</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46872-2023</t>
        </is>
      </c>
      <c r="B788" s="1" t="n">
        <v>45200</v>
      </c>
      <c r="C788" s="1" t="n">
        <v>45787</v>
      </c>
      <c r="D788" t="inlineStr">
        <is>
          <t>JÄMTLANDS LÄN</t>
        </is>
      </c>
      <c r="E788" t="inlineStr">
        <is>
          <t>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46874-2023</t>
        </is>
      </c>
      <c r="B789" s="1" t="n">
        <v>45200</v>
      </c>
      <c r="C789" s="1" t="n">
        <v>45787</v>
      </c>
      <c r="D789" t="inlineStr">
        <is>
          <t>JÄMTLANDS LÄN</t>
        </is>
      </c>
      <c r="E789" t="inlineStr">
        <is>
          <t>BERG</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45202</v>
      </c>
      <c r="C790" s="1" t="n">
        <v>45787</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47289-2023</t>
        </is>
      </c>
      <c r="B791" s="1" t="n">
        <v>45202</v>
      </c>
      <c r="C791" s="1" t="n">
        <v>45787</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47304-2023</t>
        </is>
      </c>
      <c r="B792" s="1" t="n">
        <v>45202</v>
      </c>
      <c r="C792" s="1" t="n">
        <v>45787</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45787</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48649-2023</t>
        </is>
      </c>
      <c r="B794" s="1" t="n">
        <v>45202</v>
      </c>
      <c r="C794" s="1" t="n">
        <v>45787</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48671-2023</t>
        </is>
      </c>
      <c r="B795" s="1" t="n">
        <v>45202</v>
      </c>
      <c r="C795" s="1" t="n">
        <v>45787</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47626-2023</t>
        </is>
      </c>
      <c r="B796" s="1" t="n">
        <v>45203</v>
      </c>
      <c r="C796" s="1" t="n">
        <v>45787</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45787</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48164-2023</t>
        </is>
      </c>
      <c r="B798" s="1" t="n">
        <v>45205</v>
      </c>
      <c r="C798" s="1" t="n">
        <v>45787</v>
      </c>
      <c r="D798" t="inlineStr">
        <is>
          <t>JÄMTLANDS LÄN</t>
        </is>
      </c>
      <c r="E798" t="inlineStr">
        <is>
          <t>BERG</t>
        </is>
      </c>
      <c r="G798" t="n">
        <v>5.9</v>
      </c>
      <c r="H798" t="n">
        <v>0</v>
      </c>
      <c r="I798" t="n">
        <v>0</v>
      </c>
      <c r="J798" t="n">
        <v>0</v>
      </c>
      <c r="K798" t="n">
        <v>0</v>
      </c>
      <c r="L798" t="n">
        <v>0</v>
      </c>
      <c r="M798" t="n">
        <v>0</v>
      </c>
      <c r="N798" t="n">
        <v>0</v>
      </c>
      <c r="O798" t="n">
        <v>0</v>
      </c>
      <c r="P798" t="n">
        <v>0</v>
      </c>
      <c r="Q798" t="n">
        <v>0</v>
      </c>
      <c r="R798" s="2" t="inlineStr"/>
    </row>
    <row r="799" ht="15" customHeight="1">
      <c r="A799" t="inlineStr">
        <is>
          <t>A 48428-2023</t>
        </is>
      </c>
      <c r="B799" s="1" t="n">
        <v>45205</v>
      </c>
      <c r="C799" s="1" t="n">
        <v>45787</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49555-2023</t>
        </is>
      </c>
      <c r="B800" s="1" t="n">
        <v>45205</v>
      </c>
      <c r="C800" s="1" t="n">
        <v>45787</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48478-2023</t>
        </is>
      </c>
      <c r="B801" s="1" t="n">
        <v>45206</v>
      </c>
      <c r="C801" s="1" t="n">
        <v>45787</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48533-2023</t>
        </is>
      </c>
      <c r="B802" s="1" t="n">
        <v>45208</v>
      </c>
      <c r="C802" s="1" t="n">
        <v>45787</v>
      </c>
      <c r="D802" t="inlineStr">
        <is>
          <t>JÄMTLANDS LÄN</t>
        </is>
      </c>
      <c r="E802" t="inlineStr">
        <is>
          <t>BERG</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48550-2023</t>
        </is>
      </c>
      <c r="B803" s="1" t="n">
        <v>45208</v>
      </c>
      <c r="C803" s="1" t="n">
        <v>45787</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48764-2023</t>
        </is>
      </c>
      <c r="B804" s="1" t="n">
        <v>45209</v>
      </c>
      <c r="C804" s="1" t="n">
        <v>45787</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49715-2023</t>
        </is>
      </c>
      <c r="B805" s="1" t="n">
        <v>45208</v>
      </c>
      <c r="C805" s="1" t="n">
        <v>45787</v>
      </c>
      <c r="D805" t="inlineStr">
        <is>
          <t>JÄMTLANDS LÄN</t>
        </is>
      </c>
      <c r="E805" t="inlineStr">
        <is>
          <t>BERG</t>
        </is>
      </c>
      <c r="G805" t="n">
        <v>2.4</v>
      </c>
      <c r="H805" t="n">
        <v>0</v>
      </c>
      <c r="I805" t="n">
        <v>0</v>
      </c>
      <c r="J805" t="n">
        <v>0</v>
      </c>
      <c r="K805" t="n">
        <v>0</v>
      </c>
      <c r="L805" t="n">
        <v>0</v>
      </c>
      <c r="M805" t="n">
        <v>0</v>
      </c>
      <c r="N805" t="n">
        <v>0</v>
      </c>
      <c r="O805" t="n">
        <v>0</v>
      </c>
      <c r="P805" t="n">
        <v>0</v>
      </c>
      <c r="Q805" t="n">
        <v>0</v>
      </c>
      <c r="R805" s="2" t="inlineStr"/>
    </row>
    <row r="806" ht="15" customHeight="1">
      <c r="A806" t="inlineStr">
        <is>
          <t>A 50169-2023</t>
        </is>
      </c>
      <c r="B806" s="1" t="n">
        <v>45208</v>
      </c>
      <c r="C806" s="1" t="n">
        <v>45787</v>
      </c>
      <c r="D806" t="inlineStr">
        <is>
          <t>JÄMTLANDS LÄN</t>
        </is>
      </c>
      <c r="E806" t="inlineStr">
        <is>
          <t>BERG</t>
        </is>
      </c>
      <c r="G806" t="n">
        <v>3.9</v>
      </c>
      <c r="H806" t="n">
        <v>0</v>
      </c>
      <c r="I806" t="n">
        <v>0</v>
      </c>
      <c r="J806" t="n">
        <v>0</v>
      </c>
      <c r="K806" t="n">
        <v>0</v>
      </c>
      <c r="L806" t="n">
        <v>0</v>
      </c>
      <c r="M806" t="n">
        <v>0</v>
      </c>
      <c r="N806" t="n">
        <v>0</v>
      </c>
      <c r="O806" t="n">
        <v>0</v>
      </c>
      <c r="P806" t="n">
        <v>0</v>
      </c>
      <c r="Q806" t="n">
        <v>0</v>
      </c>
      <c r="R806" s="2" t="inlineStr"/>
    </row>
    <row r="807" ht="15" customHeight="1">
      <c r="A807" t="inlineStr">
        <is>
          <t>A 49721-2023</t>
        </is>
      </c>
      <c r="B807" s="1" t="n">
        <v>45208</v>
      </c>
      <c r="C807" s="1" t="n">
        <v>45787</v>
      </c>
      <c r="D807" t="inlineStr">
        <is>
          <t>JÄMTLANDS LÄN</t>
        </is>
      </c>
      <c r="E807" t="inlineStr">
        <is>
          <t>BERG</t>
        </is>
      </c>
      <c r="G807" t="n">
        <v>25.4</v>
      </c>
      <c r="H807" t="n">
        <v>0</v>
      </c>
      <c r="I807" t="n">
        <v>0</v>
      </c>
      <c r="J807" t="n">
        <v>0</v>
      </c>
      <c r="K807" t="n">
        <v>0</v>
      </c>
      <c r="L807" t="n">
        <v>0</v>
      </c>
      <c r="M807" t="n">
        <v>0</v>
      </c>
      <c r="N807" t="n">
        <v>0</v>
      </c>
      <c r="O807" t="n">
        <v>0</v>
      </c>
      <c r="P807" t="n">
        <v>0</v>
      </c>
      <c r="Q807" t="n">
        <v>0</v>
      </c>
      <c r="R807" s="2" t="inlineStr"/>
    </row>
    <row r="808" ht="15" customHeight="1">
      <c r="A808" t="inlineStr">
        <is>
          <t>A 50172-2023</t>
        </is>
      </c>
      <c r="B808" s="1" t="n">
        <v>45208</v>
      </c>
      <c r="C808" s="1" t="n">
        <v>45787</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48868-2023</t>
        </is>
      </c>
      <c r="B809" s="1" t="n">
        <v>45209</v>
      </c>
      <c r="C809" s="1" t="n">
        <v>45787</v>
      </c>
      <c r="D809" t="inlineStr">
        <is>
          <t>JÄMTLANDS LÄN</t>
        </is>
      </c>
      <c r="E809" t="inlineStr">
        <is>
          <t>BERG</t>
        </is>
      </c>
      <c r="F809" t="inlineStr">
        <is>
          <t>Naturvårdsverket</t>
        </is>
      </c>
      <c r="G809" t="n">
        <v>6.4</v>
      </c>
      <c r="H809" t="n">
        <v>0</v>
      </c>
      <c r="I809" t="n">
        <v>0</v>
      </c>
      <c r="J809" t="n">
        <v>0</v>
      </c>
      <c r="K809" t="n">
        <v>0</v>
      </c>
      <c r="L809" t="n">
        <v>0</v>
      </c>
      <c r="M809" t="n">
        <v>0</v>
      </c>
      <c r="N809" t="n">
        <v>0</v>
      </c>
      <c r="O809" t="n">
        <v>0</v>
      </c>
      <c r="P809" t="n">
        <v>0</v>
      </c>
      <c r="Q809" t="n">
        <v>0</v>
      </c>
      <c r="R809" s="2" t="inlineStr"/>
      <c r="U809">
        <f>HYPERLINK("https://klasma.github.io/Logging_2326/knärot/A 48868-2023 karta knärot.png", "A 48868-2023")</f>
        <v/>
      </c>
      <c r="V809">
        <f>HYPERLINK("https://klasma.github.io/Logging_2326/klagomål/A 48868-2023 FSC-klagomål.docx", "A 48868-2023")</f>
        <v/>
      </c>
      <c r="W809">
        <f>HYPERLINK("https://klasma.github.io/Logging_2326/klagomålsmail/A 48868-2023 FSC-klagomål mail.docx", "A 48868-2023")</f>
        <v/>
      </c>
      <c r="X809">
        <f>HYPERLINK("https://klasma.github.io/Logging_2326/tillsyn/A 48868-2023 tillsynsbegäran.docx", "A 48868-2023")</f>
        <v/>
      </c>
      <c r="Y809">
        <f>HYPERLINK("https://klasma.github.io/Logging_2326/tillsynsmail/A 48868-2023 tillsynsbegäran mail.docx", "A 48868-2023")</f>
        <v/>
      </c>
    </row>
    <row r="810" ht="15" customHeight="1">
      <c r="A810" t="inlineStr">
        <is>
          <t>A 53444-2023</t>
        </is>
      </c>
      <c r="B810" s="1" t="n">
        <v>45210</v>
      </c>
      <c r="C810" s="1" t="n">
        <v>45787</v>
      </c>
      <c r="D810" t="inlineStr">
        <is>
          <t>JÄMTLANDS LÄN</t>
        </is>
      </c>
      <c r="E810" t="inlineStr">
        <is>
          <t>BERG</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50632-2023</t>
        </is>
      </c>
      <c r="B811" s="1" t="n">
        <v>45210</v>
      </c>
      <c r="C811" s="1" t="n">
        <v>45787</v>
      </c>
      <c r="D811" t="inlineStr">
        <is>
          <t>JÄMTLANDS LÄN</t>
        </is>
      </c>
      <c r="E811" t="inlineStr">
        <is>
          <t>BERG</t>
        </is>
      </c>
      <c r="G811" t="n">
        <v>2</v>
      </c>
      <c r="H811" t="n">
        <v>0</v>
      </c>
      <c r="I811" t="n">
        <v>0</v>
      </c>
      <c r="J811" t="n">
        <v>0</v>
      </c>
      <c r="K811" t="n">
        <v>0</v>
      </c>
      <c r="L811" t="n">
        <v>0</v>
      </c>
      <c r="M811" t="n">
        <v>0</v>
      </c>
      <c r="N811" t="n">
        <v>0</v>
      </c>
      <c r="O811" t="n">
        <v>0</v>
      </c>
      <c r="P811" t="n">
        <v>0</v>
      </c>
      <c r="Q811" t="n">
        <v>0</v>
      </c>
      <c r="R811" s="2" t="inlineStr"/>
    </row>
    <row r="812" ht="15" customHeight="1">
      <c r="A812" t="inlineStr">
        <is>
          <t>A 53442-2023</t>
        </is>
      </c>
      <c r="B812" s="1" t="n">
        <v>45210</v>
      </c>
      <c r="C812" s="1" t="n">
        <v>45787</v>
      </c>
      <c r="D812" t="inlineStr">
        <is>
          <t>JÄMTLANDS LÄN</t>
        </is>
      </c>
      <c r="E812" t="inlineStr">
        <is>
          <t>BERG</t>
        </is>
      </c>
      <c r="F812" t="inlineStr">
        <is>
          <t>Övriga statliga verk och myndigheter</t>
        </is>
      </c>
      <c r="G812" t="n">
        <v>0.9</v>
      </c>
      <c r="H812" t="n">
        <v>0</v>
      </c>
      <c r="I812" t="n">
        <v>0</v>
      </c>
      <c r="J812" t="n">
        <v>0</v>
      </c>
      <c r="K812" t="n">
        <v>0</v>
      </c>
      <c r="L812" t="n">
        <v>0</v>
      </c>
      <c r="M812" t="n">
        <v>0</v>
      </c>
      <c r="N812" t="n">
        <v>0</v>
      </c>
      <c r="O812" t="n">
        <v>0</v>
      </c>
      <c r="P812" t="n">
        <v>0</v>
      </c>
      <c r="Q812" t="n">
        <v>0</v>
      </c>
      <c r="R812" s="2" t="inlineStr"/>
    </row>
    <row r="813" ht="15" customHeight="1">
      <c r="A813" t="inlineStr">
        <is>
          <t>A 50778-2023</t>
        </is>
      </c>
      <c r="B813" s="1" t="n">
        <v>45210</v>
      </c>
      <c r="C813" s="1" t="n">
        <v>45787</v>
      </c>
      <c r="D813" t="inlineStr">
        <is>
          <t>JÄMTLANDS LÄN</t>
        </is>
      </c>
      <c r="E813" t="inlineStr">
        <is>
          <t>BERG</t>
        </is>
      </c>
      <c r="G813" t="n">
        <v>3.7</v>
      </c>
      <c r="H813" t="n">
        <v>0</v>
      </c>
      <c r="I813" t="n">
        <v>0</v>
      </c>
      <c r="J813" t="n">
        <v>0</v>
      </c>
      <c r="K813" t="n">
        <v>0</v>
      </c>
      <c r="L813" t="n">
        <v>0</v>
      </c>
      <c r="M813" t="n">
        <v>0</v>
      </c>
      <c r="N813" t="n">
        <v>0</v>
      </c>
      <c r="O813" t="n">
        <v>0</v>
      </c>
      <c r="P813" t="n">
        <v>0</v>
      </c>
      <c r="Q813" t="n">
        <v>0</v>
      </c>
      <c r="R813" s="2" t="inlineStr"/>
    </row>
    <row r="814" ht="15" customHeight="1">
      <c r="A814" t="inlineStr">
        <is>
          <t>A 53441-2023</t>
        </is>
      </c>
      <c r="B814" s="1" t="n">
        <v>45210</v>
      </c>
      <c r="C814" s="1" t="n">
        <v>45787</v>
      </c>
      <c r="D814" t="inlineStr">
        <is>
          <t>JÄMTLANDS LÄN</t>
        </is>
      </c>
      <c r="E814" t="inlineStr">
        <is>
          <t>BERG</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53445-2023</t>
        </is>
      </c>
      <c r="B815" s="1" t="n">
        <v>45210</v>
      </c>
      <c r="C815" s="1" t="n">
        <v>45787</v>
      </c>
      <c r="D815" t="inlineStr">
        <is>
          <t>JÄMTLANDS LÄN</t>
        </is>
      </c>
      <c r="E815" t="inlineStr">
        <is>
          <t>BERG</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50773-2023</t>
        </is>
      </c>
      <c r="B816" s="1" t="n">
        <v>45210</v>
      </c>
      <c r="C816" s="1" t="n">
        <v>45787</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52154-2023</t>
        </is>
      </c>
      <c r="B817" s="1" t="n">
        <v>45212</v>
      </c>
      <c r="C817" s="1" t="n">
        <v>45787</v>
      </c>
      <c r="D817" t="inlineStr">
        <is>
          <t>JÄMTLANDS LÄN</t>
        </is>
      </c>
      <c r="E817" t="inlineStr">
        <is>
          <t>BERG</t>
        </is>
      </c>
      <c r="F817" t="inlineStr">
        <is>
          <t>Övriga statliga verk och myndigheter</t>
        </is>
      </c>
      <c r="G817" t="n">
        <v>1.3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45787</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50572-2023</t>
        </is>
      </c>
      <c r="B819" s="1" t="n">
        <v>45217</v>
      </c>
      <c r="C819" s="1" t="n">
        <v>45787</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50591-2023</t>
        </is>
      </c>
      <c r="B820" s="1" t="n">
        <v>45217</v>
      </c>
      <c r="C820" s="1" t="n">
        <v>45787</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v>
      </c>
      <c r="C821" s="1" t="n">
        <v>45787</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50612-2023</t>
        </is>
      </c>
      <c r="B822" s="1" t="n">
        <v>45217</v>
      </c>
      <c r="C822" s="1" t="n">
        <v>45787</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50737-2023</t>
        </is>
      </c>
      <c r="B823" s="1" t="n">
        <v>45217</v>
      </c>
      <c r="C823" s="1" t="n">
        <v>45787</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51201-2023</t>
        </is>
      </c>
      <c r="B824" s="1" t="n">
        <v>45219</v>
      </c>
      <c r="C824" s="1" t="n">
        <v>45787</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52778-2023</t>
        </is>
      </c>
      <c r="B825" s="1" t="n">
        <v>45219</v>
      </c>
      <c r="C825" s="1" t="n">
        <v>45787</v>
      </c>
      <c r="D825" t="inlineStr">
        <is>
          <t>JÄMTLANDS LÄN</t>
        </is>
      </c>
      <c r="E825" t="inlineStr">
        <is>
          <t>BERG</t>
        </is>
      </c>
      <c r="G825" t="n">
        <v>3.2</v>
      </c>
      <c r="H825" t="n">
        <v>0</v>
      </c>
      <c r="I825" t="n">
        <v>0</v>
      </c>
      <c r="J825" t="n">
        <v>0</v>
      </c>
      <c r="K825" t="n">
        <v>0</v>
      </c>
      <c r="L825" t="n">
        <v>0</v>
      </c>
      <c r="M825" t="n">
        <v>0</v>
      </c>
      <c r="N825" t="n">
        <v>0</v>
      </c>
      <c r="O825" t="n">
        <v>0</v>
      </c>
      <c r="P825" t="n">
        <v>0</v>
      </c>
      <c r="Q825" t="n">
        <v>0</v>
      </c>
      <c r="R825" s="2" t="inlineStr"/>
    </row>
    <row r="826" ht="15" customHeight="1">
      <c r="A826" t="inlineStr">
        <is>
          <t>A 52774-2023</t>
        </is>
      </c>
      <c r="B826" s="1" t="n">
        <v>45219</v>
      </c>
      <c r="C826" s="1" t="n">
        <v>45787</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51462-2023</t>
        </is>
      </c>
      <c r="B827" s="1" t="n">
        <v>45221</v>
      </c>
      <c r="C827" s="1" t="n">
        <v>45787</v>
      </c>
      <c r="D827" t="inlineStr">
        <is>
          <t>JÄMTLANDS LÄN</t>
        </is>
      </c>
      <c r="E827" t="inlineStr">
        <is>
          <t>BERG</t>
        </is>
      </c>
      <c r="F827" t="inlineStr">
        <is>
          <t>Naturvårdsverket</t>
        </is>
      </c>
      <c r="G827" t="n">
        <v>5.4</v>
      </c>
      <c r="H827" t="n">
        <v>0</v>
      </c>
      <c r="I827" t="n">
        <v>0</v>
      </c>
      <c r="J827" t="n">
        <v>0</v>
      </c>
      <c r="K827" t="n">
        <v>0</v>
      </c>
      <c r="L827" t="n">
        <v>0</v>
      </c>
      <c r="M827" t="n">
        <v>0</v>
      </c>
      <c r="N827" t="n">
        <v>0</v>
      </c>
      <c r="O827" t="n">
        <v>0</v>
      </c>
      <c r="P827" t="n">
        <v>0</v>
      </c>
      <c r="Q827" t="n">
        <v>0</v>
      </c>
      <c r="R827" s="2" t="inlineStr"/>
    </row>
    <row r="828" ht="15" customHeight="1">
      <c r="A828" t="inlineStr">
        <is>
          <t>A 51461-2023</t>
        </is>
      </c>
      <c r="B828" s="1" t="n">
        <v>45221</v>
      </c>
      <c r="C828" s="1" t="n">
        <v>45787</v>
      </c>
      <c r="D828" t="inlineStr">
        <is>
          <t>JÄMTLANDS LÄN</t>
        </is>
      </c>
      <c r="E828" t="inlineStr">
        <is>
          <t>BERG</t>
        </is>
      </c>
      <c r="F828" t="inlineStr">
        <is>
          <t>Naturvårdsverket</t>
        </is>
      </c>
      <c r="G828" t="n">
        <v>0.9</v>
      </c>
      <c r="H828" t="n">
        <v>0</v>
      </c>
      <c r="I828" t="n">
        <v>0</v>
      </c>
      <c r="J828" t="n">
        <v>0</v>
      </c>
      <c r="K828" t="n">
        <v>0</v>
      </c>
      <c r="L828" t="n">
        <v>0</v>
      </c>
      <c r="M828" t="n">
        <v>0</v>
      </c>
      <c r="N828" t="n">
        <v>0</v>
      </c>
      <c r="O828" t="n">
        <v>0</v>
      </c>
      <c r="P828" t="n">
        <v>0</v>
      </c>
      <c r="Q828" t="n">
        <v>0</v>
      </c>
      <c r="R828" s="2" t="inlineStr"/>
    </row>
    <row r="829" ht="15" customHeight="1">
      <c r="A829" t="inlineStr">
        <is>
          <t>A 51813-2023</t>
        </is>
      </c>
      <c r="B829" s="1" t="n">
        <v>45222</v>
      </c>
      <c r="C829" s="1" t="n">
        <v>45787</v>
      </c>
      <c r="D829" t="inlineStr">
        <is>
          <t>JÄMTLANDS LÄN</t>
        </is>
      </c>
      <c r="E829" t="inlineStr">
        <is>
          <t>BERG</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51815-2023</t>
        </is>
      </c>
      <c r="B830" s="1" t="n">
        <v>45222</v>
      </c>
      <c r="C830" s="1" t="n">
        <v>45787</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53326-2023</t>
        </is>
      </c>
      <c r="B831" s="1" t="n">
        <v>45222</v>
      </c>
      <c r="C831" s="1" t="n">
        <v>45787</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51814-2023</t>
        </is>
      </c>
      <c r="B832" s="1" t="n">
        <v>45222</v>
      </c>
      <c r="C832" s="1" t="n">
        <v>45787</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51988-2023</t>
        </is>
      </c>
      <c r="B833" s="1" t="n">
        <v>45223</v>
      </c>
      <c r="C833" s="1" t="n">
        <v>45787</v>
      </c>
      <c r="D833" t="inlineStr">
        <is>
          <t>JÄMTLANDS LÄN</t>
        </is>
      </c>
      <c r="E833" t="inlineStr">
        <is>
          <t>BERG</t>
        </is>
      </c>
      <c r="F833" t="inlineStr">
        <is>
          <t>Kyrkan</t>
        </is>
      </c>
      <c r="G833" t="n">
        <v>0.4</v>
      </c>
      <c r="H833" t="n">
        <v>0</v>
      </c>
      <c r="I833" t="n">
        <v>0</v>
      </c>
      <c r="J833" t="n">
        <v>0</v>
      </c>
      <c r="K833" t="n">
        <v>0</v>
      </c>
      <c r="L833" t="n">
        <v>0</v>
      </c>
      <c r="M833" t="n">
        <v>0</v>
      </c>
      <c r="N833" t="n">
        <v>0</v>
      </c>
      <c r="O833" t="n">
        <v>0</v>
      </c>
      <c r="P833" t="n">
        <v>0</v>
      </c>
      <c r="Q833" t="n">
        <v>0</v>
      </c>
      <c r="R833" s="2" t="inlineStr"/>
    </row>
    <row r="834" ht="15" customHeight="1">
      <c r="A834" t="inlineStr">
        <is>
          <t>A 52318-2023</t>
        </is>
      </c>
      <c r="B834" s="1" t="n">
        <v>45224</v>
      </c>
      <c r="C834" s="1" t="n">
        <v>45787</v>
      </c>
      <c r="D834" t="inlineStr">
        <is>
          <t>JÄMTLANDS LÄN</t>
        </is>
      </c>
      <c r="E834" t="inlineStr">
        <is>
          <t>BERG</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52311-2023</t>
        </is>
      </c>
      <c r="B835" s="1" t="n">
        <v>45224</v>
      </c>
      <c r="C835" s="1" t="n">
        <v>45787</v>
      </c>
      <c r="D835" t="inlineStr">
        <is>
          <t>JÄMTLANDS LÄN</t>
        </is>
      </c>
      <c r="E835" t="inlineStr">
        <is>
          <t>BERG</t>
        </is>
      </c>
      <c r="F835" t="inlineStr">
        <is>
          <t>Kyrkan</t>
        </is>
      </c>
      <c r="G835" t="n">
        <v>3.5</v>
      </c>
      <c r="H835" t="n">
        <v>0</v>
      </c>
      <c r="I835" t="n">
        <v>0</v>
      </c>
      <c r="J835" t="n">
        <v>0</v>
      </c>
      <c r="K835" t="n">
        <v>0</v>
      </c>
      <c r="L835" t="n">
        <v>0</v>
      </c>
      <c r="M835" t="n">
        <v>0</v>
      </c>
      <c r="N835" t="n">
        <v>0</v>
      </c>
      <c r="O835" t="n">
        <v>0</v>
      </c>
      <c r="P835" t="n">
        <v>0</v>
      </c>
      <c r="Q835" t="n">
        <v>0</v>
      </c>
      <c r="R835" s="2" t="inlineStr"/>
    </row>
    <row r="836" ht="15" customHeight="1">
      <c r="A836" t="inlineStr">
        <is>
          <t>A 53834-2023</t>
        </is>
      </c>
      <c r="B836" s="1" t="n">
        <v>45224</v>
      </c>
      <c r="C836" s="1" t="n">
        <v>45787</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52770-2023</t>
        </is>
      </c>
      <c r="B837" s="1" t="n">
        <v>45226</v>
      </c>
      <c r="C837" s="1" t="n">
        <v>45787</v>
      </c>
      <c r="D837" t="inlineStr">
        <is>
          <t>JÄMTLANDS LÄN</t>
        </is>
      </c>
      <c r="E837" t="inlineStr">
        <is>
          <t>BERG</t>
        </is>
      </c>
      <c r="G837" t="n">
        <v>12.8</v>
      </c>
      <c r="H837" t="n">
        <v>0</v>
      </c>
      <c r="I837" t="n">
        <v>0</v>
      </c>
      <c r="J837" t="n">
        <v>0</v>
      </c>
      <c r="K837" t="n">
        <v>0</v>
      </c>
      <c r="L837" t="n">
        <v>0</v>
      </c>
      <c r="M837" t="n">
        <v>0</v>
      </c>
      <c r="N837" t="n">
        <v>0</v>
      </c>
      <c r="O837" t="n">
        <v>0</v>
      </c>
      <c r="P837" t="n">
        <v>0</v>
      </c>
      <c r="Q837" t="n">
        <v>0</v>
      </c>
      <c r="R837" s="2" t="inlineStr"/>
    </row>
    <row r="838" ht="15" customHeight="1">
      <c r="A838" t="inlineStr">
        <is>
          <t>A 53151-2023</t>
        </is>
      </c>
      <c r="B838" s="1" t="n">
        <v>45229</v>
      </c>
      <c r="C838" s="1" t="n">
        <v>45787</v>
      </c>
      <c r="D838" t="inlineStr">
        <is>
          <t>JÄMTLANDS LÄN</t>
        </is>
      </c>
      <c r="E838" t="inlineStr">
        <is>
          <t>BERG</t>
        </is>
      </c>
      <c r="G838" t="n">
        <v>14.1</v>
      </c>
      <c r="H838" t="n">
        <v>0</v>
      </c>
      <c r="I838" t="n">
        <v>0</v>
      </c>
      <c r="J838" t="n">
        <v>0</v>
      </c>
      <c r="K838" t="n">
        <v>0</v>
      </c>
      <c r="L838" t="n">
        <v>0</v>
      </c>
      <c r="M838" t="n">
        <v>0</v>
      </c>
      <c r="N838" t="n">
        <v>0</v>
      </c>
      <c r="O838" t="n">
        <v>0</v>
      </c>
      <c r="P838" t="n">
        <v>0</v>
      </c>
      <c r="Q838" t="n">
        <v>0</v>
      </c>
      <c r="R838" s="2" t="inlineStr"/>
    </row>
    <row r="839" ht="15" customHeight="1">
      <c r="A839" t="inlineStr">
        <is>
          <t>A 54880-2023</t>
        </is>
      </c>
      <c r="B839" s="1" t="n">
        <v>45229</v>
      </c>
      <c r="C839" s="1" t="n">
        <v>45787</v>
      </c>
      <c r="D839" t="inlineStr">
        <is>
          <t>JÄMTLANDS LÄN</t>
        </is>
      </c>
      <c r="E839" t="inlineStr">
        <is>
          <t>BERG</t>
        </is>
      </c>
      <c r="G839" t="n">
        <v>16.8</v>
      </c>
      <c r="H839" t="n">
        <v>0</v>
      </c>
      <c r="I839" t="n">
        <v>0</v>
      </c>
      <c r="J839" t="n">
        <v>0</v>
      </c>
      <c r="K839" t="n">
        <v>0</v>
      </c>
      <c r="L839" t="n">
        <v>0</v>
      </c>
      <c r="M839" t="n">
        <v>0</v>
      </c>
      <c r="N839" t="n">
        <v>0</v>
      </c>
      <c r="O839" t="n">
        <v>0</v>
      </c>
      <c r="P839" t="n">
        <v>0</v>
      </c>
      <c r="Q839" t="n">
        <v>0</v>
      </c>
      <c r="R839" s="2" t="inlineStr"/>
    </row>
    <row r="840" ht="15" customHeight="1">
      <c r="A840" t="inlineStr">
        <is>
          <t>A 53688-2023</t>
        </is>
      </c>
      <c r="B840" s="1" t="n">
        <v>45230</v>
      </c>
      <c r="C840" s="1" t="n">
        <v>45787</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53885-2023</t>
        </is>
      </c>
      <c r="B841" s="1" t="n">
        <v>45231</v>
      </c>
      <c r="C841" s="1" t="n">
        <v>45787</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53894-2023</t>
        </is>
      </c>
      <c r="B842" s="1" t="n">
        <v>45231</v>
      </c>
      <c r="C842" s="1" t="n">
        <v>45787</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45787</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53883-2023</t>
        </is>
      </c>
      <c r="B844" s="1" t="n">
        <v>45231</v>
      </c>
      <c r="C844" s="1" t="n">
        <v>45787</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54069-2023</t>
        </is>
      </c>
      <c r="B845" s="1" t="n">
        <v>45231</v>
      </c>
      <c r="C845" s="1" t="n">
        <v>45787</v>
      </c>
      <c r="D845" t="inlineStr">
        <is>
          <t>JÄMTLANDS LÄN</t>
        </is>
      </c>
      <c r="E845" t="inlineStr">
        <is>
          <t>BERG</t>
        </is>
      </c>
      <c r="F845" t="inlineStr">
        <is>
          <t>SCA</t>
        </is>
      </c>
      <c r="G845" t="n">
        <v>18.9</v>
      </c>
      <c r="H845" t="n">
        <v>0</v>
      </c>
      <c r="I845" t="n">
        <v>0</v>
      </c>
      <c r="J845" t="n">
        <v>0</v>
      </c>
      <c r="K845" t="n">
        <v>0</v>
      </c>
      <c r="L845" t="n">
        <v>0</v>
      </c>
      <c r="M845" t="n">
        <v>0</v>
      </c>
      <c r="N845" t="n">
        <v>0</v>
      </c>
      <c r="O845" t="n">
        <v>0</v>
      </c>
      <c r="P845" t="n">
        <v>0</v>
      </c>
      <c r="Q845" t="n">
        <v>0</v>
      </c>
      <c r="R845" s="2" t="inlineStr"/>
    </row>
    <row r="846" ht="15" customHeight="1">
      <c r="A846" t="inlineStr">
        <is>
          <t>A 54343-2023</t>
        </is>
      </c>
      <c r="B846" s="1" t="n">
        <v>45233</v>
      </c>
      <c r="C846" s="1" t="n">
        <v>45787</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54333-2023</t>
        </is>
      </c>
      <c r="B847" s="1" t="n">
        <v>45232</v>
      </c>
      <c r="C847" s="1" t="n">
        <v>45787</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54344-2023</t>
        </is>
      </c>
      <c r="B848" s="1" t="n">
        <v>45233</v>
      </c>
      <c r="C848" s="1" t="n">
        <v>45787</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54415-2023</t>
        </is>
      </c>
      <c r="B849" s="1" t="n">
        <v>45233</v>
      </c>
      <c r="C849" s="1" t="n">
        <v>45787</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54412-2023</t>
        </is>
      </c>
      <c r="B850" s="1" t="n">
        <v>45233</v>
      </c>
      <c r="C850" s="1" t="n">
        <v>45787</v>
      </c>
      <c r="D850" t="inlineStr">
        <is>
          <t>JÄMTLANDS LÄN</t>
        </is>
      </c>
      <c r="E850" t="inlineStr">
        <is>
          <t>BERG</t>
        </is>
      </c>
      <c r="G850" t="n">
        <v>10.7</v>
      </c>
      <c r="H850" t="n">
        <v>0</v>
      </c>
      <c r="I850" t="n">
        <v>0</v>
      </c>
      <c r="J850" t="n">
        <v>0</v>
      </c>
      <c r="K850" t="n">
        <v>0</v>
      </c>
      <c r="L850" t="n">
        <v>0</v>
      </c>
      <c r="M850" t="n">
        <v>0</v>
      </c>
      <c r="N850" t="n">
        <v>0</v>
      </c>
      <c r="O850" t="n">
        <v>0</v>
      </c>
      <c r="P850" t="n">
        <v>0</v>
      </c>
      <c r="Q850" t="n">
        <v>0</v>
      </c>
      <c r="R850" s="2" t="inlineStr"/>
    </row>
    <row r="851" ht="15" customHeight="1">
      <c r="A851" t="inlineStr">
        <is>
          <t>A 54751-2023</t>
        </is>
      </c>
      <c r="B851" s="1" t="n">
        <v>45236</v>
      </c>
      <c r="C851" s="1" t="n">
        <v>45787</v>
      </c>
      <c r="D851" t="inlineStr">
        <is>
          <t>JÄMTLANDS LÄN</t>
        </is>
      </c>
      <c r="E851" t="inlineStr">
        <is>
          <t>BERG</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54743-2023</t>
        </is>
      </c>
      <c r="B852" s="1" t="n">
        <v>45236</v>
      </c>
      <c r="C852" s="1" t="n">
        <v>45787</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54863-2023</t>
        </is>
      </c>
      <c r="B853" s="1" t="n">
        <v>45236</v>
      </c>
      <c r="C853" s="1" t="n">
        <v>45787</v>
      </c>
      <c r="D853" t="inlineStr">
        <is>
          <t>JÄMTLANDS LÄN</t>
        </is>
      </c>
      <c r="E853" t="inlineStr">
        <is>
          <t>BERG</t>
        </is>
      </c>
      <c r="G853" t="n">
        <v>3.3</v>
      </c>
      <c r="H853" t="n">
        <v>0</v>
      </c>
      <c r="I853" t="n">
        <v>0</v>
      </c>
      <c r="J853" t="n">
        <v>0</v>
      </c>
      <c r="K853" t="n">
        <v>0</v>
      </c>
      <c r="L853" t="n">
        <v>0</v>
      </c>
      <c r="M853" t="n">
        <v>0</v>
      </c>
      <c r="N853" t="n">
        <v>0</v>
      </c>
      <c r="O853" t="n">
        <v>0</v>
      </c>
      <c r="P853" t="n">
        <v>0</v>
      </c>
      <c r="Q853" t="n">
        <v>0</v>
      </c>
      <c r="R853" s="2" t="inlineStr"/>
    </row>
    <row r="854" ht="15" customHeight="1">
      <c r="A854" t="inlineStr">
        <is>
          <t>A 54991-2023</t>
        </is>
      </c>
      <c r="B854" s="1" t="n">
        <v>45237</v>
      </c>
      <c r="C854" s="1" t="n">
        <v>45787</v>
      </c>
      <c r="D854" t="inlineStr">
        <is>
          <t>JÄMTLANDS LÄN</t>
        </is>
      </c>
      <c r="E854" t="inlineStr">
        <is>
          <t>BERG</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54995-2023</t>
        </is>
      </c>
      <c r="B855" s="1" t="n">
        <v>45237</v>
      </c>
      <c r="C855" s="1" t="n">
        <v>45787</v>
      </c>
      <c r="D855" t="inlineStr">
        <is>
          <t>JÄMTLANDS LÄN</t>
        </is>
      </c>
      <c r="E855" t="inlineStr">
        <is>
          <t>BERG</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54834-2023</t>
        </is>
      </c>
      <c r="B856" s="1" t="n">
        <v>45236</v>
      </c>
      <c r="C856" s="1" t="n">
        <v>45787</v>
      </c>
      <c r="D856" t="inlineStr">
        <is>
          <t>JÄMTLANDS LÄN</t>
        </is>
      </c>
      <c r="E856" t="inlineStr">
        <is>
          <t>BERG</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54992-2023</t>
        </is>
      </c>
      <c r="B857" s="1" t="n">
        <v>45237</v>
      </c>
      <c r="C857" s="1" t="n">
        <v>45787</v>
      </c>
      <c r="D857" t="inlineStr">
        <is>
          <t>JÄMTLANDS LÄN</t>
        </is>
      </c>
      <c r="E857" t="inlineStr">
        <is>
          <t>BERG</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54994-2023</t>
        </is>
      </c>
      <c r="B858" s="1" t="n">
        <v>45237</v>
      </c>
      <c r="C858" s="1" t="n">
        <v>45787</v>
      </c>
      <c r="D858" t="inlineStr">
        <is>
          <t>JÄMTLANDS LÄN</t>
        </is>
      </c>
      <c r="E858" t="inlineStr">
        <is>
          <t>BERG</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45237</v>
      </c>
      <c r="C859" s="1" t="n">
        <v>45787</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54997-2023</t>
        </is>
      </c>
      <c r="B860" s="1" t="n">
        <v>45237</v>
      </c>
      <c r="C860" s="1" t="n">
        <v>45787</v>
      </c>
      <c r="D860" t="inlineStr">
        <is>
          <t>JÄMTLANDS LÄN</t>
        </is>
      </c>
      <c r="E860" t="inlineStr">
        <is>
          <t>BERG</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55001-2023</t>
        </is>
      </c>
      <c r="B861" s="1" t="n">
        <v>45237</v>
      </c>
      <c r="C861" s="1" t="n">
        <v>45787</v>
      </c>
      <c r="D861" t="inlineStr">
        <is>
          <t>JÄMTLANDS LÄN</t>
        </is>
      </c>
      <c r="E861" t="inlineStr">
        <is>
          <t>BERG</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55333-2023</t>
        </is>
      </c>
      <c r="B862" s="1" t="n">
        <v>45238</v>
      </c>
      <c r="C862" s="1" t="n">
        <v>45787</v>
      </c>
      <c r="D862" t="inlineStr">
        <is>
          <t>JÄMTLANDS LÄN</t>
        </is>
      </c>
      <c r="E862" t="inlineStr">
        <is>
          <t>BERG</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55334-2023</t>
        </is>
      </c>
      <c r="B863" s="1" t="n">
        <v>45238</v>
      </c>
      <c r="C863" s="1" t="n">
        <v>45787</v>
      </c>
      <c r="D863" t="inlineStr">
        <is>
          <t>JÄMTLANDS LÄN</t>
        </is>
      </c>
      <c r="E863" t="inlineStr">
        <is>
          <t>BERG</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55336-2023</t>
        </is>
      </c>
      <c r="B864" s="1" t="n">
        <v>45237</v>
      </c>
      <c r="C864" s="1" t="n">
        <v>45787</v>
      </c>
      <c r="D864" t="inlineStr">
        <is>
          <t>JÄMTLANDS LÄN</t>
        </is>
      </c>
      <c r="E864" t="inlineStr">
        <is>
          <t>BERG</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55594-2023</t>
        </is>
      </c>
      <c r="B865" s="1" t="n">
        <v>45238</v>
      </c>
      <c r="C865" s="1" t="n">
        <v>45787</v>
      </c>
      <c r="D865" t="inlineStr">
        <is>
          <t>JÄMTLANDS LÄN</t>
        </is>
      </c>
      <c r="E865" t="inlineStr">
        <is>
          <t>BERG</t>
        </is>
      </c>
      <c r="G865" t="n">
        <v>9.4</v>
      </c>
      <c r="H865" t="n">
        <v>0</v>
      </c>
      <c r="I865" t="n">
        <v>0</v>
      </c>
      <c r="J865" t="n">
        <v>0</v>
      </c>
      <c r="K865" t="n">
        <v>0</v>
      </c>
      <c r="L865" t="n">
        <v>0</v>
      </c>
      <c r="M865" t="n">
        <v>0</v>
      </c>
      <c r="N865" t="n">
        <v>0</v>
      </c>
      <c r="O865" t="n">
        <v>0</v>
      </c>
      <c r="P865" t="n">
        <v>0</v>
      </c>
      <c r="Q865" t="n">
        <v>0</v>
      </c>
      <c r="R865" s="2" t="inlineStr"/>
    </row>
    <row r="866" ht="15" customHeight="1">
      <c r="A866" t="inlineStr">
        <is>
          <t>A 56570-2023</t>
        </is>
      </c>
      <c r="B866" s="1" t="n">
        <v>45238</v>
      </c>
      <c r="C866" s="1" t="n">
        <v>45787</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57438-2023</t>
        </is>
      </c>
      <c r="B867" s="1" t="n">
        <v>45240</v>
      </c>
      <c r="C867" s="1" t="n">
        <v>45787</v>
      </c>
      <c r="D867" t="inlineStr">
        <is>
          <t>JÄMTLANDS LÄN</t>
        </is>
      </c>
      <c r="E867" t="inlineStr">
        <is>
          <t>BERG</t>
        </is>
      </c>
      <c r="G867" t="n">
        <v>5</v>
      </c>
      <c r="H867" t="n">
        <v>0</v>
      </c>
      <c r="I867" t="n">
        <v>0</v>
      </c>
      <c r="J867" t="n">
        <v>0</v>
      </c>
      <c r="K867" t="n">
        <v>0</v>
      </c>
      <c r="L867" t="n">
        <v>0</v>
      </c>
      <c r="M867" t="n">
        <v>0</v>
      </c>
      <c r="N867" t="n">
        <v>0</v>
      </c>
      <c r="O867" t="n">
        <v>0</v>
      </c>
      <c r="P867" t="n">
        <v>0</v>
      </c>
      <c r="Q867" t="n">
        <v>0</v>
      </c>
      <c r="R867" s="2" t="inlineStr"/>
    </row>
    <row r="868" ht="15" customHeight="1">
      <c r="A868" t="inlineStr">
        <is>
          <t>A 56255-2023</t>
        </is>
      </c>
      <c r="B868" s="1" t="n">
        <v>45240</v>
      </c>
      <c r="C868" s="1" t="n">
        <v>45787</v>
      </c>
      <c r="D868" t="inlineStr">
        <is>
          <t>JÄMTLANDS LÄN</t>
        </is>
      </c>
      <c r="E868" t="inlineStr">
        <is>
          <t>BERG</t>
        </is>
      </c>
      <c r="G868" t="n">
        <v>5.2</v>
      </c>
      <c r="H868" t="n">
        <v>0</v>
      </c>
      <c r="I868" t="n">
        <v>0</v>
      </c>
      <c r="J868" t="n">
        <v>0</v>
      </c>
      <c r="K868" t="n">
        <v>0</v>
      </c>
      <c r="L868" t="n">
        <v>0</v>
      </c>
      <c r="M868" t="n">
        <v>0</v>
      </c>
      <c r="N868" t="n">
        <v>0</v>
      </c>
      <c r="O868" t="n">
        <v>0</v>
      </c>
      <c r="P868" t="n">
        <v>0</v>
      </c>
      <c r="Q868" t="n">
        <v>0</v>
      </c>
      <c r="R868" s="2" t="inlineStr"/>
    </row>
    <row r="869" ht="15" customHeight="1">
      <c r="A869" t="inlineStr">
        <is>
          <t>A 56141-2023</t>
        </is>
      </c>
      <c r="B869" s="1" t="n">
        <v>45240</v>
      </c>
      <c r="C869" s="1" t="n">
        <v>45787</v>
      </c>
      <c r="D869" t="inlineStr">
        <is>
          <t>JÄMTLANDS LÄN</t>
        </is>
      </c>
      <c r="E869" t="inlineStr">
        <is>
          <t>BERG</t>
        </is>
      </c>
      <c r="G869" t="n">
        <v>1.6</v>
      </c>
      <c r="H869" t="n">
        <v>0</v>
      </c>
      <c r="I869" t="n">
        <v>0</v>
      </c>
      <c r="J869" t="n">
        <v>0</v>
      </c>
      <c r="K869" t="n">
        <v>0</v>
      </c>
      <c r="L869" t="n">
        <v>0</v>
      </c>
      <c r="M869" t="n">
        <v>0</v>
      </c>
      <c r="N869" t="n">
        <v>0</v>
      </c>
      <c r="O869" t="n">
        <v>0</v>
      </c>
      <c r="P869" t="n">
        <v>0</v>
      </c>
      <c r="Q869" t="n">
        <v>0</v>
      </c>
      <c r="R869" s="2" t="inlineStr"/>
    </row>
    <row r="870" ht="15" customHeight="1">
      <c r="A870" t="inlineStr">
        <is>
          <t>A 56125-2023</t>
        </is>
      </c>
      <c r="B870" s="1" t="n">
        <v>45240</v>
      </c>
      <c r="C870" s="1" t="n">
        <v>45787</v>
      </c>
      <c r="D870" t="inlineStr">
        <is>
          <t>JÄMTLANDS LÄN</t>
        </is>
      </c>
      <c r="E870" t="inlineStr">
        <is>
          <t>BERG</t>
        </is>
      </c>
      <c r="G870" t="n">
        <v>6.4</v>
      </c>
      <c r="H870" t="n">
        <v>0</v>
      </c>
      <c r="I870" t="n">
        <v>0</v>
      </c>
      <c r="J870" t="n">
        <v>0</v>
      </c>
      <c r="K870" t="n">
        <v>0</v>
      </c>
      <c r="L870" t="n">
        <v>0</v>
      </c>
      <c r="M870" t="n">
        <v>0</v>
      </c>
      <c r="N870" t="n">
        <v>0</v>
      </c>
      <c r="O870" t="n">
        <v>0</v>
      </c>
      <c r="P870" t="n">
        <v>0</v>
      </c>
      <c r="Q870" t="n">
        <v>0</v>
      </c>
      <c r="R870" s="2" t="inlineStr"/>
    </row>
    <row r="871" ht="15" customHeight="1">
      <c r="A871" t="inlineStr">
        <is>
          <t>A 57418-2023</t>
        </is>
      </c>
      <c r="B871" s="1" t="n">
        <v>45246</v>
      </c>
      <c r="C871" s="1" t="n">
        <v>45787</v>
      </c>
      <c r="D871" t="inlineStr">
        <is>
          <t>JÄMTLANDS LÄN</t>
        </is>
      </c>
      <c r="E871" t="inlineStr">
        <is>
          <t>BERG</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57790-2023</t>
        </is>
      </c>
      <c r="B872" s="1" t="n">
        <v>45247</v>
      </c>
      <c r="C872" s="1" t="n">
        <v>45787</v>
      </c>
      <c r="D872" t="inlineStr">
        <is>
          <t>JÄMTLANDS LÄN</t>
        </is>
      </c>
      <c r="E872" t="inlineStr">
        <is>
          <t>BERG</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58459-2023</t>
        </is>
      </c>
      <c r="B873" s="1" t="n">
        <v>45251</v>
      </c>
      <c r="C873" s="1" t="n">
        <v>45787</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58458-2023</t>
        </is>
      </c>
      <c r="B874" s="1" t="n">
        <v>45251</v>
      </c>
      <c r="C874" s="1" t="n">
        <v>45787</v>
      </c>
      <c r="D874" t="inlineStr">
        <is>
          <t>JÄMTLANDS LÄN</t>
        </is>
      </c>
      <c r="E874" t="inlineStr">
        <is>
          <t>BERG</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58770-2023</t>
        </is>
      </c>
      <c r="B875" s="1" t="n">
        <v>45252</v>
      </c>
      <c r="C875" s="1" t="n">
        <v>45787</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59080-2023</t>
        </is>
      </c>
      <c r="B876" s="1" t="n">
        <v>45252</v>
      </c>
      <c r="C876" s="1" t="n">
        <v>45787</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59082-2023</t>
        </is>
      </c>
      <c r="B877" s="1" t="n">
        <v>45252</v>
      </c>
      <c r="C877" s="1" t="n">
        <v>45787</v>
      </c>
      <c r="D877" t="inlineStr">
        <is>
          <t>JÄMTLANDS LÄN</t>
        </is>
      </c>
      <c r="E877" t="inlineStr">
        <is>
          <t>BERG</t>
        </is>
      </c>
      <c r="G877" t="n">
        <v>2.5</v>
      </c>
      <c r="H877" t="n">
        <v>0</v>
      </c>
      <c r="I877" t="n">
        <v>0</v>
      </c>
      <c r="J877" t="n">
        <v>0</v>
      </c>
      <c r="K877" t="n">
        <v>0</v>
      </c>
      <c r="L877" t="n">
        <v>0</v>
      </c>
      <c r="M877" t="n">
        <v>0</v>
      </c>
      <c r="N877" t="n">
        <v>0</v>
      </c>
      <c r="O877" t="n">
        <v>0</v>
      </c>
      <c r="P877" t="n">
        <v>0</v>
      </c>
      <c r="Q877" t="n">
        <v>0</v>
      </c>
      <c r="R877" s="2" t="inlineStr"/>
    </row>
    <row r="878" ht="15" customHeight="1">
      <c r="A878" t="inlineStr">
        <is>
          <t>A 59086-2023</t>
        </is>
      </c>
      <c r="B878" s="1" t="n">
        <v>45252</v>
      </c>
      <c r="C878" s="1" t="n">
        <v>45787</v>
      </c>
      <c r="D878" t="inlineStr">
        <is>
          <t>JÄMTLANDS LÄN</t>
        </is>
      </c>
      <c r="E878" t="inlineStr">
        <is>
          <t>BERG</t>
        </is>
      </c>
      <c r="G878" t="n">
        <v>14.6</v>
      </c>
      <c r="H878" t="n">
        <v>0</v>
      </c>
      <c r="I878" t="n">
        <v>0</v>
      </c>
      <c r="J878" t="n">
        <v>0</v>
      </c>
      <c r="K878" t="n">
        <v>0</v>
      </c>
      <c r="L878" t="n">
        <v>0</v>
      </c>
      <c r="M878" t="n">
        <v>0</v>
      </c>
      <c r="N878" t="n">
        <v>0</v>
      </c>
      <c r="O878" t="n">
        <v>0</v>
      </c>
      <c r="P878" t="n">
        <v>0</v>
      </c>
      <c r="Q878" t="n">
        <v>0</v>
      </c>
      <c r="R878" s="2" t="inlineStr"/>
    </row>
    <row r="879" ht="15" customHeight="1">
      <c r="A879" t="inlineStr">
        <is>
          <t>A 59085-2023</t>
        </is>
      </c>
      <c r="B879" s="1" t="n">
        <v>45252</v>
      </c>
      <c r="C879" s="1" t="n">
        <v>45787</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59087-2023</t>
        </is>
      </c>
      <c r="B880" s="1" t="n">
        <v>45252</v>
      </c>
      <c r="C880" s="1" t="n">
        <v>45787</v>
      </c>
      <c r="D880" t="inlineStr">
        <is>
          <t>JÄMTLANDS LÄN</t>
        </is>
      </c>
      <c r="E880" t="inlineStr">
        <is>
          <t>BERG</t>
        </is>
      </c>
      <c r="G880" t="n">
        <v>2.3</v>
      </c>
      <c r="H880" t="n">
        <v>0</v>
      </c>
      <c r="I880" t="n">
        <v>0</v>
      </c>
      <c r="J880" t="n">
        <v>0</v>
      </c>
      <c r="K880" t="n">
        <v>0</v>
      </c>
      <c r="L880" t="n">
        <v>0</v>
      </c>
      <c r="M880" t="n">
        <v>0</v>
      </c>
      <c r="N880" t="n">
        <v>0</v>
      </c>
      <c r="O880" t="n">
        <v>0</v>
      </c>
      <c r="P880" t="n">
        <v>0</v>
      </c>
      <c r="Q880" t="n">
        <v>0</v>
      </c>
      <c r="R880" s="2" t="inlineStr"/>
    </row>
    <row r="881" ht="15" customHeight="1">
      <c r="A881" t="inlineStr">
        <is>
          <t>A 59091-2023</t>
        </is>
      </c>
      <c r="B881" s="1" t="n">
        <v>45253</v>
      </c>
      <c r="C881" s="1" t="n">
        <v>45787</v>
      </c>
      <c r="D881" t="inlineStr">
        <is>
          <t>JÄMTLANDS LÄN</t>
        </is>
      </c>
      <c r="E881" t="inlineStr">
        <is>
          <t>BERG</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59407-2023</t>
        </is>
      </c>
      <c r="B882" s="1" t="n">
        <v>45253</v>
      </c>
      <c r="C882" s="1" t="n">
        <v>45787</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59415-2023</t>
        </is>
      </c>
      <c r="B883" s="1" t="n">
        <v>45254</v>
      </c>
      <c r="C883" s="1" t="n">
        <v>45787</v>
      </c>
      <c r="D883" t="inlineStr">
        <is>
          <t>JÄMTLANDS LÄN</t>
        </is>
      </c>
      <c r="E883" t="inlineStr">
        <is>
          <t>BERG</t>
        </is>
      </c>
      <c r="G883" t="n">
        <v>3.7</v>
      </c>
      <c r="H883" t="n">
        <v>0</v>
      </c>
      <c r="I883" t="n">
        <v>0</v>
      </c>
      <c r="J883" t="n">
        <v>0</v>
      </c>
      <c r="K883" t="n">
        <v>0</v>
      </c>
      <c r="L883" t="n">
        <v>0</v>
      </c>
      <c r="M883" t="n">
        <v>0</v>
      </c>
      <c r="N883" t="n">
        <v>0</v>
      </c>
      <c r="O883" t="n">
        <v>0</v>
      </c>
      <c r="P883" t="n">
        <v>0</v>
      </c>
      <c r="Q883" t="n">
        <v>0</v>
      </c>
      <c r="R883" s="2" t="inlineStr"/>
    </row>
    <row r="884" ht="15" customHeight="1">
      <c r="A884" t="inlineStr">
        <is>
          <t>A 59656-2023</t>
        </is>
      </c>
      <c r="B884" s="1" t="n">
        <v>45255</v>
      </c>
      <c r="C884" s="1" t="n">
        <v>45787</v>
      </c>
      <c r="D884" t="inlineStr">
        <is>
          <t>JÄMTLANDS LÄN</t>
        </is>
      </c>
      <c r="E884" t="inlineStr">
        <is>
          <t>BERG</t>
        </is>
      </c>
      <c r="G884" t="n">
        <v>6.5</v>
      </c>
      <c r="H884" t="n">
        <v>0</v>
      </c>
      <c r="I884" t="n">
        <v>0</v>
      </c>
      <c r="J884" t="n">
        <v>0</v>
      </c>
      <c r="K884" t="n">
        <v>0</v>
      </c>
      <c r="L884" t="n">
        <v>0</v>
      </c>
      <c r="M884" t="n">
        <v>0</v>
      </c>
      <c r="N884" t="n">
        <v>0</v>
      </c>
      <c r="O884" t="n">
        <v>0</v>
      </c>
      <c r="P884" t="n">
        <v>0</v>
      </c>
      <c r="Q884" t="n">
        <v>0</v>
      </c>
      <c r="R884" s="2" t="inlineStr"/>
    </row>
    <row r="885" ht="15" customHeight="1">
      <c r="A885" t="inlineStr">
        <is>
          <t>A 60065-2023</t>
        </is>
      </c>
      <c r="B885" s="1" t="n">
        <v>45258</v>
      </c>
      <c r="C885" s="1" t="n">
        <v>45787</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60337-2023</t>
        </is>
      </c>
      <c r="B886" s="1" t="n">
        <v>45258</v>
      </c>
      <c r="C886" s="1" t="n">
        <v>45787</v>
      </c>
      <c r="D886" t="inlineStr">
        <is>
          <t>JÄMTLANDS LÄN</t>
        </is>
      </c>
      <c r="E886" t="inlineStr">
        <is>
          <t>BERG</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60331-2023</t>
        </is>
      </c>
      <c r="B887" s="1" t="n">
        <v>45258</v>
      </c>
      <c r="C887" s="1" t="n">
        <v>45787</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60407-2023</t>
        </is>
      </c>
      <c r="B888" s="1" t="n">
        <v>45259</v>
      </c>
      <c r="C888" s="1" t="n">
        <v>45787</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60404-2023</t>
        </is>
      </c>
      <c r="B889" s="1" t="n">
        <v>45259</v>
      </c>
      <c r="C889" s="1" t="n">
        <v>45787</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60405-2023</t>
        </is>
      </c>
      <c r="B890" s="1" t="n">
        <v>45259</v>
      </c>
      <c r="C890" s="1" t="n">
        <v>45787</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60409-2023</t>
        </is>
      </c>
      <c r="B891" s="1" t="n">
        <v>45259</v>
      </c>
      <c r="C891" s="1" t="n">
        <v>45787</v>
      </c>
      <c r="D891" t="inlineStr">
        <is>
          <t>JÄMTLANDS LÄN</t>
        </is>
      </c>
      <c r="E891" t="inlineStr">
        <is>
          <t>BERG</t>
        </is>
      </c>
      <c r="G891" t="n">
        <v>5.8</v>
      </c>
      <c r="H891" t="n">
        <v>0</v>
      </c>
      <c r="I891" t="n">
        <v>0</v>
      </c>
      <c r="J891" t="n">
        <v>0</v>
      </c>
      <c r="K891" t="n">
        <v>0</v>
      </c>
      <c r="L891" t="n">
        <v>0</v>
      </c>
      <c r="M891" t="n">
        <v>0</v>
      </c>
      <c r="N891" t="n">
        <v>0</v>
      </c>
      <c r="O891" t="n">
        <v>0</v>
      </c>
      <c r="P891" t="n">
        <v>0</v>
      </c>
      <c r="Q891" t="n">
        <v>0</v>
      </c>
      <c r="R891" s="2" t="inlineStr"/>
    </row>
    <row r="892" ht="15" customHeight="1">
      <c r="A892" t="inlineStr">
        <is>
          <t>A 60422-2023</t>
        </is>
      </c>
      <c r="B892" s="1" t="n">
        <v>45259</v>
      </c>
      <c r="C892" s="1" t="n">
        <v>45787</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61019-2023</t>
        </is>
      </c>
      <c r="B893" s="1" t="n">
        <v>45259</v>
      </c>
      <c r="C893" s="1" t="n">
        <v>45787</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60956-2023</t>
        </is>
      </c>
      <c r="B894" s="1" t="n">
        <v>45259</v>
      </c>
      <c r="C894" s="1" t="n">
        <v>45787</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61026-2023</t>
        </is>
      </c>
      <c r="B895" s="1" t="n">
        <v>45259</v>
      </c>
      <c r="C895" s="1" t="n">
        <v>45787</v>
      </c>
      <c r="D895" t="inlineStr">
        <is>
          <t>JÄMTLANDS LÄN</t>
        </is>
      </c>
      <c r="E895" t="inlineStr">
        <is>
          <t>BERG</t>
        </is>
      </c>
      <c r="G895" t="n">
        <v>2.8</v>
      </c>
      <c r="H895" t="n">
        <v>0</v>
      </c>
      <c r="I895" t="n">
        <v>0</v>
      </c>
      <c r="J895" t="n">
        <v>0</v>
      </c>
      <c r="K895" t="n">
        <v>0</v>
      </c>
      <c r="L895" t="n">
        <v>0</v>
      </c>
      <c r="M895" t="n">
        <v>0</v>
      </c>
      <c r="N895" t="n">
        <v>0</v>
      </c>
      <c r="O895" t="n">
        <v>0</v>
      </c>
      <c r="P895" t="n">
        <v>0</v>
      </c>
      <c r="Q895" t="n">
        <v>0</v>
      </c>
      <c r="R895" s="2" t="inlineStr"/>
    </row>
    <row r="896" ht="15" customHeight="1">
      <c r="A896" t="inlineStr">
        <is>
          <t>A 60847-2023</t>
        </is>
      </c>
      <c r="B896" s="1" t="n">
        <v>45260</v>
      </c>
      <c r="C896" s="1" t="n">
        <v>45787</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61015-2023</t>
        </is>
      </c>
      <c r="B897" s="1" t="n">
        <v>45260</v>
      </c>
      <c r="C897" s="1" t="n">
        <v>45787</v>
      </c>
      <c r="D897" t="inlineStr">
        <is>
          <t>JÄMTLANDS LÄN</t>
        </is>
      </c>
      <c r="E897" t="inlineStr">
        <is>
          <t>BERG</t>
        </is>
      </c>
      <c r="G897" t="n">
        <v>2.2</v>
      </c>
      <c r="H897" t="n">
        <v>0</v>
      </c>
      <c r="I897" t="n">
        <v>0</v>
      </c>
      <c r="J897" t="n">
        <v>0</v>
      </c>
      <c r="K897" t="n">
        <v>0</v>
      </c>
      <c r="L897" t="n">
        <v>0</v>
      </c>
      <c r="M897" t="n">
        <v>0</v>
      </c>
      <c r="N897" t="n">
        <v>0</v>
      </c>
      <c r="O897" t="n">
        <v>0</v>
      </c>
      <c r="P897" t="n">
        <v>0</v>
      </c>
      <c r="Q897" t="n">
        <v>0</v>
      </c>
      <c r="R897" s="2" t="inlineStr"/>
    </row>
    <row r="898" ht="15" customHeight="1">
      <c r="A898" t="inlineStr">
        <is>
          <t>A 61493-2023</t>
        </is>
      </c>
      <c r="B898" s="1" t="n">
        <v>45264</v>
      </c>
      <c r="C898" s="1" t="n">
        <v>45787</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61887-2023</t>
        </is>
      </c>
      <c r="B899" s="1" t="n">
        <v>45264</v>
      </c>
      <c r="C899" s="1" t="n">
        <v>45787</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61839-2023</t>
        </is>
      </c>
      <c r="B900" s="1" t="n">
        <v>45264</v>
      </c>
      <c r="C900" s="1" t="n">
        <v>45787</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61834-2023</t>
        </is>
      </c>
      <c r="B901" s="1" t="n">
        <v>45264</v>
      </c>
      <c r="C901" s="1" t="n">
        <v>45787</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61837-2023</t>
        </is>
      </c>
      <c r="B902" s="1" t="n">
        <v>45264</v>
      </c>
      <c r="C902" s="1" t="n">
        <v>45787</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61870-2023</t>
        </is>
      </c>
      <c r="B903" s="1" t="n">
        <v>45264</v>
      </c>
      <c r="C903" s="1" t="n">
        <v>45787</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61789-2023</t>
        </is>
      </c>
      <c r="B904" s="1" t="n">
        <v>45265</v>
      </c>
      <c r="C904" s="1" t="n">
        <v>45787</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61977-2023</t>
        </is>
      </c>
      <c r="B905" s="1" t="n">
        <v>45265</v>
      </c>
      <c r="C905" s="1" t="n">
        <v>45787</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61788-2023</t>
        </is>
      </c>
      <c r="B906" s="1" t="n">
        <v>45265</v>
      </c>
      <c r="C906" s="1" t="n">
        <v>45787</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61966-2023</t>
        </is>
      </c>
      <c r="B907" s="1" t="n">
        <v>45266</v>
      </c>
      <c r="C907" s="1" t="n">
        <v>45787</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61974-2023</t>
        </is>
      </c>
      <c r="B908" s="1" t="n">
        <v>45266</v>
      </c>
      <c r="C908" s="1" t="n">
        <v>45787</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62104-2023</t>
        </is>
      </c>
      <c r="B909" s="1" t="n">
        <v>45266</v>
      </c>
      <c r="C909" s="1" t="n">
        <v>45787</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62105-2023</t>
        </is>
      </c>
      <c r="B910" s="1" t="n">
        <v>45266</v>
      </c>
      <c r="C910" s="1" t="n">
        <v>45787</v>
      </c>
      <c r="D910" t="inlineStr">
        <is>
          <t>JÄMTLANDS LÄN</t>
        </is>
      </c>
      <c r="E910" t="inlineStr">
        <is>
          <t>BERG</t>
        </is>
      </c>
      <c r="F910" t="inlineStr">
        <is>
          <t>SCA</t>
        </is>
      </c>
      <c r="G910" t="n">
        <v>13.1</v>
      </c>
      <c r="H910" t="n">
        <v>0</v>
      </c>
      <c r="I910" t="n">
        <v>0</v>
      </c>
      <c r="J910" t="n">
        <v>0</v>
      </c>
      <c r="K910" t="n">
        <v>0</v>
      </c>
      <c r="L910" t="n">
        <v>0</v>
      </c>
      <c r="M910" t="n">
        <v>0</v>
      </c>
      <c r="N910" t="n">
        <v>0</v>
      </c>
      <c r="O910" t="n">
        <v>0</v>
      </c>
      <c r="P910" t="n">
        <v>0</v>
      </c>
      <c r="Q910" t="n">
        <v>0</v>
      </c>
      <c r="R910" s="2" t="inlineStr"/>
    </row>
    <row r="911" ht="15" customHeight="1">
      <c r="A911" t="inlineStr">
        <is>
          <t>A 62299-2023</t>
        </is>
      </c>
      <c r="B911" s="1" t="n">
        <v>45266</v>
      </c>
      <c r="C911" s="1" t="n">
        <v>45787</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62352-2023</t>
        </is>
      </c>
      <c r="B912" s="1" t="n">
        <v>45267</v>
      </c>
      <c r="C912" s="1" t="n">
        <v>45787</v>
      </c>
      <c r="D912" t="inlineStr">
        <is>
          <t>JÄMTLANDS LÄN</t>
        </is>
      </c>
      <c r="E912" t="inlineStr">
        <is>
          <t>BERG</t>
        </is>
      </c>
      <c r="G912" t="n">
        <v>15.6</v>
      </c>
      <c r="H912" t="n">
        <v>0</v>
      </c>
      <c r="I912" t="n">
        <v>0</v>
      </c>
      <c r="J912" t="n">
        <v>0</v>
      </c>
      <c r="K912" t="n">
        <v>0</v>
      </c>
      <c r="L912" t="n">
        <v>0</v>
      </c>
      <c r="M912" t="n">
        <v>0</v>
      </c>
      <c r="N912" t="n">
        <v>0</v>
      </c>
      <c r="O912" t="n">
        <v>0</v>
      </c>
      <c r="P912" t="n">
        <v>0</v>
      </c>
      <c r="Q912" t="n">
        <v>0</v>
      </c>
      <c r="R912" s="2" t="inlineStr"/>
    </row>
    <row r="913" ht="15" customHeight="1">
      <c r="A913" t="inlineStr">
        <is>
          <t>A 62360-2023</t>
        </is>
      </c>
      <c r="B913" s="1" t="n">
        <v>45267</v>
      </c>
      <c r="C913" s="1" t="n">
        <v>45787</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62555-2023</t>
        </is>
      </c>
      <c r="B914" s="1" t="n">
        <v>45268</v>
      </c>
      <c r="C914" s="1" t="n">
        <v>45787</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62564-2023</t>
        </is>
      </c>
      <c r="B915" s="1" t="n">
        <v>45268</v>
      </c>
      <c r="C915" s="1" t="n">
        <v>45787</v>
      </c>
      <c r="D915" t="inlineStr">
        <is>
          <t>JÄMTLANDS LÄN</t>
        </is>
      </c>
      <c r="E915" t="inlineStr">
        <is>
          <t>BERG</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62554-2023</t>
        </is>
      </c>
      <c r="B916" s="1" t="n">
        <v>45268</v>
      </c>
      <c r="C916" s="1" t="n">
        <v>45787</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62836-2023</t>
        </is>
      </c>
      <c r="B917" s="1" t="n">
        <v>45271</v>
      </c>
      <c r="C917" s="1" t="n">
        <v>45787</v>
      </c>
      <c r="D917" t="inlineStr">
        <is>
          <t>JÄMTLANDS LÄN</t>
        </is>
      </c>
      <c r="E917" t="inlineStr">
        <is>
          <t>BERG</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62837-2023</t>
        </is>
      </c>
      <c r="B918" s="1" t="n">
        <v>45271</v>
      </c>
      <c r="C918" s="1" t="n">
        <v>45787</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63063-2023</t>
        </is>
      </c>
      <c r="B919" s="1" t="n">
        <v>45272</v>
      </c>
      <c r="C919" s="1" t="n">
        <v>45787</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63605-2023</t>
        </is>
      </c>
      <c r="B920" s="1" t="n">
        <v>45275</v>
      </c>
      <c r="C920" s="1" t="n">
        <v>45787</v>
      </c>
      <c r="D920" t="inlineStr">
        <is>
          <t>JÄMTLANDS LÄN</t>
        </is>
      </c>
      <c r="E920" t="inlineStr">
        <is>
          <t>BERG</t>
        </is>
      </c>
      <c r="G920" t="n">
        <v>10.1</v>
      </c>
      <c r="H920" t="n">
        <v>0</v>
      </c>
      <c r="I920" t="n">
        <v>0</v>
      </c>
      <c r="J920" t="n">
        <v>0</v>
      </c>
      <c r="K920" t="n">
        <v>0</v>
      </c>
      <c r="L920" t="n">
        <v>0</v>
      </c>
      <c r="M920" t="n">
        <v>0</v>
      </c>
      <c r="N920" t="n">
        <v>0</v>
      </c>
      <c r="O920" t="n">
        <v>0</v>
      </c>
      <c r="P920" t="n">
        <v>0</v>
      </c>
      <c r="Q920" t="n">
        <v>0</v>
      </c>
      <c r="R920" s="2" t="inlineStr"/>
    </row>
    <row r="921" ht="15" customHeight="1">
      <c r="A921" t="inlineStr">
        <is>
          <t>A 63670-2023</t>
        </is>
      </c>
      <c r="B921" s="1" t="n">
        <v>45275</v>
      </c>
      <c r="C921" s="1" t="n">
        <v>45787</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63819-2023</t>
        </is>
      </c>
      <c r="B922" s="1" t="n">
        <v>45278</v>
      </c>
      <c r="C922" s="1" t="n">
        <v>45787</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64012-2023</t>
        </is>
      </c>
      <c r="B923" s="1" t="n">
        <v>45278</v>
      </c>
      <c r="C923" s="1" t="n">
        <v>45787</v>
      </c>
      <c r="D923" t="inlineStr">
        <is>
          <t>JÄMTLANDS LÄN</t>
        </is>
      </c>
      <c r="E923" t="inlineStr">
        <is>
          <t>BERG</t>
        </is>
      </c>
      <c r="G923" t="n">
        <v>5.9</v>
      </c>
      <c r="H923" t="n">
        <v>0</v>
      </c>
      <c r="I923" t="n">
        <v>0</v>
      </c>
      <c r="J923" t="n">
        <v>0</v>
      </c>
      <c r="K923" t="n">
        <v>0</v>
      </c>
      <c r="L923" t="n">
        <v>0</v>
      </c>
      <c r="M923" t="n">
        <v>0</v>
      </c>
      <c r="N923" t="n">
        <v>0</v>
      </c>
      <c r="O923" t="n">
        <v>0</v>
      </c>
      <c r="P923" t="n">
        <v>0</v>
      </c>
      <c r="Q923" t="n">
        <v>0</v>
      </c>
      <c r="R923" s="2" t="inlineStr"/>
    </row>
    <row r="924" ht="15" customHeight="1">
      <c r="A924" t="inlineStr">
        <is>
          <t>A 64016-2023</t>
        </is>
      </c>
      <c r="B924" s="1" t="n">
        <v>45278</v>
      </c>
      <c r="C924" s="1" t="n">
        <v>45787</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64020-2023</t>
        </is>
      </c>
      <c r="B925" s="1" t="n">
        <v>45278</v>
      </c>
      <c r="C925" s="1" t="n">
        <v>45787</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64011-2023</t>
        </is>
      </c>
      <c r="B926" s="1" t="n">
        <v>45278</v>
      </c>
      <c r="C926" s="1" t="n">
        <v>45787</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64100-2023</t>
        </is>
      </c>
      <c r="B927" s="1" t="n">
        <v>45279</v>
      </c>
      <c r="C927" s="1" t="n">
        <v>45787</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64234-2023</t>
        </is>
      </c>
      <c r="B928" s="1" t="n">
        <v>45279</v>
      </c>
      <c r="C928" s="1" t="n">
        <v>45787</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64246-2023</t>
        </is>
      </c>
      <c r="B929" s="1" t="n">
        <v>45279</v>
      </c>
      <c r="C929" s="1" t="n">
        <v>45787</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64250-2023</t>
        </is>
      </c>
      <c r="B930" s="1" t="n">
        <v>45279</v>
      </c>
      <c r="C930" s="1" t="n">
        <v>45787</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64245-2023</t>
        </is>
      </c>
      <c r="B931" s="1" t="n">
        <v>45279</v>
      </c>
      <c r="C931" s="1" t="n">
        <v>45787</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64249-2023</t>
        </is>
      </c>
      <c r="B932" s="1" t="n">
        <v>45279</v>
      </c>
      <c r="C932" s="1" t="n">
        <v>45787</v>
      </c>
      <c r="D932" t="inlineStr">
        <is>
          <t>JÄMTLANDS LÄN</t>
        </is>
      </c>
      <c r="E932" t="inlineStr">
        <is>
          <t>BERG</t>
        </is>
      </c>
      <c r="G932" t="n">
        <v>5.1</v>
      </c>
      <c r="H932" t="n">
        <v>0</v>
      </c>
      <c r="I932" t="n">
        <v>0</v>
      </c>
      <c r="J932" t="n">
        <v>0</v>
      </c>
      <c r="K932" t="n">
        <v>0</v>
      </c>
      <c r="L932" t="n">
        <v>0</v>
      </c>
      <c r="M932" t="n">
        <v>0</v>
      </c>
      <c r="N932" t="n">
        <v>0</v>
      </c>
      <c r="O932" t="n">
        <v>0</v>
      </c>
      <c r="P932" t="n">
        <v>0</v>
      </c>
      <c r="Q932" t="n">
        <v>0</v>
      </c>
      <c r="R932" s="2" t="inlineStr"/>
    </row>
    <row r="933" ht="15" customHeight="1">
      <c r="A933" t="inlineStr">
        <is>
          <t>A 64235-2023</t>
        </is>
      </c>
      <c r="B933" s="1" t="n">
        <v>45279</v>
      </c>
      <c r="C933" s="1" t="n">
        <v>45787</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64247-2023</t>
        </is>
      </c>
      <c r="B934" s="1" t="n">
        <v>45279</v>
      </c>
      <c r="C934" s="1" t="n">
        <v>45787</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64251-2023</t>
        </is>
      </c>
      <c r="B935" s="1" t="n">
        <v>45279</v>
      </c>
      <c r="C935" s="1" t="n">
        <v>45787</v>
      </c>
      <c r="D935" t="inlineStr">
        <is>
          <t>JÄMTLANDS LÄN</t>
        </is>
      </c>
      <c r="E935" t="inlineStr">
        <is>
          <t>BERG</t>
        </is>
      </c>
      <c r="G935" t="n">
        <v>0.4</v>
      </c>
      <c r="H935" t="n">
        <v>0</v>
      </c>
      <c r="I935" t="n">
        <v>0</v>
      </c>
      <c r="J935" t="n">
        <v>0</v>
      </c>
      <c r="K935" t="n">
        <v>0</v>
      </c>
      <c r="L935" t="n">
        <v>0</v>
      </c>
      <c r="M935" t="n">
        <v>0</v>
      </c>
      <c r="N935" t="n">
        <v>0</v>
      </c>
      <c r="O935" t="n">
        <v>0</v>
      </c>
      <c r="P935" t="n">
        <v>0</v>
      </c>
      <c r="Q935" t="n">
        <v>0</v>
      </c>
      <c r="R935" s="2" t="inlineStr"/>
    </row>
    <row r="936" ht="15" customHeight="1">
      <c r="A936" t="inlineStr">
        <is>
          <t>A 64236-2023</t>
        </is>
      </c>
      <c r="B936" s="1" t="n">
        <v>45279</v>
      </c>
      <c r="C936" s="1" t="n">
        <v>45787</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64244-2023</t>
        </is>
      </c>
      <c r="B937" s="1" t="n">
        <v>45279</v>
      </c>
      <c r="C937" s="1" t="n">
        <v>45787</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64248-2023</t>
        </is>
      </c>
      <c r="B938" s="1" t="n">
        <v>45279</v>
      </c>
      <c r="C938" s="1" t="n">
        <v>45787</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64488-2023</t>
        </is>
      </c>
      <c r="B939" s="1" t="n">
        <v>45280</v>
      </c>
      <c r="C939" s="1" t="n">
        <v>45787</v>
      </c>
      <c r="D939" t="inlineStr">
        <is>
          <t>JÄMTLANDS LÄN</t>
        </is>
      </c>
      <c r="E939" t="inlineStr">
        <is>
          <t>BERG</t>
        </is>
      </c>
      <c r="F939" t="inlineStr">
        <is>
          <t>Övriga Aktiebolag</t>
        </is>
      </c>
      <c r="G939" t="n">
        <v>7.1</v>
      </c>
      <c r="H939" t="n">
        <v>0</v>
      </c>
      <c r="I939" t="n">
        <v>0</v>
      </c>
      <c r="J939" t="n">
        <v>0</v>
      </c>
      <c r="K939" t="n">
        <v>0</v>
      </c>
      <c r="L939" t="n">
        <v>0</v>
      </c>
      <c r="M939" t="n">
        <v>0</v>
      </c>
      <c r="N939" t="n">
        <v>0</v>
      </c>
      <c r="O939" t="n">
        <v>0</v>
      </c>
      <c r="P939" t="n">
        <v>0</v>
      </c>
      <c r="Q939" t="n">
        <v>0</v>
      </c>
      <c r="R939" s="2" t="inlineStr"/>
    </row>
    <row r="940" ht="15" customHeight="1">
      <c r="A940" t="inlineStr">
        <is>
          <t>A 64486-2023</t>
        </is>
      </c>
      <c r="B940" s="1" t="n">
        <v>45280</v>
      </c>
      <c r="C940" s="1" t="n">
        <v>45787</v>
      </c>
      <c r="D940" t="inlineStr">
        <is>
          <t>JÄMTLANDS LÄN</t>
        </is>
      </c>
      <c r="E940" t="inlineStr">
        <is>
          <t>BERG</t>
        </is>
      </c>
      <c r="G940" t="n">
        <v>2</v>
      </c>
      <c r="H940" t="n">
        <v>0</v>
      </c>
      <c r="I940" t="n">
        <v>0</v>
      </c>
      <c r="J940" t="n">
        <v>0</v>
      </c>
      <c r="K940" t="n">
        <v>0</v>
      </c>
      <c r="L940" t="n">
        <v>0</v>
      </c>
      <c r="M940" t="n">
        <v>0</v>
      </c>
      <c r="N940" t="n">
        <v>0</v>
      </c>
      <c r="O940" t="n">
        <v>0</v>
      </c>
      <c r="P940" t="n">
        <v>0</v>
      </c>
      <c r="Q940" t="n">
        <v>0</v>
      </c>
      <c r="R940" s="2" t="inlineStr"/>
    </row>
    <row r="941" ht="15" customHeight="1">
      <c r="A941" t="inlineStr">
        <is>
          <t>A 64490-2023</t>
        </is>
      </c>
      <c r="B941" s="1" t="n">
        <v>45280</v>
      </c>
      <c r="C941" s="1" t="n">
        <v>45787</v>
      </c>
      <c r="D941" t="inlineStr">
        <is>
          <t>JÄMTLANDS LÄN</t>
        </is>
      </c>
      <c r="E941" t="inlineStr">
        <is>
          <t>BERG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64487-2023</t>
        </is>
      </c>
      <c r="B942" s="1" t="n">
        <v>45280</v>
      </c>
      <c r="C942" s="1" t="n">
        <v>45787</v>
      </c>
      <c r="D942" t="inlineStr">
        <is>
          <t>JÄMTLANDS LÄN</t>
        </is>
      </c>
      <c r="E942" t="inlineStr">
        <is>
          <t>BERG</t>
        </is>
      </c>
      <c r="F942" t="inlineStr">
        <is>
          <t>Övriga Aktiebolag</t>
        </is>
      </c>
      <c r="G942" t="n">
        <v>7.6</v>
      </c>
      <c r="H942" t="n">
        <v>0</v>
      </c>
      <c r="I942" t="n">
        <v>0</v>
      </c>
      <c r="J942" t="n">
        <v>0</v>
      </c>
      <c r="K942" t="n">
        <v>0</v>
      </c>
      <c r="L942" t="n">
        <v>0</v>
      </c>
      <c r="M942" t="n">
        <v>0</v>
      </c>
      <c r="N942" t="n">
        <v>0</v>
      </c>
      <c r="O942" t="n">
        <v>0</v>
      </c>
      <c r="P942" t="n">
        <v>0</v>
      </c>
      <c r="Q942" t="n">
        <v>0</v>
      </c>
      <c r="R942" s="2" t="inlineStr"/>
    </row>
    <row r="943" ht="15" customHeight="1">
      <c r="A943" t="inlineStr">
        <is>
          <t>A 64489-2023</t>
        </is>
      </c>
      <c r="B943" s="1" t="n">
        <v>45280</v>
      </c>
      <c r="C943" s="1" t="n">
        <v>45787</v>
      </c>
      <c r="D943" t="inlineStr">
        <is>
          <t>JÄMTLANDS LÄN</t>
        </is>
      </c>
      <c r="E943" t="inlineStr">
        <is>
          <t>BERG</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64752-2023</t>
        </is>
      </c>
      <c r="B944" s="1" t="n">
        <v>45281</v>
      </c>
      <c r="C944" s="1" t="n">
        <v>45787</v>
      </c>
      <c r="D944" t="inlineStr">
        <is>
          <t>JÄMTLANDS LÄN</t>
        </is>
      </c>
      <c r="E944" t="inlineStr">
        <is>
          <t>BERG</t>
        </is>
      </c>
      <c r="F944" t="inlineStr">
        <is>
          <t>Övriga Aktiebolag</t>
        </is>
      </c>
      <c r="G944" t="n">
        <v>3.4</v>
      </c>
      <c r="H944" t="n">
        <v>0</v>
      </c>
      <c r="I944" t="n">
        <v>0</v>
      </c>
      <c r="J944" t="n">
        <v>0</v>
      </c>
      <c r="K944" t="n">
        <v>0</v>
      </c>
      <c r="L944" t="n">
        <v>0</v>
      </c>
      <c r="M944" t="n">
        <v>0</v>
      </c>
      <c r="N944" t="n">
        <v>0</v>
      </c>
      <c r="O944" t="n">
        <v>0</v>
      </c>
      <c r="P944" t="n">
        <v>0</v>
      </c>
      <c r="Q944" t="n">
        <v>0</v>
      </c>
      <c r="R944" s="2" t="inlineStr"/>
    </row>
    <row r="945" ht="15" customHeight="1">
      <c r="A945" t="inlineStr">
        <is>
          <t>A 64955-2023</t>
        </is>
      </c>
      <c r="B945" s="1" t="n">
        <v>45282</v>
      </c>
      <c r="C945" s="1" t="n">
        <v>45787</v>
      </c>
      <c r="D945" t="inlineStr">
        <is>
          <t>JÄMTLANDS LÄN</t>
        </is>
      </c>
      <c r="E945" t="inlineStr">
        <is>
          <t>BERG</t>
        </is>
      </c>
      <c r="G945" t="n">
        <v>3.4</v>
      </c>
      <c r="H945" t="n">
        <v>0</v>
      </c>
      <c r="I945" t="n">
        <v>0</v>
      </c>
      <c r="J945" t="n">
        <v>0</v>
      </c>
      <c r="K945" t="n">
        <v>0</v>
      </c>
      <c r="L945" t="n">
        <v>0</v>
      </c>
      <c r="M945" t="n">
        <v>0</v>
      </c>
      <c r="N945" t="n">
        <v>0</v>
      </c>
      <c r="O945" t="n">
        <v>0</v>
      </c>
      <c r="P945" t="n">
        <v>0</v>
      </c>
      <c r="Q945" t="n">
        <v>0</v>
      </c>
      <c r="R945" s="2" t="inlineStr"/>
    </row>
    <row r="946" ht="15" customHeight="1">
      <c r="A946" t="inlineStr">
        <is>
          <t>A 64957-2023</t>
        </is>
      </c>
      <c r="B946" s="1" t="n">
        <v>45282</v>
      </c>
      <c r="C946" s="1" t="n">
        <v>45787</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64956-2023</t>
        </is>
      </c>
      <c r="B947" s="1" t="n">
        <v>45282</v>
      </c>
      <c r="C947" s="1" t="n">
        <v>45787</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65205-2023</t>
        </is>
      </c>
      <c r="B948" s="1" t="n">
        <v>45289</v>
      </c>
      <c r="C948" s="1" t="n">
        <v>45787</v>
      </c>
      <c r="D948" t="inlineStr">
        <is>
          <t>JÄMTLANDS LÄN</t>
        </is>
      </c>
      <c r="E948" t="inlineStr">
        <is>
          <t>BERG</t>
        </is>
      </c>
      <c r="G948" t="n">
        <v>4.3</v>
      </c>
      <c r="H948" t="n">
        <v>0</v>
      </c>
      <c r="I948" t="n">
        <v>0</v>
      </c>
      <c r="J948" t="n">
        <v>0</v>
      </c>
      <c r="K948" t="n">
        <v>0</v>
      </c>
      <c r="L948" t="n">
        <v>0</v>
      </c>
      <c r="M948" t="n">
        <v>0</v>
      </c>
      <c r="N948" t="n">
        <v>0</v>
      </c>
      <c r="O948" t="n">
        <v>0</v>
      </c>
      <c r="P948" t="n">
        <v>0</v>
      </c>
      <c r="Q948" t="n">
        <v>0</v>
      </c>
      <c r="R948" s="2" t="inlineStr"/>
    </row>
    <row r="949" ht="15" customHeight="1">
      <c r="A949" t="inlineStr">
        <is>
          <t>A 65209-2023</t>
        </is>
      </c>
      <c r="B949" s="1" t="n">
        <v>45289</v>
      </c>
      <c r="C949" s="1" t="n">
        <v>45787</v>
      </c>
      <c r="D949" t="inlineStr">
        <is>
          <t>JÄMTLANDS LÄN</t>
        </is>
      </c>
      <c r="E949" t="inlineStr">
        <is>
          <t>BERG</t>
        </is>
      </c>
      <c r="G949" t="n">
        <v>1</v>
      </c>
      <c r="H949" t="n">
        <v>0</v>
      </c>
      <c r="I949" t="n">
        <v>0</v>
      </c>
      <c r="J949" t="n">
        <v>0</v>
      </c>
      <c r="K949" t="n">
        <v>0</v>
      </c>
      <c r="L949" t="n">
        <v>0</v>
      </c>
      <c r="M949" t="n">
        <v>0</v>
      </c>
      <c r="N949" t="n">
        <v>0</v>
      </c>
      <c r="O949" t="n">
        <v>0</v>
      </c>
      <c r="P949" t="n">
        <v>0</v>
      </c>
      <c r="Q949" t="n">
        <v>0</v>
      </c>
      <c r="R949" s="2" t="inlineStr"/>
    </row>
    <row r="950" ht="15" customHeight="1">
      <c r="A950" t="inlineStr">
        <is>
          <t>A 65207-2023</t>
        </is>
      </c>
      <c r="B950" s="1" t="n">
        <v>45289</v>
      </c>
      <c r="C950" s="1" t="n">
        <v>45787</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65211-2023</t>
        </is>
      </c>
      <c r="B951" s="1" t="n">
        <v>45289</v>
      </c>
      <c r="C951" s="1" t="n">
        <v>45787</v>
      </c>
      <c r="D951" t="inlineStr">
        <is>
          <t>JÄMTLANDS LÄN</t>
        </is>
      </c>
      <c r="E951" t="inlineStr">
        <is>
          <t>BERG</t>
        </is>
      </c>
      <c r="G951" t="n">
        <v>1.5</v>
      </c>
      <c r="H951" t="n">
        <v>0</v>
      </c>
      <c r="I951" t="n">
        <v>0</v>
      </c>
      <c r="J951" t="n">
        <v>0</v>
      </c>
      <c r="K951" t="n">
        <v>0</v>
      </c>
      <c r="L951" t="n">
        <v>0</v>
      </c>
      <c r="M951" t="n">
        <v>0</v>
      </c>
      <c r="N951" t="n">
        <v>0</v>
      </c>
      <c r="O951" t="n">
        <v>0</v>
      </c>
      <c r="P951" t="n">
        <v>0</v>
      </c>
      <c r="Q951" t="n">
        <v>0</v>
      </c>
      <c r="R951" s="2" t="inlineStr"/>
    </row>
    <row r="952" ht="15" customHeight="1">
      <c r="A952" t="inlineStr">
        <is>
          <t>A 65212-2023</t>
        </is>
      </c>
      <c r="B952" s="1" t="n">
        <v>45289</v>
      </c>
      <c r="C952" s="1" t="n">
        <v>45787</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65210-2023</t>
        </is>
      </c>
      <c r="B953" s="1" t="n">
        <v>45289</v>
      </c>
      <c r="C953" s="1" t="n">
        <v>45787</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65246-2023</t>
        </is>
      </c>
      <c r="B954" s="1" t="n">
        <v>45290</v>
      </c>
      <c r="C954" s="1" t="n">
        <v>45787</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45787</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36-2024</t>
        </is>
      </c>
      <c r="B956" s="1" t="n">
        <v>45293</v>
      </c>
      <c r="C956" s="1" t="n">
        <v>45787</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166-2024</t>
        </is>
      </c>
      <c r="B957" s="1" t="n">
        <v>45294</v>
      </c>
      <c r="C957" s="1" t="n">
        <v>45787</v>
      </c>
      <c r="D957" t="inlineStr">
        <is>
          <t>JÄMTLANDS LÄN</t>
        </is>
      </c>
      <c r="E957" t="inlineStr">
        <is>
          <t>BERG</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149-2024</t>
        </is>
      </c>
      <c r="B958" s="1" t="n">
        <v>45294</v>
      </c>
      <c r="C958" s="1" t="n">
        <v>45787</v>
      </c>
      <c r="D958" t="inlineStr">
        <is>
          <t>JÄMTLANDS LÄN</t>
        </is>
      </c>
      <c r="E958" t="inlineStr">
        <is>
          <t>BERG</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162-2024</t>
        </is>
      </c>
      <c r="B959" s="1" t="n">
        <v>45294</v>
      </c>
      <c r="C959" s="1" t="n">
        <v>45787</v>
      </c>
      <c r="D959" t="inlineStr">
        <is>
          <t>JÄMTLANDS LÄN</t>
        </is>
      </c>
      <c r="E959" t="inlineStr">
        <is>
          <t>BERG</t>
        </is>
      </c>
      <c r="F959" t="inlineStr">
        <is>
          <t>Kyrkan</t>
        </is>
      </c>
      <c r="G959" t="n">
        <v>2.2</v>
      </c>
      <c r="H959" t="n">
        <v>0</v>
      </c>
      <c r="I959" t="n">
        <v>0</v>
      </c>
      <c r="J959" t="n">
        <v>0</v>
      </c>
      <c r="K959" t="n">
        <v>0</v>
      </c>
      <c r="L959" t="n">
        <v>0</v>
      </c>
      <c r="M959" t="n">
        <v>0</v>
      </c>
      <c r="N959" t="n">
        <v>0</v>
      </c>
      <c r="O959" t="n">
        <v>0</v>
      </c>
      <c r="P959" t="n">
        <v>0</v>
      </c>
      <c r="Q959" t="n">
        <v>0</v>
      </c>
      <c r="R959" s="2" t="inlineStr"/>
    </row>
    <row r="960" ht="15" customHeight="1">
      <c r="A960" t="inlineStr">
        <is>
          <t>A 620-2024</t>
        </is>
      </c>
      <c r="B960" s="1" t="n">
        <v>45299</v>
      </c>
      <c r="C960" s="1" t="n">
        <v>45787</v>
      </c>
      <c r="D960" t="inlineStr">
        <is>
          <t>JÄMTLANDS LÄN</t>
        </is>
      </c>
      <c r="E960" t="inlineStr">
        <is>
          <t>BERG</t>
        </is>
      </c>
      <c r="G960" t="n">
        <v>1.7</v>
      </c>
      <c r="H960" t="n">
        <v>0</v>
      </c>
      <c r="I960" t="n">
        <v>0</v>
      </c>
      <c r="J960" t="n">
        <v>0</v>
      </c>
      <c r="K960" t="n">
        <v>0</v>
      </c>
      <c r="L960" t="n">
        <v>0</v>
      </c>
      <c r="M960" t="n">
        <v>0</v>
      </c>
      <c r="N960" t="n">
        <v>0</v>
      </c>
      <c r="O960" t="n">
        <v>0</v>
      </c>
      <c r="P960" t="n">
        <v>0</v>
      </c>
      <c r="Q960" t="n">
        <v>0</v>
      </c>
      <c r="R960" s="2" t="inlineStr"/>
    </row>
    <row r="961" ht="15" customHeight="1">
      <c r="A961" t="inlineStr">
        <is>
          <t>A 1593-2024</t>
        </is>
      </c>
      <c r="B961" s="1" t="n">
        <v>45306</v>
      </c>
      <c r="C961" s="1" t="n">
        <v>45787</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1596-2024</t>
        </is>
      </c>
      <c r="B962" s="1" t="n">
        <v>45306</v>
      </c>
      <c r="C962" s="1" t="n">
        <v>45787</v>
      </c>
      <c r="D962" t="inlineStr">
        <is>
          <t>JÄMTLANDS LÄN</t>
        </is>
      </c>
      <c r="E962" t="inlineStr">
        <is>
          <t>BERG</t>
        </is>
      </c>
      <c r="G962" t="n">
        <v>0.8</v>
      </c>
      <c r="H962" t="n">
        <v>0</v>
      </c>
      <c r="I962" t="n">
        <v>0</v>
      </c>
      <c r="J962" t="n">
        <v>0</v>
      </c>
      <c r="K962" t="n">
        <v>0</v>
      </c>
      <c r="L962" t="n">
        <v>0</v>
      </c>
      <c r="M962" t="n">
        <v>0</v>
      </c>
      <c r="N962" t="n">
        <v>0</v>
      </c>
      <c r="O962" t="n">
        <v>0</v>
      </c>
      <c r="P962" t="n">
        <v>0</v>
      </c>
      <c r="Q962" t="n">
        <v>0</v>
      </c>
      <c r="R962" s="2" t="inlineStr"/>
    </row>
    <row r="963" ht="15" customHeight="1">
      <c r="A963" t="inlineStr">
        <is>
          <t>A 1682-2024</t>
        </is>
      </c>
      <c r="B963" s="1" t="n">
        <v>45307</v>
      </c>
      <c r="C963" s="1" t="n">
        <v>45787</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1851-2024</t>
        </is>
      </c>
      <c r="B964" s="1" t="n">
        <v>45307</v>
      </c>
      <c r="C964" s="1" t="n">
        <v>45787</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1874-2024</t>
        </is>
      </c>
      <c r="B965" s="1" t="n">
        <v>45307</v>
      </c>
      <c r="C965" s="1" t="n">
        <v>45787</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1895-2024</t>
        </is>
      </c>
      <c r="B966" s="1" t="n">
        <v>45307</v>
      </c>
      <c r="C966" s="1" t="n">
        <v>45787</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1897-2024</t>
        </is>
      </c>
      <c r="B967" s="1" t="n">
        <v>45307</v>
      </c>
      <c r="C967" s="1" t="n">
        <v>45787</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2231-2024</t>
        </is>
      </c>
      <c r="B968" s="1" t="n">
        <v>45309</v>
      </c>
      <c r="C968" s="1" t="n">
        <v>45787</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2679-2024</t>
        </is>
      </c>
      <c r="B969" s="1" t="n">
        <v>45314</v>
      </c>
      <c r="C969" s="1" t="n">
        <v>45787</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2664-2024</t>
        </is>
      </c>
      <c r="B970" s="1" t="n">
        <v>45314</v>
      </c>
      <c r="C970" s="1" t="n">
        <v>45787</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3454-2024</t>
        </is>
      </c>
      <c r="B971" s="1" t="n">
        <v>45317</v>
      </c>
      <c r="C971" s="1" t="n">
        <v>45787</v>
      </c>
      <c r="D971" t="inlineStr">
        <is>
          <t>JÄMTLANDS LÄN</t>
        </is>
      </c>
      <c r="E971" t="inlineStr">
        <is>
          <t>BERG</t>
        </is>
      </c>
      <c r="G971" t="n">
        <v>1.4</v>
      </c>
      <c r="H971" t="n">
        <v>0</v>
      </c>
      <c r="I971" t="n">
        <v>0</v>
      </c>
      <c r="J971" t="n">
        <v>0</v>
      </c>
      <c r="K971" t="n">
        <v>0</v>
      </c>
      <c r="L971" t="n">
        <v>0</v>
      </c>
      <c r="M971" t="n">
        <v>0</v>
      </c>
      <c r="N971" t="n">
        <v>0</v>
      </c>
      <c r="O971" t="n">
        <v>0</v>
      </c>
      <c r="P971" t="n">
        <v>0</v>
      </c>
      <c r="Q971" t="n">
        <v>0</v>
      </c>
      <c r="R971" s="2" t="inlineStr"/>
    </row>
    <row r="972" ht="15" customHeight="1">
      <c r="A972" t="inlineStr">
        <is>
          <t>A 3483-2024</t>
        </is>
      </c>
      <c r="B972" s="1" t="n">
        <v>45320</v>
      </c>
      <c r="C972" s="1" t="n">
        <v>45787</v>
      </c>
      <c r="D972" t="inlineStr">
        <is>
          <t>JÄMTLANDS LÄN</t>
        </is>
      </c>
      <c r="E972" t="inlineStr">
        <is>
          <t>BERG</t>
        </is>
      </c>
      <c r="G972" t="n">
        <v>3.1</v>
      </c>
      <c r="H972" t="n">
        <v>0</v>
      </c>
      <c r="I972" t="n">
        <v>0</v>
      </c>
      <c r="J972" t="n">
        <v>0</v>
      </c>
      <c r="K972" t="n">
        <v>0</v>
      </c>
      <c r="L972" t="n">
        <v>0</v>
      </c>
      <c r="M972" t="n">
        <v>0</v>
      </c>
      <c r="N972" t="n">
        <v>0</v>
      </c>
      <c r="O972" t="n">
        <v>0</v>
      </c>
      <c r="P972" t="n">
        <v>0</v>
      </c>
      <c r="Q972" t="n">
        <v>0</v>
      </c>
      <c r="R972" s="2" t="inlineStr"/>
    </row>
    <row r="973" ht="15" customHeight="1">
      <c r="A973" t="inlineStr">
        <is>
          <t>A 3625-2024</t>
        </is>
      </c>
      <c r="B973" s="1" t="n">
        <v>45320</v>
      </c>
      <c r="C973" s="1" t="n">
        <v>45787</v>
      </c>
      <c r="D973" t="inlineStr">
        <is>
          <t>JÄMTLANDS LÄN</t>
        </is>
      </c>
      <c r="E973" t="inlineStr">
        <is>
          <t>BERG</t>
        </is>
      </c>
      <c r="F973" t="inlineStr">
        <is>
          <t>SCA</t>
        </is>
      </c>
      <c r="G973" t="n">
        <v>23.7</v>
      </c>
      <c r="H973" t="n">
        <v>0</v>
      </c>
      <c r="I973" t="n">
        <v>0</v>
      </c>
      <c r="J973" t="n">
        <v>0</v>
      </c>
      <c r="K973" t="n">
        <v>0</v>
      </c>
      <c r="L973" t="n">
        <v>0</v>
      </c>
      <c r="M973" t="n">
        <v>0</v>
      </c>
      <c r="N973" t="n">
        <v>0</v>
      </c>
      <c r="O973" t="n">
        <v>0</v>
      </c>
      <c r="P973" t="n">
        <v>0</v>
      </c>
      <c r="Q973" t="n">
        <v>0</v>
      </c>
      <c r="R973" s="2" t="inlineStr"/>
    </row>
    <row r="974" ht="15" customHeight="1">
      <c r="A974" t="inlineStr">
        <is>
          <t>A 3839-2024</t>
        </is>
      </c>
      <c r="B974" s="1" t="n">
        <v>45321</v>
      </c>
      <c r="C974" s="1" t="n">
        <v>45787</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4454-2024</t>
        </is>
      </c>
      <c r="B975" s="1" t="n">
        <v>45327</v>
      </c>
      <c r="C975" s="1" t="n">
        <v>45787</v>
      </c>
      <c r="D975" t="inlineStr">
        <is>
          <t>JÄMTLANDS LÄN</t>
        </is>
      </c>
      <c r="E975" t="inlineStr">
        <is>
          <t>BERG</t>
        </is>
      </c>
      <c r="G975" t="n">
        <v>1.8</v>
      </c>
      <c r="H975" t="n">
        <v>0</v>
      </c>
      <c r="I975" t="n">
        <v>0</v>
      </c>
      <c r="J975" t="n">
        <v>0</v>
      </c>
      <c r="K975" t="n">
        <v>0</v>
      </c>
      <c r="L975" t="n">
        <v>0</v>
      </c>
      <c r="M975" t="n">
        <v>0</v>
      </c>
      <c r="N975" t="n">
        <v>0</v>
      </c>
      <c r="O975" t="n">
        <v>0</v>
      </c>
      <c r="P975" t="n">
        <v>0</v>
      </c>
      <c r="Q975" t="n">
        <v>0</v>
      </c>
      <c r="R975" s="2" t="inlineStr"/>
    </row>
    <row r="976" ht="15" customHeight="1">
      <c r="A976" t="inlineStr">
        <is>
          <t>A 4522-2024</t>
        </is>
      </c>
      <c r="B976" s="1" t="n">
        <v>45327</v>
      </c>
      <c r="C976" s="1" t="n">
        <v>45787</v>
      </c>
      <c r="D976" t="inlineStr">
        <is>
          <t>JÄMTLANDS LÄN</t>
        </is>
      </c>
      <c r="E976" t="inlineStr">
        <is>
          <t>BERG</t>
        </is>
      </c>
      <c r="G976" t="n">
        <v>0.6</v>
      </c>
      <c r="H976" t="n">
        <v>0</v>
      </c>
      <c r="I976" t="n">
        <v>0</v>
      </c>
      <c r="J976" t="n">
        <v>0</v>
      </c>
      <c r="K976" t="n">
        <v>0</v>
      </c>
      <c r="L976" t="n">
        <v>0</v>
      </c>
      <c r="M976" t="n">
        <v>0</v>
      </c>
      <c r="N976" t="n">
        <v>0</v>
      </c>
      <c r="O976" t="n">
        <v>0</v>
      </c>
      <c r="P976" t="n">
        <v>0</v>
      </c>
      <c r="Q976" t="n">
        <v>0</v>
      </c>
      <c r="R976" s="2" t="inlineStr"/>
    </row>
    <row r="977" ht="15" customHeight="1">
      <c r="A977" t="inlineStr">
        <is>
          <t>A 4526-2024</t>
        </is>
      </c>
      <c r="B977" s="1" t="n">
        <v>45327</v>
      </c>
      <c r="C977" s="1" t="n">
        <v>45787</v>
      </c>
      <c r="D977" t="inlineStr">
        <is>
          <t>JÄMTLANDS LÄN</t>
        </is>
      </c>
      <c r="E977" t="inlineStr">
        <is>
          <t>BERG</t>
        </is>
      </c>
      <c r="G977" t="n">
        <v>3.7</v>
      </c>
      <c r="H977" t="n">
        <v>0</v>
      </c>
      <c r="I977" t="n">
        <v>0</v>
      </c>
      <c r="J977" t="n">
        <v>0</v>
      </c>
      <c r="K977" t="n">
        <v>0</v>
      </c>
      <c r="L977" t="n">
        <v>0</v>
      </c>
      <c r="M977" t="n">
        <v>0</v>
      </c>
      <c r="N977" t="n">
        <v>0</v>
      </c>
      <c r="O977" t="n">
        <v>0</v>
      </c>
      <c r="P977" t="n">
        <v>0</v>
      </c>
      <c r="Q977" t="n">
        <v>0</v>
      </c>
      <c r="R977" s="2" t="inlineStr"/>
    </row>
    <row r="978" ht="15" customHeight="1">
      <c r="A978" t="inlineStr">
        <is>
          <t>A 4551-2024</t>
        </is>
      </c>
      <c r="B978" s="1" t="n">
        <v>45327</v>
      </c>
      <c r="C978" s="1" t="n">
        <v>45787</v>
      </c>
      <c r="D978" t="inlineStr">
        <is>
          <t>JÄMTLANDS LÄN</t>
        </is>
      </c>
      <c r="E978" t="inlineStr">
        <is>
          <t>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4561-2024</t>
        </is>
      </c>
      <c r="B979" s="1" t="n">
        <v>45327</v>
      </c>
      <c r="C979" s="1" t="n">
        <v>45787</v>
      </c>
      <c r="D979" t="inlineStr">
        <is>
          <t>JÄMTLANDS LÄN</t>
        </is>
      </c>
      <c r="E979" t="inlineStr">
        <is>
          <t>BERG</t>
        </is>
      </c>
      <c r="G979" t="n">
        <v>7.4</v>
      </c>
      <c r="H979" t="n">
        <v>0</v>
      </c>
      <c r="I979" t="n">
        <v>0</v>
      </c>
      <c r="J979" t="n">
        <v>0</v>
      </c>
      <c r="K979" t="n">
        <v>0</v>
      </c>
      <c r="L979" t="n">
        <v>0</v>
      </c>
      <c r="M979" t="n">
        <v>0</v>
      </c>
      <c r="N979" t="n">
        <v>0</v>
      </c>
      <c r="O979" t="n">
        <v>0</v>
      </c>
      <c r="P979" t="n">
        <v>0</v>
      </c>
      <c r="Q979" t="n">
        <v>0</v>
      </c>
      <c r="R979" s="2" t="inlineStr"/>
    </row>
    <row r="980" ht="15" customHeight="1">
      <c r="A980" t="inlineStr">
        <is>
          <t>A 5014-2024</t>
        </is>
      </c>
      <c r="B980" s="1" t="n">
        <v>45329</v>
      </c>
      <c r="C980" s="1" t="n">
        <v>45787</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5264-2024</t>
        </is>
      </c>
      <c r="B981" s="1" t="n">
        <v>45331</v>
      </c>
      <c r="C981" s="1" t="n">
        <v>45787</v>
      </c>
      <c r="D981" t="inlineStr">
        <is>
          <t>JÄMTLANDS LÄN</t>
        </is>
      </c>
      <c r="E981" t="inlineStr">
        <is>
          <t>BERG</t>
        </is>
      </c>
      <c r="G981" t="n">
        <v>4.3</v>
      </c>
      <c r="H981" t="n">
        <v>0</v>
      </c>
      <c r="I981" t="n">
        <v>0</v>
      </c>
      <c r="J981" t="n">
        <v>0</v>
      </c>
      <c r="K981" t="n">
        <v>0</v>
      </c>
      <c r="L981" t="n">
        <v>0</v>
      </c>
      <c r="M981" t="n">
        <v>0</v>
      </c>
      <c r="N981" t="n">
        <v>0</v>
      </c>
      <c r="O981" t="n">
        <v>0</v>
      </c>
      <c r="P981" t="n">
        <v>0</v>
      </c>
      <c r="Q981" t="n">
        <v>0</v>
      </c>
      <c r="R981" s="2" t="inlineStr"/>
    </row>
    <row r="982" ht="15" customHeight="1">
      <c r="A982" t="inlineStr">
        <is>
          <t>A 5215-2024</t>
        </is>
      </c>
      <c r="B982" s="1" t="n">
        <v>45330</v>
      </c>
      <c r="C982" s="1" t="n">
        <v>45787</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5666-2024</t>
        </is>
      </c>
      <c r="B983" s="1" t="n">
        <v>45334</v>
      </c>
      <c r="C983" s="1" t="n">
        <v>45787</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5910-2024</t>
        </is>
      </c>
      <c r="B984" s="1" t="n">
        <v>45335</v>
      </c>
      <c r="C984" s="1" t="n">
        <v>45787</v>
      </c>
      <c r="D984" t="inlineStr">
        <is>
          <t>JÄMTLANDS LÄN</t>
        </is>
      </c>
      <c r="E984" t="inlineStr">
        <is>
          <t>BERG</t>
        </is>
      </c>
      <c r="F984" t="inlineStr">
        <is>
          <t>SCA</t>
        </is>
      </c>
      <c r="G984" t="n">
        <v>29.7</v>
      </c>
      <c r="H984" t="n">
        <v>0</v>
      </c>
      <c r="I984" t="n">
        <v>0</v>
      </c>
      <c r="J984" t="n">
        <v>0</v>
      </c>
      <c r="K984" t="n">
        <v>0</v>
      </c>
      <c r="L984" t="n">
        <v>0</v>
      </c>
      <c r="M984" t="n">
        <v>0</v>
      </c>
      <c r="N984" t="n">
        <v>0</v>
      </c>
      <c r="O984" t="n">
        <v>0</v>
      </c>
      <c r="P984" t="n">
        <v>0</v>
      </c>
      <c r="Q984" t="n">
        <v>0</v>
      </c>
      <c r="R984" s="2" t="inlineStr"/>
    </row>
    <row r="985" ht="15" customHeight="1">
      <c r="A985" t="inlineStr">
        <is>
          <t>A 5911-2024</t>
        </is>
      </c>
      <c r="B985" s="1" t="n">
        <v>45335</v>
      </c>
      <c r="C985" s="1" t="n">
        <v>45787</v>
      </c>
      <c r="D985" t="inlineStr">
        <is>
          <t>JÄMTLANDS LÄN</t>
        </is>
      </c>
      <c r="E985" t="inlineStr">
        <is>
          <t>BERG</t>
        </is>
      </c>
      <c r="F985" t="inlineStr">
        <is>
          <t>SCA</t>
        </is>
      </c>
      <c r="G985" t="n">
        <v>28.6</v>
      </c>
      <c r="H985" t="n">
        <v>0</v>
      </c>
      <c r="I985" t="n">
        <v>0</v>
      </c>
      <c r="J985" t="n">
        <v>0</v>
      </c>
      <c r="K985" t="n">
        <v>0</v>
      </c>
      <c r="L985" t="n">
        <v>0</v>
      </c>
      <c r="M985" t="n">
        <v>0</v>
      </c>
      <c r="N985" t="n">
        <v>0</v>
      </c>
      <c r="O985" t="n">
        <v>0</v>
      </c>
      <c r="P985" t="n">
        <v>0</v>
      </c>
      <c r="Q985" t="n">
        <v>0</v>
      </c>
      <c r="R985" s="2" t="inlineStr"/>
    </row>
    <row r="986" ht="15" customHeight="1">
      <c r="A986" t="inlineStr">
        <is>
          <t>A 7040-2024</t>
        </is>
      </c>
      <c r="B986" s="1" t="n">
        <v>45343</v>
      </c>
      <c r="C986" s="1" t="n">
        <v>45787</v>
      </c>
      <c r="D986" t="inlineStr">
        <is>
          <t>JÄMTLANDS LÄN</t>
        </is>
      </c>
      <c r="E986" t="inlineStr">
        <is>
          <t>BERG</t>
        </is>
      </c>
      <c r="G986" t="n">
        <v>15.9</v>
      </c>
      <c r="H986" t="n">
        <v>0</v>
      </c>
      <c r="I986" t="n">
        <v>0</v>
      </c>
      <c r="J986" t="n">
        <v>0</v>
      </c>
      <c r="K986" t="n">
        <v>0</v>
      </c>
      <c r="L986" t="n">
        <v>0</v>
      </c>
      <c r="M986" t="n">
        <v>0</v>
      </c>
      <c r="N986" t="n">
        <v>0</v>
      </c>
      <c r="O986" t="n">
        <v>0</v>
      </c>
      <c r="P986" t="n">
        <v>0</v>
      </c>
      <c r="Q986" t="n">
        <v>0</v>
      </c>
      <c r="R986" s="2" t="inlineStr"/>
    </row>
    <row r="987" ht="15" customHeight="1">
      <c r="A987" t="inlineStr">
        <is>
          <t>A 7192-2024</t>
        </is>
      </c>
      <c r="B987" s="1" t="n">
        <v>45344</v>
      </c>
      <c r="C987" s="1" t="n">
        <v>45787</v>
      </c>
      <c r="D987" t="inlineStr">
        <is>
          <t>JÄMTLANDS LÄN</t>
        </is>
      </c>
      <c r="E987" t="inlineStr">
        <is>
          <t>BERG</t>
        </is>
      </c>
      <c r="G987" t="n">
        <v>1.4</v>
      </c>
      <c r="H987" t="n">
        <v>0</v>
      </c>
      <c r="I987" t="n">
        <v>0</v>
      </c>
      <c r="J987" t="n">
        <v>0</v>
      </c>
      <c r="K987" t="n">
        <v>0</v>
      </c>
      <c r="L987" t="n">
        <v>0</v>
      </c>
      <c r="M987" t="n">
        <v>0</v>
      </c>
      <c r="N987" t="n">
        <v>0</v>
      </c>
      <c r="O987" t="n">
        <v>0</v>
      </c>
      <c r="P987" t="n">
        <v>0</v>
      </c>
      <c r="Q987" t="n">
        <v>0</v>
      </c>
      <c r="R987" s="2" t="inlineStr"/>
    </row>
    <row r="988" ht="15" customHeight="1">
      <c r="A988" t="inlineStr">
        <is>
          <t>A 7377-2024</t>
        </is>
      </c>
      <c r="B988" s="1" t="n">
        <v>45345</v>
      </c>
      <c r="C988" s="1" t="n">
        <v>45787</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7744-2024</t>
        </is>
      </c>
      <c r="B989" s="1" t="n">
        <v>45349</v>
      </c>
      <c r="C989" s="1" t="n">
        <v>45787</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8052-2024</t>
        </is>
      </c>
      <c r="B990" s="1" t="n">
        <v>45351</v>
      </c>
      <c r="C990" s="1" t="n">
        <v>45787</v>
      </c>
      <c r="D990" t="inlineStr">
        <is>
          <t>JÄMTLANDS LÄN</t>
        </is>
      </c>
      <c r="E990" t="inlineStr">
        <is>
          <t>BERG</t>
        </is>
      </c>
      <c r="G990" t="n">
        <v>3.8</v>
      </c>
      <c r="H990" t="n">
        <v>0</v>
      </c>
      <c r="I990" t="n">
        <v>0</v>
      </c>
      <c r="J990" t="n">
        <v>0</v>
      </c>
      <c r="K990" t="n">
        <v>0</v>
      </c>
      <c r="L990" t="n">
        <v>0</v>
      </c>
      <c r="M990" t="n">
        <v>0</v>
      </c>
      <c r="N990" t="n">
        <v>0</v>
      </c>
      <c r="O990" t="n">
        <v>0</v>
      </c>
      <c r="P990" t="n">
        <v>0</v>
      </c>
      <c r="Q990" t="n">
        <v>0</v>
      </c>
      <c r="R990" s="2" t="inlineStr"/>
    </row>
    <row r="991" ht="15" customHeight="1">
      <c r="A991" t="inlineStr">
        <is>
          <t>A 8067-2024</t>
        </is>
      </c>
      <c r="B991" s="1" t="n">
        <v>45351</v>
      </c>
      <c r="C991" s="1" t="n">
        <v>45787</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8095-2024</t>
        </is>
      </c>
      <c r="B992" s="1" t="n">
        <v>45351</v>
      </c>
      <c r="C992" s="1" t="n">
        <v>45787</v>
      </c>
      <c r="D992" t="inlineStr">
        <is>
          <t>JÄMTLANDS LÄN</t>
        </is>
      </c>
      <c r="E992" t="inlineStr">
        <is>
          <t>BERG</t>
        </is>
      </c>
      <c r="G992" t="n">
        <v>13.6</v>
      </c>
      <c r="H992" t="n">
        <v>0</v>
      </c>
      <c r="I992" t="n">
        <v>0</v>
      </c>
      <c r="J992" t="n">
        <v>0</v>
      </c>
      <c r="K992" t="n">
        <v>0</v>
      </c>
      <c r="L992" t="n">
        <v>0</v>
      </c>
      <c r="M992" t="n">
        <v>0</v>
      </c>
      <c r="N992" t="n">
        <v>0</v>
      </c>
      <c r="O992" t="n">
        <v>0</v>
      </c>
      <c r="P992" t="n">
        <v>0</v>
      </c>
      <c r="Q992" t="n">
        <v>0</v>
      </c>
      <c r="R992" s="2" t="inlineStr"/>
    </row>
    <row r="993" ht="15" customHeight="1">
      <c r="A993" t="inlineStr">
        <is>
          <t>A 8065-2024</t>
        </is>
      </c>
      <c r="B993" s="1" t="n">
        <v>45351</v>
      </c>
      <c r="C993" s="1" t="n">
        <v>45787</v>
      </c>
      <c r="D993" t="inlineStr">
        <is>
          <t>JÄMTLANDS LÄN</t>
        </is>
      </c>
      <c r="E993" t="inlineStr">
        <is>
          <t>BERG</t>
        </is>
      </c>
      <c r="G993" t="n">
        <v>6.9</v>
      </c>
      <c r="H993" t="n">
        <v>0</v>
      </c>
      <c r="I993" t="n">
        <v>0</v>
      </c>
      <c r="J993" t="n">
        <v>0</v>
      </c>
      <c r="K993" t="n">
        <v>0</v>
      </c>
      <c r="L993" t="n">
        <v>0</v>
      </c>
      <c r="M993" t="n">
        <v>0</v>
      </c>
      <c r="N993" t="n">
        <v>0</v>
      </c>
      <c r="O993" t="n">
        <v>0</v>
      </c>
      <c r="P993" t="n">
        <v>0</v>
      </c>
      <c r="Q993" t="n">
        <v>0</v>
      </c>
      <c r="R993" s="2" t="inlineStr"/>
    </row>
    <row r="994" ht="15" customHeight="1">
      <c r="A994" t="inlineStr">
        <is>
          <t>A 8069-2024</t>
        </is>
      </c>
      <c r="B994" s="1" t="n">
        <v>45351</v>
      </c>
      <c r="C994" s="1" t="n">
        <v>45787</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8238-2024</t>
        </is>
      </c>
      <c r="B995" s="1" t="n">
        <v>45352</v>
      </c>
      <c r="C995" s="1" t="n">
        <v>45787</v>
      </c>
      <c r="D995" t="inlineStr">
        <is>
          <t>JÄMTLANDS LÄN</t>
        </is>
      </c>
      <c r="E995" t="inlineStr">
        <is>
          <t>BERG</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8070-2024</t>
        </is>
      </c>
      <c r="B996" s="1" t="n">
        <v>45351</v>
      </c>
      <c r="C996" s="1" t="n">
        <v>45787</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45787</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8424-2024</t>
        </is>
      </c>
      <c r="B998" s="1" t="n">
        <v>45353</v>
      </c>
      <c r="C998" s="1" t="n">
        <v>45787</v>
      </c>
      <c r="D998" t="inlineStr">
        <is>
          <t>JÄMTLANDS LÄN</t>
        </is>
      </c>
      <c r="E998" t="inlineStr">
        <is>
          <t>BERG</t>
        </is>
      </c>
      <c r="G998" t="n">
        <v>7.2</v>
      </c>
      <c r="H998" t="n">
        <v>0</v>
      </c>
      <c r="I998" t="n">
        <v>0</v>
      </c>
      <c r="J998" t="n">
        <v>0</v>
      </c>
      <c r="K998" t="n">
        <v>0</v>
      </c>
      <c r="L998" t="n">
        <v>0</v>
      </c>
      <c r="M998" t="n">
        <v>0</v>
      </c>
      <c r="N998" t="n">
        <v>0</v>
      </c>
      <c r="O998" t="n">
        <v>0</v>
      </c>
      <c r="P998" t="n">
        <v>0</v>
      </c>
      <c r="Q998" t="n">
        <v>0</v>
      </c>
      <c r="R998" s="2" t="inlineStr"/>
    </row>
    <row r="999" ht="15" customHeight="1">
      <c r="A999" t="inlineStr">
        <is>
          <t>A 8722-2024</t>
        </is>
      </c>
      <c r="B999" s="1" t="n">
        <v>45355</v>
      </c>
      <c r="C999" s="1" t="n">
        <v>45787</v>
      </c>
      <c r="D999" t="inlineStr">
        <is>
          <t>JÄMTLANDS LÄN</t>
        </is>
      </c>
      <c r="E999" t="inlineStr">
        <is>
          <t>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8726-2024</t>
        </is>
      </c>
      <c r="B1000" s="1" t="n">
        <v>45355</v>
      </c>
      <c r="C1000" s="1" t="n">
        <v>45787</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8733-2024</t>
        </is>
      </c>
      <c r="B1001" s="1" t="n">
        <v>45355</v>
      </c>
      <c r="C1001" s="1" t="n">
        <v>45787</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8735-2024</t>
        </is>
      </c>
      <c r="B1002" s="1" t="n">
        <v>45355</v>
      </c>
      <c r="C1002" s="1" t="n">
        <v>45787</v>
      </c>
      <c r="D1002" t="inlineStr">
        <is>
          <t>JÄMTLANDS LÄN</t>
        </is>
      </c>
      <c r="E1002" t="inlineStr">
        <is>
          <t>BERG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8711-2024</t>
        </is>
      </c>
      <c r="B1003" s="1" t="n">
        <v>45356</v>
      </c>
      <c r="C1003" s="1" t="n">
        <v>45787</v>
      </c>
      <c r="D1003" t="inlineStr">
        <is>
          <t>JÄMTLANDS LÄN</t>
        </is>
      </c>
      <c r="E1003" t="inlineStr">
        <is>
          <t>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8718-2024</t>
        </is>
      </c>
      <c r="B1004" s="1" t="n">
        <v>45356</v>
      </c>
      <c r="C1004" s="1" t="n">
        <v>45787</v>
      </c>
      <c r="D1004" t="inlineStr">
        <is>
          <t>JÄMTLANDS LÄN</t>
        </is>
      </c>
      <c r="E1004" t="inlineStr">
        <is>
          <t>BERG</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8887-2024</t>
        </is>
      </c>
      <c r="B1005" s="1" t="n">
        <v>45357</v>
      </c>
      <c r="C1005" s="1" t="n">
        <v>45787</v>
      </c>
      <c r="D1005" t="inlineStr">
        <is>
          <t>JÄMTLANDS LÄN</t>
        </is>
      </c>
      <c r="E1005" t="inlineStr">
        <is>
          <t>BERG</t>
        </is>
      </c>
      <c r="F1005" t="inlineStr">
        <is>
          <t>SCA</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9028-2024</t>
        </is>
      </c>
      <c r="B1006" s="1" t="n">
        <v>45357</v>
      </c>
      <c r="C1006" s="1" t="n">
        <v>45787</v>
      </c>
      <c r="D1006" t="inlineStr">
        <is>
          <t>JÄMTLANDS LÄN</t>
        </is>
      </c>
      <c r="E1006" t="inlineStr">
        <is>
          <t>BERG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9133-2024</t>
        </is>
      </c>
      <c r="B1007" s="1" t="n">
        <v>45358</v>
      </c>
      <c r="C1007" s="1" t="n">
        <v>45787</v>
      </c>
      <c r="D1007" t="inlineStr">
        <is>
          <t>JÄMTLANDS LÄN</t>
        </is>
      </c>
      <c r="E1007" t="inlineStr">
        <is>
          <t>BERG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9478-2024</t>
        </is>
      </c>
      <c r="B1008" s="1" t="n">
        <v>45359</v>
      </c>
      <c r="C1008" s="1" t="n">
        <v>45787</v>
      </c>
      <c r="D1008" t="inlineStr">
        <is>
          <t>JÄMTLANDS LÄN</t>
        </is>
      </c>
      <c r="E1008" t="inlineStr">
        <is>
          <t>BERG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9482-2024</t>
        </is>
      </c>
      <c r="B1009" s="1" t="n">
        <v>45359</v>
      </c>
      <c r="C1009" s="1" t="n">
        <v>45787</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9925-2024</t>
        </is>
      </c>
      <c r="B1010" s="1" t="n">
        <v>45363</v>
      </c>
      <c r="C1010" s="1" t="n">
        <v>45787</v>
      </c>
      <c r="D1010" t="inlineStr">
        <is>
          <t>JÄMTLANDS LÄN</t>
        </is>
      </c>
      <c r="E1010" t="inlineStr">
        <is>
          <t>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10230-2024</t>
        </is>
      </c>
      <c r="B1011" s="1" t="n">
        <v>45365</v>
      </c>
      <c r="C1011" s="1" t="n">
        <v>45787</v>
      </c>
      <c r="D1011" t="inlineStr">
        <is>
          <t>JÄMTLANDS LÄN</t>
        </is>
      </c>
      <c r="E1011" t="inlineStr">
        <is>
          <t>BERG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10863-2024</t>
        </is>
      </c>
      <c r="B1012" s="1" t="n">
        <v>45370</v>
      </c>
      <c r="C1012" s="1" t="n">
        <v>45787</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10861-2024</t>
        </is>
      </c>
      <c r="B1013" s="1" t="n">
        <v>45370</v>
      </c>
      <c r="C1013" s="1" t="n">
        <v>45787</v>
      </c>
      <c r="D1013" t="inlineStr">
        <is>
          <t>JÄMTLANDS LÄN</t>
        </is>
      </c>
      <c r="E1013" t="inlineStr">
        <is>
          <t>BERG</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10860-2024</t>
        </is>
      </c>
      <c r="B1014" s="1" t="n">
        <v>45370</v>
      </c>
      <c r="C1014" s="1" t="n">
        <v>45787</v>
      </c>
      <c r="D1014" t="inlineStr">
        <is>
          <t>JÄMTLANDS LÄN</t>
        </is>
      </c>
      <c r="E1014" t="inlineStr">
        <is>
          <t>BERG</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11017-2024</t>
        </is>
      </c>
      <c r="B1015" s="1" t="n">
        <v>45370</v>
      </c>
      <c r="C1015" s="1" t="n">
        <v>45787</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12369-2024</t>
        </is>
      </c>
      <c r="B1016" s="1" t="n">
        <v>45378</v>
      </c>
      <c r="C1016" s="1" t="n">
        <v>45787</v>
      </c>
      <c r="D1016" t="inlineStr">
        <is>
          <t>JÄMTLANDS LÄN</t>
        </is>
      </c>
      <c r="E1016" t="inlineStr">
        <is>
          <t>BERG</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12360-2024</t>
        </is>
      </c>
      <c r="B1017" s="1" t="n">
        <v>45378</v>
      </c>
      <c r="C1017" s="1" t="n">
        <v>45787</v>
      </c>
      <c r="D1017" t="inlineStr">
        <is>
          <t>JÄMTLANDS LÄN</t>
        </is>
      </c>
      <c r="E1017" t="inlineStr">
        <is>
          <t>BERG</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12364-2024</t>
        </is>
      </c>
      <c r="B1018" s="1" t="n">
        <v>45378</v>
      </c>
      <c r="C1018" s="1" t="n">
        <v>45787</v>
      </c>
      <c r="D1018" t="inlineStr">
        <is>
          <t>JÄMTLANDS LÄN</t>
        </is>
      </c>
      <c r="E1018" t="inlineStr">
        <is>
          <t>BERG</t>
        </is>
      </c>
      <c r="F1018" t="inlineStr">
        <is>
          <t>SCA</t>
        </is>
      </c>
      <c r="G1018" t="n">
        <v>23.1</v>
      </c>
      <c r="H1018" t="n">
        <v>0</v>
      </c>
      <c r="I1018" t="n">
        <v>0</v>
      </c>
      <c r="J1018" t="n">
        <v>0</v>
      </c>
      <c r="K1018" t="n">
        <v>0</v>
      </c>
      <c r="L1018" t="n">
        <v>0</v>
      </c>
      <c r="M1018" t="n">
        <v>0</v>
      </c>
      <c r="N1018" t="n">
        <v>0</v>
      </c>
      <c r="O1018" t="n">
        <v>0</v>
      </c>
      <c r="P1018" t="n">
        <v>0</v>
      </c>
      <c r="Q1018" t="n">
        <v>0</v>
      </c>
      <c r="R1018" s="2" t="inlineStr"/>
    </row>
    <row r="1019" ht="15" customHeight="1">
      <c r="A1019" t="inlineStr">
        <is>
          <t>A 12962-2024</t>
        </is>
      </c>
      <c r="B1019" s="1" t="n">
        <v>45385</v>
      </c>
      <c r="C1019" s="1" t="n">
        <v>45787</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12966-2024</t>
        </is>
      </c>
      <c r="B1020" s="1" t="n">
        <v>45385</v>
      </c>
      <c r="C1020" s="1" t="n">
        <v>45787</v>
      </c>
      <c r="D1020" t="inlineStr">
        <is>
          <t>JÄMTLANDS LÄN</t>
        </is>
      </c>
      <c r="E1020" t="inlineStr">
        <is>
          <t>BERG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45787</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45787</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12995-2024</t>
        </is>
      </c>
      <c r="B1023" s="1" t="n">
        <v>45385</v>
      </c>
      <c r="C1023" s="1" t="n">
        <v>45787</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45787</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45787</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45787</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45787</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45787</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45787</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45787</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45787</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45787</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45787</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45787</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45787</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45787</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45787</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45787</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45787</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45787</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45787</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45787</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45787</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45787</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45787</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45787</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45787</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45787</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45787</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45787</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45787</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45787</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45787</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45787</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45787</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45787</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45787</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45787</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45787</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45787</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45787</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45787</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45787</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45787</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45787</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45787</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45787</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45787</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45787</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45787</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45787</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45787</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45787</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45787</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45787</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45787</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45787</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45787</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45787</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45787</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45787</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45787</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45787</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45787</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45787</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45787</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45787</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45787</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45787</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45787</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45787</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45787</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45787</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45787</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45787</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45787</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45787</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45787</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45787</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45787</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45787</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45787</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45787</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45787</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45787</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45787</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45787</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45787</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45787</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45787</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45787</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45787</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45787</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45787</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45787</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45787</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45787</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45787</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45787</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45787</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45787</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45787</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45787</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45787</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45787</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45787</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45787</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45787</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45787</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45787</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45787</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45787</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45787</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45787</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45787</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45787</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45787</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45787</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45787</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45787</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45787</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45787</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45787</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45787</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45787</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45787</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45787</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45787</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45787</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45787</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45787</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45787</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45787</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45787</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45787</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45787</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45787</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45787</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45787</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45787</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45787</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45787</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45787</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45787</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45787</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45787</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45787</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45787</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45787</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45787</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45787</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45787</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45787</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45787</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45787</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45787</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45787</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45787</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45787</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45787</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45787</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45787</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45787</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45787</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45787</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45787</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45787</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45787</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45787</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45787</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45787</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45787</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45787</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45787</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45787</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45787</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45787</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45787</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45787</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45787</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45787</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45787</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45787</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45787</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45787</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45787</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45787</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45787</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45787</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45787</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45787</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45787</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45787</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45787</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45787</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45787</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45787</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45787</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45787</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45787</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45787</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45787</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45787</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45787</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45787</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45787</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45787</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45787</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45787</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45787</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45787</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45787</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45787</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45787</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45787</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45787</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45787</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45787</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45787</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45787</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45787</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45787</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45787</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45787</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45787</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45787</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45787</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45787</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45787</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45787</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45787</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45787</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45787</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45787</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45787</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45787</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45787</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45787</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45787</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45787</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45787</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45787</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45787</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45787</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45787</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45787</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45787</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45787</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45787</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45787</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45787</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45787</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45787</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45787</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45787</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45787</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45787</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45787</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45787</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45787</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45787</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45787</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45787</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45787</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45787</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45787</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45787</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45787</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45787</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45787</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45787</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45787</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45787</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45787</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45787</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45787</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45787</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45787</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45787</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45787</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45787</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45787</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45787</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45787</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45787</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45787</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45787</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45787</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45787</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45787</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45787</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45787</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45787</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45787</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45787</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45787</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45787</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45787</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45787</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45787</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45787</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45787</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45787</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45787</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45787</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45787</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45787</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45787</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45787</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45787</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45787</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45787</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45787</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45787</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45787</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45787</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45787</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45787</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45787</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45787</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45787</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45787</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45787</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45787</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45787</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45787</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45787</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45787</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45787</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45787</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45787</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45787</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45787</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45787</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45787</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45787</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45787</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45787</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45787</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45787</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45787</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45787</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45787</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45787</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18502-2025</t>
        </is>
      </c>
      <c r="B1365" s="1" t="n">
        <v>45763</v>
      </c>
      <c r="C1365" s="1" t="n">
        <v>45787</v>
      </c>
      <c r="D1365" t="inlineStr">
        <is>
          <t>JÄMTLANDS LÄN</t>
        </is>
      </c>
      <c r="E1365" t="inlineStr">
        <is>
          <t>BERG</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18551-2025</t>
        </is>
      </c>
      <c r="B1366" s="1" t="n">
        <v>45763</v>
      </c>
      <c r="C1366" s="1" t="n">
        <v>45787</v>
      </c>
      <c r="D1366" t="inlineStr">
        <is>
          <t>JÄMTLANDS LÄN</t>
        </is>
      </c>
      <c r="E1366" t="inlineStr">
        <is>
          <t>BERG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45787</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19428-2025</t>
        </is>
      </c>
      <c r="B1368" s="1" t="n">
        <v>45769</v>
      </c>
      <c r="C1368" s="1" t="n">
        <v>45787</v>
      </c>
      <c r="D1368" t="inlineStr">
        <is>
          <t>JÄMTLANDS LÄN</t>
        </is>
      </c>
      <c r="E1368" t="inlineStr">
        <is>
          <t>BERG</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45787</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45787</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19530-2025</t>
        </is>
      </c>
      <c r="B1371" s="1" t="n">
        <v>45770</v>
      </c>
      <c r="C1371" s="1" t="n">
        <v>45787</v>
      </c>
      <c r="D1371" t="inlineStr">
        <is>
          <t>JÄMTLANDS LÄN</t>
        </is>
      </c>
      <c r="E1371" t="inlineStr">
        <is>
          <t>BERG</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19513-2025</t>
        </is>
      </c>
      <c r="B1372" s="1" t="n">
        <v>45770</v>
      </c>
      <c r="C1372" s="1" t="n">
        <v>45787</v>
      </c>
      <c r="D1372" t="inlineStr">
        <is>
          <t>JÄMTLANDS LÄN</t>
        </is>
      </c>
      <c r="E1372" t="inlineStr">
        <is>
          <t>BERG</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45787</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45787</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45787</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45787</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45787</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45787</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45787</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45787</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45787</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45787</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45787</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45787</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45787</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c r="A1386" t="inlineStr">
        <is>
          <t>A 22478-2025</t>
        </is>
      </c>
      <c r="B1386" s="1" t="n">
        <v>45786</v>
      </c>
      <c r="C1386" s="1" t="n">
        <v>45787</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2025-05-10T17:18:34Z</dcterms:created>
  <dcterms:modified xmlns:dcterms="http://purl.org/dc/terms/" xmlns:xsi="http://www.w3.org/2001/XMLSchema-instance" xsi:type="dcterms:W3CDTF">2025-05-10T17:18:35Z</dcterms:modified>
</cp:coreProperties>
</file>