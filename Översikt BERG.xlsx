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45914</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45914</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45914</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45914</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45914</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45914</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45914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45914</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45914</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45914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45914</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45914</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45914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45914</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45914</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45914</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45914</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45914</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45914</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45914</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39282-2025</t>
        </is>
      </c>
      <c r="B32" s="1" t="n">
        <v>45889.40362268518</v>
      </c>
      <c r="C32" s="1" t="n">
        <v>45914</v>
      </c>
      <c r="D32" t="inlineStr">
        <is>
          <t>JÄMTLANDS LÄN</t>
        </is>
      </c>
      <c r="E32" t="inlineStr">
        <is>
          <t>BERG</t>
        </is>
      </c>
      <c r="G32" t="n">
        <v>12.9</v>
      </c>
      <c r="H32" t="n">
        <v>2</v>
      </c>
      <c r="I32" t="n">
        <v>1</v>
      </c>
      <c r="J32" t="n">
        <v>9</v>
      </c>
      <c r="K32" t="n">
        <v>1</v>
      </c>
      <c r="L32" t="n">
        <v>0</v>
      </c>
      <c r="M32" t="n">
        <v>0</v>
      </c>
      <c r="N32" t="n">
        <v>0</v>
      </c>
      <c r="O32" t="n">
        <v>10</v>
      </c>
      <c r="P32" t="n">
        <v>1</v>
      </c>
      <c r="Q32" t="n">
        <v>11</v>
      </c>
      <c r="R32" s="2" t="inlineStr">
        <is>
          <t>Smalskaftslav
Gammelgransskål
Garnlav
Granticka
Lunglav
Rosenticka
Talltita
Tretåig hackspett
Ullticka
Vitgrynig nållav
Gulnål</t>
        </is>
      </c>
      <c r="S32">
        <f>HYPERLINK("https://klasma.github.io/Logging_2326/artfynd/A 39282-2025 artfynd.xlsx", "A 39282-2025")</f>
        <v/>
      </c>
      <c r="T32">
        <f>HYPERLINK("https://klasma.github.io/Logging_2326/kartor/A 39282-2025 karta.png", "A 39282-2025")</f>
        <v/>
      </c>
      <c r="U32">
        <f>HYPERLINK("https://klasma.github.io/Logging_2326/knärot/A 39282-2025 karta knärot.png", "A 39282-2025")</f>
        <v/>
      </c>
      <c r="V32">
        <f>HYPERLINK("https://klasma.github.io/Logging_2326/klagomål/A 39282-2025 FSC-klagomål.docx", "A 39282-2025")</f>
        <v/>
      </c>
      <c r="W32">
        <f>HYPERLINK("https://klasma.github.io/Logging_2326/klagomålsmail/A 39282-2025 FSC-klagomål mail.docx", "A 39282-2025")</f>
        <v/>
      </c>
      <c r="X32">
        <f>HYPERLINK("https://klasma.github.io/Logging_2326/tillsyn/A 39282-2025 tillsynsbegäran.docx", "A 39282-2025")</f>
        <v/>
      </c>
      <c r="Y32">
        <f>HYPERLINK("https://klasma.github.io/Logging_2326/tillsynsmail/A 39282-2025 tillsynsbegäran mail.docx", "A 39282-2025")</f>
        <v/>
      </c>
      <c r="Z32">
        <f>HYPERLINK("https://klasma.github.io/Logging_2326/fåglar/A 39282-2025 prioriterade fågelarter.docx", "A 39282-2025")</f>
        <v/>
      </c>
    </row>
    <row r="33" ht="15" customHeight="1">
      <c r="A33" t="inlineStr">
        <is>
          <t>A 32045-2025</t>
        </is>
      </c>
      <c r="B33" s="1" t="n">
        <v>45835.43947916666</v>
      </c>
      <c r="C33" s="1" t="n">
        <v>45914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45914</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45914</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45914</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45914</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54020-2020</t>
        </is>
      </c>
      <c r="B38" s="1" t="n">
        <v>44123</v>
      </c>
      <c r="C38" s="1" t="n">
        <v>45914</v>
      </c>
      <c r="D38" t="inlineStr">
        <is>
          <t>JÄMTLANDS LÄN</t>
        </is>
      </c>
      <c r="E38" t="inlineStr">
        <is>
          <t>BERG</t>
        </is>
      </c>
      <c r="G38" t="n">
        <v>42.9</v>
      </c>
      <c r="H38" t="n">
        <v>0</v>
      </c>
      <c r="I38" t="n">
        <v>2</v>
      </c>
      <c r="J38" t="n">
        <v>7</v>
      </c>
      <c r="K38" t="n">
        <v>0</v>
      </c>
      <c r="L38" t="n">
        <v>0</v>
      </c>
      <c r="M38" t="n">
        <v>0</v>
      </c>
      <c r="N38" t="n">
        <v>0</v>
      </c>
      <c r="O38" t="n">
        <v>7</v>
      </c>
      <c r="P38" t="n">
        <v>0</v>
      </c>
      <c r="Q38" t="n">
        <v>9</v>
      </c>
      <c r="R38" s="2" t="inlineStr">
        <is>
          <t>Gammelgransskål
Garnlav
Granticka
Gränsticka
Knottrig blåslav
Rosenticka
Rödbrun blekspik
Trådticka
Vedticka</t>
        </is>
      </c>
      <c r="S38">
        <f>HYPERLINK("https://klasma.github.io/Logging_2326/artfynd/A 54020-2020 artfynd.xlsx", "A 54020-2020")</f>
        <v/>
      </c>
      <c r="T38">
        <f>HYPERLINK("https://klasma.github.io/Logging_2326/kartor/A 54020-2020 karta.png", "A 54020-2020")</f>
        <v/>
      </c>
      <c r="V38">
        <f>HYPERLINK("https://klasma.github.io/Logging_2326/klagomål/A 54020-2020 FSC-klagomål.docx", "A 54020-2020")</f>
        <v/>
      </c>
      <c r="W38">
        <f>HYPERLINK("https://klasma.github.io/Logging_2326/klagomålsmail/A 54020-2020 FSC-klagomål mail.docx", "A 54020-2020")</f>
        <v/>
      </c>
      <c r="X38">
        <f>HYPERLINK("https://klasma.github.io/Logging_2326/tillsyn/A 54020-2020 tillsynsbegäran.docx", "A 54020-2020")</f>
        <v/>
      </c>
      <c r="Y38">
        <f>HYPERLINK("https://klasma.github.io/Logging_2326/tillsynsmail/A 54020-2020 tillsynsbegäran mail.docx", "A 54020-2020")</f>
        <v/>
      </c>
    </row>
    <row r="39" ht="15" customHeight="1">
      <c r="A39" t="inlineStr">
        <is>
          <t>A 7473-2023</t>
        </is>
      </c>
      <c r="B39" s="1" t="n">
        <v>44966</v>
      </c>
      <c r="C39" s="1" t="n">
        <v>45914</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45914</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45914</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45914</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45914</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45914</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45914</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45914</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45914</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17078-2024</t>
        </is>
      </c>
      <c r="B49" s="1" t="n">
        <v>45412</v>
      </c>
      <c r="C49" s="1" t="n">
        <v>45914</v>
      </c>
      <c r="D49" t="inlineStr">
        <is>
          <t>JÄMTLANDS LÄN</t>
        </is>
      </c>
      <c r="E49" t="inlineStr">
        <is>
          <t>BERG</t>
        </is>
      </c>
      <c r="G49" t="n">
        <v>17.8</v>
      </c>
      <c r="H49" t="n">
        <v>2</v>
      </c>
      <c r="I49" t="n">
        <v>2</v>
      </c>
      <c r="J49" t="n">
        <v>3</v>
      </c>
      <c r="K49" t="n">
        <v>1</v>
      </c>
      <c r="L49" t="n">
        <v>0</v>
      </c>
      <c r="M49" t="n">
        <v>0</v>
      </c>
      <c r="N49" t="n">
        <v>0</v>
      </c>
      <c r="O49" t="n">
        <v>4</v>
      </c>
      <c r="P49" t="n">
        <v>1</v>
      </c>
      <c r="Q49" t="n">
        <v>6</v>
      </c>
      <c r="R49" s="2" t="inlineStr">
        <is>
          <t>Rynkskinn
Granticka
Tretåig hackspett
Vitgrynig nållav
Spindelblomster
Ögonpyrola</t>
        </is>
      </c>
      <c r="S49">
        <f>HYPERLINK("https://klasma.github.io/Logging_2326/artfynd/A 17078-2024 artfynd.xlsx", "A 17078-2024")</f>
        <v/>
      </c>
      <c r="T49">
        <f>HYPERLINK("https://klasma.github.io/Logging_2326/kartor/A 17078-2024 karta.png", "A 17078-2024")</f>
        <v/>
      </c>
      <c r="V49">
        <f>HYPERLINK("https://klasma.github.io/Logging_2326/klagomål/A 17078-2024 FSC-klagomål.docx", "A 17078-2024")</f>
        <v/>
      </c>
      <c r="W49">
        <f>HYPERLINK("https://klasma.github.io/Logging_2326/klagomålsmail/A 17078-2024 FSC-klagomål mail.docx", "A 17078-2024")</f>
        <v/>
      </c>
      <c r="X49">
        <f>HYPERLINK("https://klasma.github.io/Logging_2326/tillsyn/A 17078-2024 tillsynsbegäran.docx", "A 17078-2024")</f>
        <v/>
      </c>
      <c r="Y49">
        <f>HYPERLINK("https://klasma.github.io/Logging_2326/tillsynsmail/A 17078-2024 tillsynsbegäran mail.docx", "A 17078-2024")</f>
        <v/>
      </c>
      <c r="Z49">
        <f>HYPERLINK("https://klasma.github.io/Logging_2326/fåglar/A 17078-2024 prioriterade fågelarter.docx", "A 17078-2024")</f>
        <v/>
      </c>
    </row>
    <row r="50" ht="15" customHeight="1">
      <c r="A50" t="inlineStr">
        <is>
          <t>A 24670-2025</t>
        </is>
      </c>
      <c r="B50" s="1" t="n">
        <v>45798.64947916667</v>
      </c>
      <c r="C50" s="1" t="n">
        <v>45914</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16508-2021</t>
        </is>
      </c>
      <c r="B51" s="1" t="n">
        <v>44293</v>
      </c>
      <c r="C51" s="1" t="n">
        <v>45914</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27957-2025</t>
        </is>
      </c>
      <c r="B52" s="1" t="n">
        <v>45817.53871527778</v>
      </c>
      <c r="C52" s="1" t="n">
        <v>45914</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54406-2023</t>
        </is>
      </c>
      <c r="B53" s="1" t="n">
        <v>45233.38612268519</v>
      </c>
      <c r="C53" s="1" t="n">
        <v>45914</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12431-2025</t>
        </is>
      </c>
      <c r="B54" s="1" t="n">
        <v>45730</v>
      </c>
      <c r="C54" s="1" t="n">
        <v>45914</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31719-2022</t>
        </is>
      </c>
      <c r="B55" s="1" t="n">
        <v>44776</v>
      </c>
      <c r="C55" s="1" t="n">
        <v>45914</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45914</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27571-2025</t>
        </is>
      </c>
      <c r="B57" s="1" t="n">
        <v>45813.49040509259</v>
      </c>
      <c r="C57" s="1" t="n">
        <v>45914</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49626-2024</t>
        </is>
      </c>
      <c r="B58" s="1" t="n">
        <v>45596.59109953704</v>
      </c>
      <c r="C58" s="1" t="n">
        <v>45914</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12973-2024</t>
        </is>
      </c>
      <c r="B59" s="1" t="n">
        <v>45385.51104166666</v>
      </c>
      <c r="C59" s="1" t="n">
        <v>45914</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45914</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45914</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28659-2025</t>
        </is>
      </c>
      <c r="B62" s="1" t="n">
        <v>45819.65783564815</v>
      </c>
      <c r="C62" s="1" t="n">
        <v>45914</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45914</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45914</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39288-2025</t>
        </is>
      </c>
      <c r="B65" s="1" t="n">
        <v>45889.40723379629</v>
      </c>
      <c r="C65" s="1" t="n">
        <v>45914</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39281-2025</t>
        </is>
      </c>
      <c r="B66" s="1" t="n">
        <v>45889.40315972222</v>
      </c>
      <c r="C66" s="1" t="n">
        <v>45914</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40860-2025</t>
        </is>
      </c>
      <c r="B67" s="1" t="n">
        <v>45897.56300925926</v>
      </c>
      <c r="C67" s="1" t="n">
        <v>45914</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12966-2024</t>
        </is>
      </c>
      <c r="B68" s="1" t="n">
        <v>45385.50025462963</v>
      </c>
      <c r="C68" s="1" t="n">
        <v>45914</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45914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45914</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45914</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13487-2024</t>
        </is>
      </c>
      <c r="B74" s="1" t="n">
        <v>45387</v>
      </c>
      <c r="C74" s="1" t="n">
        <v>45914</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31715-2025</t>
        </is>
      </c>
      <c r="B75" s="1" t="n">
        <v>45834.45671296296</v>
      </c>
      <c r="C75" s="1" t="n">
        <v>45914</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45424-2024</t>
        </is>
      </c>
      <c r="B76" s="1" t="n">
        <v>45576.60398148148</v>
      </c>
      <c r="C76" s="1" t="n">
        <v>45914</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31742-2025</t>
        </is>
      </c>
      <c r="B77" s="1" t="n">
        <v>45834.47548611111</v>
      </c>
      <c r="C77" s="1" t="n">
        <v>45914</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56224-2024</t>
        </is>
      </c>
      <c r="B78" s="1" t="n">
        <v>45624.61491898148</v>
      </c>
      <c r="C78" s="1" t="n">
        <v>45914</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59823-2022</t>
        </is>
      </c>
      <c r="B79" s="1" t="n">
        <v>44900</v>
      </c>
      <c r="C79" s="1" t="n">
        <v>45914</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27100-2025</t>
        </is>
      </c>
      <c r="B80" s="1" t="n">
        <v>45811.67803240741</v>
      </c>
      <c r="C80" s="1" t="n">
        <v>45914</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38156-2024</t>
        </is>
      </c>
      <c r="B81" s="1" t="n">
        <v>45545</v>
      </c>
      <c r="C81" s="1" t="n">
        <v>45914</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40913-2025</t>
        </is>
      </c>
      <c r="B82" s="1" t="n">
        <v>45897.61719907408</v>
      </c>
      <c r="C82" s="1" t="n">
        <v>45914</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7891-2022</t>
        </is>
      </c>
      <c r="B83" s="1" t="n">
        <v>44607</v>
      </c>
      <c r="C83" s="1" t="n">
        <v>45914</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12962-2024</t>
        </is>
      </c>
      <c r="B84" s="1" t="n">
        <v>45385.49314814815</v>
      </c>
      <c r="C84" s="1" t="n">
        <v>45914</v>
      </c>
      <c r="D84" t="inlineStr">
        <is>
          <t>JÄMTLANDS LÄN</t>
        </is>
      </c>
      <c r="E84" t="inlineStr">
        <is>
          <t>BERG</t>
        </is>
      </c>
      <c r="G84" t="n">
        <v>7.3</v>
      </c>
      <c r="H84" t="n">
        <v>1</v>
      </c>
      <c r="I84" t="n">
        <v>0</v>
      </c>
      <c r="J84" t="n">
        <v>4</v>
      </c>
      <c r="K84" t="n">
        <v>0</v>
      </c>
      <c r="L84" t="n">
        <v>0</v>
      </c>
      <c r="M84" t="n">
        <v>0</v>
      </c>
      <c r="N84" t="n">
        <v>0</v>
      </c>
      <c r="O84" t="n">
        <v>4</v>
      </c>
      <c r="P84" t="n">
        <v>0</v>
      </c>
      <c r="Q84" t="n">
        <v>4</v>
      </c>
      <c r="R84" s="2" t="inlineStr">
        <is>
          <t>Granticka
Lunglav
Skrovellav
Tretåig hackspett</t>
        </is>
      </c>
      <c r="S84">
        <f>HYPERLINK("https://klasma.github.io/Logging_2326/artfynd/A 12962-2024 artfynd.xlsx", "A 12962-2024")</f>
        <v/>
      </c>
      <c r="T84">
        <f>HYPERLINK("https://klasma.github.io/Logging_2326/kartor/A 12962-2024 karta.png", "A 12962-2024")</f>
        <v/>
      </c>
      <c r="V84">
        <f>HYPERLINK("https://klasma.github.io/Logging_2326/klagomål/A 12962-2024 FSC-klagomål.docx", "A 12962-2024")</f>
        <v/>
      </c>
      <c r="W84">
        <f>HYPERLINK("https://klasma.github.io/Logging_2326/klagomålsmail/A 12962-2024 FSC-klagomål mail.docx", "A 12962-2024")</f>
        <v/>
      </c>
      <c r="X84">
        <f>HYPERLINK("https://klasma.github.io/Logging_2326/tillsyn/A 12962-2024 tillsynsbegäran.docx", "A 12962-2024")</f>
        <v/>
      </c>
      <c r="Y84">
        <f>HYPERLINK("https://klasma.github.io/Logging_2326/tillsynsmail/A 12962-2024 tillsynsbegäran mail.docx", "A 12962-2024")</f>
        <v/>
      </c>
      <c r="Z84">
        <f>HYPERLINK("https://klasma.github.io/Logging_2326/fåglar/A 12962-2024 prioriterade fågelarter.docx", "A 12962-2024")</f>
        <v/>
      </c>
    </row>
    <row r="85" ht="15" customHeight="1">
      <c r="A85" t="inlineStr">
        <is>
          <t>A 37381-2022</t>
        </is>
      </c>
      <c r="B85" s="1" t="n">
        <v>44806</v>
      </c>
      <c r="C85" s="1" t="n">
        <v>45914</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16830-2021</t>
        </is>
      </c>
      <c r="B86" s="1" t="n">
        <v>44293</v>
      </c>
      <c r="C86" s="1" t="n">
        <v>45914</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45914</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35925-2024</t>
        </is>
      </c>
      <c r="B88" s="1" t="n">
        <v>45533.43868055556</v>
      </c>
      <c r="C88" s="1" t="n">
        <v>45914</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52189-2024</t>
        </is>
      </c>
      <c r="B89" s="1" t="n">
        <v>45608</v>
      </c>
      <c r="C89" s="1" t="n">
        <v>45914</v>
      </c>
      <c r="D89" t="inlineStr">
        <is>
          <t>JÄMTLANDS LÄN</t>
        </is>
      </c>
      <c r="E89" t="inlineStr">
        <is>
          <t>BERG</t>
        </is>
      </c>
      <c r="G89" t="n">
        <v>10.6</v>
      </c>
      <c r="H89" t="n">
        <v>0</v>
      </c>
      <c r="I89" t="n">
        <v>0</v>
      </c>
      <c r="J89" t="n">
        <v>3</v>
      </c>
      <c r="K89" t="n">
        <v>0</v>
      </c>
      <c r="L89" t="n">
        <v>0</v>
      </c>
      <c r="M89" t="n">
        <v>0</v>
      </c>
      <c r="N89" t="n">
        <v>0</v>
      </c>
      <c r="O89" t="n">
        <v>3</v>
      </c>
      <c r="P89" t="n">
        <v>0</v>
      </c>
      <c r="Q89" t="n">
        <v>3</v>
      </c>
      <c r="R89" s="2" t="inlineStr">
        <is>
          <t>Granticka
Gränsticka
Vitgrynig nållav</t>
        </is>
      </c>
      <c r="S89">
        <f>HYPERLINK("https://klasma.github.io/Logging_2326/artfynd/A 52189-2024 artfynd.xlsx", "A 52189-2024")</f>
        <v/>
      </c>
      <c r="T89">
        <f>HYPERLINK("https://klasma.github.io/Logging_2326/kartor/A 52189-2024 karta.png", "A 52189-2024")</f>
        <v/>
      </c>
      <c r="V89">
        <f>HYPERLINK("https://klasma.github.io/Logging_2326/klagomål/A 52189-2024 FSC-klagomål.docx", "A 52189-2024")</f>
        <v/>
      </c>
      <c r="W89">
        <f>HYPERLINK("https://klasma.github.io/Logging_2326/klagomålsmail/A 52189-2024 FSC-klagomål mail.docx", "A 52189-2024")</f>
        <v/>
      </c>
      <c r="X89">
        <f>HYPERLINK("https://klasma.github.io/Logging_2326/tillsyn/A 52189-2024 tillsynsbegäran.docx", "A 52189-2024")</f>
        <v/>
      </c>
      <c r="Y89">
        <f>HYPERLINK("https://klasma.github.io/Logging_2326/tillsynsmail/A 52189-2024 tillsynsbegäran mail.docx", "A 52189-2024")</f>
        <v/>
      </c>
    </row>
    <row r="90" ht="15" customHeight="1">
      <c r="A90" t="inlineStr">
        <is>
          <t>A 54802-2021</t>
        </is>
      </c>
      <c r="B90" s="1" t="n">
        <v>44473</v>
      </c>
      <c r="C90" s="1" t="n">
        <v>45914</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3062-2025</t>
        </is>
      </c>
      <c r="B91" s="1" t="n">
        <v>45678</v>
      </c>
      <c r="C91" s="1" t="n">
        <v>45914</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6784-2022</t>
        </is>
      </c>
      <c r="B92" s="1" t="n">
        <v>44602</v>
      </c>
      <c r="C92" s="1" t="n">
        <v>45914</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45914</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45914</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54999-2023</t>
        </is>
      </c>
      <c r="B95" s="1" t="n">
        <v>45236</v>
      </c>
      <c r="C95" s="1" t="n">
        <v>45914</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37063-2025</t>
        </is>
      </c>
      <c r="B96" s="1" t="n">
        <v>45875.38596064815</v>
      </c>
      <c r="C96" s="1" t="n">
        <v>45914</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14599-2021</t>
        </is>
      </c>
      <c r="B97" s="1" t="n">
        <v>44279</v>
      </c>
      <c r="C97" s="1" t="n">
        <v>45914</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20242-2025</t>
        </is>
      </c>
      <c r="B98" s="1" t="n">
        <v>45772.69864583333</v>
      </c>
      <c r="C98" s="1" t="n">
        <v>45914</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45914</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14218-2021</t>
        </is>
      </c>
      <c r="B100" s="1" t="n">
        <v>44277</v>
      </c>
      <c r="C100" s="1" t="n">
        <v>45914</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12995-2024</t>
        </is>
      </c>
      <c r="B101" s="1" t="n">
        <v>45385.56458333333</v>
      </c>
      <c r="C101" s="1" t="n">
        <v>45914</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68433-2021</t>
        </is>
      </c>
      <c r="B102" s="1" t="n">
        <v>44529</v>
      </c>
      <c r="C102" s="1" t="n">
        <v>45914</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51950-2021</t>
        </is>
      </c>
      <c r="B103" s="1" t="n">
        <v>44462.9562037037</v>
      </c>
      <c r="C103" s="1" t="n">
        <v>45914</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45914</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45914</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27919-2024</t>
        </is>
      </c>
      <c r="B106" s="1" t="n">
        <v>45475.94865740741</v>
      </c>
      <c r="C106" s="1" t="n">
        <v>45914</v>
      </c>
      <c r="D106" t="inlineStr">
        <is>
          <t>JÄMTLANDS LÄN</t>
        </is>
      </c>
      <c r="E106" t="inlineStr">
        <is>
          <t>BERG</t>
        </is>
      </c>
      <c r="F106" t="inlineStr">
        <is>
          <t>SCA</t>
        </is>
      </c>
      <c r="G106" t="n">
        <v>17.2</v>
      </c>
      <c r="H106" t="n">
        <v>0</v>
      </c>
      <c r="I106" t="n">
        <v>1</v>
      </c>
      <c r="J106" t="n">
        <v>1</v>
      </c>
      <c r="K106" t="n">
        <v>0</v>
      </c>
      <c r="L106" t="n">
        <v>0</v>
      </c>
      <c r="M106" t="n">
        <v>0</v>
      </c>
      <c r="N106" t="n">
        <v>0</v>
      </c>
      <c r="O106" t="n">
        <v>1</v>
      </c>
      <c r="P106" t="n">
        <v>0</v>
      </c>
      <c r="Q106" t="n">
        <v>2</v>
      </c>
      <c r="R106" s="2" t="inlineStr">
        <is>
          <t>Reliktbock
Dropptaggsvamp</t>
        </is>
      </c>
      <c r="S106">
        <f>HYPERLINK("https://klasma.github.io/Logging_2326/artfynd/A 27919-2024 artfynd.xlsx", "A 27919-2024")</f>
        <v/>
      </c>
      <c r="T106">
        <f>HYPERLINK("https://klasma.github.io/Logging_2326/kartor/A 27919-2024 karta.png", "A 27919-2024")</f>
        <v/>
      </c>
      <c r="V106">
        <f>HYPERLINK("https://klasma.github.io/Logging_2326/klagomål/A 27919-2024 FSC-klagomål.docx", "A 27919-2024")</f>
        <v/>
      </c>
      <c r="W106">
        <f>HYPERLINK("https://klasma.github.io/Logging_2326/klagomålsmail/A 27919-2024 FSC-klagomål mail.docx", "A 27919-2024")</f>
        <v/>
      </c>
      <c r="X106">
        <f>HYPERLINK("https://klasma.github.io/Logging_2326/tillsyn/A 27919-2024 tillsynsbegäran.docx", "A 27919-2024")</f>
        <v/>
      </c>
      <c r="Y106">
        <f>HYPERLINK("https://klasma.github.io/Logging_2326/tillsynsmail/A 27919-2024 tillsynsbegäran mail.docx", "A 27919-2024")</f>
        <v/>
      </c>
    </row>
    <row r="107" ht="15" customHeight="1">
      <c r="A107" t="inlineStr">
        <is>
          <t>A 21518-2025</t>
        </is>
      </c>
      <c r="B107" s="1" t="n">
        <v>45782</v>
      </c>
      <c r="C107" s="1" t="n">
        <v>45914</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60333-2024</t>
        </is>
      </c>
      <c r="B108" s="1" t="n">
        <v>45643</v>
      </c>
      <c r="C108" s="1" t="n">
        <v>45914</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Ängsvaxskivling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14344-2025</t>
        </is>
      </c>
      <c r="B109" s="1" t="n">
        <v>45741</v>
      </c>
      <c r="C109" s="1" t="n">
        <v>45914</v>
      </c>
      <c r="D109" t="inlineStr">
        <is>
          <t>JÄMTLANDS LÄN</t>
        </is>
      </c>
      <c r="E109" t="inlineStr">
        <is>
          <t>BERG</t>
        </is>
      </c>
      <c r="G109" t="n">
        <v>3.4</v>
      </c>
      <c r="H109" t="n">
        <v>1</v>
      </c>
      <c r="I109" t="n">
        <v>1</v>
      </c>
      <c r="J109" t="n">
        <v>0</v>
      </c>
      <c r="K109" t="n">
        <v>0</v>
      </c>
      <c r="L109" t="n">
        <v>0</v>
      </c>
      <c r="M109" t="n">
        <v>0</v>
      </c>
      <c r="N109" t="n">
        <v>0</v>
      </c>
      <c r="O109" t="n">
        <v>0</v>
      </c>
      <c r="P109" t="n">
        <v>0</v>
      </c>
      <c r="Q109" t="n">
        <v>2</v>
      </c>
      <c r="R109" s="2" t="inlineStr">
        <is>
          <t>Svart trolldruva
Revlummer</t>
        </is>
      </c>
      <c r="S109">
        <f>HYPERLINK("https://klasma.github.io/Logging_2326/artfynd/A 14344-2025 artfynd.xlsx", "A 14344-2025")</f>
        <v/>
      </c>
      <c r="T109">
        <f>HYPERLINK("https://klasma.github.io/Logging_2326/kartor/A 14344-2025 karta.png", "A 14344-2025")</f>
        <v/>
      </c>
      <c r="V109">
        <f>HYPERLINK("https://klasma.github.io/Logging_2326/klagomål/A 14344-2025 FSC-klagomål.docx", "A 14344-2025")</f>
        <v/>
      </c>
      <c r="W109">
        <f>HYPERLINK("https://klasma.github.io/Logging_2326/klagomålsmail/A 14344-2025 FSC-klagomål mail.docx", "A 14344-2025")</f>
        <v/>
      </c>
      <c r="X109">
        <f>HYPERLINK("https://klasma.github.io/Logging_2326/tillsyn/A 14344-2025 tillsynsbegäran.docx", "A 14344-2025")</f>
        <v/>
      </c>
      <c r="Y109">
        <f>HYPERLINK("https://klasma.github.io/Logging_2326/tillsynsmail/A 14344-2025 tillsynsbegäran mail.docx", "A 14344-2025")</f>
        <v/>
      </c>
    </row>
    <row r="110" ht="15" customHeight="1">
      <c r="A110" t="inlineStr">
        <is>
          <t>A 12734-2024</t>
        </is>
      </c>
      <c r="B110" s="1" t="n">
        <v>45384</v>
      </c>
      <c r="C110" s="1" t="n">
        <v>45914</v>
      </c>
      <c r="D110" t="inlineStr">
        <is>
          <t>JÄMTLANDS LÄN</t>
        </is>
      </c>
      <c r="E110" t="inlineStr">
        <is>
          <t>BERG</t>
        </is>
      </c>
      <c r="G110" t="n">
        <v>7.2</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12734-2024 artfynd.xlsx", "A 12734-2024")</f>
        <v/>
      </c>
      <c r="T110">
        <f>HYPERLINK("https://klasma.github.io/Logging_2326/kartor/A 12734-2024 karta.png", "A 12734-2024")</f>
        <v/>
      </c>
      <c r="V110">
        <f>HYPERLINK("https://klasma.github.io/Logging_2326/klagomål/A 12734-2024 FSC-klagomål.docx", "A 12734-2024")</f>
        <v/>
      </c>
      <c r="W110">
        <f>HYPERLINK("https://klasma.github.io/Logging_2326/klagomålsmail/A 12734-2024 FSC-klagomål mail.docx", "A 12734-2024")</f>
        <v/>
      </c>
      <c r="X110">
        <f>HYPERLINK("https://klasma.github.io/Logging_2326/tillsyn/A 12734-2024 tillsynsbegäran.docx", "A 12734-2024")</f>
        <v/>
      </c>
      <c r="Y110">
        <f>HYPERLINK("https://klasma.github.io/Logging_2326/tillsynsmail/A 12734-2024 tillsynsbegäran mail.docx", "A 12734-2024")</f>
        <v/>
      </c>
      <c r="Z110">
        <f>HYPERLINK("https://klasma.github.io/Logging_2326/fåglar/A 12734-2024 prioriterade fågelarter.docx", "A 12734-2024")</f>
        <v/>
      </c>
    </row>
    <row r="111" ht="15" customHeight="1">
      <c r="A111" t="inlineStr">
        <is>
          <t>A 12745-2024</t>
        </is>
      </c>
      <c r="B111" s="1" t="n">
        <v>45384</v>
      </c>
      <c r="C111" s="1" t="n">
        <v>45914</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26944-2024</t>
        </is>
      </c>
      <c r="B112" s="1" t="n">
        <v>45470.96880787037</v>
      </c>
      <c r="C112" s="1" t="n">
        <v>45914</v>
      </c>
      <c r="D112" t="inlineStr">
        <is>
          <t>JÄMTLANDS LÄN</t>
        </is>
      </c>
      <c r="E112" t="inlineStr">
        <is>
          <t>BERG</t>
        </is>
      </c>
      <c r="F112" t="inlineStr">
        <is>
          <t>SCA</t>
        </is>
      </c>
      <c r="G112" t="n">
        <v>5.7</v>
      </c>
      <c r="H112" t="n">
        <v>0</v>
      </c>
      <c r="I112" t="n">
        <v>0</v>
      </c>
      <c r="J112" t="n">
        <v>2</v>
      </c>
      <c r="K112" t="n">
        <v>0</v>
      </c>
      <c r="L112" t="n">
        <v>0</v>
      </c>
      <c r="M112" t="n">
        <v>0</v>
      </c>
      <c r="N112" t="n">
        <v>0</v>
      </c>
      <c r="O112" t="n">
        <v>2</v>
      </c>
      <c r="P112" t="n">
        <v>0</v>
      </c>
      <c r="Q112" t="n">
        <v>2</v>
      </c>
      <c r="R112" s="2" t="inlineStr">
        <is>
          <t>Blå taggsvamp
Gammelgransskål</t>
        </is>
      </c>
      <c r="S112">
        <f>HYPERLINK("https://klasma.github.io/Logging_2326/artfynd/A 26944-2024 artfynd.xlsx", "A 26944-2024")</f>
        <v/>
      </c>
      <c r="T112">
        <f>HYPERLINK("https://klasma.github.io/Logging_2326/kartor/A 26944-2024 karta.png", "A 26944-2024")</f>
        <v/>
      </c>
      <c r="V112">
        <f>HYPERLINK("https://klasma.github.io/Logging_2326/klagomål/A 26944-2024 FSC-klagomål.docx", "A 26944-2024")</f>
        <v/>
      </c>
      <c r="W112">
        <f>HYPERLINK("https://klasma.github.io/Logging_2326/klagomålsmail/A 26944-2024 FSC-klagomål mail.docx", "A 26944-2024")</f>
        <v/>
      </c>
      <c r="X112">
        <f>HYPERLINK("https://klasma.github.io/Logging_2326/tillsyn/A 26944-2024 tillsynsbegäran.docx", "A 26944-2024")</f>
        <v/>
      </c>
      <c r="Y112">
        <f>HYPERLINK("https://klasma.github.io/Logging_2326/tillsynsmail/A 26944-2024 tillsynsbegäran mail.docx", "A 26944-2024")</f>
        <v/>
      </c>
    </row>
    <row r="113" ht="15" customHeight="1">
      <c r="A113" t="inlineStr">
        <is>
          <t>A 28769-2024</t>
        </is>
      </c>
      <c r="B113" s="1" t="n">
        <v>45478</v>
      </c>
      <c r="C113" s="1" t="n">
        <v>45914</v>
      </c>
      <c r="D113" t="inlineStr">
        <is>
          <t>JÄMTLANDS LÄN</t>
        </is>
      </c>
      <c r="E113" t="inlineStr">
        <is>
          <t>BERG</t>
        </is>
      </c>
      <c r="F113" t="inlineStr">
        <is>
          <t>Sveaskog</t>
        </is>
      </c>
      <c r="G113" t="n">
        <v>2.2</v>
      </c>
      <c r="H113" t="n">
        <v>1</v>
      </c>
      <c r="I113" t="n">
        <v>0</v>
      </c>
      <c r="J113" t="n">
        <v>1</v>
      </c>
      <c r="K113" t="n">
        <v>0</v>
      </c>
      <c r="L113" t="n">
        <v>0</v>
      </c>
      <c r="M113" t="n">
        <v>0</v>
      </c>
      <c r="N113" t="n">
        <v>0</v>
      </c>
      <c r="O113" t="n">
        <v>1</v>
      </c>
      <c r="P113" t="n">
        <v>0</v>
      </c>
      <c r="Q113" t="n">
        <v>2</v>
      </c>
      <c r="R113" s="2" t="inlineStr">
        <is>
          <t>Lunglav
Fläcknycklar</t>
        </is>
      </c>
      <c r="S113">
        <f>HYPERLINK("https://klasma.github.io/Logging_2326/artfynd/A 28769-2024 artfynd.xlsx", "A 28769-2024")</f>
        <v/>
      </c>
      <c r="T113">
        <f>HYPERLINK("https://klasma.github.io/Logging_2326/kartor/A 28769-2024 karta.png", "A 28769-2024")</f>
        <v/>
      </c>
      <c r="V113">
        <f>HYPERLINK("https://klasma.github.io/Logging_2326/klagomål/A 28769-2024 FSC-klagomål.docx", "A 28769-2024")</f>
        <v/>
      </c>
      <c r="W113">
        <f>HYPERLINK("https://klasma.github.io/Logging_2326/klagomålsmail/A 28769-2024 FSC-klagomål mail.docx", "A 28769-2024")</f>
        <v/>
      </c>
      <c r="X113">
        <f>HYPERLINK("https://klasma.github.io/Logging_2326/tillsyn/A 28769-2024 tillsynsbegäran.docx", "A 28769-2024")</f>
        <v/>
      </c>
      <c r="Y113">
        <f>HYPERLINK("https://klasma.github.io/Logging_2326/tillsynsmail/A 28769-2024 tillsynsbegäran mail.docx", "A 28769-2024")</f>
        <v/>
      </c>
    </row>
    <row r="114" ht="15" customHeight="1">
      <c r="A114" t="inlineStr">
        <is>
          <t>A 59786-2020</t>
        </is>
      </c>
      <c r="B114" s="1" t="n">
        <v>44148</v>
      </c>
      <c r="C114" s="1" t="n">
        <v>45914</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45914</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26748-2025</t>
        </is>
      </c>
      <c r="B116" s="1" t="n">
        <v>45810.53988425926</v>
      </c>
      <c r="C116" s="1" t="n">
        <v>45914</v>
      </c>
      <c r="D116" t="inlineStr">
        <is>
          <t>JÄMTLANDS LÄN</t>
        </is>
      </c>
      <c r="E116" t="inlineStr">
        <is>
          <t>BERG</t>
        </is>
      </c>
      <c r="G116" t="n">
        <v>17.4</v>
      </c>
      <c r="H116" t="n">
        <v>1</v>
      </c>
      <c r="I116" t="n">
        <v>0</v>
      </c>
      <c r="J116" t="n">
        <v>2</v>
      </c>
      <c r="K116" t="n">
        <v>0</v>
      </c>
      <c r="L116" t="n">
        <v>0</v>
      </c>
      <c r="M116" t="n">
        <v>0</v>
      </c>
      <c r="N116" t="n">
        <v>0</v>
      </c>
      <c r="O116" t="n">
        <v>2</v>
      </c>
      <c r="P116" t="n">
        <v>0</v>
      </c>
      <c r="Q116" t="n">
        <v>2</v>
      </c>
      <c r="R116" s="2" t="inlineStr">
        <is>
          <t>Lunglav
Tretåig hackspett</t>
        </is>
      </c>
      <c r="S116">
        <f>HYPERLINK("https://klasma.github.io/Logging_2326/artfynd/A 26748-2025 artfynd.xlsx", "A 26748-2025")</f>
        <v/>
      </c>
      <c r="T116">
        <f>HYPERLINK("https://klasma.github.io/Logging_2326/kartor/A 26748-2025 karta.png", "A 26748-2025")</f>
        <v/>
      </c>
      <c r="V116">
        <f>HYPERLINK("https://klasma.github.io/Logging_2326/klagomål/A 26748-2025 FSC-klagomål.docx", "A 26748-2025")</f>
        <v/>
      </c>
      <c r="W116">
        <f>HYPERLINK("https://klasma.github.io/Logging_2326/klagomålsmail/A 26748-2025 FSC-klagomål mail.docx", "A 26748-2025")</f>
        <v/>
      </c>
      <c r="X116">
        <f>HYPERLINK("https://klasma.github.io/Logging_2326/tillsyn/A 26748-2025 tillsynsbegäran.docx", "A 26748-2025")</f>
        <v/>
      </c>
      <c r="Y116">
        <f>HYPERLINK("https://klasma.github.io/Logging_2326/tillsynsmail/A 26748-2025 tillsynsbegäran mail.docx", "A 26748-2025")</f>
        <v/>
      </c>
      <c r="Z116">
        <f>HYPERLINK("https://klasma.github.io/Logging_2326/fåglar/A 26748-2025 prioriterade fågelarter.docx", "A 26748-2025")</f>
        <v/>
      </c>
    </row>
    <row r="117" ht="15" customHeight="1">
      <c r="A117" t="inlineStr">
        <is>
          <t>A 27647-2025</t>
        </is>
      </c>
      <c r="B117" s="1" t="n">
        <v>45813.59454861111</v>
      </c>
      <c r="C117" s="1" t="n">
        <v>45914</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55331-2023</t>
        </is>
      </c>
      <c r="B118" s="1" t="n">
        <v>45237</v>
      </c>
      <c r="C118" s="1" t="n">
        <v>45914</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31709-2025</t>
        </is>
      </c>
      <c r="B119" s="1" t="n">
        <v>45834.42543981481</v>
      </c>
      <c r="C119" s="1" t="n">
        <v>45914</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30334-2024</t>
        </is>
      </c>
      <c r="B120" s="1" t="n">
        <v>45490.95396990741</v>
      </c>
      <c r="C120" s="1" t="n">
        <v>45914</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8734-2025</t>
        </is>
      </c>
      <c r="B121" s="1" t="n">
        <v>45712.53209490741</v>
      </c>
      <c r="C121" s="1" t="n">
        <v>45914</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19948-2025</t>
        </is>
      </c>
      <c r="B122" s="1" t="n">
        <v>45771.65668981482</v>
      </c>
      <c r="C122" s="1" t="n">
        <v>45914</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48880-2023</t>
        </is>
      </c>
      <c r="B123" s="1" t="n">
        <v>45209</v>
      </c>
      <c r="C123" s="1" t="n">
        <v>45914</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42120-2025</t>
        </is>
      </c>
      <c r="B124" s="1" t="n">
        <v>45904.34236111111</v>
      </c>
      <c r="C124" s="1" t="n">
        <v>45914</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10133-2023</t>
        </is>
      </c>
      <c r="B125" s="1" t="n">
        <v>44986</v>
      </c>
      <c r="C125" s="1" t="n">
        <v>45914</v>
      </c>
      <c r="D125" t="inlineStr">
        <is>
          <t>JÄMTLANDS LÄN</t>
        </is>
      </c>
      <c r="E125" t="inlineStr">
        <is>
          <t>BERG</t>
        </is>
      </c>
      <c r="F125" t="inlineStr">
        <is>
          <t>Holmen skog AB</t>
        </is>
      </c>
      <c r="G125" t="n">
        <v>3</v>
      </c>
      <c r="H125" t="n">
        <v>0</v>
      </c>
      <c r="I125" t="n">
        <v>0</v>
      </c>
      <c r="J125" t="n">
        <v>2</v>
      </c>
      <c r="K125" t="n">
        <v>0</v>
      </c>
      <c r="L125" t="n">
        <v>0</v>
      </c>
      <c r="M125" t="n">
        <v>0</v>
      </c>
      <c r="N125" t="n">
        <v>0</v>
      </c>
      <c r="O125" t="n">
        <v>2</v>
      </c>
      <c r="P125" t="n">
        <v>0</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37387-2022</t>
        </is>
      </c>
      <c r="B126" s="1" t="n">
        <v>44806</v>
      </c>
      <c r="C126" s="1" t="n">
        <v>45914</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41317-2022</t>
        </is>
      </c>
      <c r="B127" s="1" t="n">
        <v>44826</v>
      </c>
      <c r="C127" s="1" t="n">
        <v>45914</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45914</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32686-2022</t>
        </is>
      </c>
      <c r="B129" s="1" t="n">
        <v>44776</v>
      </c>
      <c r="C129" s="1" t="n">
        <v>45914</v>
      </c>
      <c r="D129" t="inlineStr">
        <is>
          <t>JÄMTLANDS LÄN</t>
        </is>
      </c>
      <c r="E129" t="inlineStr">
        <is>
          <t>BERG</t>
        </is>
      </c>
      <c r="G129" t="n">
        <v>4.8</v>
      </c>
      <c r="H129" t="n">
        <v>1</v>
      </c>
      <c r="I129" t="n">
        <v>0</v>
      </c>
      <c r="J129" t="n">
        <v>0</v>
      </c>
      <c r="K129" t="n">
        <v>1</v>
      </c>
      <c r="L129" t="n">
        <v>0</v>
      </c>
      <c r="M129" t="n">
        <v>0</v>
      </c>
      <c r="N129" t="n">
        <v>0</v>
      </c>
      <c r="O129" t="n">
        <v>1</v>
      </c>
      <c r="P129" t="n">
        <v>1</v>
      </c>
      <c r="Q129" t="n">
        <v>1</v>
      </c>
      <c r="R129" s="2" t="inlineStr">
        <is>
          <t>Knärot</t>
        </is>
      </c>
      <c r="S129">
        <f>HYPERLINK("https://klasma.github.io/Logging_2326/artfynd/A 32686-2022 artfynd.xlsx", "A 32686-2022")</f>
        <v/>
      </c>
      <c r="T129">
        <f>HYPERLINK("https://klasma.github.io/Logging_2326/kartor/A 32686-2022 karta.png", "A 32686-2022")</f>
        <v/>
      </c>
      <c r="U129">
        <f>HYPERLINK("https://klasma.github.io/Logging_2326/knärot/A 32686-2022 karta knärot.png", "A 32686-2022")</f>
        <v/>
      </c>
      <c r="V129">
        <f>HYPERLINK("https://klasma.github.io/Logging_2326/klagomål/A 32686-2022 FSC-klagomål.docx", "A 32686-2022")</f>
        <v/>
      </c>
      <c r="W129">
        <f>HYPERLINK("https://klasma.github.io/Logging_2326/klagomålsmail/A 32686-2022 FSC-klagomål mail.docx", "A 32686-2022")</f>
        <v/>
      </c>
      <c r="X129">
        <f>HYPERLINK("https://klasma.github.io/Logging_2326/tillsyn/A 32686-2022 tillsynsbegäran.docx", "A 32686-2022")</f>
        <v/>
      </c>
      <c r="Y129">
        <f>HYPERLINK("https://klasma.github.io/Logging_2326/tillsynsmail/A 32686-2022 tillsynsbegäran mail.docx", "A 32686-2022")</f>
        <v/>
      </c>
    </row>
    <row r="130" ht="15" customHeight="1">
      <c r="A130" t="inlineStr">
        <is>
          <t>A 20444-2025</t>
        </is>
      </c>
      <c r="B130" s="1" t="n">
        <v>45775.48989583334</v>
      </c>
      <c r="C130" s="1" t="n">
        <v>45914</v>
      </c>
      <c r="D130" t="inlineStr">
        <is>
          <t>JÄMTLANDS LÄN</t>
        </is>
      </c>
      <c r="E130" t="inlineStr">
        <is>
          <t>BERG</t>
        </is>
      </c>
      <c r="F130" t="inlineStr">
        <is>
          <t>SCA</t>
        </is>
      </c>
      <c r="G130" t="n">
        <v>2.3</v>
      </c>
      <c r="H130" t="n">
        <v>0</v>
      </c>
      <c r="I130" t="n">
        <v>0</v>
      </c>
      <c r="J130" t="n">
        <v>0</v>
      </c>
      <c r="K130" t="n">
        <v>1</v>
      </c>
      <c r="L130" t="n">
        <v>0</v>
      </c>
      <c r="M130" t="n">
        <v>0</v>
      </c>
      <c r="N130" t="n">
        <v>0</v>
      </c>
      <c r="O130" t="n">
        <v>1</v>
      </c>
      <c r="P130" t="n">
        <v>1</v>
      </c>
      <c r="Q130" t="n">
        <v>1</v>
      </c>
      <c r="R130" s="2" t="inlineStr">
        <is>
          <t>Gräddporing</t>
        </is>
      </c>
      <c r="S130">
        <f>HYPERLINK("https://klasma.github.io/Logging_2326/artfynd/A 20444-2025 artfynd.xlsx", "A 20444-2025")</f>
        <v/>
      </c>
      <c r="T130">
        <f>HYPERLINK("https://klasma.github.io/Logging_2326/kartor/A 20444-2025 karta.png", "A 20444-2025")</f>
        <v/>
      </c>
      <c r="V130">
        <f>HYPERLINK("https://klasma.github.io/Logging_2326/klagomål/A 20444-2025 FSC-klagomål.docx", "A 20444-2025")</f>
        <v/>
      </c>
      <c r="W130">
        <f>HYPERLINK("https://klasma.github.io/Logging_2326/klagomålsmail/A 20444-2025 FSC-klagomål mail.docx", "A 20444-2025")</f>
        <v/>
      </c>
      <c r="X130">
        <f>HYPERLINK("https://klasma.github.io/Logging_2326/tillsyn/A 20444-2025 tillsynsbegäran.docx", "A 20444-2025")</f>
        <v/>
      </c>
      <c r="Y130">
        <f>HYPERLINK("https://klasma.github.io/Logging_2326/tillsynsmail/A 20444-2025 tillsynsbegäran mail.docx", "A 20444-2025")</f>
        <v/>
      </c>
    </row>
    <row r="131" ht="15" customHeight="1">
      <c r="A131" t="inlineStr">
        <is>
          <t>A 47-2023</t>
        </is>
      </c>
      <c r="B131" s="1" t="n">
        <v>44928</v>
      </c>
      <c r="C131" s="1" t="n">
        <v>45914</v>
      </c>
      <c r="D131" t="inlineStr">
        <is>
          <t>JÄMTLANDS LÄN</t>
        </is>
      </c>
      <c r="E131" t="inlineStr">
        <is>
          <t>BERG</t>
        </is>
      </c>
      <c r="F131" t="inlineStr">
        <is>
          <t>Naturvårdsverket</t>
        </is>
      </c>
      <c r="G131" t="n">
        <v>1.5</v>
      </c>
      <c r="H131" t="n">
        <v>0</v>
      </c>
      <c r="I131" t="n">
        <v>0</v>
      </c>
      <c r="J131" t="n">
        <v>1</v>
      </c>
      <c r="K131" t="n">
        <v>0</v>
      </c>
      <c r="L131" t="n">
        <v>0</v>
      </c>
      <c r="M131" t="n">
        <v>0</v>
      </c>
      <c r="N131" t="n">
        <v>0</v>
      </c>
      <c r="O131" t="n">
        <v>1</v>
      </c>
      <c r="P131" t="n">
        <v>0</v>
      </c>
      <c r="Q131" t="n">
        <v>1</v>
      </c>
      <c r="R131" s="2" t="inlineStr">
        <is>
          <t>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21681-2025</t>
        </is>
      </c>
      <c r="B132" s="1" t="n">
        <v>45783.49015046296</v>
      </c>
      <c r="C132" s="1" t="n">
        <v>45914</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56202-2021</t>
        </is>
      </c>
      <c r="B133" s="1" t="n">
        <v>44477</v>
      </c>
      <c r="C133" s="1" t="n">
        <v>45914</v>
      </c>
      <c r="D133" t="inlineStr">
        <is>
          <t>JÄMTLANDS LÄN</t>
        </is>
      </c>
      <c r="E133" t="inlineStr">
        <is>
          <t>BERG</t>
        </is>
      </c>
      <c r="F133" t="inlineStr">
        <is>
          <t>SCA</t>
        </is>
      </c>
      <c r="G133" t="n">
        <v>1.1</v>
      </c>
      <c r="H133" t="n">
        <v>1</v>
      </c>
      <c r="I133" t="n">
        <v>0</v>
      </c>
      <c r="J133" t="n">
        <v>0</v>
      </c>
      <c r="K133" t="n">
        <v>1</v>
      </c>
      <c r="L133" t="n">
        <v>0</v>
      </c>
      <c r="M133" t="n">
        <v>0</v>
      </c>
      <c r="N133" t="n">
        <v>0</v>
      </c>
      <c r="O133" t="n">
        <v>1</v>
      </c>
      <c r="P133" t="n">
        <v>1</v>
      </c>
      <c r="Q133" t="n">
        <v>1</v>
      </c>
      <c r="R133" s="2" t="inlineStr">
        <is>
          <t>Knärot</t>
        </is>
      </c>
      <c r="S133">
        <f>HYPERLINK("https://klasma.github.io/Logging_2326/artfynd/A 56202-2021 artfynd.xlsx", "A 56202-2021")</f>
        <v/>
      </c>
      <c r="T133">
        <f>HYPERLINK("https://klasma.github.io/Logging_2326/kartor/A 56202-2021 karta.png", "A 56202-2021")</f>
        <v/>
      </c>
      <c r="U133">
        <f>HYPERLINK("https://klasma.github.io/Logging_2326/knärot/A 56202-2021 karta knärot.png", "A 56202-2021")</f>
        <v/>
      </c>
      <c r="V133">
        <f>HYPERLINK("https://klasma.github.io/Logging_2326/klagomål/A 56202-2021 FSC-klagomål.docx", "A 56202-2021")</f>
        <v/>
      </c>
      <c r="W133">
        <f>HYPERLINK("https://klasma.github.io/Logging_2326/klagomålsmail/A 56202-2021 FSC-klagomål mail.docx", "A 56202-2021")</f>
        <v/>
      </c>
      <c r="X133">
        <f>HYPERLINK("https://klasma.github.io/Logging_2326/tillsyn/A 56202-2021 tillsynsbegäran.docx", "A 56202-2021")</f>
        <v/>
      </c>
      <c r="Y133">
        <f>HYPERLINK("https://klasma.github.io/Logging_2326/tillsynsmail/A 56202-2021 tillsynsbegäran mail.docx", "A 56202-2021")</f>
        <v/>
      </c>
    </row>
    <row r="134" ht="15" customHeight="1">
      <c r="A134" t="inlineStr">
        <is>
          <t>A 53708-2024</t>
        </is>
      </c>
      <c r="B134" s="1" t="n">
        <v>45615.40983796296</v>
      </c>
      <c r="C134" s="1" t="n">
        <v>45914</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33126-2024</t>
        </is>
      </c>
      <c r="B135" s="1" t="n">
        <v>45517.9575462963</v>
      </c>
      <c r="C135" s="1" t="n">
        <v>45914</v>
      </c>
      <c r="D135" t="inlineStr">
        <is>
          <t>JÄMTLANDS LÄN</t>
        </is>
      </c>
      <c r="E135" t="inlineStr">
        <is>
          <t>BERG</t>
        </is>
      </c>
      <c r="F135" t="inlineStr">
        <is>
          <t>SCA</t>
        </is>
      </c>
      <c r="G135" t="n">
        <v>4.2</v>
      </c>
      <c r="H135" t="n">
        <v>0</v>
      </c>
      <c r="I135" t="n">
        <v>0</v>
      </c>
      <c r="J135" t="n">
        <v>0</v>
      </c>
      <c r="K135" t="n">
        <v>1</v>
      </c>
      <c r="L135" t="n">
        <v>0</v>
      </c>
      <c r="M135" t="n">
        <v>0</v>
      </c>
      <c r="N135" t="n">
        <v>0</v>
      </c>
      <c r="O135" t="n">
        <v>1</v>
      </c>
      <c r="P135" t="n">
        <v>1</v>
      </c>
      <c r="Q135" t="n">
        <v>1</v>
      </c>
      <c r="R135" s="2" t="inlineStr">
        <is>
          <t>Gräddporing</t>
        </is>
      </c>
      <c r="S135">
        <f>HYPERLINK("https://klasma.github.io/Logging_2326/artfynd/A 33126-2024 artfynd.xlsx", "A 33126-2024")</f>
        <v/>
      </c>
      <c r="T135">
        <f>HYPERLINK("https://klasma.github.io/Logging_2326/kartor/A 33126-2024 karta.png", "A 33126-2024")</f>
        <v/>
      </c>
      <c r="V135">
        <f>HYPERLINK("https://klasma.github.io/Logging_2326/klagomål/A 33126-2024 FSC-klagomål.docx", "A 33126-2024")</f>
        <v/>
      </c>
      <c r="W135">
        <f>HYPERLINK("https://klasma.github.io/Logging_2326/klagomålsmail/A 33126-2024 FSC-klagomål mail.docx", "A 33126-2024")</f>
        <v/>
      </c>
      <c r="X135">
        <f>HYPERLINK("https://klasma.github.io/Logging_2326/tillsyn/A 33126-2024 tillsynsbegäran.docx", "A 33126-2024")</f>
        <v/>
      </c>
      <c r="Y135">
        <f>HYPERLINK("https://klasma.github.io/Logging_2326/tillsynsmail/A 33126-2024 tillsynsbegäran mail.docx", "A 33126-2024")</f>
        <v/>
      </c>
    </row>
    <row r="136" ht="15" customHeight="1">
      <c r="A136" t="inlineStr">
        <is>
          <t>A 20808-2024</t>
        </is>
      </c>
      <c r="B136" s="1" t="n">
        <v>45439</v>
      </c>
      <c r="C136" s="1" t="n">
        <v>45914</v>
      </c>
      <c r="D136" t="inlineStr">
        <is>
          <t>JÄMTLANDS LÄN</t>
        </is>
      </c>
      <c r="E136" t="inlineStr">
        <is>
          <t>BERG</t>
        </is>
      </c>
      <c r="G136" t="n">
        <v>1.4</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20808-2024 artfynd.xlsx", "A 20808-2024")</f>
        <v/>
      </c>
      <c r="T136">
        <f>HYPERLINK("https://klasma.github.io/Logging_2326/kartor/A 20808-2024 karta.png", "A 20808-2024")</f>
        <v/>
      </c>
      <c r="V136">
        <f>HYPERLINK("https://klasma.github.io/Logging_2326/klagomål/A 20808-2024 FSC-klagomål.docx", "A 20808-2024")</f>
        <v/>
      </c>
      <c r="W136">
        <f>HYPERLINK("https://klasma.github.io/Logging_2326/klagomålsmail/A 20808-2024 FSC-klagomål mail.docx", "A 20808-2024")</f>
        <v/>
      </c>
      <c r="X136">
        <f>HYPERLINK("https://klasma.github.io/Logging_2326/tillsyn/A 20808-2024 tillsynsbegäran.docx", "A 20808-2024")</f>
        <v/>
      </c>
      <c r="Y136">
        <f>HYPERLINK("https://klasma.github.io/Logging_2326/tillsynsmail/A 20808-2024 tillsynsbegäran mail.docx", "A 20808-2024")</f>
        <v/>
      </c>
      <c r="Z136">
        <f>HYPERLINK("https://klasma.github.io/Logging_2326/fåglar/A 20808-2024 prioriterade fågelarter.docx", "A 20808-2024")</f>
        <v/>
      </c>
    </row>
    <row r="137" ht="15" customHeight="1">
      <c r="A137" t="inlineStr">
        <is>
          <t>A 24331-2025</t>
        </is>
      </c>
      <c r="B137" s="1" t="n">
        <v>45797</v>
      </c>
      <c r="C137" s="1" t="n">
        <v>45914</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49049-2024</t>
        </is>
      </c>
      <c r="B138" s="1" t="n">
        <v>45594.5742824074</v>
      </c>
      <c r="C138" s="1" t="n">
        <v>45914</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23177-2024</t>
        </is>
      </c>
      <c r="B139" s="1" t="n">
        <v>45450</v>
      </c>
      <c r="C139" s="1" t="n">
        <v>45914</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50556-2024</t>
        </is>
      </c>
      <c r="B140" s="1" t="n">
        <v>45601.59604166666</v>
      </c>
      <c r="C140" s="1" t="n">
        <v>45914</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25556-2025</t>
        </is>
      </c>
      <c r="B141" s="1" t="n">
        <v>45803.45106481481</v>
      </c>
      <c r="C141" s="1" t="n">
        <v>45914</v>
      </c>
      <c r="D141" t="inlineStr">
        <is>
          <t>JÄMTLANDS LÄN</t>
        </is>
      </c>
      <c r="E141" t="inlineStr">
        <is>
          <t>BERG</t>
        </is>
      </c>
      <c r="G141" t="n">
        <v>6.2</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25556-2025 artfynd.xlsx", "A 25556-2025")</f>
        <v/>
      </c>
      <c r="T141">
        <f>HYPERLINK("https://klasma.github.io/Logging_2326/kartor/A 25556-2025 karta.png", "A 25556-2025")</f>
        <v/>
      </c>
      <c r="V141">
        <f>HYPERLINK("https://klasma.github.io/Logging_2326/klagomål/A 25556-2025 FSC-klagomål.docx", "A 25556-2025")</f>
        <v/>
      </c>
      <c r="W141">
        <f>HYPERLINK("https://klasma.github.io/Logging_2326/klagomålsmail/A 25556-2025 FSC-klagomål mail.docx", "A 25556-2025")</f>
        <v/>
      </c>
      <c r="X141">
        <f>HYPERLINK("https://klasma.github.io/Logging_2326/tillsyn/A 25556-2025 tillsynsbegäran.docx", "A 25556-2025")</f>
        <v/>
      </c>
      <c r="Y141">
        <f>HYPERLINK("https://klasma.github.io/Logging_2326/tillsynsmail/A 25556-2025 tillsynsbegäran mail.docx", "A 25556-2025")</f>
        <v/>
      </c>
      <c r="Z141">
        <f>HYPERLINK("https://klasma.github.io/Logging_2326/fåglar/A 25556-2025 prioriterade fågelarter.docx", "A 25556-2025")</f>
        <v/>
      </c>
    </row>
    <row r="142" ht="15" customHeight="1">
      <c r="A142" t="inlineStr">
        <is>
          <t>A 33083-2024</t>
        </is>
      </c>
      <c r="B142" s="1" t="n">
        <v>45517.675</v>
      </c>
      <c r="C142" s="1" t="n">
        <v>45914</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24309-2023</t>
        </is>
      </c>
      <c r="B143" s="1" t="n">
        <v>45079</v>
      </c>
      <c r="C143" s="1" t="n">
        <v>45914</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41635-2024</t>
        </is>
      </c>
      <c r="B144" s="1" t="n">
        <v>45560.61601851852</v>
      </c>
      <c r="C144" s="1" t="n">
        <v>45914</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32171-2024</t>
        </is>
      </c>
      <c r="B145" s="1" t="n">
        <v>45511</v>
      </c>
      <c r="C145" s="1" t="n">
        <v>45914</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52193-2024</t>
        </is>
      </c>
      <c r="B146" s="1" t="n">
        <v>45608</v>
      </c>
      <c r="C146" s="1" t="n">
        <v>45914</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45914</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54595-2024</t>
        </is>
      </c>
      <c r="B148" s="1" t="n">
        <v>45617.67353009259</v>
      </c>
      <c r="C148" s="1" t="n">
        <v>45914</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45914</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37651-2025</t>
        </is>
      </c>
      <c r="B150" s="1" t="n">
        <v>45880.49006944444</v>
      </c>
      <c r="C150" s="1" t="n">
        <v>45914</v>
      </c>
      <c r="D150" t="inlineStr">
        <is>
          <t>JÄMTLANDS LÄN</t>
        </is>
      </c>
      <c r="E150" t="inlineStr">
        <is>
          <t>BERG</t>
        </is>
      </c>
      <c r="F150" t="inlineStr">
        <is>
          <t>SCA</t>
        </is>
      </c>
      <c r="G150" t="n">
        <v>8.5</v>
      </c>
      <c r="H150" t="n">
        <v>0</v>
      </c>
      <c r="I150" t="n">
        <v>0</v>
      </c>
      <c r="J150" t="n">
        <v>1</v>
      </c>
      <c r="K150" t="n">
        <v>0</v>
      </c>
      <c r="L150" t="n">
        <v>0</v>
      </c>
      <c r="M150" t="n">
        <v>0</v>
      </c>
      <c r="N150" t="n">
        <v>0</v>
      </c>
      <c r="O150" t="n">
        <v>1</v>
      </c>
      <c r="P150" t="n">
        <v>0</v>
      </c>
      <c r="Q150" t="n">
        <v>1</v>
      </c>
      <c r="R150" s="2" t="inlineStr">
        <is>
          <t>Vedflamlav</t>
        </is>
      </c>
      <c r="S150">
        <f>HYPERLINK("https://klasma.github.io/Logging_2326/artfynd/A 37651-2025 artfynd.xlsx", "A 37651-2025")</f>
        <v/>
      </c>
      <c r="T150">
        <f>HYPERLINK("https://klasma.github.io/Logging_2326/kartor/A 37651-2025 karta.png", "A 37651-2025")</f>
        <v/>
      </c>
      <c r="V150">
        <f>HYPERLINK("https://klasma.github.io/Logging_2326/klagomål/A 37651-2025 FSC-klagomål.docx", "A 37651-2025")</f>
        <v/>
      </c>
      <c r="W150">
        <f>HYPERLINK("https://klasma.github.io/Logging_2326/klagomålsmail/A 37651-2025 FSC-klagomål mail.docx", "A 37651-2025")</f>
        <v/>
      </c>
      <c r="X150">
        <f>HYPERLINK("https://klasma.github.io/Logging_2326/tillsyn/A 37651-2025 tillsynsbegäran.docx", "A 37651-2025")</f>
        <v/>
      </c>
      <c r="Y150">
        <f>HYPERLINK("https://klasma.github.io/Logging_2326/tillsynsmail/A 37651-2025 tillsynsbegäran mail.docx", "A 37651-2025")</f>
        <v/>
      </c>
    </row>
    <row r="151" ht="15" customHeight="1">
      <c r="A151" t="inlineStr">
        <is>
          <t>A 37513-2025</t>
        </is>
      </c>
      <c r="B151" s="1" t="n">
        <v>45877.69828703703</v>
      </c>
      <c r="C151" s="1" t="n">
        <v>45914</v>
      </c>
      <c r="D151" t="inlineStr">
        <is>
          <t>JÄMTLANDS LÄN</t>
        </is>
      </c>
      <c r="E151" t="inlineStr">
        <is>
          <t>BERG</t>
        </is>
      </c>
      <c r="F151" t="inlineStr">
        <is>
          <t>SCA</t>
        </is>
      </c>
      <c r="G151" t="n">
        <v>14.1</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37513-2025 artfynd.xlsx", "A 37513-2025")</f>
        <v/>
      </c>
      <c r="T151">
        <f>HYPERLINK("https://klasma.github.io/Logging_2326/kartor/A 37513-2025 karta.png", "A 37513-2025")</f>
        <v/>
      </c>
      <c r="V151">
        <f>HYPERLINK("https://klasma.github.io/Logging_2326/klagomål/A 37513-2025 FSC-klagomål.docx", "A 37513-2025")</f>
        <v/>
      </c>
      <c r="W151">
        <f>HYPERLINK("https://klasma.github.io/Logging_2326/klagomålsmail/A 37513-2025 FSC-klagomål mail.docx", "A 37513-2025")</f>
        <v/>
      </c>
      <c r="X151">
        <f>HYPERLINK("https://klasma.github.io/Logging_2326/tillsyn/A 37513-2025 tillsynsbegäran.docx", "A 37513-2025")</f>
        <v/>
      </c>
      <c r="Y151">
        <f>HYPERLINK("https://klasma.github.io/Logging_2326/tillsynsmail/A 37513-2025 tillsynsbegäran mail.docx", "A 37513-2025")</f>
        <v/>
      </c>
    </row>
    <row r="152" ht="15" customHeight="1">
      <c r="A152" t="inlineStr">
        <is>
          <t>A 53086-2024</t>
        </is>
      </c>
      <c r="B152" s="1" t="n">
        <v>45611.51084490741</v>
      </c>
      <c r="C152" s="1" t="n">
        <v>45914</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21632-2025</t>
        </is>
      </c>
      <c r="B153" s="1" t="n">
        <v>45783.42753472222</v>
      </c>
      <c r="C153" s="1" t="n">
        <v>45914</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33501-2025</t>
        </is>
      </c>
      <c r="B154" s="1" t="n">
        <v>45841</v>
      </c>
      <c r="C154" s="1" t="n">
        <v>45914</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21370-2025</t>
        </is>
      </c>
      <c r="B155" s="1" t="n">
        <v>45782.4484375</v>
      </c>
      <c r="C155" s="1" t="n">
        <v>45914</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49276-2024</t>
        </is>
      </c>
      <c r="B156" s="1" t="n">
        <v>45595.50819444445</v>
      </c>
      <c r="C156" s="1" t="n">
        <v>45914</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49276-2024 artfynd.xlsx", "A 49276-2024")</f>
        <v/>
      </c>
      <c r="T156">
        <f>HYPERLINK("https://klasma.github.io/Logging_2326/kartor/A 49276-2024 karta.png", "A 49276-2024")</f>
        <v/>
      </c>
      <c r="V156">
        <f>HYPERLINK("https://klasma.github.io/Logging_2326/klagomål/A 49276-2024 FSC-klagomål.docx", "A 49276-2024")</f>
        <v/>
      </c>
      <c r="W156">
        <f>HYPERLINK("https://klasma.github.io/Logging_2326/klagomålsmail/A 49276-2024 FSC-klagomål mail.docx", "A 49276-2024")</f>
        <v/>
      </c>
      <c r="X156">
        <f>HYPERLINK("https://klasma.github.io/Logging_2326/tillsyn/A 49276-2024 tillsynsbegäran.docx", "A 49276-2024")</f>
        <v/>
      </c>
      <c r="Y156">
        <f>HYPERLINK("https://klasma.github.io/Logging_2326/tillsynsmail/A 49276-2024 tillsynsbegäran mail.docx", "A 49276-2024")</f>
        <v/>
      </c>
    </row>
    <row r="157" ht="15" customHeight="1">
      <c r="A157" t="inlineStr">
        <is>
          <t>A 68434-2021</t>
        </is>
      </c>
      <c r="B157" s="1" t="n">
        <v>44529</v>
      </c>
      <c r="C157" s="1" t="n">
        <v>45914</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45914</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39001-2025</t>
        </is>
      </c>
      <c r="B159" s="1" t="n">
        <v>45888.344375</v>
      </c>
      <c r="C159" s="1" t="n">
        <v>45914</v>
      </c>
      <c r="D159" t="inlineStr">
        <is>
          <t>JÄMTLANDS LÄN</t>
        </is>
      </c>
      <c r="E159" t="inlineStr">
        <is>
          <t>BERG</t>
        </is>
      </c>
      <c r="F159" t="inlineStr">
        <is>
          <t>SCA</t>
        </is>
      </c>
      <c r="G159" t="n">
        <v>4.4</v>
      </c>
      <c r="H159" t="n">
        <v>0</v>
      </c>
      <c r="I159" t="n">
        <v>0</v>
      </c>
      <c r="J159" t="n">
        <v>1</v>
      </c>
      <c r="K159" t="n">
        <v>0</v>
      </c>
      <c r="L159" t="n">
        <v>0</v>
      </c>
      <c r="M159" t="n">
        <v>0</v>
      </c>
      <c r="N159" t="n">
        <v>0</v>
      </c>
      <c r="O159" t="n">
        <v>1</v>
      </c>
      <c r="P159" t="n">
        <v>0</v>
      </c>
      <c r="Q159" t="n">
        <v>1</v>
      </c>
      <c r="R159" s="2" t="inlineStr">
        <is>
          <t>Vedflamlav</t>
        </is>
      </c>
      <c r="S159">
        <f>HYPERLINK("https://klasma.github.io/Logging_2326/artfynd/A 39001-2025 artfynd.xlsx", "A 39001-2025")</f>
        <v/>
      </c>
      <c r="T159">
        <f>HYPERLINK("https://klasma.github.io/Logging_2326/kartor/A 39001-2025 karta.png", "A 39001-2025")</f>
        <v/>
      </c>
      <c r="V159">
        <f>HYPERLINK("https://klasma.github.io/Logging_2326/klagomål/A 39001-2025 FSC-klagomål.docx", "A 39001-2025")</f>
        <v/>
      </c>
      <c r="W159">
        <f>HYPERLINK("https://klasma.github.io/Logging_2326/klagomålsmail/A 39001-2025 FSC-klagomål mail.docx", "A 39001-2025")</f>
        <v/>
      </c>
      <c r="X159">
        <f>HYPERLINK("https://klasma.github.io/Logging_2326/tillsyn/A 39001-2025 tillsynsbegäran.docx", "A 39001-2025")</f>
        <v/>
      </c>
      <c r="Y159">
        <f>HYPERLINK("https://klasma.github.io/Logging_2326/tillsynsmail/A 39001-2025 tillsynsbegäran mail.docx", "A 39001-2025")</f>
        <v/>
      </c>
    </row>
    <row r="160" ht="15" customHeight="1">
      <c r="A160" t="inlineStr">
        <is>
          <t>A 12733-2024</t>
        </is>
      </c>
      <c r="B160" s="1" t="n">
        <v>45384</v>
      </c>
      <c r="C160" s="1" t="n">
        <v>45914</v>
      </c>
      <c r="D160" t="inlineStr">
        <is>
          <t>JÄMTLANDS LÄN</t>
        </is>
      </c>
      <c r="E160" t="inlineStr">
        <is>
          <t>BERG</t>
        </is>
      </c>
      <c r="G160" t="n">
        <v>9.9</v>
      </c>
      <c r="H160" t="n">
        <v>0</v>
      </c>
      <c r="I160" t="n">
        <v>0</v>
      </c>
      <c r="J160" t="n">
        <v>1</v>
      </c>
      <c r="K160" t="n">
        <v>0</v>
      </c>
      <c r="L160" t="n">
        <v>0</v>
      </c>
      <c r="M160" t="n">
        <v>0</v>
      </c>
      <c r="N160" t="n">
        <v>0</v>
      </c>
      <c r="O160" t="n">
        <v>1</v>
      </c>
      <c r="P160" t="n">
        <v>0</v>
      </c>
      <c r="Q160" t="n">
        <v>1</v>
      </c>
      <c r="R160" s="2" t="inlineStr">
        <is>
          <t>Lunglav</t>
        </is>
      </c>
      <c r="S160">
        <f>HYPERLINK("https://klasma.github.io/Logging_2326/artfynd/A 12733-2024 artfynd.xlsx", "A 12733-2024")</f>
        <v/>
      </c>
      <c r="T160">
        <f>HYPERLINK("https://klasma.github.io/Logging_2326/kartor/A 12733-2024 karta.png", "A 12733-2024")</f>
        <v/>
      </c>
      <c r="V160">
        <f>HYPERLINK("https://klasma.github.io/Logging_2326/klagomål/A 12733-2024 FSC-klagomål.docx", "A 12733-2024")</f>
        <v/>
      </c>
      <c r="W160">
        <f>HYPERLINK("https://klasma.github.io/Logging_2326/klagomålsmail/A 12733-2024 FSC-klagomål mail.docx", "A 12733-2024")</f>
        <v/>
      </c>
      <c r="X160">
        <f>HYPERLINK("https://klasma.github.io/Logging_2326/tillsyn/A 12733-2024 tillsynsbegäran.docx", "A 12733-2024")</f>
        <v/>
      </c>
      <c r="Y160">
        <f>HYPERLINK("https://klasma.github.io/Logging_2326/tillsynsmail/A 12733-2024 tillsynsbegäran mail.docx", "A 12733-2024")</f>
        <v/>
      </c>
    </row>
    <row r="161" ht="15" customHeight="1">
      <c r="A161" t="inlineStr">
        <is>
          <t>A 35211-2025</t>
        </is>
      </c>
      <c r="B161" s="1" t="n">
        <v>45853.45060185185</v>
      </c>
      <c r="C161" s="1" t="n">
        <v>45914</v>
      </c>
      <c r="D161" t="inlineStr">
        <is>
          <t>JÄMTLANDS LÄN</t>
        </is>
      </c>
      <c r="E161" t="inlineStr">
        <is>
          <t>BERG</t>
        </is>
      </c>
      <c r="G161" t="n">
        <v>0.8</v>
      </c>
      <c r="H161" t="n">
        <v>1</v>
      </c>
      <c r="I161" t="n">
        <v>0</v>
      </c>
      <c r="J161" t="n">
        <v>0</v>
      </c>
      <c r="K161" t="n">
        <v>1</v>
      </c>
      <c r="L161" t="n">
        <v>0</v>
      </c>
      <c r="M161" t="n">
        <v>0</v>
      </c>
      <c r="N161" t="n">
        <v>0</v>
      </c>
      <c r="O161" t="n">
        <v>1</v>
      </c>
      <c r="P161" t="n">
        <v>1</v>
      </c>
      <c r="Q161" t="n">
        <v>1</v>
      </c>
      <c r="R161" s="2" t="inlineStr">
        <is>
          <t>Knärot</t>
        </is>
      </c>
      <c r="S161">
        <f>HYPERLINK("https://klasma.github.io/Logging_2326/artfynd/A 35211-2025 artfynd.xlsx", "A 35211-2025")</f>
        <v/>
      </c>
      <c r="T161">
        <f>HYPERLINK("https://klasma.github.io/Logging_2326/kartor/A 35211-2025 karta.png", "A 35211-2025")</f>
        <v/>
      </c>
      <c r="U161">
        <f>HYPERLINK("https://klasma.github.io/Logging_2326/knärot/A 35211-2025 karta knärot.png", "A 35211-2025")</f>
        <v/>
      </c>
      <c r="V161">
        <f>HYPERLINK("https://klasma.github.io/Logging_2326/klagomål/A 35211-2025 FSC-klagomål.docx", "A 35211-2025")</f>
        <v/>
      </c>
      <c r="W161">
        <f>HYPERLINK("https://klasma.github.io/Logging_2326/klagomålsmail/A 35211-2025 FSC-klagomål mail.docx", "A 35211-2025")</f>
        <v/>
      </c>
      <c r="X161">
        <f>HYPERLINK("https://klasma.github.io/Logging_2326/tillsyn/A 35211-2025 tillsynsbegäran.docx", "A 35211-2025")</f>
        <v/>
      </c>
      <c r="Y161">
        <f>HYPERLINK("https://klasma.github.io/Logging_2326/tillsynsmail/A 35211-2025 tillsynsbegäran mail.docx", "A 35211-2025")</f>
        <v/>
      </c>
    </row>
    <row r="162" ht="15" customHeight="1">
      <c r="A162" t="inlineStr">
        <is>
          <t>A 25853-2025</t>
        </is>
      </c>
      <c r="B162" s="1" t="n">
        <v>45804.46908564815</v>
      </c>
      <c r="C162" s="1" t="n">
        <v>45914</v>
      </c>
      <c r="D162" t="inlineStr">
        <is>
          <t>JÄMTLANDS LÄN</t>
        </is>
      </c>
      <c r="E162" t="inlineStr">
        <is>
          <t>BERG</t>
        </is>
      </c>
      <c r="F162" t="inlineStr">
        <is>
          <t>SCA</t>
        </is>
      </c>
      <c r="G162" t="n">
        <v>24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25853-2025 artfynd.xlsx", "A 25853-2025")</f>
        <v/>
      </c>
      <c r="T162">
        <f>HYPERLINK("https://klasma.github.io/Logging_2326/kartor/A 25853-2025 karta.png", "A 25853-2025")</f>
        <v/>
      </c>
      <c r="V162">
        <f>HYPERLINK("https://klasma.github.io/Logging_2326/klagomål/A 25853-2025 FSC-klagomål.docx", "A 25853-2025")</f>
        <v/>
      </c>
      <c r="W162">
        <f>HYPERLINK("https://klasma.github.io/Logging_2326/klagomålsmail/A 25853-2025 FSC-klagomål mail.docx", "A 25853-2025")</f>
        <v/>
      </c>
      <c r="X162">
        <f>HYPERLINK("https://klasma.github.io/Logging_2326/tillsyn/A 25853-2025 tillsynsbegäran.docx", "A 25853-2025")</f>
        <v/>
      </c>
      <c r="Y162">
        <f>HYPERLINK("https://klasma.github.io/Logging_2326/tillsynsmail/A 25853-2025 tillsynsbegäran mail.docx", "A 25853-2025")</f>
        <v/>
      </c>
      <c r="Z162">
        <f>HYPERLINK("https://klasma.github.io/Logging_2326/fåglar/A 25853-2025 prioriterade fågelarter.docx", "A 25853-2025")</f>
        <v/>
      </c>
    </row>
    <row r="163" ht="15" customHeight="1">
      <c r="A163" t="inlineStr">
        <is>
          <t>A 40382-2024</t>
        </is>
      </c>
      <c r="B163" s="1" t="n">
        <v>45555.42225694445</v>
      </c>
      <c r="C163" s="1" t="n">
        <v>45914</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35535-2025</t>
        </is>
      </c>
      <c r="B164" s="1" t="n">
        <v>45856.45047453704</v>
      </c>
      <c r="C164" s="1" t="n">
        <v>45914</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40440-2024</t>
        </is>
      </c>
      <c r="B165" s="1" t="n">
        <v>45555.48267361111</v>
      </c>
      <c r="C165" s="1" t="n">
        <v>45914</v>
      </c>
      <c r="D165" t="inlineStr">
        <is>
          <t>JÄMTLANDS LÄN</t>
        </is>
      </c>
      <c r="E165" t="inlineStr">
        <is>
          <t>BERG</t>
        </is>
      </c>
      <c r="G165" t="n">
        <v>3.6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40440-2024 artfynd.xlsx", "A 40440-2024")</f>
        <v/>
      </c>
      <c r="T165">
        <f>HYPERLINK("https://klasma.github.io/Logging_2326/kartor/A 40440-2024 karta.png", "A 40440-2024")</f>
        <v/>
      </c>
      <c r="V165">
        <f>HYPERLINK("https://klasma.github.io/Logging_2326/klagomål/A 40440-2024 FSC-klagomål.docx", "A 40440-2024")</f>
        <v/>
      </c>
      <c r="W165">
        <f>HYPERLINK("https://klasma.github.io/Logging_2326/klagomålsmail/A 40440-2024 FSC-klagomål mail.docx", "A 40440-2024")</f>
        <v/>
      </c>
      <c r="X165">
        <f>HYPERLINK("https://klasma.github.io/Logging_2326/tillsyn/A 40440-2024 tillsynsbegäran.docx", "A 40440-2024")</f>
        <v/>
      </c>
      <c r="Y165">
        <f>HYPERLINK("https://klasma.github.io/Logging_2326/tillsynsmail/A 40440-2024 tillsynsbegäran mail.docx", "A 40440-2024")</f>
        <v/>
      </c>
    </row>
    <row r="166" ht="15" customHeight="1">
      <c r="A166" t="inlineStr">
        <is>
          <t>A 9657-2023</t>
        </is>
      </c>
      <c r="B166" s="1" t="n">
        <v>44978</v>
      </c>
      <c r="C166" s="1" t="n">
        <v>45914</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50224-2023</t>
        </is>
      </c>
      <c r="B167" s="1" t="n">
        <v>45215</v>
      </c>
      <c r="C167" s="1" t="n">
        <v>45914</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49196-2022</t>
        </is>
      </c>
      <c r="B168" s="1" t="n">
        <v>44860.95508101852</v>
      </c>
      <c r="C168" s="1" t="n">
        <v>45914</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45914</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45914</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45914</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45914</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45914</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45914</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45914</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45914</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45914</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45914</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45914</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45914</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45914</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45914</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45914</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45914</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45914</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45914</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45914</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45914</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45914</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45914</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45914</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45914</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45914</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45914</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45914</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46635-2020</t>
        </is>
      </c>
      <c r="B196" s="1" t="n">
        <v>44095</v>
      </c>
      <c r="C196" s="1" t="n">
        <v>45914</v>
      </c>
      <c r="D196" t="inlineStr">
        <is>
          <t>JÄMTLANDS LÄN</t>
        </is>
      </c>
      <c r="E196" t="inlineStr">
        <is>
          <t>BERG</t>
        </is>
      </c>
      <c r="F196" t="inlineStr">
        <is>
          <t>Kommuner</t>
        </is>
      </c>
      <c r="G196" t="n">
        <v>14.5</v>
      </c>
      <c r="H196" t="n">
        <v>0</v>
      </c>
      <c r="I196" t="n">
        <v>0</v>
      </c>
      <c r="J196" t="n">
        <v>0</v>
      </c>
      <c r="K196" t="n">
        <v>0</v>
      </c>
      <c r="L196" t="n">
        <v>0</v>
      </c>
      <c r="M196" t="n">
        <v>0</v>
      </c>
      <c r="N196" t="n">
        <v>0</v>
      </c>
      <c r="O196" t="n">
        <v>0</v>
      </c>
      <c r="P196" t="n">
        <v>0</v>
      </c>
      <c r="Q196" t="n">
        <v>0</v>
      </c>
      <c r="R196" s="2" t="inlineStr"/>
    </row>
    <row r="197" ht="15" customHeight="1">
      <c r="A197" t="inlineStr">
        <is>
          <t>A 27144-2021</t>
        </is>
      </c>
      <c r="B197" s="1" t="n">
        <v>44350</v>
      </c>
      <c r="C197" s="1" t="n">
        <v>45914</v>
      </c>
      <c r="D197" t="inlineStr">
        <is>
          <t>JÄMTLANDS LÄN</t>
        </is>
      </c>
      <c r="E197" t="inlineStr">
        <is>
          <t>BERG</t>
        </is>
      </c>
      <c r="F197" t="inlineStr">
        <is>
          <t>Sveaskog</t>
        </is>
      </c>
      <c r="G197" t="n">
        <v>10.2</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45914</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45914</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45914</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45914</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45914</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45914</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45914</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29019-2021</t>
        </is>
      </c>
      <c r="B205" s="1" t="n">
        <v>44358</v>
      </c>
      <c r="C205" s="1" t="n">
        <v>45914</v>
      </c>
      <c r="D205" t="inlineStr">
        <is>
          <t>JÄMTLANDS LÄN</t>
        </is>
      </c>
      <c r="E205" t="inlineStr">
        <is>
          <t>BERG</t>
        </is>
      </c>
      <c r="F205" t="inlineStr">
        <is>
          <t>Sveaskog</t>
        </is>
      </c>
      <c r="G205" t="n">
        <v>27.1</v>
      </c>
      <c r="H205" t="n">
        <v>0</v>
      </c>
      <c r="I205" t="n">
        <v>0</v>
      </c>
      <c r="J205" t="n">
        <v>0</v>
      </c>
      <c r="K205" t="n">
        <v>0</v>
      </c>
      <c r="L205" t="n">
        <v>0</v>
      </c>
      <c r="M205" t="n">
        <v>0</v>
      </c>
      <c r="N205" t="n">
        <v>0</v>
      </c>
      <c r="O205" t="n">
        <v>0</v>
      </c>
      <c r="P205" t="n">
        <v>0</v>
      </c>
      <c r="Q205" t="n">
        <v>0</v>
      </c>
      <c r="R205" s="2" t="inlineStr"/>
    </row>
    <row r="206" ht="15" customHeight="1">
      <c r="A206" t="inlineStr">
        <is>
          <t>A 35308-2021</t>
        </is>
      </c>
      <c r="B206" s="1" t="n">
        <v>44384</v>
      </c>
      <c r="C206" s="1" t="n">
        <v>45914</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c r="U206">
        <f>HYPERLINK("https://klasma.github.io/Logging_2326/knärot/A 35308-2021 karta knärot.png", "A 35308-2021")</f>
        <v/>
      </c>
      <c r="V206">
        <f>HYPERLINK("https://klasma.github.io/Logging_2326/klagomål/A 35308-2021 FSC-klagomål.docx", "A 35308-2021")</f>
        <v/>
      </c>
      <c r="W206">
        <f>HYPERLINK("https://klasma.github.io/Logging_2326/klagomålsmail/A 35308-2021 FSC-klagomål mail.docx", "A 35308-2021")</f>
        <v/>
      </c>
      <c r="X206">
        <f>HYPERLINK("https://klasma.github.io/Logging_2326/tillsyn/A 35308-2021 tillsynsbegäran.docx", "A 35308-2021")</f>
        <v/>
      </c>
      <c r="Y206">
        <f>HYPERLINK("https://klasma.github.io/Logging_2326/tillsynsmail/A 35308-2021 tillsynsbegäran mail.docx", "A 35308-2021")</f>
        <v/>
      </c>
    </row>
    <row r="207" ht="15" customHeight="1">
      <c r="A207" t="inlineStr">
        <is>
          <t>A 22680-2022</t>
        </is>
      </c>
      <c r="B207" s="1" t="n">
        <v>44714</v>
      </c>
      <c r="C207" s="1" t="n">
        <v>45914</v>
      </c>
      <c r="D207" t="inlineStr">
        <is>
          <t>JÄMTLANDS LÄN</t>
        </is>
      </c>
      <c r="E207" t="inlineStr">
        <is>
          <t>BERG</t>
        </is>
      </c>
      <c r="G207" t="n">
        <v>15.4</v>
      </c>
      <c r="H207" t="n">
        <v>0</v>
      </c>
      <c r="I207" t="n">
        <v>0</v>
      </c>
      <c r="J207" t="n">
        <v>0</v>
      </c>
      <c r="K207" t="n">
        <v>0</v>
      </c>
      <c r="L207" t="n">
        <v>0</v>
      </c>
      <c r="M207" t="n">
        <v>0</v>
      </c>
      <c r="N207" t="n">
        <v>0</v>
      </c>
      <c r="O207" t="n">
        <v>0</v>
      </c>
      <c r="P207" t="n">
        <v>0</v>
      </c>
      <c r="Q207" t="n">
        <v>0</v>
      </c>
      <c r="R207" s="2" t="inlineStr"/>
    </row>
    <row r="208" ht="15" customHeight="1">
      <c r="A208" t="inlineStr">
        <is>
          <t>A 9114-2022</t>
        </is>
      </c>
      <c r="B208" s="1" t="n">
        <v>44615</v>
      </c>
      <c r="C208" s="1" t="n">
        <v>45914</v>
      </c>
      <c r="D208" t="inlineStr">
        <is>
          <t>JÄMTLANDS LÄN</t>
        </is>
      </c>
      <c r="E208" t="inlineStr">
        <is>
          <t>BERG</t>
        </is>
      </c>
      <c r="G208" t="n">
        <v>2.9</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45914</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45914</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45914</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37726-2022</t>
        </is>
      </c>
      <c r="B212" s="1" t="n">
        <v>44810.56636574074</v>
      </c>
      <c r="C212" s="1" t="n">
        <v>45914</v>
      </c>
      <c r="D212" t="inlineStr">
        <is>
          <t>JÄMTLANDS LÄN</t>
        </is>
      </c>
      <c r="E212" t="inlineStr">
        <is>
          <t>BERG</t>
        </is>
      </c>
      <c r="G212" t="n">
        <v>1.4</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45914</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46616-2020</t>
        </is>
      </c>
      <c r="B214" s="1" t="n">
        <v>44095</v>
      </c>
      <c r="C214" s="1" t="n">
        <v>45914</v>
      </c>
      <c r="D214" t="inlineStr">
        <is>
          <t>JÄMTLANDS LÄN</t>
        </is>
      </c>
      <c r="E214" t="inlineStr">
        <is>
          <t>BERG</t>
        </is>
      </c>
      <c r="F214" t="inlineStr">
        <is>
          <t>Kommuner</t>
        </is>
      </c>
      <c r="G214" t="n">
        <v>42.8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45914</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45914</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45914</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46660-2020</t>
        </is>
      </c>
      <c r="B218" s="1" t="n">
        <v>44095.59981481481</v>
      </c>
      <c r="C218" s="1" t="n">
        <v>45914</v>
      </c>
      <c r="D218" t="inlineStr">
        <is>
          <t>JÄMTLANDS LÄN</t>
        </is>
      </c>
      <c r="E218" t="inlineStr">
        <is>
          <t>BERG</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46199-2022</t>
        </is>
      </c>
      <c r="B219" s="1" t="n">
        <v>44847.53822916667</v>
      </c>
      <c r="C219" s="1" t="n">
        <v>45914</v>
      </c>
      <c r="D219" t="inlineStr">
        <is>
          <t>JÄMTLANDS LÄN</t>
        </is>
      </c>
      <c r="E219" t="inlineStr">
        <is>
          <t>BERG</t>
        </is>
      </c>
      <c r="G219" t="n">
        <v>5.6</v>
      </c>
      <c r="H219" t="n">
        <v>0</v>
      </c>
      <c r="I219" t="n">
        <v>0</v>
      </c>
      <c r="J219" t="n">
        <v>0</v>
      </c>
      <c r="K219" t="n">
        <v>0</v>
      </c>
      <c r="L219" t="n">
        <v>0</v>
      </c>
      <c r="M219" t="n">
        <v>0</v>
      </c>
      <c r="N219" t="n">
        <v>0</v>
      </c>
      <c r="O219" t="n">
        <v>0</v>
      </c>
      <c r="P219" t="n">
        <v>0</v>
      </c>
      <c r="Q219" t="n">
        <v>0</v>
      </c>
      <c r="R219" s="2" t="inlineStr"/>
    </row>
    <row r="220" ht="15" customHeight="1">
      <c r="A220" t="inlineStr">
        <is>
          <t>A 33232-2022</t>
        </is>
      </c>
      <c r="B220" s="1" t="n">
        <v>44785.94322916667</v>
      </c>
      <c r="C220" s="1" t="n">
        <v>45914</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45914</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45914</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45914</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45914</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2009-2022</t>
        </is>
      </c>
      <c r="B225" s="1" t="n">
        <v>44575</v>
      </c>
      <c r="C225" s="1" t="n">
        <v>45914</v>
      </c>
      <c r="D225" t="inlineStr">
        <is>
          <t>JÄMTLANDS LÄN</t>
        </is>
      </c>
      <c r="E225" t="inlineStr">
        <is>
          <t>BERG</t>
        </is>
      </c>
      <c r="G225" t="n">
        <v>11.9</v>
      </c>
      <c r="H225" t="n">
        <v>0</v>
      </c>
      <c r="I225" t="n">
        <v>0</v>
      </c>
      <c r="J225" t="n">
        <v>0</v>
      </c>
      <c r="K225" t="n">
        <v>0</v>
      </c>
      <c r="L225" t="n">
        <v>0</v>
      </c>
      <c r="M225" t="n">
        <v>0</v>
      </c>
      <c r="N225" t="n">
        <v>0</v>
      </c>
      <c r="O225" t="n">
        <v>0</v>
      </c>
      <c r="P225" t="n">
        <v>0</v>
      </c>
      <c r="Q225" t="n">
        <v>0</v>
      </c>
      <c r="R225" s="2" t="inlineStr"/>
    </row>
    <row r="226" ht="15" customHeight="1">
      <c r="A226" t="inlineStr">
        <is>
          <t>A 33878-2021</t>
        </is>
      </c>
      <c r="B226" s="1" t="n">
        <v>44378.64378472222</v>
      </c>
      <c r="C226" s="1" t="n">
        <v>45914</v>
      </c>
      <c r="D226" t="inlineStr">
        <is>
          <t>JÄMTLANDS LÄN</t>
        </is>
      </c>
      <c r="E226" t="inlineStr">
        <is>
          <t>BERG</t>
        </is>
      </c>
      <c r="G226" t="n">
        <v>6.6</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45914</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45914</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45914</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45914</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45914</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45914</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45914</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45914</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63522-2020</t>
        </is>
      </c>
      <c r="B235" s="1" t="n">
        <v>44165</v>
      </c>
      <c r="C235" s="1" t="n">
        <v>45914</v>
      </c>
      <c r="D235" t="inlineStr">
        <is>
          <t>JÄMTLANDS LÄN</t>
        </is>
      </c>
      <c r="E235" t="inlineStr">
        <is>
          <t>BERG</t>
        </is>
      </c>
      <c r="G235" t="n">
        <v>2.4</v>
      </c>
      <c r="H235" t="n">
        <v>0</v>
      </c>
      <c r="I235" t="n">
        <v>0</v>
      </c>
      <c r="J235" t="n">
        <v>0</v>
      </c>
      <c r="K235" t="n">
        <v>0</v>
      </c>
      <c r="L235" t="n">
        <v>0</v>
      </c>
      <c r="M235" t="n">
        <v>0</v>
      </c>
      <c r="N235" t="n">
        <v>0</v>
      </c>
      <c r="O235" t="n">
        <v>0</v>
      </c>
      <c r="P235" t="n">
        <v>0</v>
      </c>
      <c r="Q235" t="n">
        <v>0</v>
      </c>
      <c r="R235" s="2" t="inlineStr"/>
    </row>
    <row r="236" ht="15" customHeight="1">
      <c r="A236" t="inlineStr">
        <is>
          <t>A 21629-2021</t>
        </is>
      </c>
      <c r="B236" s="1" t="n">
        <v>44321</v>
      </c>
      <c r="C236" s="1" t="n">
        <v>45914</v>
      </c>
      <c r="D236" t="inlineStr">
        <is>
          <t>JÄMTLANDS LÄN</t>
        </is>
      </c>
      <c r="E236" t="inlineStr">
        <is>
          <t>BERG</t>
        </is>
      </c>
      <c r="G236" t="n">
        <v>15.9</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45914</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18567-2021</t>
        </is>
      </c>
      <c r="B238" s="1" t="n">
        <v>44306.55199074074</v>
      </c>
      <c r="C238" s="1" t="n">
        <v>45914</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18569-2021</t>
        </is>
      </c>
      <c r="B239" s="1" t="n">
        <v>44306.55394675926</v>
      </c>
      <c r="C239" s="1" t="n">
        <v>45914</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68854-2021</t>
        </is>
      </c>
      <c r="B240" s="1" t="n">
        <v>44530</v>
      </c>
      <c r="C240" s="1" t="n">
        <v>45914</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45914</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45914</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47304-2023</t>
        </is>
      </c>
      <c r="B243" s="1" t="n">
        <v>45202.48180555556</v>
      </c>
      <c r="C243" s="1" t="n">
        <v>45914</v>
      </c>
      <c r="D243" t="inlineStr">
        <is>
          <t>JÄMTLANDS LÄN</t>
        </is>
      </c>
      <c r="E243" t="inlineStr">
        <is>
          <t>BERG</t>
        </is>
      </c>
      <c r="G243" t="n">
        <v>3.4</v>
      </c>
      <c r="H243" t="n">
        <v>0</v>
      </c>
      <c r="I243" t="n">
        <v>0</v>
      </c>
      <c r="J243" t="n">
        <v>0</v>
      </c>
      <c r="K243" t="n">
        <v>0</v>
      </c>
      <c r="L243" t="n">
        <v>0</v>
      </c>
      <c r="M243" t="n">
        <v>0</v>
      </c>
      <c r="N243" t="n">
        <v>0</v>
      </c>
      <c r="O243" t="n">
        <v>0</v>
      </c>
      <c r="P243" t="n">
        <v>0</v>
      </c>
      <c r="Q243" t="n">
        <v>0</v>
      </c>
      <c r="R243" s="2" t="inlineStr"/>
    </row>
    <row r="244" ht="15" customHeight="1">
      <c r="A244" t="inlineStr">
        <is>
          <t>A 62299-2023</t>
        </is>
      </c>
      <c r="B244" s="1" t="n">
        <v>45266</v>
      </c>
      <c r="C244" s="1" t="n">
        <v>45914</v>
      </c>
      <c r="D244" t="inlineStr">
        <is>
          <t>JÄMTLANDS LÄN</t>
        </is>
      </c>
      <c r="E244" t="inlineStr">
        <is>
          <t>BERG</t>
        </is>
      </c>
      <c r="G244" t="n">
        <v>2.6</v>
      </c>
      <c r="H244" t="n">
        <v>0</v>
      </c>
      <c r="I244" t="n">
        <v>0</v>
      </c>
      <c r="J244" t="n">
        <v>0</v>
      </c>
      <c r="K244" t="n">
        <v>0</v>
      </c>
      <c r="L244" t="n">
        <v>0</v>
      </c>
      <c r="M244" t="n">
        <v>0</v>
      </c>
      <c r="N244" t="n">
        <v>0</v>
      </c>
      <c r="O244" t="n">
        <v>0</v>
      </c>
      <c r="P244" t="n">
        <v>0</v>
      </c>
      <c r="Q244" t="n">
        <v>0</v>
      </c>
      <c r="R244" s="2" t="inlineStr"/>
    </row>
    <row r="245" ht="15" customHeight="1">
      <c r="A245" t="inlineStr">
        <is>
          <t>A 10861-2024</t>
        </is>
      </c>
      <c r="B245" s="1" t="n">
        <v>45370.01967592593</v>
      </c>
      <c r="C245" s="1" t="n">
        <v>45914</v>
      </c>
      <c r="D245" t="inlineStr">
        <is>
          <t>JÄMTLANDS LÄN</t>
        </is>
      </c>
      <c r="E245" t="inlineStr">
        <is>
          <t>BERG</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50612-2023</t>
        </is>
      </c>
      <c r="B246" s="1" t="n">
        <v>45217.444375</v>
      </c>
      <c r="C246" s="1" t="n">
        <v>45914</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54071-2023</t>
        </is>
      </c>
      <c r="B247" s="1" t="n">
        <v>45231</v>
      </c>
      <c r="C247" s="1" t="n">
        <v>45914</v>
      </c>
      <c r="D247" t="inlineStr">
        <is>
          <t>JÄMTLANDS LÄN</t>
        </is>
      </c>
      <c r="E247" t="inlineStr">
        <is>
          <t>BERG</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64490-2023</t>
        </is>
      </c>
      <c r="B248" s="1" t="n">
        <v>45280</v>
      </c>
      <c r="C248" s="1" t="n">
        <v>45914</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9920-2021</t>
        </is>
      </c>
      <c r="B249" s="1" t="n">
        <v>44253</v>
      </c>
      <c r="C249" s="1" t="n">
        <v>45914</v>
      </c>
      <c r="D249" t="inlineStr">
        <is>
          <t>JÄMTLANDS LÄN</t>
        </is>
      </c>
      <c r="E249" t="inlineStr">
        <is>
          <t>BERG</t>
        </is>
      </c>
      <c r="G249" t="n">
        <v>3.5</v>
      </c>
      <c r="H249" t="n">
        <v>0</v>
      </c>
      <c r="I249" t="n">
        <v>0</v>
      </c>
      <c r="J249" t="n">
        <v>0</v>
      </c>
      <c r="K249" t="n">
        <v>0</v>
      </c>
      <c r="L249" t="n">
        <v>0</v>
      </c>
      <c r="M249" t="n">
        <v>0</v>
      </c>
      <c r="N249" t="n">
        <v>0</v>
      </c>
      <c r="O249" t="n">
        <v>0</v>
      </c>
      <c r="P249" t="n">
        <v>0</v>
      </c>
      <c r="Q249" t="n">
        <v>0</v>
      </c>
      <c r="R249" s="2" t="inlineStr"/>
    </row>
    <row r="250" ht="15" customHeight="1">
      <c r="A250" t="inlineStr">
        <is>
          <t>A 29511-2021</t>
        </is>
      </c>
      <c r="B250" s="1" t="n">
        <v>44361</v>
      </c>
      <c r="C250" s="1" t="n">
        <v>45914</v>
      </c>
      <c r="D250" t="inlineStr">
        <is>
          <t>JÄMTLANDS LÄN</t>
        </is>
      </c>
      <c r="E250" t="inlineStr">
        <is>
          <t>BERG</t>
        </is>
      </c>
      <c r="G250" t="n">
        <v>5.6</v>
      </c>
      <c r="H250" t="n">
        <v>0</v>
      </c>
      <c r="I250" t="n">
        <v>0</v>
      </c>
      <c r="J250" t="n">
        <v>0</v>
      </c>
      <c r="K250" t="n">
        <v>0</v>
      </c>
      <c r="L250" t="n">
        <v>0</v>
      </c>
      <c r="M250" t="n">
        <v>0</v>
      </c>
      <c r="N250" t="n">
        <v>0</v>
      </c>
      <c r="O250" t="n">
        <v>0</v>
      </c>
      <c r="P250" t="n">
        <v>0</v>
      </c>
      <c r="Q250" t="n">
        <v>0</v>
      </c>
      <c r="R250" s="2" t="inlineStr"/>
    </row>
    <row r="251" ht="15" customHeight="1">
      <c r="A251" t="inlineStr">
        <is>
          <t>A 17929-2024</t>
        </is>
      </c>
      <c r="B251" s="1" t="n">
        <v>45419.60266203704</v>
      </c>
      <c r="C251" s="1" t="n">
        <v>45914</v>
      </c>
      <c r="D251" t="inlineStr">
        <is>
          <t>JÄMTLANDS LÄN</t>
        </is>
      </c>
      <c r="E251" t="inlineStr">
        <is>
          <t>BERG</t>
        </is>
      </c>
      <c r="F251" t="inlineStr">
        <is>
          <t>Holmen skog AB</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45914</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34601-2024</t>
        </is>
      </c>
      <c r="B253" s="1" t="n">
        <v>45526.4034375</v>
      </c>
      <c r="C253" s="1" t="n">
        <v>45914</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20268-2024</t>
        </is>
      </c>
      <c r="B254" s="1" t="n">
        <v>45434.94887731481</v>
      </c>
      <c r="C254" s="1" t="n">
        <v>45914</v>
      </c>
      <c r="D254" t="inlineStr">
        <is>
          <t>JÄMTLANDS LÄN</t>
        </is>
      </c>
      <c r="E254" t="inlineStr">
        <is>
          <t>BERG</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33481-2023</t>
        </is>
      </c>
      <c r="B255" s="1" t="n">
        <v>45131</v>
      </c>
      <c r="C255" s="1" t="n">
        <v>45914</v>
      </c>
      <c r="D255" t="inlineStr">
        <is>
          <t>JÄMTLANDS LÄN</t>
        </is>
      </c>
      <c r="E255" t="inlineStr">
        <is>
          <t>BERG</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46167-2022</t>
        </is>
      </c>
      <c r="B256" s="1" t="n">
        <v>44845</v>
      </c>
      <c r="C256" s="1" t="n">
        <v>45914</v>
      </c>
      <c r="D256" t="inlineStr">
        <is>
          <t>JÄMTLANDS LÄN</t>
        </is>
      </c>
      <c r="E256" t="inlineStr">
        <is>
          <t>BERG</t>
        </is>
      </c>
      <c r="G256" t="n">
        <v>35.2</v>
      </c>
      <c r="H256" t="n">
        <v>0</v>
      </c>
      <c r="I256" t="n">
        <v>0</v>
      </c>
      <c r="J256" t="n">
        <v>0</v>
      </c>
      <c r="K256" t="n">
        <v>0</v>
      </c>
      <c r="L256" t="n">
        <v>0</v>
      </c>
      <c r="M256" t="n">
        <v>0</v>
      </c>
      <c r="N256" t="n">
        <v>0</v>
      </c>
      <c r="O256" t="n">
        <v>0</v>
      </c>
      <c r="P256" t="n">
        <v>0</v>
      </c>
      <c r="Q256" t="n">
        <v>0</v>
      </c>
      <c r="R256" s="2" t="inlineStr"/>
    </row>
    <row r="257" ht="15" customHeight="1">
      <c r="A257" t="inlineStr">
        <is>
          <t>A 15156-2024</t>
        </is>
      </c>
      <c r="B257" s="1" t="n">
        <v>45399.94496527778</v>
      </c>
      <c r="C257" s="1" t="n">
        <v>45914</v>
      </c>
      <c r="D257" t="inlineStr">
        <is>
          <t>JÄMTLANDS LÄN</t>
        </is>
      </c>
      <c r="E257" t="inlineStr">
        <is>
          <t>BERG</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14834-2025</t>
        </is>
      </c>
      <c r="B258" s="1" t="n">
        <v>45743.38224537037</v>
      </c>
      <c r="C258" s="1" t="n">
        <v>45914</v>
      </c>
      <c r="D258" t="inlineStr">
        <is>
          <t>JÄMTLANDS LÄN</t>
        </is>
      </c>
      <c r="E258" t="inlineStr">
        <is>
          <t>BERG</t>
        </is>
      </c>
      <c r="G258" t="n">
        <v>3.8</v>
      </c>
      <c r="H258" t="n">
        <v>0</v>
      </c>
      <c r="I258" t="n">
        <v>0</v>
      </c>
      <c r="J258" t="n">
        <v>0</v>
      </c>
      <c r="K258" t="n">
        <v>0</v>
      </c>
      <c r="L258" t="n">
        <v>0</v>
      </c>
      <c r="M258" t="n">
        <v>0</v>
      </c>
      <c r="N258" t="n">
        <v>0</v>
      </c>
      <c r="O258" t="n">
        <v>0</v>
      </c>
      <c r="P258" t="n">
        <v>0</v>
      </c>
      <c r="Q258" t="n">
        <v>0</v>
      </c>
      <c r="R258" s="2" t="inlineStr"/>
    </row>
    <row r="259" ht="15" customHeight="1">
      <c r="A259" t="inlineStr">
        <is>
          <t>A 64486-2023</t>
        </is>
      </c>
      <c r="B259" s="1" t="n">
        <v>45280</v>
      </c>
      <c r="C259" s="1" t="n">
        <v>45914</v>
      </c>
      <c r="D259" t="inlineStr">
        <is>
          <t>JÄMTLANDS LÄN</t>
        </is>
      </c>
      <c r="E259" t="inlineStr">
        <is>
          <t>BERG</t>
        </is>
      </c>
      <c r="G259" t="n">
        <v>2</v>
      </c>
      <c r="H259" t="n">
        <v>0</v>
      </c>
      <c r="I259" t="n">
        <v>0</v>
      </c>
      <c r="J259" t="n">
        <v>0</v>
      </c>
      <c r="K259" t="n">
        <v>0</v>
      </c>
      <c r="L259" t="n">
        <v>0</v>
      </c>
      <c r="M259" t="n">
        <v>0</v>
      </c>
      <c r="N259" t="n">
        <v>0</v>
      </c>
      <c r="O259" t="n">
        <v>0</v>
      </c>
      <c r="P259" t="n">
        <v>0</v>
      </c>
      <c r="Q259" t="n">
        <v>0</v>
      </c>
      <c r="R259" s="2" t="inlineStr"/>
    </row>
    <row r="260" ht="15" customHeight="1">
      <c r="A260" t="inlineStr">
        <is>
          <t>A 64488-2023</t>
        </is>
      </c>
      <c r="B260" s="1" t="n">
        <v>45280.92618055556</v>
      </c>
      <c r="C260" s="1" t="n">
        <v>45914</v>
      </c>
      <c r="D260" t="inlineStr">
        <is>
          <t>JÄMTLANDS LÄN</t>
        </is>
      </c>
      <c r="E260" t="inlineStr">
        <is>
          <t>BERG</t>
        </is>
      </c>
      <c r="F260" t="inlineStr">
        <is>
          <t>Övriga Aktiebolag</t>
        </is>
      </c>
      <c r="G260" t="n">
        <v>7.1</v>
      </c>
      <c r="H260" t="n">
        <v>0</v>
      </c>
      <c r="I260" t="n">
        <v>0</v>
      </c>
      <c r="J260" t="n">
        <v>0</v>
      </c>
      <c r="K260" t="n">
        <v>0</v>
      </c>
      <c r="L260" t="n">
        <v>0</v>
      </c>
      <c r="M260" t="n">
        <v>0</v>
      </c>
      <c r="N260" t="n">
        <v>0</v>
      </c>
      <c r="O260" t="n">
        <v>0</v>
      </c>
      <c r="P260" t="n">
        <v>0</v>
      </c>
      <c r="Q260" t="n">
        <v>0</v>
      </c>
      <c r="R260" s="2" t="inlineStr"/>
    </row>
    <row r="261" ht="15" customHeight="1">
      <c r="A261" t="inlineStr">
        <is>
          <t>A 4246-2025</t>
        </is>
      </c>
      <c r="B261" s="1" t="n">
        <v>45685.59083333334</v>
      </c>
      <c r="C261" s="1" t="n">
        <v>45914</v>
      </c>
      <c r="D261" t="inlineStr">
        <is>
          <t>JÄMTLANDS LÄN</t>
        </is>
      </c>
      <c r="E261" t="inlineStr">
        <is>
          <t>BERG</t>
        </is>
      </c>
      <c r="G261" t="n">
        <v>2.4</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45914</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16247-2024</t>
        </is>
      </c>
      <c r="B263" s="1" t="n">
        <v>45407.05797453703</v>
      </c>
      <c r="C263" s="1" t="n">
        <v>45914</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25306-2023</t>
        </is>
      </c>
      <c r="B264" s="1" t="n">
        <v>45086</v>
      </c>
      <c r="C264" s="1" t="n">
        <v>45914</v>
      </c>
      <c r="D264" t="inlineStr">
        <is>
          <t>JÄMTLANDS LÄN</t>
        </is>
      </c>
      <c r="E264" t="inlineStr">
        <is>
          <t>BERG</t>
        </is>
      </c>
      <c r="G264" t="n">
        <v>23.3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45914</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23165-2024</t>
        </is>
      </c>
      <c r="B266" s="1" t="n">
        <v>45450</v>
      </c>
      <c r="C266" s="1" t="n">
        <v>45914</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18833-2024</t>
        </is>
      </c>
      <c r="B267" s="1" t="n">
        <v>45426.65157407407</v>
      </c>
      <c r="C267" s="1" t="n">
        <v>45914</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10465-2023</t>
        </is>
      </c>
      <c r="B268" s="1" t="n">
        <v>44987.60319444445</v>
      </c>
      <c r="C268" s="1" t="n">
        <v>45914</v>
      </c>
      <c r="D268" t="inlineStr">
        <is>
          <t>JÄMTLANDS LÄN</t>
        </is>
      </c>
      <c r="E268" t="inlineStr">
        <is>
          <t>BERG</t>
        </is>
      </c>
      <c r="G268" t="n">
        <v>3.4</v>
      </c>
      <c r="H268" t="n">
        <v>0</v>
      </c>
      <c r="I268" t="n">
        <v>0</v>
      </c>
      <c r="J268" t="n">
        <v>0</v>
      </c>
      <c r="K268" t="n">
        <v>0</v>
      </c>
      <c r="L268" t="n">
        <v>0</v>
      </c>
      <c r="M268" t="n">
        <v>0</v>
      </c>
      <c r="N268" t="n">
        <v>0</v>
      </c>
      <c r="O268" t="n">
        <v>0</v>
      </c>
      <c r="P268" t="n">
        <v>0</v>
      </c>
      <c r="Q268" t="n">
        <v>0</v>
      </c>
      <c r="R268" s="2" t="inlineStr"/>
    </row>
    <row r="269" ht="15" customHeight="1">
      <c r="A269" t="inlineStr">
        <is>
          <t>A 3625-2024</t>
        </is>
      </c>
      <c r="B269" s="1" t="n">
        <v>45320</v>
      </c>
      <c r="C269" s="1" t="n">
        <v>45914</v>
      </c>
      <c r="D269" t="inlineStr">
        <is>
          <t>JÄMTLANDS LÄN</t>
        </is>
      </c>
      <c r="E269" t="inlineStr">
        <is>
          <t>BERG</t>
        </is>
      </c>
      <c r="F269" t="inlineStr">
        <is>
          <t>SCA</t>
        </is>
      </c>
      <c r="G269" t="n">
        <v>23.7</v>
      </c>
      <c r="H269" t="n">
        <v>0</v>
      </c>
      <c r="I269" t="n">
        <v>0</v>
      </c>
      <c r="J269" t="n">
        <v>0</v>
      </c>
      <c r="K269" t="n">
        <v>0</v>
      </c>
      <c r="L269" t="n">
        <v>0</v>
      </c>
      <c r="M269" t="n">
        <v>0</v>
      </c>
      <c r="N269" t="n">
        <v>0</v>
      </c>
      <c r="O269" t="n">
        <v>0</v>
      </c>
      <c r="P269" t="n">
        <v>0</v>
      </c>
      <c r="Q269" t="n">
        <v>0</v>
      </c>
      <c r="R269" s="2" t="inlineStr"/>
    </row>
    <row r="270" ht="15" customHeight="1">
      <c r="A270" t="inlineStr">
        <is>
          <t>A 14672-2025</t>
        </is>
      </c>
      <c r="B270" s="1" t="n">
        <v>45742.55269675926</v>
      </c>
      <c r="C270" s="1" t="n">
        <v>45914</v>
      </c>
      <c r="D270" t="inlineStr">
        <is>
          <t>JÄMTLANDS LÄN</t>
        </is>
      </c>
      <c r="E270" t="inlineStr">
        <is>
          <t>BERG</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51201-2023</t>
        </is>
      </c>
      <c r="B271" s="1" t="n">
        <v>45219.42320601852</v>
      </c>
      <c r="C271" s="1" t="n">
        <v>45914</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13436-2024</t>
        </is>
      </c>
      <c r="B272" s="1" t="n">
        <v>45387.4865625</v>
      </c>
      <c r="C272" s="1" t="n">
        <v>45914</v>
      </c>
      <c r="D272" t="inlineStr">
        <is>
          <t>JÄMTLANDS LÄN</t>
        </is>
      </c>
      <c r="E272" t="inlineStr">
        <is>
          <t>BERG</t>
        </is>
      </c>
      <c r="G272" t="n">
        <v>28.9</v>
      </c>
      <c r="H272" t="n">
        <v>0</v>
      </c>
      <c r="I272" t="n">
        <v>0</v>
      </c>
      <c r="J272" t="n">
        <v>0</v>
      </c>
      <c r="K272" t="n">
        <v>0</v>
      </c>
      <c r="L272" t="n">
        <v>0</v>
      </c>
      <c r="M272" t="n">
        <v>0</v>
      </c>
      <c r="N272" t="n">
        <v>0</v>
      </c>
      <c r="O272" t="n">
        <v>0</v>
      </c>
      <c r="P272" t="n">
        <v>0</v>
      </c>
      <c r="Q272" t="n">
        <v>0</v>
      </c>
      <c r="R272" s="2" t="inlineStr"/>
    </row>
    <row r="273" ht="15" customHeight="1">
      <c r="A273" t="inlineStr">
        <is>
          <t>A 65207-2023</t>
        </is>
      </c>
      <c r="B273" s="1" t="n">
        <v>45289</v>
      </c>
      <c r="C273" s="1" t="n">
        <v>45914</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22020-2024</t>
        </is>
      </c>
      <c r="B274" s="1" t="n">
        <v>45443.5894675926</v>
      </c>
      <c r="C274" s="1" t="n">
        <v>45914</v>
      </c>
      <c r="D274" t="inlineStr">
        <is>
          <t>JÄMTLANDS LÄN</t>
        </is>
      </c>
      <c r="E274" t="inlineStr">
        <is>
          <t>BERG</t>
        </is>
      </c>
      <c r="G274" t="n">
        <v>4.9</v>
      </c>
      <c r="H274" t="n">
        <v>0</v>
      </c>
      <c r="I274" t="n">
        <v>0</v>
      </c>
      <c r="J274" t="n">
        <v>0</v>
      </c>
      <c r="K274" t="n">
        <v>0</v>
      </c>
      <c r="L274" t="n">
        <v>0</v>
      </c>
      <c r="M274" t="n">
        <v>0</v>
      </c>
      <c r="N274" t="n">
        <v>0</v>
      </c>
      <c r="O274" t="n">
        <v>0</v>
      </c>
      <c r="P274" t="n">
        <v>0</v>
      </c>
      <c r="Q274" t="n">
        <v>0</v>
      </c>
      <c r="R274" s="2" t="inlineStr"/>
    </row>
    <row r="275" ht="15" customHeight="1">
      <c r="A275" t="inlineStr">
        <is>
          <t>A 60249-2022</t>
        </is>
      </c>
      <c r="B275" s="1" t="n">
        <v>44903</v>
      </c>
      <c r="C275" s="1" t="n">
        <v>45914</v>
      </c>
      <c r="D275" t="inlineStr">
        <is>
          <t>JÄMTLANDS LÄN</t>
        </is>
      </c>
      <c r="E275" t="inlineStr">
        <is>
          <t>BERG</t>
        </is>
      </c>
      <c r="G275" t="n">
        <v>6</v>
      </c>
      <c r="H275" t="n">
        <v>0</v>
      </c>
      <c r="I275" t="n">
        <v>0</v>
      </c>
      <c r="J275" t="n">
        <v>0</v>
      </c>
      <c r="K275" t="n">
        <v>0</v>
      </c>
      <c r="L275" t="n">
        <v>0</v>
      </c>
      <c r="M275" t="n">
        <v>0</v>
      </c>
      <c r="N275" t="n">
        <v>0</v>
      </c>
      <c r="O275" t="n">
        <v>0</v>
      </c>
      <c r="P275" t="n">
        <v>0</v>
      </c>
      <c r="Q275" t="n">
        <v>0</v>
      </c>
      <c r="R275" s="2" t="inlineStr"/>
    </row>
    <row r="276" ht="15" customHeight="1">
      <c r="A276" t="inlineStr">
        <is>
          <t>A 18153-2024</t>
        </is>
      </c>
      <c r="B276" s="1" t="n">
        <v>45420</v>
      </c>
      <c r="C276" s="1" t="n">
        <v>45914</v>
      </c>
      <c r="D276" t="inlineStr">
        <is>
          <t>JÄMTLANDS LÄN</t>
        </is>
      </c>
      <c r="E276" t="inlineStr">
        <is>
          <t>BERG</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21472-2025</t>
        </is>
      </c>
      <c r="B277" s="1" t="n">
        <v>45782.59024305556</v>
      </c>
      <c r="C277" s="1" t="n">
        <v>45914</v>
      </c>
      <c r="D277" t="inlineStr">
        <is>
          <t>JÄMTLANDS LÄN</t>
        </is>
      </c>
      <c r="E277" t="inlineStr">
        <is>
          <t>BERG</t>
        </is>
      </c>
      <c r="G277" t="n">
        <v>21.9</v>
      </c>
      <c r="H277" t="n">
        <v>0</v>
      </c>
      <c r="I277" t="n">
        <v>0</v>
      </c>
      <c r="J277" t="n">
        <v>0</v>
      </c>
      <c r="K277" t="n">
        <v>0</v>
      </c>
      <c r="L277" t="n">
        <v>0</v>
      </c>
      <c r="M277" t="n">
        <v>0</v>
      </c>
      <c r="N277" t="n">
        <v>0</v>
      </c>
      <c r="O277" t="n">
        <v>0</v>
      </c>
      <c r="P277" t="n">
        <v>0</v>
      </c>
      <c r="Q277" t="n">
        <v>0</v>
      </c>
      <c r="R277" s="2" t="inlineStr"/>
    </row>
    <row r="278" ht="15" customHeight="1">
      <c r="A278" t="inlineStr">
        <is>
          <t>A 9478-2024</t>
        </is>
      </c>
      <c r="B278" s="1" t="n">
        <v>45359.5732175926</v>
      </c>
      <c r="C278" s="1" t="n">
        <v>45914</v>
      </c>
      <c r="D278" t="inlineStr">
        <is>
          <t>JÄMTLANDS LÄN</t>
        </is>
      </c>
      <c r="E278" t="inlineStr">
        <is>
          <t>BERG</t>
        </is>
      </c>
      <c r="G278" t="n">
        <v>6.2</v>
      </c>
      <c r="H278" t="n">
        <v>0</v>
      </c>
      <c r="I278" t="n">
        <v>0</v>
      </c>
      <c r="J278" t="n">
        <v>0</v>
      </c>
      <c r="K278" t="n">
        <v>0</v>
      </c>
      <c r="L278" t="n">
        <v>0</v>
      </c>
      <c r="M278" t="n">
        <v>0</v>
      </c>
      <c r="N278" t="n">
        <v>0</v>
      </c>
      <c r="O278" t="n">
        <v>0</v>
      </c>
      <c r="P278" t="n">
        <v>0</v>
      </c>
      <c r="Q278" t="n">
        <v>0</v>
      </c>
      <c r="R278" s="2" t="inlineStr"/>
    </row>
    <row r="279" ht="15" customHeight="1">
      <c r="A279" t="inlineStr">
        <is>
          <t>A 21292-2025</t>
        </is>
      </c>
      <c r="B279" s="1" t="n">
        <v>45780.39354166666</v>
      </c>
      <c r="C279" s="1" t="n">
        <v>45914</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21156-2025</t>
        </is>
      </c>
      <c r="B280" s="1" t="n">
        <v>45779.37599537037</v>
      </c>
      <c r="C280" s="1" t="n">
        <v>45914</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60847-2023</t>
        </is>
      </c>
      <c r="B281" s="1" t="n">
        <v>45260</v>
      </c>
      <c r="C281" s="1" t="n">
        <v>45914</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13373-2024</t>
        </is>
      </c>
      <c r="B282" s="1" t="n">
        <v>45387.37010416666</v>
      </c>
      <c r="C282" s="1" t="n">
        <v>45914</v>
      </c>
      <c r="D282" t="inlineStr">
        <is>
          <t>JÄMTLANDS LÄN</t>
        </is>
      </c>
      <c r="E282" t="inlineStr">
        <is>
          <t>BERG</t>
        </is>
      </c>
      <c r="G282" t="n">
        <v>3.8</v>
      </c>
      <c r="H282" t="n">
        <v>0</v>
      </c>
      <c r="I282" t="n">
        <v>0</v>
      </c>
      <c r="J282" t="n">
        <v>0</v>
      </c>
      <c r="K282" t="n">
        <v>0</v>
      </c>
      <c r="L282" t="n">
        <v>0</v>
      </c>
      <c r="M282" t="n">
        <v>0</v>
      </c>
      <c r="N282" t="n">
        <v>0</v>
      </c>
      <c r="O282" t="n">
        <v>0</v>
      </c>
      <c r="P282" t="n">
        <v>0</v>
      </c>
      <c r="Q282" t="n">
        <v>0</v>
      </c>
      <c r="R282" s="2" t="inlineStr"/>
    </row>
    <row r="283" ht="15" customHeight="1">
      <c r="A283" t="inlineStr">
        <is>
          <t>A 18775-2024</t>
        </is>
      </c>
      <c r="B283" s="1" t="n">
        <v>45426</v>
      </c>
      <c r="C283" s="1" t="n">
        <v>45914</v>
      </c>
      <c r="D283" t="inlineStr">
        <is>
          <t>JÄMTLANDS LÄN</t>
        </is>
      </c>
      <c r="E283" t="inlineStr">
        <is>
          <t>BERG</t>
        </is>
      </c>
      <c r="G283" t="n">
        <v>13.9</v>
      </c>
      <c r="H283" t="n">
        <v>0</v>
      </c>
      <c r="I283" t="n">
        <v>0</v>
      </c>
      <c r="J283" t="n">
        <v>0</v>
      </c>
      <c r="K283" t="n">
        <v>0</v>
      </c>
      <c r="L283" t="n">
        <v>0</v>
      </c>
      <c r="M283" t="n">
        <v>0</v>
      </c>
      <c r="N283" t="n">
        <v>0</v>
      </c>
      <c r="O283" t="n">
        <v>0</v>
      </c>
      <c r="P283" t="n">
        <v>0</v>
      </c>
      <c r="Q283" t="n">
        <v>0</v>
      </c>
      <c r="R283" s="2" t="inlineStr"/>
    </row>
    <row r="284" ht="15" customHeight="1">
      <c r="A284" t="inlineStr">
        <is>
          <t>A 65209-2023</t>
        </is>
      </c>
      <c r="B284" s="1" t="n">
        <v>45289</v>
      </c>
      <c r="C284" s="1" t="n">
        <v>45914</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17899-2024</t>
        </is>
      </c>
      <c r="B285" s="1" t="n">
        <v>45419.49334490741</v>
      </c>
      <c r="C285" s="1" t="n">
        <v>45914</v>
      </c>
      <c r="D285" t="inlineStr">
        <is>
          <t>JÄMTLANDS LÄN</t>
        </is>
      </c>
      <c r="E285" t="inlineStr">
        <is>
          <t>BERG</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45914</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19181-2025</t>
        </is>
      </c>
      <c r="B287" s="1" t="n">
        <v>45769.40174768519</v>
      </c>
      <c r="C287" s="1" t="n">
        <v>45914</v>
      </c>
      <c r="D287" t="inlineStr">
        <is>
          <t>JÄMTLANDS LÄN</t>
        </is>
      </c>
      <c r="E287" t="inlineStr">
        <is>
          <t>BERG</t>
        </is>
      </c>
      <c r="G287" t="n">
        <v>4.4</v>
      </c>
      <c r="H287" t="n">
        <v>0</v>
      </c>
      <c r="I287" t="n">
        <v>0</v>
      </c>
      <c r="J287" t="n">
        <v>0</v>
      </c>
      <c r="K287" t="n">
        <v>0</v>
      </c>
      <c r="L287" t="n">
        <v>0</v>
      </c>
      <c r="M287" t="n">
        <v>0</v>
      </c>
      <c r="N287" t="n">
        <v>0</v>
      </c>
      <c r="O287" t="n">
        <v>0</v>
      </c>
      <c r="P287" t="n">
        <v>0</v>
      </c>
      <c r="Q287" t="n">
        <v>0</v>
      </c>
      <c r="R287" s="2" t="inlineStr"/>
    </row>
    <row r="288" ht="15" customHeight="1">
      <c r="A288" t="inlineStr">
        <is>
          <t>A 21851-2025</t>
        </is>
      </c>
      <c r="B288" s="1" t="n">
        <v>45784.34417824074</v>
      </c>
      <c r="C288" s="1" t="n">
        <v>45914</v>
      </c>
      <c r="D288" t="inlineStr">
        <is>
          <t>JÄMTLANDS LÄN</t>
        </is>
      </c>
      <c r="E288" t="inlineStr">
        <is>
          <t>BERG</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32020-2023</t>
        </is>
      </c>
      <c r="B289" s="1" t="n">
        <v>45119.49261574074</v>
      </c>
      <c r="C289" s="1" t="n">
        <v>45914</v>
      </c>
      <c r="D289" t="inlineStr">
        <is>
          <t>JÄMTLANDS LÄN</t>
        </is>
      </c>
      <c r="E289" t="inlineStr">
        <is>
          <t>BERG</t>
        </is>
      </c>
      <c r="G289" t="n">
        <v>10.3</v>
      </c>
      <c r="H289" t="n">
        <v>0</v>
      </c>
      <c r="I289" t="n">
        <v>0</v>
      </c>
      <c r="J289" t="n">
        <v>0</v>
      </c>
      <c r="K289" t="n">
        <v>0</v>
      </c>
      <c r="L289" t="n">
        <v>0</v>
      </c>
      <c r="M289" t="n">
        <v>0</v>
      </c>
      <c r="N289" t="n">
        <v>0</v>
      </c>
      <c r="O289" t="n">
        <v>0</v>
      </c>
      <c r="P289" t="n">
        <v>0</v>
      </c>
      <c r="Q289" t="n">
        <v>0</v>
      </c>
      <c r="R289" s="2" t="inlineStr"/>
    </row>
    <row r="290" ht="15" customHeight="1">
      <c r="A290" t="inlineStr">
        <is>
          <t>A 68483-2021</t>
        </is>
      </c>
      <c r="B290" s="1" t="n">
        <v>44529</v>
      </c>
      <c r="C290" s="1" t="n">
        <v>45914</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35911-2024</t>
        </is>
      </c>
      <c r="B291" s="1" t="n">
        <v>45533.41498842592</v>
      </c>
      <c r="C291" s="1" t="n">
        <v>45914</v>
      </c>
      <c r="D291" t="inlineStr">
        <is>
          <t>JÄMTLANDS LÄN</t>
        </is>
      </c>
      <c r="E291" t="inlineStr">
        <is>
          <t>BERG</t>
        </is>
      </c>
      <c r="G291" t="n">
        <v>4.1</v>
      </c>
      <c r="H291" t="n">
        <v>0</v>
      </c>
      <c r="I291" t="n">
        <v>0</v>
      </c>
      <c r="J291" t="n">
        <v>0</v>
      </c>
      <c r="K291" t="n">
        <v>0</v>
      </c>
      <c r="L291" t="n">
        <v>0</v>
      </c>
      <c r="M291" t="n">
        <v>0</v>
      </c>
      <c r="N291" t="n">
        <v>0</v>
      </c>
      <c r="O291" t="n">
        <v>0</v>
      </c>
      <c r="P291" t="n">
        <v>0</v>
      </c>
      <c r="Q291" t="n">
        <v>0</v>
      </c>
      <c r="R291" s="2" t="inlineStr"/>
    </row>
    <row r="292" ht="15" customHeight="1">
      <c r="A292" t="inlineStr">
        <is>
          <t>A 41868-2024</t>
        </is>
      </c>
      <c r="B292" s="1" t="n">
        <v>45561.46900462963</v>
      </c>
      <c r="C292" s="1" t="n">
        <v>45914</v>
      </c>
      <c r="D292" t="inlineStr">
        <is>
          <t>JÄMTLANDS LÄN</t>
        </is>
      </c>
      <c r="E292" t="inlineStr">
        <is>
          <t>BERG</t>
        </is>
      </c>
      <c r="G292" t="n">
        <v>2.3</v>
      </c>
      <c r="H292" t="n">
        <v>0</v>
      </c>
      <c r="I292" t="n">
        <v>0</v>
      </c>
      <c r="J292" t="n">
        <v>0</v>
      </c>
      <c r="K292" t="n">
        <v>0</v>
      </c>
      <c r="L292" t="n">
        <v>0</v>
      </c>
      <c r="M292" t="n">
        <v>0</v>
      </c>
      <c r="N292" t="n">
        <v>0</v>
      </c>
      <c r="O292" t="n">
        <v>0</v>
      </c>
      <c r="P292" t="n">
        <v>0</v>
      </c>
      <c r="Q292" t="n">
        <v>0</v>
      </c>
      <c r="R292" s="2" t="inlineStr"/>
    </row>
    <row r="293" ht="15" customHeight="1">
      <c r="A293" t="inlineStr">
        <is>
          <t>A 22180-2025</t>
        </is>
      </c>
      <c r="B293" s="1" t="n">
        <v>45785</v>
      </c>
      <c r="C293" s="1" t="n">
        <v>45914</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34845-2023</t>
        </is>
      </c>
      <c r="B294" s="1" t="n">
        <v>45141.95964120371</v>
      </c>
      <c r="C294" s="1" t="n">
        <v>45914</v>
      </c>
      <c r="D294" t="inlineStr">
        <is>
          <t>JÄMTLANDS LÄN</t>
        </is>
      </c>
      <c r="E294" t="inlineStr">
        <is>
          <t>BERG</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22478-2025</t>
        </is>
      </c>
      <c r="B295" s="1" t="n">
        <v>45786.6349537037</v>
      </c>
      <c r="C295" s="1" t="n">
        <v>45914</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31330-2024</t>
        </is>
      </c>
      <c r="B296" s="1" t="n">
        <v>45504</v>
      </c>
      <c r="C296" s="1" t="n">
        <v>45914</v>
      </c>
      <c r="D296" t="inlineStr">
        <is>
          <t>JÄMTLANDS LÄN</t>
        </is>
      </c>
      <c r="E296" t="inlineStr">
        <is>
          <t>BERG</t>
        </is>
      </c>
      <c r="G296" t="n">
        <v>30.5</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45914</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47982-2022</t>
        </is>
      </c>
      <c r="B298" s="1" t="n">
        <v>44853</v>
      </c>
      <c r="C298" s="1" t="n">
        <v>45914</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20179-2021</t>
        </is>
      </c>
      <c r="B299" s="1" t="n">
        <v>44314.56744212963</v>
      </c>
      <c r="C299" s="1" t="n">
        <v>45914</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58157-2021</t>
        </is>
      </c>
      <c r="B300" s="1" t="n">
        <v>44487.60703703704</v>
      </c>
      <c r="C300" s="1" t="n">
        <v>45914</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46366-2024</t>
        </is>
      </c>
      <c r="B301" s="1" t="n">
        <v>45582.36490740741</v>
      </c>
      <c r="C301" s="1" t="n">
        <v>45914</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34367-2024</t>
        </is>
      </c>
      <c r="B302" s="1" t="n">
        <v>45525.38040509259</v>
      </c>
      <c r="C302" s="1" t="n">
        <v>45914</v>
      </c>
      <c r="D302" t="inlineStr">
        <is>
          <t>JÄMTLANDS LÄN</t>
        </is>
      </c>
      <c r="E302" t="inlineStr">
        <is>
          <t>BERG</t>
        </is>
      </c>
      <c r="G302" t="n">
        <v>0.4</v>
      </c>
      <c r="H302" t="n">
        <v>0</v>
      </c>
      <c r="I302" t="n">
        <v>0</v>
      </c>
      <c r="J302" t="n">
        <v>0</v>
      </c>
      <c r="K302" t="n">
        <v>0</v>
      </c>
      <c r="L302" t="n">
        <v>0</v>
      </c>
      <c r="M302" t="n">
        <v>0</v>
      </c>
      <c r="N302" t="n">
        <v>0</v>
      </c>
      <c r="O302" t="n">
        <v>0</v>
      </c>
      <c r="P302" t="n">
        <v>0</v>
      </c>
      <c r="Q302" t="n">
        <v>0</v>
      </c>
      <c r="R302" s="2" t="inlineStr"/>
    </row>
    <row r="303" ht="15" customHeight="1">
      <c r="A303" t="inlineStr">
        <is>
          <t>A 34369-2024</t>
        </is>
      </c>
      <c r="B303" s="1" t="n">
        <v>45525.38228009259</v>
      </c>
      <c r="C303" s="1" t="n">
        <v>45914</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13108-2025</t>
        </is>
      </c>
      <c r="B304" s="1" t="n">
        <v>45734</v>
      </c>
      <c r="C304" s="1" t="n">
        <v>45914</v>
      </c>
      <c r="D304" t="inlineStr">
        <is>
          <t>JÄMTLANDS LÄN</t>
        </is>
      </c>
      <c r="E304" t="inlineStr">
        <is>
          <t>BERG</t>
        </is>
      </c>
      <c r="F304" t="inlineStr">
        <is>
          <t>SCA</t>
        </is>
      </c>
      <c r="G304" t="n">
        <v>7.2</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45914</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22724-2025</t>
        </is>
      </c>
      <c r="B306" s="1" t="n">
        <v>45789.57361111111</v>
      </c>
      <c r="C306" s="1" t="n">
        <v>45914</v>
      </c>
      <c r="D306" t="inlineStr">
        <is>
          <t>JÄMTLANDS LÄN</t>
        </is>
      </c>
      <c r="E306" t="inlineStr">
        <is>
          <t>BERG</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53883-2023</t>
        </is>
      </c>
      <c r="B307" s="1" t="n">
        <v>45231.5221875</v>
      </c>
      <c r="C307" s="1" t="n">
        <v>45914</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65210-2023</t>
        </is>
      </c>
      <c r="B308" s="1" t="n">
        <v>45289</v>
      </c>
      <c r="C308" s="1" t="n">
        <v>45914</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27239-2023</t>
        </is>
      </c>
      <c r="B309" s="1" t="n">
        <v>45092</v>
      </c>
      <c r="C309" s="1" t="n">
        <v>45914</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45914</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59459-2024</t>
        </is>
      </c>
      <c r="B311" s="1" t="n">
        <v>45638</v>
      </c>
      <c r="C311" s="1" t="n">
        <v>45914</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64251-2023</t>
        </is>
      </c>
      <c r="B312" s="1" t="n">
        <v>45279.92756944444</v>
      </c>
      <c r="C312" s="1" t="n">
        <v>45914</v>
      </c>
      <c r="D312" t="inlineStr">
        <is>
          <t>JÄMTLANDS LÄN</t>
        </is>
      </c>
      <c r="E312" t="inlineStr">
        <is>
          <t>BERG</t>
        </is>
      </c>
      <c r="G312" t="n">
        <v>0.4</v>
      </c>
      <c r="H312" t="n">
        <v>0</v>
      </c>
      <c r="I312" t="n">
        <v>0</v>
      </c>
      <c r="J312" t="n">
        <v>0</v>
      </c>
      <c r="K312" t="n">
        <v>0</v>
      </c>
      <c r="L312" t="n">
        <v>0</v>
      </c>
      <c r="M312" t="n">
        <v>0</v>
      </c>
      <c r="N312" t="n">
        <v>0</v>
      </c>
      <c r="O312" t="n">
        <v>0</v>
      </c>
      <c r="P312" t="n">
        <v>0</v>
      </c>
      <c r="Q312" t="n">
        <v>0</v>
      </c>
      <c r="R312" s="2" t="inlineStr"/>
    </row>
    <row r="313" ht="15" customHeight="1">
      <c r="A313" t="inlineStr">
        <is>
          <t>A 22653-2025</t>
        </is>
      </c>
      <c r="B313" s="1" t="n">
        <v>45789.46931712963</v>
      </c>
      <c r="C313" s="1" t="n">
        <v>45914</v>
      </c>
      <c r="D313" t="inlineStr">
        <is>
          <t>JÄMTLANDS LÄN</t>
        </is>
      </c>
      <c r="E313" t="inlineStr">
        <is>
          <t>BERG</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33750-2023</t>
        </is>
      </c>
      <c r="B314" s="1" t="n">
        <v>45120</v>
      </c>
      <c r="C314" s="1" t="n">
        <v>45914</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11599-2025</t>
        </is>
      </c>
      <c r="B315" s="1" t="n">
        <v>45727.4261574074</v>
      </c>
      <c r="C315" s="1" t="n">
        <v>45914</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37086-2024</t>
        </is>
      </c>
      <c r="B316" s="1" t="n">
        <v>45539.49776620371</v>
      </c>
      <c r="C316" s="1" t="n">
        <v>45914</v>
      </c>
      <c r="D316" t="inlineStr">
        <is>
          <t>JÄMTLANDS LÄN</t>
        </is>
      </c>
      <c r="E316" t="inlineStr">
        <is>
          <t>BERG</t>
        </is>
      </c>
      <c r="F316" t="inlineStr">
        <is>
          <t>Övriga Aktiebolag</t>
        </is>
      </c>
      <c r="G316" t="n">
        <v>1.1</v>
      </c>
      <c r="H316" t="n">
        <v>0</v>
      </c>
      <c r="I316" t="n">
        <v>0</v>
      </c>
      <c r="J316" t="n">
        <v>0</v>
      </c>
      <c r="K316" t="n">
        <v>0</v>
      </c>
      <c r="L316" t="n">
        <v>0</v>
      </c>
      <c r="M316" t="n">
        <v>0</v>
      </c>
      <c r="N316" t="n">
        <v>0</v>
      </c>
      <c r="O316" t="n">
        <v>0</v>
      </c>
      <c r="P316" t="n">
        <v>0</v>
      </c>
      <c r="Q316" t="n">
        <v>0</v>
      </c>
      <c r="R316" s="2" t="inlineStr"/>
    </row>
    <row r="317" ht="15" customHeight="1">
      <c r="A317" t="inlineStr">
        <is>
          <t>A 22995-2025</t>
        </is>
      </c>
      <c r="B317" s="1" t="n">
        <v>45790.58265046297</v>
      </c>
      <c r="C317" s="1" t="n">
        <v>45914</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43762-2023</t>
        </is>
      </c>
      <c r="B318" s="1" t="n">
        <v>45182</v>
      </c>
      <c r="C318" s="1" t="n">
        <v>45914</v>
      </c>
      <c r="D318" t="inlineStr">
        <is>
          <t>JÄMTLANDS LÄN</t>
        </is>
      </c>
      <c r="E318" t="inlineStr">
        <is>
          <t>BERG</t>
        </is>
      </c>
      <c r="G318" t="n">
        <v>6.4</v>
      </c>
      <c r="H318" t="n">
        <v>0</v>
      </c>
      <c r="I318" t="n">
        <v>0</v>
      </c>
      <c r="J318" t="n">
        <v>0</v>
      </c>
      <c r="K318" t="n">
        <v>0</v>
      </c>
      <c r="L318" t="n">
        <v>0</v>
      </c>
      <c r="M318" t="n">
        <v>0</v>
      </c>
      <c r="N318" t="n">
        <v>0</v>
      </c>
      <c r="O318" t="n">
        <v>0</v>
      </c>
      <c r="P318" t="n">
        <v>0</v>
      </c>
      <c r="Q318" t="n">
        <v>0</v>
      </c>
      <c r="R318" s="2" t="inlineStr"/>
    </row>
    <row r="319" ht="15" customHeight="1">
      <c r="A319" t="inlineStr">
        <is>
          <t>A 22977-2025</t>
        </is>
      </c>
      <c r="B319" s="1" t="n">
        <v>45790.5657175926</v>
      </c>
      <c r="C319" s="1" t="n">
        <v>45914</v>
      </c>
      <c r="D319" t="inlineStr">
        <is>
          <t>JÄMTLANDS LÄN</t>
        </is>
      </c>
      <c r="E319" t="inlineStr">
        <is>
          <t>BERG</t>
        </is>
      </c>
      <c r="G319" t="n">
        <v>3</v>
      </c>
      <c r="H319" t="n">
        <v>0</v>
      </c>
      <c r="I319" t="n">
        <v>0</v>
      </c>
      <c r="J319" t="n">
        <v>0</v>
      </c>
      <c r="K319" t="n">
        <v>0</v>
      </c>
      <c r="L319" t="n">
        <v>0</v>
      </c>
      <c r="M319" t="n">
        <v>0</v>
      </c>
      <c r="N319" t="n">
        <v>0</v>
      </c>
      <c r="O319" t="n">
        <v>0</v>
      </c>
      <c r="P319" t="n">
        <v>0</v>
      </c>
      <c r="Q319" t="n">
        <v>0</v>
      </c>
      <c r="R319" s="2" t="inlineStr"/>
    </row>
    <row r="320" ht="15" customHeight="1">
      <c r="A320" t="inlineStr">
        <is>
          <t>A 23026-2025</t>
        </is>
      </c>
      <c r="B320" s="1" t="n">
        <v>45790.65690972222</v>
      </c>
      <c r="C320" s="1" t="n">
        <v>45914</v>
      </c>
      <c r="D320" t="inlineStr">
        <is>
          <t>JÄMTLANDS LÄN</t>
        </is>
      </c>
      <c r="E320" t="inlineStr">
        <is>
          <t>BERG</t>
        </is>
      </c>
      <c r="F320" t="inlineStr">
        <is>
          <t>SCA</t>
        </is>
      </c>
      <c r="G320" t="n">
        <v>4.8</v>
      </c>
      <c r="H320" t="n">
        <v>0</v>
      </c>
      <c r="I320" t="n">
        <v>0</v>
      </c>
      <c r="J320" t="n">
        <v>0</v>
      </c>
      <c r="K320" t="n">
        <v>0</v>
      </c>
      <c r="L320" t="n">
        <v>0</v>
      </c>
      <c r="M320" t="n">
        <v>0</v>
      </c>
      <c r="N320" t="n">
        <v>0</v>
      </c>
      <c r="O320" t="n">
        <v>0</v>
      </c>
      <c r="P320" t="n">
        <v>0</v>
      </c>
      <c r="Q320" t="n">
        <v>0</v>
      </c>
      <c r="R320" s="2" t="inlineStr"/>
    </row>
    <row r="321" ht="15" customHeight="1">
      <c r="A321" t="inlineStr">
        <is>
          <t>A 57226-2022</t>
        </is>
      </c>
      <c r="B321" s="1" t="n">
        <v>44895.66629629629</v>
      </c>
      <c r="C321" s="1" t="n">
        <v>45914</v>
      </c>
      <c r="D321" t="inlineStr">
        <is>
          <t>JÄMTLANDS LÄN</t>
        </is>
      </c>
      <c r="E321" t="inlineStr">
        <is>
          <t>BERG</t>
        </is>
      </c>
      <c r="G321" t="n">
        <v>4.6</v>
      </c>
      <c r="H321" t="n">
        <v>0</v>
      </c>
      <c r="I321" t="n">
        <v>0</v>
      </c>
      <c r="J321" t="n">
        <v>0</v>
      </c>
      <c r="K321" t="n">
        <v>0</v>
      </c>
      <c r="L321" t="n">
        <v>0</v>
      </c>
      <c r="M321" t="n">
        <v>0</v>
      </c>
      <c r="N321" t="n">
        <v>0</v>
      </c>
      <c r="O321" t="n">
        <v>0</v>
      </c>
      <c r="P321" t="n">
        <v>0</v>
      </c>
      <c r="Q321" t="n">
        <v>0</v>
      </c>
      <c r="R321" s="2" t="inlineStr"/>
    </row>
    <row r="322" ht="15" customHeight="1">
      <c r="A322" t="inlineStr">
        <is>
          <t>A 22991-2025</t>
        </is>
      </c>
      <c r="B322" s="1" t="n">
        <v>45790.57836805555</v>
      </c>
      <c r="C322" s="1" t="n">
        <v>45914</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23560-2024</t>
        </is>
      </c>
      <c r="B323" s="1" t="n">
        <v>45453.95467592592</v>
      </c>
      <c r="C323" s="1" t="n">
        <v>45914</v>
      </c>
      <c r="D323" t="inlineStr">
        <is>
          <t>JÄMTLANDS LÄN</t>
        </is>
      </c>
      <c r="E323" t="inlineStr">
        <is>
          <t>BERG</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35866-2024</t>
        </is>
      </c>
      <c r="B324" s="1" t="n">
        <v>45533.3422337963</v>
      </c>
      <c r="C324" s="1" t="n">
        <v>45914</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17922-2024</t>
        </is>
      </c>
      <c r="B325" s="1" t="n">
        <v>45419.5853587963</v>
      </c>
      <c r="C325" s="1" t="n">
        <v>45914</v>
      </c>
      <c r="D325" t="inlineStr">
        <is>
          <t>JÄMTLANDS LÄN</t>
        </is>
      </c>
      <c r="E325" t="inlineStr">
        <is>
          <t>BERG</t>
        </is>
      </c>
      <c r="F325" t="inlineStr">
        <is>
          <t>Holmen skog AB</t>
        </is>
      </c>
      <c r="G325" t="n">
        <v>6.8</v>
      </c>
      <c r="H325" t="n">
        <v>0</v>
      </c>
      <c r="I325" t="n">
        <v>0</v>
      </c>
      <c r="J325" t="n">
        <v>0</v>
      </c>
      <c r="K325" t="n">
        <v>0</v>
      </c>
      <c r="L325" t="n">
        <v>0</v>
      </c>
      <c r="M325" t="n">
        <v>0</v>
      </c>
      <c r="N325" t="n">
        <v>0</v>
      </c>
      <c r="O325" t="n">
        <v>0</v>
      </c>
      <c r="P325" t="n">
        <v>0</v>
      </c>
      <c r="Q325" t="n">
        <v>0</v>
      </c>
      <c r="R325" s="2" t="inlineStr"/>
    </row>
    <row r="326" ht="15" customHeight="1">
      <c r="A326" t="inlineStr">
        <is>
          <t>A 39102-2024</t>
        </is>
      </c>
      <c r="B326" s="1" t="n">
        <v>45548</v>
      </c>
      <c r="C326" s="1" t="n">
        <v>45914</v>
      </c>
      <c r="D326" t="inlineStr">
        <is>
          <t>JÄMTLANDS LÄN</t>
        </is>
      </c>
      <c r="E326" t="inlineStr">
        <is>
          <t>BERG</t>
        </is>
      </c>
      <c r="G326" t="n">
        <v>193</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45914</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35921-2024</t>
        </is>
      </c>
      <c r="B328" s="1" t="n">
        <v>45533.42659722222</v>
      </c>
      <c r="C328" s="1" t="n">
        <v>45914</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54799-2021</t>
        </is>
      </c>
      <c r="B329" s="1" t="n">
        <v>44473</v>
      </c>
      <c r="C329" s="1" t="n">
        <v>45914</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6090-2022</t>
        </is>
      </c>
      <c r="B330" s="1" t="n">
        <v>44599</v>
      </c>
      <c r="C330" s="1" t="n">
        <v>45914</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53958-2020</t>
        </is>
      </c>
      <c r="B331" s="1" t="n">
        <v>44123</v>
      </c>
      <c r="C331" s="1" t="n">
        <v>45914</v>
      </c>
      <c r="D331" t="inlineStr">
        <is>
          <t>JÄMTLANDS LÄN</t>
        </is>
      </c>
      <c r="E331" t="inlineStr">
        <is>
          <t>BERG</t>
        </is>
      </c>
      <c r="G331" t="n">
        <v>27.9</v>
      </c>
      <c r="H331" t="n">
        <v>0</v>
      </c>
      <c r="I331" t="n">
        <v>0</v>
      </c>
      <c r="J331" t="n">
        <v>0</v>
      </c>
      <c r="K331" t="n">
        <v>0</v>
      </c>
      <c r="L331" t="n">
        <v>0</v>
      </c>
      <c r="M331" t="n">
        <v>0</v>
      </c>
      <c r="N331" t="n">
        <v>0</v>
      </c>
      <c r="O331" t="n">
        <v>0</v>
      </c>
      <c r="P331" t="n">
        <v>0</v>
      </c>
      <c r="Q331" t="n">
        <v>0</v>
      </c>
      <c r="R331" s="2" t="inlineStr"/>
    </row>
    <row r="332" ht="15" customHeight="1">
      <c r="A332" t="inlineStr">
        <is>
          <t>A 34650-2024</t>
        </is>
      </c>
      <c r="B332" s="1" t="n">
        <v>45526.48329861111</v>
      </c>
      <c r="C332" s="1" t="n">
        <v>45914</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29540-2024</t>
        </is>
      </c>
      <c r="B333" s="1" t="n">
        <v>45484</v>
      </c>
      <c r="C333" s="1" t="n">
        <v>45914</v>
      </c>
      <c r="D333" t="inlineStr">
        <is>
          <t>JÄMTLANDS LÄN</t>
        </is>
      </c>
      <c r="E333" t="inlineStr">
        <is>
          <t>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28098-2024</t>
        </is>
      </c>
      <c r="B334" s="1" t="n">
        <v>45476.61347222222</v>
      </c>
      <c r="C334" s="1" t="n">
        <v>45914</v>
      </c>
      <c r="D334" t="inlineStr">
        <is>
          <t>JÄMTLANDS LÄN</t>
        </is>
      </c>
      <c r="E334" t="inlineStr">
        <is>
          <t>BERG</t>
        </is>
      </c>
      <c r="G334" t="n">
        <v>0.4</v>
      </c>
      <c r="H334" t="n">
        <v>0</v>
      </c>
      <c r="I334" t="n">
        <v>0</v>
      </c>
      <c r="J334" t="n">
        <v>0</v>
      </c>
      <c r="K334" t="n">
        <v>0</v>
      </c>
      <c r="L334" t="n">
        <v>0</v>
      </c>
      <c r="M334" t="n">
        <v>0</v>
      </c>
      <c r="N334" t="n">
        <v>0</v>
      </c>
      <c r="O334" t="n">
        <v>0</v>
      </c>
      <c r="P334" t="n">
        <v>0</v>
      </c>
      <c r="Q334" t="n">
        <v>0</v>
      </c>
      <c r="R334" s="2" t="inlineStr"/>
    </row>
    <row r="335" ht="15" customHeight="1">
      <c r="A335" t="inlineStr">
        <is>
          <t>A 23902-2025</t>
        </is>
      </c>
      <c r="B335" s="1" t="n">
        <v>45794.34447916667</v>
      </c>
      <c r="C335" s="1" t="n">
        <v>45914</v>
      </c>
      <c r="D335" t="inlineStr">
        <is>
          <t>JÄMTLANDS LÄN</t>
        </is>
      </c>
      <c r="E335" t="inlineStr">
        <is>
          <t>BERG</t>
        </is>
      </c>
      <c r="F335" t="inlineStr">
        <is>
          <t>SCA</t>
        </is>
      </c>
      <c r="G335" t="n">
        <v>14.3</v>
      </c>
      <c r="H335" t="n">
        <v>0</v>
      </c>
      <c r="I335" t="n">
        <v>0</v>
      </c>
      <c r="J335" t="n">
        <v>0</v>
      </c>
      <c r="K335" t="n">
        <v>0</v>
      </c>
      <c r="L335" t="n">
        <v>0</v>
      </c>
      <c r="M335" t="n">
        <v>0</v>
      </c>
      <c r="N335" t="n">
        <v>0</v>
      </c>
      <c r="O335" t="n">
        <v>0</v>
      </c>
      <c r="P335" t="n">
        <v>0</v>
      </c>
      <c r="Q335" t="n">
        <v>0</v>
      </c>
      <c r="R335" s="2" t="inlineStr"/>
    </row>
    <row r="336" ht="15" customHeight="1">
      <c r="A336" t="inlineStr">
        <is>
          <t>A 23913-2025</t>
        </is>
      </c>
      <c r="B336" s="1" t="n">
        <v>45795.34442129629</v>
      </c>
      <c r="C336" s="1" t="n">
        <v>45914</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38682-2023</t>
        </is>
      </c>
      <c r="B337" s="1" t="n">
        <v>45162</v>
      </c>
      <c r="C337" s="1" t="n">
        <v>45914</v>
      </c>
      <c r="D337" t="inlineStr">
        <is>
          <t>JÄMTLANDS LÄN</t>
        </is>
      </c>
      <c r="E337" t="inlineStr">
        <is>
          <t>BERG</t>
        </is>
      </c>
      <c r="F337" t="inlineStr">
        <is>
          <t>SCA</t>
        </is>
      </c>
      <c r="G337" t="n">
        <v>21.3</v>
      </c>
      <c r="H337" t="n">
        <v>0</v>
      </c>
      <c r="I337" t="n">
        <v>0</v>
      </c>
      <c r="J337" t="n">
        <v>0</v>
      </c>
      <c r="K337" t="n">
        <v>0</v>
      </c>
      <c r="L337" t="n">
        <v>0</v>
      </c>
      <c r="M337" t="n">
        <v>0</v>
      </c>
      <c r="N337" t="n">
        <v>0</v>
      </c>
      <c r="O337" t="n">
        <v>0</v>
      </c>
      <c r="P337" t="n">
        <v>0</v>
      </c>
      <c r="Q337" t="n">
        <v>0</v>
      </c>
      <c r="R337" s="2" t="inlineStr"/>
    </row>
    <row r="338" ht="15" customHeight="1">
      <c r="A338" t="inlineStr">
        <is>
          <t>A 68468-2021</t>
        </is>
      </c>
      <c r="B338" s="1" t="n">
        <v>44529</v>
      </c>
      <c r="C338" s="1" t="n">
        <v>45914</v>
      </c>
      <c r="D338" t="inlineStr">
        <is>
          <t>JÄMTLANDS LÄN</t>
        </is>
      </c>
      <c r="E338" t="inlineStr">
        <is>
          <t>BERG</t>
        </is>
      </c>
      <c r="G338" t="n">
        <v>4.6</v>
      </c>
      <c r="H338" t="n">
        <v>0</v>
      </c>
      <c r="I338" t="n">
        <v>0</v>
      </c>
      <c r="J338" t="n">
        <v>0</v>
      </c>
      <c r="K338" t="n">
        <v>0</v>
      </c>
      <c r="L338" t="n">
        <v>0</v>
      </c>
      <c r="M338" t="n">
        <v>0</v>
      </c>
      <c r="N338" t="n">
        <v>0</v>
      </c>
      <c r="O338" t="n">
        <v>0</v>
      </c>
      <c r="P338" t="n">
        <v>0</v>
      </c>
      <c r="Q338" t="n">
        <v>0</v>
      </c>
      <c r="R338" s="2" t="inlineStr"/>
    </row>
    <row r="339" ht="15" customHeight="1">
      <c r="A339" t="inlineStr">
        <is>
          <t>A 29087-2024</t>
        </is>
      </c>
      <c r="B339" s="1" t="n">
        <v>45481.92946759259</v>
      </c>
      <c r="C339" s="1" t="n">
        <v>45914</v>
      </c>
      <c r="D339" t="inlineStr">
        <is>
          <t>JÄMTLANDS LÄN</t>
        </is>
      </c>
      <c r="E339" t="inlineStr">
        <is>
          <t>BERG</t>
        </is>
      </c>
      <c r="G339" t="n">
        <v>10.7</v>
      </c>
      <c r="H339" t="n">
        <v>0</v>
      </c>
      <c r="I339" t="n">
        <v>0</v>
      </c>
      <c r="J339" t="n">
        <v>0</v>
      </c>
      <c r="K339" t="n">
        <v>0</v>
      </c>
      <c r="L339" t="n">
        <v>0</v>
      </c>
      <c r="M339" t="n">
        <v>0</v>
      </c>
      <c r="N339" t="n">
        <v>0</v>
      </c>
      <c r="O339" t="n">
        <v>0</v>
      </c>
      <c r="P339" t="n">
        <v>0</v>
      </c>
      <c r="Q339" t="n">
        <v>0</v>
      </c>
      <c r="R339" s="2" t="inlineStr"/>
    </row>
    <row r="340" ht="15" customHeight="1">
      <c r="A340" t="inlineStr">
        <is>
          <t>A 5014-2024</t>
        </is>
      </c>
      <c r="B340" s="1" t="n">
        <v>45329</v>
      </c>
      <c r="C340" s="1" t="n">
        <v>45914</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23900-2025</t>
        </is>
      </c>
      <c r="B341" s="1" t="n">
        <v>45794.34425925926</v>
      </c>
      <c r="C341" s="1" t="n">
        <v>45914</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23915-2025</t>
        </is>
      </c>
      <c r="B342" s="1" t="n">
        <v>45795.3446412037</v>
      </c>
      <c r="C342" s="1" t="n">
        <v>45914</v>
      </c>
      <c r="D342" t="inlineStr">
        <is>
          <t>JÄMTLANDS LÄN</t>
        </is>
      </c>
      <c r="E342" t="inlineStr">
        <is>
          <t>BERG</t>
        </is>
      </c>
      <c r="F342" t="inlineStr">
        <is>
          <t>SCA</t>
        </is>
      </c>
      <c r="G342" t="n">
        <v>16.7</v>
      </c>
      <c r="H342" t="n">
        <v>0</v>
      </c>
      <c r="I342" t="n">
        <v>0</v>
      </c>
      <c r="J342" t="n">
        <v>0</v>
      </c>
      <c r="K342" t="n">
        <v>0</v>
      </c>
      <c r="L342" t="n">
        <v>0</v>
      </c>
      <c r="M342" t="n">
        <v>0</v>
      </c>
      <c r="N342" t="n">
        <v>0</v>
      </c>
      <c r="O342" t="n">
        <v>0</v>
      </c>
      <c r="P342" t="n">
        <v>0</v>
      </c>
      <c r="Q342" t="n">
        <v>0</v>
      </c>
      <c r="R342" s="2" t="inlineStr"/>
    </row>
    <row r="343" ht="15" customHeight="1">
      <c r="A343" t="inlineStr">
        <is>
          <t>A 23916-2025</t>
        </is>
      </c>
      <c r="B343" s="1" t="n">
        <v>45795.34472222222</v>
      </c>
      <c r="C343" s="1" t="n">
        <v>45914</v>
      </c>
      <c r="D343" t="inlineStr">
        <is>
          <t>JÄMTLANDS LÄN</t>
        </is>
      </c>
      <c r="E343" t="inlineStr">
        <is>
          <t>BERG</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23920-2025</t>
        </is>
      </c>
      <c r="B344" s="1" t="n">
        <v>45795.34505787037</v>
      </c>
      <c r="C344" s="1" t="n">
        <v>45914</v>
      </c>
      <c r="D344" t="inlineStr">
        <is>
          <t>JÄMTLANDS LÄN</t>
        </is>
      </c>
      <c r="E344" t="inlineStr">
        <is>
          <t>BERG</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29424-2024</t>
        </is>
      </c>
      <c r="B345" s="1" t="n">
        <v>45483.71451388889</v>
      </c>
      <c r="C345" s="1" t="n">
        <v>45914</v>
      </c>
      <c r="D345" t="inlineStr">
        <is>
          <t>JÄMTLANDS LÄN</t>
        </is>
      </c>
      <c r="E345" t="inlineStr">
        <is>
          <t>BERG</t>
        </is>
      </c>
      <c r="G345" t="n">
        <v>4</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45914</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30992-2024</t>
        </is>
      </c>
      <c r="B347" s="1" t="n">
        <v>45499</v>
      </c>
      <c r="C347" s="1" t="n">
        <v>45914</v>
      </c>
      <c r="D347" t="inlineStr">
        <is>
          <t>JÄMTLANDS LÄN</t>
        </is>
      </c>
      <c r="E347" t="inlineStr">
        <is>
          <t>BERG</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23901-2025</t>
        </is>
      </c>
      <c r="B348" s="1" t="n">
        <v>45794.34436342592</v>
      </c>
      <c r="C348" s="1" t="n">
        <v>45914</v>
      </c>
      <c r="D348" t="inlineStr">
        <is>
          <t>JÄMTLANDS LÄN</t>
        </is>
      </c>
      <c r="E348" t="inlineStr">
        <is>
          <t>BERG</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23919-2025</t>
        </is>
      </c>
      <c r="B349" s="1" t="n">
        <v>45795.34497685185</v>
      </c>
      <c r="C349" s="1" t="n">
        <v>45914</v>
      </c>
      <c r="D349" t="inlineStr">
        <is>
          <t>JÄMTLANDS LÄN</t>
        </is>
      </c>
      <c r="E349" t="inlineStr">
        <is>
          <t>BERG</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45914</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45346-2023</t>
        </is>
      </c>
      <c r="B351" s="1" t="n">
        <v>45191</v>
      </c>
      <c r="C351" s="1" t="n">
        <v>45914</v>
      </c>
      <c r="D351" t="inlineStr">
        <is>
          <t>JÄMTLANDS LÄN</t>
        </is>
      </c>
      <c r="E351" t="inlineStr">
        <is>
          <t>BERG</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51039-2024</t>
        </is>
      </c>
      <c r="B352" s="1" t="n">
        <v>45603.43164351852</v>
      </c>
      <c r="C352" s="1" t="n">
        <v>45914</v>
      </c>
      <c r="D352" t="inlineStr">
        <is>
          <t>JÄMTLANDS LÄN</t>
        </is>
      </c>
      <c r="E352" t="inlineStr">
        <is>
          <t>BERG</t>
        </is>
      </c>
      <c r="G352" t="n">
        <v>14</v>
      </c>
      <c r="H352" t="n">
        <v>0</v>
      </c>
      <c r="I352" t="n">
        <v>0</v>
      </c>
      <c r="J352" t="n">
        <v>0</v>
      </c>
      <c r="K352" t="n">
        <v>0</v>
      </c>
      <c r="L352" t="n">
        <v>0</v>
      </c>
      <c r="M352" t="n">
        <v>0</v>
      </c>
      <c r="N352" t="n">
        <v>0</v>
      </c>
      <c r="O352" t="n">
        <v>0</v>
      </c>
      <c r="P352" t="n">
        <v>0</v>
      </c>
      <c r="Q352" t="n">
        <v>0</v>
      </c>
      <c r="R352" s="2" t="inlineStr"/>
    </row>
    <row r="353" ht="15" customHeight="1">
      <c r="A353" t="inlineStr">
        <is>
          <t>A 24060-2025</t>
        </is>
      </c>
      <c r="B353" s="1" t="n">
        <v>45796.5216087963</v>
      </c>
      <c r="C353" s="1" t="n">
        <v>45914</v>
      </c>
      <c r="D353" t="inlineStr">
        <is>
          <t>JÄMTLANDS LÄN</t>
        </is>
      </c>
      <c r="E353" t="inlineStr">
        <is>
          <t>BERG</t>
        </is>
      </c>
      <c r="G353" t="n">
        <v>4.7</v>
      </c>
      <c r="H353" t="n">
        <v>0</v>
      </c>
      <c r="I353" t="n">
        <v>0</v>
      </c>
      <c r="J353" t="n">
        <v>0</v>
      </c>
      <c r="K353" t="n">
        <v>0</v>
      </c>
      <c r="L353" t="n">
        <v>0</v>
      </c>
      <c r="M353" t="n">
        <v>0</v>
      </c>
      <c r="N353" t="n">
        <v>0</v>
      </c>
      <c r="O353" t="n">
        <v>0</v>
      </c>
      <c r="P353" t="n">
        <v>0</v>
      </c>
      <c r="Q353" t="n">
        <v>0</v>
      </c>
      <c r="R353" s="2" t="inlineStr"/>
    </row>
    <row r="354" ht="15" customHeight="1">
      <c r="A354" t="inlineStr">
        <is>
          <t>A 20882-2023</t>
        </is>
      </c>
      <c r="B354" s="1" t="n">
        <v>45058</v>
      </c>
      <c r="C354" s="1" t="n">
        <v>45914</v>
      </c>
      <c r="D354" t="inlineStr">
        <is>
          <t>JÄMTLANDS LÄN</t>
        </is>
      </c>
      <c r="E354" t="inlineStr">
        <is>
          <t>BERG</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59521-2024</t>
        </is>
      </c>
      <c r="B355" s="1" t="n">
        <v>45638.57283564815</v>
      </c>
      <c r="C355" s="1" t="n">
        <v>45914</v>
      </c>
      <c r="D355" t="inlineStr">
        <is>
          <t>JÄMTLANDS LÄN</t>
        </is>
      </c>
      <c r="E355" t="inlineStr">
        <is>
          <t>BERG</t>
        </is>
      </c>
      <c r="G355" t="n">
        <v>2.1</v>
      </c>
      <c r="H355" t="n">
        <v>0</v>
      </c>
      <c r="I355" t="n">
        <v>0</v>
      </c>
      <c r="J355" t="n">
        <v>0</v>
      </c>
      <c r="K355" t="n">
        <v>0</v>
      </c>
      <c r="L355" t="n">
        <v>0</v>
      </c>
      <c r="M355" t="n">
        <v>0</v>
      </c>
      <c r="N355" t="n">
        <v>0</v>
      </c>
      <c r="O355" t="n">
        <v>0</v>
      </c>
      <c r="P355" t="n">
        <v>0</v>
      </c>
      <c r="Q355" t="n">
        <v>0</v>
      </c>
      <c r="R355" s="2" t="inlineStr"/>
    </row>
    <row r="356" ht="15" customHeight="1">
      <c r="A356" t="inlineStr">
        <is>
          <t>A 5911-2024</t>
        </is>
      </c>
      <c r="B356" s="1" t="n">
        <v>45335</v>
      </c>
      <c r="C356" s="1" t="n">
        <v>45914</v>
      </c>
      <c r="D356" t="inlineStr">
        <is>
          <t>JÄMTLANDS LÄN</t>
        </is>
      </c>
      <c r="E356" t="inlineStr">
        <is>
          <t>BERG</t>
        </is>
      </c>
      <c r="F356" t="inlineStr">
        <is>
          <t>SCA</t>
        </is>
      </c>
      <c r="G356" t="n">
        <v>28.6</v>
      </c>
      <c r="H356" t="n">
        <v>0</v>
      </c>
      <c r="I356" t="n">
        <v>0</v>
      </c>
      <c r="J356" t="n">
        <v>0</v>
      </c>
      <c r="K356" t="n">
        <v>0</v>
      </c>
      <c r="L356" t="n">
        <v>0</v>
      </c>
      <c r="M356" t="n">
        <v>0</v>
      </c>
      <c r="N356" t="n">
        <v>0</v>
      </c>
      <c r="O356" t="n">
        <v>0</v>
      </c>
      <c r="P356" t="n">
        <v>0</v>
      </c>
      <c r="Q356" t="n">
        <v>0</v>
      </c>
      <c r="R356" s="2" t="inlineStr"/>
    </row>
    <row r="357" ht="15" customHeight="1">
      <c r="A357" t="inlineStr">
        <is>
          <t>A 48307-2024</t>
        </is>
      </c>
      <c r="B357" s="1" t="n">
        <v>45590.47684027778</v>
      </c>
      <c r="C357" s="1" t="n">
        <v>45914</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1983-2022</t>
        </is>
      </c>
      <c r="B358" s="1" t="n">
        <v>44575</v>
      </c>
      <c r="C358" s="1" t="n">
        <v>45914</v>
      </c>
      <c r="D358" t="inlineStr">
        <is>
          <t>JÄMTLANDS LÄN</t>
        </is>
      </c>
      <c r="E358" t="inlineStr">
        <is>
          <t>BERG</t>
        </is>
      </c>
      <c r="G358" t="n">
        <v>1.8</v>
      </c>
      <c r="H358" t="n">
        <v>0</v>
      </c>
      <c r="I358" t="n">
        <v>0</v>
      </c>
      <c r="J358" t="n">
        <v>0</v>
      </c>
      <c r="K358" t="n">
        <v>0</v>
      </c>
      <c r="L358" t="n">
        <v>0</v>
      </c>
      <c r="M358" t="n">
        <v>0</v>
      </c>
      <c r="N358" t="n">
        <v>0</v>
      </c>
      <c r="O358" t="n">
        <v>0</v>
      </c>
      <c r="P358" t="n">
        <v>0</v>
      </c>
      <c r="Q358" t="n">
        <v>0</v>
      </c>
      <c r="R358" s="2" t="inlineStr"/>
    </row>
    <row r="359" ht="15" customHeight="1">
      <c r="A359" t="inlineStr">
        <is>
          <t>A 2002-2022</t>
        </is>
      </c>
      <c r="B359" s="1" t="n">
        <v>44575</v>
      </c>
      <c r="C359" s="1" t="n">
        <v>45914</v>
      </c>
      <c r="D359" t="inlineStr">
        <is>
          <t>JÄMTLANDS LÄN</t>
        </is>
      </c>
      <c r="E359" t="inlineStr">
        <is>
          <t>BERG</t>
        </is>
      </c>
      <c r="G359" t="n">
        <v>11.3</v>
      </c>
      <c r="H359" t="n">
        <v>0</v>
      </c>
      <c r="I359" t="n">
        <v>0</v>
      </c>
      <c r="J359" t="n">
        <v>0</v>
      </c>
      <c r="K359" t="n">
        <v>0</v>
      </c>
      <c r="L359" t="n">
        <v>0</v>
      </c>
      <c r="M359" t="n">
        <v>0</v>
      </c>
      <c r="N359" t="n">
        <v>0</v>
      </c>
      <c r="O359" t="n">
        <v>0</v>
      </c>
      <c r="P359" t="n">
        <v>0</v>
      </c>
      <c r="Q359" t="n">
        <v>0</v>
      </c>
      <c r="R359" s="2" t="inlineStr"/>
    </row>
    <row r="360" ht="15" customHeight="1">
      <c r="A360" t="inlineStr">
        <is>
          <t>A 46874-2023</t>
        </is>
      </c>
      <c r="B360" s="1" t="n">
        <v>45200</v>
      </c>
      <c r="C360" s="1" t="n">
        <v>45914</v>
      </c>
      <c r="D360" t="inlineStr">
        <is>
          <t>JÄMTLANDS LÄN</t>
        </is>
      </c>
      <c r="E360" t="inlineStr">
        <is>
          <t>BERG</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39186-2024</t>
        </is>
      </c>
      <c r="B361" s="1" t="n">
        <v>45548.66489583333</v>
      </c>
      <c r="C361" s="1" t="n">
        <v>45914</v>
      </c>
      <c r="D361" t="inlineStr">
        <is>
          <t>JÄMTLANDS LÄN</t>
        </is>
      </c>
      <c r="E361" t="inlineStr">
        <is>
          <t>BERG</t>
        </is>
      </c>
      <c r="G361" t="n">
        <v>38.4</v>
      </c>
      <c r="H361" t="n">
        <v>0</v>
      </c>
      <c r="I361" t="n">
        <v>0</v>
      </c>
      <c r="J361" t="n">
        <v>0</v>
      </c>
      <c r="K361" t="n">
        <v>0</v>
      </c>
      <c r="L361" t="n">
        <v>0</v>
      </c>
      <c r="M361" t="n">
        <v>0</v>
      </c>
      <c r="N361" t="n">
        <v>0</v>
      </c>
      <c r="O361" t="n">
        <v>0</v>
      </c>
      <c r="P361" t="n">
        <v>0</v>
      </c>
      <c r="Q361" t="n">
        <v>0</v>
      </c>
      <c r="R361" s="2" t="inlineStr"/>
    </row>
    <row r="362" ht="15" customHeight="1">
      <c r="A362" t="inlineStr">
        <is>
          <t>A 1495-2025</t>
        </is>
      </c>
      <c r="B362" s="1" t="n">
        <v>45670.40652777778</v>
      </c>
      <c r="C362" s="1" t="n">
        <v>45914</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35986-2023</t>
        </is>
      </c>
      <c r="B363" s="1" t="n">
        <v>45148</v>
      </c>
      <c r="C363" s="1" t="n">
        <v>45914</v>
      </c>
      <c r="D363" t="inlineStr">
        <is>
          <t>JÄMTLANDS LÄN</t>
        </is>
      </c>
      <c r="E363" t="inlineStr">
        <is>
          <t>BERG</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23766-2025</t>
        </is>
      </c>
      <c r="B364" s="1" t="n">
        <v>45793.46954861111</v>
      </c>
      <c r="C364" s="1" t="n">
        <v>45914</v>
      </c>
      <c r="D364" t="inlineStr">
        <is>
          <t>JÄMTLANDS LÄN</t>
        </is>
      </c>
      <c r="E364" t="inlineStr">
        <is>
          <t>BERG</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24360-2025</t>
        </is>
      </c>
      <c r="B365" s="1" t="n">
        <v>45797.59502314815</v>
      </c>
      <c r="C365" s="1" t="n">
        <v>45914</v>
      </c>
      <c r="D365" t="inlineStr">
        <is>
          <t>JÄMTLANDS LÄN</t>
        </is>
      </c>
      <c r="E365" t="inlineStr">
        <is>
          <t>BERG</t>
        </is>
      </c>
      <c r="F365" t="inlineStr">
        <is>
          <t>SCA</t>
        </is>
      </c>
      <c r="G365" t="n">
        <v>10.5</v>
      </c>
      <c r="H365" t="n">
        <v>0</v>
      </c>
      <c r="I365" t="n">
        <v>0</v>
      </c>
      <c r="J365" t="n">
        <v>0</v>
      </c>
      <c r="K365" t="n">
        <v>0</v>
      </c>
      <c r="L365" t="n">
        <v>0</v>
      </c>
      <c r="M365" t="n">
        <v>0</v>
      </c>
      <c r="N365" t="n">
        <v>0</v>
      </c>
      <c r="O365" t="n">
        <v>0</v>
      </c>
      <c r="P365" t="n">
        <v>0</v>
      </c>
      <c r="Q365" t="n">
        <v>0</v>
      </c>
      <c r="R365" s="2" t="inlineStr"/>
    </row>
    <row r="366" ht="15" customHeight="1">
      <c r="A366" t="inlineStr">
        <is>
          <t>A 24324-2025</t>
        </is>
      </c>
      <c r="B366" s="1" t="n">
        <v>45797.56049768518</v>
      </c>
      <c r="C366" s="1" t="n">
        <v>45914</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24390-2025</t>
        </is>
      </c>
      <c r="B367" s="1" t="n">
        <v>45797.63576388889</v>
      </c>
      <c r="C367" s="1" t="n">
        <v>45914</v>
      </c>
      <c r="D367" t="inlineStr">
        <is>
          <t>JÄMTLANDS LÄN</t>
        </is>
      </c>
      <c r="E367" t="inlineStr">
        <is>
          <t>BERG</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57661-2024</t>
        </is>
      </c>
      <c r="B368" s="1" t="n">
        <v>45630.6140162037</v>
      </c>
      <c r="C368" s="1" t="n">
        <v>45914</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24442-2025</t>
        </is>
      </c>
      <c r="B369" s="1" t="n">
        <v>45797.96236111111</v>
      </c>
      <c r="C369" s="1" t="n">
        <v>45914</v>
      </c>
      <c r="D369" t="inlineStr">
        <is>
          <t>JÄMTLANDS LÄN</t>
        </is>
      </c>
      <c r="E369" t="inlineStr">
        <is>
          <t>BERG</t>
        </is>
      </c>
      <c r="G369" t="n">
        <v>9</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45914</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19345-2024</t>
        </is>
      </c>
      <c r="B371" s="1" t="n">
        <v>45428.97185185185</v>
      </c>
      <c r="C371" s="1" t="n">
        <v>45914</v>
      </c>
      <c r="D371" t="inlineStr">
        <is>
          <t>JÄMTLANDS LÄN</t>
        </is>
      </c>
      <c r="E371" t="inlineStr">
        <is>
          <t>BERG</t>
        </is>
      </c>
      <c r="F371" t="inlineStr">
        <is>
          <t>SCA</t>
        </is>
      </c>
      <c r="G371" t="n">
        <v>14.7</v>
      </c>
      <c r="H371" t="n">
        <v>0</v>
      </c>
      <c r="I371" t="n">
        <v>0</v>
      </c>
      <c r="J371" t="n">
        <v>0</v>
      </c>
      <c r="K371" t="n">
        <v>0</v>
      </c>
      <c r="L371" t="n">
        <v>0</v>
      </c>
      <c r="M371" t="n">
        <v>0</v>
      </c>
      <c r="N371" t="n">
        <v>0</v>
      </c>
      <c r="O371" t="n">
        <v>0</v>
      </c>
      <c r="P371" t="n">
        <v>0</v>
      </c>
      <c r="Q371" t="n">
        <v>0</v>
      </c>
      <c r="R371" s="2" t="inlineStr"/>
    </row>
    <row r="372" ht="15" customHeight="1">
      <c r="A372" t="inlineStr">
        <is>
          <t>A 58176-2024</t>
        </is>
      </c>
      <c r="B372" s="1" t="n">
        <v>45632.46771990741</v>
      </c>
      <c r="C372" s="1" t="n">
        <v>45914</v>
      </c>
      <c r="D372" t="inlineStr">
        <is>
          <t>JÄMTLANDS LÄN</t>
        </is>
      </c>
      <c r="E372" t="inlineStr">
        <is>
          <t>BERG</t>
        </is>
      </c>
      <c r="G372" t="n">
        <v>14.4</v>
      </c>
      <c r="H372" t="n">
        <v>0</v>
      </c>
      <c r="I372" t="n">
        <v>0</v>
      </c>
      <c r="J372" t="n">
        <v>0</v>
      </c>
      <c r="K372" t="n">
        <v>0</v>
      </c>
      <c r="L372" t="n">
        <v>0</v>
      </c>
      <c r="M372" t="n">
        <v>0</v>
      </c>
      <c r="N372" t="n">
        <v>0</v>
      </c>
      <c r="O372" t="n">
        <v>0</v>
      </c>
      <c r="P372" t="n">
        <v>0</v>
      </c>
      <c r="Q372" t="n">
        <v>0</v>
      </c>
      <c r="R372" s="2" t="inlineStr"/>
    </row>
    <row r="373" ht="15" customHeight="1">
      <c r="A373" t="inlineStr">
        <is>
          <t>A 24644-2025</t>
        </is>
      </c>
      <c r="B373" s="1" t="n">
        <v>45798.63278935185</v>
      </c>
      <c r="C373" s="1" t="n">
        <v>45914</v>
      </c>
      <c r="D373" t="inlineStr">
        <is>
          <t>JÄMTLANDS LÄN</t>
        </is>
      </c>
      <c r="E373" t="inlineStr">
        <is>
          <t>BERG</t>
        </is>
      </c>
      <c r="G373" t="n">
        <v>24.4</v>
      </c>
      <c r="H373" t="n">
        <v>0</v>
      </c>
      <c r="I373" t="n">
        <v>0</v>
      </c>
      <c r="J373" t="n">
        <v>0</v>
      </c>
      <c r="K373" t="n">
        <v>0</v>
      </c>
      <c r="L373" t="n">
        <v>0</v>
      </c>
      <c r="M373" t="n">
        <v>0</v>
      </c>
      <c r="N373" t="n">
        <v>0</v>
      </c>
      <c r="O373" t="n">
        <v>0</v>
      </c>
      <c r="P373" t="n">
        <v>0</v>
      </c>
      <c r="Q373" t="n">
        <v>0</v>
      </c>
      <c r="R373" s="2" t="inlineStr"/>
    </row>
    <row r="374" ht="15" customHeight="1">
      <c r="A374" t="inlineStr">
        <is>
          <t>A 53456-2022</t>
        </is>
      </c>
      <c r="B374" s="1" t="n">
        <v>44874</v>
      </c>
      <c r="C374" s="1" t="n">
        <v>45914</v>
      </c>
      <c r="D374" t="inlineStr">
        <is>
          <t>JÄMTLANDS LÄN</t>
        </is>
      </c>
      <c r="E374" t="inlineStr">
        <is>
          <t>BERG</t>
        </is>
      </c>
      <c r="G374" t="n">
        <v>13.3</v>
      </c>
      <c r="H374" t="n">
        <v>0</v>
      </c>
      <c r="I374" t="n">
        <v>0</v>
      </c>
      <c r="J374" t="n">
        <v>0</v>
      </c>
      <c r="K374" t="n">
        <v>0</v>
      </c>
      <c r="L374" t="n">
        <v>0</v>
      </c>
      <c r="M374" t="n">
        <v>0</v>
      </c>
      <c r="N374" t="n">
        <v>0</v>
      </c>
      <c r="O374" t="n">
        <v>0</v>
      </c>
      <c r="P374" t="n">
        <v>0</v>
      </c>
      <c r="Q374" t="n">
        <v>0</v>
      </c>
      <c r="R374" s="2" t="inlineStr"/>
    </row>
    <row r="375" ht="15" customHeight="1">
      <c r="A375" t="inlineStr">
        <is>
          <t>A 7021-2025</t>
        </is>
      </c>
      <c r="B375" s="1" t="n">
        <v>45701.61520833334</v>
      </c>
      <c r="C375" s="1" t="n">
        <v>45914</v>
      </c>
      <c r="D375" t="inlineStr">
        <is>
          <t>JÄMTLANDS LÄN</t>
        </is>
      </c>
      <c r="E375" t="inlineStr">
        <is>
          <t>BERG</t>
        </is>
      </c>
      <c r="G375" t="n">
        <v>4.2</v>
      </c>
      <c r="H375" t="n">
        <v>0</v>
      </c>
      <c r="I375" t="n">
        <v>0</v>
      </c>
      <c r="J375" t="n">
        <v>0</v>
      </c>
      <c r="K375" t="n">
        <v>0</v>
      </c>
      <c r="L375" t="n">
        <v>0</v>
      </c>
      <c r="M375" t="n">
        <v>0</v>
      </c>
      <c r="N375" t="n">
        <v>0</v>
      </c>
      <c r="O375" t="n">
        <v>0</v>
      </c>
      <c r="P375" t="n">
        <v>0</v>
      </c>
      <c r="Q375" t="n">
        <v>0</v>
      </c>
      <c r="R375" s="2" t="inlineStr"/>
    </row>
    <row r="376" ht="15" customHeight="1">
      <c r="A376" t="inlineStr">
        <is>
          <t>A 171-2022</t>
        </is>
      </c>
      <c r="B376" s="1" t="n">
        <v>44564</v>
      </c>
      <c r="C376" s="1" t="n">
        <v>45914</v>
      </c>
      <c r="D376" t="inlineStr">
        <is>
          <t>JÄMTLANDS LÄN</t>
        </is>
      </c>
      <c r="E376" t="inlineStr">
        <is>
          <t>BERG</t>
        </is>
      </c>
      <c r="G376" t="n">
        <v>2.3</v>
      </c>
      <c r="H376" t="n">
        <v>0</v>
      </c>
      <c r="I376" t="n">
        <v>0</v>
      </c>
      <c r="J376" t="n">
        <v>0</v>
      </c>
      <c r="K376" t="n">
        <v>0</v>
      </c>
      <c r="L376" t="n">
        <v>0</v>
      </c>
      <c r="M376" t="n">
        <v>0</v>
      </c>
      <c r="N376" t="n">
        <v>0</v>
      </c>
      <c r="O376" t="n">
        <v>0</v>
      </c>
      <c r="P376" t="n">
        <v>0</v>
      </c>
      <c r="Q376" t="n">
        <v>0</v>
      </c>
      <c r="R376" s="2" t="inlineStr"/>
    </row>
    <row r="377" ht="15" customHeight="1">
      <c r="A377" t="inlineStr">
        <is>
          <t>A 38962-2024</t>
        </is>
      </c>
      <c r="B377" s="1" t="n">
        <v>45548.36175925926</v>
      </c>
      <c r="C377" s="1" t="n">
        <v>45914</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21508-2024</t>
        </is>
      </c>
      <c r="B378" s="1" t="n">
        <v>45441.56905092593</v>
      </c>
      <c r="C378" s="1" t="n">
        <v>45914</v>
      </c>
      <c r="D378" t="inlineStr">
        <is>
          <t>JÄMTLANDS LÄN</t>
        </is>
      </c>
      <c r="E378" t="inlineStr">
        <is>
          <t>BERG</t>
        </is>
      </c>
      <c r="G378" t="n">
        <v>3.2</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45914</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59968-2024</t>
        </is>
      </c>
      <c r="B380" s="1" t="n">
        <v>45642</v>
      </c>
      <c r="C380" s="1" t="n">
        <v>45914</v>
      </c>
      <c r="D380" t="inlineStr">
        <is>
          <t>JÄMTLANDS LÄN</t>
        </is>
      </c>
      <c r="E380" t="inlineStr">
        <is>
          <t>BERG</t>
        </is>
      </c>
      <c r="G380" t="n">
        <v>4.7</v>
      </c>
      <c r="H380" t="n">
        <v>0</v>
      </c>
      <c r="I380" t="n">
        <v>0</v>
      </c>
      <c r="J380" t="n">
        <v>0</v>
      </c>
      <c r="K380" t="n">
        <v>0</v>
      </c>
      <c r="L380" t="n">
        <v>0</v>
      </c>
      <c r="M380" t="n">
        <v>0</v>
      </c>
      <c r="N380" t="n">
        <v>0</v>
      </c>
      <c r="O380" t="n">
        <v>0</v>
      </c>
      <c r="P380" t="n">
        <v>0</v>
      </c>
      <c r="Q380" t="n">
        <v>0</v>
      </c>
      <c r="R380" s="2" t="inlineStr"/>
    </row>
    <row r="381" ht="15" customHeight="1">
      <c r="A381" t="inlineStr">
        <is>
          <t>A 24786-2025</t>
        </is>
      </c>
      <c r="B381" s="1" t="n">
        <v>45799.42777777778</v>
      </c>
      <c r="C381" s="1" t="n">
        <v>45914</v>
      </c>
      <c r="D381" t="inlineStr">
        <is>
          <t>JÄMTLANDS LÄN</t>
        </is>
      </c>
      <c r="E381" t="inlineStr">
        <is>
          <t>BERG</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33386-2025</t>
        </is>
      </c>
      <c r="B382" s="1" t="n">
        <v>45841.40587962963</v>
      </c>
      <c r="C382" s="1" t="n">
        <v>45914</v>
      </c>
      <c r="D382" t="inlineStr">
        <is>
          <t>JÄMTLANDS LÄN</t>
        </is>
      </c>
      <c r="E382" t="inlineStr">
        <is>
          <t>BERG</t>
        </is>
      </c>
      <c r="G382" t="n">
        <v>37.7</v>
      </c>
      <c r="H382" t="n">
        <v>0</v>
      </c>
      <c r="I382" t="n">
        <v>0</v>
      </c>
      <c r="J382" t="n">
        <v>0</v>
      </c>
      <c r="K382" t="n">
        <v>0</v>
      </c>
      <c r="L382" t="n">
        <v>0</v>
      </c>
      <c r="M382" t="n">
        <v>0</v>
      </c>
      <c r="N382" t="n">
        <v>0</v>
      </c>
      <c r="O382" t="n">
        <v>0</v>
      </c>
      <c r="P382" t="n">
        <v>0</v>
      </c>
      <c r="Q382" t="n">
        <v>0</v>
      </c>
      <c r="R382" s="2" t="inlineStr"/>
    </row>
    <row r="383" ht="15" customHeight="1">
      <c r="A383" t="inlineStr">
        <is>
          <t>A 162-2024</t>
        </is>
      </c>
      <c r="B383" s="1" t="n">
        <v>45294</v>
      </c>
      <c r="C383" s="1" t="n">
        <v>45914</v>
      </c>
      <c r="D383" t="inlineStr">
        <is>
          <t>JÄMTLANDS LÄN</t>
        </is>
      </c>
      <c r="E383" t="inlineStr">
        <is>
          <t>BERG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49048-2024</t>
        </is>
      </c>
      <c r="B384" s="1" t="n">
        <v>45594.57427083333</v>
      </c>
      <c r="C384" s="1" t="n">
        <v>45914</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24849-2025</t>
        </is>
      </c>
      <c r="B385" s="1" t="n">
        <v>45799.46949074074</v>
      </c>
      <c r="C385" s="1" t="n">
        <v>45914</v>
      </c>
      <c r="D385" t="inlineStr">
        <is>
          <t>JÄMTLANDS LÄN</t>
        </is>
      </c>
      <c r="E385" t="inlineStr">
        <is>
          <t>BERG</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24869-2025</t>
        </is>
      </c>
      <c r="B386" s="1" t="n">
        <v>45799.48994212963</v>
      </c>
      <c r="C386" s="1" t="n">
        <v>45914</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525-2023</t>
        </is>
      </c>
      <c r="B387" s="1" t="n">
        <v>44924</v>
      </c>
      <c r="C387" s="1" t="n">
        <v>45914</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14431-2025</t>
        </is>
      </c>
      <c r="B388" s="1" t="n">
        <v>45741</v>
      </c>
      <c r="C388" s="1" t="n">
        <v>45914</v>
      </c>
      <c r="D388" t="inlineStr">
        <is>
          <t>JÄMTLANDS LÄN</t>
        </is>
      </c>
      <c r="E388" t="inlineStr">
        <is>
          <t>BERG</t>
        </is>
      </c>
      <c r="G388" t="n">
        <v>1.7</v>
      </c>
      <c r="H388" t="n">
        <v>0</v>
      </c>
      <c r="I388" t="n">
        <v>0</v>
      </c>
      <c r="J388" t="n">
        <v>0</v>
      </c>
      <c r="K388" t="n">
        <v>0</v>
      </c>
      <c r="L388" t="n">
        <v>0</v>
      </c>
      <c r="M388" t="n">
        <v>0</v>
      </c>
      <c r="N388" t="n">
        <v>0</v>
      </c>
      <c r="O388" t="n">
        <v>0</v>
      </c>
      <c r="P388" t="n">
        <v>0</v>
      </c>
      <c r="Q388" t="n">
        <v>0</v>
      </c>
      <c r="R388" s="2" t="inlineStr"/>
    </row>
    <row r="389" ht="15" customHeight="1">
      <c r="A389" t="inlineStr">
        <is>
          <t>A 61239-2022</t>
        </is>
      </c>
      <c r="B389" s="1" t="n">
        <v>44909</v>
      </c>
      <c r="C389" s="1" t="n">
        <v>45914</v>
      </c>
      <c r="D389" t="inlineStr">
        <is>
          <t>JÄMTLANDS LÄN</t>
        </is>
      </c>
      <c r="E389" t="inlineStr">
        <is>
          <t>BERG</t>
        </is>
      </c>
      <c r="G389" t="n">
        <v>13.5</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45914</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45914</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60409-2023</t>
        </is>
      </c>
      <c r="B392" s="1" t="n">
        <v>45259.47972222222</v>
      </c>
      <c r="C392" s="1" t="n">
        <v>45914</v>
      </c>
      <c r="D392" t="inlineStr">
        <is>
          <t>JÄMTLANDS LÄN</t>
        </is>
      </c>
      <c r="E392" t="inlineStr">
        <is>
          <t>BERG</t>
        </is>
      </c>
      <c r="G392" t="n">
        <v>5.8</v>
      </c>
      <c r="H392" t="n">
        <v>0</v>
      </c>
      <c r="I392" t="n">
        <v>0</v>
      </c>
      <c r="J392" t="n">
        <v>0</v>
      </c>
      <c r="K392" t="n">
        <v>0</v>
      </c>
      <c r="L392" t="n">
        <v>0</v>
      </c>
      <c r="M392" t="n">
        <v>0</v>
      </c>
      <c r="N392" t="n">
        <v>0</v>
      </c>
      <c r="O392" t="n">
        <v>0</v>
      </c>
      <c r="P392" t="n">
        <v>0</v>
      </c>
      <c r="Q392" t="n">
        <v>0</v>
      </c>
      <c r="R392" s="2" t="inlineStr"/>
    </row>
    <row r="393" ht="15" customHeight="1">
      <c r="A393" t="inlineStr">
        <is>
          <t>A 24954-2025</t>
        </is>
      </c>
      <c r="B393" s="1" t="n">
        <v>45799.57385416667</v>
      </c>
      <c r="C393" s="1" t="n">
        <v>45914</v>
      </c>
      <c r="D393" t="inlineStr">
        <is>
          <t>JÄMTLANDS LÄN</t>
        </is>
      </c>
      <c r="E393" t="inlineStr">
        <is>
          <t>BERG</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37248-2023</t>
        </is>
      </c>
      <c r="B394" s="1" t="n">
        <v>45155.954375</v>
      </c>
      <c r="C394" s="1" t="n">
        <v>45914</v>
      </c>
      <c r="D394" t="inlineStr">
        <is>
          <t>JÄMTLANDS LÄN</t>
        </is>
      </c>
      <c r="E394" t="inlineStr">
        <is>
          <t>BERG</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64709-2021</t>
        </is>
      </c>
      <c r="B395" s="1" t="n">
        <v>44512</v>
      </c>
      <c r="C395" s="1" t="n">
        <v>45914</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25938-2025</t>
        </is>
      </c>
      <c r="B396" s="1" t="n">
        <v>45804.59414351852</v>
      </c>
      <c r="C396" s="1" t="n">
        <v>45914</v>
      </c>
      <c r="D396" t="inlineStr">
        <is>
          <t>JÄMTLANDS LÄN</t>
        </is>
      </c>
      <c r="E396" t="inlineStr">
        <is>
          <t>BERG</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8388-2022</t>
        </is>
      </c>
      <c r="B397" s="1" t="n">
        <v>44610</v>
      </c>
      <c r="C397" s="1" t="n">
        <v>45914</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25960-2025</t>
        </is>
      </c>
      <c r="B398" s="1" t="n">
        <v>45804.60972222222</v>
      </c>
      <c r="C398" s="1" t="n">
        <v>45914</v>
      </c>
      <c r="D398" t="inlineStr">
        <is>
          <t>JÄMTLANDS LÄN</t>
        </is>
      </c>
      <c r="E398" t="inlineStr">
        <is>
          <t>BERG</t>
        </is>
      </c>
      <c r="G398" t="n">
        <v>7.3</v>
      </c>
      <c r="H398" t="n">
        <v>0</v>
      </c>
      <c r="I398" t="n">
        <v>0</v>
      </c>
      <c r="J398" t="n">
        <v>0</v>
      </c>
      <c r="K398" t="n">
        <v>0</v>
      </c>
      <c r="L398" t="n">
        <v>0</v>
      </c>
      <c r="M398" t="n">
        <v>0</v>
      </c>
      <c r="N398" t="n">
        <v>0</v>
      </c>
      <c r="O398" t="n">
        <v>0</v>
      </c>
      <c r="P398" t="n">
        <v>0</v>
      </c>
      <c r="Q398" t="n">
        <v>0</v>
      </c>
      <c r="R398" s="2" t="inlineStr"/>
    </row>
    <row r="399" ht="15" customHeight="1">
      <c r="A399" t="inlineStr">
        <is>
          <t>A 25976-2025</t>
        </is>
      </c>
      <c r="B399" s="1" t="n">
        <v>45804.63596064815</v>
      </c>
      <c r="C399" s="1" t="n">
        <v>45914</v>
      </c>
      <c r="D399" t="inlineStr">
        <is>
          <t>JÄMTLANDS LÄN</t>
        </is>
      </c>
      <c r="E399" t="inlineStr">
        <is>
          <t>BERG</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25979-2025</t>
        </is>
      </c>
      <c r="B400" s="1" t="n">
        <v>45804.63642361111</v>
      </c>
      <c r="C400" s="1" t="n">
        <v>45914</v>
      </c>
      <c r="D400" t="inlineStr">
        <is>
          <t>JÄMTLANDS LÄN</t>
        </is>
      </c>
      <c r="E400" t="inlineStr">
        <is>
          <t>BERG</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25885-2025</t>
        </is>
      </c>
      <c r="B401" s="1" t="n">
        <v>45804.51075231482</v>
      </c>
      <c r="C401" s="1" t="n">
        <v>45914</v>
      </c>
      <c r="D401" t="inlineStr">
        <is>
          <t>JÄMTLANDS LÄN</t>
        </is>
      </c>
      <c r="E401" t="inlineStr">
        <is>
          <t>BERG</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25887-2025</t>
        </is>
      </c>
      <c r="B402" s="1" t="n">
        <v>45804.51104166666</v>
      </c>
      <c r="C402" s="1" t="n">
        <v>45914</v>
      </c>
      <c r="D402" t="inlineStr">
        <is>
          <t>JÄMTLANDS LÄN</t>
        </is>
      </c>
      <c r="E402" t="inlineStr">
        <is>
          <t>BERG</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2855-2025</t>
        </is>
      </c>
      <c r="B403" s="1" t="n">
        <v>45678</v>
      </c>
      <c r="C403" s="1" t="n">
        <v>45914</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25886-2025</t>
        </is>
      </c>
      <c r="B404" s="1" t="n">
        <v>45804.51092592593</v>
      </c>
      <c r="C404" s="1" t="n">
        <v>45914</v>
      </c>
      <c r="D404" t="inlineStr">
        <is>
          <t>JÄMTLANDS LÄN</t>
        </is>
      </c>
      <c r="E404" t="inlineStr">
        <is>
          <t>BERG</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25951-2025</t>
        </is>
      </c>
      <c r="B405" s="1" t="n">
        <v>45804.5984375</v>
      </c>
      <c r="C405" s="1" t="n">
        <v>45914</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39269-2024</t>
        </is>
      </c>
      <c r="B406" s="1" t="n">
        <v>45551.34488425926</v>
      </c>
      <c r="C406" s="1" t="n">
        <v>45914</v>
      </c>
      <c r="D406" t="inlineStr">
        <is>
          <t>JÄMTLANDS LÄN</t>
        </is>
      </c>
      <c r="E406" t="inlineStr">
        <is>
          <t>BERG</t>
        </is>
      </c>
      <c r="G406" t="n">
        <v>3.1</v>
      </c>
      <c r="H406" t="n">
        <v>0</v>
      </c>
      <c r="I406" t="n">
        <v>0</v>
      </c>
      <c r="J406" t="n">
        <v>0</v>
      </c>
      <c r="K406" t="n">
        <v>0</v>
      </c>
      <c r="L406" t="n">
        <v>0</v>
      </c>
      <c r="M406" t="n">
        <v>0</v>
      </c>
      <c r="N406" t="n">
        <v>0</v>
      </c>
      <c r="O406" t="n">
        <v>0</v>
      </c>
      <c r="P406" t="n">
        <v>0</v>
      </c>
      <c r="Q406" t="n">
        <v>0</v>
      </c>
      <c r="R406" s="2" t="inlineStr"/>
    </row>
    <row r="407" ht="15" customHeight="1">
      <c r="A407" t="inlineStr">
        <is>
          <t>A 25980-2025</t>
        </is>
      </c>
      <c r="B407" s="1" t="n">
        <v>45804.63658564815</v>
      </c>
      <c r="C407" s="1" t="n">
        <v>45914</v>
      </c>
      <c r="D407" t="inlineStr">
        <is>
          <t>JÄMTLANDS LÄN</t>
        </is>
      </c>
      <c r="E407" t="inlineStr">
        <is>
          <t>BERG</t>
        </is>
      </c>
      <c r="F407" t="inlineStr">
        <is>
          <t>SCA</t>
        </is>
      </c>
      <c r="G407" t="n">
        <v>8.9</v>
      </c>
      <c r="H407" t="n">
        <v>0</v>
      </c>
      <c r="I407" t="n">
        <v>0</v>
      </c>
      <c r="J407" t="n">
        <v>0</v>
      </c>
      <c r="K407" t="n">
        <v>0</v>
      </c>
      <c r="L407" t="n">
        <v>0</v>
      </c>
      <c r="M407" t="n">
        <v>0</v>
      </c>
      <c r="N407" t="n">
        <v>0</v>
      </c>
      <c r="O407" t="n">
        <v>0</v>
      </c>
      <c r="P407" t="n">
        <v>0</v>
      </c>
      <c r="Q407" t="n">
        <v>0</v>
      </c>
      <c r="R407" s="2" t="inlineStr"/>
    </row>
    <row r="408" ht="15" customHeight="1">
      <c r="A408" t="inlineStr">
        <is>
          <t>A 7482-2022</t>
        </is>
      </c>
      <c r="B408" s="1" t="n">
        <v>44606</v>
      </c>
      <c r="C408" s="1" t="n">
        <v>45914</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61085-2024</t>
        </is>
      </c>
      <c r="B409" s="1" t="n">
        <v>45645.53202546296</v>
      </c>
      <c r="C409" s="1" t="n">
        <v>45914</v>
      </c>
      <c r="D409" t="inlineStr">
        <is>
          <t>JÄMTLANDS LÄN</t>
        </is>
      </c>
      <c r="E409" t="inlineStr">
        <is>
          <t>BERG</t>
        </is>
      </c>
      <c r="F409" t="inlineStr">
        <is>
          <t>SCA</t>
        </is>
      </c>
      <c r="G409" t="n">
        <v>12.2</v>
      </c>
      <c r="H409" t="n">
        <v>0</v>
      </c>
      <c r="I409" t="n">
        <v>0</v>
      </c>
      <c r="J409" t="n">
        <v>0</v>
      </c>
      <c r="K409" t="n">
        <v>0</v>
      </c>
      <c r="L409" t="n">
        <v>0</v>
      </c>
      <c r="M409" t="n">
        <v>0</v>
      </c>
      <c r="N409" t="n">
        <v>0</v>
      </c>
      <c r="O409" t="n">
        <v>0</v>
      </c>
      <c r="P409" t="n">
        <v>0</v>
      </c>
      <c r="Q409" t="n">
        <v>0</v>
      </c>
      <c r="R409" s="2" t="inlineStr"/>
    </row>
    <row r="410" ht="15" customHeight="1">
      <c r="A410" t="inlineStr">
        <is>
          <t>A 25441-2025</t>
        </is>
      </c>
      <c r="B410" s="1" t="n">
        <v>45801.34476851852</v>
      </c>
      <c r="C410" s="1" t="n">
        <v>45914</v>
      </c>
      <c r="D410" t="inlineStr">
        <is>
          <t>JÄMTLANDS LÄN</t>
        </is>
      </c>
      <c r="E410" t="inlineStr">
        <is>
          <t>BERG</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25454-2025</t>
        </is>
      </c>
      <c r="B411" s="1" t="n">
        <v>45802.34460648148</v>
      </c>
      <c r="C411" s="1" t="n">
        <v>45914</v>
      </c>
      <c r="D411" t="inlineStr">
        <is>
          <t>JÄMTLANDS LÄN</t>
        </is>
      </c>
      <c r="E411" t="inlineStr">
        <is>
          <t>BERG</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26013-2025</t>
        </is>
      </c>
      <c r="B412" s="1" t="n">
        <v>45804.67760416667</v>
      </c>
      <c r="C412" s="1" t="n">
        <v>45914</v>
      </c>
      <c r="D412" t="inlineStr">
        <is>
          <t>JÄMTLANDS LÄN</t>
        </is>
      </c>
      <c r="E412" t="inlineStr">
        <is>
          <t>BERG</t>
        </is>
      </c>
      <c r="F412" t="inlineStr">
        <is>
          <t>SCA</t>
        </is>
      </c>
      <c r="G412" t="n">
        <v>11.7</v>
      </c>
      <c r="H412" t="n">
        <v>0</v>
      </c>
      <c r="I412" t="n">
        <v>0</v>
      </c>
      <c r="J412" t="n">
        <v>0</v>
      </c>
      <c r="K412" t="n">
        <v>0</v>
      </c>
      <c r="L412" t="n">
        <v>0</v>
      </c>
      <c r="M412" t="n">
        <v>0</v>
      </c>
      <c r="N412" t="n">
        <v>0</v>
      </c>
      <c r="O412" t="n">
        <v>0</v>
      </c>
      <c r="P412" t="n">
        <v>0</v>
      </c>
      <c r="Q412" t="n">
        <v>0</v>
      </c>
      <c r="R412" s="2" t="inlineStr"/>
    </row>
    <row r="413" ht="15" customHeight="1">
      <c r="A413" t="inlineStr">
        <is>
          <t>A 3961-2025</t>
        </is>
      </c>
      <c r="B413" s="1" t="n">
        <v>45684.50217592593</v>
      </c>
      <c r="C413" s="1" t="n">
        <v>45914</v>
      </c>
      <c r="D413" t="inlineStr">
        <is>
          <t>JÄMTLANDS LÄN</t>
        </is>
      </c>
      <c r="E413" t="inlineStr">
        <is>
          <t>BERG</t>
        </is>
      </c>
      <c r="G413" t="n">
        <v>14.9</v>
      </c>
      <c r="H413" t="n">
        <v>0</v>
      </c>
      <c r="I413" t="n">
        <v>0</v>
      </c>
      <c r="J413" t="n">
        <v>0</v>
      </c>
      <c r="K413" t="n">
        <v>0</v>
      </c>
      <c r="L413" t="n">
        <v>0</v>
      </c>
      <c r="M413" t="n">
        <v>0</v>
      </c>
      <c r="N413" t="n">
        <v>0</v>
      </c>
      <c r="O413" t="n">
        <v>0</v>
      </c>
      <c r="P413" t="n">
        <v>0</v>
      </c>
      <c r="Q413" t="n">
        <v>0</v>
      </c>
      <c r="R413" s="2" t="inlineStr"/>
    </row>
    <row r="414" ht="15" customHeight="1">
      <c r="A414" t="inlineStr">
        <is>
          <t>A 43616-2024</t>
        </is>
      </c>
      <c r="B414" s="1" t="n">
        <v>45569</v>
      </c>
      <c r="C414" s="1" t="n">
        <v>45914</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3964-2025</t>
        </is>
      </c>
      <c r="B415" s="1" t="n">
        <v>45684.50761574074</v>
      </c>
      <c r="C415" s="1" t="n">
        <v>45914</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25452-2025</t>
        </is>
      </c>
      <c r="B416" s="1" t="n">
        <v>45802.34440972222</v>
      </c>
      <c r="C416" s="1" t="n">
        <v>45914</v>
      </c>
      <c r="D416" t="inlineStr">
        <is>
          <t>JÄMTLANDS LÄN</t>
        </is>
      </c>
      <c r="E416" t="inlineStr">
        <is>
          <t>BERG</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45914</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17266-2025</t>
        </is>
      </c>
      <c r="B418" s="1" t="n">
        <v>45756</v>
      </c>
      <c r="C418" s="1" t="n">
        <v>45914</v>
      </c>
      <c r="D418" t="inlineStr">
        <is>
          <t>JÄMTLANDS LÄN</t>
        </is>
      </c>
      <c r="E418" t="inlineStr">
        <is>
          <t>BERG</t>
        </is>
      </c>
      <c r="G418" t="n">
        <v>20.1</v>
      </c>
      <c r="H418" t="n">
        <v>0</v>
      </c>
      <c r="I418" t="n">
        <v>0</v>
      </c>
      <c r="J418" t="n">
        <v>0</v>
      </c>
      <c r="K418" t="n">
        <v>0</v>
      </c>
      <c r="L418" t="n">
        <v>0</v>
      </c>
      <c r="M418" t="n">
        <v>0</v>
      </c>
      <c r="N418" t="n">
        <v>0</v>
      </c>
      <c r="O418" t="n">
        <v>0</v>
      </c>
      <c r="P418" t="n">
        <v>0</v>
      </c>
      <c r="Q418" t="n">
        <v>0</v>
      </c>
      <c r="R418" s="2" t="inlineStr"/>
    </row>
    <row r="419" ht="15" customHeight="1">
      <c r="A419" t="inlineStr">
        <is>
          <t>A 26378-2025</t>
        </is>
      </c>
      <c r="B419" s="1" t="n">
        <v>45806.48989583334</v>
      </c>
      <c r="C419" s="1" t="n">
        <v>45914</v>
      </c>
      <c r="D419" t="inlineStr">
        <is>
          <t>JÄMTLANDS LÄN</t>
        </is>
      </c>
      <c r="E419" t="inlineStr">
        <is>
          <t>BERG</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37098-2024</t>
        </is>
      </c>
      <c r="B420" s="1" t="n">
        <v>45539.50243055556</v>
      </c>
      <c r="C420" s="1" t="n">
        <v>45914</v>
      </c>
      <c r="D420" t="inlineStr">
        <is>
          <t>JÄMTLANDS LÄN</t>
        </is>
      </c>
      <c r="E420" t="inlineStr">
        <is>
          <t>BERG</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37101-2024</t>
        </is>
      </c>
      <c r="B421" s="1" t="n">
        <v>45539.5029050926</v>
      </c>
      <c r="C421" s="1" t="n">
        <v>45914</v>
      </c>
      <c r="D421" t="inlineStr">
        <is>
          <t>JÄMTLANDS LÄN</t>
        </is>
      </c>
      <c r="E421" t="inlineStr">
        <is>
          <t>BERG</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13149-2025</t>
        </is>
      </c>
      <c r="B422" s="1" t="n">
        <v>45735.34424768519</v>
      </c>
      <c r="C422" s="1" t="n">
        <v>45914</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4561-2024</t>
        </is>
      </c>
      <c r="B423" s="1" t="n">
        <v>45327</v>
      </c>
      <c r="C423" s="1" t="n">
        <v>45914</v>
      </c>
      <c r="D423" t="inlineStr">
        <is>
          <t>JÄMTLANDS LÄN</t>
        </is>
      </c>
      <c r="E423" t="inlineStr">
        <is>
          <t>BERG</t>
        </is>
      </c>
      <c r="G423" t="n">
        <v>7.4</v>
      </c>
      <c r="H423" t="n">
        <v>0</v>
      </c>
      <c r="I423" t="n">
        <v>0</v>
      </c>
      <c r="J423" t="n">
        <v>0</v>
      </c>
      <c r="K423" t="n">
        <v>0</v>
      </c>
      <c r="L423" t="n">
        <v>0</v>
      </c>
      <c r="M423" t="n">
        <v>0</v>
      </c>
      <c r="N423" t="n">
        <v>0</v>
      </c>
      <c r="O423" t="n">
        <v>0</v>
      </c>
      <c r="P423" t="n">
        <v>0</v>
      </c>
      <c r="Q423" t="n">
        <v>0</v>
      </c>
      <c r="R423" s="2" t="inlineStr"/>
    </row>
    <row r="424" ht="15" customHeight="1">
      <c r="A424" t="inlineStr">
        <is>
          <t>A 49174-2020</t>
        </is>
      </c>
      <c r="B424" s="1" t="n">
        <v>44104</v>
      </c>
      <c r="C424" s="1" t="n">
        <v>45914</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26275-2025</t>
        </is>
      </c>
      <c r="B425" s="1" t="n">
        <v>45805.60230324074</v>
      </c>
      <c r="C425" s="1" t="n">
        <v>45914</v>
      </c>
      <c r="D425" t="inlineStr">
        <is>
          <t>JÄMTLANDS LÄN</t>
        </is>
      </c>
      <c r="E425" t="inlineStr">
        <is>
          <t>BERG</t>
        </is>
      </c>
      <c r="G425" t="n">
        <v>10.2</v>
      </c>
      <c r="H425" t="n">
        <v>0</v>
      </c>
      <c r="I425" t="n">
        <v>0</v>
      </c>
      <c r="J425" t="n">
        <v>0</v>
      </c>
      <c r="K425" t="n">
        <v>0</v>
      </c>
      <c r="L425" t="n">
        <v>0</v>
      </c>
      <c r="M425" t="n">
        <v>0</v>
      </c>
      <c r="N425" t="n">
        <v>0</v>
      </c>
      <c r="O425" t="n">
        <v>0</v>
      </c>
      <c r="P425" t="n">
        <v>0</v>
      </c>
      <c r="Q425" t="n">
        <v>0</v>
      </c>
      <c r="R425" s="2" t="inlineStr"/>
    </row>
    <row r="426" ht="15" customHeight="1">
      <c r="A426" t="inlineStr">
        <is>
          <t>A 53085-2024</t>
        </is>
      </c>
      <c r="B426" s="1" t="n">
        <v>45611.51072916666</v>
      </c>
      <c r="C426" s="1" t="n">
        <v>45914</v>
      </c>
      <c r="D426" t="inlineStr">
        <is>
          <t>JÄMTLANDS LÄN</t>
        </is>
      </c>
      <c r="E426" t="inlineStr">
        <is>
          <t>BERG</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26053-2025</t>
        </is>
      </c>
      <c r="B427" s="1" t="n">
        <v>45804.75445601852</v>
      </c>
      <c r="C427" s="1" t="n">
        <v>45914</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511-2025</t>
        </is>
      </c>
      <c r="B428" s="1" t="n">
        <v>45664.47284722222</v>
      </c>
      <c r="C428" s="1" t="n">
        <v>45914</v>
      </c>
      <c r="D428" t="inlineStr">
        <is>
          <t>JÄMTLANDS LÄN</t>
        </is>
      </c>
      <c r="E428" t="inlineStr">
        <is>
          <t>BERG</t>
        </is>
      </c>
      <c r="G428" t="n">
        <v>4.5</v>
      </c>
      <c r="H428" t="n">
        <v>0</v>
      </c>
      <c r="I428" t="n">
        <v>0</v>
      </c>
      <c r="J428" t="n">
        <v>0</v>
      </c>
      <c r="K428" t="n">
        <v>0</v>
      </c>
      <c r="L428" t="n">
        <v>0</v>
      </c>
      <c r="M428" t="n">
        <v>0</v>
      </c>
      <c r="N428" t="n">
        <v>0</v>
      </c>
      <c r="O428" t="n">
        <v>0</v>
      </c>
      <c r="P428" t="n">
        <v>0</v>
      </c>
      <c r="Q428" t="n">
        <v>0</v>
      </c>
      <c r="R428" s="2" t="inlineStr"/>
    </row>
    <row r="429" ht="15" customHeight="1">
      <c r="A429" t="inlineStr">
        <is>
          <t>A 53877-2020</t>
        </is>
      </c>
      <c r="B429" s="1" t="n">
        <v>44123</v>
      </c>
      <c r="C429" s="1" t="n">
        <v>45914</v>
      </c>
      <c r="D429" t="inlineStr">
        <is>
          <t>JÄMTLANDS LÄN</t>
        </is>
      </c>
      <c r="E429" t="inlineStr">
        <is>
          <t>BERG</t>
        </is>
      </c>
      <c r="G429" t="n">
        <v>32.8</v>
      </c>
      <c r="H429" t="n">
        <v>0</v>
      </c>
      <c r="I429" t="n">
        <v>0</v>
      </c>
      <c r="J429" t="n">
        <v>0</v>
      </c>
      <c r="K429" t="n">
        <v>0</v>
      </c>
      <c r="L429" t="n">
        <v>0</v>
      </c>
      <c r="M429" t="n">
        <v>0</v>
      </c>
      <c r="N429" t="n">
        <v>0</v>
      </c>
      <c r="O429" t="n">
        <v>0</v>
      </c>
      <c r="P429" t="n">
        <v>0</v>
      </c>
      <c r="Q429" t="n">
        <v>0</v>
      </c>
      <c r="R429" s="2" t="inlineStr"/>
    </row>
    <row r="430" ht="15" customHeight="1">
      <c r="A430" t="inlineStr">
        <is>
          <t>A 26374-2025</t>
        </is>
      </c>
      <c r="B430" s="1" t="n">
        <v>45806.42745370371</v>
      </c>
      <c r="C430" s="1" t="n">
        <v>45914</v>
      </c>
      <c r="D430" t="inlineStr">
        <is>
          <t>JÄMTLANDS LÄN</t>
        </is>
      </c>
      <c r="E430" t="inlineStr">
        <is>
          <t>BERG</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26186-2025</t>
        </is>
      </c>
      <c r="B431" s="1" t="n">
        <v>45805.47840277778</v>
      </c>
      <c r="C431" s="1" t="n">
        <v>45914</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34891-2024</t>
        </is>
      </c>
      <c r="B432" s="1" t="n">
        <v>45527.36498842593</v>
      </c>
      <c r="C432" s="1" t="n">
        <v>45914</v>
      </c>
      <c r="D432" t="inlineStr">
        <is>
          <t>JÄMTLANDS LÄN</t>
        </is>
      </c>
      <c r="E432" t="inlineStr">
        <is>
          <t>BERG</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2247-2025</t>
        </is>
      </c>
      <c r="B433" s="1" t="n">
        <v>45673.49039351852</v>
      </c>
      <c r="C433" s="1" t="n">
        <v>45914</v>
      </c>
      <c r="D433" t="inlineStr">
        <is>
          <t>JÄMTLANDS LÄN</t>
        </is>
      </c>
      <c r="E433" t="inlineStr">
        <is>
          <t>BERG</t>
        </is>
      </c>
      <c r="F433" t="inlineStr">
        <is>
          <t>SCA</t>
        </is>
      </c>
      <c r="G433" t="n">
        <v>13.3</v>
      </c>
      <c r="H433" t="n">
        <v>0</v>
      </c>
      <c r="I433" t="n">
        <v>0</v>
      </c>
      <c r="J433" t="n">
        <v>0</v>
      </c>
      <c r="K433" t="n">
        <v>0</v>
      </c>
      <c r="L433" t="n">
        <v>0</v>
      </c>
      <c r="M433" t="n">
        <v>0</v>
      </c>
      <c r="N433" t="n">
        <v>0</v>
      </c>
      <c r="O433" t="n">
        <v>0</v>
      </c>
      <c r="P433" t="n">
        <v>0</v>
      </c>
      <c r="Q433" t="n">
        <v>0</v>
      </c>
      <c r="R433" s="2" t="inlineStr"/>
    </row>
    <row r="434" ht="15" customHeight="1">
      <c r="A434" t="inlineStr">
        <is>
          <t>A 33962-2024</t>
        </is>
      </c>
      <c r="B434" s="1" t="n">
        <v>45523.48854166667</v>
      </c>
      <c r="C434" s="1" t="n">
        <v>45914</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45914</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32064-2023</t>
        </is>
      </c>
      <c r="B436" s="1" t="n">
        <v>45119.57108796296</v>
      </c>
      <c r="C436" s="1" t="n">
        <v>45914</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4527-2025</t>
        </is>
      </c>
      <c r="B437" s="1" t="n">
        <v>45686</v>
      </c>
      <c r="C437" s="1" t="n">
        <v>45914</v>
      </c>
      <c r="D437" t="inlineStr">
        <is>
          <t>JÄMTLANDS LÄN</t>
        </is>
      </c>
      <c r="E437" t="inlineStr">
        <is>
          <t>BERG</t>
        </is>
      </c>
      <c r="G437" t="n">
        <v>17.8</v>
      </c>
      <c r="H437" t="n">
        <v>0</v>
      </c>
      <c r="I437" t="n">
        <v>0</v>
      </c>
      <c r="J437" t="n">
        <v>0</v>
      </c>
      <c r="K437" t="n">
        <v>0</v>
      </c>
      <c r="L437" t="n">
        <v>0</v>
      </c>
      <c r="M437" t="n">
        <v>0</v>
      </c>
      <c r="N437" t="n">
        <v>0</v>
      </c>
      <c r="O437" t="n">
        <v>0</v>
      </c>
      <c r="P437" t="n">
        <v>0</v>
      </c>
      <c r="Q437" t="n">
        <v>0</v>
      </c>
      <c r="R437" s="2" t="inlineStr"/>
    </row>
    <row r="438" ht="15" customHeight="1">
      <c r="A438" t="inlineStr">
        <is>
          <t>A 41886-2024</t>
        </is>
      </c>
      <c r="B438" s="1" t="n">
        <v>45561.48825231481</v>
      </c>
      <c r="C438" s="1" t="n">
        <v>45914</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13672-2024</t>
        </is>
      </c>
      <c r="B439" s="1" t="n">
        <v>45390</v>
      </c>
      <c r="C439" s="1" t="n">
        <v>45914</v>
      </c>
      <c r="D439" t="inlineStr">
        <is>
          <t>JÄMTLANDS LÄN</t>
        </is>
      </c>
      <c r="E439" t="inlineStr">
        <is>
          <t>BERG</t>
        </is>
      </c>
      <c r="G439" t="n">
        <v>0.3</v>
      </c>
      <c r="H439" t="n">
        <v>0</v>
      </c>
      <c r="I439" t="n">
        <v>0</v>
      </c>
      <c r="J439" t="n">
        <v>0</v>
      </c>
      <c r="K439" t="n">
        <v>0</v>
      </c>
      <c r="L439" t="n">
        <v>0</v>
      </c>
      <c r="M439" t="n">
        <v>0</v>
      </c>
      <c r="N439" t="n">
        <v>0</v>
      </c>
      <c r="O439" t="n">
        <v>0</v>
      </c>
      <c r="P439" t="n">
        <v>0</v>
      </c>
      <c r="Q439" t="n">
        <v>0</v>
      </c>
      <c r="R439" s="2" t="inlineStr"/>
    </row>
    <row r="440" ht="15" customHeight="1">
      <c r="A440" t="inlineStr">
        <is>
          <t>A 1646-2021</t>
        </is>
      </c>
      <c r="B440" s="1" t="n">
        <v>44209</v>
      </c>
      <c r="C440" s="1" t="n">
        <v>45914</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26743-2025</t>
        </is>
      </c>
      <c r="B441" s="1" t="n">
        <v>45810.53163194445</v>
      </c>
      <c r="C441" s="1" t="n">
        <v>45914</v>
      </c>
      <c r="D441" t="inlineStr">
        <is>
          <t>JÄMTLANDS LÄN</t>
        </is>
      </c>
      <c r="E441" t="inlineStr">
        <is>
          <t>BERG</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48069-2023</t>
        </is>
      </c>
      <c r="B442" s="1" t="n">
        <v>45204</v>
      </c>
      <c r="C442" s="1" t="n">
        <v>45914</v>
      </c>
      <c r="D442" t="inlineStr">
        <is>
          <t>JÄMTLANDS LÄN</t>
        </is>
      </c>
      <c r="E442" t="inlineStr">
        <is>
          <t>BERG</t>
        </is>
      </c>
      <c r="F442" t="inlineStr">
        <is>
          <t>SCA</t>
        </is>
      </c>
      <c r="G442" t="n">
        <v>11.2</v>
      </c>
      <c r="H442" t="n">
        <v>0</v>
      </c>
      <c r="I442" t="n">
        <v>0</v>
      </c>
      <c r="J442" t="n">
        <v>0</v>
      </c>
      <c r="K442" t="n">
        <v>0</v>
      </c>
      <c r="L442" t="n">
        <v>0</v>
      </c>
      <c r="M442" t="n">
        <v>0</v>
      </c>
      <c r="N442" t="n">
        <v>0</v>
      </c>
      <c r="O442" t="n">
        <v>0</v>
      </c>
      <c r="P442" t="n">
        <v>0</v>
      </c>
      <c r="Q442" t="n">
        <v>0</v>
      </c>
      <c r="R442" s="2" t="inlineStr"/>
    </row>
    <row r="443" ht="15" customHeight="1">
      <c r="A443" t="inlineStr">
        <is>
          <t>A 27312-2025</t>
        </is>
      </c>
      <c r="B443" s="1" t="n">
        <v>45812.58002314815</v>
      </c>
      <c r="C443" s="1" t="n">
        <v>45914</v>
      </c>
      <c r="D443" t="inlineStr">
        <is>
          <t>JÄMTLANDS LÄN</t>
        </is>
      </c>
      <c r="E443" t="inlineStr">
        <is>
          <t>BERG</t>
        </is>
      </c>
      <c r="G443" t="n">
        <v>6</v>
      </c>
      <c r="H443" t="n">
        <v>0</v>
      </c>
      <c r="I443" t="n">
        <v>0</v>
      </c>
      <c r="J443" t="n">
        <v>0</v>
      </c>
      <c r="K443" t="n">
        <v>0</v>
      </c>
      <c r="L443" t="n">
        <v>0</v>
      </c>
      <c r="M443" t="n">
        <v>0</v>
      </c>
      <c r="N443" t="n">
        <v>0</v>
      </c>
      <c r="O443" t="n">
        <v>0</v>
      </c>
      <c r="P443" t="n">
        <v>0</v>
      </c>
      <c r="Q443" t="n">
        <v>0</v>
      </c>
      <c r="R443" s="2" t="inlineStr"/>
    </row>
    <row r="444" ht="15" customHeight="1">
      <c r="A444" t="inlineStr">
        <is>
          <t>A 41875-2024</t>
        </is>
      </c>
      <c r="B444" s="1" t="n">
        <v>45561.47431712963</v>
      </c>
      <c r="C444" s="1" t="n">
        <v>45914</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27317-2025</t>
        </is>
      </c>
      <c r="B445" s="1" t="n">
        <v>45812.59011574074</v>
      </c>
      <c r="C445" s="1" t="n">
        <v>45914</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27063-2025</t>
        </is>
      </c>
      <c r="B446" s="1" t="n">
        <v>45811.63626157407</v>
      </c>
      <c r="C446" s="1" t="n">
        <v>45914</v>
      </c>
      <c r="D446" t="inlineStr">
        <is>
          <t>JÄMTLANDS LÄN</t>
        </is>
      </c>
      <c r="E446" t="inlineStr">
        <is>
          <t>BERG</t>
        </is>
      </c>
      <c r="F446" t="inlineStr">
        <is>
          <t>SCA</t>
        </is>
      </c>
      <c r="G446" t="n">
        <v>18.9</v>
      </c>
      <c r="H446" t="n">
        <v>0</v>
      </c>
      <c r="I446" t="n">
        <v>0</v>
      </c>
      <c r="J446" t="n">
        <v>0</v>
      </c>
      <c r="K446" t="n">
        <v>0</v>
      </c>
      <c r="L446" t="n">
        <v>0</v>
      </c>
      <c r="M446" t="n">
        <v>0</v>
      </c>
      <c r="N446" t="n">
        <v>0</v>
      </c>
      <c r="O446" t="n">
        <v>0</v>
      </c>
      <c r="P446" t="n">
        <v>0</v>
      </c>
      <c r="Q446" t="n">
        <v>0</v>
      </c>
      <c r="R446" s="2" t="inlineStr"/>
    </row>
    <row r="447" ht="15" customHeight="1">
      <c r="A447" t="inlineStr">
        <is>
          <t>A 18408-2025</t>
        </is>
      </c>
      <c r="B447" s="1" t="n">
        <v>45762.61128472222</v>
      </c>
      <c r="C447" s="1" t="n">
        <v>45914</v>
      </c>
      <c r="D447" t="inlineStr">
        <is>
          <t>JÄMTLANDS LÄN</t>
        </is>
      </c>
      <c r="E447" t="inlineStr">
        <is>
          <t>BERG</t>
        </is>
      </c>
      <c r="G447" t="n">
        <v>5.1</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45914</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27575-2025</t>
        </is>
      </c>
      <c r="B449" s="1" t="n">
        <v>45813.49083333334</v>
      </c>
      <c r="C449" s="1" t="n">
        <v>45914</v>
      </c>
      <c r="D449" t="inlineStr">
        <is>
          <t>JÄMTLANDS LÄN</t>
        </is>
      </c>
      <c r="E449" t="inlineStr">
        <is>
          <t>BERG</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34819-2023</t>
        </is>
      </c>
      <c r="B450" s="1" t="n">
        <v>45140</v>
      </c>
      <c r="C450" s="1" t="n">
        <v>45914</v>
      </c>
      <c r="D450" t="inlineStr">
        <is>
          <t>JÄMTLANDS LÄN</t>
        </is>
      </c>
      <c r="E450" t="inlineStr">
        <is>
          <t>BERG</t>
        </is>
      </c>
      <c r="G450" t="n">
        <v>0.8</v>
      </c>
      <c r="H450" t="n">
        <v>0</v>
      </c>
      <c r="I450" t="n">
        <v>0</v>
      </c>
      <c r="J450" t="n">
        <v>0</v>
      </c>
      <c r="K450" t="n">
        <v>0</v>
      </c>
      <c r="L450" t="n">
        <v>0</v>
      </c>
      <c r="M450" t="n">
        <v>0</v>
      </c>
      <c r="N450" t="n">
        <v>0</v>
      </c>
      <c r="O450" t="n">
        <v>0</v>
      </c>
      <c r="P450" t="n">
        <v>0</v>
      </c>
      <c r="Q450" t="n">
        <v>0</v>
      </c>
      <c r="R450" s="2" t="inlineStr"/>
    </row>
    <row r="451" ht="15" customHeight="1">
      <c r="A451" t="inlineStr">
        <is>
          <t>A 27603-2025</t>
        </is>
      </c>
      <c r="B451" s="1" t="n">
        <v>45813.53174768519</v>
      </c>
      <c r="C451" s="1" t="n">
        <v>45914</v>
      </c>
      <c r="D451" t="inlineStr">
        <is>
          <t>JÄMTLANDS LÄN</t>
        </is>
      </c>
      <c r="E451" t="inlineStr">
        <is>
          <t>BERG</t>
        </is>
      </c>
      <c r="F451" t="inlineStr">
        <is>
          <t>SCA</t>
        </is>
      </c>
      <c r="G451" t="n">
        <v>11.3</v>
      </c>
      <c r="H451" t="n">
        <v>0</v>
      </c>
      <c r="I451" t="n">
        <v>0</v>
      </c>
      <c r="J451" t="n">
        <v>0</v>
      </c>
      <c r="K451" t="n">
        <v>0</v>
      </c>
      <c r="L451" t="n">
        <v>0</v>
      </c>
      <c r="M451" t="n">
        <v>0</v>
      </c>
      <c r="N451" t="n">
        <v>0</v>
      </c>
      <c r="O451" t="n">
        <v>0</v>
      </c>
      <c r="P451" t="n">
        <v>0</v>
      </c>
      <c r="Q451" t="n">
        <v>0</v>
      </c>
      <c r="R451" s="2" t="inlineStr"/>
    </row>
    <row r="452" ht="15" customHeight="1">
      <c r="A452" t="inlineStr">
        <is>
          <t>A 5219-2022</t>
        </is>
      </c>
      <c r="B452" s="1" t="n">
        <v>44594.48569444445</v>
      </c>
      <c r="C452" s="1" t="n">
        <v>45914</v>
      </c>
      <c r="D452" t="inlineStr">
        <is>
          <t>JÄMTLANDS LÄN</t>
        </is>
      </c>
      <c r="E452" t="inlineStr">
        <is>
          <t>BERG</t>
        </is>
      </c>
      <c r="G452" t="n">
        <v>1.9</v>
      </c>
      <c r="H452" t="n">
        <v>0</v>
      </c>
      <c r="I452" t="n">
        <v>0</v>
      </c>
      <c r="J452" t="n">
        <v>0</v>
      </c>
      <c r="K452" t="n">
        <v>0</v>
      </c>
      <c r="L452" t="n">
        <v>0</v>
      </c>
      <c r="M452" t="n">
        <v>0</v>
      </c>
      <c r="N452" t="n">
        <v>0</v>
      </c>
      <c r="O452" t="n">
        <v>0</v>
      </c>
      <c r="P452" t="n">
        <v>0</v>
      </c>
      <c r="Q452" t="n">
        <v>0</v>
      </c>
      <c r="R452" s="2" t="inlineStr"/>
    </row>
    <row r="453" ht="15" customHeight="1">
      <c r="A453" t="inlineStr">
        <is>
          <t>A 27569-2025</t>
        </is>
      </c>
      <c r="B453" s="1" t="n">
        <v>45813.49018518518</v>
      </c>
      <c r="C453" s="1" t="n">
        <v>45914</v>
      </c>
      <c r="D453" t="inlineStr">
        <is>
          <t>JÄMTLANDS LÄN</t>
        </is>
      </c>
      <c r="E453" t="inlineStr">
        <is>
          <t>BERG</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27459-2025</t>
        </is>
      </c>
      <c r="B454" s="1" t="n">
        <v>45813.34561342592</v>
      </c>
      <c r="C454" s="1" t="n">
        <v>45914</v>
      </c>
      <c r="D454" t="inlineStr">
        <is>
          <t>JÄMTLANDS LÄN</t>
        </is>
      </c>
      <c r="E454" t="inlineStr">
        <is>
          <t>BERG</t>
        </is>
      </c>
      <c r="F454" t="inlineStr">
        <is>
          <t>SCA</t>
        </is>
      </c>
      <c r="G454" t="n">
        <v>19.2</v>
      </c>
      <c r="H454" t="n">
        <v>0</v>
      </c>
      <c r="I454" t="n">
        <v>0</v>
      </c>
      <c r="J454" t="n">
        <v>0</v>
      </c>
      <c r="K454" t="n">
        <v>0</v>
      </c>
      <c r="L454" t="n">
        <v>0</v>
      </c>
      <c r="M454" t="n">
        <v>0</v>
      </c>
      <c r="N454" t="n">
        <v>0</v>
      </c>
      <c r="O454" t="n">
        <v>0</v>
      </c>
      <c r="P454" t="n">
        <v>0</v>
      </c>
      <c r="Q454" t="n">
        <v>0</v>
      </c>
      <c r="R454" s="2" t="inlineStr"/>
    </row>
    <row r="455" ht="15" customHeight="1">
      <c r="A455" t="inlineStr">
        <is>
          <t>A 27716-2025</t>
        </is>
      </c>
      <c r="B455" s="1" t="n">
        <v>45813.961875</v>
      </c>
      <c r="C455" s="1" t="n">
        <v>45914</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36708-2023</t>
        </is>
      </c>
      <c r="B456" s="1" t="n">
        <v>45153.65226851852</v>
      </c>
      <c r="C456" s="1" t="n">
        <v>45914</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28232-2025</t>
        </is>
      </c>
      <c r="B457" s="1" t="n">
        <v>45818.48989583334</v>
      </c>
      <c r="C457" s="1" t="n">
        <v>45914</v>
      </c>
      <c r="D457" t="inlineStr">
        <is>
          <t>JÄMTLANDS LÄN</t>
        </is>
      </c>
      <c r="E457" t="inlineStr">
        <is>
          <t>BERG</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28157-2025</t>
        </is>
      </c>
      <c r="B458" s="1" t="n">
        <v>45818.36512731481</v>
      </c>
      <c r="C458" s="1" t="n">
        <v>45914</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18217-2023</t>
        </is>
      </c>
      <c r="B459" s="1" t="n">
        <v>45040</v>
      </c>
      <c r="C459" s="1" t="n">
        <v>45914</v>
      </c>
      <c r="D459" t="inlineStr">
        <is>
          <t>JÄMTLANDS LÄN</t>
        </is>
      </c>
      <c r="E459" t="inlineStr">
        <is>
          <t>BERG</t>
        </is>
      </c>
      <c r="G459" t="n">
        <v>4.5</v>
      </c>
      <c r="H459" t="n">
        <v>0</v>
      </c>
      <c r="I459" t="n">
        <v>0</v>
      </c>
      <c r="J459" t="n">
        <v>0</v>
      </c>
      <c r="K459" t="n">
        <v>0</v>
      </c>
      <c r="L459" t="n">
        <v>0</v>
      </c>
      <c r="M459" t="n">
        <v>0</v>
      </c>
      <c r="N459" t="n">
        <v>0</v>
      </c>
      <c r="O459" t="n">
        <v>0</v>
      </c>
      <c r="P459" t="n">
        <v>0</v>
      </c>
      <c r="Q459" t="n">
        <v>0</v>
      </c>
      <c r="R459" s="2" t="inlineStr"/>
    </row>
    <row r="460" ht="15" customHeight="1">
      <c r="A460" t="inlineStr">
        <is>
          <t>A 18112-2024</t>
        </is>
      </c>
      <c r="B460" s="1" t="n">
        <v>45420.49851851852</v>
      </c>
      <c r="C460" s="1" t="n">
        <v>45914</v>
      </c>
      <c r="D460" t="inlineStr">
        <is>
          <t>JÄMTLANDS LÄN</t>
        </is>
      </c>
      <c r="E460" t="inlineStr">
        <is>
          <t>BERG</t>
        </is>
      </c>
      <c r="F460" t="inlineStr">
        <is>
          <t>Holmen skog AB</t>
        </is>
      </c>
      <c r="G460" t="n">
        <v>16.6</v>
      </c>
      <c r="H460" t="n">
        <v>0</v>
      </c>
      <c r="I460" t="n">
        <v>0</v>
      </c>
      <c r="J460" t="n">
        <v>0</v>
      </c>
      <c r="K460" t="n">
        <v>0</v>
      </c>
      <c r="L460" t="n">
        <v>0</v>
      </c>
      <c r="M460" t="n">
        <v>0</v>
      </c>
      <c r="N460" t="n">
        <v>0</v>
      </c>
      <c r="O460" t="n">
        <v>0</v>
      </c>
      <c r="P460" t="n">
        <v>0</v>
      </c>
      <c r="Q460" t="n">
        <v>0</v>
      </c>
      <c r="R460" s="2" t="inlineStr"/>
    </row>
    <row r="461" ht="15" customHeight="1">
      <c r="A461" t="inlineStr">
        <is>
          <t>A 3842-2023</t>
        </is>
      </c>
      <c r="B461" s="1" t="n">
        <v>44951</v>
      </c>
      <c r="C461" s="1" t="n">
        <v>45914</v>
      </c>
      <c r="D461" t="inlineStr">
        <is>
          <t>JÄMTLANDS LÄN</t>
        </is>
      </c>
      <c r="E461" t="inlineStr">
        <is>
          <t>BERG</t>
        </is>
      </c>
      <c r="G461" t="n">
        <v>0.3</v>
      </c>
      <c r="H461" t="n">
        <v>0</v>
      </c>
      <c r="I461" t="n">
        <v>0</v>
      </c>
      <c r="J461" t="n">
        <v>0</v>
      </c>
      <c r="K461" t="n">
        <v>0</v>
      </c>
      <c r="L461" t="n">
        <v>0</v>
      </c>
      <c r="M461" t="n">
        <v>0</v>
      </c>
      <c r="N461" t="n">
        <v>0</v>
      </c>
      <c r="O461" t="n">
        <v>0</v>
      </c>
      <c r="P461" t="n">
        <v>0</v>
      </c>
      <c r="Q461" t="n">
        <v>0</v>
      </c>
      <c r="R461" s="2" t="inlineStr"/>
    </row>
    <row r="462" ht="15" customHeight="1">
      <c r="A462" t="inlineStr">
        <is>
          <t>A 28196-2025</t>
        </is>
      </c>
      <c r="B462" s="1" t="n">
        <v>45818.42753472222</v>
      </c>
      <c r="C462" s="1" t="n">
        <v>45914</v>
      </c>
      <c r="D462" t="inlineStr">
        <is>
          <t>JÄMTLANDS LÄN</t>
        </is>
      </c>
      <c r="E462" t="inlineStr">
        <is>
          <t>BERG</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14190-2023</t>
        </is>
      </c>
      <c r="B463" s="1" t="n">
        <v>45009.56106481481</v>
      </c>
      <c r="C463" s="1" t="n">
        <v>45914</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45914</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28079-2025</t>
        </is>
      </c>
      <c r="B465" s="1" t="n">
        <v>45817.69681712963</v>
      </c>
      <c r="C465" s="1" t="n">
        <v>45914</v>
      </c>
      <c r="D465" t="inlineStr">
        <is>
          <t>JÄMTLANDS LÄN</t>
        </is>
      </c>
      <c r="E465" t="inlineStr">
        <is>
          <t>BERG</t>
        </is>
      </c>
      <c r="G465" t="n">
        <v>3.7</v>
      </c>
      <c r="H465" t="n">
        <v>0</v>
      </c>
      <c r="I465" t="n">
        <v>0</v>
      </c>
      <c r="J465" t="n">
        <v>0</v>
      </c>
      <c r="K465" t="n">
        <v>0</v>
      </c>
      <c r="L465" t="n">
        <v>0</v>
      </c>
      <c r="M465" t="n">
        <v>0</v>
      </c>
      <c r="N465" t="n">
        <v>0</v>
      </c>
      <c r="O465" t="n">
        <v>0</v>
      </c>
      <c r="P465" t="n">
        <v>0</v>
      </c>
      <c r="Q465" t="n">
        <v>0</v>
      </c>
      <c r="R465" s="2" t="inlineStr"/>
    </row>
    <row r="466" ht="15" customHeight="1">
      <c r="A466" t="inlineStr">
        <is>
          <t>A 27750-2025</t>
        </is>
      </c>
      <c r="B466" s="1" t="n">
        <v>45815.68543981481</v>
      </c>
      <c r="C466" s="1" t="n">
        <v>45914</v>
      </c>
      <c r="D466" t="inlineStr">
        <is>
          <t>JÄMTLANDS LÄN</t>
        </is>
      </c>
      <c r="E466" t="inlineStr">
        <is>
          <t>BERG</t>
        </is>
      </c>
      <c r="G466" t="n">
        <v>2.4</v>
      </c>
      <c r="H466" t="n">
        <v>0</v>
      </c>
      <c r="I466" t="n">
        <v>0</v>
      </c>
      <c r="J466" t="n">
        <v>0</v>
      </c>
      <c r="K466" t="n">
        <v>0</v>
      </c>
      <c r="L466" t="n">
        <v>0</v>
      </c>
      <c r="M466" t="n">
        <v>0</v>
      </c>
      <c r="N466" t="n">
        <v>0</v>
      </c>
      <c r="O466" t="n">
        <v>0</v>
      </c>
      <c r="P466" t="n">
        <v>0</v>
      </c>
      <c r="Q466" t="n">
        <v>0</v>
      </c>
      <c r="R466" s="2" t="inlineStr"/>
    </row>
    <row r="467" ht="15" customHeight="1">
      <c r="A467" t="inlineStr">
        <is>
          <t>A 28257-2025</t>
        </is>
      </c>
      <c r="B467" s="1" t="n">
        <v>45818.55263888889</v>
      </c>
      <c r="C467" s="1" t="n">
        <v>45914</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45914</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45208-2024</t>
        </is>
      </c>
      <c r="B469" s="1" t="n">
        <v>45575.7077662037</v>
      </c>
      <c r="C469" s="1" t="n">
        <v>45914</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41634-2024</t>
        </is>
      </c>
      <c r="B470" s="1" t="n">
        <v>45560.61496527777</v>
      </c>
      <c r="C470" s="1" t="n">
        <v>45914</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28077-2025</t>
        </is>
      </c>
      <c r="B471" s="1" t="n">
        <v>45817.68596064814</v>
      </c>
      <c r="C471" s="1" t="n">
        <v>45914</v>
      </c>
      <c r="D471" t="inlineStr">
        <is>
          <t>JÄMTLANDS LÄN</t>
        </is>
      </c>
      <c r="E471" t="inlineStr">
        <is>
          <t>BERG</t>
        </is>
      </c>
      <c r="G471" t="n">
        <v>6</v>
      </c>
      <c r="H471" t="n">
        <v>0</v>
      </c>
      <c r="I471" t="n">
        <v>0</v>
      </c>
      <c r="J471" t="n">
        <v>0</v>
      </c>
      <c r="K471" t="n">
        <v>0</v>
      </c>
      <c r="L471" t="n">
        <v>0</v>
      </c>
      <c r="M471" t="n">
        <v>0</v>
      </c>
      <c r="N471" t="n">
        <v>0</v>
      </c>
      <c r="O471" t="n">
        <v>0</v>
      </c>
      <c r="P471" t="n">
        <v>0</v>
      </c>
      <c r="Q471" t="n">
        <v>0</v>
      </c>
      <c r="R471" s="2" t="inlineStr"/>
    </row>
    <row r="472" ht="15" customHeight="1">
      <c r="A472" t="inlineStr">
        <is>
          <t>A 592-2021</t>
        </is>
      </c>
      <c r="B472" s="1" t="n">
        <v>44201</v>
      </c>
      <c r="C472" s="1" t="n">
        <v>45914</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28454-2025</t>
        </is>
      </c>
      <c r="B473" s="1" t="n">
        <v>45819.40679398148</v>
      </c>
      <c r="C473" s="1" t="n">
        <v>45914</v>
      </c>
      <c r="D473" t="inlineStr">
        <is>
          <t>JÄMTLANDS LÄN</t>
        </is>
      </c>
      <c r="E473" t="inlineStr">
        <is>
          <t>BERG</t>
        </is>
      </c>
      <c r="G473" t="n">
        <v>3.8</v>
      </c>
      <c r="H473" t="n">
        <v>0</v>
      </c>
      <c r="I473" t="n">
        <v>0</v>
      </c>
      <c r="J473" t="n">
        <v>0</v>
      </c>
      <c r="K473" t="n">
        <v>0</v>
      </c>
      <c r="L473" t="n">
        <v>0</v>
      </c>
      <c r="M473" t="n">
        <v>0</v>
      </c>
      <c r="N473" t="n">
        <v>0</v>
      </c>
      <c r="O473" t="n">
        <v>0</v>
      </c>
      <c r="P473" t="n">
        <v>0</v>
      </c>
      <c r="Q473" t="n">
        <v>0</v>
      </c>
      <c r="R473" s="2" t="inlineStr"/>
    </row>
    <row r="474" ht="15" customHeight="1">
      <c r="A474" t="inlineStr">
        <is>
          <t>A 28401-2025</t>
        </is>
      </c>
      <c r="B474" s="1" t="n">
        <v>45819.34469907408</v>
      </c>
      <c r="C474" s="1" t="n">
        <v>45914</v>
      </c>
      <c r="D474" t="inlineStr">
        <is>
          <t>JÄMTLANDS LÄN</t>
        </is>
      </c>
      <c r="E474" t="inlineStr">
        <is>
          <t>BERG</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46816-2023</t>
        </is>
      </c>
      <c r="B475" s="1" t="n">
        <v>45198</v>
      </c>
      <c r="C475" s="1" t="n">
        <v>45914</v>
      </c>
      <c r="D475" t="inlineStr">
        <is>
          <t>JÄMTLANDS LÄN</t>
        </is>
      </c>
      <c r="E475" t="inlineStr">
        <is>
          <t>BERG</t>
        </is>
      </c>
      <c r="F475" t="inlineStr">
        <is>
          <t>SCA</t>
        </is>
      </c>
      <c r="G475" t="n">
        <v>66.2</v>
      </c>
      <c r="H475" t="n">
        <v>0</v>
      </c>
      <c r="I475" t="n">
        <v>0</v>
      </c>
      <c r="J475" t="n">
        <v>0</v>
      </c>
      <c r="K475" t="n">
        <v>0</v>
      </c>
      <c r="L475" t="n">
        <v>0</v>
      </c>
      <c r="M475" t="n">
        <v>0</v>
      </c>
      <c r="N475" t="n">
        <v>0</v>
      </c>
      <c r="O475" t="n">
        <v>0</v>
      </c>
      <c r="P475" t="n">
        <v>0</v>
      </c>
      <c r="Q475" t="n">
        <v>0</v>
      </c>
      <c r="R475" s="2" t="inlineStr"/>
    </row>
    <row r="476" ht="15" customHeight="1">
      <c r="A476" t="inlineStr">
        <is>
          <t>A 28453-2025</t>
        </is>
      </c>
      <c r="B476" s="1" t="n">
        <v>45819.40668981482</v>
      </c>
      <c r="C476" s="1" t="n">
        <v>45914</v>
      </c>
      <c r="D476" t="inlineStr">
        <is>
          <t>JÄMTLANDS LÄN</t>
        </is>
      </c>
      <c r="E476" t="inlineStr">
        <is>
          <t>BERG</t>
        </is>
      </c>
      <c r="G476" t="n">
        <v>4.1</v>
      </c>
      <c r="H476" t="n">
        <v>0</v>
      </c>
      <c r="I476" t="n">
        <v>0</v>
      </c>
      <c r="J476" t="n">
        <v>0</v>
      </c>
      <c r="K476" t="n">
        <v>0</v>
      </c>
      <c r="L476" t="n">
        <v>0</v>
      </c>
      <c r="M476" t="n">
        <v>0</v>
      </c>
      <c r="N476" t="n">
        <v>0</v>
      </c>
      <c r="O476" t="n">
        <v>0</v>
      </c>
      <c r="P476" t="n">
        <v>0</v>
      </c>
      <c r="Q476" t="n">
        <v>0</v>
      </c>
      <c r="R476" s="2" t="inlineStr"/>
    </row>
    <row r="477" ht="15" customHeight="1">
      <c r="A477" t="inlineStr">
        <is>
          <t>A 28657-2025</t>
        </is>
      </c>
      <c r="B477" s="1" t="n">
        <v>45819.65709490741</v>
      </c>
      <c r="C477" s="1" t="n">
        <v>45914</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28538-2025</t>
        </is>
      </c>
      <c r="B478" s="1" t="n">
        <v>45819.51086805556</v>
      </c>
      <c r="C478" s="1" t="n">
        <v>45914</v>
      </c>
      <c r="D478" t="inlineStr">
        <is>
          <t>JÄMTLANDS LÄN</t>
        </is>
      </c>
      <c r="E478" t="inlineStr">
        <is>
          <t>BERG</t>
        </is>
      </c>
      <c r="G478" t="n">
        <v>4.9</v>
      </c>
      <c r="H478" t="n">
        <v>0</v>
      </c>
      <c r="I478" t="n">
        <v>0</v>
      </c>
      <c r="J478" t="n">
        <v>0</v>
      </c>
      <c r="K478" t="n">
        <v>0</v>
      </c>
      <c r="L478" t="n">
        <v>0</v>
      </c>
      <c r="M478" t="n">
        <v>0</v>
      </c>
      <c r="N478" t="n">
        <v>0</v>
      </c>
      <c r="O478" t="n">
        <v>0</v>
      </c>
      <c r="P478" t="n">
        <v>0</v>
      </c>
      <c r="Q478" t="n">
        <v>0</v>
      </c>
      <c r="R478" s="2" t="inlineStr"/>
    </row>
    <row r="479" ht="15" customHeight="1">
      <c r="A479" t="inlineStr">
        <is>
          <t>A 31641-2022</t>
        </is>
      </c>
      <c r="B479" s="1" t="n">
        <v>44775.94119212963</v>
      </c>
      <c r="C479" s="1" t="n">
        <v>45914</v>
      </c>
      <c r="D479" t="inlineStr">
        <is>
          <t>JÄMTLANDS LÄN</t>
        </is>
      </c>
      <c r="E479" t="inlineStr">
        <is>
          <t>BERG</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46872-2023</t>
        </is>
      </c>
      <c r="B480" s="1" t="n">
        <v>45200</v>
      </c>
      <c r="C480" s="1" t="n">
        <v>45914</v>
      </c>
      <c r="D480" t="inlineStr">
        <is>
          <t>JÄMTLANDS LÄN</t>
        </is>
      </c>
      <c r="E480" t="inlineStr">
        <is>
          <t>BERG</t>
        </is>
      </c>
      <c r="F480" t="inlineStr">
        <is>
          <t>Naturvårdsverket</t>
        </is>
      </c>
      <c r="G480" t="n">
        <v>1.2</v>
      </c>
      <c r="H480" t="n">
        <v>0</v>
      </c>
      <c r="I480" t="n">
        <v>0</v>
      </c>
      <c r="J480" t="n">
        <v>0</v>
      </c>
      <c r="K480" t="n">
        <v>0</v>
      </c>
      <c r="L480" t="n">
        <v>0</v>
      </c>
      <c r="M480" t="n">
        <v>0</v>
      </c>
      <c r="N480" t="n">
        <v>0</v>
      </c>
      <c r="O480" t="n">
        <v>0</v>
      </c>
      <c r="P480" t="n">
        <v>0</v>
      </c>
      <c r="Q480" t="n">
        <v>0</v>
      </c>
      <c r="R480" s="2" t="inlineStr"/>
      <c r="U480">
        <f>HYPERLINK("https://klasma.github.io/Logging_2326/knärot/A 46872-2023 karta knärot.png", "A 46872-2023")</f>
        <v/>
      </c>
      <c r="V480">
        <f>HYPERLINK("https://klasma.github.io/Logging_2326/klagomål/A 46872-2023 FSC-klagomål.docx", "A 46872-2023")</f>
        <v/>
      </c>
      <c r="W480">
        <f>HYPERLINK("https://klasma.github.io/Logging_2326/klagomålsmail/A 46872-2023 FSC-klagomål mail.docx", "A 46872-2023")</f>
        <v/>
      </c>
      <c r="X480">
        <f>HYPERLINK("https://klasma.github.io/Logging_2326/tillsyn/A 46872-2023 tillsynsbegäran.docx", "A 46872-2023")</f>
        <v/>
      </c>
      <c r="Y480">
        <f>HYPERLINK("https://klasma.github.io/Logging_2326/tillsynsmail/A 46872-2023 tillsynsbegäran mail.docx", "A 46872-2023")</f>
        <v/>
      </c>
    </row>
    <row r="481" ht="15" customHeight="1">
      <c r="A481" t="inlineStr">
        <is>
          <t>A 29197-2025</t>
        </is>
      </c>
      <c r="B481" s="1" t="n">
        <v>45823.34438657408</v>
      </c>
      <c r="C481" s="1" t="n">
        <v>45914</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29279-2025</t>
        </is>
      </c>
      <c r="B482" s="1" t="n">
        <v>45824.42381944445</v>
      </c>
      <c r="C482" s="1" t="n">
        <v>45914</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47407-2024</t>
        </is>
      </c>
      <c r="B483" s="1" t="n">
        <v>45587.47828703704</v>
      </c>
      <c r="C483" s="1" t="n">
        <v>45914</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47083-2024</t>
        </is>
      </c>
      <c r="B484" s="1" t="n">
        <v>45586.50625</v>
      </c>
      <c r="C484" s="1" t="n">
        <v>45914</v>
      </c>
      <c r="D484" t="inlineStr">
        <is>
          <t>JÄMTLANDS LÄN</t>
        </is>
      </c>
      <c r="E484" t="inlineStr">
        <is>
          <t>BERG</t>
        </is>
      </c>
      <c r="G484" t="n">
        <v>1.9</v>
      </c>
      <c r="H484" t="n">
        <v>0</v>
      </c>
      <c r="I484" t="n">
        <v>0</v>
      </c>
      <c r="J484" t="n">
        <v>0</v>
      </c>
      <c r="K484" t="n">
        <v>0</v>
      </c>
      <c r="L484" t="n">
        <v>0</v>
      </c>
      <c r="M484" t="n">
        <v>0</v>
      </c>
      <c r="N484" t="n">
        <v>0</v>
      </c>
      <c r="O484" t="n">
        <v>0</v>
      </c>
      <c r="P484" t="n">
        <v>0</v>
      </c>
      <c r="Q484" t="n">
        <v>0</v>
      </c>
      <c r="R484" s="2" t="inlineStr"/>
    </row>
    <row r="485" ht="15" customHeight="1">
      <c r="A485" t="inlineStr">
        <is>
          <t>A 47099-2024</t>
        </is>
      </c>
      <c r="B485" s="1" t="n">
        <v>45586.53743055555</v>
      </c>
      <c r="C485" s="1" t="n">
        <v>45914</v>
      </c>
      <c r="D485" t="inlineStr">
        <is>
          <t>JÄMTLANDS LÄN</t>
        </is>
      </c>
      <c r="E485" t="inlineStr">
        <is>
          <t>BERG</t>
        </is>
      </c>
      <c r="G485" t="n">
        <v>5.9</v>
      </c>
      <c r="H485" t="n">
        <v>0</v>
      </c>
      <c r="I485" t="n">
        <v>0</v>
      </c>
      <c r="J485" t="n">
        <v>0</v>
      </c>
      <c r="K485" t="n">
        <v>0</v>
      </c>
      <c r="L485" t="n">
        <v>0</v>
      </c>
      <c r="M485" t="n">
        <v>0</v>
      </c>
      <c r="N485" t="n">
        <v>0</v>
      </c>
      <c r="O485" t="n">
        <v>0</v>
      </c>
      <c r="P485" t="n">
        <v>0</v>
      </c>
      <c r="Q485" t="n">
        <v>0</v>
      </c>
      <c r="R485" s="2" t="inlineStr"/>
    </row>
    <row r="486" ht="15" customHeight="1">
      <c r="A486" t="inlineStr">
        <is>
          <t>A 29310-2025</t>
        </is>
      </c>
      <c r="B486" s="1" t="n">
        <v>45824.46353009259</v>
      </c>
      <c r="C486" s="1" t="n">
        <v>45914</v>
      </c>
      <c r="D486" t="inlineStr">
        <is>
          <t>JÄMTLANDS LÄN</t>
        </is>
      </c>
      <c r="E486" t="inlineStr">
        <is>
          <t>BERG</t>
        </is>
      </c>
      <c r="G486" t="n">
        <v>5.6</v>
      </c>
      <c r="H486" t="n">
        <v>0</v>
      </c>
      <c r="I486" t="n">
        <v>0</v>
      </c>
      <c r="J486" t="n">
        <v>0</v>
      </c>
      <c r="K486" t="n">
        <v>0</v>
      </c>
      <c r="L486" t="n">
        <v>0</v>
      </c>
      <c r="M486" t="n">
        <v>0</v>
      </c>
      <c r="N486" t="n">
        <v>0</v>
      </c>
      <c r="O486" t="n">
        <v>0</v>
      </c>
      <c r="P486" t="n">
        <v>0</v>
      </c>
      <c r="Q486" t="n">
        <v>0</v>
      </c>
      <c r="R486" s="2" t="inlineStr"/>
    </row>
    <row r="487" ht="15" customHeight="1">
      <c r="A487" t="inlineStr">
        <is>
          <t>A 29198-2025</t>
        </is>
      </c>
      <c r="B487" s="1" t="n">
        <v>45823.34451388889</v>
      </c>
      <c r="C487" s="1" t="n">
        <v>45914</v>
      </c>
      <c r="D487" t="inlineStr">
        <is>
          <t>JÄMTLANDS LÄN</t>
        </is>
      </c>
      <c r="E487" t="inlineStr">
        <is>
          <t>BERG</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29199-2025</t>
        </is>
      </c>
      <c r="B488" s="1" t="n">
        <v>45823.34459490741</v>
      </c>
      <c r="C488" s="1" t="n">
        <v>45914</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45914</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31682-2022</t>
        </is>
      </c>
      <c r="B490" s="1" t="n">
        <v>44776</v>
      </c>
      <c r="C490" s="1" t="n">
        <v>45914</v>
      </c>
      <c r="D490" t="inlineStr">
        <is>
          <t>JÄMTLANDS LÄN</t>
        </is>
      </c>
      <c r="E490" t="inlineStr">
        <is>
          <t>BERG</t>
        </is>
      </c>
      <c r="G490" t="n">
        <v>8</v>
      </c>
      <c r="H490" t="n">
        <v>0</v>
      </c>
      <c r="I490" t="n">
        <v>0</v>
      </c>
      <c r="J490" t="n">
        <v>0</v>
      </c>
      <c r="K490" t="n">
        <v>0</v>
      </c>
      <c r="L490" t="n">
        <v>0</v>
      </c>
      <c r="M490" t="n">
        <v>0</v>
      </c>
      <c r="N490" t="n">
        <v>0</v>
      </c>
      <c r="O490" t="n">
        <v>0</v>
      </c>
      <c r="P490" t="n">
        <v>0</v>
      </c>
      <c r="Q490" t="n">
        <v>0</v>
      </c>
      <c r="R490" s="2" t="inlineStr"/>
    </row>
    <row r="491" ht="15" customHeight="1">
      <c r="A491" t="inlineStr">
        <is>
          <t>A 29836-2025</t>
        </is>
      </c>
      <c r="B491" s="1" t="n">
        <v>45825.9468287037</v>
      </c>
      <c r="C491" s="1" t="n">
        <v>45914</v>
      </c>
      <c r="D491" t="inlineStr">
        <is>
          <t>JÄMTLANDS LÄN</t>
        </is>
      </c>
      <c r="E491" t="inlineStr">
        <is>
          <t>BERG</t>
        </is>
      </c>
      <c r="G491" t="n">
        <v>12.7</v>
      </c>
      <c r="H491" t="n">
        <v>0</v>
      </c>
      <c r="I491" t="n">
        <v>0</v>
      </c>
      <c r="J491" t="n">
        <v>0</v>
      </c>
      <c r="K491" t="n">
        <v>0</v>
      </c>
      <c r="L491" t="n">
        <v>0</v>
      </c>
      <c r="M491" t="n">
        <v>0</v>
      </c>
      <c r="N491" t="n">
        <v>0</v>
      </c>
      <c r="O491" t="n">
        <v>0</v>
      </c>
      <c r="P491" t="n">
        <v>0</v>
      </c>
      <c r="Q491" t="n">
        <v>0</v>
      </c>
      <c r="R491" s="2" t="inlineStr"/>
    </row>
    <row r="492" ht="15" customHeight="1">
      <c r="A492" t="inlineStr">
        <is>
          <t>A 30017-2025</t>
        </is>
      </c>
      <c r="B492" s="1" t="n">
        <v>45826.55306712963</v>
      </c>
      <c r="C492" s="1" t="n">
        <v>45914</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29908-2025</t>
        </is>
      </c>
      <c r="B493" s="1" t="n">
        <v>45826</v>
      </c>
      <c r="C493" s="1" t="n">
        <v>45914</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29533-2025</t>
        </is>
      </c>
      <c r="B494" s="1" t="n">
        <v>45825.34466435185</v>
      </c>
      <c r="C494" s="1" t="n">
        <v>45914</v>
      </c>
      <c r="D494" t="inlineStr">
        <is>
          <t>JÄMTLANDS LÄN</t>
        </is>
      </c>
      <c r="E494" t="inlineStr">
        <is>
          <t>BERG</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29538-2025</t>
        </is>
      </c>
      <c r="B495" s="1" t="n">
        <v>45825.34517361111</v>
      </c>
      <c r="C495" s="1" t="n">
        <v>45914</v>
      </c>
      <c r="D495" t="inlineStr">
        <is>
          <t>JÄMTLANDS LÄN</t>
        </is>
      </c>
      <c r="E495" t="inlineStr">
        <is>
          <t>BERG</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29902-2025</t>
        </is>
      </c>
      <c r="B496" s="1" t="n">
        <v>45826</v>
      </c>
      <c r="C496" s="1" t="n">
        <v>45914</v>
      </c>
      <c r="D496" t="inlineStr">
        <is>
          <t>JÄMTLANDS LÄN</t>
        </is>
      </c>
      <c r="E496" t="inlineStr">
        <is>
          <t>BERG</t>
        </is>
      </c>
      <c r="G496" t="n">
        <v>9.1</v>
      </c>
      <c r="H496" t="n">
        <v>0</v>
      </c>
      <c r="I496" t="n">
        <v>0</v>
      </c>
      <c r="J496" t="n">
        <v>0</v>
      </c>
      <c r="K496" t="n">
        <v>0</v>
      </c>
      <c r="L496" t="n">
        <v>0</v>
      </c>
      <c r="M496" t="n">
        <v>0</v>
      </c>
      <c r="N496" t="n">
        <v>0</v>
      </c>
      <c r="O496" t="n">
        <v>0</v>
      </c>
      <c r="P496" t="n">
        <v>0</v>
      </c>
      <c r="Q496" t="n">
        <v>0</v>
      </c>
      <c r="R496" s="2" t="inlineStr"/>
    </row>
    <row r="497" ht="15" customHeight="1">
      <c r="A497" t="inlineStr">
        <is>
          <t>A 59634-2022</t>
        </is>
      </c>
      <c r="B497" s="1" t="n">
        <v>44907.9645949074</v>
      </c>
      <c r="C497" s="1" t="n">
        <v>45914</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9482-2024</t>
        </is>
      </c>
      <c r="B498" s="1" t="n">
        <v>45359.57847222222</v>
      </c>
      <c r="C498" s="1" t="n">
        <v>45914</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26959-2022</t>
        </is>
      </c>
      <c r="B499" s="1" t="n">
        <v>44740.66048611111</v>
      </c>
      <c r="C499" s="1" t="n">
        <v>45914</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3173-2025</t>
        </is>
      </c>
      <c r="B500" s="1" t="n">
        <v>45679.38309027778</v>
      </c>
      <c r="C500" s="1" t="n">
        <v>45914</v>
      </c>
      <c r="D500" t="inlineStr">
        <is>
          <t>JÄMTLANDS LÄN</t>
        </is>
      </c>
      <c r="E500" t="inlineStr">
        <is>
          <t>BERG</t>
        </is>
      </c>
      <c r="G500" t="n">
        <v>8.9</v>
      </c>
      <c r="H500" t="n">
        <v>0</v>
      </c>
      <c r="I500" t="n">
        <v>0</v>
      </c>
      <c r="J500" t="n">
        <v>0</v>
      </c>
      <c r="K500" t="n">
        <v>0</v>
      </c>
      <c r="L500" t="n">
        <v>0</v>
      </c>
      <c r="M500" t="n">
        <v>0</v>
      </c>
      <c r="N500" t="n">
        <v>0</v>
      </c>
      <c r="O500" t="n">
        <v>0</v>
      </c>
      <c r="P500" t="n">
        <v>0</v>
      </c>
      <c r="Q500" t="n">
        <v>0</v>
      </c>
      <c r="R500" s="2" t="inlineStr"/>
    </row>
    <row r="501" ht="15" customHeight="1">
      <c r="A501" t="inlineStr">
        <is>
          <t>A 30314-2025</t>
        </is>
      </c>
      <c r="B501" s="1" t="n">
        <v>45827.49047453704</v>
      </c>
      <c r="C501" s="1" t="n">
        <v>45914</v>
      </c>
      <c r="D501" t="inlineStr">
        <is>
          <t>JÄMTLANDS LÄN</t>
        </is>
      </c>
      <c r="E501" t="inlineStr">
        <is>
          <t>BERG</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50706-2023</t>
        </is>
      </c>
      <c r="B502" s="1" t="n">
        <v>45217.55832175926</v>
      </c>
      <c r="C502" s="1" t="n">
        <v>45914</v>
      </c>
      <c r="D502" t="inlineStr">
        <is>
          <t>JÄMTLANDS LÄN</t>
        </is>
      </c>
      <c r="E502" t="inlineStr">
        <is>
          <t>BERG</t>
        </is>
      </c>
      <c r="G502" t="n">
        <v>4.1</v>
      </c>
      <c r="H502" t="n">
        <v>0</v>
      </c>
      <c r="I502" t="n">
        <v>0</v>
      </c>
      <c r="J502" t="n">
        <v>0</v>
      </c>
      <c r="K502" t="n">
        <v>0</v>
      </c>
      <c r="L502" t="n">
        <v>0</v>
      </c>
      <c r="M502" t="n">
        <v>0</v>
      </c>
      <c r="N502" t="n">
        <v>0</v>
      </c>
      <c r="O502" t="n">
        <v>0</v>
      </c>
      <c r="P502" t="n">
        <v>0</v>
      </c>
      <c r="Q502" t="n">
        <v>0</v>
      </c>
      <c r="R502" s="2" t="inlineStr"/>
    </row>
    <row r="503" ht="15" customHeight="1">
      <c r="A503" t="inlineStr">
        <is>
          <t>A 54415-2023</t>
        </is>
      </c>
      <c r="B503" s="1" t="n">
        <v>45233.40039351852</v>
      </c>
      <c r="C503" s="1" t="n">
        <v>45914</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47176-2023</t>
        </is>
      </c>
      <c r="B504" s="1" t="n">
        <v>45201.94844907407</v>
      </c>
      <c r="C504" s="1" t="n">
        <v>45914</v>
      </c>
      <c r="D504" t="inlineStr">
        <is>
          <t>JÄMTLANDS LÄN</t>
        </is>
      </c>
      <c r="E504" t="inlineStr">
        <is>
          <t>BERG</t>
        </is>
      </c>
      <c r="F504" t="inlineStr">
        <is>
          <t>SCA</t>
        </is>
      </c>
      <c r="G504" t="n">
        <v>32.3</v>
      </c>
      <c r="H504" t="n">
        <v>0</v>
      </c>
      <c r="I504" t="n">
        <v>0</v>
      </c>
      <c r="J504" t="n">
        <v>0</v>
      </c>
      <c r="K504" t="n">
        <v>0</v>
      </c>
      <c r="L504" t="n">
        <v>0</v>
      </c>
      <c r="M504" t="n">
        <v>0</v>
      </c>
      <c r="N504" t="n">
        <v>0</v>
      </c>
      <c r="O504" t="n">
        <v>0</v>
      </c>
      <c r="P504" t="n">
        <v>0</v>
      </c>
      <c r="Q504" t="n">
        <v>0</v>
      </c>
      <c r="R504" s="2" t="inlineStr"/>
    </row>
    <row r="505" ht="15" customHeight="1">
      <c r="A505" t="inlineStr">
        <is>
          <t>A 44997-2021</t>
        </is>
      </c>
      <c r="B505" s="1" t="n">
        <v>44438</v>
      </c>
      <c r="C505" s="1" t="n">
        <v>45914</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45914</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36668-2025</t>
        </is>
      </c>
      <c r="B507" s="1" t="n">
        <v>45873.38351851852</v>
      </c>
      <c r="C507" s="1" t="n">
        <v>45914</v>
      </c>
      <c r="D507" t="inlineStr">
        <is>
          <t>JÄMTLANDS LÄN</t>
        </is>
      </c>
      <c r="E507" t="inlineStr">
        <is>
          <t>BERG</t>
        </is>
      </c>
      <c r="G507" t="n">
        <v>6.7</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45914</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45914</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45914</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54998-2023</t>
        </is>
      </c>
      <c r="B511" s="1" t="n">
        <v>45236</v>
      </c>
      <c r="C511" s="1" t="n">
        <v>45914</v>
      </c>
      <c r="D511" t="inlineStr">
        <is>
          <t>JÄMTLANDS LÄN</t>
        </is>
      </c>
      <c r="E511" t="inlineStr">
        <is>
          <t>BERG</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37589-2021</t>
        </is>
      </c>
      <c r="B512" s="1" t="n">
        <v>44399</v>
      </c>
      <c r="C512" s="1" t="n">
        <v>45914</v>
      </c>
      <c r="D512" t="inlineStr">
        <is>
          <t>JÄMTLANDS LÄN</t>
        </is>
      </c>
      <c r="E512" t="inlineStr">
        <is>
          <t>BERG</t>
        </is>
      </c>
      <c r="G512" t="n">
        <v>8.6</v>
      </c>
      <c r="H512" t="n">
        <v>0</v>
      </c>
      <c r="I512" t="n">
        <v>0</v>
      </c>
      <c r="J512" t="n">
        <v>0</v>
      </c>
      <c r="K512" t="n">
        <v>0</v>
      </c>
      <c r="L512" t="n">
        <v>0</v>
      </c>
      <c r="M512" t="n">
        <v>0</v>
      </c>
      <c r="N512" t="n">
        <v>0</v>
      </c>
      <c r="O512" t="n">
        <v>0</v>
      </c>
      <c r="P512" t="n">
        <v>0</v>
      </c>
      <c r="Q512" t="n">
        <v>0</v>
      </c>
      <c r="R512" s="2" t="inlineStr"/>
    </row>
    <row r="513" ht="15" customHeight="1">
      <c r="A513" t="inlineStr">
        <is>
          <t>A 31024-2025</t>
        </is>
      </c>
      <c r="B513" s="1" t="n">
        <v>45832.52571759259</v>
      </c>
      <c r="C513" s="1" t="n">
        <v>45914</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36896-2025</t>
        </is>
      </c>
      <c r="B514" s="1" t="n">
        <v>45874.4740625</v>
      </c>
      <c r="C514" s="1" t="n">
        <v>45914</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26944-2022</t>
        </is>
      </c>
      <c r="B515" s="1" t="n">
        <v>44740</v>
      </c>
      <c r="C515" s="1" t="n">
        <v>45914</v>
      </c>
      <c r="D515" t="inlineStr">
        <is>
          <t>JÄMTLANDS LÄN</t>
        </is>
      </c>
      <c r="E515" t="inlineStr">
        <is>
          <t>BERG</t>
        </is>
      </c>
      <c r="G515" t="n">
        <v>3.3</v>
      </c>
      <c r="H515" t="n">
        <v>0</v>
      </c>
      <c r="I515" t="n">
        <v>0</v>
      </c>
      <c r="J515" t="n">
        <v>0</v>
      </c>
      <c r="K515" t="n">
        <v>0</v>
      </c>
      <c r="L515" t="n">
        <v>0</v>
      </c>
      <c r="M515" t="n">
        <v>0</v>
      </c>
      <c r="N515" t="n">
        <v>0</v>
      </c>
      <c r="O515" t="n">
        <v>0</v>
      </c>
      <c r="P515" t="n">
        <v>0</v>
      </c>
      <c r="Q515" t="n">
        <v>0</v>
      </c>
      <c r="R515" s="2" t="inlineStr"/>
    </row>
    <row r="516" ht="15" customHeight="1">
      <c r="A516" t="inlineStr">
        <is>
          <t>A 63819-2023</t>
        </is>
      </c>
      <c r="B516" s="1" t="n">
        <v>45278.44128472222</v>
      </c>
      <c r="C516" s="1" t="n">
        <v>45914</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36718-2025</t>
        </is>
      </c>
      <c r="B517" s="1" t="n">
        <v>45873.47069444445</v>
      </c>
      <c r="C517" s="1" t="n">
        <v>45914</v>
      </c>
      <c r="D517" t="inlineStr">
        <is>
          <t>JÄMTLANDS LÄN</t>
        </is>
      </c>
      <c r="E517" t="inlineStr">
        <is>
          <t>BERG</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31015-2025</t>
        </is>
      </c>
      <c r="B518" s="1" t="n">
        <v>45832.51086805556</v>
      </c>
      <c r="C518" s="1" t="n">
        <v>45914</v>
      </c>
      <c r="D518" t="inlineStr">
        <is>
          <t>JÄMTLANDS LÄN</t>
        </is>
      </c>
      <c r="E518" t="inlineStr">
        <is>
          <t>BERG</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31017-2025</t>
        </is>
      </c>
      <c r="B519" s="1" t="n">
        <v>45832.51111111111</v>
      </c>
      <c r="C519" s="1" t="n">
        <v>45914</v>
      </c>
      <c r="D519" t="inlineStr">
        <is>
          <t>JÄMTLANDS LÄN</t>
        </is>
      </c>
      <c r="E519" t="inlineStr">
        <is>
          <t>BERG</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31136-2025</t>
        </is>
      </c>
      <c r="B520" s="1" t="n">
        <v>45832.63599537037</v>
      </c>
      <c r="C520" s="1" t="n">
        <v>45914</v>
      </c>
      <c r="D520" t="inlineStr">
        <is>
          <t>JÄMTLANDS LÄN</t>
        </is>
      </c>
      <c r="E520" t="inlineStr">
        <is>
          <t>BERG</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62360-2023</t>
        </is>
      </c>
      <c r="B521" s="1" t="n">
        <v>45267</v>
      </c>
      <c r="C521" s="1" t="n">
        <v>45914</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44088-2021</t>
        </is>
      </c>
      <c r="B522" s="1" t="n">
        <v>44434</v>
      </c>
      <c r="C522" s="1" t="n">
        <v>45914</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31070-2025</t>
        </is>
      </c>
      <c r="B523" s="1" t="n">
        <v>45832.57887731482</v>
      </c>
      <c r="C523" s="1" t="n">
        <v>45914</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36714-2025</t>
        </is>
      </c>
      <c r="B524" s="1" t="n">
        <v>45873.46881944445</v>
      </c>
      <c r="C524" s="1" t="n">
        <v>45914</v>
      </c>
      <c r="D524" t="inlineStr">
        <is>
          <t>JÄMTLANDS LÄN</t>
        </is>
      </c>
      <c r="E524" t="inlineStr">
        <is>
          <t>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31090-2025</t>
        </is>
      </c>
      <c r="B525" s="1" t="n">
        <v>45832.59436342592</v>
      </c>
      <c r="C525" s="1" t="n">
        <v>45914</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18685-2024</t>
        </is>
      </c>
      <c r="B526" s="1" t="n">
        <v>45426.38322916667</v>
      </c>
      <c r="C526" s="1" t="n">
        <v>45914</v>
      </c>
      <c r="D526" t="inlineStr">
        <is>
          <t>JÄMTLANDS LÄN</t>
        </is>
      </c>
      <c r="E526" t="inlineStr">
        <is>
          <t>BERG</t>
        </is>
      </c>
      <c r="G526" t="n">
        <v>5.1</v>
      </c>
      <c r="H526" t="n">
        <v>0</v>
      </c>
      <c r="I526" t="n">
        <v>0</v>
      </c>
      <c r="J526" t="n">
        <v>0</v>
      </c>
      <c r="K526" t="n">
        <v>0</v>
      </c>
      <c r="L526" t="n">
        <v>0</v>
      </c>
      <c r="M526" t="n">
        <v>0</v>
      </c>
      <c r="N526" t="n">
        <v>0</v>
      </c>
      <c r="O526" t="n">
        <v>0</v>
      </c>
      <c r="P526" t="n">
        <v>0</v>
      </c>
      <c r="Q526" t="n">
        <v>0</v>
      </c>
      <c r="R526" s="2" t="inlineStr"/>
    </row>
    <row r="527" ht="15" customHeight="1">
      <c r="A527" t="inlineStr">
        <is>
          <t>A 39510-2023</t>
        </is>
      </c>
      <c r="B527" s="1" t="n">
        <v>45166</v>
      </c>
      <c r="C527" s="1" t="n">
        <v>45914</v>
      </c>
      <c r="D527" t="inlineStr">
        <is>
          <t>JÄMTLANDS LÄN</t>
        </is>
      </c>
      <c r="E527" t="inlineStr">
        <is>
          <t>BERG</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36341-2025</t>
        </is>
      </c>
      <c r="B528" s="1" t="n">
        <v>45868</v>
      </c>
      <c r="C528" s="1" t="n">
        <v>45914</v>
      </c>
      <c r="D528" t="inlineStr">
        <is>
          <t>JÄMTLANDS LÄN</t>
        </is>
      </c>
      <c r="E528" t="inlineStr">
        <is>
          <t>BERG</t>
        </is>
      </c>
      <c r="G528" t="n">
        <v>3.1</v>
      </c>
      <c r="H528" t="n">
        <v>0</v>
      </c>
      <c r="I528" t="n">
        <v>0</v>
      </c>
      <c r="J528" t="n">
        <v>0</v>
      </c>
      <c r="K528" t="n">
        <v>0</v>
      </c>
      <c r="L528" t="n">
        <v>0</v>
      </c>
      <c r="M528" t="n">
        <v>0</v>
      </c>
      <c r="N528" t="n">
        <v>0</v>
      </c>
      <c r="O528" t="n">
        <v>0</v>
      </c>
      <c r="P528" t="n">
        <v>0</v>
      </c>
      <c r="Q528" t="n">
        <v>0</v>
      </c>
      <c r="R528" s="2" t="inlineStr"/>
    </row>
    <row r="529" ht="15" customHeight="1">
      <c r="A529" t="inlineStr">
        <is>
          <t>A 37201-2025</t>
        </is>
      </c>
      <c r="B529" s="1" t="n">
        <v>45875.67797453704</v>
      </c>
      <c r="C529" s="1" t="n">
        <v>45914</v>
      </c>
      <c r="D529" t="inlineStr">
        <is>
          <t>JÄMTLANDS LÄN</t>
        </is>
      </c>
      <c r="E529" t="inlineStr">
        <is>
          <t>BERG</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19513-2025</t>
        </is>
      </c>
      <c r="B530" s="1" t="n">
        <v>45770.42762731481</v>
      </c>
      <c r="C530" s="1" t="n">
        <v>45914</v>
      </c>
      <c r="D530" t="inlineStr">
        <is>
          <t>JÄMTLANDS LÄN</t>
        </is>
      </c>
      <c r="E530" t="inlineStr">
        <is>
          <t>BERG</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37062-2025</t>
        </is>
      </c>
      <c r="B531" s="1" t="n">
        <v>45875.38579861111</v>
      </c>
      <c r="C531" s="1" t="n">
        <v>45914</v>
      </c>
      <c r="D531" t="inlineStr">
        <is>
          <t>JÄMTLANDS LÄN</t>
        </is>
      </c>
      <c r="E531" t="inlineStr">
        <is>
          <t>BERG</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1596-2024</t>
        </is>
      </c>
      <c r="B532" s="1" t="n">
        <v>45306</v>
      </c>
      <c r="C532" s="1" t="n">
        <v>45914</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11704-2023</t>
        </is>
      </c>
      <c r="B533" s="1" t="n">
        <v>44994.54274305556</v>
      </c>
      <c r="C533" s="1" t="n">
        <v>45914</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19530-2025</t>
        </is>
      </c>
      <c r="B534" s="1" t="n">
        <v>45770.46903935185</v>
      </c>
      <c r="C534" s="1" t="n">
        <v>45914</v>
      </c>
      <c r="D534" t="inlineStr">
        <is>
          <t>JÄMTLANDS LÄN</t>
        </is>
      </c>
      <c r="E534" t="inlineStr">
        <is>
          <t>BERG</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36192-2024</t>
        </is>
      </c>
      <c r="B535" s="1" t="n">
        <v>45534.42809027778</v>
      </c>
      <c r="C535" s="1" t="n">
        <v>45914</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37066-2025</t>
        </is>
      </c>
      <c r="B536" s="1" t="n">
        <v>45875.3862962963</v>
      </c>
      <c r="C536" s="1" t="n">
        <v>45914</v>
      </c>
      <c r="D536" t="inlineStr">
        <is>
          <t>JÄMTLANDS LÄN</t>
        </is>
      </c>
      <c r="E536" t="inlineStr">
        <is>
          <t>BERG</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31820-2025</t>
        </is>
      </c>
      <c r="B537" s="1" t="n">
        <v>45834.57930555556</v>
      </c>
      <c r="C537" s="1" t="n">
        <v>45914</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32654-2025</t>
        </is>
      </c>
      <c r="B538" s="1" t="n">
        <v>45838.6778587963</v>
      </c>
      <c r="C538" s="1" t="n">
        <v>45914</v>
      </c>
      <c r="D538" t="inlineStr">
        <is>
          <t>JÄMTLANDS LÄN</t>
        </is>
      </c>
      <c r="E538" t="inlineStr">
        <is>
          <t>BERG</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166-2024</t>
        </is>
      </c>
      <c r="B539" s="1" t="n">
        <v>45294</v>
      </c>
      <c r="C539" s="1" t="n">
        <v>45914</v>
      </c>
      <c r="D539" t="inlineStr">
        <is>
          <t>JÄMTLANDS LÄN</t>
        </is>
      </c>
      <c r="E539" t="inlineStr">
        <is>
          <t>BERG</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8722-2024</t>
        </is>
      </c>
      <c r="B540" s="1" t="n">
        <v>45355</v>
      </c>
      <c r="C540" s="1" t="n">
        <v>45914</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8726-2024</t>
        </is>
      </c>
      <c r="B541" s="1" t="n">
        <v>45355</v>
      </c>
      <c r="C541" s="1" t="n">
        <v>45914</v>
      </c>
      <c r="D541" t="inlineStr">
        <is>
          <t>JÄMTLANDS LÄN</t>
        </is>
      </c>
      <c r="E541" t="inlineStr">
        <is>
          <t>BERG</t>
        </is>
      </c>
      <c r="G541" t="n">
        <v>1.3</v>
      </c>
      <c r="H541" t="n">
        <v>0</v>
      </c>
      <c r="I541" t="n">
        <v>0</v>
      </c>
      <c r="J541" t="n">
        <v>0</v>
      </c>
      <c r="K541" t="n">
        <v>0</v>
      </c>
      <c r="L541" t="n">
        <v>0</v>
      </c>
      <c r="M541" t="n">
        <v>0</v>
      </c>
      <c r="N541" t="n">
        <v>0</v>
      </c>
      <c r="O541" t="n">
        <v>0</v>
      </c>
      <c r="P541" t="n">
        <v>0</v>
      </c>
      <c r="Q541" t="n">
        <v>0</v>
      </c>
      <c r="R541" s="2" t="inlineStr"/>
    </row>
    <row r="542" ht="15" customHeight="1">
      <c r="A542" t="inlineStr">
        <is>
          <t>A 12611-2025</t>
        </is>
      </c>
      <c r="B542" s="1" t="n">
        <v>45733.33921296296</v>
      </c>
      <c r="C542" s="1" t="n">
        <v>45914</v>
      </c>
      <c r="D542" t="inlineStr">
        <is>
          <t>JÄMTLANDS LÄN</t>
        </is>
      </c>
      <c r="E542" t="inlineStr">
        <is>
          <t>BERG</t>
        </is>
      </c>
      <c r="G542" t="n">
        <v>7.7</v>
      </c>
      <c r="H542" t="n">
        <v>0</v>
      </c>
      <c r="I542" t="n">
        <v>0</v>
      </c>
      <c r="J542" t="n">
        <v>0</v>
      </c>
      <c r="K542" t="n">
        <v>0</v>
      </c>
      <c r="L542" t="n">
        <v>0</v>
      </c>
      <c r="M542" t="n">
        <v>0</v>
      </c>
      <c r="N542" t="n">
        <v>0</v>
      </c>
      <c r="O542" t="n">
        <v>0</v>
      </c>
      <c r="P542" t="n">
        <v>0</v>
      </c>
      <c r="Q542" t="n">
        <v>0</v>
      </c>
      <c r="R542" s="2" t="inlineStr"/>
    </row>
    <row r="543" ht="15" customHeight="1">
      <c r="A543" t="inlineStr">
        <is>
          <t>A 45206-2024</t>
        </is>
      </c>
      <c r="B543" s="1" t="n">
        <v>45575.69966435185</v>
      </c>
      <c r="C543" s="1" t="n">
        <v>45914</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14153-2023</t>
        </is>
      </c>
      <c r="B544" s="1" t="n">
        <v>45008</v>
      </c>
      <c r="C544" s="1" t="n">
        <v>45914</v>
      </c>
      <c r="D544" t="inlineStr">
        <is>
          <t>JÄMTLANDS LÄN</t>
        </is>
      </c>
      <c r="E544" t="inlineStr">
        <is>
          <t>BERG</t>
        </is>
      </c>
      <c r="G544" t="n">
        <v>1.1</v>
      </c>
      <c r="H544" t="n">
        <v>0</v>
      </c>
      <c r="I544" t="n">
        <v>0</v>
      </c>
      <c r="J544" t="n">
        <v>0</v>
      </c>
      <c r="K544" t="n">
        <v>0</v>
      </c>
      <c r="L544" t="n">
        <v>0</v>
      </c>
      <c r="M544" t="n">
        <v>0</v>
      </c>
      <c r="N544" t="n">
        <v>0</v>
      </c>
      <c r="O544" t="n">
        <v>0</v>
      </c>
      <c r="P544" t="n">
        <v>0</v>
      </c>
      <c r="Q544" t="n">
        <v>0</v>
      </c>
      <c r="R544" s="2" t="inlineStr"/>
    </row>
    <row r="545" ht="15" customHeight="1">
      <c r="A545" t="inlineStr">
        <is>
          <t>A 19428-2025</t>
        </is>
      </c>
      <c r="B545" s="1" t="n">
        <v>45769.79763888889</v>
      </c>
      <c r="C545" s="1" t="n">
        <v>45914</v>
      </c>
      <c r="D545" t="inlineStr">
        <is>
          <t>JÄMTLANDS LÄN</t>
        </is>
      </c>
      <c r="E545" t="inlineStr">
        <is>
          <t>BERG</t>
        </is>
      </c>
      <c r="G545" t="n">
        <v>7.1</v>
      </c>
      <c r="H545" t="n">
        <v>0</v>
      </c>
      <c r="I545" t="n">
        <v>0</v>
      </c>
      <c r="J545" t="n">
        <v>0</v>
      </c>
      <c r="K545" t="n">
        <v>0</v>
      </c>
      <c r="L545" t="n">
        <v>0</v>
      </c>
      <c r="M545" t="n">
        <v>0</v>
      </c>
      <c r="N545" t="n">
        <v>0</v>
      </c>
      <c r="O545" t="n">
        <v>0</v>
      </c>
      <c r="P545" t="n">
        <v>0</v>
      </c>
      <c r="Q545" t="n">
        <v>0</v>
      </c>
      <c r="R545" s="2" t="inlineStr"/>
    </row>
    <row r="546" ht="15" customHeight="1">
      <c r="A546" t="inlineStr">
        <is>
          <t>A 149-2024</t>
        </is>
      </c>
      <c r="B546" s="1" t="n">
        <v>45294</v>
      </c>
      <c r="C546" s="1" t="n">
        <v>45914</v>
      </c>
      <c r="D546" t="inlineStr">
        <is>
          <t>JÄMTLANDS LÄN</t>
        </is>
      </c>
      <c r="E546" t="inlineStr">
        <is>
          <t>BERG</t>
        </is>
      </c>
      <c r="F546" t="inlineStr">
        <is>
          <t>Kyrkan</t>
        </is>
      </c>
      <c r="G546" t="n">
        <v>3.7</v>
      </c>
      <c r="H546" t="n">
        <v>0</v>
      </c>
      <c r="I546" t="n">
        <v>0</v>
      </c>
      <c r="J546" t="n">
        <v>0</v>
      </c>
      <c r="K546" t="n">
        <v>0</v>
      </c>
      <c r="L546" t="n">
        <v>0</v>
      </c>
      <c r="M546" t="n">
        <v>0</v>
      </c>
      <c r="N546" t="n">
        <v>0</v>
      </c>
      <c r="O546" t="n">
        <v>0</v>
      </c>
      <c r="P546" t="n">
        <v>0</v>
      </c>
      <c r="Q546" t="n">
        <v>0</v>
      </c>
      <c r="R546" s="2" t="inlineStr"/>
    </row>
    <row r="547" ht="15" customHeight="1">
      <c r="A547" t="inlineStr">
        <is>
          <t>A 7040-2024</t>
        </is>
      </c>
      <c r="B547" s="1" t="n">
        <v>45343</v>
      </c>
      <c r="C547" s="1" t="n">
        <v>45914</v>
      </c>
      <c r="D547" t="inlineStr">
        <is>
          <t>JÄMTLANDS LÄN</t>
        </is>
      </c>
      <c r="E547" t="inlineStr">
        <is>
          <t>BERG</t>
        </is>
      </c>
      <c r="G547" t="n">
        <v>15.9</v>
      </c>
      <c r="H547" t="n">
        <v>0</v>
      </c>
      <c r="I547" t="n">
        <v>0</v>
      </c>
      <c r="J547" t="n">
        <v>0</v>
      </c>
      <c r="K547" t="n">
        <v>0</v>
      </c>
      <c r="L547" t="n">
        <v>0</v>
      </c>
      <c r="M547" t="n">
        <v>0</v>
      </c>
      <c r="N547" t="n">
        <v>0</v>
      </c>
      <c r="O547" t="n">
        <v>0</v>
      </c>
      <c r="P547" t="n">
        <v>0</v>
      </c>
      <c r="Q547" t="n">
        <v>0</v>
      </c>
      <c r="R547" s="2" t="inlineStr"/>
    </row>
    <row r="548" ht="15" customHeight="1">
      <c r="A548" t="inlineStr">
        <is>
          <t>A 52774-2023</t>
        </is>
      </c>
      <c r="B548" s="1" t="n">
        <v>45219</v>
      </c>
      <c r="C548" s="1" t="n">
        <v>45914</v>
      </c>
      <c r="D548" t="inlineStr">
        <is>
          <t>JÄMTLANDS LÄN</t>
        </is>
      </c>
      <c r="E548" t="inlineStr">
        <is>
          <t>BERG</t>
        </is>
      </c>
      <c r="G548" t="n">
        <v>1.1</v>
      </c>
      <c r="H548" t="n">
        <v>0</v>
      </c>
      <c r="I548" t="n">
        <v>0</v>
      </c>
      <c r="J548" t="n">
        <v>0</v>
      </c>
      <c r="K548" t="n">
        <v>0</v>
      </c>
      <c r="L548" t="n">
        <v>0</v>
      </c>
      <c r="M548" t="n">
        <v>0</v>
      </c>
      <c r="N548" t="n">
        <v>0</v>
      </c>
      <c r="O548" t="n">
        <v>0</v>
      </c>
      <c r="P548" t="n">
        <v>0</v>
      </c>
      <c r="Q548" t="n">
        <v>0</v>
      </c>
      <c r="R548" s="2" t="inlineStr"/>
    </row>
    <row r="549" ht="15" customHeight="1">
      <c r="A549" t="inlineStr">
        <is>
          <t>A 37455-2025</t>
        </is>
      </c>
      <c r="B549" s="1" t="n">
        <v>45877.56710648148</v>
      </c>
      <c r="C549" s="1" t="n">
        <v>45914</v>
      </c>
      <c r="D549" t="inlineStr">
        <is>
          <t>JÄMTLANDS LÄN</t>
        </is>
      </c>
      <c r="E549" t="inlineStr">
        <is>
          <t>BERG</t>
        </is>
      </c>
      <c r="G549" t="n">
        <v>5.6</v>
      </c>
      <c r="H549" t="n">
        <v>0</v>
      </c>
      <c r="I549" t="n">
        <v>0</v>
      </c>
      <c r="J549" t="n">
        <v>0</v>
      </c>
      <c r="K549" t="n">
        <v>0</v>
      </c>
      <c r="L549" t="n">
        <v>0</v>
      </c>
      <c r="M549" t="n">
        <v>0</v>
      </c>
      <c r="N549" t="n">
        <v>0</v>
      </c>
      <c r="O549" t="n">
        <v>0</v>
      </c>
      <c r="P549" t="n">
        <v>0</v>
      </c>
      <c r="Q549" t="n">
        <v>0</v>
      </c>
      <c r="R549" s="2" t="inlineStr"/>
    </row>
    <row r="550" ht="15" customHeight="1">
      <c r="A550" t="inlineStr">
        <is>
          <t>A 5215-2024</t>
        </is>
      </c>
      <c r="B550" s="1" t="n">
        <v>45330</v>
      </c>
      <c r="C550" s="1" t="n">
        <v>45914</v>
      </c>
      <c r="D550" t="inlineStr">
        <is>
          <t>JÄMTLANDS LÄN</t>
        </is>
      </c>
      <c r="E550" t="inlineStr">
        <is>
          <t>BERG</t>
        </is>
      </c>
      <c r="G550" t="n">
        <v>0.8</v>
      </c>
      <c r="H550" t="n">
        <v>0</v>
      </c>
      <c r="I550" t="n">
        <v>0</v>
      </c>
      <c r="J550" t="n">
        <v>0</v>
      </c>
      <c r="K550" t="n">
        <v>0</v>
      </c>
      <c r="L550" t="n">
        <v>0</v>
      </c>
      <c r="M550" t="n">
        <v>0</v>
      </c>
      <c r="N550" t="n">
        <v>0</v>
      </c>
      <c r="O550" t="n">
        <v>0</v>
      </c>
      <c r="P550" t="n">
        <v>0</v>
      </c>
      <c r="Q550" t="n">
        <v>0</v>
      </c>
      <c r="R550" s="2" t="inlineStr"/>
    </row>
    <row r="551" ht="15" customHeight="1">
      <c r="A551" t="inlineStr">
        <is>
          <t>A 14341-2025</t>
        </is>
      </c>
      <c r="B551" s="1" t="n">
        <v>45741.26008101852</v>
      </c>
      <c r="C551" s="1" t="n">
        <v>45914</v>
      </c>
      <c r="D551" t="inlineStr">
        <is>
          <t>JÄMTLANDS LÄN</t>
        </is>
      </c>
      <c r="E551" t="inlineStr">
        <is>
          <t>BERG</t>
        </is>
      </c>
      <c r="G551" t="n">
        <v>3.8</v>
      </c>
      <c r="H551" t="n">
        <v>0</v>
      </c>
      <c r="I551" t="n">
        <v>0</v>
      </c>
      <c r="J551" t="n">
        <v>0</v>
      </c>
      <c r="K551" t="n">
        <v>0</v>
      </c>
      <c r="L551" t="n">
        <v>0</v>
      </c>
      <c r="M551" t="n">
        <v>0</v>
      </c>
      <c r="N551" t="n">
        <v>0</v>
      </c>
      <c r="O551" t="n">
        <v>0</v>
      </c>
      <c r="P551" t="n">
        <v>0</v>
      </c>
      <c r="Q551" t="n">
        <v>0</v>
      </c>
      <c r="R551" s="2" t="inlineStr"/>
    </row>
    <row r="552" ht="15" customHeight="1">
      <c r="A552" t="inlineStr">
        <is>
          <t>A 57669-2024</t>
        </is>
      </c>
      <c r="B552" s="1" t="n">
        <v>45630.62520833333</v>
      </c>
      <c r="C552" s="1" t="n">
        <v>45914</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32160-2025</t>
        </is>
      </c>
      <c r="B553" s="1" t="n">
        <v>45835.54142361111</v>
      </c>
      <c r="C553" s="1" t="n">
        <v>45914</v>
      </c>
      <c r="D553" t="inlineStr">
        <is>
          <t>JÄMTLANDS LÄN</t>
        </is>
      </c>
      <c r="E553" t="inlineStr">
        <is>
          <t>BERG</t>
        </is>
      </c>
      <c r="G553" t="n">
        <v>10.3</v>
      </c>
      <c r="H553" t="n">
        <v>0</v>
      </c>
      <c r="I553" t="n">
        <v>0</v>
      </c>
      <c r="J553" t="n">
        <v>0</v>
      </c>
      <c r="K553" t="n">
        <v>0</v>
      </c>
      <c r="L553" t="n">
        <v>0</v>
      </c>
      <c r="M553" t="n">
        <v>0</v>
      </c>
      <c r="N553" t="n">
        <v>0</v>
      </c>
      <c r="O553" t="n">
        <v>0</v>
      </c>
      <c r="P553" t="n">
        <v>0</v>
      </c>
      <c r="Q553" t="n">
        <v>0</v>
      </c>
      <c r="R553" s="2" t="inlineStr"/>
    </row>
    <row r="554" ht="15" customHeight="1">
      <c r="A554" t="inlineStr">
        <is>
          <t>A 37431-2025</t>
        </is>
      </c>
      <c r="B554" s="1" t="n">
        <v>45877.51092592593</v>
      </c>
      <c r="C554" s="1" t="n">
        <v>45914</v>
      </c>
      <c r="D554" t="inlineStr">
        <is>
          <t>JÄMTLANDS LÄN</t>
        </is>
      </c>
      <c r="E554" t="inlineStr">
        <is>
          <t>BERG</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37463-2025</t>
        </is>
      </c>
      <c r="B555" s="1" t="n">
        <v>45877.5738425926</v>
      </c>
      <c r="C555" s="1" t="n">
        <v>45914</v>
      </c>
      <c r="D555" t="inlineStr">
        <is>
          <t>JÄMTLANDS LÄN</t>
        </is>
      </c>
      <c r="E555" t="inlineStr">
        <is>
          <t>BERG</t>
        </is>
      </c>
      <c r="F555" t="inlineStr">
        <is>
          <t>SCA</t>
        </is>
      </c>
      <c r="G555" t="n">
        <v>13.3</v>
      </c>
      <c r="H555" t="n">
        <v>0</v>
      </c>
      <c r="I555" t="n">
        <v>0</v>
      </c>
      <c r="J555" t="n">
        <v>0</v>
      </c>
      <c r="K555" t="n">
        <v>0</v>
      </c>
      <c r="L555" t="n">
        <v>0</v>
      </c>
      <c r="M555" t="n">
        <v>0</v>
      </c>
      <c r="N555" t="n">
        <v>0</v>
      </c>
      <c r="O555" t="n">
        <v>0</v>
      </c>
      <c r="P555" t="n">
        <v>0</v>
      </c>
      <c r="Q555" t="n">
        <v>0</v>
      </c>
      <c r="R555" s="2" t="inlineStr"/>
    </row>
    <row r="556" ht="15" customHeight="1">
      <c r="A556" t="inlineStr">
        <is>
          <t>A 51172-2024</t>
        </is>
      </c>
      <c r="B556" s="1" t="n">
        <v>45603.59056712963</v>
      </c>
      <c r="C556" s="1" t="n">
        <v>45914</v>
      </c>
      <c r="D556" t="inlineStr">
        <is>
          <t>JÄMTLANDS LÄN</t>
        </is>
      </c>
      <c r="E556" t="inlineStr">
        <is>
          <t>BERG</t>
        </is>
      </c>
      <c r="G556" t="n">
        <v>12.2</v>
      </c>
      <c r="H556" t="n">
        <v>0</v>
      </c>
      <c r="I556" t="n">
        <v>0</v>
      </c>
      <c r="J556" t="n">
        <v>0</v>
      </c>
      <c r="K556" t="n">
        <v>0</v>
      </c>
      <c r="L556" t="n">
        <v>0</v>
      </c>
      <c r="M556" t="n">
        <v>0</v>
      </c>
      <c r="N556" t="n">
        <v>0</v>
      </c>
      <c r="O556" t="n">
        <v>0</v>
      </c>
      <c r="P556" t="n">
        <v>0</v>
      </c>
      <c r="Q556" t="n">
        <v>0</v>
      </c>
      <c r="R556" s="2" t="inlineStr"/>
    </row>
    <row r="557" ht="15" customHeight="1">
      <c r="A557" t="inlineStr">
        <is>
          <t>A 9077-2023</t>
        </is>
      </c>
      <c r="B557" s="1" t="n">
        <v>44979</v>
      </c>
      <c r="C557" s="1" t="n">
        <v>45914</v>
      </c>
      <c r="D557" t="inlineStr">
        <is>
          <t>JÄMTLANDS LÄN</t>
        </is>
      </c>
      <c r="E557" t="inlineStr">
        <is>
          <t>BERG</t>
        </is>
      </c>
      <c r="G557" t="n">
        <v>3.6</v>
      </c>
      <c r="H557" t="n">
        <v>0</v>
      </c>
      <c r="I557" t="n">
        <v>0</v>
      </c>
      <c r="J557" t="n">
        <v>0</v>
      </c>
      <c r="K557" t="n">
        <v>0</v>
      </c>
      <c r="L557" t="n">
        <v>0</v>
      </c>
      <c r="M557" t="n">
        <v>0</v>
      </c>
      <c r="N557" t="n">
        <v>0</v>
      </c>
      <c r="O557" t="n">
        <v>0</v>
      </c>
      <c r="P557" t="n">
        <v>0</v>
      </c>
      <c r="Q557" t="n">
        <v>0</v>
      </c>
      <c r="R557" s="2" t="inlineStr"/>
    </row>
    <row r="558" ht="15" customHeight="1">
      <c r="A558" t="inlineStr">
        <is>
          <t>A 60028-2022</t>
        </is>
      </c>
      <c r="B558" s="1" t="n">
        <v>44902</v>
      </c>
      <c r="C558" s="1" t="n">
        <v>45914</v>
      </c>
      <c r="D558" t="inlineStr">
        <is>
          <t>JÄMTLANDS LÄN</t>
        </is>
      </c>
      <c r="E558" t="inlineStr">
        <is>
          <t>BERG</t>
        </is>
      </c>
      <c r="G558" t="n">
        <v>20</v>
      </c>
      <c r="H558" t="n">
        <v>0</v>
      </c>
      <c r="I558" t="n">
        <v>0</v>
      </c>
      <c r="J558" t="n">
        <v>0</v>
      </c>
      <c r="K558" t="n">
        <v>0</v>
      </c>
      <c r="L558" t="n">
        <v>0</v>
      </c>
      <c r="M558" t="n">
        <v>0</v>
      </c>
      <c r="N558" t="n">
        <v>0</v>
      </c>
      <c r="O558" t="n">
        <v>0</v>
      </c>
      <c r="P558" t="n">
        <v>0</v>
      </c>
      <c r="Q558" t="n">
        <v>0</v>
      </c>
      <c r="R558" s="2" t="inlineStr"/>
    </row>
    <row r="559" ht="15" customHeight="1">
      <c r="A559" t="inlineStr">
        <is>
          <t>A 12342-2023</t>
        </is>
      </c>
      <c r="B559" s="1" t="n">
        <v>44998</v>
      </c>
      <c r="C559" s="1" t="n">
        <v>45914</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32919-2025</t>
        </is>
      </c>
      <c r="B560" s="1" t="n">
        <v>45839.64721064815</v>
      </c>
      <c r="C560" s="1" t="n">
        <v>45914</v>
      </c>
      <c r="D560" t="inlineStr">
        <is>
          <t>JÄMTLANDS LÄN</t>
        </is>
      </c>
      <c r="E560" t="inlineStr">
        <is>
          <t>BERG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31131-2024</t>
        </is>
      </c>
      <c r="B561" s="1" t="n">
        <v>45502</v>
      </c>
      <c r="C561" s="1" t="n">
        <v>45914</v>
      </c>
      <c r="D561" t="inlineStr">
        <is>
          <t>JÄMTLANDS LÄN</t>
        </is>
      </c>
      <c r="E561" t="inlineStr">
        <is>
          <t>BERG</t>
        </is>
      </c>
      <c r="G561" t="n">
        <v>2.1</v>
      </c>
      <c r="H561" t="n">
        <v>0</v>
      </c>
      <c r="I561" t="n">
        <v>0</v>
      </c>
      <c r="J561" t="n">
        <v>0</v>
      </c>
      <c r="K561" t="n">
        <v>0</v>
      </c>
      <c r="L561" t="n">
        <v>0</v>
      </c>
      <c r="M561" t="n">
        <v>0</v>
      </c>
      <c r="N561" t="n">
        <v>0</v>
      </c>
      <c r="O561" t="n">
        <v>0</v>
      </c>
      <c r="P561" t="n">
        <v>0</v>
      </c>
      <c r="Q561" t="n">
        <v>0</v>
      </c>
      <c r="R561" s="2" t="inlineStr"/>
    </row>
    <row r="562" ht="15" customHeight="1">
      <c r="A562" t="inlineStr">
        <is>
          <t>A 31154-2024</t>
        </is>
      </c>
      <c r="B562" s="1" t="n">
        <v>45503.32976851852</v>
      </c>
      <c r="C562" s="1" t="n">
        <v>45914</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46298-2024</t>
        </is>
      </c>
      <c r="B563" s="1" t="n">
        <v>45581.67739583334</v>
      </c>
      <c r="C563" s="1" t="n">
        <v>45914</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33054-2025</t>
        </is>
      </c>
      <c r="B564" s="1" t="n">
        <v>45840.42746527777</v>
      </c>
      <c r="C564" s="1" t="n">
        <v>45914</v>
      </c>
      <c r="D564" t="inlineStr">
        <is>
          <t>JÄMTLANDS LÄN</t>
        </is>
      </c>
      <c r="E564" t="inlineStr">
        <is>
          <t>BERG</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12774-2023</t>
        </is>
      </c>
      <c r="B565" s="1" t="n">
        <v>45001</v>
      </c>
      <c r="C565" s="1" t="n">
        <v>45914</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47289-2023</t>
        </is>
      </c>
      <c r="B566" s="1" t="n">
        <v>45202.46581018518</v>
      </c>
      <c r="C566" s="1" t="n">
        <v>45914</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19538-2023</t>
        </is>
      </c>
      <c r="B567" s="1" t="n">
        <v>45050</v>
      </c>
      <c r="C567" s="1" t="n">
        <v>45914</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13473-2025</t>
        </is>
      </c>
      <c r="B568" s="1" t="n">
        <v>45736.40671296296</v>
      </c>
      <c r="C568" s="1" t="n">
        <v>45914</v>
      </c>
      <c r="D568" t="inlineStr">
        <is>
          <t>JÄMTLANDS LÄN</t>
        </is>
      </c>
      <c r="E568" t="inlineStr">
        <is>
          <t>BERG</t>
        </is>
      </c>
      <c r="F568" t="inlineStr">
        <is>
          <t>SCA</t>
        </is>
      </c>
      <c r="G568" t="n">
        <v>13.7</v>
      </c>
      <c r="H568" t="n">
        <v>0</v>
      </c>
      <c r="I568" t="n">
        <v>0</v>
      </c>
      <c r="J568" t="n">
        <v>0</v>
      </c>
      <c r="K568" t="n">
        <v>0</v>
      </c>
      <c r="L568" t="n">
        <v>0</v>
      </c>
      <c r="M568" t="n">
        <v>0</v>
      </c>
      <c r="N568" t="n">
        <v>0</v>
      </c>
      <c r="O568" t="n">
        <v>0</v>
      </c>
      <c r="P568" t="n">
        <v>0</v>
      </c>
      <c r="Q568" t="n">
        <v>0</v>
      </c>
      <c r="R568" s="2" t="inlineStr"/>
    </row>
    <row r="569" ht="15" customHeight="1">
      <c r="A569" t="inlineStr">
        <is>
          <t>A 18551-2025</t>
        </is>
      </c>
      <c r="B569" s="1" t="n">
        <v>45763.43650462963</v>
      </c>
      <c r="C569" s="1" t="n">
        <v>45914</v>
      </c>
      <c r="D569" t="inlineStr">
        <is>
          <t>JÄMTLANDS LÄN</t>
        </is>
      </c>
      <c r="E569" t="inlineStr">
        <is>
          <t>BERG</t>
        </is>
      </c>
      <c r="G569" t="n">
        <v>3.5</v>
      </c>
      <c r="H569" t="n">
        <v>0</v>
      </c>
      <c r="I569" t="n">
        <v>0</v>
      </c>
      <c r="J569" t="n">
        <v>0</v>
      </c>
      <c r="K569" t="n">
        <v>0</v>
      </c>
      <c r="L569" t="n">
        <v>0</v>
      </c>
      <c r="M569" t="n">
        <v>0</v>
      </c>
      <c r="N569" t="n">
        <v>0</v>
      </c>
      <c r="O569" t="n">
        <v>0</v>
      </c>
      <c r="P569" t="n">
        <v>0</v>
      </c>
      <c r="Q569" t="n">
        <v>0</v>
      </c>
      <c r="R569" s="2" t="inlineStr"/>
    </row>
    <row r="570" ht="15" customHeight="1">
      <c r="A570" t="inlineStr">
        <is>
          <t>A 8711-2024</t>
        </is>
      </c>
      <c r="B570" s="1" t="n">
        <v>45356</v>
      </c>
      <c r="C570" s="1" t="n">
        <v>45914</v>
      </c>
      <c r="D570" t="inlineStr">
        <is>
          <t>JÄMTLANDS LÄN</t>
        </is>
      </c>
      <c r="E570" t="inlineStr">
        <is>
          <t>BERG</t>
        </is>
      </c>
      <c r="G570" t="n">
        <v>5.2</v>
      </c>
      <c r="H570" t="n">
        <v>0</v>
      </c>
      <c r="I570" t="n">
        <v>0</v>
      </c>
      <c r="J570" t="n">
        <v>0</v>
      </c>
      <c r="K570" t="n">
        <v>0</v>
      </c>
      <c r="L570" t="n">
        <v>0</v>
      </c>
      <c r="M570" t="n">
        <v>0</v>
      </c>
      <c r="N570" t="n">
        <v>0</v>
      </c>
      <c r="O570" t="n">
        <v>0</v>
      </c>
      <c r="P570" t="n">
        <v>0</v>
      </c>
      <c r="Q570" t="n">
        <v>0</v>
      </c>
      <c r="R570" s="2" t="inlineStr"/>
    </row>
    <row r="571" ht="15" customHeight="1">
      <c r="A571" t="inlineStr">
        <is>
          <t>A 15624-2023</t>
        </is>
      </c>
      <c r="B571" s="1" t="n">
        <v>45020.94496527778</v>
      </c>
      <c r="C571" s="1" t="n">
        <v>45914</v>
      </c>
      <c r="D571" t="inlineStr">
        <is>
          <t>JÄMTLANDS LÄN</t>
        </is>
      </c>
      <c r="E571" t="inlineStr">
        <is>
          <t>BERG</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35636-2023</t>
        </is>
      </c>
      <c r="B572" s="1" t="n">
        <v>45147</v>
      </c>
      <c r="C572" s="1" t="n">
        <v>45914</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16491-2023</t>
        </is>
      </c>
      <c r="B573" s="1" t="n">
        <v>45027</v>
      </c>
      <c r="C573" s="1" t="n">
        <v>45914</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8239-2024</t>
        </is>
      </c>
      <c r="B574" s="1" t="n">
        <v>45351</v>
      </c>
      <c r="C574" s="1" t="n">
        <v>45914</v>
      </c>
      <c r="D574" t="inlineStr">
        <is>
          <t>JÄMTLANDS LÄN</t>
        </is>
      </c>
      <c r="E574" t="inlineStr">
        <is>
          <t>BERG</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64247-2023</t>
        </is>
      </c>
      <c r="B575" s="1" t="n">
        <v>45279.92739583334</v>
      </c>
      <c r="C575" s="1" t="n">
        <v>45914</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45914</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28403-2025</t>
        </is>
      </c>
      <c r="B577" s="1" t="n">
        <v>45819</v>
      </c>
      <c r="C577" s="1" t="n">
        <v>45914</v>
      </c>
      <c r="D577" t="inlineStr">
        <is>
          <t>JÄMTLANDS LÄN</t>
        </is>
      </c>
      <c r="E577" t="inlineStr">
        <is>
          <t>BERG</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27395-2021</t>
        </is>
      </c>
      <c r="B578" s="1" t="n">
        <v>44350</v>
      </c>
      <c r="C578" s="1" t="n">
        <v>45914</v>
      </c>
      <c r="D578" t="inlineStr">
        <is>
          <t>JÄMTLANDS LÄN</t>
        </is>
      </c>
      <c r="E578" t="inlineStr">
        <is>
          <t>BERG</t>
        </is>
      </c>
      <c r="G578" t="n">
        <v>4.4</v>
      </c>
      <c r="H578" t="n">
        <v>0</v>
      </c>
      <c r="I578" t="n">
        <v>0</v>
      </c>
      <c r="J578" t="n">
        <v>0</v>
      </c>
      <c r="K578" t="n">
        <v>0</v>
      </c>
      <c r="L578" t="n">
        <v>0</v>
      </c>
      <c r="M578" t="n">
        <v>0</v>
      </c>
      <c r="N578" t="n">
        <v>0</v>
      </c>
      <c r="O578" t="n">
        <v>0</v>
      </c>
      <c r="P578" t="n">
        <v>0</v>
      </c>
      <c r="Q578" t="n">
        <v>0</v>
      </c>
      <c r="R578" s="2" t="inlineStr"/>
    </row>
    <row r="579" ht="15" customHeight="1">
      <c r="A579" t="inlineStr">
        <is>
          <t>A 32248-2024</t>
        </is>
      </c>
      <c r="B579" s="1" t="n">
        <v>45511.95144675926</v>
      </c>
      <c r="C579" s="1" t="n">
        <v>45914</v>
      </c>
      <c r="D579" t="inlineStr">
        <is>
          <t>JÄMTLANDS LÄN</t>
        </is>
      </c>
      <c r="E579" t="inlineStr">
        <is>
          <t>BERG</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8733-2025</t>
        </is>
      </c>
      <c r="B580" s="1" t="n">
        <v>45712.53197916667</v>
      </c>
      <c r="C580" s="1" t="n">
        <v>45914</v>
      </c>
      <c r="D580" t="inlineStr">
        <is>
          <t>JÄMTLANDS LÄN</t>
        </is>
      </c>
      <c r="E580" t="inlineStr">
        <is>
          <t>BERG</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32713-2025</t>
        </is>
      </c>
      <c r="B581" s="1" t="n">
        <v>45839.36935185185</v>
      </c>
      <c r="C581" s="1" t="n">
        <v>45914</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23877-2024</t>
        </is>
      </c>
      <c r="B582" s="1" t="n">
        <v>45455.63024305556</v>
      </c>
      <c r="C582" s="1" t="n">
        <v>45914</v>
      </c>
      <c r="D582" t="inlineStr">
        <is>
          <t>JÄMTLANDS LÄN</t>
        </is>
      </c>
      <c r="E582" t="inlineStr">
        <is>
          <t>BERG</t>
        </is>
      </c>
      <c r="G582" t="n">
        <v>2</v>
      </c>
      <c r="H582" t="n">
        <v>0</v>
      </c>
      <c r="I582" t="n">
        <v>0</v>
      </c>
      <c r="J582" t="n">
        <v>0</v>
      </c>
      <c r="K582" t="n">
        <v>0</v>
      </c>
      <c r="L582" t="n">
        <v>0</v>
      </c>
      <c r="M582" t="n">
        <v>0</v>
      </c>
      <c r="N582" t="n">
        <v>0</v>
      </c>
      <c r="O582" t="n">
        <v>0</v>
      </c>
      <c r="P582" t="n">
        <v>0</v>
      </c>
      <c r="Q582" t="n">
        <v>0</v>
      </c>
      <c r="R582" s="2" t="inlineStr"/>
    </row>
    <row r="583" ht="15" customHeight="1">
      <c r="A583" t="inlineStr">
        <is>
          <t>A 23880-2024</t>
        </is>
      </c>
      <c r="B583" s="1" t="n">
        <v>45455.63731481481</v>
      </c>
      <c r="C583" s="1" t="n">
        <v>45914</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17056-2025</t>
        </is>
      </c>
      <c r="B584" s="1" t="n">
        <v>45755.60469907407</v>
      </c>
      <c r="C584" s="1" t="n">
        <v>45914</v>
      </c>
      <c r="D584" t="inlineStr">
        <is>
          <t>JÄMTLANDS LÄN</t>
        </is>
      </c>
      <c r="E584" t="inlineStr">
        <is>
          <t>BERG</t>
        </is>
      </c>
      <c r="G584" t="n">
        <v>13.9</v>
      </c>
      <c r="H584" t="n">
        <v>0</v>
      </c>
      <c r="I584" t="n">
        <v>0</v>
      </c>
      <c r="J584" t="n">
        <v>0</v>
      </c>
      <c r="K584" t="n">
        <v>0</v>
      </c>
      <c r="L584" t="n">
        <v>0</v>
      </c>
      <c r="M584" t="n">
        <v>0</v>
      </c>
      <c r="N584" t="n">
        <v>0</v>
      </c>
      <c r="O584" t="n">
        <v>0</v>
      </c>
      <c r="P584" t="n">
        <v>0</v>
      </c>
      <c r="Q584" t="n">
        <v>0</v>
      </c>
      <c r="R584" s="2" t="inlineStr"/>
    </row>
    <row r="585" ht="15" customHeight="1">
      <c r="A585" t="inlineStr">
        <is>
          <t>A 13540-2024</t>
        </is>
      </c>
      <c r="B585" s="1" t="n">
        <v>45387.92591435185</v>
      </c>
      <c r="C585" s="1" t="n">
        <v>45914</v>
      </c>
      <c r="D585" t="inlineStr">
        <is>
          <t>JÄMTLANDS LÄN</t>
        </is>
      </c>
      <c r="E585" t="inlineStr">
        <is>
          <t>BERG</t>
        </is>
      </c>
      <c r="G585" t="n">
        <v>2.2</v>
      </c>
      <c r="H585" t="n">
        <v>0</v>
      </c>
      <c r="I585" t="n">
        <v>0</v>
      </c>
      <c r="J585" t="n">
        <v>0</v>
      </c>
      <c r="K585" t="n">
        <v>0</v>
      </c>
      <c r="L585" t="n">
        <v>0</v>
      </c>
      <c r="M585" t="n">
        <v>0</v>
      </c>
      <c r="N585" t="n">
        <v>0</v>
      </c>
      <c r="O585" t="n">
        <v>0</v>
      </c>
      <c r="P585" t="n">
        <v>0</v>
      </c>
      <c r="Q585" t="n">
        <v>0</v>
      </c>
      <c r="R585" s="2" t="inlineStr"/>
    </row>
    <row r="586" ht="15" customHeight="1">
      <c r="A586" t="inlineStr">
        <is>
          <t>A 62555-2023</t>
        </is>
      </c>
      <c r="B586" s="1" t="n">
        <v>45268.9262962963</v>
      </c>
      <c r="C586" s="1" t="n">
        <v>45914</v>
      </c>
      <c r="D586" t="inlineStr">
        <is>
          <t>JÄMTLANDS LÄN</t>
        </is>
      </c>
      <c r="E586" t="inlineStr">
        <is>
          <t>BERG</t>
        </is>
      </c>
      <c r="G586" t="n">
        <v>5</v>
      </c>
      <c r="H586" t="n">
        <v>0</v>
      </c>
      <c r="I586" t="n">
        <v>0</v>
      </c>
      <c r="J586" t="n">
        <v>0</v>
      </c>
      <c r="K586" t="n">
        <v>0</v>
      </c>
      <c r="L586" t="n">
        <v>0</v>
      </c>
      <c r="M586" t="n">
        <v>0</v>
      </c>
      <c r="N586" t="n">
        <v>0</v>
      </c>
      <c r="O586" t="n">
        <v>0</v>
      </c>
      <c r="P586" t="n">
        <v>0</v>
      </c>
      <c r="Q586" t="n">
        <v>0</v>
      </c>
      <c r="R586" s="2" t="inlineStr"/>
    </row>
    <row r="587" ht="15" customHeight="1">
      <c r="A587" t="inlineStr">
        <is>
          <t>A 36-2024</t>
        </is>
      </c>
      <c r="B587" s="1" t="n">
        <v>45293</v>
      </c>
      <c r="C587" s="1" t="n">
        <v>45914</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31079-2024</t>
        </is>
      </c>
      <c r="B588" s="1" t="n">
        <v>45502.46423611111</v>
      </c>
      <c r="C588" s="1" t="n">
        <v>45914</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16002-2025</t>
        </is>
      </c>
      <c r="B589" s="1" t="n">
        <v>45749.59398148148</v>
      </c>
      <c r="C589" s="1" t="n">
        <v>45914</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15785-2021</t>
        </is>
      </c>
      <c r="B590" s="1" t="n">
        <v>44286.58679398148</v>
      </c>
      <c r="C590" s="1" t="n">
        <v>45914</v>
      </c>
      <c r="D590" t="inlineStr">
        <is>
          <t>JÄMTLANDS LÄN</t>
        </is>
      </c>
      <c r="E590" t="inlineStr">
        <is>
          <t>BERG</t>
        </is>
      </c>
      <c r="G590" t="n">
        <v>3.2</v>
      </c>
      <c r="H590" t="n">
        <v>0</v>
      </c>
      <c r="I590" t="n">
        <v>0</v>
      </c>
      <c r="J590" t="n">
        <v>0</v>
      </c>
      <c r="K590" t="n">
        <v>0</v>
      </c>
      <c r="L590" t="n">
        <v>0</v>
      </c>
      <c r="M590" t="n">
        <v>0</v>
      </c>
      <c r="N590" t="n">
        <v>0</v>
      </c>
      <c r="O590" t="n">
        <v>0</v>
      </c>
      <c r="P590" t="n">
        <v>0</v>
      </c>
      <c r="Q590" t="n">
        <v>0</v>
      </c>
      <c r="R590" s="2" t="inlineStr"/>
    </row>
    <row r="591" ht="15" customHeight="1">
      <c r="A591" t="inlineStr">
        <is>
          <t>A 12254-2025</t>
        </is>
      </c>
      <c r="B591" s="1" t="n">
        <v>45729</v>
      </c>
      <c r="C591" s="1" t="n">
        <v>45914</v>
      </c>
      <c r="D591" t="inlineStr">
        <is>
          <t>JÄMTLANDS LÄN</t>
        </is>
      </c>
      <c r="E591" t="inlineStr">
        <is>
          <t>BERG</t>
        </is>
      </c>
      <c r="G591" t="n">
        <v>26.3</v>
      </c>
      <c r="H591" t="n">
        <v>0</v>
      </c>
      <c r="I591" t="n">
        <v>0</v>
      </c>
      <c r="J591" t="n">
        <v>0</v>
      </c>
      <c r="K591" t="n">
        <v>0</v>
      </c>
      <c r="L591" t="n">
        <v>0</v>
      </c>
      <c r="M591" t="n">
        <v>0</v>
      </c>
      <c r="N591" t="n">
        <v>0</v>
      </c>
      <c r="O591" t="n">
        <v>0</v>
      </c>
      <c r="P591" t="n">
        <v>0</v>
      </c>
      <c r="Q591" t="n">
        <v>0</v>
      </c>
      <c r="R591" s="2" t="inlineStr"/>
    </row>
    <row r="592" ht="15" customHeight="1">
      <c r="A592" t="inlineStr">
        <is>
          <t>A 61652-2024</t>
        </is>
      </c>
      <c r="B592" s="1" t="n">
        <v>45646.72293981481</v>
      </c>
      <c r="C592" s="1" t="n">
        <v>45914</v>
      </c>
      <c r="D592" t="inlineStr">
        <is>
          <t>JÄMTLANDS LÄN</t>
        </is>
      </c>
      <c r="E592" t="inlineStr">
        <is>
          <t>BERG</t>
        </is>
      </c>
      <c r="G592" t="n">
        <v>6.4</v>
      </c>
      <c r="H592" t="n">
        <v>0</v>
      </c>
      <c r="I592" t="n">
        <v>0</v>
      </c>
      <c r="J592" t="n">
        <v>0</v>
      </c>
      <c r="K592" t="n">
        <v>0</v>
      </c>
      <c r="L592" t="n">
        <v>0</v>
      </c>
      <c r="M592" t="n">
        <v>0</v>
      </c>
      <c r="N592" t="n">
        <v>0</v>
      </c>
      <c r="O592" t="n">
        <v>0</v>
      </c>
      <c r="P592" t="n">
        <v>0</v>
      </c>
      <c r="Q592" t="n">
        <v>0</v>
      </c>
      <c r="R592" s="2" t="inlineStr"/>
    </row>
    <row r="593" ht="15" customHeight="1">
      <c r="A593" t="inlineStr">
        <is>
          <t>A 49413-2024</t>
        </is>
      </c>
      <c r="B593" s="1" t="n">
        <v>45595.69810185185</v>
      </c>
      <c r="C593" s="1" t="n">
        <v>45914</v>
      </c>
      <c r="D593" t="inlineStr">
        <is>
          <t>JÄMTLANDS LÄN</t>
        </is>
      </c>
      <c r="E593" t="inlineStr">
        <is>
          <t>BERG</t>
        </is>
      </c>
      <c r="G593" t="n">
        <v>12.6</v>
      </c>
      <c r="H593" t="n">
        <v>0</v>
      </c>
      <c r="I593" t="n">
        <v>0</v>
      </c>
      <c r="J593" t="n">
        <v>0</v>
      </c>
      <c r="K593" t="n">
        <v>0</v>
      </c>
      <c r="L593" t="n">
        <v>0</v>
      </c>
      <c r="M593" t="n">
        <v>0</v>
      </c>
      <c r="N593" t="n">
        <v>0</v>
      </c>
      <c r="O593" t="n">
        <v>0</v>
      </c>
      <c r="P593" t="n">
        <v>0</v>
      </c>
      <c r="Q593" t="n">
        <v>0</v>
      </c>
      <c r="R593" s="2" t="inlineStr"/>
    </row>
    <row r="594" ht="15" customHeight="1">
      <c r="A594" t="inlineStr">
        <is>
          <t>A 14226-2021</t>
        </is>
      </c>
      <c r="B594" s="1" t="n">
        <v>44277</v>
      </c>
      <c r="C594" s="1" t="n">
        <v>45914</v>
      </c>
      <c r="D594" t="inlineStr">
        <is>
          <t>JÄMTLANDS LÄN</t>
        </is>
      </c>
      <c r="E594" t="inlineStr">
        <is>
          <t>BERG</t>
        </is>
      </c>
      <c r="G594" t="n">
        <v>23.7</v>
      </c>
      <c r="H594" t="n">
        <v>0</v>
      </c>
      <c r="I594" t="n">
        <v>0</v>
      </c>
      <c r="J594" t="n">
        <v>0</v>
      </c>
      <c r="K594" t="n">
        <v>0</v>
      </c>
      <c r="L594" t="n">
        <v>0</v>
      </c>
      <c r="M594" t="n">
        <v>0</v>
      </c>
      <c r="N594" t="n">
        <v>0</v>
      </c>
      <c r="O594" t="n">
        <v>0</v>
      </c>
      <c r="P594" t="n">
        <v>0</v>
      </c>
      <c r="Q594" t="n">
        <v>0</v>
      </c>
      <c r="R594" s="2" t="inlineStr"/>
    </row>
    <row r="595" ht="15" customHeight="1">
      <c r="A595" t="inlineStr">
        <is>
          <t>A 21679-2023</t>
        </is>
      </c>
      <c r="B595" s="1" t="n">
        <v>45063.94199074074</v>
      </c>
      <c r="C595" s="1" t="n">
        <v>45914</v>
      </c>
      <c r="D595" t="inlineStr">
        <is>
          <t>JÄMTLANDS LÄN</t>
        </is>
      </c>
      <c r="E595" t="inlineStr">
        <is>
          <t>BERG</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33753-2025</t>
        </is>
      </c>
      <c r="B596" s="1" t="n">
        <v>45842.37199074074</v>
      </c>
      <c r="C596" s="1" t="n">
        <v>45914</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41105-2023</t>
        </is>
      </c>
      <c r="B597" s="1" t="n">
        <v>45170</v>
      </c>
      <c r="C597" s="1" t="n">
        <v>45914</v>
      </c>
      <c r="D597" t="inlineStr">
        <is>
          <t>JÄMTLANDS LÄN</t>
        </is>
      </c>
      <c r="E597" t="inlineStr">
        <is>
          <t>BERG</t>
        </is>
      </c>
      <c r="G597" t="n">
        <v>0.9</v>
      </c>
      <c r="H597" t="n">
        <v>0</v>
      </c>
      <c r="I597" t="n">
        <v>0</v>
      </c>
      <c r="J597" t="n">
        <v>0</v>
      </c>
      <c r="K597" t="n">
        <v>0</v>
      </c>
      <c r="L597" t="n">
        <v>0</v>
      </c>
      <c r="M597" t="n">
        <v>0</v>
      </c>
      <c r="N597" t="n">
        <v>0</v>
      </c>
      <c r="O597" t="n">
        <v>0</v>
      </c>
      <c r="P597" t="n">
        <v>0</v>
      </c>
      <c r="Q597" t="n">
        <v>0</v>
      </c>
      <c r="R597" s="2" t="inlineStr"/>
    </row>
    <row r="598" ht="15" customHeight="1">
      <c r="A598" t="inlineStr">
        <is>
          <t>A 43403-2023</t>
        </is>
      </c>
      <c r="B598" s="1" t="n">
        <v>45183</v>
      </c>
      <c r="C598" s="1" t="n">
        <v>45914</v>
      </c>
      <c r="D598" t="inlineStr">
        <is>
          <t>JÄMTLANDS LÄN</t>
        </is>
      </c>
      <c r="E598" t="inlineStr">
        <is>
          <t>BERG</t>
        </is>
      </c>
      <c r="F598" t="inlineStr">
        <is>
          <t>SCA</t>
        </is>
      </c>
      <c r="G598" t="n">
        <v>0.1</v>
      </c>
      <c r="H598" t="n">
        <v>0</v>
      </c>
      <c r="I598" t="n">
        <v>0</v>
      </c>
      <c r="J598" t="n">
        <v>0</v>
      </c>
      <c r="K598" t="n">
        <v>0</v>
      </c>
      <c r="L598" t="n">
        <v>0</v>
      </c>
      <c r="M598" t="n">
        <v>0</v>
      </c>
      <c r="N598" t="n">
        <v>0</v>
      </c>
      <c r="O598" t="n">
        <v>0</v>
      </c>
      <c r="P598" t="n">
        <v>0</v>
      </c>
      <c r="Q598" t="n">
        <v>0</v>
      </c>
      <c r="R598" s="2" t="inlineStr"/>
    </row>
    <row r="599" ht="15" customHeight="1">
      <c r="A599" t="inlineStr">
        <is>
          <t>A 6982-2025</t>
        </is>
      </c>
      <c r="B599" s="1" t="n">
        <v>45701.55769675926</v>
      </c>
      <c r="C599" s="1" t="n">
        <v>45914</v>
      </c>
      <c r="D599" t="inlineStr">
        <is>
          <t>JÄMTLANDS LÄN</t>
        </is>
      </c>
      <c r="E599" t="inlineStr">
        <is>
          <t>BERG</t>
        </is>
      </c>
      <c r="G599" t="n">
        <v>6.8</v>
      </c>
      <c r="H599" t="n">
        <v>0</v>
      </c>
      <c r="I599" t="n">
        <v>0</v>
      </c>
      <c r="J599" t="n">
        <v>0</v>
      </c>
      <c r="K599" t="n">
        <v>0</v>
      </c>
      <c r="L599" t="n">
        <v>0</v>
      </c>
      <c r="M599" t="n">
        <v>0</v>
      </c>
      <c r="N599" t="n">
        <v>0</v>
      </c>
      <c r="O599" t="n">
        <v>0</v>
      </c>
      <c r="P599" t="n">
        <v>0</v>
      </c>
      <c r="Q599" t="n">
        <v>0</v>
      </c>
      <c r="R599" s="2" t="inlineStr"/>
    </row>
    <row r="600" ht="15" customHeight="1">
      <c r="A600" t="inlineStr">
        <is>
          <t>A 53950-2020</t>
        </is>
      </c>
      <c r="B600" s="1" t="n">
        <v>44123</v>
      </c>
      <c r="C600" s="1" t="n">
        <v>45914</v>
      </c>
      <c r="D600" t="inlineStr">
        <is>
          <t>JÄMTLANDS LÄN</t>
        </is>
      </c>
      <c r="E600" t="inlineStr">
        <is>
          <t>BERG</t>
        </is>
      </c>
      <c r="G600" t="n">
        <v>11.8</v>
      </c>
      <c r="H600" t="n">
        <v>0</v>
      </c>
      <c r="I600" t="n">
        <v>0</v>
      </c>
      <c r="J600" t="n">
        <v>0</v>
      </c>
      <c r="K600" t="n">
        <v>0</v>
      </c>
      <c r="L600" t="n">
        <v>0</v>
      </c>
      <c r="M600" t="n">
        <v>0</v>
      </c>
      <c r="N600" t="n">
        <v>0</v>
      </c>
      <c r="O600" t="n">
        <v>0</v>
      </c>
      <c r="P600" t="n">
        <v>0</v>
      </c>
      <c r="Q600" t="n">
        <v>0</v>
      </c>
      <c r="R600" s="2" t="inlineStr"/>
    </row>
    <row r="601" ht="15" customHeight="1">
      <c r="A601" t="inlineStr">
        <is>
          <t>A 433-2023</t>
        </is>
      </c>
      <c r="B601" s="1" t="n">
        <v>44923</v>
      </c>
      <c r="C601" s="1" t="n">
        <v>45914</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33748-2025</t>
        </is>
      </c>
      <c r="B602" s="1" t="n">
        <v>45842.35685185185</v>
      </c>
      <c r="C602" s="1" t="n">
        <v>45914</v>
      </c>
      <c r="D602" t="inlineStr">
        <is>
          <t>JÄMTLANDS LÄN</t>
        </is>
      </c>
      <c r="E602" t="inlineStr">
        <is>
          <t>BERG</t>
        </is>
      </c>
      <c r="G602" t="n">
        <v>2.1</v>
      </c>
      <c r="H602" t="n">
        <v>0</v>
      </c>
      <c r="I602" t="n">
        <v>0</v>
      </c>
      <c r="J602" t="n">
        <v>0</v>
      </c>
      <c r="K602" t="n">
        <v>0</v>
      </c>
      <c r="L602" t="n">
        <v>0</v>
      </c>
      <c r="M602" t="n">
        <v>0</v>
      </c>
      <c r="N602" t="n">
        <v>0</v>
      </c>
      <c r="O602" t="n">
        <v>0</v>
      </c>
      <c r="P602" t="n">
        <v>0</v>
      </c>
      <c r="Q602" t="n">
        <v>0</v>
      </c>
      <c r="R602" s="2" t="inlineStr"/>
    </row>
    <row r="603" ht="15" customHeight="1">
      <c r="A603" t="inlineStr">
        <is>
          <t>A 61980-2024</t>
        </is>
      </c>
      <c r="B603" s="1" t="n">
        <v>45653.66269675926</v>
      </c>
      <c r="C603" s="1" t="n">
        <v>45914</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8191-2025</t>
        </is>
      </c>
      <c r="B604" s="1" t="n">
        <v>45708.40821759259</v>
      </c>
      <c r="C604" s="1" t="n">
        <v>45914</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38388-2025</t>
        </is>
      </c>
      <c r="B605" s="1" t="n">
        <v>45883.57467592593</v>
      </c>
      <c r="C605" s="1" t="n">
        <v>45914</v>
      </c>
      <c r="D605" t="inlineStr">
        <is>
          <t>JÄMTLANDS LÄN</t>
        </is>
      </c>
      <c r="E605" t="inlineStr">
        <is>
          <t>BERG</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56490-2024</t>
        </is>
      </c>
      <c r="B606" s="1" t="n">
        <v>45625.48765046296</v>
      </c>
      <c r="C606" s="1" t="n">
        <v>45914</v>
      </c>
      <c r="D606" t="inlineStr">
        <is>
          <t>JÄMTLANDS LÄN</t>
        </is>
      </c>
      <c r="E606" t="inlineStr">
        <is>
          <t>BERG</t>
        </is>
      </c>
      <c r="G606" t="n">
        <v>5.9</v>
      </c>
      <c r="H606" t="n">
        <v>0</v>
      </c>
      <c r="I606" t="n">
        <v>0</v>
      </c>
      <c r="J606" t="n">
        <v>0</v>
      </c>
      <c r="K606" t="n">
        <v>0</v>
      </c>
      <c r="L606" t="n">
        <v>0</v>
      </c>
      <c r="M606" t="n">
        <v>0</v>
      </c>
      <c r="N606" t="n">
        <v>0</v>
      </c>
      <c r="O606" t="n">
        <v>0</v>
      </c>
      <c r="P606" t="n">
        <v>0</v>
      </c>
      <c r="Q606" t="n">
        <v>0</v>
      </c>
      <c r="R606" s="2" t="inlineStr"/>
    </row>
    <row r="607" ht="15" customHeight="1">
      <c r="A607" t="inlineStr">
        <is>
          <t>A 24011-2023</t>
        </is>
      </c>
      <c r="B607" s="1" t="n">
        <v>45078</v>
      </c>
      <c r="C607" s="1" t="n">
        <v>45914</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15013-2025</t>
        </is>
      </c>
      <c r="B608" s="1" t="n">
        <v>45743.62734953704</v>
      </c>
      <c r="C608" s="1" t="n">
        <v>45914</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3419-2025</t>
        </is>
      </c>
      <c r="B609" s="1" t="n">
        <v>45680.4165625</v>
      </c>
      <c r="C609" s="1" t="n">
        <v>45914</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41927-2023</t>
        </is>
      </c>
      <c r="B610" s="1" t="n">
        <v>45176</v>
      </c>
      <c r="C610" s="1" t="n">
        <v>45914</v>
      </c>
      <c r="D610" t="inlineStr">
        <is>
          <t>JÄMTLANDS LÄN</t>
        </is>
      </c>
      <c r="E610" t="inlineStr">
        <is>
          <t>BERG</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5187-2025</t>
        </is>
      </c>
      <c r="B611" s="1" t="n">
        <v>45691.64266203704</v>
      </c>
      <c r="C611" s="1" t="n">
        <v>45914</v>
      </c>
      <c r="D611" t="inlineStr">
        <is>
          <t>JÄMTLANDS LÄN</t>
        </is>
      </c>
      <c r="E611" t="inlineStr">
        <is>
          <t>BERG</t>
        </is>
      </c>
      <c r="G611" t="n">
        <v>2.5</v>
      </c>
      <c r="H611" t="n">
        <v>0</v>
      </c>
      <c r="I611" t="n">
        <v>0</v>
      </c>
      <c r="J611" t="n">
        <v>0</v>
      </c>
      <c r="K611" t="n">
        <v>0</v>
      </c>
      <c r="L611" t="n">
        <v>0</v>
      </c>
      <c r="M611" t="n">
        <v>0</v>
      </c>
      <c r="N611" t="n">
        <v>0</v>
      </c>
      <c r="O611" t="n">
        <v>0</v>
      </c>
      <c r="P611" t="n">
        <v>0</v>
      </c>
      <c r="Q611" t="n">
        <v>0</v>
      </c>
      <c r="R611" s="2" t="inlineStr"/>
    </row>
    <row r="612" ht="15" customHeight="1">
      <c r="A612" t="inlineStr">
        <is>
          <t>A 19891-2025</t>
        </is>
      </c>
      <c r="B612" s="1" t="n">
        <v>45771.5743287037</v>
      </c>
      <c r="C612" s="1" t="n">
        <v>45914</v>
      </c>
      <c r="D612" t="inlineStr">
        <is>
          <t>JÄMTLANDS LÄN</t>
        </is>
      </c>
      <c r="E612" t="inlineStr">
        <is>
          <t>BERG</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46268-2023</t>
        </is>
      </c>
      <c r="B613" s="1" t="n">
        <v>45196</v>
      </c>
      <c r="C613" s="1" t="n">
        <v>45914</v>
      </c>
      <c r="D613" t="inlineStr">
        <is>
          <t>JÄMTLANDS LÄN</t>
        </is>
      </c>
      <c r="E613" t="inlineStr">
        <is>
          <t>BERG</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14820-2025</t>
        </is>
      </c>
      <c r="B614" s="1" t="n">
        <v>45743.35984953704</v>
      </c>
      <c r="C614" s="1" t="n">
        <v>45914</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32465-2024</t>
        </is>
      </c>
      <c r="B615" s="1" t="n">
        <v>45512.96096064815</v>
      </c>
      <c r="C615" s="1" t="n">
        <v>45914</v>
      </c>
      <c r="D615" t="inlineStr">
        <is>
          <t>JÄMTLANDS LÄN</t>
        </is>
      </c>
      <c r="E615" t="inlineStr">
        <is>
          <t>BERG</t>
        </is>
      </c>
      <c r="G615" t="n">
        <v>6.7</v>
      </c>
      <c r="H615" t="n">
        <v>0</v>
      </c>
      <c r="I615" t="n">
        <v>0</v>
      </c>
      <c r="J615" t="n">
        <v>0</v>
      </c>
      <c r="K615" t="n">
        <v>0</v>
      </c>
      <c r="L615" t="n">
        <v>0</v>
      </c>
      <c r="M615" t="n">
        <v>0</v>
      </c>
      <c r="N615" t="n">
        <v>0</v>
      </c>
      <c r="O615" t="n">
        <v>0</v>
      </c>
      <c r="P615" t="n">
        <v>0</v>
      </c>
      <c r="Q615" t="n">
        <v>0</v>
      </c>
      <c r="R615" s="2" t="inlineStr"/>
    </row>
    <row r="616" ht="15" customHeight="1">
      <c r="A616" t="inlineStr">
        <is>
          <t>A 49555-2023</t>
        </is>
      </c>
      <c r="B616" s="1" t="n">
        <v>45205</v>
      </c>
      <c r="C616" s="1" t="n">
        <v>45914</v>
      </c>
      <c r="D616" t="inlineStr">
        <is>
          <t>JÄMTLANDS LÄN</t>
        </is>
      </c>
      <c r="E616" t="inlineStr">
        <is>
          <t>BERG</t>
        </is>
      </c>
      <c r="G616" t="n">
        <v>0.6</v>
      </c>
      <c r="H616" t="n">
        <v>0</v>
      </c>
      <c r="I616" t="n">
        <v>0</v>
      </c>
      <c r="J616" t="n">
        <v>0</v>
      </c>
      <c r="K616" t="n">
        <v>0</v>
      </c>
      <c r="L616" t="n">
        <v>0</v>
      </c>
      <c r="M616" t="n">
        <v>0</v>
      </c>
      <c r="N616" t="n">
        <v>0</v>
      </c>
      <c r="O616" t="n">
        <v>0</v>
      </c>
      <c r="P616" t="n">
        <v>0</v>
      </c>
      <c r="Q616" t="n">
        <v>0</v>
      </c>
      <c r="R616" s="2" t="inlineStr"/>
    </row>
    <row r="617" ht="15" customHeight="1">
      <c r="A617" t="inlineStr">
        <is>
          <t>A 1499-2025</t>
        </is>
      </c>
      <c r="B617" s="1" t="n">
        <v>45670.41112268518</v>
      </c>
      <c r="C617" s="1" t="n">
        <v>45914</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53886-2020</t>
        </is>
      </c>
      <c r="B618" s="1" t="n">
        <v>44123</v>
      </c>
      <c r="C618" s="1" t="n">
        <v>45914</v>
      </c>
      <c r="D618" t="inlineStr">
        <is>
          <t>JÄMTLANDS LÄN</t>
        </is>
      </c>
      <c r="E618" t="inlineStr">
        <is>
          <t>BERG</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50169-2023</t>
        </is>
      </c>
      <c r="B619" s="1" t="n">
        <v>45208</v>
      </c>
      <c r="C619" s="1" t="n">
        <v>45914</v>
      </c>
      <c r="D619" t="inlineStr">
        <is>
          <t>JÄMTLANDS LÄN</t>
        </is>
      </c>
      <c r="E619" t="inlineStr">
        <is>
          <t>BERG</t>
        </is>
      </c>
      <c r="G619" t="n">
        <v>3.9</v>
      </c>
      <c r="H619" t="n">
        <v>0</v>
      </c>
      <c r="I619" t="n">
        <v>0</v>
      </c>
      <c r="J619" t="n">
        <v>0</v>
      </c>
      <c r="K619" t="n">
        <v>0</v>
      </c>
      <c r="L619" t="n">
        <v>0</v>
      </c>
      <c r="M619" t="n">
        <v>0</v>
      </c>
      <c r="N619" t="n">
        <v>0</v>
      </c>
      <c r="O619" t="n">
        <v>0</v>
      </c>
      <c r="P619" t="n">
        <v>0</v>
      </c>
      <c r="Q619" t="n">
        <v>0</v>
      </c>
      <c r="R619" s="2" t="inlineStr"/>
    </row>
    <row r="620" ht="15" customHeight="1">
      <c r="A620" t="inlineStr">
        <is>
          <t>A 38408-2025</t>
        </is>
      </c>
      <c r="B620" s="1" t="n">
        <v>45883.59412037037</v>
      </c>
      <c r="C620" s="1" t="n">
        <v>45914</v>
      </c>
      <c r="D620" t="inlineStr">
        <is>
          <t>JÄMTLANDS LÄN</t>
        </is>
      </c>
      <c r="E620" t="inlineStr">
        <is>
          <t>BERG</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38428-2025</t>
        </is>
      </c>
      <c r="B621" s="1" t="n">
        <v>45883.63628472222</v>
      </c>
      <c r="C621" s="1" t="n">
        <v>45914</v>
      </c>
      <c r="D621" t="inlineStr">
        <is>
          <t>JÄMTLANDS LÄN</t>
        </is>
      </c>
      <c r="E621" t="inlineStr">
        <is>
          <t>BERG</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24307-2023</t>
        </is>
      </c>
      <c r="B622" s="1" t="n">
        <v>45079.94229166667</v>
      </c>
      <c r="C622" s="1" t="n">
        <v>45914</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12392-2025</t>
        </is>
      </c>
      <c r="B623" s="1" t="n">
        <v>45730.40104166666</v>
      </c>
      <c r="C623" s="1" t="n">
        <v>45914</v>
      </c>
      <c r="D623" t="inlineStr">
        <is>
          <t>JÄMTLANDS LÄN</t>
        </is>
      </c>
      <c r="E623" t="inlineStr">
        <is>
          <t>BERG</t>
        </is>
      </c>
      <c r="G623" t="n">
        <v>5.1</v>
      </c>
      <c r="H623" t="n">
        <v>0</v>
      </c>
      <c r="I623" t="n">
        <v>0</v>
      </c>
      <c r="J623" t="n">
        <v>0</v>
      </c>
      <c r="K623" t="n">
        <v>0</v>
      </c>
      <c r="L623" t="n">
        <v>0</v>
      </c>
      <c r="M623" t="n">
        <v>0</v>
      </c>
      <c r="N623" t="n">
        <v>0</v>
      </c>
      <c r="O623" t="n">
        <v>0</v>
      </c>
      <c r="P623" t="n">
        <v>0</v>
      </c>
      <c r="Q623" t="n">
        <v>0</v>
      </c>
      <c r="R623" s="2" t="inlineStr"/>
    </row>
    <row r="624" ht="15" customHeight="1">
      <c r="A624" t="inlineStr">
        <is>
          <t>A 37093-2024</t>
        </is>
      </c>
      <c r="B624" s="1" t="n">
        <v>45539.50018518518</v>
      </c>
      <c r="C624" s="1" t="n">
        <v>45914</v>
      </c>
      <c r="D624" t="inlineStr">
        <is>
          <t>JÄMTLANDS LÄN</t>
        </is>
      </c>
      <c r="E624" t="inlineStr">
        <is>
          <t>BERG</t>
        </is>
      </c>
      <c r="F624" t="inlineStr">
        <is>
          <t>Övriga Aktiebolag</t>
        </is>
      </c>
      <c r="G624" t="n">
        <v>15.4</v>
      </c>
      <c r="H624" t="n">
        <v>0</v>
      </c>
      <c r="I624" t="n">
        <v>0</v>
      </c>
      <c r="J624" t="n">
        <v>0</v>
      </c>
      <c r="K624" t="n">
        <v>0</v>
      </c>
      <c r="L624" t="n">
        <v>0</v>
      </c>
      <c r="M624" t="n">
        <v>0</v>
      </c>
      <c r="N624" t="n">
        <v>0</v>
      </c>
      <c r="O624" t="n">
        <v>0</v>
      </c>
      <c r="P624" t="n">
        <v>0</v>
      </c>
      <c r="Q624" t="n">
        <v>0</v>
      </c>
      <c r="R624" s="2" t="inlineStr"/>
    </row>
    <row r="625" ht="15" customHeight="1">
      <c r="A625" t="inlineStr">
        <is>
          <t>A 33750-2025</t>
        </is>
      </c>
      <c r="B625" s="1" t="n">
        <v>45842.36243055556</v>
      </c>
      <c r="C625" s="1" t="n">
        <v>45914</v>
      </c>
      <c r="D625" t="inlineStr">
        <is>
          <t>JÄMTLANDS LÄN</t>
        </is>
      </c>
      <c r="E625" t="inlineStr">
        <is>
          <t>BERG</t>
        </is>
      </c>
      <c r="G625" t="n">
        <v>0.9</v>
      </c>
      <c r="H625" t="n">
        <v>0</v>
      </c>
      <c r="I625" t="n">
        <v>0</v>
      </c>
      <c r="J625" t="n">
        <v>0</v>
      </c>
      <c r="K625" t="n">
        <v>0</v>
      </c>
      <c r="L625" t="n">
        <v>0</v>
      </c>
      <c r="M625" t="n">
        <v>0</v>
      </c>
      <c r="N625" t="n">
        <v>0</v>
      </c>
      <c r="O625" t="n">
        <v>0</v>
      </c>
      <c r="P625" t="n">
        <v>0</v>
      </c>
      <c r="Q625" t="n">
        <v>0</v>
      </c>
      <c r="R625" s="2" t="inlineStr"/>
    </row>
    <row r="626" ht="15" customHeight="1">
      <c r="A626" t="inlineStr">
        <is>
          <t>A 27579-2024</t>
        </is>
      </c>
      <c r="B626" s="1" t="n">
        <v>45474.65244212963</v>
      </c>
      <c r="C626" s="1" t="n">
        <v>45914</v>
      </c>
      <c r="D626" t="inlineStr">
        <is>
          <t>JÄMTLANDS LÄN</t>
        </is>
      </c>
      <c r="E626" t="inlineStr">
        <is>
          <t>BERG</t>
        </is>
      </c>
      <c r="G626" t="n">
        <v>1.8</v>
      </c>
      <c r="H626" t="n">
        <v>0</v>
      </c>
      <c r="I626" t="n">
        <v>0</v>
      </c>
      <c r="J626" t="n">
        <v>0</v>
      </c>
      <c r="K626" t="n">
        <v>0</v>
      </c>
      <c r="L626" t="n">
        <v>0</v>
      </c>
      <c r="M626" t="n">
        <v>0</v>
      </c>
      <c r="N626" t="n">
        <v>0</v>
      </c>
      <c r="O626" t="n">
        <v>0</v>
      </c>
      <c r="P626" t="n">
        <v>0</v>
      </c>
      <c r="Q626" t="n">
        <v>0</v>
      </c>
      <c r="R626" s="2" t="inlineStr"/>
    </row>
    <row r="627" ht="15" customHeight="1">
      <c r="A627" t="inlineStr">
        <is>
          <t>A 17748-2024</t>
        </is>
      </c>
      <c r="B627" s="1" t="n">
        <v>45418</v>
      </c>
      <c r="C627" s="1" t="n">
        <v>45914</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47626-2023</t>
        </is>
      </c>
      <c r="B628" s="1" t="n">
        <v>45203</v>
      </c>
      <c r="C628" s="1" t="n">
        <v>45914</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19258-2025</t>
        </is>
      </c>
      <c r="B629" s="1" t="n">
        <v>45769.49987268518</v>
      </c>
      <c r="C629" s="1" t="n">
        <v>45914</v>
      </c>
      <c r="D629" t="inlineStr">
        <is>
          <t>JÄMTLANDS LÄN</t>
        </is>
      </c>
      <c r="E629" t="inlineStr">
        <is>
          <t>BERG</t>
        </is>
      </c>
      <c r="G629" t="n">
        <v>10.9</v>
      </c>
      <c r="H629" t="n">
        <v>0</v>
      </c>
      <c r="I629" t="n">
        <v>0</v>
      </c>
      <c r="J629" t="n">
        <v>0</v>
      </c>
      <c r="K629" t="n">
        <v>0</v>
      </c>
      <c r="L629" t="n">
        <v>0</v>
      </c>
      <c r="M629" t="n">
        <v>0</v>
      </c>
      <c r="N629" t="n">
        <v>0</v>
      </c>
      <c r="O629" t="n">
        <v>0</v>
      </c>
      <c r="P629" t="n">
        <v>0</v>
      </c>
      <c r="Q629" t="n">
        <v>0</v>
      </c>
      <c r="R629" s="2" t="inlineStr"/>
    </row>
    <row r="630" ht="15" customHeight="1">
      <c r="A630" t="inlineStr">
        <is>
          <t>A 8251-2023</t>
        </is>
      </c>
      <c r="B630" s="1" t="n">
        <v>44974</v>
      </c>
      <c r="C630" s="1" t="n">
        <v>45914</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57905-2024</t>
        </is>
      </c>
      <c r="B631" s="1" t="n">
        <v>45631.48989583334</v>
      </c>
      <c r="C631" s="1" t="n">
        <v>45914</v>
      </c>
      <c r="D631" t="inlineStr">
        <is>
          <t>JÄMTLANDS LÄN</t>
        </is>
      </c>
      <c r="E631" t="inlineStr">
        <is>
          <t>BERG</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9252-2025</t>
        </is>
      </c>
      <c r="B632" s="1" t="n">
        <v>45714.59415509259</v>
      </c>
      <c r="C632" s="1" t="n">
        <v>45914</v>
      </c>
      <c r="D632" t="inlineStr">
        <is>
          <t>JÄMTLANDS LÄN</t>
        </is>
      </c>
      <c r="E632" t="inlineStr">
        <is>
          <t>BERG</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10957-2025</t>
        </is>
      </c>
      <c r="B633" s="1" t="n">
        <v>45723.3624537037</v>
      </c>
      <c r="C633" s="1" t="n">
        <v>45914</v>
      </c>
      <c r="D633" t="inlineStr">
        <is>
          <t>JÄMTLANDS LÄN</t>
        </is>
      </c>
      <c r="E633" t="inlineStr">
        <is>
          <t>BERG</t>
        </is>
      </c>
      <c r="G633" t="n">
        <v>5.6</v>
      </c>
      <c r="H633" t="n">
        <v>0</v>
      </c>
      <c r="I633" t="n">
        <v>0</v>
      </c>
      <c r="J633" t="n">
        <v>0</v>
      </c>
      <c r="K633" t="n">
        <v>0</v>
      </c>
      <c r="L633" t="n">
        <v>0</v>
      </c>
      <c r="M633" t="n">
        <v>0</v>
      </c>
      <c r="N633" t="n">
        <v>0</v>
      </c>
      <c r="O633" t="n">
        <v>0</v>
      </c>
      <c r="P633" t="n">
        <v>0</v>
      </c>
      <c r="Q633" t="n">
        <v>0</v>
      </c>
      <c r="R633" s="2" t="inlineStr"/>
    </row>
    <row r="634" ht="15" customHeight="1">
      <c r="A634" t="inlineStr">
        <is>
          <t>A 10974-2025</t>
        </is>
      </c>
      <c r="B634" s="1" t="n">
        <v>45723.38790509259</v>
      </c>
      <c r="C634" s="1" t="n">
        <v>45914</v>
      </c>
      <c r="D634" t="inlineStr">
        <is>
          <t>JÄMTLANDS LÄN</t>
        </is>
      </c>
      <c r="E634" t="inlineStr">
        <is>
          <t>BERG</t>
        </is>
      </c>
      <c r="G634" t="n">
        <v>6.9</v>
      </c>
      <c r="H634" t="n">
        <v>0</v>
      </c>
      <c r="I634" t="n">
        <v>0</v>
      </c>
      <c r="J634" t="n">
        <v>0</v>
      </c>
      <c r="K634" t="n">
        <v>0</v>
      </c>
      <c r="L634" t="n">
        <v>0</v>
      </c>
      <c r="M634" t="n">
        <v>0</v>
      </c>
      <c r="N634" t="n">
        <v>0</v>
      </c>
      <c r="O634" t="n">
        <v>0</v>
      </c>
      <c r="P634" t="n">
        <v>0</v>
      </c>
      <c r="Q634" t="n">
        <v>0</v>
      </c>
      <c r="R634" s="2" t="inlineStr"/>
    </row>
    <row r="635" ht="15" customHeight="1">
      <c r="A635" t="inlineStr">
        <is>
          <t>A 41069-2022</t>
        </is>
      </c>
      <c r="B635" s="1" t="n">
        <v>44825.60015046296</v>
      </c>
      <c r="C635" s="1" t="n">
        <v>45914</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39785-2024</t>
        </is>
      </c>
      <c r="B636" s="1" t="n">
        <v>45553.29927083333</v>
      </c>
      <c r="C636" s="1" t="n">
        <v>45914</v>
      </c>
      <c r="D636" t="inlineStr">
        <is>
          <t>JÄMTLANDS LÄN</t>
        </is>
      </c>
      <c r="E636" t="inlineStr">
        <is>
          <t>BERG</t>
        </is>
      </c>
      <c r="G636" t="n">
        <v>16.1</v>
      </c>
      <c r="H636" t="n">
        <v>0</v>
      </c>
      <c r="I636" t="n">
        <v>0</v>
      </c>
      <c r="J636" t="n">
        <v>0</v>
      </c>
      <c r="K636" t="n">
        <v>0</v>
      </c>
      <c r="L636" t="n">
        <v>0</v>
      </c>
      <c r="M636" t="n">
        <v>0</v>
      </c>
      <c r="N636" t="n">
        <v>0</v>
      </c>
      <c r="O636" t="n">
        <v>0</v>
      </c>
      <c r="P636" t="n">
        <v>0</v>
      </c>
      <c r="Q636" t="n">
        <v>0</v>
      </c>
      <c r="R636" s="2" t="inlineStr"/>
    </row>
    <row r="637" ht="15" customHeight="1">
      <c r="A637" t="inlineStr">
        <is>
          <t>A 26918-2024</t>
        </is>
      </c>
      <c r="B637" s="1" t="n">
        <v>45470</v>
      </c>
      <c r="C637" s="1" t="n">
        <v>45914</v>
      </c>
      <c r="D637" t="inlineStr">
        <is>
          <t>JÄMTLANDS LÄN</t>
        </is>
      </c>
      <c r="E637" t="inlineStr">
        <is>
          <t>BERG</t>
        </is>
      </c>
      <c r="G637" t="n">
        <v>0.4</v>
      </c>
      <c r="H637" t="n">
        <v>0</v>
      </c>
      <c r="I637" t="n">
        <v>0</v>
      </c>
      <c r="J637" t="n">
        <v>0</v>
      </c>
      <c r="K637" t="n">
        <v>0</v>
      </c>
      <c r="L637" t="n">
        <v>0</v>
      </c>
      <c r="M637" t="n">
        <v>0</v>
      </c>
      <c r="N637" t="n">
        <v>0</v>
      </c>
      <c r="O637" t="n">
        <v>0</v>
      </c>
      <c r="P637" t="n">
        <v>0</v>
      </c>
      <c r="Q637" t="n">
        <v>0</v>
      </c>
      <c r="R637" s="2" t="inlineStr"/>
    </row>
    <row r="638" ht="15" customHeight="1">
      <c r="A638" t="inlineStr">
        <is>
          <t>A 62153-2022</t>
        </is>
      </c>
      <c r="B638" s="1" t="n">
        <v>44914</v>
      </c>
      <c r="C638" s="1" t="n">
        <v>45914</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13805-2024</t>
        </is>
      </c>
      <c r="B639" s="1" t="n">
        <v>45390</v>
      </c>
      <c r="C639" s="1" t="n">
        <v>45914</v>
      </c>
      <c r="D639" t="inlineStr">
        <is>
          <t>JÄMTLANDS LÄN</t>
        </is>
      </c>
      <c r="E639" t="inlineStr">
        <is>
          <t>BERG</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62104-2023</t>
        </is>
      </c>
      <c r="B640" s="1" t="n">
        <v>45266.95052083334</v>
      </c>
      <c r="C640" s="1" t="n">
        <v>45914</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62105-2023</t>
        </is>
      </c>
      <c r="B641" s="1" t="n">
        <v>45266.95074074074</v>
      </c>
      <c r="C641" s="1" t="n">
        <v>45914</v>
      </c>
      <c r="D641" t="inlineStr">
        <is>
          <t>JÄMTLANDS LÄN</t>
        </is>
      </c>
      <c r="E641" t="inlineStr">
        <is>
          <t>BERG</t>
        </is>
      </c>
      <c r="F641" t="inlineStr">
        <is>
          <t>SCA</t>
        </is>
      </c>
      <c r="G641" t="n">
        <v>13.1</v>
      </c>
      <c r="H641" t="n">
        <v>0</v>
      </c>
      <c r="I641" t="n">
        <v>0</v>
      </c>
      <c r="J641" t="n">
        <v>0</v>
      </c>
      <c r="K641" t="n">
        <v>0</v>
      </c>
      <c r="L641" t="n">
        <v>0</v>
      </c>
      <c r="M641" t="n">
        <v>0</v>
      </c>
      <c r="N641" t="n">
        <v>0</v>
      </c>
      <c r="O641" t="n">
        <v>0</v>
      </c>
      <c r="P641" t="n">
        <v>0</v>
      </c>
      <c r="Q641" t="n">
        <v>0</v>
      </c>
      <c r="R641" s="2" t="inlineStr"/>
    </row>
    <row r="642" ht="15" customHeight="1">
      <c r="A642" t="inlineStr">
        <is>
          <t>A 51951-2021</t>
        </is>
      </c>
      <c r="B642" s="1" t="n">
        <v>44462</v>
      </c>
      <c r="C642" s="1" t="n">
        <v>45914</v>
      </c>
      <c r="D642" t="inlineStr">
        <is>
          <t>JÄMTLANDS LÄN</t>
        </is>
      </c>
      <c r="E642" t="inlineStr">
        <is>
          <t>BERG</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1657-2021</t>
        </is>
      </c>
      <c r="B643" s="1" t="n">
        <v>44209</v>
      </c>
      <c r="C643" s="1" t="n">
        <v>45914</v>
      </c>
      <c r="D643" t="inlineStr">
        <is>
          <t>JÄMTLANDS LÄN</t>
        </is>
      </c>
      <c r="E643" t="inlineStr">
        <is>
          <t>BERG</t>
        </is>
      </c>
      <c r="G643" t="n">
        <v>0.1</v>
      </c>
      <c r="H643" t="n">
        <v>0</v>
      </c>
      <c r="I643" t="n">
        <v>0</v>
      </c>
      <c r="J643" t="n">
        <v>0</v>
      </c>
      <c r="K643" t="n">
        <v>0</v>
      </c>
      <c r="L643" t="n">
        <v>0</v>
      </c>
      <c r="M643" t="n">
        <v>0</v>
      </c>
      <c r="N643" t="n">
        <v>0</v>
      </c>
      <c r="O643" t="n">
        <v>0</v>
      </c>
      <c r="P643" t="n">
        <v>0</v>
      </c>
      <c r="Q643" t="n">
        <v>0</v>
      </c>
      <c r="R643" s="2" t="inlineStr"/>
    </row>
    <row r="644" ht="15" customHeight="1">
      <c r="A644" t="inlineStr">
        <is>
          <t>A 18261-2022</t>
        </is>
      </c>
      <c r="B644" s="1" t="n">
        <v>44685.45633101852</v>
      </c>
      <c r="C644" s="1" t="n">
        <v>45914</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16022-2025</t>
        </is>
      </c>
      <c r="B645" s="1" t="n">
        <v>45749.60973379629</v>
      </c>
      <c r="C645" s="1" t="n">
        <v>45914</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61837-2023</t>
        </is>
      </c>
      <c r="B646" s="1" t="n">
        <v>45264</v>
      </c>
      <c r="C646" s="1" t="n">
        <v>45914</v>
      </c>
      <c r="D646" t="inlineStr">
        <is>
          <t>JÄMTLANDS LÄN</t>
        </is>
      </c>
      <c r="E646" t="inlineStr">
        <is>
          <t>BERG</t>
        </is>
      </c>
      <c r="G646" t="n">
        <v>0.6</v>
      </c>
      <c r="H646" t="n">
        <v>0</v>
      </c>
      <c r="I646" t="n">
        <v>0</v>
      </c>
      <c r="J646" t="n">
        <v>0</v>
      </c>
      <c r="K646" t="n">
        <v>0</v>
      </c>
      <c r="L646" t="n">
        <v>0</v>
      </c>
      <c r="M646" t="n">
        <v>0</v>
      </c>
      <c r="N646" t="n">
        <v>0</v>
      </c>
      <c r="O646" t="n">
        <v>0</v>
      </c>
      <c r="P646" t="n">
        <v>0</v>
      </c>
      <c r="Q646" t="n">
        <v>0</v>
      </c>
      <c r="R646" s="2" t="inlineStr"/>
    </row>
    <row r="647" ht="15" customHeight="1">
      <c r="A647" t="inlineStr">
        <is>
          <t>A 32147-2024</t>
        </is>
      </c>
      <c r="B647" s="1" t="n">
        <v>45511.55600694445</v>
      </c>
      <c r="C647" s="1" t="n">
        <v>45914</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32156-2024</t>
        </is>
      </c>
      <c r="B648" s="1" t="n">
        <v>45511</v>
      </c>
      <c r="C648" s="1" t="n">
        <v>45914</v>
      </c>
      <c r="D648" t="inlineStr">
        <is>
          <t>JÄMTLANDS LÄN</t>
        </is>
      </c>
      <c r="E648" t="inlineStr">
        <is>
          <t>BERG</t>
        </is>
      </c>
      <c r="G648" t="n">
        <v>3.4</v>
      </c>
      <c r="H648" t="n">
        <v>0</v>
      </c>
      <c r="I648" t="n">
        <v>0</v>
      </c>
      <c r="J648" t="n">
        <v>0</v>
      </c>
      <c r="K648" t="n">
        <v>0</v>
      </c>
      <c r="L648" t="n">
        <v>0</v>
      </c>
      <c r="M648" t="n">
        <v>0</v>
      </c>
      <c r="N648" t="n">
        <v>0</v>
      </c>
      <c r="O648" t="n">
        <v>0</v>
      </c>
      <c r="P648" t="n">
        <v>0</v>
      </c>
      <c r="Q648" t="n">
        <v>0</v>
      </c>
      <c r="R648" s="2" t="inlineStr"/>
    </row>
    <row r="649" ht="15" customHeight="1">
      <c r="A649" t="inlineStr">
        <is>
          <t>A 20899-2023</t>
        </is>
      </c>
      <c r="B649" s="1" t="n">
        <v>45060</v>
      </c>
      <c r="C649" s="1" t="n">
        <v>45914</v>
      </c>
      <c r="D649" t="inlineStr">
        <is>
          <t>JÄMTLANDS LÄN</t>
        </is>
      </c>
      <c r="E649" t="inlineStr">
        <is>
          <t>BERG</t>
        </is>
      </c>
      <c r="G649" t="n">
        <v>1.9</v>
      </c>
      <c r="H649" t="n">
        <v>0</v>
      </c>
      <c r="I649" t="n">
        <v>0</v>
      </c>
      <c r="J649" t="n">
        <v>0</v>
      </c>
      <c r="K649" t="n">
        <v>0</v>
      </c>
      <c r="L649" t="n">
        <v>0</v>
      </c>
      <c r="M649" t="n">
        <v>0</v>
      </c>
      <c r="N649" t="n">
        <v>0</v>
      </c>
      <c r="O649" t="n">
        <v>0</v>
      </c>
      <c r="P649" t="n">
        <v>0</v>
      </c>
      <c r="Q649" t="n">
        <v>0</v>
      </c>
      <c r="R649" s="2" t="inlineStr"/>
    </row>
    <row r="650" ht="15" customHeight="1">
      <c r="A650" t="inlineStr">
        <is>
          <t>A 34036-2025</t>
        </is>
      </c>
      <c r="B650" s="1" t="n">
        <v>45845.36954861111</v>
      </c>
      <c r="C650" s="1" t="n">
        <v>45914</v>
      </c>
      <c r="D650" t="inlineStr">
        <is>
          <t>JÄMTLANDS LÄN</t>
        </is>
      </c>
      <c r="E650" t="inlineStr">
        <is>
          <t>BERG</t>
        </is>
      </c>
      <c r="G650" t="n">
        <v>4.8</v>
      </c>
      <c r="H650" t="n">
        <v>0</v>
      </c>
      <c r="I650" t="n">
        <v>0</v>
      </c>
      <c r="J650" t="n">
        <v>0</v>
      </c>
      <c r="K650" t="n">
        <v>0</v>
      </c>
      <c r="L650" t="n">
        <v>0</v>
      </c>
      <c r="M650" t="n">
        <v>0</v>
      </c>
      <c r="N650" t="n">
        <v>0</v>
      </c>
      <c r="O650" t="n">
        <v>0</v>
      </c>
      <c r="P650" t="n">
        <v>0</v>
      </c>
      <c r="Q650" t="n">
        <v>0</v>
      </c>
      <c r="R650" s="2" t="inlineStr"/>
    </row>
    <row r="651" ht="15" customHeight="1">
      <c r="A651" t="inlineStr">
        <is>
          <t>A 34030-2025</t>
        </is>
      </c>
      <c r="B651" s="1" t="n">
        <v>45845.3633912037</v>
      </c>
      <c r="C651" s="1" t="n">
        <v>45914</v>
      </c>
      <c r="D651" t="inlineStr">
        <is>
          <t>JÄMTLANDS LÄN</t>
        </is>
      </c>
      <c r="E651" t="inlineStr">
        <is>
          <t>BERG</t>
        </is>
      </c>
      <c r="G651" t="n">
        <v>13.5</v>
      </c>
      <c r="H651" t="n">
        <v>0</v>
      </c>
      <c r="I651" t="n">
        <v>0</v>
      </c>
      <c r="J651" t="n">
        <v>0</v>
      </c>
      <c r="K651" t="n">
        <v>0</v>
      </c>
      <c r="L651" t="n">
        <v>0</v>
      </c>
      <c r="M651" t="n">
        <v>0</v>
      </c>
      <c r="N651" t="n">
        <v>0</v>
      </c>
      <c r="O651" t="n">
        <v>0</v>
      </c>
      <c r="P651" t="n">
        <v>0</v>
      </c>
      <c r="Q651" t="n">
        <v>0</v>
      </c>
      <c r="R651" s="2" t="inlineStr"/>
    </row>
    <row r="652" ht="15" customHeight="1">
      <c r="A652" t="inlineStr">
        <is>
          <t>A 39103-2024</t>
        </is>
      </c>
      <c r="B652" s="1" t="n">
        <v>45548.57025462963</v>
      </c>
      <c r="C652" s="1" t="n">
        <v>45914</v>
      </c>
      <c r="D652" t="inlineStr">
        <is>
          <t>JÄMTLANDS LÄN</t>
        </is>
      </c>
      <c r="E652" t="inlineStr">
        <is>
          <t>BERG</t>
        </is>
      </c>
      <c r="G652" t="n">
        <v>38.4</v>
      </c>
      <c r="H652" t="n">
        <v>0</v>
      </c>
      <c r="I652" t="n">
        <v>0</v>
      </c>
      <c r="J652" t="n">
        <v>0</v>
      </c>
      <c r="K652" t="n">
        <v>0</v>
      </c>
      <c r="L652" t="n">
        <v>0</v>
      </c>
      <c r="M652" t="n">
        <v>0</v>
      </c>
      <c r="N652" t="n">
        <v>0</v>
      </c>
      <c r="O652" t="n">
        <v>0</v>
      </c>
      <c r="P652" t="n">
        <v>0</v>
      </c>
      <c r="Q652" t="n">
        <v>0</v>
      </c>
      <c r="R652" s="2" t="inlineStr"/>
    </row>
    <row r="653" ht="15" customHeight="1">
      <c r="A653" t="inlineStr">
        <is>
          <t>A 41782-2024</t>
        </is>
      </c>
      <c r="B653" s="1" t="n">
        <v>45561</v>
      </c>
      <c r="C653" s="1" t="n">
        <v>45914</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7744-2024</t>
        </is>
      </c>
      <c r="B654" s="1" t="n">
        <v>45349</v>
      </c>
      <c r="C654" s="1" t="n">
        <v>45914</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16246-2024</t>
        </is>
      </c>
      <c r="B655" s="1" t="n">
        <v>45407.05788194444</v>
      </c>
      <c r="C655" s="1" t="n">
        <v>45914</v>
      </c>
      <c r="D655" t="inlineStr">
        <is>
          <t>JÄMTLANDS LÄN</t>
        </is>
      </c>
      <c r="E655" t="inlineStr">
        <is>
          <t>BERG</t>
        </is>
      </c>
      <c r="F655" t="inlineStr">
        <is>
          <t>SCA</t>
        </is>
      </c>
      <c r="G655" t="n">
        <v>19.1</v>
      </c>
      <c r="H655" t="n">
        <v>0</v>
      </c>
      <c r="I655" t="n">
        <v>0</v>
      </c>
      <c r="J655" t="n">
        <v>0</v>
      </c>
      <c r="K655" t="n">
        <v>0</v>
      </c>
      <c r="L655" t="n">
        <v>0</v>
      </c>
      <c r="M655" t="n">
        <v>0</v>
      </c>
      <c r="N655" t="n">
        <v>0</v>
      </c>
      <c r="O655" t="n">
        <v>0</v>
      </c>
      <c r="P655" t="n">
        <v>0</v>
      </c>
      <c r="Q655" t="n">
        <v>0</v>
      </c>
      <c r="R655" s="2" t="inlineStr"/>
    </row>
    <row r="656" ht="15" customHeight="1">
      <c r="A656" t="inlineStr">
        <is>
          <t>A 39004-2025</t>
        </is>
      </c>
      <c r="B656" s="1" t="n">
        <v>45888.34472222222</v>
      </c>
      <c r="C656" s="1" t="n">
        <v>45914</v>
      </c>
      <c r="D656" t="inlineStr">
        <is>
          <t>JÄMTLANDS LÄN</t>
        </is>
      </c>
      <c r="E656" t="inlineStr">
        <is>
          <t>BERG</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21521-2024</t>
        </is>
      </c>
      <c r="B657" s="1" t="n">
        <v>45441.58313657407</v>
      </c>
      <c r="C657" s="1" t="n">
        <v>45914</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14728-2025</t>
        </is>
      </c>
      <c r="B658" s="1" t="n">
        <v>45742.63574074074</v>
      </c>
      <c r="C658" s="1" t="n">
        <v>45914</v>
      </c>
      <c r="D658" t="inlineStr">
        <is>
          <t>JÄMTLANDS LÄN</t>
        </is>
      </c>
      <c r="E658" t="inlineStr">
        <is>
          <t>BERG</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44110-2022</t>
        </is>
      </c>
      <c r="B659" s="1" t="n">
        <v>44837</v>
      </c>
      <c r="C659" s="1" t="n">
        <v>45914</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39698-2025</t>
        </is>
      </c>
      <c r="B660" s="1" t="n">
        <v>45890.69837962963</v>
      </c>
      <c r="C660" s="1" t="n">
        <v>45914</v>
      </c>
      <c r="D660" t="inlineStr">
        <is>
          <t>JÄMTLANDS LÄN</t>
        </is>
      </c>
      <c r="E660" t="inlineStr">
        <is>
          <t>BERG</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12499-2021</t>
        </is>
      </c>
      <c r="B661" s="1" t="n">
        <v>44267</v>
      </c>
      <c r="C661" s="1" t="n">
        <v>45914</v>
      </c>
      <c r="D661" t="inlineStr">
        <is>
          <t>JÄMTLANDS LÄN</t>
        </is>
      </c>
      <c r="E661" t="inlineStr">
        <is>
          <t>BERG</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39544-2025</t>
        </is>
      </c>
      <c r="B662" s="1" t="n">
        <v>45890.45547453704</v>
      </c>
      <c r="C662" s="1" t="n">
        <v>45914</v>
      </c>
      <c r="D662" t="inlineStr">
        <is>
          <t>JÄMTLANDS LÄN</t>
        </is>
      </c>
      <c r="E662" t="inlineStr">
        <is>
          <t>BERG</t>
        </is>
      </c>
      <c r="G662" t="n">
        <v>7.5</v>
      </c>
      <c r="H662" t="n">
        <v>0</v>
      </c>
      <c r="I662" t="n">
        <v>0</v>
      </c>
      <c r="J662" t="n">
        <v>0</v>
      </c>
      <c r="K662" t="n">
        <v>0</v>
      </c>
      <c r="L662" t="n">
        <v>0</v>
      </c>
      <c r="M662" t="n">
        <v>0</v>
      </c>
      <c r="N662" t="n">
        <v>0</v>
      </c>
      <c r="O662" t="n">
        <v>0</v>
      </c>
      <c r="P662" t="n">
        <v>0</v>
      </c>
      <c r="Q662" t="n">
        <v>0</v>
      </c>
      <c r="R662" s="2" t="inlineStr"/>
    </row>
    <row r="663" ht="15" customHeight="1">
      <c r="A663" t="inlineStr">
        <is>
          <t>A 39601-2025</t>
        </is>
      </c>
      <c r="B663" s="1" t="n">
        <v>45890.55284722222</v>
      </c>
      <c r="C663" s="1" t="n">
        <v>45914</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39539-2025</t>
        </is>
      </c>
      <c r="B664" s="1" t="n">
        <v>45890.4525</v>
      </c>
      <c r="C664" s="1" t="n">
        <v>45914</v>
      </c>
      <c r="D664" t="inlineStr">
        <is>
          <t>JÄMTLANDS LÄN</t>
        </is>
      </c>
      <c r="E664" t="inlineStr">
        <is>
          <t>BERG</t>
        </is>
      </c>
      <c r="G664" t="n">
        <v>7.7</v>
      </c>
      <c r="H664" t="n">
        <v>0</v>
      </c>
      <c r="I664" t="n">
        <v>0</v>
      </c>
      <c r="J664" t="n">
        <v>0</v>
      </c>
      <c r="K664" t="n">
        <v>0</v>
      </c>
      <c r="L664" t="n">
        <v>0</v>
      </c>
      <c r="M664" t="n">
        <v>0</v>
      </c>
      <c r="N664" t="n">
        <v>0</v>
      </c>
      <c r="O664" t="n">
        <v>0</v>
      </c>
      <c r="P664" t="n">
        <v>0</v>
      </c>
      <c r="Q664" t="n">
        <v>0</v>
      </c>
      <c r="R664" s="2" t="inlineStr"/>
    </row>
    <row r="665" ht="15" customHeight="1">
      <c r="A665" t="inlineStr">
        <is>
          <t>A 10230-2024</t>
        </is>
      </c>
      <c r="B665" s="1" t="n">
        <v>45365.31883101852</v>
      </c>
      <c r="C665" s="1" t="n">
        <v>45914</v>
      </c>
      <c r="D665" t="inlineStr">
        <is>
          <t>JÄMTLANDS LÄN</t>
        </is>
      </c>
      <c r="E665" t="inlineStr">
        <is>
          <t>BERG</t>
        </is>
      </c>
      <c r="G665" t="n">
        <v>6.3</v>
      </c>
      <c r="H665" t="n">
        <v>0</v>
      </c>
      <c r="I665" t="n">
        <v>0</v>
      </c>
      <c r="J665" t="n">
        <v>0</v>
      </c>
      <c r="K665" t="n">
        <v>0</v>
      </c>
      <c r="L665" t="n">
        <v>0</v>
      </c>
      <c r="M665" t="n">
        <v>0</v>
      </c>
      <c r="N665" t="n">
        <v>0</v>
      </c>
      <c r="O665" t="n">
        <v>0</v>
      </c>
      <c r="P665" t="n">
        <v>0</v>
      </c>
      <c r="Q665" t="n">
        <v>0</v>
      </c>
      <c r="R665" s="2" t="inlineStr"/>
    </row>
    <row r="666" ht="15" customHeight="1">
      <c r="A666" t="inlineStr">
        <is>
          <t>A 49277-2024</t>
        </is>
      </c>
      <c r="B666" s="1" t="n">
        <v>45595.50820601852</v>
      </c>
      <c r="C666" s="1" t="n">
        <v>45914</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60331-2023</t>
        </is>
      </c>
      <c r="B667" s="1" t="n">
        <v>45258</v>
      </c>
      <c r="C667" s="1" t="n">
        <v>45914</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34225-2024</t>
        </is>
      </c>
      <c r="B668" s="1" t="n">
        <v>45524.55398148148</v>
      </c>
      <c r="C668" s="1" t="n">
        <v>45914</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41636-2024</t>
        </is>
      </c>
      <c r="B669" s="1" t="n">
        <v>45560.61606481481</v>
      </c>
      <c r="C669" s="1" t="n">
        <v>45914</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18032-2024</t>
        </is>
      </c>
      <c r="B670" s="1" t="n">
        <v>45420.34979166667</v>
      </c>
      <c r="C670" s="1" t="n">
        <v>45914</v>
      </c>
      <c r="D670" t="inlineStr">
        <is>
          <t>JÄMTLANDS LÄN</t>
        </is>
      </c>
      <c r="E670" t="inlineStr">
        <is>
          <t>BERG</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14772-2021</t>
        </is>
      </c>
      <c r="B671" s="1" t="n">
        <v>44280.62068287037</v>
      </c>
      <c r="C671" s="1" t="n">
        <v>45914</v>
      </c>
      <c r="D671" t="inlineStr">
        <is>
          <t>JÄMTLANDS LÄN</t>
        </is>
      </c>
      <c r="E671" t="inlineStr">
        <is>
          <t>BERG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62340-2020</t>
        </is>
      </c>
      <c r="B672" s="1" t="n">
        <v>44158</v>
      </c>
      <c r="C672" s="1" t="n">
        <v>45914</v>
      </c>
      <c r="D672" t="inlineStr">
        <is>
          <t>JÄMTLANDS LÄN</t>
        </is>
      </c>
      <c r="E672" t="inlineStr">
        <is>
          <t>BERG</t>
        </is>
      </c>
      <c r="G672" t="n">
        <v>2.5</v>
      </c>
      <c r="H672" t="n">
        <v>0</v>
      </c>
      <c r="I672" t="n">
        <v>0</v>
      </c>
      <c r="J672" t="n">
        <v>0</v>
      </c>
      <c r="K672" t="n">
        <v>0</v>
      </c>
      <c r="L672" t="n">
        <v>0</v>
      </c>
      <c r="M672" t="n">
        <v>0</v>
      </c>
      <c r="N672" t="n">
        <v>0</v>
      </c>
      <c r="O672" t="n">
        <v>0</v>
      </c>
      <c r="P672" t="n">
        <v>0</v>
      </c>
      <c r="Q672" t="n">
        <v>0</v>
      </c>
      <c r="R672" s="2" t="inlineStr"/>
    </row>
    <row r="673" ht="15" customHeight="1">
      <c r="A673" t="inlineStr">
        <is>
          <t>A 22947-2022</t>
        </is>
      </c>
      <c r="B673" s="1" t="n">
        <v>44715.92443287037</v>
      </c>
      <c r="C673" s="1" t="n">
        <v>45914</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34892-2025</t>
        </is>
      </c>
      <c r="B674" s="1" t="n">
        <v>45849.49047453704</v>
      </c>
      <c r="C674" s="1" t="n">
        <v>45914</v>
      </c>
      <c r="D674" t="inlineStr">
        <is>
          <t>JÄMTLANDS LÄN</t>
        </is>
      </c>
      <c r="E674" t="inlineStr">
        <is>
          <t>BERG</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40060-2025</t>
        </is>
      </c>
      <c r="B675" s="1" t="n">
        <v>45894.42746527777</v>
      </c>
      <c r="C675" s="1" t="n">
        <v>45914</v>
      </c>
      <c r="D675" t="inlineStr">
        <is>
          <t>JÄMTLANDS LÄN</t>
        </is>
      </c>
      <c r="E675" t="inlineStr">
        <is>
          <t>BERG</t>
        </is>
      </c>
      <c r="F675" t="inlineStr">
        <is>
          <t>SCA</t>
        </is>
      </c>
      <c r="G675" t="n">
        <v>8</v>
      </c>
      <c r="H675" t="n">
        <v>0</v>
      </c>
      <c r="I675" t="n">
        <v>0</v>
      </c>
      <c r="J675" t="n">
        <v>0</v>
      </c>
      <c r="K675" t="n">
        <v>0</v>
      </c>
      <c r="L675" t="n">
        <v>0</v>
      </c>
      <c r="M675" t="n">
        <v>0</v>
      </c>
      <c r="N675" t="n">
        <v>0</v>
      </c>
      <c r="O675" t="n">
        <v>0</v>
      </c>
      <c r="P675" t="n">
        <v>0</v>
      </c>
      <c r="Q675" t="n">
        <v>0</v>
      </c>
      <c r="R675" s="2" t="inlineStr"/>
    </row>
    <row r="676" ht="15" customHeight="1">
      <c r="A676" t="inlineStr">
        <is>
          <t>A 46902-2024</t>
        </is>
      </c>
      <c r="B676" s="1" t="n">
        <v>45583.69847222222</v>
      </c>
      <c r="C676" s="1" t="n">
        <v>45914</v>
      </c>
      <c r="D676" t="inlineStr">
        <is>
          <t>JÄMTLANDS LÄN</t>
        </is>
      </c>
      <c r="E676" t="inlineStr">
        <is>
          <t>BERG</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45347-2023</t>
        </is>
      </c>
      <c r="B677" s="1" t="n">
        <v>45191</v>
      </c>
      <c r="C677" s="1" t="n">
        <v>45914</v>
      </c>
      <c r="D677" t="inlineStr">
        <is>
          <t>JÄMTLANDS LÄN</t>
        </is>
      </c>
      <c r="E677" t="inlineStr">
        <is>
          <t>BERG</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36079-2024</t>
        </is>
      </c>
      <c r="B678" s="1" t="n">
        <v>45533.66685185185</v>
      </c>
      <c r="C678" s="1" t="n">
        <v>45914</v>
      </c>
      <c r="D678" t="inlineStr">
        <is>
          <t>JÄMTLANDS LÄN</t>
        </is>
      </c>
      <c r="E678" t="inlineStr">
        <is>
          <t>BERG</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35183-2025</t>
        </is>
      </c>
      <c r="B679" s="1" t="n">
        <v>45853.29931712963</v>
      </c>
      <c r="C679" s="1" t="n">
        <v>45914</v>
      </c>
      <c r="D679" t="inlineStr">
        <is>
          <t>JÄMTLANDS LÄN</t>
        </is>
      </c>
      <c r="E679" t="inlineStr">
        <is>
          <t>BERG</t>
        </is>
      </c>
      <c r="G679" t="n">
        <v>2.8</v>
      </c>
      <c r="H679" t="n">
        <v>0</v>
      </c>
      <c r="I679" t="n">
        <v>0</v>
      </c>
      <c r="J679" t="n">
        <v>0</v>
      </c>
      <c r="K679" t="n">
        <v>0</v>
      </c>
      <c r="L679" t="n">
        <v>0</v>
      </c>
      <c r="M679" t="n">
        <v>0</v>
      </c>
      <c r="N679" t="n">
        <v>0</v>
      </c>
      <c r="O679" t="n">
        <v>0</v>
      </c>
      <c r="P679" t="n">
        <v>0</v>
      </c>
      <c r="Q679" t="n">
        <v>0</v>
      </c>
      <c r="R679" s="2" t="inlineStr"/>
    </row>
    <row r="680" ht="15" customHeight="1">
      <c r="A680" t="inlineStr">
        <is>
          <t>A 40410-2025</t>
        </is>
      </c>
      <c r="B680" s="1" t="n">
        <v>45895.57349537037</v>
      </c>
      <c r="C680" s="1" t="n">
        <v>45914</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35363-2025</t>
        </is>
      </c>
      <c r="B681" s="1" t="n">
        <v>45854.67538194444</v>
      </c>
      <c r="C681" s="1" t="n">
        <v>45914</v>
      </c>
      <c r="D681" t="inlineStr">
        <is>
          <t>JÄMTLANDS LÄN</t>
        </is>
      </c>
      <c r="E681" t="inlineStr">
        <is>
          <t>BERG</t>
        </is>
      </c>
      <c r="G681" t="n">
        <v>9.5</v>
      </c>
      <c r="H681" t="n">
        <v>0</v>
      </c>
      <c r="I681" t="n">
        <v>0</v>
      </c>
      <c r="J681" t="n">
        <v>0</v>
      </c>
      <c r="K681" t="n">
        <v>0</v>
      </c>
      <c r="L681" t="n">
        <v>0</v>
      </c>
      <c r="M681" t="n">
        <v>0</v>
      </c>
      <c r="N681" t="n">
        <v>0</v>
      </c>
      <c r="O681" t="n">
        <v>0</v>
      </c>
      <c r="P681" t="n">
        <v>0</v>
      </c>
      <c r="Q681" t="n">
        <v>0</v>
      </c>
      <c r="R681" s="2" t="inlineStr"/>
    </row>
    <row r="682" ht="15" customHeight="1">
      <c r="A682" t="inlineStr">
        <is>
          <t>A 35213-2025</t>
        </is>
      </c>
      <c r="B682" s="1" t="n">
        <v>45853.46494212963</v>
      </c>
      <c r="C682" s="1" t="n">
        <v>45914</v>
      </c>
      <c r="D682" t="inlineStr">
        <is>
          <t>JÄMTLANDS LÄN</t>
        </is>
      </c>
      <c r="E682" t="inlineStr">
        <is>
          <t>BERG</t>
        </is>
      </c>
      <c r="G682" t="n">
        <v>0.6</v>
      </c>
      <c r="H682" t="n">
        <v>0</v>
      </c>
      <c r="I682" t="n">
        <v>0</v>
      </c>
      <c r="J682" t="n">
        <v>0</v>
      </c>
      <c r="K682" t="n">
        <v>0</v>
      </c>
      <c r="L682" t="n">
        <v>0</v>
      </c>
      <c r="M682" t="n">
        <v>0</v>
      </c>
      <c r="N682" t="n">
        <v>0</v>
      </c>
      <c r="O682" t="n">
        <v>0</v>
      </c>
      <c r="P682" t="n">
        <v>0</v>
      </c>
      <c r="Q682" t="n">
        <v>0</v>
      </c>
      <c r="R682" s="2" t="inlineStr"/>
    </row>
    <row r="683" ht="15" customHeight="1">
      <c r="A683" t="inlineStr">
        <is>
          <t>A 40617-2025</t>
        </is>
      </c>
      <c r="B683" s="1" t="n">
        <v>45896.58326388889</v>
      </c>
      <c r="C683" s="1" t="n">
        <v>45914</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35184-2025</t>
        </is>
      </c>
      <c r="B684" s="1" t="n">
        <v>45853.30270833334</v>
      </c>
      <c r="C684" s="1" t="n">
        <v>45914</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35360-2025</t>
        </is>
      </c>
      <c r="B685" s="1" t="n">
        <v>45854.66877314815</v>
      </c>
      <c r="C685" s="1" t="n">
        <v>45914</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37488-2025</t>
        </is>
      </c>
      <c r="B686" s="1" t="n">
        <v>45877.63582175926</v>
      </c>
      <c r="C686" s="1" t="n">
        <v>45914</v>
      </c>
      <c r="D686" t="inlineStr">
        <is>
          <t>JÄMTLANDS LÄN</t>
        </is>
      </c>
      <c r="E686" t="inlineStr">
        <is>
          <t>BERG</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40737-2025</t>
        </is>
      </c>
      <c r="B687" s="1" t="n">
        <v>45897.36572916667</v>
      </c>
      <c r="C687" s="1" t="n">
        <v>45914</v>
      </c>
      <c r="D687" t="inlineStr">
        <is>
          <t>JÄMTLANDS LÄN</t>
        </is>
      </c>
      <c r="E687" t="inlineStr">
        <is>
          <t>BERG</t>
        </is>
      </c>
      <c r="G687" t="n">
        <v>2.8</v>
      </c>
      <c r="H687" t="n">
        <v>0</v>
      </c>
      <c r="I687" t="n">
        <v>0</v>
      </c>
      <c r="J687" t="n">
        <v>0</v>
      </c>
      <c r="K687" t="n">
        <v>0</v>
      </c>
      <c r="L687" t="n">
        <v>0</v>
      </c>
      <c r="M687" t="n">
        <v>0</v>
      </c>
      <c r="N687" t="n">
        <v>0</v>
      </c>
      <c r="O687" t="n">
        <v>0</v>
      </c>
      <c r="P687" t="n">
        <v>0</v>
      </c>
      <c r="Q687" t="n">
        <v>0</v>
      </c>
      <c r="R687" s="2" t="inlineStr"/>
    </row>
    <row r="688" ht="15" customHeight="1">
      <c r="A688" t="inlineStr">
        <is>
          <t>A 41247-2025</t>
        </is>
      </c>
      <c r="B688" s="1" t="n">
        <v>45898.60109953704</v>
      </c>
      <c r="C688" s="1" t="n">
        <v>45914</v>
      </c>
      <c r="D688" t="inlineStr">
        <is>
          <t>JÄMTLANDS LÄN</t>
        </is>
      </c>
      <c r="E688" t="inlineStr">
        <is>
          <t>BERG</t>
        </is>
      </c>
      <c r="G688" t="n">
        <v>17.5</v>
      </c>
      <c r="H688" t="n">
        <v>0</v>
      </c>
      <c r="I688" t="n">
        <v>0</v>
      </c>
      <c r="J688" t="n">
        <v>0</v>
      </c>
      <c r="K688" t="n">
        <v>0</v>
      </c>
      <c r="L688" t="n">
        <v>0</v>
      </c>
      <c r="M688" t="n">
        <v>0</v>
      </c>
      <c r="N688" t="n">
        <v>0</v>
      </c>
      <c r="O688" t="n">
        <v>0</v>
      </c>
      <c r="P688" t="n">
        <v>0</v>
      </c>
      <c r="Q688" t="n">
        <v>0</v>
      </c>
      <c r="R688" s="2" t="inlineStr"/>
    </row>
    <row r="689" ht="15" customHeight="1">
      <c r="A689" t="inlineStr">
        <is>
          <t>A 41263-2025</t>
        </is>
      </c>
      <c r="B689" s="1" t="n">
        <v>45898.61517361111</v>
      </c>
      <c r="C689" s="1" t="n">
        <v>45914</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40873-2025</t>
        </is>
      </c>
      <c r="B690" s="1" t="n">
        <v>45897.5744675926</v>
      </c>
      <c r="C690" s="1" t="n">
        <v>45914</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35576-2025</t>
        </is>
      </c>
      <c r="B691" s="1" t="n">
        <v>45856.63608796296</v>
      </c>
      <c r="C691" s="1" t="n">
        <v>45914</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40708-2025</t>
        </is>
      </c>
      <c r="B692" s="1" t="n">
        <v>45897</v>
      </c>
      <c r="C692" s="1" t="n">
        <v>45914</v>
      </c>
      <c r="D692" t="inlineStr">
        <is>
          <t>JÄMTLANDS LÄN</t>
        </is>
      </c>
      <c r="E692" t="inlineStr">
        <is>
          <t>BERG</t>
        </is>
      </c>
      <c r="G692" t="n">
        <v>6.6</v>
      </c>
      <c r="H692" t="n">
        <v>0</v>
      </c>
      <c r="I692" t="n">
        <v>0</v>
      </c>
      <c r="J692" t="n">
        <v>0</v>
      </c>
      <c r="K692" t="n">
        <v>0</v>
      </c>
      <c r="L692" t="n">
        <v>0</v>
      </c>
      <c r="M692" t="n">
        <v>0</v>
      </c>
      <c r="N692" t="n">
        <v>0</v>
      </c>
      <c r="O692" t="n">
        <v>0</v>
      </c>
      <c r="P692" t="n">
        <v>0</v>
      </c>
      <c r="Q692" t="n">
        <v>0</v>
      </c>
      <c r="R692" s="2" t="inlineStr"/>
    </row>
    <row r="693" ht="15" customHeight="1">
      <c r="A693" t="inlineStr">
        <is>
          <t>A 35538-2025</t>
        </is>
      </c>
      <c r="B693" s="1" t="n">
        <v>45856.4552662037</v>
      </c>
      <c r="C693" s="1" t="n">
        <v>45914</v>
      </c>
      <c r="D693" t="inlineStr">
        <is>
          <t>JÄMTLANDS LÄN</t>
        </is>
      </c>
      <c r="E693" t="inlineStr">
        <is>
          <t>BERG</t>
        </is>
      </c>
      <c r="F693" t="inlineStr">
        <is>
          <t>Sveaskog</t>
        </is>
      </c>
      <c r="G693" t="n">
        <v>9.6</v>
      </c>
      <c r="H693" t="n">
        <v>0</v>
      </c>
      <c r="I693" t="n">
        <v>0</v>
      </c>
      <c r="J693" t="n">
        <v>0</v>
      </c>
      <c r="K693" t="n">
        <v>0</v>
      </c>
      <c r="L693" t="n">
        <v>0</v>
      </c>
      <c r="M693" t="n">
        <v>0</v>
      </c>
      <c r="N693" t="n">
        <v>0</v>
      </c>
      <c r="O693" t="n">
        <v>0</v>
      </c>
      <c r="P693" t="n">
        <v>0</v>
      </c>
      <c r="Q693" t="n">
        <v>0</v>
      </c>
      <c r="R693" s="2" t="inlineStr"/>
    </row>
    <row r="694" ht="15" customHeight="1">
      <c r="A694" t="inlineStr">
        <is>
          <t>A 41265-2025</t>
        </is>
      </c>
      <c r="B694" s="1" t="n">
        <v>45898.6153587963</v>
      </c>
      <c r="C694" s="1" t="n">
        <v>45914</v>
      </c>
      <c r="D694" t="inlineStr">
        <is>
          <t>JÄMTLANDS LÄN</t>
        </is>
      </c>
      <c r="E694" t="inlineStr">
        <is>
          <t>BERG</t>
        </is>
      </c>
      <c r="G694" t="n">
        <v>1.6</v>
      </c>
      <c r="H694" t="n">
        <v>0</v>
      </c>
      <c r="I694" t="n">
        <v>0</v>
      </c>
      <c r="J694" t="n">
        <v>0</v>
      </c>
      <c r="K694" t="n">
        <v>0</v>
      </c>
      <c r="L694" t="n">
        <v>0</v>
      </c>
      <c r="M694" t="n">
        <v>0</v>
      </c>
      <c r="N694" t="n">
        <v>0</v>
      </c>
      <c r="O694" t="n">
        <v>0</v>
      </c>
      <c r="P694" t="n">
        <v>0</v>
      </c>
      <c r="Q694" t="n">
        <v>0</v>
      </c>
      <c r="R694" s="2" t="inlineStr"/>
    </row>
    <row r="695" ht="15" customHeight="1">
      <c r="A695" t="inlineStr">
        <is>
          <t>A 40918-2025</t>
        </is>
      </c>
      <c r="B695" s="1" t="n">
        <v>45897.6292824074</v>
      </c>
      <c r="C695" s="1" t="n">
        <v>45914</v>
      </c>
      <c r="D695" t="inlineStr">
        <is>
          <t>JÄMTLANDS LÄN</t>
        </is>
      </c>
      <c r="E695" t="inlineStr">
        <is>
          <t>BERG</t>
        </is>
      </c>
      <c r="G695" t="n">
        <v>1.7</v>
      </c>
      <c r="H695" t="n">
        <v>0</v>
      </c>
      <c r="I695" t="n">
        <v>0</v>
      </c>
      <c r="J695" t="n">
        <v>0</v>
      </c>
      <c r="K695" t="n">
        <v>0</v>
      </c>
      <c r="L695" t="n">
        <v>0</v>
      </c>
      <c r="M695" t="n">
        <v>0</v>
      </c>
      <c r="N695" t="n">
        <v>0</v>
      </c>
      <c r="O695" t="n">
        <v>0</v>
      </c>
      <c r="P695" t="n">
        <v>0</v>
      </c>
      <c r="Q695" t="n">
        <v>0</v>
      </c>
      <c r="R695" s="2" t="inlineStr"/>
    </row>
    <row r="696" ht="15" customHeight="1">
      <c r="A696" t="inlineStr">
        <is>
          <t>A 41295-2025</t>
        </is>
      </c>
      <c r="B696" s="1" t="n">
        <v>45898.65660879629</v>
      </c>
      <c r="C696" s="1" t="n">
        <v>45914</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45914</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45914</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692-2021</t>
        </is>
      </c>
      <c r="B699" s="1" t="n">
        <v>44203</v>
      </c>
      <c r="C699" s="1" t="n">
        <v>45914</v>
      </c>
      <c r="D699" t="inlineStr">
        <is>
          <t>JÄMTLANDS LÄN</t>
        </is>
      </c>
      <c r="E699" t="inlineStr">
        <is>
          <t>BERG</t>
        </is>
      </c>
      <c r="G699" t="n">
        <v>0.7</v>
      </c>
      <c r="H699" t="n">
        <v>0</v>
      </c>
      <c r="I699" t="n">
        <v>0</v>
      </c>
      <c r="J699" t="n">
        <v>0</v>
      </c>
      <c r="K699" t="n">
        <v>0</v>
      </c>
      <c r="L699" t="n">
        <v>0</v>
      </c>
      <c r="M699" t="n">
        <v>0</v>
      </c>
      <c r="N699" t="n">
        <v>0</v>
      </c>
      <c r="O699" t="n">
        <v>0</v>
      </c>
      <c r="P699" t="n">
        <v>0</v>
      </c>
      <c r="Q699" t="n">
        <v>0</v>
      </c>
      <c r="R699" s="2" t="inlineStr"/>
    </row>
    <row r="700" ht="15" customHeight="1">
      <c r="A700" t="inlineStr">
        <is>
          <t>A 60068-2022</t>
        </is>
      </c>
      <c r="B700" s="1" t="n">
        <v>44902</v>
      </c>
      <c r="C700" s="1" t="n">
        <v>45914</v>
      </c>
      <c r="D700" t="inlineStr">
        <is>
          <t>JÄMTLANDS LÄN</t>
        </is>
      </c>
      <c r="E700" t="inlineStr">
        <is>
          <t>BERG</t>
        </is>
      </c>
      <c r="G700" t="n">
        <v>5.2</v>
      </c>
      <c r="H700" t="n">
        <v>0</v>
      </c>
      <c r="I700" t="n">
        <v>0</v>
      </c>
      <c r="J700" t="n">
        <v>0</v>
      </c>
      <c r="K700" t="n">
        <v>0</v>
      </c>
      <c r="L700" t="n">
        <v>0</v>
      </c>
      <c r="M700" t="n">
        <v>0</v>
      </c>
      <c r="N700" t="n">
        <v>0</v>
      </c>
      <c r="O700" t="n">
        <v>0</v>
      </c>
      <c r="P700" t="n">
        <v>0</v>
      </c>
      <c r="Q700" t="n">
        <v>0</v>
      </c>
      <c r="R700" s="2" t="inlineStr"/>
    </row>
    <row r="701" ht="15" customHeight="1">
      <c r="A701" t="inlineStr">
        <is>
          <t>A 32178-2024</t>
        </is>
      </c>
      <c r="B701" s="1" t="n">
        <v>45511</v>
      </c>
      <c r="C701" s="1" t="n">
        <v>45914</v>
      </c>
      <c r="D701" t="inlineStr">
        <is>
          <t>JÄMTLANDS LÄN</t>
        </is>
      </c>
      <c r="E701" t="inlineStr">
        <is>
          <t>BERG</t>
        </is>
      </c>
      <c r="G701" t="n">
        <v>11.4</v>
      </c>
      <c r="H701" t="n">
        <v>0</v>
      </c>
      <c r="I701" t="n">
        <v>0</v>
      </c>
      <c r="J701" t="n">
        <v>0</v>
      </c>
      <c r="K701" t="n">
        <v>0</v>
      </c>
      <c r="L701" t="n">
        <v>0</v>
      </c>
      <c r="M701" t="n">
        <v>0</v>
      </c>
      <c r="N701" t="n">
        <v>0</v>
      </c>
      <c r="O701" t="n">
        <v>0</v>
      </c>
      <c r="P701" t="n">
        <v>0</v>
      </c>
      <c r="Q701" t="n">
        <v>0</v>
      </c>
      <c r="R701" s="2" t="inlineStr"/>
    </row>
    <row r="702" ht="15" customHeight="1">
      <c r="A702" t="inlineStr">
        <is>
          <t>A 3798-2022</t>
        </is>
      </c>
      <c r="B702" s="1" t="n">
        <v>44586</v>
      </c>
      <c r="C702" s="1" t="n">
        <v>45914</v>
      </c>
      <c r="D702" t="inlineStr">
        <is>
          <t>JÄMTLANDS LÄN</t>
        </is>
      </c>
      <c r="E702" t="inlineStr">
        <is>
          <t>BERG</t>
        </is>
      </c>
      <c r="G702" t="n">
        <v>0.1</v>
      </c>
      <c r="H702" t="n">
        <v>0</v>
      </c>
      <c r="I702" t="n">
        <v>0</v>
      </c>
      <c r="J702" t="n">
        <v>0</v>
      </c>
      <c r="K702" t="n">
        <v>0</v>
      </c>
      <c r="L702" t="n">
        <v>0</v>
      </c>
      <c r="M702" t="n">
        <v>0</v>
      </c>
      <c r="N702" t="n">
        <v>0</v>
      </c>
      <c r="O702" t="n">
        <v>0</v>
      </c>
      <c r="P702" t="n">
        <v>0</v>
      </c>
      <c r="Q702" t="n">
        <v>0</v>
      </c>
      <c r="R702" s="2" t="inlineStr"/>
    </row>
    <row r="703" ht="15" customHeight="1">
      <c r="A703" t="inlineStr">
        <is>
          <t>A 22297-2022</t>
        </is>
      </c>
      <c r="B703" s="1" t="n">
        <v>44712</v>
      </c>
      <c r="C703" s="1" t="n">
        <v>45914</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35691-2025</t>
        </is>
      </c>
      <c r="B704" s="1" t="n">
        <v>45860.344375</v>
      </c>
      <c r="C704" s="1" t="n">
        <v>45914</v>
      </c>
      <c r="D704" t="inlineStr">
        <is>
          <t>JÄMTLANDS LÄN</t>
        </is>
      </c>
      <c r="E704" t="inlineStr">
        <is>
          <t>BERG</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35681-2025</t>
        </is>
      </c>
      <c r="B705" s="1" t="n">
        <v>45859.77703703703</v>
      </c>
      <c r="C705" s="1" t="n">
        <v>45914</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35684-2025</t>
        </is>
      </c>
      <c r="B706" s="1" t="n">
        <v>45859.88079861111</v>
      </c>
      <c r="C706" s="1" t="n">
        <v>45914</v>
      </c>
      <c r="D706" t="inlineStr">
        <is>
          <t>JÄMTLANDS LÄN</t>
        </is>
      </c>
      <c r="E706" t="inlineStr">
        <is>
          <t>BERG</t>
        </is>
      </c>
      <c r="G706" t="n">
        <v>6.1</v>
      </c>
      <c r="H706" t="n">
        <v>0</v>
      </c>
      <c r="I706" t="n">
        <v>0</v>
      </c>
      <c r="J706" t="n">
        <v>0</v>
      </c>
      <c r="K706" t="n">
        <v>0</v>
      </c>
      <c r="L706" t="n">
        <v>0</v>
      </c>
      <c r="M706" t="n">
        <v>0</v>
      </c>
      <c r="N706" t="n">
        <v>0</v>
      </c>
      <c r="O706" t="n">
        <v>0</v>
      </c>
      <c r="P706" t="n">
        <v>0</v>
      </c>
      <c r="Q706" t="n">
        <v>0</v>
      </c>
      <c r="R706" s="2" t="inlineStr"/>
    </row>
    <row r="707" ht="15" customHeight="1">
      <c r="A707" t="inlineStr">
        <is>
          <t>A 54992-2023</t>
        </is>
      </c>
      <c r="B707" s="1" t="n">
        <v>45236.96789351852</v>
      </c>
      <c r="C707" s="1" t="n">
        <v>45914</v>
      </c>
      <c r="D707" t="inlineStr">
        <is>
          <t>JÄMTLANDS LÄN</t>
        </is>
      </c>
      <c r="E707" t="inlineStr">
        <is>
          <t>BERG</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54994-2023</t>
        </is>
      </c>
      <c r="B708" s="1" t="n">
        <v>45236</v>
      </c>
      <c r="C708" s="1" t="n">
        <v>45914</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v>
      </c>
      <c r="C709" s="1" t="n">
        <v>45914</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41997-2025</t>
        </is>
      </c>
      <c r="B710" s="1" t="n">
        <v>45903.55162037037</v>
      </c>
      <c r="C710" s="1" t="n">
        <v>45914</v>
      </c>
      <c r="D710" t="inlineStr">
        <is>
          <t>JÄMTLANDS LÄN</t>
        </is>
      </c>
      <c r="E710" t="inlineStr">
        <is>
          <t>BERG</t>
        </is>
      </c>
      <c r="F710" t="inlineStr">
        <is>
          <t>Övriga statliga verk och myndigheter</t>
        </is>
      </c>
      <c r="G710" t="n">
        <v>2.2</v>
      </c>
      <c r="H710" t="n">
        <v>0</v>
      </c>
      <c r="I710" t="n">
        <v>0</v>
      </c>
      <c r="J710" t="n">
        <v>0</v>
      </c>
      <c r="K710" t="n">
        <v>0</v>
      </c>
      <c r="L710" t="n">
        <v>0</v>
      </c>
      <c r="M710" t="n">
        <v>0</v>
      </c>
      <c r="N710" t="n">
        <v>0</v>
      </c>
      <c r="O710" t="n">
        <v>0</v>
      </c>
      <c r="P710" t="n">
        <v>0</v>
      </c>
      <c r="Q710" t="n">
        <v>0</v>
      </c>
      <c r="R710" s="2" t="inlineStr"/>
    </row>
    <row r="711" ht="15" customHeight="1">
      <c r="A711" t="inlineStr">
        <is>
          <t>A 42003-2025</t>
        </is>
      </c>
      <c r="B711" s="1" t="n">
        <v>45903.55403935185</v>
      </c>
      <c r="C711" s="1" t="n">
        <v>45914</v>
      </c>
      <c r="D711" t="inlineStr">
        <is>
          <t>JÄMTLANDS LÄN</t>
        </is>
      </c>
      <c r="E711" t="inlineStr">
        <is>
          <t>BERG</t>
        </is>
      </c>
      <c r="F711" t="inlineStr">
        <is>
          <t>Övriga statliga verk och myndigheter</t>
        </is>
      </c>
      <c r="G711" t="n">
        <v>10.5</v>
      </c>
      <c r="H711" t="n">
        <v>0</v>
      </c>
      <c r="I711" t="n">
        <v>0</v>
      </c>
      <c r="J711" t="n">
        <v>0</v>
      </c>
      <c r="K711" t="n">
        <v>0</v>
      </c>
      <c r="L711" t="n">
        <v>0</v>
      </c>
      <c r="M711" t="n">
        <v>0</v>
      </c>
      <c r="N711" t="n">
        <v>0</v>
      </c>
      <c r="O711" t="n">
        <v>0</v>
      </c>
      <c r="P711" t="n">
        <v>0</v>
      </c>
      <c r="Q711" t="n">
        <v>0</v>
      </c>
      <c r="R711" s="2" t="inlineStr"/>
    </row>
    <row r="712" ht="15" customHeight="1">
      <c r="A712" t="inlineStr">
        <is>
          <t>A 42101-2025</t>
        </is>
      </c>
      <c r="B712" s="1" t="n">
        <v>45903.80413194445</v>
      </c>
      <c r="C712" s="1" t="n">
        <v>45914</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41930-2025</t>
        </is>
      </c>
      <c r="B713" s="1" t="n">
        <v>45903.43454861111</v>
      </c>
      <c r="C713" s="1" t="n">
        <v>45914</v>
      </c>
      <c r="D713" t="inlineStr">
        <is>
          <t>JÄMTLANDS LÄN</t>
        </is>
      </c>
      <c r="E713" t="inlineStr">
        <is>
          <t>BERG</t>
        </is>
      </c>
      <c r="F713" t="inlineStr">
        <is>
          <t>Övriga statliga verk och myndigheter</t>
        </is>
      </c>
      <c r="G713" t="n">
        <v>2.4</v>
      </c>
      <c r="H713" t="n">
        <v>0</v>
      </c>
      <c r="I713" t="n">
        <v>0</v>
      </c>
      <c r="J713" t="n">
        <v>0</v>
      </c>
      <c r="K713" t="n">
        <v>0</v>
      </c>
      <c r="L713" t="n">
        <v>0</v>
      </c>
      <c r="M713" t="n">
        <v>0</v>
      </c>
      <c r="N713" t="n">
        <v>0</v>
      </c>
      <c r="O713" t="n">
        <v>0</v>
      </c>
      <c r="P713" t="n">
        <v>0</v>
      </c>
      <c r="Q713" t="n">
        <v>0</v>
      </c>
      <c r="R713" s="2" t="inlineStr"/>
    </row>
    <row r="714" ht="15" customHeight="1">
      <c r="A714" t="inlineStr">
        <is>
          <t>A 35683-2025</t>
        </is>
      </c>
      <c r="B714" s="1" t="n">
        <v>45859</v>
      </c>
      <c r="C714" s="1" t="n">
        <v>45914</v>
      </c>
      <c r="D714" t="inlineStr">
        <is>
          <t>JÄMTLANDS LÄN</t>
        </is>
      </c>
      <c r="E714" t="inlineStr">
        <is>
          <t>BERG</t>
        </is>
      </c>
      <c r="G714" t="n">
        <v>3.4</v>
      </c>
      <c r="H714" t="n">
        <v>0</v>
      </c>
      <c r="I714" t="n">
        <v>0</v>
      </c>
      <c r="J714" t="n">
        <v>0</v>
      </c>
      <c r="K714" t="n">
        <v>0</v>
      </c>
      <c r="L714" t="n">
        <v>0</v>
      </c>
      <c r="M714" t="n">
        <v>0</v>
      </c>
      <c r="N714" t="n">
        <v>0</v>
      </c>
      <c r="O714" t="n">
        <v>0</v>
      </c>
      <c r="P714" t="n">
        <v>0</v>
      </c>
      <c r="Q714" t="n">
        <v>0</v>
      </c>
      <c r="R714" s="2" t="inlineStr"/>
    </row>
    <row r="715" ht="15" customHeight="1">
      <c r="A715" t="inlineStr">
        <is>
          <t>A 51548-2023</t>
        </is>
      </c>
      <c r="B715" s="1" t="n">
        <v>45215</v>
      </c>
      <c r="C715" s="1" t="n">
        <v>45914</v>
      </c>
      <c r="D715" t="inlineStr">
        <is>
          <t>JÄMTLANDS LÄN</t>
        </is>
      </c>
      <c r="E715" t="inlineStr">
        <is>
          <t>BERG</t>
        </is>
      </c>
      <c r="G715" t="n">
        <v>4.8</v>
      </c>
      <c r="H715" t="n">
        <v>0</v>
      </c>
      <c r="I715" t="n">
        <v>0</v>
      </c>
      <c r="J715" t="n">
        <v>0</v>
      </c>
      <c r="K715" t="n">
        <v>0</v>
      </c>
      <c r="L715" t="n">
        <v>0</v>
      </c>
      <c r="M715" t="n">
        <v>0</v>
      </c>
      <c r="N715" t="n">
        <v>0</v>
      </c>
      <c r="O715" t="n">
        <v>0</v>
      </c>
      <c r="P715" t="n">
        <v>0</v>
      </c>
      <c r="Q715" t="n">
        <v>0</v>
      </c>
      <c r="R715" s="2" t="inlineStr"/>
    </row>
    <row r="716" ht="15" customHeight="1">
      <c r="A716" t="inlineStr">
        <is>
          <t>A 40339-2025</t>
        </is>
      </c>
      <c r="B716" s="1" t="n">
        <v>45895</v>
      </c>
      <c r="C716" s="1" t="n">
        <v>45914</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42378-2025</t>
        </is>
      </c>
      <c r="B717" s="1" t="n">
        <v>45905.34423611111</v>
      </c>
      <c r="C717" s="1" t="n">
        <v>45914</v>
      </c>
      <c r="D717" t="inlineStr">
        <is>
          <t>JÄMTLANDS LÄN</t>
        </is>
      </c>
      <c r="E717" t="inlineStr">
        <is>
          <t>BERG</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42415-2025</t>
        </is>
      </c>
      <c r="B718" s="1" t="n">
        <v>45905.39195601852</v>
      </c>
      <c r="C718" s="1" t="n">
        <v>45914</v>
      </c>
      <c r="D718" t="inlineStr">
        <is>
          <t>JÄMTLANDS LÄN</t>
        </is>
      </c>
      <c r="E718" t="inlineStr">
        <is>
          <t>BERG</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2472-2025</t>
        </is>
      </c>
      <c r="B719" s="1" t="n">
        <v>45674.47341435185</v>
      </c>
      <c r="C719" s="1" t="n">
        <v>45914</v>
      </c>
      <c r="D719" t="inlineStr">
        <is>
          <t>JÄMTLANDS LÄN</t>
        </is>
      </c>
      <c r="E719" t="inlineStr">
        <is>
          <t>BERG</t>
        </is>
      </c>
      <c r="G719" t="n">
        <v>2.6</v>
      </c>
      <c r="H719" t="n">
        <v>0</v>
      </c>
      <c r="I719" t="n">
        <v>0</v>
      </c>
      <c r="J719" t="n">
        <v>0</v>
      </c>
      <c r="K719" t="n">
        <v>0</v>
      </c>
      <c r="L719" t="n">
        <v>0</v>
      </c>
      <c r="M719" t="n">
        <v>0</v>
      </c>
      <c r="N719" t="n">
        <v>0</v>
      </c>
      <c r="O719" t="n">
        <v>0</v>
      </c>
      <c r="P719" t="n">
        <v>0</v>
      </c>
      <c r="Q719" t="n">
        <v>0</v>
      </c>
      <c r="R719" s="2" t="inlineStr"/>
    </row>
    <row r="720" ht="15" customHeight="1">
      <c r="A720" t="inlineStr">
        <is>
          <t>A 2474-2025</t>
        </is>
      </c>
      <c r="B720" s="1" t="n">
        <v>45674.47496527778</v>
      </c>
      <c r="C720" s="1" t="n">
        <v>45914</v>
      </c>
      <c r="D720" t="inlineStr">
        <is>
          <t>JÄMTLANDS LÄN</t>
        </is>
      </c>
      <c r="E720" t="inlineStr">
        <is>
          <t>BERG</t>
        </is>
      </c>
      <c r="G720" t="n">
        <v>1.2</v>
      </c>
      <c r="H720" t="n">
        <v>0</v>
      </c>
      <c r="I720" t="n">
        <v>0</v>
      </c>
      <c r="J720" t="n">
        <v>0</v>
      </c>
      <c r="K720" t="n">
        <v>0</v>
      </c>
      <c r="L720" t="n">
        <v>0</v>
      </c>
      <c r="M720" t="n">
        <v>0</v>
      </c>
      <c r="N720" t="n">
        <v>0</v>
      </c>
      <c r="O720" t="n">
        <v>0</v>
      </c>
      <c r="P720" t="n">
        <v>0</v>
      </c>
      <c r="Q720" t="n">
        <v>0</v>
      </c>
      <c r="R720" s="2" t="inlineStr"/>
    </row>
    <row r="721" ht="15" customHeight="1">
      <c r="A721" t="inlineStr">
        <is>
          <t>A 40266-2025</t>
        </is>
      </c>
      <c r="B721" s="1" t="n">
        <v>45895.34478009259</v>
      </c>
      <c r="C721" s="1" t="n">
        <v>45914</v>
      </c>
      <c r="D721" t="inlineStr">
        <is>
          <t>JÄMTLANDS LÄN</t>
        </is>
      </c>
      <c r="E721" t="inlineStr">
        <is>
          <t>BERG</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42862-2025</t>
        </is>
      </c>
      <c r="B722" s="1" t="n">
        <v>45908.61515046296</v>
      </c>
      <c r="C722" s="1" t="n">
        <v>45914</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18872-2023</t>
        </is>
      </c>
      <c r="B723" s="1" t="n">
        <v>45042</v>
      </c>
      <c r="C723" s="1" t="n">
        <v>45914</v>
      </c>
      <c r="D723" t="inlineStr">
        <is>
          <t>JÄMTLANDS LÄN</t>
        </is>
      </c>
      <c r="E723" t="inlineStr">
        <is>
          <t>BERG</t>
        </is>
      </c>
      <c r="G723" t="n">
        <v>13.2</v>
      </c>
      <c r="H723" t="n">
        <v>0</v>
      </c>
      <c r="I723" t="n">
        <v>0</v>
      </c>
      <c r="J723" t="n">
        <v>0</v>
      </c>
      <c r="K723" t="n">
        <v>0</v>
      </c>
      <c r="L723" t="n">
        <v>0</v>
      </c>
      <c r="M723" t="n">
        <v>0</v>
      </c>
      <c r="N723" t="n">
        <v>0</v>
      </c>
      <c r="O723" t="n">
        <v>0</v>
      </c>
      <c r="P723" t="n">
        <v>0</v>
      </c>
      <c r="Q723" t="n">
        <v>0</v>
      </c>
      <c r="R723" s="2" t="inlineStr"/>
    </row>
    <row r="724" ht="15" customHeight="1">
      <c r="A724" t="inlineStr">
        <is>
          <t>A 36142-2025</t>
        </is>
      </c>
      <c r="B724" s="1" t="n">
        <v>45866</v>
      </c>
      <c r="C724" s="1" t="n">
        <v>45914</v>
      </c>
      <c r="D724" t="inlineStr">
        <is>
          <t>JÄMTLANDS LÄN</t>
        </is>
      </c>
      <c r="E724" t="inlineStr">
        <is>
          <t>BERG</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40340-2025</t>
        </is>
      </c>
      <c r="B725" s="1" t="n">
        <v>45895.46922453704</v>
      </c>
      <c r="C725" s="1" t="n">
        <v>45914</v>
      </c>
      <c r="D725" t="inlineStr">
        <is>
          <t>JÄMTLANDS LÄN</t>
        </is>
      </c>
      <c r="E725" t="inlineStr">
        <is>
          <t>BERG</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42439-2025</t>
        </is>
      </c>
      <c r="B726" s="1" t="n">
        <v>45905.42969907408</v>
      </c>
      <c r="C726" s="1" t="n">
        <v>45914</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50780-2021</t>
        </is>
      </c>
      <c r="B727" s="1" t="n">
        <v>44459</v>
      </c>
      <c r="C727" s="1" t="n">
        <v>45914</v>
      </c>
      <c r="D727" t="inlineStr">
        <is>
          <t>JÄMTLANDS LÄN</t>
        </is>
      </c>
      <c r="E727" t="inlineStr">
        <is>
          <t>BERG</t>
        </is>
      </c>
      <c r="G727" t="n">
        <v>3.5</v>
      </c>
      <c r="H727" t="n">
        <v>0</v>
      </c>
      <c r="I727" t="n">
        <v>0</v>
      </c>
      <c r="J727" t="n">
        <v>0</v>
      </c>
      <c r="K727" t="n">
        <v>0</v>
      </c>
      <c r="L727" t="n">
        <v>0</v>
      </c>
      <c r="M727" t="n">
        <v>0</v>
      </c>
      <c r="N727" t="n">
        <v>0</v>
      </c>
      <c r="O727" t="n">
        <v>0</v>
      </c>
      <c r="P727" t="n">
        <v>0</v>
      </c>
      <c r="Q727" t="n">
        <v>0</v>
      </c>
      <c r="R727" s="2" t="inlineStr"/>
    </row>
    <row r="728" ht="15" customHeight="1">
      <c r="A728" t="inlineStr">
        <is>
          <t>A 40824-2023</t>
        </is>
      </c>
      <c r="B728" s="1" t="n">
        <v>45171</v>
      </c>
      <c r="C728" s="1" t="n">
        <v>45914</v>
      </c>
      <c r="D728" t="inlineStr">
        <is>
          <t>JÄMTLANDS LÄN</t>
        </is>
      </c>
      <c r="E728" t="inlineStr">
        <is>
          <t>BERG</t>
        </is>
      </c>
      <c r="G728" t="n">
        <v>0.5</v>
      </c>
      <c r="H728" t="n">
        <v>0</v>
      </c>
      <c r="I728" t="n">
        <v>0</v>
      </c>
      <c r="J728" t="n">
        <v>0</v>
      </c>
      <c r="K728" t="n">
        <v>0</v>
      </c>
      <c r="L728" t="n">
        <v>0</v>
      </c>
      <c r="M728" t="n">
        <v>0</v>
      </c>
      <c r="N728" t="n">
        <v>0</v>
      </c>
      <c r="O728" t="n">
        <v>0</v>
      </c>
      <c r="P728" t="n">
        <v>0</v>
      </c>
      <c r="Q728" t="n">
        <v>0</v>
      </c>
      <c r="R728" s="2" t="inlineStr"/>
    </row>
    <row r="729" ht="15" customHeight="1">
      <c r="A729" t="inlineStr">
        <is>
          <t>A 43137-2025</t>
        </is>
      </c>
      <c r="B729" s="1" t="n">
        <v>45909.85438657407</v>
      </c>
      <c r="C729" s="1" t="n">
        <v>45914</v>
      </c>
      <c r="D729" t="inlineStr">
        <is>
          <t>JÄMTLANDS LÄN</t>
        </is>
      </c>
      <c r="E729" t="inlineStr">
        <is>
          <t>BERG</t>
        </is>
      </c>
      <c r="F729" t="inlineStr">
        <is>
          <t>Övriga statliga verk och myndigheter</t>
        </is>
      </c>
      <c r="G729" t="n">
        <v>11.6</v>
      </c>
      <c r="H729" t="n">
        <v>0</v>
      </c>
      <c r="I729" t="n">
        <v>0</v>
      </c>
      <c r="J729" t="n">
        <v>0</v>
      </c>
      <c r="K729" t="n">
        <v>0</v>
      </c>
      <c r="L729" t="n">
        <v>0</v>
      </c>
      <c r="M729" t="n">
        <v>0</v>
      </c>
      <c r="N729" t="n">
        <v>0</v>
      </c>
      <c r="O729" t="n">
        <v>0</v>
      </c>
      <c r="P729" t="n">
        <v>0</v>
      </c>
      <c r="Q729" t="n">
        <v>0</v>
      </c>
      <c r="R729" s="2" t="inlineStr"/>
    </row>
    <row r="730" ht="15" customHeight="1">
      <c r="A730" t="inlineStr">
        <is>
          <t>A 43015-2025</t>
        </is>
      </c>
      <c r="B730" s="1" t="n">
        <v>45909.49278935185</v>
      </c>
      <c r="C730" s="1" t="n">
        <v>45914</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47119-2024</t>
        </is>
      </c>
      <c r="B731" s="1" t="n">
        <v>45586.56431712963</v>
      </c>
      <c r="C731" s="1" t="n">
        <v>45914</v>
      </c>
      <c r="D731" t="inlineStr">
        <is>
          <t>JÄMTLANDS LÄN</t>
        </is>
      </c>
      <c r="E731" t="inlineStr">
        <is>
          <t>BERG</t>
        </is>
      </c>
      <c r="G731" t="n">
        <v>5</v>
      </c>
      <c r="H731" t="n">
        <v>0</v>
      </c>
      <c r="I731" t="n">
        <v>0</v>
      </c>
      <c r="J731" t="n">
        <v>0</v>
      </c>
      <c r="K731" t="n">
        <v>0</v>
      </c>
      <c r="L731" t="n">
        <v>0</v>
      </c>
      <c r="M731" t="n">
        <v>0</v>
      </c>
      <c r="N731" t="n">
        <v>0</v>
      </c>
      <c r="O731" t="n">
        <v>0</v>
      </c>
      <c r="P731" t="n">
        <v>0</v>
      </c>
      <c r="Q731" t="n">
        <v>0</v>
      </c>
      <c r="R731" s="2" t="inlineStr"/>
    </row>
    <row r="732" ht="15" customHeight="1">
      <c r="A732" t="inlineStr">
        <is>
          <t>A 36377-2025</t>
        </is>
      </c>
      <c r="B732" s="1" t="n">
        <v>45868.57342592593</v>
      </c>
      <c r="C732" s="1" t="n">
        <v>45914</v>
      </c>
      <c r="D732" t="inlineStr">
        <is>
          <t>JÄMTLANDS LÄN</t>
        </is>
      </c>
      <c r="E732" t="inlineStr">
        <is>
          <t>BERG</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1982-2022</t>
        </is>
      </c>
      <c r="B733" s="1" t="n">
        <v>44575</v>
      </c>
      <c r="C733" s="1" t="n">
        <v>45914</v>
      </c>
      <c r="D733" t="inlineStr">
        <is>
          <t>JÄMTLANDS LÄN</t>
        </is>
      </c>
      <c r="E733" t="inlineStr">
        <is>
          <t>BERG</t>
        </is>
      </c>
      <c r="G733" t="n">
        <v>1.6</v>
      </c>
      <c r="H733" t="n">
        <v>0</v>
      </c>
      <c r="I733" t="n">
        <v>0</v>
      </c>
      <c r="J733" t="n">
        <v>0</v>
      </c>
      <c r="K733" t="n">
        <v>0</v>
      </c>
      <c r="L733" t="n">
        <v>0</v>
      </c>
      <c r="M733" t="n">
        <v>0</v>
      </c>
      <c r="N733" t="n">
        <v>0</v>
      </c>
      <c r="O733" t="n">
        <v>0</v>
      </c>
      <c r="P733" t="n">
        <v>0</v>
      </c>
      <c r="Q733" t="n">
        <v>0</v>
      </c>
      <c r="R733" s="2" t="inlineStr"/>
    </row>
    <row r="734" ht="15" customHeight="1">
      <c r="A734" t="inlineStr">
        <is>
          <t>A 1989-2022</t>
        </is>
      </c>
      <c r="B734" s="1" t="n">
        <v>44575.55935185185</v>
      </c>
      <c r="C734" s="1" t="n">
        <v>45914</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22030-2025</t>
        </is>
      </c>
      <c r="B735" s="1" t="n">
        <v>45785.25814814815</v>
      </c>
      <c r="C735" s="1" t="n">
        <v>45914</v>
      </c>
      <c r="D735" t="inlineStr">
        <is>
          <t>JÄMTLANDS LÄN</t>
        </is>
      </c>
      <c r="E735" t="inlineStr">
        <is>
          <t>BERG</t>
        </is>
      </c>
      <c r="G735" t="n">
        <v>5</v>
      </c>
      <c r="H735" t="n">
        <v>0</v>
      </c>
      <c r="I735" t="n">
        <v>0</v>
      </c>
      <c r="J735" t="n">
        <v>0</v>
      </c>
      <c r="K735" t="n">
        <v>0</v>
      </c>
      <c r="L735" t="n">
        <v>0</v>
      </c>
      <c r="M735" t="n">
        <v>0</v>
      </c>
      <c r="N735" t="n">
        <v>0</v>
      </c>
      <c r="O735" t="n">
        <v>0</v>
      </c>
      <c r="P735" t="n">
        <v>0</v>
      </c>
      <c r="Q735" t="n">
        <v>0</v>
      </c>
      <c r="R735" s="2" t="inlineStr"/>
    </row>
    <row r="736" ht="15" customHeight="1">
      <c r="A736" t="inlineStr">
        <is>
          <t>A 41866-2024</t>
        </is>
      </c>
      <c r="B736" s="1" t="n">
        <v>45561.46454861111</v>
      </c>
      <c r="C736" s="1" t="n">
        <v>45914</v>
      </c>
      <c r="D736" t="inlineStr">
        <is>
          <t>JÄMTLANDS LÄN</t>
        </is>
      </c>
      <c r="E736" t="inlineStr">
        <is>
          <t>BERG</t>
        </is>
      </c>
      <c r="G736" t="n">
        <v>2.8</v>
      </c>
      <c r="H736" t="n">
        <v>0</v>
      </c>
      <c r="I736" t="n">
        <v>0</v>
      </c>
      <c r="J736" t="n">
        <v>0</v>
      </c>
      <c r="K736" t="n">
        <v>0</v>
      </c>
      <c r="L736" t="n">
        <v>0</v>
      </c>
      <c r="M736" t="n">
        <v>0</v>
      </c>
      <c r="N736" t="n">
        <v>0</v>
      </c>
      <c r="O736" t="n">
        <v>0</v>
      </c>
      <c r="P736" t="n">
        <v>0</v>
      </c>
      <c r="Q736" t="n">
        <v>0</v>
      </c>
      <c r="R736" s="2" t="inlineStr"/>
    </row>
    <row r="737" ht="15" customHeight="1">
      <c r="A737" t="inlineStr">
        <is>
          <t>A 43441-2025</t>
        </is>
      </c>
      <c r="B737" s="1" t="n">
        <v>45911.44184027778</v>
      </c>
      <c r="C737" s="1" t="n">
        <v>45914</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43442-2025</t>
        </is>
      </c>
      <c r="B738" s="1" t="n">
        <v>45911.44244212963</v>
      </c>
      <c r="C738" s="1" t="n">
        <v>45914</v>
      </c>
      <c r="D738" t="inlineStr">
        <is>
          <t>JÄMTLANDS LÄN</t>
        </is>
      </c>
      <c r="E738" t="inlineStr">
        <is>
          <t>BERG</t>
        </is>
      </c>
      <c r="G738" t="n">
        <v>3.8</v>
      </c>
      <c r="H738" t="n">
        <v>0</v>
      </c>
      <c r="I738" t="n">
        <v>0</v>
      </c>
      <c r="J738" t="n">
        <v>0</v>
      </c>
      <c r="K738" t="n">
        <v>0</v>
      </c>
      <c r="L738" t="n">
        <v>0</v>
      </c>
      <c r="M738" t="n">
        <v>0</v>
      </c>
      <c r="N738" t="n">
        <v>0</v>
      </c>
      <c r="O738" t="n">
        <v>0</v>
      </c>
      <c r="P738" t="n">
        <v>0</v>
      </c>
      <c r="Q738" t="n">
        <v>0</v>
      </c>
      <c r="R738" s="2" t="inlineStr"/>
    </row>
    <row r="739" ht="15" customHeight="1">
      <c r="A739" t="inlineStr">
        <is>
          <t>A 43443-2025</t>
        </is>
      </c>
      <c r="B739" s="1" t="n">
        <v>45911.44350694444</v>
      </c>
      <c r="C739" s="1" t="n">
        <v>45914</v>
      </c>
      <c r="D739" t="inlineStr">
        <is>
          <t>JÄMTLANDS LÄN</t>
        </is>
      </c>
      <c r="E739" t="inlineStr">
        <is>
          <t>BERG</t>
        </is>
      </c>
      <c r="G739" t="n">
        <v>2.7</v>
      </c>
      <c r="H739" t="n">
        <v>0</v>
      </c>
      <c r="I739" t="n">
        <v>0</v>
      </c>
      <c r="J739" t="n">
        <v>0</v>
      </c>
      <c r="K739" t="n">
        <v>0</v>
      </c>
      <c r="L739" t="n">
        <v>0</v>
      </c>
      <c r="M739" t="n">
        <v>0</v>
      </c>
      <c r="N739" t="n">
        <v>0</v>
      </c>
      <c r="O739" t="n">
        <v>0</v>
      </c>
      <c r="P739" t="n">
        <v>0</v>
      </c>
      <c r="Q739" t="n">
        <v>0</v>
      </c>
      <c r="R739" s="2" t="inlineStr"/>
    </row>
    <row r="740" ht="15" customHeight="1">
      <c r="A740" t="inlineStr">
        <is>
          <t>A 14198-2023</t>
        </is>
      </c>
      <c r="B740" s="1" t="n">
        <v>45009.57518518518</v>
      </c>
      <c r="C740" s="1" t="n">
        <v>45914</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41264-2025</t>
        </is>
      </c>
      <c r="B741" s="1" t="n">
        <v>45898</v>
      </c>
      <c r="C741" s="1" t="n">
        <v>45914</v>
      </c>
      <c r="D741" t="inlineStr">
        <is>
          <t>JÄMTLANDS LÄN</t>
        </is>
      </c>
      <c r="E741" t="inlineStr">
        <is>
          <t>BERG</t>
        </is>
      </c>
      <c r="G741" t="n">
        <v>17.4</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45914</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43458-2025</t>
        </is>
      </c>
      <c r="B743" s="1" t="n">
        <v>45911.46315972223</v>
      </c>
      <c r="C743" s="1" t="n">
        <v>45914</v>
      </c>
      <c r="D743" t="inlineStr">
        <is>
          <t>JÄMTLANDS LÄN</t>
        </is>
      </c>
      <c r="E743" t="inlineStr">
        <is>
          <t>BERG</t>
        </is>
      </c>
      <c r="G743" t="n">
        <v>11.2</v>
      </c>
      <c r="H743" t="n">
        <v>0</v>
      </c>
      <c r="I743" t="n">
        <v>0</v>
      </c>
      <c r="J743" t="n">
        <v>0</v>
      </c>
      <c r="K743" t="n">
        <v>0</v>
      </c>
      <c r="L743" t="n">
        <v>0</v>
      </c>
      <c r="M743" t="n">
        <v>0</v>
      </c>
      <c r="N743" t="n">
        <v>0</v>
      </c>
      <c r="O743" t="n">
        <v>0</v>
      </c>
      <c r="P743" t="n">
        <v>0</v>
      </c>
      <c r="Q743" t="n">
        <v>0</v>
      </c>
      <c r="R743" s="2" t="inlineStr"/>
    </row>
    <row r="744" ht="15" customHeight="1">
      <c r="A744" t="inlineStr">
        <is>
          <t>A 43560-2025</t>
        </is>
      </c>
      <c r="B744" s="1" t="n">
        <v>45911.62758101852</v>
      </c>
      <c r="C744" s="1" t="n">
        <v>45914</v>
      </c>
      <c r="D744" t="inlineStr">
        <is>
          <t>JÄMTLANDS LÄN</t>
        </is>
      </c>
      <c r="E744" t="inlineStr">
        <is>
          <t>BERG</t>
        </is>
      </c>
      <c r="G744" t="n">
        <v>10</v>
      </c>
      <c r="H744" t="n">
        <v>0</v>
      </c>
      <c r="I744" t="n">
        <v>0</v>
      </c>
      <c r="J744" t="n">
        <v>0</v>
      </c>
      <c r="K744" t="n">
        <v>0</v>
      </c>
      <c r="L744" t="n">
        <v>0</v>
      </c>
      <c r="M744" t="n">
        <v>0</v>
      </c>
      <c r="N744" t="n">
        <v>0</v>
      </c>
      <c r="O744" t="n">
        <v>0</v>
      </c>
      <c r="P744" t="n">
        <v>0</v>
      </c>
      <c r="Q744" t="n">
        <v>0</v>
      </c>
      <c r="R744" s="2" t="inlineStr"/>
    </row>
    <row r="745" ht="15" customHeight="1">
      <c r="A745" t="inlineStr">
        <is>
          <t>A 43567-2025</t>
        </is>
      </c>
      <c r="B745" s="1" t="n">
        <v>45911.6327662037</v>
      </c>
      <c r="C745" s="1" t="n">
        <v>45914</v>
      </c>
      <c r="D745" t="inlineStr">
        <is>
          <t>JÄMTLANDS LÄN</t>
        </is>
      </c>
      <c r="E745" t="inlineStr">
        <is>
          <t>BERG</t>
        </is>
      </c>
      <c r="G745" t="n">
        <v>7.7</v>
      </c>
      <c r="H745" t="n">
        <v>0</v>
      </c>
      <c r="I745" t="n">
        <v>0</v>
      </c>
      <c r="J745" t="n">
        <v>0</v>
      </c>
      <c r="K745" t="n">
        <v>0</v>
      </c>
      <c r="L745" t="n">
        <v>0</v>
      </c>
      <c r="M745" t="n">
        <v>0</v>
      </c>
      <c r="N745" t="n">
        <v>0</v>
      </c>
      <c r="O745" t="n">
        <v>0</v>
      </c>
      <c r="P745" t="n">
        <v>0</v>
      </c>
      <c r="Q745" t="n">
        <v>0</v>
      </c>
      <c r="R745" s="2" t="inlineStr"/>
    </row>
    <row r="746" ht="15" customHeight="1">
      <c r="A746" t="inlineStr">
        <is>
          <t>A 43364-2025</t>
        </is>
      </c>
      <c r="B746" s="1" t="n">
        <v>45911.34483796296</v>
      </c>
      <c r="C746" s="1" t="n">
        <v>45914</v>
      </c>
      <c r="D746" t="inlineStr">
        <is>
          <t>JÄMTLANDS LÄN</t>
        </is>
      </c>
      <c r="E746" t="inlineStr">
        <is>
          <t>BERG</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38080-2025</t>
        </is>
      </c>
      <c r="B747" s="1" t="n">
        <v>45882</v>
      </c>
      <c r="C747" s="1" t="n">
        <v>45914</v>
      </c>
      <c r="D747" t="inlineStr">
        <is>
          <t>JÄMTLANDS LÄN</t>
        </is>
      </c>
      <c r="E747" t="inlineStr">
        <is>
          <t>BERG</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43456-2025</t>
        </is>
      </c>
      <c r="B748" s="1" t="n">
        <v>45911.46148148148</v>
      </c>
      <c r="C748" s="1" t="n">
        <v>45914</v>
      </c>
      <c r="D748" t="inlineStr">
        <is>
          <t>JÄMTLANDS LÄN</t>
        </is>
      </c>
      <c r="E748" t="inlineStr">
        <is>
          <t>BERG</t>
        </is>
      </c>
      <c r="G748" t="n">
        <v>1</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45914</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59526-2024</t>
        </is>
      </c>
      <c r="B750" s="1" t="n">
        <v>45638.58019675926</v>
      </c>
      <c r="C750" s="1" t="n">
        <v>45914</v>
      </c>
      <c r="D750" t="inlineStr">
        <is>
          <t>JÄMTLANDS LÄN</t>
        </is>
      </c>
      <c r="E750" t="inlineStr">
        <is>
          <t>BERG</t>
        </is>
      </c>
      <c r="G750" t="n">
        <v>1</v>
      </c>
      <c r="H750" t="n">
        <v>0</v>
      </c>
      <c r="I750" t="n">
        <v>0</v>
      </c>
      <c r="J750" t="n">
        <v>0</v>
      </c>
      <c r="K750" t="n">
        <v>0</v>
      </c>
      <c r="L750" t="n">
        <v>0</v>
      </c>
      <c r="M750" t="n">
        <v>0</v>
      </c>
      <c r="N750" t="n">
        <v>0</v>
      </c>
      <c r="O750" t="n">
        <v>0</v>
      </c>
      <c r="P750" t="n">
        <v>0</v>
      </c>
      <c r="Q750" t="n">
        <v>0</v>
      </c>
      <c r="R750" s="2" t="inlineStr"/>
    </row>
    <row r="751" ht="15" customHeight="1">
      <c r="A751" t="inlineStr">
        <is>
          <t>A 14930-2025</t>
        </is>
      </c>
      <c r="B751" s="1" t="n">
        <v>45743</v>
      </c>
      <c r="C751" s="1" t="n">
        <v>45914</v>
      </c>
      <c r="D751" t="inlineStr">
        <is>
          <t>JÄMTLANDS LÄN</t>
        </is>
      </c>
      <c r="E751" t="inlineStr">
        <is>
          <t>BERG</t>
        </is>
      </c>
      <c r="F751" t="inlineStr">
        <is>
          <t>SCA</t>
        </is>
      </c>
      <c r="G751" t="n">
        <v>27.8</v>
      </c>
      <c r="H751" t="n">
        <v>0</v>
      </c>
      <c r="I751" t="n">
        <v>0</v>
      </c>
      <c r="J751" t="n">
        <v>0</v>
      </c>
      <c r="K751" t="n">
        <v>0</v>
      </c>
      <c r="L751" t="n">
        <v>0</v>
      </c>
      <c r="M751" t="n">
        <v>0</v>
      </c>
      <c r="N751" t="n">
        <v>0</v>
      </c>
      <c r="O751" t="n">
        <v>0</v>
      </c>
      <c r="P751" t="n">
        <v>0</v>
      </c>
      <c r="Q751" t="n">
        <v>0</v>
      </c>
      <c r="R751" s="2" t="inlineStr"/>
    </row>
    <row r="752" ht="15" customHeight="1">
      <c r="A752" t="inlineStr">
        <is>
          <t>A 64752-2023</t>
        </is>
      </c>
      <c r="B752" s="1" t="n">
        <v>45281.92891203704</v>
      </c>
      <c r="C752" s="1" t="n">
        <v>45914</v>
      </c>
      <c r="D752" t="inlineStr">
        <is>
          <t>JÄMTLANDS LÄN</t>
        </is>
      </c>
      <c r="E752" t="inlineStr">
        <is>
          <t>BERG</t>
        </is>
      </c>
      <c r="F752" t="inlineStr">
        <is>
          <t>Övriga Aktiebolag</t>
        </is>
      </c>
      <c r="G752" t="n">
        <v>3.4</v>
      </c>
      <c r="H752" t="n">
        <v>0</v>
      </c>
      <c r="I752" t="n">
        <v>0</v>
      </c>
      <c r="J752" t="n">
        <v>0</v>
      </c>
      <c r="K752" t="n">
        <v>0</v>
      </c>
      <c r="L752" t="n">
        <v>0</v>
      </c>
      <c r="M752" t="n">
        <v>0</v>
      </c>
      <c r="N752" t="n">
        <v>0</v>
      </c>
      <c r="O752" t="n">
        <v>0</v>
      </c>
      <c r="P752" t="n">
        <v>0</v>
      </c>
      <c r="Q752" t="n">
        <v>0</v>
      </c>
      <c r="R752" s="2" t="inlineStr"/>
    </row>
    <row r="753" ht="15" customHeight="1">
      <c r="A753" t="inlineStr">
        <is>
          <t>A 39418-2025</t>
        </is>
      </c>
      <c r="B753" s="1" t="n">
        <v>45889</v>
      </c>
      <c r="C753" s="1" t="n">
        <v>45914</v>
      </c>
      <c r="D753" t="inlineStr">
        <is>
          <t>JÄMTLANDS LÄN</t>
        </is>
      </c>
      <c r="E753" t="inlineStr">
        <is>
          <t>BERG</t>
        </is>
      </c>
      <c r="G753" t="n">
        <v>19.8</v>
      </c>
      <c r="H753" t="n">
        <v>0</v>
      </c>
      <c r="I753" t="n">
        <v>0</v>
      </c>
      <c r="J753" t="n">
        <v>0</v>
      </c>
      <c r="K753" t="n">
        <v>0</v>
      </c>
      <c r="L753" t="n">
        <v>0</v>
      </c>
      <c r="M753" t="n">
        <v>0</v>
      </c>
      <c r="N753" t="n">
        <v>0</v>
      </c>
      <c r="O753" t="n">
        <v>0</v>
      </c>
      <c r="P753" t="n">
        <v>0</v>
      </c>
      <c r="Q753" t="n">
        <v>0</v>
      </c>
      <c r="R753" s="2" t="inlineStr"/>
    </row>
    <row r="754" ht="15" customHeight="1">
      <c r="A754" t="inlineStr">
        <is>
          <t>A 40341-2025</t>
        </is>
      </c>
      <c r="B754" s="1" t="n">
        <v>45895</v>
      </c>
      <c r="C754" s="1" t="n">
        <v>45914</v>
      </c>
      <c r="D754" t="inlineStr">
        <is>
          <t>JÄMTLANDS LÄN</t>
        </is>
      </c>
      <c r="E754" t="inlineStr">
        <is>
          <t>BERG</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40630-2025</t>
        </is>
      </c>
      <c r="B755" s="1" t="n">
        <v>45896</v>
      </c>
      <c r="C755" s="1" t="n">
        <v>45914</v>
      </c>
      <c r="D755" t="inlineStr">
        <is>
          <t>JÄMTLANDS LÄN</t>
        </is>
      </c>
      <c r="E755" t="inlineStr">
        <is>
          <t>BERG</t>
        </is>
      </c>
      <c r="G755" t="n">
        <v>2.1</v>
      </c>
      <c r="H755" t="n">
        <v>0</v>
      </c>
      <c r="I755" t="n">
        <v>0</v>
      </c>
      <c r="J755" t="n">
        <v>0</v>
      </c>
      <c r="K755" t="n">
        <v>0</v>
      </c>
      <c r="L755" t="n">
        <v>0</v>
      </c>
      <c r="M755" t="n">
        <v>0</v>
      </c>
      <c r="N755" t="n">
        <v>0</v>
      </c>
      <c r="O755" t="n">
        <v>0</v>
      </c>
      <c r="P755" t="n">
        <v>0</v>
      </c>
      <c r="Q755" t="n">
        <v>0</v>
      </c>
      <c r="R755" s="2" t="inlineStr"/>
    </row>
    <row r="756" ht="15" customHeight="1">
      <c r="A756" t="inlineStr">
        <is>
          <t>A 8069-2024</t>
        </is>
      </c>
      <c r="B756" s="1" t="n">
        <v>45351.41600694445</v>
      </c>
      <c r="C756" s="1" t="n">
        <v>45914</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7447-2022</t>
        </is>
      </c>
      <c r="B757" s="1" t="n">
        <v>44606</v>
      </c>
      <c r="C757" s="1" t="n">
        <v>45914</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44313-2023</t>
        </is>
      </c>
      <c r="B758" s="1" t="n">
        <v>45188.6505787037</v>
      </c>
      <c r="C758" s="1" t="n">
        <v>45914</v>
      </c>
      <c r="D758" t="inlineStr">
        <is>
          <t>JÄMTLANDS LÄN</t>
        </is>
      </c>
      <c r="E758" t="inlineStr">
        <is>
          <t>BERG</t>
        </is>
      </c>
      <c r="F758" t="inlineStr">
        <is>
          <t>Sveaskog</t>
        </is>
      </c>
      <c r="G758" t="n">
        <v>2.2</v>
      </c>
      <c r="H758" t="n">
        <v>0</v>
      </c>
      <c r="I758" t="n">
        <v>0</v>
      </c>
      <c r="J758" t="n">
        <v>0</v>
      </c>
      <c r="K758" t="n">
        <v>0</v>
      </c>
      <c r="L758" t="n">
        <v>0</v>
      </c>
      <c r="M758" t="n">
        <v>0</v>
      </c>
      <c r="N758" t="n">
        <v>0</v>
      </c>
      <c r="O758" t="n">
        <v>0</v>
      </c>
      <c r="P758" t="n">
        <v>0</v>
      </c>
      <c r="Q758" t="n">
        <v>0</v>
      </c>
      <c r="R758" s="2" t="inlineStr"/>
    </row>
    <row r="759" ht="15" customHeight="1">
      <c r="A759" t="inlineStr">
        <is>
          <t>A 38-2024</t>
        </is>
      </c>
      <c r="B759" s="1" t="n">
        <v>45293</v>
      </c>
      <c r="C759" s="1" t="n">
        <v>45914</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46991-2024</t>
        </is>
      </c>
      <c r="B760" s="1" t="n">
        <v>45586.365625</v>
      </c>
      <c r="C760" s="1" t="n">
        <v>45914</v>
      </c>
      <c r="D760" t="inlineStr">
        <is>
          <t>JÄMTLANDS LÄN</t>
        </is>
      </c>
      <c r="E760" t="inlineStr">
        <is>
          <t>BERG</t>
        </is>
      </c>
      <c r="G760" t="n">
        <v>2.9</v>
      </c>
      <c r="H760" t="n">
        <v>0</v>
      </c>
      <c r="I760" t="n">
        <v>0</v>
      </c>
      <c r="J760" t="n">
        <v>0</v>
      </c>
      <c r="K760" t="n">
        <v>0</v>
      </c>
      <c r="L760" t="n">
        <v>0</v>
      </c>
      <c r="M760" t="n">
        <v>0</v>
      </c>
      <c r="N760" t="n">
        <v>0</v>
      </c>
      <c r="O760" t="n">
        <v>0</v>
      </c>
      <c r="P760" t="n">
        <v>0</v>
      </c>
      <c r="Q760" t="n">
        <v>0</v>
      </c>
      <c r="R760" s="2" t="inlineStr"/>
    </row>
    <row r="761" ht="15" customHeight="1">
      <c r="A761" t="inlineStr">
        <is>
          <t>A 31129-2024</t>
        </is>
      </c>
      <c r="B761" s="1" t="n">
        <v>45502</v>
      </c>
      <c r="C761" s="1" t="n">
        <v>45914</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18007-2024</t>
        </is>
      </c>
      <c r="B762" s="1" t="n">
        <v>45419.94912037037</v>
      </c>
      <c r="C762" s="1" t="n">
        <v>45914</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53894-2023</t>
        </is>
      </c>
      <c r="B763" s="1" t="n">
        <v>45231.53321759259</v>
      </c>
      <c r="C763" s="1" t="n">
        <v>45914</v>
      </c>
      <c r="D763" t="inlineStr">
        <is>
          <t>JÄMTLANDS LÄN</t>
        </is>
      </c>
      <c r="E763" t="inlineStr">
        <is>
          <t>BERG</t>
        </is>
      </c>
      <c r="G763" t="n">
        <v>0.5</v>
      </c>
      <c r="H763" t="n">
        <v>0</v>
      </c>
      <c r="I763" t="n">
        <v>0</v>
      </c>
      <c r="J763" t="n">
        <v>0</v>
      </c>
      <c r="K763" t="n">
        <v>0</v>
      </c>
      <c r="L763" t="n">
        <v>0</v>
      </c>
      <c r="M763" t="n">
        <v>0</v>
      </c>
      <c r="N763" t="n">
        <v>0</v>
      </c>
      <c r="O763" t="n">
        <v>0</v>
      </c>
      <c r="P763" t="n">
        <v>0</v>
      </c>
      <c r="Q763" t="n">
        <v>0</v>
      </c>
      <c r="R763" s="2" t="inlineStr"/>
    </row>
    <row r="764" ht="15" customHeight="1">
      <c r="A764" t="inlineStr">
        <is>
          <t>A 6645-2025</t>
        </is>
      </c>
      <c r="B764" s="1" t="n">
        <v>45700.39645833334</v>
      </c>
      <c r="C764" s="1" t="n">
        <v>45914</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21717-2023</t>
        </is>
      </c>
      <c r="B765" s="1" t="n">
        <v>45063</v>
      </c>
      <c r="C765" s="1" t="n">
        <v>45914</v>
      </c>
      <c r="D765" t="inlineStr">
        <is>
          <t>JÄMTLANDS LÄN</t>
        </is>
      </c>
      <c r="E765" t="inlineStr">
        <is>
          <t>BERG</t>
        </is>
      </c>
      <c r="G765" t="n">
        <v>6</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45199.97042824074</v>
      </c>
      <c r="C766" s="1" t="n">
        <v>45914</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53902-2020</t>
        </is>
      </c>
      <c r="B767" s="1" t="n">
        <v>44123</v>
      </c>
      <c r="C767" s="1" t="n">
        <v>45914</v>
      </c>
      <c r="D767" t="inlineStr">
        <is>
          <t>JÄMTLANDS LÄN</t>
        </is>
      </c>
      <c r="E767" t="inlineStr">
        <is>
          <t>BERG</t>
        </is>
      </c>
      <c r="G767" t="n">
        <v>22.5</v>
      </c>
      <c r="H767" t="n">
        <v>0</v>
      </c>
      <c r="I767" t="n">
        <v>0</v>
      </c>
      <c r="J767" t="n">
        <v>0</v>
      </c>
      <c r="K767" t="n">
        <v>0</v>
      </c>
      <c r="L767" t="n">
        <v>0</v>
      </c>
      <c r="M767" t="n">
        <v>0</v>
      </c>
      <c r="N767" t="n">
        <v>0</v>
      </c>
      <c r="O767" t="n">
        <v>0</v>
      </c>
      <c r="P767" t="n">
        <v>0</v>
      </c>
      <c r="Q767" t="n">
        <v>0</v>
      </c>
      <c r="R767" s="2" t="inlineStr"/>
    </row>
    <row r="768" ht="15" customHeight="1">
      <c r="A768" t="inlineStr">
        <is>
          <t>A 49225-2024</t>
        </is>
      </c>
      <c r="B768" s="1" t="n">
        <v>45595.4177662037</v>
      </c>
      <c r="C768" s="1" t="n">
        <v>45914</v>
      </c>
      <c r="D768" t="inlineStr">
        <is>
          <t>JÄMTLANDS LÄN</t>
        </is>
      </c>
      <c r="E768" t="inlineStr">
        <is>
          <t>BERG</t>
        </is>
      </c>
      <c r="G768" t="n">
        <v>2</v>
      </c>
      <c r="H768" t="n">
        <v>0</v>
      </c>
      <c r="I768" t="n">
        <v>0</v>
      </c>
      <c r="J768" t="n">
        <v>0</v>
      </c>
      <c r="K768" t="n">
        <v>0</v>
      </c>
      <c r="L768" t="n">
        <v>0</v>
      </c>
      <c r="M768" t="n">
        <v>0</v>
      </c>
      <c r="N768" t="n">
        <v>0</v>
      </c>
      <c r="O768" t="n">
        <v>0</v>
      </c>
      <c r="P768" t="n">
        <v>0</v>
      </c>
      <c r="Q768" t="n">
        <v>0</v>
      </c>
      <c r="R768" s="2" t="inlineStr"/>
    </row>
    <row r="769" ht="15" customHeight="1">
      <c r="A769" t="inlineStr">
        <is>
          <t>A 25565-2023</t>
        </is>
      </c>
      <c r="B769" s="1" t="n">
        <v>45082</v>
      </c>
      <c r="C769" s="1" t="n">
        <v>45914</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56226-2024</t>
        </is>
      </c>
      <c r="B770" s="1" t="n">
        <v>45624.61572916667</v>
      </c>
      <c r="C770" s="1" t="n">
        <v>45914</v>
      </c>
      <c r="D770" t="inlineStr">
        <is>
          <t>JÄMTLANDS LÄN</t>
        </is>
      </c>
      <c r="E770" t="inlineStr">
        <is>
          <t>BERG</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54863-2023</t>
        </is>
      </c>
      <c r="B771" s="1" t="n">
        <v>45236</v>
      </c>
      <c r="C771" s="1" t="n">
        <v>45914</v>
      </c>
      <c r="D771" t="inlineStr">
        <is>
          <t>JÄMTLANDS LÄN</t>
        </is>
      </c>
      <c r="E771" t="inlineStr">
        <is>
          <t>BERG</t>
        </is>
      </c>
      <c r="G771" t="n">
        <v>3.3</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45914</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4476-2025</t>
        </is>
      </c>
      <c r="B773" s="1" t="n">
        <v>45686.62828703703</v>
      </c>
      <c r="C773" s="1" t="n">
        <v>45914</v>
      </c>
      <c r="D773" t="inlineStr">
        <is>
          <t>JÄMTLANDS LÄN</t>
        </is>
      </c>
      <c r="E773" t="inlineStr">
        <is>
          <t>BERG</t>
        </is>
      </c>
      <c r="G773" t="n">
        <v>1.3</v>
      </c>
      <c r="H773" t="n">
        <v>0</v>
      </c>
      <c r="I773" t="n">
        <v>0</v>
      </c>
      <c r="J773" t="n">
        <v>0</v>
      </c>
      <c r="K773" t="n">
        <v>0</v>
      </c>
      <c r="L773" t="n">
        <v>0</v>
      </c>
      <c r="M773" t="n">
        <v>0</v>
      </c>
      <c r="N773" t="n">
        <v>0</v>
      </c>
      <c r="O773" t="n">
        <v>0</v>
      </c>
      <c r="P773" t="n">
        <v>0</v>
      </c>
      <c r="Q773" t="n">
        <v>0</v>
      </c>
      <c r="R773" s="2" t="inlineStr"/>
    </row>
    <row r="774" ht="15" customHeight="1">
      <c r="A774" t="inlineStr">
        <is>
          <t>A 35792-2024</t>
        </is>
      </c>
      <c r="B774" s="1" t="n">
        <v>45532.62950231481</v>
      </c>
      <c r="C774" s="1" t="n">
        <v>45914</v>
      </c>
      <c r="D774" t="inlineStr">
        <is>
          <t>JÄMTLANDS LÄN</t>
        </is>
      </c>
      <c r="E774" t="inlineStr">
        <is>
          <t>BERG</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40990-2022</t>
        </is>
      </c>
      <c r="B775" s="1" t="n">
        <v>44823</v>
      </c>
      <c r="C775" s="1" t="n">
        <v>45914</v>
      </c>
      <c r="D775" t="inlineStr">
        <is>
          <t>JÄMTLANDS LÄN</t>
        </is>
      </c>
      <c r="E775" t="inlineStr">
        <is>
          <t>BERG</t>
        </is>
      </c>
      <c r="G775" t="n">
        <v>11.7</v>
      </c>
      <c r="H775" t="n">
        <v>0</v>
      </c>
      <c r="I775" t="n">
        <v>0</v>
      </c>
      <c r="J775" t="n">
        <v>0</v>
      </c>
      <c r="K775" t="n">
        <v>0</v>
      </c>
      <c r="L775" t="n">
        <v>0</v>
      </c>
      <c r="M775" t="n">
        <v>0</v>
      </c>
      <c r="N775" t="n">
        <v>0</v>
      </c>
      <c r="O775" t="n">
        <v>0</v>
      </c>
      <c r="P775" t="n">
        <v>0</v>
      </c>
      <c r="Q775" t="n">
        <v>0</v>
      </c>
      <c r="R775" s="2" t="inlineStr"/>
    </row>
    <row r="776" ht="15" customHeight="1">
      <c r="A776" t="inlineStr">
        <is>
          <t>A 8733-2024</t>
        </is>
      </c>
      <c r="B776" s="1" t="n">
        <v>45355</v>
      </c>
      <c r="C776" s="1" t="n">
        <v>45914</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45914</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36287-2024</t>
        </is>
      </c>
      <c r="B778" s="1" t="n">
        <v>45534</v>
      </c>
      <c r="C778" s="1" t="n">
        <v>45914</v>
      </c>
      <c r="D778" t="inlineStr">
        <is>
          <t>JÄMTLANDS LÄN</t>
        </is>
      </c>
      <c r="E778" t="inlineStr">
        <is>
          <t>BERG</t>
        </is>
      </c>
      <c r="F778" t="inlineStr">
        <is>
          <t>Kyrkan</t>
        </is>
      </c>
      <c r="G778" t="n">
        <v>0.8</v>
      </c>
      <c r="H778" t="n">
        <v>0</v>
      </c>
      <c r="I778" t="n">
        <v>0</v>
      </c>
      <c r="J778" t="n">
        <v>0</v>
      </c>
      <c r="K778" t="n">
        <v>0</v>
      </c>
      <c r="L778" t="n">
        <v>0</v>
      </c>
      <c r="M778" t="n">
        <v>0</v>
      </c>
      <c r="N778" t="n">
        <v>0</v>
      </c>
      <c r="O778" t="n">
        <v>0</v>
      </c>
      <c r="P778" t="n">
        <v>0</v>
      </c>
      <c r="Q778" t="n">
        <v>0</v>
      </c>
      <c r="R778" s="2" t="inlineStr"/>
    </row>
    <row r="779" ht="15" customHeight="1">
      <c r="A779" t="inlineStr">
        <is>
          <t>A 13524-2024</t>
        </is>
      </c>
      <c r="B779" s="1" t="n">
        <v>45387.78174768519</v>
      </c>
      <c r="C779" s="1" t="n">
        <v>45914</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8065-2024</t>
        </is>
      </c>
      <c r="B780" s="1" t="n">
        <v>45351.40697916667</v>
      </c>
      <c r="C780" s="1" t="n">
        <v>45914</v>
      </c>
      <c r="D780" t="inlineStr">
        <is>
          <t>JÄMTLANDS LÄN</t>
        </is>
      </c>
      <c r="E780" t="inlineStr">
        <is>
          <t>BERG</t>
        </is>
      </c>
      <c r="G780" t="n">
        <v>6.9</v>
      </c>
      <c r="H780" t="n">
        <v>0</v>
      </c>
      <c r="I780" t="n">
        <v>0</v>
      </c>
      <c r="J780" t="n">
        <v>0</v>
      </c>
      <c r="K780" t="n">
        <v>0</v>
      </c>
      <c r="L780" t="n">
        <v>0</v>
      </c>
      <c r="M780" t="n">
        <v>0</v>
      </c>
      <c r="N780" t="n">
        <v>0</v>
      </c>
      <c r="O780" t="n">
        <v>0</v>
      </c>
      <c r="P780" t="n">
        <v>0</v>
      </c>
      <c r="Q780" t="n">
        <v>0</v>
      </c>
      <c r="R780" s="2" t="inlineStr"/>
    </row>
    <row r="781" ht="15" customHeight="1">
      <c r="A781" t="inlineStr">
        <is>
          <t>A 29581-2024</t>
        </is>
      </c>
      <c r="B781" s="1" t="n">
        <v>45484.5740162037</v>
      </c>
      <c r="C781" s="1" t="n">
        <v>45914</v>
      </c>
      <c r="D781" t="inlineStr">
        <is>
          <t>JÄMTLANDS LÄN</t>
        </is>
      </c>
      <c r="E781" t="inlineStr">
        <is>
          <t>BERG</t>
        </is>
      </c>
      <c r="G781" t="n">
        <v>16.7</v>
      </c>
      <c r="H781" t="n">
        <v>0</v>
      </c>
      <c r="I781" t="n">
        <v>0</v>
      </c>
      <c r="J781" t="n">
        <v>0</v>
      </c>
      <c r="K781" t="n">
        <v>0</v>
      </c>
      <c r="L781" t="n">
        <v>0</v>
      </c>
      <c r="M781" t="n">
        <v>0</v>
      </c>
      <c r="N781" t="n">
        <v>0</v>
      </c>
      <c r="O781" t="n">
        <v>0</v>
      </c>
      <c r="P781" t="n">
        <v>0</v>
      </c>
      <c r="Q781" t="n">
        <v>0</v>
      </c>
      <c r="R781" s="2" t="inlineStr"/>
    </row>
    <row r="782" ht="15" customHeight="1">
      <c r="A782" t="inlineStr">
        <is>
          <t>A 14594-2025</t>
        </is>
      </c>
      <c r="B782" s="1" t="n">
        <v>45742.34414351852</v>
      </c>
      <c r="C782" s="1" t="n">
        <v>45914</v>
      </c>
      <c r="D782" t="inlineStr">
        <is>
          <t>JÄMTLANDS LÄN</t>
        </is>
      </c>
      <c r="E782" t="inlineStr">
        <is>
          <t>BERG</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14596-2025</t>
        </is>
      </c>
      <c r="B783" s="1" t="n">
        <v>45742.34449074074</v>
      </c>
      <c r="C783" s="1" t="n">
        <v>45914</v>
      </c>
      <c r="D783" t="inlineStr">
        <is>
          <t>JÄMTLANDS LÄN</t>
        </is>
      </c>
      <c r="E783" t="inlineStr">
        <is>
          <t>BERG</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5644-2025</t>
        </is>
      </c>
      <c r="B784" s="1" t="n">
        <v>45693.6833449074</v>
      </c>
      <c r="C784" s="1" t="n">
        <v>45914</v>
      </c>
      <c r="D784" t="inlineStr">
        <is>
          <t>JÄMTLANDS LÄN</t>
        </is>
      </c>
      <c r="E784" t="inlineStr">
        <is>
          <t>BERG</t>
        </is>
      </c>
      <c r="G784" t="n">
        <v>2.1</v>
      </c>
      <c r="H784" t="n">
        <v>0</v>
      </c>
      <c r="I784" t="n">
        <v>0</v>
      </c>
      <c r="J784" t="n">
        <v>0</v>
      </c>
      <c r="K784" t="n">
        <v>0</v>
      </c>
      <c r="L784" t="n">
        <v>0</v>
      </c>
      <c r="M784" t="n">
        <v>0</v>
      </c>
      <c r="N784" t="n">
        <v>0</v>
      </c>
      <c r="O784" t="n">
        <v>0</v>
      </c>
      <c r="P784" t="n">
        <v>0</v>
      </c>
      <c r="Q784" t="n">
        <v>0</v>
      </c>
      <c r="R784" s="2" t="inlineStr"/>
    </row>
    <row r="785" ht="15" customHeight="1">
      <c r="A785" t="inlineStr">
        <is>
          <t>A 60076-2024</t>
        </is>
      </c>
      <c r="B785" s="1" t="n">
        <v>45642.53166666667</v>
      </c>
      <c r="C785" s="1" t="n">
        <v>45914</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8238-2024</t>
        </is>
      </c>
      <c r="B786" s="1" t="n">
        <v>45351.98450231482</v>
      </c>
      <c r="C786" s="1" t="n">
        <v>45914</v>
      </c>
      <c r="D786" t="inlineStr">
        <is>
          <t>JÄMTLANDS LÄN</t>
        </is>
      </c>
      <c r="E786" t="inlineStr">
        <is>
          <t>BERG</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43279-2024</t>
        </is>
      </c>
      <c r="B787" s="1" t="n">
        <v>45568.3975462963</v>
      </c>
      <c r="C787" s="1" t="n">
        <v>45914</v>
      </c>
      <c r="D787" t="inlineStr">
        <is>
          <t>JÄMTLANDS LÄN</t>
        </is>
      </c>
      <c r="E787" t="inlineStr">
        <is>
          <t>BERG</t>
        </is>
      </c>
      <c r="G787" t="n">
        <v>7.6</v>
      </c>
      <c r="H787" t="n">
        <v>0</v>
      </c>
      <c r="I787" t="n">
        <v>0</v>
      </c>
      <c r="J787" t="n">
        <v>0</v>
      </c>
      <c r="K787" t="n">
        <v>0</v>
      </c>
      <c r="L787" t="n">
        <v>0</v>
      </c>
      <c r="M787" t="n">
        <v>0</v>
      </c>
      <c r="N787" t="n">
        <v>0</v>
      </c>
      <c r="O787" t="n">
        <v>0</v>
      </c>
      <c r="P787" t="n">
        <v>0</v>
      </c>
      <c r="Q787" t="n">
        <v>0</v>
      </c>
      <c r="R787" s="2" t="inlineStr"/>
    </row>
    <row r="788" ht="15" customHeight="1">
      <c r="A788" t="inlineStr">
        <is>
          <t>A 37067-2023</t>
        </is>
      </c>
      <c r="B788" s="1" t="n">
        <v>45154</v>
      </c>
      <c r="C788" s="1" t="n">
        <v>45914</v>
      </c>
      <c r="D788" t="inlineStr">
        <is>
          <t>JÄMTLANDS LÄN</t>
        </is>
      </c>
      <c r="E788" t="inlineStr">
        <is>
          <t>BERG</t>
        </is>
      </c>
      <c r="G788" t="n">
        <v>7.4</v>
      </c>
      <c r="H788" t="n">
        <v>0</v>
      </c>
      <c r="I788" t="n">
        <v>0</v>
      </c>
      <c r="J788" t="n">
        <v>0</v>
      </c>
      <c r="K788" t="n">
        <v>0</v>
      </c>
      <c r="L788" t="n">
        <v>0</v>
      </c>
      <c r="M788" t="n">
        <v>0</v>
      </c>
      <c r="N788" t="n">
        <v>0</v>
      </c>
      <c r="O788" t="n">
        <v>0</v>
      </c>
      <c r="P788" t="n">
        <v>0</v>
      </c>
      <c r="Q788" t="n">
        <v>0</v>
      </c>
      <c r="R788" s="2" t="inlineStr"/>
    </row>
    <row r="789" ht="15" customHeight="1">
      <c r="A789" t="inlineStr">
        <is>
          <t>A 15992-2025</t>
        </is>
      </c>
      <c r="B789" s="1" t="n">
        <v>45749.58319444444</v>
      </c>
      <c r="C789" s="1" t="n">
        <v>45914</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60404-2023</t>
        </is>
      </c>
      <c r="B790" s="1" t="n">
        <v>45259.46332175926</v>
      </c>
      <c r="C790" s="1" t="n">
        <v>45914</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60587-2022</t>
        </is>
      </c>
      <c r="B791" s="1" t="n">
        <v>44911.58445601852</v>
      </c>
      <c r="C791" s="1" t="n">
        <v>45914</v>
      </c>
      <c r="D791" t="inlineStr">
        <is>
          <t>JÄMTLANDS LÄN</t>
        </is>
      </c>
      <c r="E791" t="inlineStr">
        <is>
          <t>BERG</t>
        </is>
      </c>
      <c r="G791" t="n">
        <v>4.8</v>
      </c>
      <c r="H791" t="n">
        <v>0</v>
      </c>
      <c r="I791" t="n">
        <v>0</v>
      </c>
      <c r="J791" t="n">
        <v>0</v>
      </c>
      <c r="K791" t="n">
        <v>0</v>
      </c>
      <c r="L791" t="n">
        <v>0</v>
      </c>
      <c r="M791" t="n">
        <v>0</v>
      </c>
      <c r="N791" t="n">
        <v>0</v>
      </c>
      <c r="O791" t="n">
        <v>0</v>
      </c>
      <c r="P791" t="n">
        <v>0</v>
      </c>
      <c r="Q791" t="n">
        <v>0</v>
      </c>
      <c r="R791" s="2" t="inlineStr"/>
    </row>
    <row r="792" ht="15" customHeight="1">
      <c r="A792" t="inlineStr">
        <is>
          <t>A 11274-2025</t>
        </is>
      </c>
      <c r="B792" s="1" t="n">
        <v>45726.40868055556</v>
      </c>
      <c r="C792" s="1" t="n">
        <v>45914</v>
      </c>
      <c r="D792" t="inlineStr">
        <is>
          <t>JÄMTLANDS LÄN</t>
        </is>
      </c>
      <c r="E792" t="inlineStr">
        <is>
          <t>BERG</t>
        </is>
      </c>
      <c r="G792" t="n">
        <v>3</v>
      </c>
      <c r="H792" t="n">
        <v>0</v>
      </c>
      <c r="I792" t="n">
        <v>0</v>
      </c>
      <c r="J792" t="n">
        <v>0</v>
      </c>
      <c r="K792" t="n">
        <v>0</v>
      </c>
      <c r="L792" t="n">
        <v>0</v>
      </c>
      <c r="M792" t="n">
        <v>0</v>
      </c>
      <c r="N792" t="n">
        <v>0</v>
      </c>
      <c r="O792" t="n">
        <v>0</v>
      </c>
      <c r="P792" t="n">
        <v>0</v>
      </c>
      <c r="Q792" t="n">
        <v>0</v>
      </c>
      <c r="R792" s="2" t="inlineStr"/>
    </row>
    <row r="793" ht="15" customHeight="1">
      <c r="A793" t="inlineStr">
        <is>
          <t>A 16553-2025</t>
        </is>
      </c>
      <c r="B793" s="1" t="n">
        <v>45751.69967592593</v>
      </c>
      <c r="C793" s="1" t="n">
        <v>45914</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50172-2023</t>
        </is>
      </c>
      <c r="B794" s="1" t="n">
        <v>45208</v>
      </c>
      <c r="C794" s="1" t="n">
        <v>45914</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c r="A795" t="inlineStr">
        <is>
          <t>A 59498-2024</t>
        </is>
      </c>
      <c r="B795" s="1" t="n">
        <v>45638.54635416667</v>
      </c>
      <c r="C795" s="1" t="n">
        <v>45914</v>
      </c>
      <c r="D795" t="inlineStr">
        <is>
          <t>JÄMTLANDS LÄN</t>
        </is>
      </c>
      <c r="E795" t="inlineStr">
        <is>
          <t>BERG</t>
        </is>
      </c>
      <c r="G795" t="n">
        <v>2.4</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2025-09-14T13:23:59Z</dcterms:created>
  <dcterms:modified xmlns:dcterms="http://purl.org/dc/terms/" xmlns:xsi="http://www.w3.org/2001/XMLSchema-instance" xsi:type="dcterms:W3CDTF">2025-09-14T13:24:00Z</dcterms:modified>
</cp:coreProperties>
</file>