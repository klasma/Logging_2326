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46050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46050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46050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46050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46050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46050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46050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46050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46050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46050</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46050</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46050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46050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46050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46050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46050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46050</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46050</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46050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46050</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46050</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46050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46050</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46050</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46050</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46938-2025</t>
        </is>
      </c>
      <c r="B27" s="1" t="n">
        <v>45929.45290509259</v>
      </c>
      <c r="C27" s="1" t="n">
        <v>46050</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46050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46050</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46050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46050</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46050</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46050</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46050</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46050</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46050</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46050</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46050</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46050</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46050</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43991-2023</t>
        </is>
      </c>
      <c r="B41" s="1" t="n">
        <v>45187</v>
      </c>
      <c r="C41" s="1" t="n">
        <v>46050</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46050</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46050</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46050</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46050</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46050</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46050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40860-2025</t>
        </is>
      </c>
      <c r="B48" s="1" t="n">
        <v>45897.56300925926</v>
      </c>
      <c r="C48" s="1" t="n">
        <v>46050</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35538-2025</t>
        </is>
      </c>
      <c r="B49" s="1" t="n">
        <v>45856.4552662037</v>
      </c>
      <c r="C49" s="1" t="n">
        <v>46050</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46050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46050</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46050</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46050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46050</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49626-2024</t>
        </is>
      </c>
      <c r="B55" s="1" t="n">
        <v>45596.59109953704</v>
      </c>
      <c r="C55" s="1" t="n">
        <v>46050</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27957-2025</t>
        </is>
      </c>
      <c r="B56" s="1" t="n">
        <v>45817.53871527778</v>
      </c>
      <c r="C56" s="1" t="n">
        <v>46050</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27571-2025</t>
        </is>
      </c>
      <c r="B57" s="1" t="n">
        <v>45813.49040509259</v>
      </c>
      <c r="C57" s="1" t="n">
        <v>46050</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54406-2023</t>
        </is>
      </c>
      <c r="B58" s="1" t="n">
        <v>45233.38612268519</v>
      </c>
      <c r="C58" s="1" t="n">
        <v>46050</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46050</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46050</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46050</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46050</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46050</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46050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46050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46050</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4333-2026</t>
        </is>
      </c>
      <c r="B67" s="1" t="n">
        <v>46045.485625</v>
      </c>
      <c r="C67" s="1" t="n">
        <v>46050</v>
      </c>
      <c r="D67" t="inlineStr">
        <is>
          <t>JÄMTLANDS LÄN</t>
        </is>
      </c>
      <c r="E67" t="inlineStr">
        <is>
          <t>BERG</t>
        </is>
      </c>
      <c r="G67" t="n">
        <v>31.5</v>
      </c>
      <c r="H67" t="n">
        <v>2</v>
      </c>
      <c r="I67" t="n">
        <v>0</v>
      </c>
      <c r="J67" t="n">
        <v>5</v>
      </c>
      <c r="K67" t="n">
        <v>0</v>
      </c>
      <c r="L67" t="n">
        <v>0</v>
      </c>
      <c r="M67" t="n">
        <v>0</v>
      </c>
      <c r="N67" t="n">
        <v>0</v>
      </c>
      <c r="O67" t="n">
        <v>5</v>
      </c>
      <c r="P67" t="n">
        <v>0</v>
      </c>
      <c r="Q67" t="n">
        <v>5</v>
      </c>
      <c r="R67" s="2" t="inlineStr">
        <is>
          <t>Granticka
Tallticka
Talltita
Tretåig hackspett
Ullticka</t>
        </is>
      </c>
      <c r="S67">
        <f>HYPERLINK("https://klasma.github.io/Logging_2326/artfynd/A 4333-2026 artfynd.xlsx", "A 4333-2026")</f>
        <v/>
      </c>
      <c r="T67">
        <f>HYPERLINK("https://klasma.github.io/Logging_2326/kartor/A 4333-2026 karta.png", "A 4333-2026")</f>
        <v/>
      </c>
      <c r="V67">
        <f>HYPERLINK("https://klasma.github.io/Logging_2326/klagomål/A 4333-2026 FSC-klagomål.docx", "A 4333-2026")</f>
        <v/>
      </c>
      <c r="W67">
        <f>HYPERLINK("https://klasma.github.io/Logging_2326/klagomålsmail/A 4333-2026 FSC-klagomål mail.docx", "A 4333-2026")</f>
        <v/>
      </c>
      <c r="X67">
        <f>HYPERLINK("https://klasma.github.io/Logging_2326/tillsyn/A 4333-2026 tillsynsbegäran.docx", "A 4333-2026")</f>
        <v/>
      </c>
      <c r="Y67">
        <f>HYPERLINK("https://klasma.github.io/Logging_2326/tillsynsmail/A 4333-2026 tillsynsbegäran mail.docx", "A 4333-2026")</f>
        <v/>
      </c>
      <c r="Z67">
        <f>HYPERLINK("https://klasma.github.io/Logging_2326/fåglar/A 4333-2026 prioriterade fågelarter.docx", "A 4333-2026")</f>
        <v/>
      </c>
    </row>
    <row r="68" ht="15" customHeight="1">
      <c r="A68" t="inlineStr">
        <is>
          <t>A 12973-2024</t>
        </is>
      </c>
      <c r="B68" s="1" t="n">
        <v>45385.51104166666</v>
      </c>
      <c r="C68" s="1" t="n">
        <v>46050</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19530-2025</t>
        </is>
      </c>
      <c r="B69" s="1" t="n">
        <v>45770.46903935185</v>
      </c>
      <c r="C69" s="1" t="n">
        <v>46050</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54841-2022</t>
        </is>
      </c>
      <c r="B70" s="1" t="n">
        <v>44883</v>
      </c>
      <c r="C70" s="1" t="n">
        <v>46050</v>
      </c>
      <c r="D70" t="inlineStr">
        <is>
          <t>JÄMTLANDS LÄN</t>
        </is>
      </c>
      <c r="E70" t="inlineStr">
        <is>
          <t>BERG</t>
        </is>
      </c>
      <c r="F70" t="inlineStr">
        <is>
          <t>SCA</t>
        </is>
      </c>
      <c r="G70" t="n">
        <v>21.9</v>
      </c>
      <c r="H70" t="n">
        <v>0</v>
      </c>
      <c r="I70" t="n">
        <v>0</v>
      </c>
      <c r="J70" t="n">
        <v>2</v>
      </c>
      <c r="K70" t="n">
        <v>3</v>
      </c>
      <c r="L70" t="n">
        <v>0</v>
      </c>
      <c r="M70" t="n">
        <v>0</v>
      </c>
      <c r="N70" t="n">
        <v>0</v>
      </c>
      <c r="O70" t="n">
        <v>5</v>
      </c>
      <c r="P70" t="n">
        <v>3</v>
      </c>
      <c r="Q70" t="n">
        <v>5</v>
      </c>
      <c r="R70" s="2" t="inlineStr">
        <is>
          <t>Fläckporing
Gräddporing
Smalfotad taggsvamp
Dvärgbägarlav
Vedflamlav</t>
        </is>
      </c>
      <c r="S70">
        <f>HYPERLINK("https://klasma.github.io/Logging_2326/artfynd/A 54841-2022 artfynd.xlsx", "A 54841-2022")</f>
        <v/>
      </c>
      <c r="T70">
        <f>HYPERLINK("https://klasma.github.io/Logging_2326/kartor/A 54841-2022 karta.png", "A 54841-2022")</f>
        <v/>
      </c>
      <c r="V70">
        <f>HYPERLINK("https://klasma.github.io/Logging_2326/klagomål/A 54841-2022 FSC-klagomål.docx", "A 54841-2022")</f>
        <v/>
      </c>
      <c r="W70">
        <f>HYPERLINK("https://klasma.github.io/Logging_2326/klagomålsmail/A 54841-2022 FSC-klagomål mail.docx", "A 54841-2022")</f>
        <v/>
      </c>
      <c r="X70">
        <f>HYPERLINK("https://klasma.github.io/Logging_2326/tillsyn/A 54841-2022 tillsynsbegäran.docx", "A 54841-2022")</f>
        <v/>
      </c>
      <c r="Y70">
        <f>HYPERLINK("https://klasma.github.io/Logging_2326/tillsynsmail/A 54841-2022 tillsynsbegäran mail.docx", "A 54841-2022")</f>
        <v/>
      </c>
    </row>
    <row r="71" ht="15" customHeight="1">
      <c r="A71" t="inlineStr">
        <is>
          <t>A 54979-2021</t>
        </is>
      </c>
      <c r="B71" s="1" t="n">
        <v>44474.53888888889</v>
      </c>
      <c r="C71" s="1" t="n">
        <v>46050</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46050</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46050</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46050</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56224-2024</t>
        </is>
      </c>
      <c r="B75" s="1" t="n">
        <v>45624.61491898148</v>
      </c>
      <c r="C75" s="1" t="n">
        <v>46050</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25871-2025</t>
        </is>
      </c>
      <c r="B76" s="1" t="n">
        <v>45804.4903125</v>
      </c>
      <c r="C76" s="1" t="n">
        <v>46050</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37381-2022</t>
        </is>
      </c>
      <c r="B77" s="1" t="n">
        <v>44806</v>
      </c>
      <c r="C77" s="1" t="n">
        <v>46050</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12962-2024</t>
        </is>
      </c>
      <c r="B78" s="1" t="n">
        <v>45385.49314814815</v>
      </c>
      <c r="C78" s="1" t="n">
        <v>46050</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27574-2025</t>
        </is>
      </c>
      <c r="B79" s="1" t="n">
        <v>45813.49072916667</v>
      </c>
      <c r="C79" s="1" t="n">
        <v>46050</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40913-2025</t>
        </is>
      </c>
      <c r="B80" s="1" t="n">
        <v>45897.61719907408</v>
      </c>
      <c r="C80" s="1" t="n">
        <v>46050</v>
      </c>
      <c r="D80" t="inlineStr">
        <is>
          <t>JÄMTLANDS LÄN</t>
        </is>
      </c>
      <c r="E80" t="inlineStr">
        <is>
          <t>BERG</t>
        </is>
      </c>
      <c r="F80" t="inlineStr">
        <is>
          <t>SCA</t>
        </is>
      </c>
      <c r="G80" t="n">
        <v>11.3</v>
      </c>
      <c r="H80" t="n">
        <v>0</v>
      </c>
      <c r="I80" t="n">
        <v>0</v>
      </c>
      <c r="J80" t="n">
        <v>3</v>
      </c>
      <c r="K80" t="n">
        <v>1</v>
      </c>
      <c r="L80" t="n">
        <v>0</v>
      </c>
      <c r="M80" t="n">
        <v>0</v>
      </c>
      <c r="N80" t="n">
        <v>0</v>
      </c>
      <c r="O80" t="n">
        <v>4</v>
      </c>
      <c r="P80" t="n">
        <v>1</v>
      </c>
      <c r="Q80" t="n">
        <v>4</v>
      </c>
      <c r="R80" s="2" t="inlineStr">
        <is>
          <t>Gräddporing
Blanksvart spiklav
Dvärgbägarlav
Nordtagging</t>
        </is>
      </c>
      <c r="S80">
        <f>HYPERLINK("https://klasma.github.io/Logging_2326/artfynd/A 40913-2025 artfynd.xlsx", "A 40913-2025")</f>
        <v/>
      </c>
      <c r="T80">
        <f>HYPERLINK("https://klasma.github.io/Logging_2326/kartor/A 40913-2025 karta.png", "A 40913-2025")</f>
        <v/>
      </c>
      <c r="V80">
        <f>HYPERLINK("https://klasma.github.io/Logging_2326/klagomål/A 40913-2025 FSC-klagomål.docx", "A 40913-2025")</f>
        <v/>
      </c>
      <c r="W80">
        <f>HYPERLINK("https://klasma.github.io/Logging_2326/klagomålsmail/A 40913-2025 FSC-klagomål mail.docx", "A 40913-2025")</f>
        <v/>
      </c>
      <c r="X80">
        <f>HYPERLINK("https://klasma.github.io/Logging_2326/tillsyn/A 40913-2025 tillsynsbegäran.docx", "A 40913-2025")</f>
        <v/>
      </c>
      <c r="Y80">
        <f>HYPERLINK("https://klasma.github.io/Logging_2326/tillsynsmail/A 40913-2025 tillsynsbegäran mail.docx", "A 40913-2025")</f>
        <v/>
      </c>
    </row>
    <row r="81" ht="15" customHeight="1">
      <c r="A81" t="inlineStr">
        <is>
          <t>A 27100-2025</t>
        </is>
      </c>
      <c r="B81" s="1" t="n">
        <v>45811.67803240741</v>
      </c>
      <c r="C81" s="1" t="n">
        <v>46050</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31715-2025</t>
        </is>
      </c>
      <c r="B82" s="1" t="n">
        <v>45834.45671296296</v>
      </c>
      <c r="C82" s="1" t="n">
        <v>46050</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46050</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7891-2022</t>
        </is>
      </c>
      <c r="B84" s="1" t="n">
        <v>44607</v>
      </c>
      <c r="C84" s="1" t="n">
        <v>46050</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46795-2025</t>
        </is>
      </c>
      <c r="B85" s="1" t="n">
        <v>45926.65668981482</v>
      </c>
      <c r="C85" s="1" t="n">
        <v>46050</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13487-2024</t>
        </is>
      </c>
      <c r="B86" s="1" t="n">
        <v>45387</v>
      </c>
      <c r="C86" s="1" t="n">
        <v>46050</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53305-2025</t>
        </is>
      </c>
      <c r="B87" s="1" t="n">
        <v>45959.334375</v>
      </c>
      <c r="C87" s="1" t="n">
        <v>46050</v>
      </c>
      <c r="D87" t="inlineStr">
        <is>
          <t>JÄMTLANDS LÄN</t>
        </is>
      </c>
      <c r="E87" t="inlineStr">
        <is>
          <t>BERG</t>
        </is>
      </c>
      <c r="G87" t="n">
        <v>3.3</v>
      </c>
      <c r="H87" t="n">
        <v>2</v>
      </c>
      <c r="I87" t="n">
        <v>0</v>
      </c>
      <c r="J87" t="n">
        <v>4</v>
      </c>
      <c r="K87" t="n">
        <v>0</v>
      </c>
      <c r="L87" t="n">
        <v>0</v>
      </c>
      <c r="M87" t="n">
        <v>0</v>
      </c>
      <c r="N87" t="n">
        <v>0</v>
      </c>
      <c r="O87" t="n">
        <v>4</v>
      </c>
      <c r="P87" t="n">
        <v>0</v>
      </c>
      <c r="Q87" t="n">
        <v>4</v>
      </c>
      <c r="R87" s="2" t="inlineStr">
        <is>
          <t>Granticka
Harticka
Spillkråka
Tretåig hackspett</t>
        </is>
      </c>
      <c r="S87">
        <f>HYPERLINK("https://klasma.github.io/Logging_2326/artfynd/A 53305-2025 artfynd.xlsx", "A 53305-2025")</f>
        <v/>
      </c>
      <c r="T87">
        <f>HYPERLINK("https://klasma.github.io/Logging_2326/kartor/A 53305-2025 karta.png", "A 53305-2025")</f>
        <v/>
      </c>
      <c r="V87">
        <f>HYPERLINK("https://klasma.github.io/Logging_2326/klagomål/A 53305-2025 FSC-klagomål.docx", "A 53305-2025")</f>
        <v/>
      </c>
      <c r="W87">
        <f>HYPERLINK("https://klasma.github.io/Logging_2326/klagomålsmail/A 53305-2025 FSC-klagomål mail.docx", "A 53305-2025")</f>
        <v/>
      </c>
      <c r="X87">
        <f>HYPERLINK("https://klasma.github.io/Logging_2326/tillsyn/A 53305-2025 tillsynsbegäran.docx", "A 53305-2025")</f>
        <v/>
      </c>
      <c r="Y87">
        <f>HYPERLINK("https://klasma.github.io/Logging_2326/tillsynsmail/A 53305-2025 tillsynsbegäran mail.docx", "A 53305-2025")</f>
        <v/>
      </c>
      <c r="Z87">
        <f>HYPERLINK("https://klasma.github.io/Logging_2326/fåglar/A 53305-2025 prioriterade fågelarter.docx", "A 53305-2025")</f>
        <v/>
      </c>
    </row>
    <row r="88" ht="15" customHeight="1">
      <c r="A88" t="inlineStr">
        <is>
          <t>A 58238-2025</t>
        </is>
      </c>
      <c r="B88" s="1" t="n">
        <v>45985.38775462963</v>
      </c>
      <c r="C88" s="1" t="n">
        <v>46050</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57276-2025</t>
        </is>
      </c>
      <c r="B89" s="1" t="n">
        <v>45979.68783564815</v>
      </c>
      <c r="C89" s="1" t="n">
        <v>46050</v>
      </c>
      <c r="D89" t="inlineStr">
        <is>
          <t>JÄMTLANDS LÄN</t>
        </is>
      </c>
      <c r="E89" t="inlineStr">
        <is>
          <t>BERG</t>
        </is>
      </c>
      <c r="G89" t="n">
        <v>4.8</v>
      </c>
      <c r="H89" t="n">
        <v>0</v>
      </c>
      <c r="I89" t="n">
        <v>1</v>
      </c>
      <c r="J89" t="n">
        <v>3</v>
      </c>
      <c r="K89" t="n">
        <v>0</v>
      </c>
      <c r="L89" t="n">
        <v>0</v>
      </c>
      <c r="M89" t="n">
        <v>0</v>
      </c>
      <c r="N89" t="n">
        <v>0</v>
      </c>
      <c r="O89" t="n">
        <v>3</v>
      </c>
      <c r="P89" t="n">
        <v>0</v>
      </c>
      <c r="Q89" t="n">
        <v>4</v>
      </c>
      <c r="R89" s="2" t="inlineStr">
        <is>
          <t>Garnlav
Lunglav
Vitgrynig nållav
Trådticka</t>
        </is>
      </c>
      <c r="S89">
        <f>HYPERLINK("https://klasma.github.io/Logging_2326/artfynd/A 57276-2025 artfynd.xlsx", "A 57276-2025")</f>
        <v/>
      </c>
      <c r="T89">
        <f>HYPERLINK("https://klasma.github.io/Logging_2326/kartor/A 57276-2025 karta.png", "A 57276-2025")</f>
        <v/>
      </c>
      <c r="V89">
        <f>HYPERLINK("https://klasma.github.io/Logging_2326/klagomål/A 57276-2025 FSC-klagomål.docx", "A 57276-2025")</f>
        <v/>
      </c>
      <c r="W89">
        <f>HYPERLINK("https://klasma.github.io/Logging_2326/klagomålsmail/A 57276-2025 FSC-klagomål mail.docx", "A 57276-2025")</f>
        <v/>
      </c>
      <c r="X89">
        <f>HYPERLINK("https://klasma.github.io/Logging_2326/tillsyn/A 57276-2025 tillsynsbegäran.docx", "A 57276-2025")</f>
        <v/>
      </c>
      <c r="Y89">
        <f>HYPERLINK("https://klasma.github.io/Logging_2326/tillsynsmail/A 57276-2025 tillsynsbegäran mail.docx", "A 57276-2025")</f>
        <v/>
      </c>
    </row>
    <row r="90" ht="15" customHeight="1">
      <c r="A90" t="inlineStr">
        <is>
          <t>A 38156-2024</t>
        </is>
      </c>
      <c r="B90" s="1" t="n">
        <v>45545</v>
      </c>
      <c r="C90" s="1" t="n">
        <v>46050</v>
      </c>
      <c r="D90" t="inlineStr">
        <is>
          <t>JÄMTLANDS LÄN</t>
        </is>
      </c>
      <c r="E90" t="inlineStr">
        <is>
          <t>BERG</t>
        </is>
      </c>
      <c r="G90" t="n">
        <v>0.4</v>
      </c>
      <c r="H90" t="n">
        <v>1</v>
      </c>
      <c r="I90" t="n">
        <v>1</v>
      </c>
      <c r="J90" t="n">
        <v>2</v>
      </c>
      <c r="K90" t="n">
        <v>1</v>
      </c>
      <c r="L90" t="n">
        <v>0</v>
      </c>
      <c r="M90" t="n">
        <v>0</v>
      </c>
      <c r="N90" t="n">
        <v>0</v>
      </c>
      <c r="O90" t="n">
        <v>3</v>
      </c>
      <c r="P90" t="n">
        <v>1</v>
      </c>
      <c r="Q90" t="n">
        <v>4</v>
      </c>
      <c r="R90" s="2" t="inlineStr">
        <is>
          <t>Knärot
Garnlav
Tallticka
Vedticka</t>
        </is>
      </c>
      <c r="S90">
        <f>HYPERLINK("https://klasma.github.io/Logging_2326/artfynd/A 38156-2024 artfynd.xlsx", "A 38156-2024")</f>
        <v/>
      </c>
      <c r="T90">
        <f>HYPERLINK("https://klasma.github.io/Logging_2326/kartor/A 38156-2024 karta.png", "A 38156-2024")</f>
        <v/>
      </c>
      <c r="U90">
        <f>HYPERLINK("https://klasma.github.io/Logging_2326/knärot/A 38156-2024 karta knärot.png", "A 38156-2024")</f>
        <v/>
      </c>
      <c r="V90">
        <f>HYPERLINK("https://klasma.github.io/Logging_2326/klagomål/A 38156-2024 FSC-klagomål.docx", "A 38156-2024")</f>
        <v/>
      </c>
      <c r="W90">
        <f>HYPERLINK("https://klasma.github.io/Logging_2326/klagomålsmail/A 38156-2024 FSC-klagomål mail.docx", "A 38156-2024")</f>
        <v/>
      </c>
      <c r="X90">
        <f>HYPERLINK("https://klasma.github.io/Logging_2326/tillsyn/A 38156-2024 tillsynsbegäran.docx", "A 38156-2024")</f>
        <v/>
      </c>
      <c r="Y90">
        <f>HYPERLINK("https://klasma.github.io/Logging_2326/tillsynsmail/A 38156-2024 tillsynsbegäran mail.docx", "A 38156-2024")</f>
        <v/>
      </c>
    </row>
    <row r="91" ht="15" customHeight="1">
      <c r="A91" t="inlineStr">
        <is>
          <t>A 45424-2024</t>
        </is>
      </c>
      <c r="B91" s="1" t="n">
        <v>45576.60398148148</v>
      </c>
      <c r="C91" s="1" t="n">
        <v>46050</v>
      </c>
      <c r="D91" t="inlineStr">
        <is>
          <t>JÄMTLANDS LÄN</t>
        </is>
      </c>
      <c r="E91" t="inlineStr">
        <is>
          <t>BERG</t>
        </is>
      </c>
      <c r="G91" t="n">
        <v>11.8</v>
      </c>
      <c r="H91" t="n">
        <v>2</v>
      </c>
      <c r="I91" t="n">
        <v>1</v>
      </c>
      <c r="J91" t="n">
        <v>3</v>
      </c>
      <c r="K91" t="n">
        <v>0</v>
      </c>
      <c r="L91" t="n">
        <v>0</v>
      </c>
      <c r="M91" t="n">
        <v>0</v>
      </c>
      <c r="N91" t="n">
        <v>0</v>
      </c>
      <c r="O91" t="n">
        <v>3</v>
      </c>
      <c r="P91" t="n">
        <v>0</v>
      </c>
      <c r="Q91" t="n">
        <v>4</v>
      </c>
      <c r="R91" s="2" t="inlineStr">
        <is>
          <t>Garnlav
Lunglav
Spillkråka
Plattlummer</t>
        </is>
      </c>
      <c r="S91">
        <f>HYPERLINK("https://klasma.github.io/Logging_2326/artfynd/A 45424-2024 artfynd.xlsx", "A 45424-2024")</f>
        <v/>
      </c>
      <c r="T91">
        <f>HYPERLINK("https://klasma.github.io/Logging_2326/kartor/A 45424-2024 karta.png", "A 45424-2024")</f>
        <v/>
      </c>
      <c r="U91">
        <f>HYPERLINK("https://klasma.github.io/Logging_2326/knärot/A 45424-2024 karta knärot.png", "A 45424-2024")</f>
        <v/>
      </c>
      <c r="V91">
        <f>HYPERLINK("https://klasma.github.io/Logging_2326/klagomål/A 45424-2024 FSC-klagomål.docx", "A 45424-2024")</f>
        <v/>
      </c>
      <c r="W91">
        <f>HYPERLINK("https://klasma.github.io/Logging_2326/klagomålsmail/A 45424-2024 FSC-klagomål mail.docx", "A 45424-2024")</f>
        <v/>
      </c>
      <c r="X91">
        <f>HYPERLINK("https://klasma.github.io/Logging_2326/tillsyn/A 45424-2024 tillsynsbegäran.docx", "A 45424-2024")</f>
        <v/>
      </c>
      <c r="Y91">
        <f>HYPERLINK("https://klasma.github.io/Logging_2326/tillsynsmail/A 45424-2024 tillsynsbegäran mail.docx", "A 45424-2024")</f>
        <v/>
      </c>
      <c r="Z91">
        <f>HYPERLINK("https://klasma.github.io/Logging_2326/fåglar/A 45424-2024 prioriterade fågelarter.docx", "A 45424-2024")</f>
        <v/>
      </c>
    </row>
    <row r="92" ht="15" customHeight="1">
      <c r="A92" t="inlineStr">
        <is>
          <t>A 16830-2021</t>
        </is>
      </c>
      <c r="B92" s="1" t="n">
        <v>44293</v>
      </c>
      <c r="C92" s="1" t="n">
        <v>46050</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46050</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19848-2025</t>
        </is>
      </c>
      <c r="B94" s="1" t="n">
        <v>45771.49020833334</v>
      </c>
      <c r="C94" s="1" t="n">
        <v>46050</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47122-2024</t>
        </is>
      </c>
      <c r="B95" s="1" t="n">
        <v>45586.5674074074</v>
      </c>
      <c r="C95" s="1" t="n">
        <v>46050</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46050</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3062-2025</t>
        </is>
      </c>
      <c r="B97" s="1" t="n">
        <v>45678</v>
      </c>
      <c r="C97" s="1" t="n">
        <v>46050</v>
      </c>
      <c r="D97" t="inlineStr">
        <is>
          <t>JÄMTLANDS LÄN</t>
        </is>
      </c>
      <c r="E97" t="inlineStr">
        <is>
          <t>BERG</t>
        </is>
      </c>
      <c r="G97" t="n">
        <v>2.4</v>
      </c>
      <c r="H97" t="n">
        <v>3</v>
      </c>
      <c r="I97" t="n">
        <v>2</v>
      </c>
      <c r="J97" t="n">
        <v>0</v>
      </c>
      <c r="K97" t="n">
        <v>0</v>
      </c>
      <c r="L97" t="n">
        <v>0</v>
      </c>
      <c r="M97" t="n">
        <v>0</v>
      </c>
      <c r="N97" t="n">
        <v>0</v>
      </c>
      <c r="O97" t="n">
        <v>0</v>
      </c>
      <c r="P97" t="n">
        <v>0</v>
      </c>
      <c r="Q97" t="n">
        <v>3</v>
      </c>
      <c r="R97" s="2" t="inlineStr">
        <is>
          <t>Korallrot
Spindelblomster
Fläcknycklar</t>
        </is>
      </c>
      <c r="S97">
        <f>HYPERLINK("https://klasma.github.io/Logging_2326/artfynd/A 3062-2025 artfynd.xlsx", "A 3062-2025")</f>
        <v/>
      </c>
      <c r="T97">
        <f>HYPERLINK("https://klasma.github.io/Logging_2326/kartor/A 3062-2025 karta.png", "A 3062-2025")</f>
        <v/>
      </c>
      <c r="V97">
        <f>HYPERLINK("https://klasma.github.io/Logging_2326/klagomål/A 3062-2025 FSC-klagomål.docx", "A 3062-2025")</f>
        <v/>
      </c>
      <c r="W97">
        <f>HYPERLINK("https://klasma.github.io/Logging_2326/klagomålsmail/A 3062-2025 FSC-klagomål mail.docx", "A 3062-2025")</f>
        <v/>
      </c>
      <c r="X97">
        <f>HYPERLINK("https://klasma.github.io/Logging_2326/tillsyn/A 3062-2025 tillsynsbegäran.docx", "A 3062-2025")</f>
        <v/>
      </c>
      <c r="Y97">
        <f>HYPERLINK("https://klasma.github.io/Logging_2326/tillsynsmail/A 3062-2025 tillsynsbegäran mail.docx", "A 3062-2025")</f>
        <v/>
      </c>
    </row>
    <row r="98" ht="15" customHeight="1">
      <c r="A98" t="inlineStr">
        <is>
          <t>A 68433-2021</t>
        </is>
      </c>
      <c r="B98" s="1" t="n">
        <v>44529</v>
      </c>
      <c r="C98" s="1" t="n">
        <v>46050</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6784-2022</t>
        </is>
      </c>
      <c r="B99" s="1" t="n">
        <v>44602</v>
      </c>
      <c r="C99" s="1" t="n">
        <v>46050</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12995-2024</t>
        </is>
      </c>
      <c r="B100" s="1" t="n">
        <v>45385</v>
      </c>
      <c r="C100" s="1" t="n">
        <v>46050</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49611-2025</t>
        </is>
      </c>
      <c r="B101" s="1" t="n">
        <v>45939.5735300926</v>
      </c>
      <c r="C101" s="1" t="n">
        <v>46050</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37063-2025</t>
        </is>
      </c>
      <c r="B102" s="1" t="n">
        <v>45875.38596064815</v>
      </c>
      <c r="C102" s="1" t="n">
        <v>46050</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52007-2025</t>
        </is>
      </c>
      <c r="B103" s="1" t="n">
        <v>45952.59424768519</v>
      </c>
      <c r="C103" s="1" t="n">
        <v>46050</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52189-2024</t>
        </is>
      </c>
      <c r="B104" s="1" t="n">
        <v>45608</v>
      </c>
      <c r="C104" s="1" t="n">
        <v>46050</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54802-2021</t>
        </is>
      </c>
      <c r="B105" s="1" t="n">
        <v>44473</v>
      </c>
      <c r="C105" s="1" t="n">
        <v>46050</v>
      </c>
      <c r="D105" t="inlineStr">
        <is>
          <t>JÄMTLANDS LÄN</t>
        </is>
      </c>
      <c r="E105" t="inlineStr">
        <is>
          <t>BERG</t>
        </is>
      </c>
      <c r="F105" t="inlineStr">
        <is>
          <t>SCA</t>
        </is>
      </c>
      <c r="G105" t="n">
        <v>2.8</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HYPERLINK("https://klasma.github.io/Logging_2326/artfynd/A 54802-2021 artfynd.xlsx", "A 54802-2021")</f>
        <v/>
      </c>
      <c r="T105">
        <f>HYPERLINK("https://klasma.github.io/Logging_2326/kartor/A 54802-2021 karta.png", "A 54802-2021")</f>
        <v/>
      </c>
      <c r="V105">
        <f>HYPERLINK("https://klasma.github.io/Logging_2326/klagomål/A 54802-2021 FSC-klagomål.docx", "A 54802-2021")</f>
        <v/>
      </c>
      <c r="W105">
        <f>HYPERLINK("https://klasma.github.io/Logging_2326/klagomålsmail/A 54802-2021 FSC-klagomål mail.docx", "A 54802-2021")</f>
        <v/>
      </c>
      <c r="X105">
        <f>HYPERLINK("https://klasma.github.io/Logging_2326/tillsyn/A 54802-2021 tillsynsbegäran.docx", "A 54802-2021")</f>
        <v/>
      </c>
      <c r="Y105">
        <f>HYPERLINK("https://klasma.github.io/Logging_2326/tillsynsmail/A 54802-2021 tillsynsbegäran mail.docx", "A 54802-2021")</f>
        <v/>
      </c>
      <c r="Z105">
        <f>HYPERLINK("https://klasma.github.io/Logging_2326/fåglar/A 54802-2021 prioriterade fågelarter.docx", "A 54802-2021")</f>
        <v/>
      </c>
    </row>
    <row r="106" ht="15" customHeight="1">
      <c r="A106" t="inlineStr">
        <is>
          <t>A 20242-2025</t>
        </is>
      </c>
      <c r="B106" s="1" t="n">
        <v>45772.69864583333</v>
      </c>
      <c r="C106" s="1" t="n">
        <v>46050</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56368-2024</t>
        </is>
      </c>
      <c r="B107" s="1" t="n">
        <v>45625.32978009259</v>
      </c>
      <c r="C107" s="1" t="n">
        <v>46050</v>
      </c>
      <c r="D107" t="inlineStr">
        <is>
          <t>JÄMTLANDS LÄN</t>
        </is>
      </c>
      <c r="E107" t="inlineStr">
        <is>
          <t>BERG</t>
        </is>
      </c>
      <c r="G107" t="n">
        <v>1.9</v>
      </c>
      <c r="H107" t="n">
        <v>1</v>
      </c>
      <c r="I107" t="n">
        <v>0</v>
      </c>
      <c r="J107" t="n">
        <v>2</v>
      </c>
      <c r="K107" t="n">
        <v>0</v>
      </c>
      <c r="L107" t="n">
        <v>0</v>
      </c>
      <c r="M107" t="n">
        <v>0</v>
      </c>
      <c r="N107" t="n">
        <v>0</v>
      </c>
      <c r="O107" t="n">
        <v>2</v>
      </c>
      <c r="P107" t="n">
        <v>0</v>
      </c>
      <c r="Q107" t="n">
        <v>3</v>
      </c>
      <c r="R107" s="2" t="inlineStr">
        <is>
          <t>Garnlav
Vitgrynig nållav
Fläcknycklar</t>
        </is>
      </c>
      <c r="S107">
        <f>HYPERLINK("https://klasma.github.io/Logging_2326/artfynd/A 56368-2024 artfynd.xlsx", "A 56368-2024")</f>
        <v/>
      </c>
      <c r="T107">
        <f>HYPERLINK("https://klasma.github.io/Logging_2326/kartor/A 56368-2024 karta.png", "A 56368-2024")</f>
        <v/>
      </c>
      <c r="V107">
        <f>HYPERLINK("https://klasma.github.io/Logging_2326/klagomål/A 56368-2024 FSC-klagomål.docx", "A 56368-2024")</f>
        <v/>
      </c>
      <c r="W107">
        <f>HYPERLINK("https://klasma.github.io/Logging_2326/klagomålsmail/A 56368-2024 FSC-klagomål mail.docx", "A 56368-2024")</f>
        <v/>
      </c>
      <c r="X107">
        <f>HYPERLINK("https://klasma.github.io/Logging_2326/tillsyn/A 56368-2024 tillsynsbegäran.docx", "A 56368-2024")</f>
        <v/>
      </c>
      <c r="Y107">
        <f>HYPERLINK("https://klasma.github.io/Logging_2326/tillsynsmail/A 56368-2024 tillsynsbegäran mail.docx", "A 56368-2024")</f>
        <v/>
      </c>
    </row>
    <row r="108" ht="15" customHeight="1">
      <c r="A108" t="inlineStr">
        <is>
          <t>A 14599-2021</t>
        </is>
      </c>
      <c r="B108" s="1" t="n">
        <v>44279</v>
      </c>
      <c r="C108" s="1" t="n">
        <v>46050</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35925-2024</t>
        </is>
      </c>
      <c r="B109" s="1" t="n">
        <v>45533.43868055556</v>
      </c>
      <c r="C109" s="1" t="n">
        <v>46050</v>
      </c>
      <c r="D109" t="inlineStr">
        <is>
          <t>JÄMTLANDS LÄN</t>
        </is>
      </c>
      <c r="E109" t="inlineStr">
        <is>
          <t>BERG</t>
        </is>
      </c>
      <c r="G109" t="n">
        <v>21.3</v>
      </c>
      <c r="H109" t="n">
        <v>0</v>
      </c>
      <c r="I109" t="n">
        <v>1</v>
      </c>
      <c r="J109" t="n">
        <v>2</v>
      </c>
      <c r="K109" t="n">
        <v>0</v>
      </c>
      <c r="L109" t="n">
        <v>0</v>
      </c>
      <c r="M109" t="n">
        <v>0</v>
      </c>
      <c r="N109" t="n">
        <v>0</v>
      </c>
      <c r="O109" t="n">
        <v>2</v>
      </c>
      <c r="P109" t="n">
        <v>0</v>
      </c>
      <c r="Q109" t="n">
        <v>3</v>
      </c>
      <c r="R109" s="2" t="inlineStr">
        <is>
          <t>Lunglav
Parknål
Bårdlav</t>
        </is>
      </c>
      <c r="S109">
        <f>HYPERLINK("https://klasma.github.io/Logging_2326/artfynd/A 35925-2024 artfynd.xlsx", "A 35925-2024")</f>
        <v/>
      </c>
      <c r="T109">
        <f>HYPERLINK("https://klasma.github.io/Logging_2326/kartor/A 35925-2024 karta.png", "A 35925-2024")</f>
        <v/>
      </c>
      <c r="V109">
        <f>HYPERLINK("https://klasma.github.io/Logging_2326/klagomål/A 35925-2024 FSC-klagomål.docx", "A 35925-2024")</f>
        <v/>
      </c>
      <c r="W109">
        <f>HYPERLINK("https://klasma.github.io/Logging_2326/klagomålsmail/A 35925-2024 FSC-klagomål mail.docx", "A 35925-2024")</f>
        <v/>
      </c>
      <c r="X109">
        <f>HYPERLINK("https://klasma.github.io/Logging_2326/tillsyn/A 35925-2024 tillsynsbegäran.docx", "A 35925-2024")</f>
        <v/>
      </c>
      <c r="Y109">
        <f>HYPERLINK("https://klasma.github.io/Logging_2326/tillsynsmail/A 35925-2024 tillsynsbegäran mail.docx", "A 35925-2024")</f>
        <v/>
      </c>
    </row>
    <row r="110" ht="15" customHeight="1">
      <c r="A110" t="inlineStr">
        <is>
          <t>A 54999-2023</t>
        </is>
      </c>
      <c r="B110" s="1" t="n">
        <v>45236</v>
      </c>
      <c r="C110" s="1" t="n">
        <v>46050</v>
      </c>
      <c r="D110" t="inlineStr">
        <is>
          <t>JÄMTLANDS LÄN</t>
        </is>
      </c>
      <c r="E110" t="inlineStr">
        <is>
          <t>BERG</t>
        </is>
      </c>
      <c r="F110" t="inlineStr">
        <is>
          <t>SCA</t>
        </is>
      </c>
      <c r="G110" t="n">
        <v>2.6</v>
      </c>
      <c r="H110" t="n">
        <v>0</v>
      </c>
      <c r="I110" t="n">
        <v>0</v>
      </c>
      <c r="J110" t="n">
        <v>2</v>
      </c>
      <c r="K110" t="n">
        <v>1</v>
      </c>
      <c r="L110" t="n">
        <v>0</v>
      </c>
      <c r="M110" t="n">
        <v>0</v>
      </c>
      <c r="N110" t="n">
        <v>0</v>
      </c>
      <c r="O110" t="n">
        <v>3</v>
      </c>
      <c r="P110" t="n">
        <v>1</v>
      </c>
      <c r="Q110" t="n">
        <v>3</v>
      </c>
      <c r="R110" s="2" t="inlineStr">
        <is>
          <t>Gräddporing
Blågrå svartspik
Dvärgbägarlav</t>
        </is>
      </c>
      <c r="S110">
        <f>HYPERLINK("https://klasma.github.io/Logging_2326/artfynd/A 54999-2023 artfynd.xlsx", "A 54999-2023")</f>
        <v/>
      </c>
      <c r="T110">
        <f>HYPERLINK("https://klasma.github.io/Logging_2326/kartor/A 54999-2023 karta.png", "A 54999-2023")</f>
        <v/>
      </c>
      <c r="V110">
        <f>HYPERLINK("https://klasma.github.io/Logging_2326/klagomål/A 54999-2023 FSC-klagomål.docx", "A 54999-2023")</f>
        <v/>
      </c>
      <c r="W110">
        <f>HYPERLINK("https://klasma.github.io/Logging_2326/klagomålsmail/A 54999-2023 FSC-klagomål mail.docx", "A 54999-2023")</f>
        <v/>
      </c>
      <c r="X110">
        <f>HYPERLINK("https://klasma.github.io/Logging_2326/tillsyn/A 54999-2023 tillsynsbegäran.docx", "A 54999-2023")</f>
        <v/>
      </c>
      <c r="Y110">
        <f>HYPERLINK("https://klasma.github.io/Logging_2326/tillsynsmail/A 54999-2023 tillsynsbegäran mail.docx", "A 54999-2023")</f>
        <v/>
      </c>
    </row>
    <row r="111" ht="15" customHeight="1">
      <c r="A111" t="inlineStr">
        <is>
          <t>A 51950-2021</t>
        </is>
      </c>
      <c r="B111" s="1" t="n">
        <v>44462.9562037037</v>
      </c>
      <c r="C111" s="1" t="n">
        <v>46050</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46050</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26748-2025</t>
        </is>
      </c>
      <c r="B113" s="1" t="n">
        <v>45810.53988425926</v>
      </c>
      <c r="C113" s="1" t="n">
        <v>46050</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27647-2025</t>
        </is>
      </c>
      <c r="B114" s="1" t="n">
        <v>45813.59454861111</v>
      </c>
      <c r="C114" s="1" t="n">
        <v>46050</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42120-2025</t>
        </is>
      </c>
      <c r="B115" s="1" t="n">
        <v>45904.34236111111</v>
      </c>
      <c r="C115" s="1" t="n">
        <v>46050</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31709-2025</t>
        </is>
      </c>
      <c r="B116" s="1" t="n">
        <v>45834.42543981481</v>
      </c>
      <c r="C116" s="1" t="n">
        <v>46050</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8734-2025</t>
        </is>
      </c>
      <c r="B117" s="1" t="n">
        <v>45712.53209490741</v>
      </c>
      <c r="C117" s="1" t="n">
        <v>46050</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47858-2025</t>
        </is>
      </c>
      <c r="B118" s="1" t="n">
        <v>45932.40699074074</v>
      </c>
      <c r="C118" s="1" t="n">
        <v>46050</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50389-2025</t>
        </is>
      </c>
      <c r="B119" s="1" t="n">
        <v>45944.61539351852</v>
      </c>
      <c r="C119" s="1" t="n">
        <v>46050</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52611-2025</t>
        </is>
      </c>
      <c r="B120" s="1" t="n">
        <v>45954.66971064815</v>
      </c>
      <c r="C120" s="1" t="n">
        <v>46050</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46050</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19948-2025</t>
        </is>
      </c>
      <c r="B122" s="1" t="n">
        <v>45771</v>
      </c>
      <c r="C122" s="1" t="n">
        <v>46050</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14344-2025</t>
        </is>
      </c>
      <c r="B123" s="1" t="n">
        <v>45741</v>
      </c>
      <c r="C123" s="1" t="n">
        <v>46050</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30334-2024</t>
        </is>
      </c>
      <c r="B124" s="1" t="n">
        <v>45490.95396990741</v>
      </c>
      <c r="C124" s="1" t="n">
        <v>46050</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27919-2024</t>
        </is>
      </c>
      <c r="B125" s="1" t="n">
        <v>45475.94865740741</v>
      </c>
      <c r="C125" s="1" t="n">
        <v>46050</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37387-2022</t>
        </is>
      </c>
      <c r="B126" s="1" t="n">
        <v>44806</v>
      </c>
      <c r="C126" s="1" t="n">
        <v>46050</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14588-2021</t>
        </is>
      </c>
      <c r="B127" s="1" t="n">
        <v>44279</v>
      </c>
      <c r="C127" s="1" t="n">
        <v>46050</v>
      </c>
      <c r="D127" t="inlineStr">
        <is>
          <t>JÄMTLANDS LÄN</t>
        </is>
      </c>
      <c r="E127" t="inlineStr">
        <is>
          <t>BERG</t>
        </is>
      </c>
      <c r="G127" t="n">
        <v>6.3</v>
      </c>
      <c r="H127" t="n">
        <v>0</v>
      </c>
      <c r="I127" t="n">
        <v>0</v>
      </c>
      <c r="J127" t="n">
        <v>2</v>
      </c>
      <c r="K127" t="n">
        <v>0</v>
      </c>
      <c r="L127" t="n">
        <v>0</v>
      </c>
      <c r="M127" t="n">
        <v>0</v>
      </c>
      <c r="N127" t="n">
        <v>0</v>
      </c>
      <c r="O127" t="n">
        <v>2</v>
      </c>
      <c r="P127" t="n">
        <v>0</v>
      </c>
      <c r="Q127" t="n">
        <v>2</v>
      </c>
      <c r="R127" s="2" t="inlineStr">
        <is>
          <t>Garnlav
Harticka</t>
        </is>
      </c>
      <c r="S127">
        <f>HYPERLINK("https://klasma.github.io/Logging_2326/artfynd/A 14588-2021 artfynd.xlsx", "A 14588-2021")</f>
        <v/>
      </c>
      <c r="T127">
        <f>HYPERLINK("https://klasma.github.io/Logging_2326/kartor/A 14588-2021 karta.png", "A 14588-2021")</f>
        <v/>
      </c>
      <c r="V127">
        <f>HYPERLINK("https://klasma.github.io/Logging_2326/klagomål/A 14588-2021 FSC-klagomål.docx", "A 14588-2021")</f>
        <v/>
      </c>
      <c r="W127">
        <f>HYPERLINK("https://klasma.github.io/Logging_2326/klagomålsmail/A 14588-2021 FSC-klagomål mail.docx", "A 14588-2021")</f>
        <v/>
      </c>
      <c r="X127">
        <f>HYPERLINK("https://klasma.github.io/Logging_2326/tillsyn/A 14588-2021 tillsynsbegäran.docx", "A 14588-2021")</f>
        <v/>
      </c>
      <c r="Y127">
        <f>HYPERLINK("https://klasma.github.io/Logging_2326/tillsynsmail/A 14588-2021 tillsynsbegäran mail.docx", "A 14588-2021")</f>
        <v/>
      </c>
    </row>
    <row r="128" ht="15" customHeight="1">
      <c r="A128" t="inlineStr">
        <is>
          <t>A 62159-2025</t>
        </is>
      </c>
      <c r="B128" s="1" t="n">
        <v>46006.49081018518</v>
      </c>
      <c r="C128" s="1" t="n">
        <v>46050</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62161-2025</t>
        </is>
      </c>
      <c r="B129" s="1" t="n">
        <v>46006.49113425926</v>
      </c>
      <c r="C129" s="1" t="n">
        <v>46050</v>
      </c>
      <c r="D129" t="inlineStr">
        <is>
          <t>JÄMTLANDS LÄN</t>
        </is>
      </c>
      <c r="E129" t="inlineStr">
        <is>
          <t>BERG</t>
        </is>
      </c>
      <c r="F129" t="inlineStr">
        <is>
          <t>SCA</t>
        </is>
      </c>
      <c r="G129" t="n">
        <v>2.6</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62161-2025 artfynd.xlsx", "A 62161-2025")</f>
        <v/>
      </c>
      <c r="T129">
        <f>HYPERLINK("https://klasma.github.io/Logging_2326/kartor/A 62161-2025 karta.png", "A 62161-2025")</f>
        <v/>
      </c>
      <c r="V129">
        <f>HYPERLINK("https://klasma.github.io/Logging_2326/klagomål/A 62161-2025 FSC-klagomål.docx", "A 62161-2025")</f>
        <v/>
      </c>
      <c r="W129">
        <f>HYPERLINK("https://klasma.github.io/Logging_2326/klagomålsmail/A 62161-2025 FSC-klagomål mail.docx", "A 62161-2025")</f>
        <v/>
      </c>
      <c r="X129">
        <f>HYPERLINK("https://klasma.github.io/Logging_2326/tillsyn/A 62161-2025 tillsynsbegäran.docx", "A 62161-2025")</f>
        <v/>
      </c>
      <c r="Y129">
        <f>HYPERLINK("https://klasma.github.io/Logging_2326/tillsynsmail/A 62161-2025 tillsynsbegäran mail.docx", "A 62161-2025")</f>
        <v/>
      </c>
      <c r="Z129">
        <f>HYPERLINK("https://klasma.github.io/Logging_2326/fåglar/A 62161-2025 prioriterade fågelarter.docx", "A 62161-2025")</f>
        <v/>
      </c>
    </row>
    <row r="130" ht="15" customHeight="1">
      <c r="A130" t="inlineStr">
        <is>
          <t>A 5122-2026</t>
        </is>
      </c>
      <c r="B130" s="1" t="n">
        <v>46049.58273148148</v>
      </c>
      <c r="C130" s="1" t="n">
        <v>46050</v>
      </c>
      <c r="D130" t="inlineStr">
        <is>
          <t>JÄMTLANDS LÄN</t>
        </is>
      </c>
      <c r="E130" t="inlineStr">
        <is>
          <t>BERG</t>
        </is>
      </c>
      <c r="F130" t="inlineStr">
        <is>
          <t>Sveaskog</t>
        </is>
      </c>
      <c r="G130" t="n">
        <v>9</v>
      </c>
      <c r="H130" t="n">
        <v>1</v>
      </c>
      <c r="I130" t="n">
        <v>1</v>
      </c>
      <c r="J130" t="n">
        <v>1</v>
      </c>
      <c r="K130" t="n">
        <v>0</v>
      </c>
      <c r="L130" t="n">
        <v>0</v>
      </c>
      <c r="M130" t="n">
        <v>0</v>
      </c>
      <c r="N130" t="n">
        <v>0</v>
      </c>
      <c r="O130" t="n">
        <v>1</v>
      </c>
      <c r="P130" t="n">
        <v>0</v>
      </c>
      <c r="Q130" t="n">
        <v>2</v>
      </c>
      <c r="R130" s="2" t="inlineStr">
        <is>
          <t>Garnlav
Plattlummer</t>
        </is>
      </c>
      <c r="S130">
        <f>HYPERLINK("https://klasma.github.io/Logging_2326/artfynd/A 5122-2026 artfynd.xlsx", "A 5122-2026")</f>
        <v/>
      </c>
      <c r="T130">
        <f>HYPERLINK("https://klasma.github.io/Logging_2326/kartor/A 5122-2026 karta.png", "A 5122-2026")</f>
        <v/>
      </c>
      <c r="V130">
        <f>HYPERLINK("https://klasma.github.io/Logging_2326/klagomål/A 5122-2026 FSC-klagomål.docx", "A 5122-2026")</f>
        <v/>
      </c>
      <c r="W130">
        <f>HYPERLINK("https://klasma.github.io/Logging_2326/klagomålsmail/A 5122-2026 FSC-klagomål mail.docx", "A 5122-2026")</f>
        <v/>
      </c>
      <c r="X130">
        <f>HYPERLINK("https://klasma.github.io/Logging_2326/tillsyn/A 5122-2026 tillsynsbegäran.docx", "A 5122-2026")</f>
        <v/>
      </c>
      <c r="Y130">
        <f>HYPERLINK("https://klasma.github.io/Logging_2326/tillsynsmail/A 5122-2026 tillsynsbegäran mail.docx", "A 5122-2026")</f>
        <v/>
      </c>
    </row>
    <row r="131" ht="15" customHeight="1">
      <c r="A131" t="inlineStr">
        <is>
          <t>A 48880-2023</t>
        </is>
      </c>
      <c r="B131" s="1" t="n">
        <v>45209</v>
      </c>
      <c r="C131" s="1" t="n">
        <v>46050</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47-2023</t>
        </is>
      </c>
      <c r="B132" s="1" t="n">
        <v>44928</v>
      </c>
      <c r="C132" s="1" t="n">
        <v>46050</v>
      </c>
      <c r="D132" t="inlineStr">
        <is>
          <t>JÄMTLANDS LÄN</t>
        </is>
      </c>
      <c r="E132" t="inlineStr">
        <is>
          <t>BERG</t>
        </is>
      </c>
      <c r="F132" t="inlineStr">
        <is>
          <t>Naturvårdsverket</t>
        </is>
      </c>
      <c r="G132" t="n">
        <v>1.5</v>
      </c>
      <c r="H132" t="n">
        <v>1</v>
      </c>
      <c r="I132" t="n">
        <v>0</v>
      </c>
      <c r="J132" t="n">
        <v>1</v>
      </c>
      <c r="K132" t="n">
        <v>1</v>
      </c>
      <c r="L132" t="n">
        <v>0</v>
      </c>
      <c r="M132" t="n">
        <v>0</v>
      </c>
      <c r="N132" t="n">
        <v>0</v>
      </c>
      <c r="O132" t="n">
        <v>2</v>
      </c>
      <c r="P132" t="n">
        <v>1</v>
      </c>
      <c r="Q132" t="n">
        <v>2</v>
      </c>
      <c r="R132" s="2" t="inlineStr">
        <is>
          <t>Knärot
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26944-2024</t>
        </is>
      </c>
      <c r="B133" s="1" t="n">
        <v>45470.96880787037</v>
      </c>
      <c r="C133" s="1" t="n">
        <v>46050</v>
      </c>
      <c r="D133" t="inlineStr">
        <is>
          <t>JÄMTLANDS LÄN</t>
        </is>
      </c>
      <c r="E133" t="inlineStr">
        <is>
          <t>BERG</t>
        </is>
      </c>
      <c r="F133" t="inlineStr">
        <is>
          <t>SCA</t>
        </is>
      </c>
      <c r="G133" t="n">
        <v>5.7</v>
      </c>
      <c r="H133" t="n">
        <v>0</v>
      </c>
      <c r="I133" t="n">
        <v>0</v>
      </c>
      <c r="J133" t="n">
        <v>2</v>
      </c>
      <c r="K133" t="n">
        <v>0</v>
      </c>
      <c r="L133" t="n">
        <v>0</v>
      </c>
      <c r="M133" t="n">
        <v>0</v>
      </c>
      <c r="N133" t="n">
        <v>0</v>
      </c>
      <c r="O133" t="n">
        <v>2</v>
      </c>
      <c r="P133" t="n">
        <v>0</v>
      </c>
      <c r="Q133" t="n">
        <v>2</v>
      </c>
      <c r="R133" s="2" t="inlineStr">
        <is>
          <t>Blå taggsvamp
Gammelgransskål</t>
        </is>
      </c>
      <c r="S133">
        <f>HYPERLINK("https://klasma.github.io/Logging_2326/artfynd/A 26944-2024 artfynd.xlsx", "A 26944-2024")</f>
        <v/>
      </c>
      <c r="T133">
        <f>HYPERLINK("https://klasma.github.io/Logging_2326/kartor/A 26944-2024 karta.png", "A 26944-2024")</f>
        <v/>
      </c>
      <c r="V133">
        <f>HYPERLINK("https://klasma.github.io/Logging_2326/klagomål/A 26944-2024 FSC-klagomål.docx", "A 26944-2024")</f>
        <v/>
      </c>
      <c r="W133">
        <f>HYPERLINK("https://klasma.github.io/Logging_2326/klagomålsmail/A 26944-2024 FSC-klagomål mail.docx", "A 26944-2024")</f>
        <v/>
      </c>
      <c r="X133">
        <f>HYPERLINK("https://klasma.github.io/Logging_2326/tillsyn/A 26944-2024 tillsynsbegäran.docx", "A 26944-2024")</f>
        <v/>
      </c>
      <c r="Y133">
        <f>HYPERLINK("https://klasma.github.io/Logging_2326/tillsynsmail/A 26944-2024 tillsynsbegäran mail.docx", "A 26944-2024")</f>
        <v/>
      </c>
    </row>
    <row r="134" ht="15" customHeight="1">
      <c r="A134" t="inlineStr">
        <is>
          <t>A 33009-2024</t>
        </is>
      </c>
      <c r="B134" s="1" t="n">
        <v>45517.50332175926</v>
      </c>
      <c r="C134" s="1" t="n">
        <v>46050</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12734-2024</t>
        </is>
      </c>
      <c r="B135" s="1" t="n">
        <v>45384</v>
      </c>
      <c r="C135" s="1" t="n">
        <v>46050</v>
      </c>
      <c r="D135" t="inlineStr">
        <is>
          <t>JÄMTLANDS LÄN</t>
        </is>
      </c>
      <c r="E135" t="inlineStr">
        <is>
          <t>BERG</t>
        </is>
      </c>
      <c r="G135" t="n">
        <v>7.2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12734-2024 artfynd.xlsx", "A 12734-2024")</f>
        <v/>
      </c>
      <c r="T135">
        <f>HYPERLINK("https://klasma.github.io/Logging_2326/kartor/A 12734-2024 karta.png", "A 12734-2024")</f>
        <v/>
      </c>
      <c r="V135">
        <f>HYPERLINK("https://klasma.github.io/Logging_2326/klagomål/A 12734-2024 FSC-klagomål.docx", "A 12734-2024")</f>
        <v/>
      </c>
      <c r="W135">
        <f>HYPERLINK("https://klasma.github.io/Logging_2326/klagomålsmail/A 12734-2024 FSC-klagomål mail.docx", "A 12734-2024")</f>
        <v/>
      </c>
      <c r="X135">
        <f>HYPERLINK("https://klasma.github.io/Logging_2326/tillsyn/A 12734-2024 tillsynsbegäran.docx", "A 12734-2024")</f>
        <v/>
      </c>
      <c r="Y135">
        <f>HYPERLINK("https://klasma.github.io/Logging_2326/tillsynsmail/A 12734-2024 tillsynsbegäran mail.docx", "A 12734-2024")</f>
        <v/>
      </c>
      <c r="Z135">
        <f>HYPERLINK("https://klasma.github.io/Logging_2326/fåglar/A 12734-2024 prioriterade fågelarter.docx", "A 12734-2024")</f>
        <v/>
      </c>
    </row>
    <row r="136" ht="15" customHeight="1">
      <c r="A136" t="inlineStr">
        <is>
          <t>A 55331-2023</t>
        </is>
      </c>
      <c r="B136" s="1" t="n">
        <v>45237</v>
      </c>
      <c r="C136" s="1" t="n">
        <v>46050</v>
      </c>
      <c r="D136" t="inlineStr">
        <is>
          <t>JÄMTLANDS LÄN</t>
        </is>
      </c>
      <c r="E136" t="inlineStr">
        <is>
          <t>BERG</t>
        </is>
      </c>
      <c r="F136" t="inlineStr">
        <is>
          <t>SCA</t>
        </is>
      </c>
      <c r="G136" t="n">
        <v>8.800000000000001</v>
      </c>
      <c r="H136" t="n">
        <v>1</v>
      </c>
      <c r="I136" t="n">
        <v>1</v>
      </c>
      <c r="J136" t="n">
        <v>0</v>
      </c>
      <c r="K136" t="n">
        <v>0</v>
      </c>
      <c r="L136" t="n">
        <v>0</v>
      </c>
      <c r="M136" t="n">
        <v>0</v>
      </c>
      <c r="N136" t="n">
        <v>0</v>
      </c>
      <c r="O136" t="n">
        <v>0</v>
      </c>
      <c r="P136" t="n">
        <v>0</v>
      </c>
      <c r="Q136" t="n">
        <v>2</v>
      </c>
      <c r="R136" s="2" t="inlineStr">
        <is>
          <t>Tibast
Fläcknycklar</t>
        </is>
      </c>
      <c r="S136">
        <f>HYPERLINK("https://klasma.github.io/Logging_2326/artfynd/A 55331-2023 artfynd.xlsx", "A 55331-2023")</f>
        <v/>
      </c>
      <c r="T136">
        <f>HYPERLINK("https://klasma.github.io/Logging_2326/kartor/A 55331-2023 karta.png", "A 55331-2023")</f>
        <v/>
      </c>
      <c r="V136">
        <f>HYPERLINK("https://klasma.github.io/Logging_2326/klagomål/A 55331-2023 FSC-klagomål.docx", "A 55331-2023")</f>
        <v/>
      </c>
      <c r="W136">
        <f>HYPERLINK("https://klasma.github.io/Logging_2326/klagomålsmail/A 55331-2023 FSC-klagomål mail.docx", "A 55331-2023")</f>
        <v/>
      </c>
      <c r="X136">
        <f>HYPERLINK("https://klasma.github.io/Logging_2326/tillsyn/A 55331-2023 tillsynsbegäran.docx", "A 55331-2023")</f>
        <v/>
      </c>
      <c r="Y136">
        <f>HYPERLINK("https://klasma.github.io/Logging_2326/tillsynsmail/A 55331-2023 tillsynsbegäran mail.docx", "A 55331-2023")</f>
        <v/>
      </c>
    </row>
    <row r="137" ht="15" customHeight="1">
      <c r="A137" t="inlineStr">
        <is>
          <t>A 10133-2023</t>
        </is>
      </c>
      <c r="B137" s="1" t="n">
        <v>44986</v>
      </c>
      <c r="C137" s="1" t="n">
        <v>46050</v>
      </c>
      <c r="D137" t="inlineStr">
        <is>
          <t>JÄMTLANDS LÄN</t>
        </is>
      </c>
      <c r="E137" t="inlineStr">
        <is>
          <t>BERG</t>
        </is>
      </c>
      <c r="F137" t="inlineStr">
        <is>
          <t>Holmen skog AB</t>
        </is>
      </c>
      <c r="G137" t="n">
        <v>3</v>
      </c>
      <c r="H137" t="n">
        <v>0</v>
      </c>
      <c r="I137" t="n">
        <v>0</v>
      </c>
      <c r="J137" t="n">
        <v>2</v>
      </c>
      <c r="K137" t="n">
        <v>0</v>
      </c>
      <c r="L137" t="n">
        <v>0</v>
      </c>
      <c r="M137" t="n">
        <v>0</v>
      </c>
      <c r="N137" t="n">
        <v>0</v>
      </c>
      <c r="O137" t="n">
        <v>2</v>
      </c>
      <c r="P137" t="n">
        <v>0</v>
      </c>
      <c r="Q137" t="n">
        <v>2</v>
      </c>
      <c r="R137" s="2" t="inlineStr">
        <is>
          <t>Garnlav
Vitgrynig nållav</t>
        </is>
      </c>
      <c r="S137">
        <f>HYPERLINK("https://klasma.github.io/Logging_2326/artfynd/A 10133-2023 artfynd.xlsx", "A 10133-2023")</f>
        <v/>
      </c>
      <c r="T137">
        <f>HYPERLINK("https://klasma.github.io/Logging_2326/kartor/A 10133-2023 karta.png", "A 10133-2023")</f>
        <v/>
      </c>
      <c r="V137">
        <f>HYPERLINK("https://klasma.github.io/Logging_2326/klagomål/A 10133-2023 FSC-klagomål.docx", "A 10133-2023")</f>
        <v/>
      </c>
      <c r="W137">
        <f>HYPERLINK("https://klasma.github.io/Logging_2326/klagomålsmail/A 10133-2023 FSC-klagomål mail.docx", "A 10133-2023")</f>
        <v/>
      </c>
      <c r="X137">
        <f>HYPERLINK("https://klasma.github.io/Logging_2326/tillsyn/A 10133-2023 tillsynsbegäran.docx", "A 10133-2023")</f>
        <v/>
      </c>
      <c r="Y137">
        <f>HYPERLINK("https://klasma.github.io/Logging_2326/tillsynsmail/A 10133-2023 tillsynsbegäran mail.docx", "A 10133-2023")</f>
        <v/>
      </c>
    </row>
    <row r="138" ht="15" customHeight="1">
      <c r="A138" t="inlineStr">
        <is>
          <t>A 28769-2024</t>
        </is>
      </c>
      <c r="B138" s="1" t="n">
        <v>45478</v>
      </c>
      <c r="C138" s="1" t="n">
        <v>46050</v>
      </c>
      <c r="D138" t="inlineStr">
        <is>
          <t>JÄMTLANDS LÄN</t>
        </is>
      </c>
      <c r="E138" t="inlineStr">
        <is>
          <t>BERG</t>
        </is>
      </c>
      <c r="F138" t="inlineStr">
        <is>
          <t>Sveaskog</t>
        </is>
      </c>
      <c r="G138" t="n">
        <v>2.2</v>
      </c>
      <c r="H138" t="n">
        <v>1</v>
      </c>
      <c r="I138" t="n">
        <v>0</v>
      </c>
      <c r="J138" t="n">
        <v>1</v>
      </c>
      <c r="K138" t="n">
        <v>0</v>
      </c>
      <c r="L138" t="n">
        <v>0</v>
      </c>
      <c r="M138" t="n">
        <v>0</v>
      </c>
      <c r="N138" t="n">
        <v>0</v>
      </c>
      <c r="O138" t="n">
        <v>1</v>
      </c>
      <c r="P138" t="n">
        <v>0</v>
      </c>
      <c r="Q138" t="n">
        <v>2</v>
      </c>
      <c r="R138" s="2" t="inlineStr">
        <is>
          <t>Lunglav
Fläcknycklar</t>
        </is>
      </c>
      <c r="S138">
        <f>HYPERLINK("https://klasma.github.io/Logging_2326/artfynd/A 28769-2024 artfynd.xlsx", "A 28769-2024")</f>
        <v/>
      </c>
      <c r="T138">
        <f>HYPERLINK("https://klasma.github.io/Logging_2326/kartor/A 28769-2024 karta.png", "A 28769-2024")</f>
        <v/>
      </c>
      <c r="V138">
        <f>HYPERLINK("https://klasma.github.io/Logging_2326/klagomål/A 28769-2024 FSC-klagomål.docx", "A 28769-2024")</f>
        <v/>
      </c>
      <c r="W138">
        <f>HYPERLINK("https://klasma.github.io/Logging_2326/klagomålsmail/A 28769-2024 FSC-klagomål mail.docx", "A 28769-2024")</f>
        <v/>
      </c>
      <c r="X138">
        <f>HYPERLINK("https://klasma.github.io/Logging_2326/tillsyn/A 28769-2024 tillsynsbegäran.docx", "A 28769-2024")</f>
        <v/>
      </c>
      <c r="Y138">
        <f>HYPERLINK("https://klasma.github.io/Logging_2326/tillsynsmail/A 28769-2024 tillsynsbegäran mail.docx", "A 28769-2024")</f>
        <v/>
      </c>
    </row>
    <row r="139" ht="15" customHeight="1">
      <c r="A139" t="inlineStr">
        <is>
          <t>A 60333-2024</t>
        </is>
      </c>
      <c r="B139" s="1" t="n">
        <v>45643</v>
      </c>
      <c r="C139" s="1" t="n">
        <v>46050</v>
      </c>
      <c r="D139" t="inlineStr">
        <is>
          <t>JÄMTLANDS LÄN</t>
        </is>
      </c>
      <c r="E139" t="inlineStr">
        <is>
          <t>BERG</t>
        </is>
      </c>
      <c r="G139" t="n">
        <v>25.5</v>
      </c>
      <c r="H139" t="n">
        <v>0</v>
      </c>
      <c r="I139" t="n">
        <v>2</v>
      </c>
      <c r="J139" t="n">
        <v>0</v>
      </c>
      <c r="K139" t="n">
        <v>0</v>
      </c>
      <c r="L139" t="n">
        <v>0</v>
      </c>
      <c r="M139" t="n">
        <v>0</v>
      </c>
      <c r="N139" t="n">
        <v>0</v>
      </c>
      <c r="O139" t="n">
        <v>0</v>
      </c>
      <c r="P139" t="n">
        <v>0</v>
      </c>
      <c r="Q139" t="n">
        <v>2</v>
      </c>
      <c r="R139" s="2" t="inlineStr">
        <is>
          <t>Honungsvaxing
Ängsvaxskivling</t>
        </is>
      </c>
      <c r="S139">
        <f>HYPERLINK("https://klasma.github.io/Logging_2326/artfynd/A 60333-2024 artfynd.xlsx", "A 60333-2024")</f>
        <v/>
      </c>
      <c r="T139">
        <f>HYPERLINK("https://klasma.github.io/Logging_2326/kartor/A 60333-2024 karta.png", "A 60333-2024")</f>
        <v/>
      </c>
      <c r="V139">
        <f>HYPERLINK("https://klasma.github.io/Logging_2326/klagomål/A 60333-2024 FSC-klagomål.docx", "A 60333-2024")</f>
        <v/>
      </c>
      <c r="W139">
        <f>HYPERLINK("https://klasma.github.io/Logging_2326/klagomålsmail/A 60333-2024 FSC-klagomål mail.docx", "A 60333-2024")</f>
        <v/>
      </c>
      <c r="X139">
        <f>HYPERLINK("https://klasma.github.io/Logging_2326/tillsyn/A 60333-2024 tillsynsbegäran.docx", "A 60333-2024")</f>
        <v/>
      </c>
      <c r="Y139">
        <f>HYPERLINK("https://klasma.github.io/Logging_2326/tillsynsmail/A 60333-2024 tillsynsbegäran mail.docx", "A 60333-2024")</f>
        <v/>
      </c>
    </row>
    <row r="140" ht="15" customHeight="1">
      <c r="A140" t="inlineStr">
        <is>
          <t>A 21518-2025</t>
        </is>
      </c>
      <c r="B140" s="1" t="n">
        <v>45782</v>
      </c>
      <c r="C140" s="1" t="n">
        <v>46050</v>
      </c>
      <c r="D140" t="inlineStr">
        <is>
          <t>JÄMTLANDS LÄN</t>
        </is>
      </c>
      <c r="E140" t="inlineStr">
        <is>
          <t>BERG</t>
        </is>
      </c>
      <c r="F140" t="inlineStr">
        <is>
          <t>SCA</t>
        </is>
      </c>
      <c r="G140" t="n">
        <v>3.6</v>
      </c>
      <c r="H140" t="n">
        <v>0</v>
      </c>
      <c r="I140" t="n">
        <v>1</v>
      </c>
      <c r="J140" t="n">
        <v>1</v>
      </c>
      <c r="K140" t="n">
        <v>0</v>
      </c>
      <c r="L140" t="n">
        <v>0</v>
      </c>
      <c r="M140" t="n">
        <v>0</v>
      </c>
      <c r="N140" t="n">
        <v>0</v>
      </c>
      <c r="O140" t="n">
        <v>1</v>
      </c>
      <c r="P140" t="n">
        <v>0</v>
      </c>
      <c r="Q140" t="n">
        <v>2</v>
      </c>
      <c r="R140" s="2" t="inlineStr">
        <is>
          <t>Dvärgbägarlav
Skarp dropptaggsvamp</t>
        </is>
      </c>
      <c r="S140">
        <f>HYPERLINK("https://klasma.github.io/Logging_2326/artfynd/A 21518-2025 artfynd.xlsx", "A 21518-2025")</f>
        <v/>
      </c>
      <c r="T140">
        <f>HYPERLINK("https://klasma.github.io/Logging_2326/kartor/A 21518-2025 karta.png", "A 21518-2025")</f>
        <v/>
      </c>
      <c r="V140">
        <f>HYPERLINK("https://klasma.github.io/Logging_2326/klagomål/A 21518-2025 FSC-klagomål.docx", "A 21518-2025")</f>
        <v/>
      </c>
      <c r="W140">
        <f>HYPERLINK("https://klasma.github.io/Logging_2326/klagomålsmail/A 21518-2025 FSC-klagomål mail.docx", "A 21518-2025")</f>
        <v/>
      </c>
      <c r="X140">
        <f>HYPERLINK("https://klasma.github.io/Logging_2326/tillsyn/A 21518-2025 tillsynsbegäran.docx", "A 21518-2025")</f>
        <v/>
      </c>
      <c r="Y140">
        <f>HYPERLINK("https://klasma.github.io/Logging_2326/tillsynsmail/A 21518-2025 tillsynsbegäran mail.docx", "A 21518-2025")</f>
        <v/>
      </c>
    </row>
    <row r="141" ht="15" customHeight="1">
      <c r="A141" t="inlineStr">
        <is>
          <t>A 16834-2021</t>
        </is>
      </c>
      <c r="B141" s="1" t="n">
        <v>44293</v>
      </c>
      <c r="C141" s="1" t="n">
        <v>46050</v>
      </c>
      <c r="D141" t="inlineStr">
        <is>
          <t>JÄMTLANDS LÄN</t>
        </is>
      </c>
      <c r="E141" t="inlineStr">
        <is>
          <t>BERG</t>
        </is>
      </c>
      <c r="G141" t="n">
        <v>18.7</v>
      </c>
      <c r="H141" t="n">
        <v>0</v>
      </c>
      <c r="I141" t="n">
        <v>0</v>
      </c>
      <c r="J141" t="n">
        <v>1</v>
      </c>
      <c r="K141" t="n">
        <v>0</v>
      </c>
      <c r="L141" t="n">
        <v>0</v>
      </c>
      <c r="M141" t="n">
        <v>0</v>
      </c>
      <c r="N141" t="n">
        <v>0</v>
      </c>
      <c r="O141" t="n">
        <v>1</v>
      </c>
      <c r="P141" t="n">
        <v>0</v>
      </c>
      <c r="Q141" t="n">
        <v>1</v>
      </c>
      <c r="R141" s="2" t="inlineStr">
        <is>
          <t>Gränsticka</t>
        </is>
      </c>
      <c r="S141">
        <f>HYPERLINK("https://klasma.github.io/Logging_2326/artfynd/A 16834-2021 artfynd.xlsx", "A 16834-2021")</f>
        <v/>
      </c>
      <c r="T141">
        <f>HYPERLINK("https://klasma.github.io/Logging_2326/kartor/A 16834-2021 karta.png", "A 16834-2021")</f>
        <v/>
      </c>
      <c r="V141">
        <f>HYPERLINK("https://klasma.github.io/Logging_2326/klagomål/A 16834-2021 FSC-klagomål.docx", "A 16834-2021")</f>
        <v/>
      </c>
      <c r="W141">
        <f>HYPERLINK("https://klasma.github.io/Logging_2326/klagomålsmail/A 16834-2021 FSC-klagomål mail.docx", "A 16834-2021")</f>
        <v/>
      </c>
      <c r="X141">
        <f>HYPERLINK("https://klasma.github.io/Logging_2326/tillsyn/A 16834-2021 tillsynsbegäran.docx", "A 16834-2021")</f>
        <v/>
      </c>
      <c r="Y141">
        <f>HYPERLINK("https://klasma.github.io/Logging_2326/tillsynsmail/A 16834-2021 tillsynsbegäran mail.docx", "A 16834-2021")</f>
        <v/>
      </c>
    </row>
    <row r="142" ht="15" customHeight="1">
      <c r="A142" t="inlineStr">
        <is>
          <t>A 41317-2022</t>
        </is>
      </c>
      <c r="B142" s="1" t="n">
        <v>44826</v>
      </c>
      <c r="C142" s="1" t="n">
        <v>46050</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49276-2024</t>
        </is>
      </c>
      <c r="B143" s="1" t="n">
        <v>45595.50819444445</v>
      </c>
      <c r="C143" s="1" t="n">
        <v>46050</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49276-2024 artfynd.xlsx", "A 49276-2024")</f>
        <v/>
      </c>
      <c r="T143">
        <f>HYPERLINK("https://klasma.github.io/Logging_2326/kartor/A 49276-2024 karta.png", "A 49276-2024")</f>
        <v/>
      </c>
      <c r="V143">
        <f>HYPERLINK("https://klasma.github.io/Logging_2326/klagomål/A 49276-2024 FSC-klagomål.docx", "A 49276-2024")</f>
        <v/>
      </c>
      <c r="W143">
        <f>HYPERLINK("https://klasma.github.io/Logging_2326/klagomålsmail/A 49276-2024 FSC-klagomål mail.docx", "A 49276-2024")</f>
        <v/>
      </c>
      <c r="X143">
        <f>HYPERLINK("https://klasma.github.io/Logging_2326/tillsyn/A 49276-2024 tillsynsbegäran.docx", "A 49276-2024")</f>
        <v/>
      </c>
      <c r="Y143">
        <f>HYPERLINK("https://klasma.github.io/Logging_2326/tillsynsmail/A 49276-2024 tillsynsbegäran mail.docx", "A 49276-2024")</f>
        <v/>
      </c>
    </row>
    <row r="144" ht="15" customHeight="1">
      <c r="A144" t="inlineStr">
        <is>
          <t>A 24331-2025</t>
        </is>
      </c>
      <c r="B144" s="1" t="n">
        <v>45797</v>
      </c>
      <c r="C144" s="1" t="n">
        <v>46050</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56202-2021</t>
        </is>
      </c>
      <c r="B145" s="1" t="n">
        <v>44477</v>
      </c>
      <c r="C145" s="1" t="n">
        <v>46050</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25556-2025</t>
        </is>
      </c>
      <c r="B146" s="1" t="n">
        <v>45803.45106481481</v>
      </c>
      <c r="C146" s="1" t="n">
        <v>46050</v>
      </c>
      <c r="D146" t="inlineStr">
        <is>
          <t>JÄMTLANDS LÄN</t>
        </is>
      </c>
      <c r="E146" t="inlineStr">
        <is>
          <t>BERG</t>
        </is>
      </c>
      <c r="G146" t="n">
        <v>6.2</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25556-2025 artfynd.xlsx", "A 25556-2025")</f>
        <v/>
      </c>
      <c r="T146">
        <f>HYPERLINK("https://klasma.github.io/Logging_2326/kartor/A 25556-2025 karta.png", "A 25556-2025")</f>
        <v/>
      </c>
      <c r="V146">
        <f>HYPERLINK("https://klasma.github.io/Logging_2326/klagomål/A 25556-2025 FSC-klagomål.docx", "A 25556-2025")</f>
        <v/>
      </c>
      <c r="W146">
        <f>HYPERLINK("https://klasma.github.io/Logging_2326/klagomålsmail/A 25556-2025 FSC-klagomål mail.docx", "A 25556-2025")</f>
        <v/>
      </c>
      <c r="X146">
        <f>HYPERLINK("https://klasma.github.io/Logging_2326/tillsyn/A 25556-2025 tillsynsbegäran.docx", "A 25556-2025")</f>
        <v/>
      </c>
      <c r="Y146">
        <f>HYPERLINK("https://klasma.github.io/Logging_2326/tillsynsmail/A 25556-2025 tillsynsbegäran mail.docx", "A 25556-2025")</f>
        <v/>
      </c>
      <c r="Z146">
        <f>HYPERLINK("https://klasma.github.io/Logging_2326/fåglar/A 25556-2025 prioriterade fågelarter.docx", "A 25556-2025")</f>
        <v/>
      </c>
    </row>
    <row r="147" ht="15" customHeight="1">
      <c r="A147" t="inlineStr">
        <is>
          <t>A 39001-2025</t>
        </is>
      </c>
      <c r="B147" s="1" t="n">
        <v>45888.344375</v>
      </c>
      <c r="C147" s="1" t="n">
        <v>46050</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54595-2024</t>
        </is>
      </c>
      <c r="B148" s="1" t="n">
        <v>45617.67353009259</v>
      </c>
      <c r="C148" s="1" t="n">
        <v>46050</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46050</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25853-2025</t>
        </is>
      </c>
      <c r="B150" s="1" t="n">
        <v>45804.46908564815</v>
      </c>
      <c r="C150" s="1" t="n">
        <v>46050</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33501-2025</t>
        </is>
      </c>
      <c r="B151" s="1" t="n">
        <v>45841</v>
      </c>
      <c r="C151" s="1" t="n">
        <v>46050</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35211-2025</t>
        </is>
      </c>
      <c r="B152" s="1" t="n">
        <v>45853.45060185185</v>
      </c>
      <c r="C152" s="1" t="n">
        <v>46050</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47656-2025</t>
        </is>
      </c>
      <c r="B153" s="1" t="n">
        <v>45931.55247685185</v>
      </c>
      <c r="C153" s="1" t="n">
        <v>46050</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46050</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35535-2025</t>
        </is>
      </c>
      <c r="B155" s="1" t="n">
        <v>45856.45047453704</v>
      </c>
      <c r="C155" s="1" t="n">
        <v>46050</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20808-2024</t>
        </is>
      </c>
      <c r="B156" s="1" t="n">
        <v>45439</v>
      </c>
      <c r="C156" s="1" t="n">
        <v>46050</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20808-2024 artfynd.xlsx", "A 20808-2024")</f>
        <v/>
      </c>
      <c r="T156">
        <f>HYPERLINK("https://klasma.github.io/Logging_2326/kartor/A 20808-2024 karta.png", "A 20808-2024")</f>
        <v/>
      </c>
      <c r="V156">
        <f>HYPERLINK("https://klasma.github.io/Logging_2326/klagomål/A 20808-2024 FSC-klagomål.docx", "A 20808-2024")</f>
        <v/>
      </c>
      <c r="W156">
        <f>HYPERLINK("https://klasma.github.io/Logging_2326/klagomålsmail/A 20808-2024 FSC-klagomål mail.docx", "A 20808-2024")</f>
        <v/>
      </c>
      <c r="X156">
        <f>HYPERLINK("https://klasma.github.io/Logging_2326/tillsyn/A 20808-2024 tillsynsbegäran.docx", "A 20808-2024")</f>
        <v/>
      </c>
      <c r="Y156">
        <f>HYPERLINK("https://klasma.github.io/Logging_2326/tillsynsmail/A 20808-2024 tillsynsbegäran mail.docx", "A 20808-2024")</f>
        <v/>
      </c>
      <c r="Z156">
        <f>HYPERLINK("https://klasma.github.io/Logging_2326/fåglar/A 20808-2024 prioriterade fågelarter.docx", "A 20808-2024")</f>
        <v/>
      </c>
    </row>
    <row r="157" ht="15" customHeight="1">
      <c r="A157" t="inlineStr">
        <is>
          <t>A 47946-2025</t>
        </is>
      </c>
      <c r="B157" s="1" t="n">
        <v>45932.57346064815</v>
      </c>
      <c r="C157" s="1" t="n">
        <v>46050</v>
      </c>
      <c r="D157" t="inlineStr">
        <is>
          <t>JÄMTLANDS LÄN</t>
        </is>
      </c>
      <c r="E157" t="inlineStr">
        <is>
          <t>BERG</t>
        </is>
      </c>
      <c r="F157" t="inlineStr">
        <is>
          <t>SCA</t>
        </is>
      </c>
      <c r="G157" t="n">
        <v>7.7</v>
      </c>
      <c r="H157" t="n">
        <v>0</v>
      </c>
      <c r="I157" t="n">
        <v>0</v>
      </c>
      <c r="J157" t="n">
        <v>0</v>
      </c>
      <c r="K157" t="n">
        <v>1</v>
      </c>
      <c r="L157" t="n">
        <v>0</v>
      </c>
      <c r="M157" t="n">
        <v>0</v>
      </c>
      <c r="N157" t="n">
        <v>0</v>
      </c>
      <c r="O157" t="n">
        <v>1</v>
      </c>
      <c r="P157" t="n">
        <v>1</v>
      </c>
      <c r="Q157" t="n">
        <v>1</v>
      </c>
      <c r="R157" s="2" t="inlineStr">
        <is>
          <t>Gräddporing</t>
        </is>
      </c>
      <c r="S157">
        <f>HYPERLINK("https://klasma.github.io/Logging_2326/artfynd/A 47946-2025 artfynd.xlsx", "A 47946-2025")</f>
        <v/>
      </c>
      <c r="T157">
        <f>HYPERLINK("https://klasma.github.io/Logging_2326/kartor/A 47946-2025 karta.png", "A 47946-2025")</f>
        <v/>
      </c>
      <c r="V157">
        <f>HYPERLINK("https://klasma.github.io/Logging_2326/klagomål/A 47946-2025 FSC-klagomål.docx", "A 47946-2025")</f>
        <v/>
      </c>
      <c r="W157">
        <f>HYPERLINK("https://klasma.github.io/Logging_2326/klagomålsmail/A 47946-2025 FSC-klagomål mail.docx", "A 47946-2025")</f>
        <v/>
      </c>
      <c r="X157">
        <f>HYPERLINK("https://klasma.github.io/Logging_2326/tillsyn/A 47946-2025 tillsynsbegäran.docx", "A 47946-2025")</f>
        <v/>
      </c>
      <c r="Y157">
        <f>HYPERLINK("https://klasma.github.io/Logging_2326/tillsynsmail/A 47946-2025 tillsynsbegäran mail.docx", "A 47946-2025")</f>
        <v/>
      </c>
    </row>
    <row r="158" ht="15" customHeight="1">
      <c r="A158" t="inlineStr">
        <is>
          <t>A 53086-2024</t>
        </is>
      </c>
      <c r="B158" s="1" t="n">
        <v>45611.51084490741</v>
      </c>
      <c r="C158" s="1" t="n">
        <v>46050</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37513-2025</t>
        </is>
      </c>
      <c r="B159" s="1" t="n">
        <v>45877.69828703703</v>
      </c>
      <c r="C159" s="1" t="n">
        <v>46050</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50182-2025</t>
        </is>
      </c>
      <c r="B160" s="1" t="n">
        <v>45943.61550925926</v>
      </c>
      <c r="C160" s="1" t="n">
        <v>46050</v>
      </c>
      <c r="D160" t="inlineStr">
        <is>
          <t>JÄMTLANDS LÄN</t>
        </is>
      </c>
      <c r="E160" t="inlineStr">
        <is>
          <t>BERG</t>
        </is>
      </c>
      <c r="F160" t="inlineStr">
        <is>
          <t>SCA</t>
        </is>
      </c>
      <c r="G160" t="n">
        <v>12.8</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50182-2025 artfynd.xlsx", "A 50182-2025")</f>
        <v/>
      </c>
      <c r="T160">
        <f>HYPERLINK("https://klasma.github.io/Logging_2326/kartor/A 50182-2025 karta.png", "A 50182-2025")</f>
        <v/>
      </c>
      <c r="V160">
        <f>HYPERLINK("https://klasma.github.io/Logging_2326/klagomål/A 50182-2025 FSC-klagomål.docx", "A 50182-2025")</f>
        <v/>
      </c>
      <c r="W160">
        <f>HYPERLINK("https://klasma.github.io/Logging_2326/klagomålsmail/A 50182-2025 FSC-klagomål mail.docx", "A 50182-2025")</f>
        <v/>
      </c>
      <c r="X160">
        <f>HYPERLINK("https://klasma.github.io/Logging_2326/tillsyn/A 50182-2025 tillsynsbegäran.docx", "A 50182-2025")</f>
        <v/>
      </c>
      <c r="Y160">
        <f>HYPERLINK("https://klasma.github.io/Logging_2326/tillsynsmail/A 50182-2025 tillsynsbegäran mail.docx", "A 50182-2025")</f>
        <v/>
      </c>
      <c r="Z160">
        <f>HYPERLINK("https://klasma.github.io/Logging_2326/fåglar/A 50182-2025 prioriterade fågelarter.docx", "A 50182-2025")</f>
        <v/>
      </c>
    </row>
    <row r="161" ht="15" customHeight="1">
      <c r="A161" t="inlineStr">
        <is>
          <t>A 37651-2025</t>
        </is>
      </c>
      <c r="B161" s="1" t="n">
        <v>45880.49006944444</v>
      </c>
      <c r="C161" s="1" t="n">
        <v>46050</v>
      </c>
      <c r="D161" t="inlineStr">
        <is>
          <t>JÄMTLANDS LÄN</t>
        </is>
      </c>
      <c r="E161" t="inlineStr">
        <is>
          <t>BERG</t>
        </is>
      </c>
      <c r="F161" t="inlineStr">
        <is>
          <t>SCA</t>
        </is>
      </c>
      <c r="G161" t="n">
        <v>8.5</v>
      </c>
      <c r="H161" t="n">
        <v>0</v>
      </c>
      <c r="I161" t="n">
        <v>0</v>
      </c>
      <c r="J161" t="n">
        <v>1</v>
      </c>
      <c r="K161" t="n">
        <v>0</v>
      </c>
      <c r="L161" t="n">
        <v>0</v>
      </c>
      <c r="M161" t="n">
        <v>0</v>
      </c>
      <c r="N161" t="n">
        <v>0</v>
      </c>
      <c r="O161" t="n">
        <v>1</v>
      </c>
      <c r="P161" t="n">
        <v>0</v>
      </c>
      <c r="Q161" t="n">
        <v>1</v>
      </c>
      <c r="R161" s="2" t="inlineStr">
        <is>
          <t>Vedflamlav</t>
        </is>
      </c>
      <c r="S161">
        <f>HYPERLINK("https://klasma.github.io/Logging_2326/artfynd/A 37651-2025 artfynd.xlsx", "A 37651-2025")</f>
        <v/>
      </c>
      <c r="T161">
        <f>HYPERLINK("https://klasma.github.io/Logging_2326/kartor/A 37651-2025 karta.png", "A 37651-2025")</f>
        <v/>
      </c>
      <c r="V161">
        <f>HYPERLINK("https://klasma.github.io/Logging_2326/klagomål/A 37651-2025 FSC-klagomål.docx", "A 37651-2025")</f>
        <v/>
      </c>
      <c r="W161">
        <f>HYPERLINK("https://klasma.github.io/Logging_2326/klagomålsmail/A 37651-2025 FSC-klagomål mail.docx", "A 37651-2025")</f>
        <v/>
      </c>
      <c r="X161">
        <f>HYPERLINK("https://klasma.github.io/Logging_2326/tillsyn/A 37651-2025 tillsynsbegäran.docx", "A 37651-2025")</f>
        <v/>
      </c>
      <c r="Y161">
        <f>HYPERLINK("https://klasma.github.io/Logging_2326/tillsynsmail/A 37651-2025 tillsynsbegäran mail.docx", "A 37651-2025")</f>
        <v/>
      </c>
    </row>
    <row r="162" ht="15" customHeight="1">
      <c r="A162" t="inlineStr">
        <is>
          <t>A 34891-2024</t>
        </is>
      </c>
      <c r="B162" s="1" t="n">
        <v>45527.36498842593</v>
      </c>
      <c r="C162" s="1" t="n">
        <v>46050</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32171-2024</t>
        </is>
      </c>
      <c r="B163" s="1" t="n">
        <v>45511</v>
      </c>
      <c r="C163" s="1" t="n">
        <v>46050</v>
      </c>
      <c r="D163" t="inlineStr">
        <is>
          <t>JÄMTLANDS LÄN</t>
        </is>
      </c>
      <c r="E163" t="inlineStr">
        <is>
          <t>BERG</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44259-2024</t>
        </is>
      </c>
      <c r="B164" s="1" t="n">
        <v>45573</v>
      </c>
      <c r="C164" s="1" t="n">
        <v>46050</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52193-2024</t>
        </is>
      </c>
      <c r="B165" s="1" t="n">
        <v>45608</v>
      </c>
      <c r="C165" s="1" t="n">
        <v>46050</v>
      </c>
      <c r="D165" t="inlineStr">
        <is>
          <t>JÄMTLANDS LÄN</t>
        </is>
      </c>
      <c r="E165" t="inlineStr">
        <is>
          <t>BERG</t>
        </is>
      </c>
      <c r="G165" t="n">
        <v>7.4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52193-2024 artfynd.xlsx", "A 52193-2024")</f>
        <v/>
      </c>
      <c r="T165">
        <f>HYPERLINK("https://klasma.github.io/Logging_2326/kartor/A 52193-2024 karta.png", "A 52193-2024")</f>
        <v/>
      </c>
      <c r="V165">
        <f>HYPERLINK("https://klasma.github.io/Logging_2326/klagomål/A 52193-2024 FSC-klagomål.docx", "A 52193-2024")</f>
        <v/>
      </c>
      <c r="W165">
        <f>HYPERLINK("https://klasma.github.io/Logging_2326/klagomålsmail/A 52193-2024 FSC-klagomål mail.docx", "A 52193-2024")</f>
        <v/>
      </c>
      <c r="X165">
        <f>HYPERLINK("https://klasma.github.io/Logging_2326/tillsyn/A 52193-2024 tillsynsbegäran.docx", "A 52193-2024")</f>
        <v/>
      </c>
      <c r="Y165">
        <f>HYPERLINK("https://klasma.github.io/Logging_2326/tillsynsmail/A 52193-2024 tillsynsbegäran mail.docx", "A 52193-2024")</f>
        <v/>
      </c>
      <c r="Z165">
        <f>HYPERLINK("https://klasma.github.io/Logging_2326/fåglar/A 52193-2024 prioriterade fågelarter.docx", "A 52193-2024")</f>
        <v/>
      </c>
    </row>
    <row r="166" ht="15" customHeight="1">
      <c r="A166" t="inlineStr">
        <is>
          <t>A 9657-2023</t>
        </is>
      </c>
      <c r="B166" s="1" t="n">
        <v>44978</v>
      </c>
      <c r="C166" s="1" t="n">
        <v>46050</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56198-2025</t>
        </is>
      </c>
      <c r="B167" s="1" t="n">
        <v>45974.45760416667</v>
      </c>
      <c r="C167" s="1" t="n">
        <v>46050</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21370-2025</t>
        </is>
      </c>
      <c r="B168" s="1" t="n">
        <v>45782</v>
      </c>
      <c r="C168" s="1" t="n">
        <v>46050</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21632-2025</t>
        </is>
      </c>
      <c r="B169" s="1" t="n">
        <v>45783.42753472222</v>
      </c>
      <c r="C169" s="1" t="n">
        <v>46050</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49049-2024</t>
        </is>
      </c>
      <c r="B170" s="1" t="n">
        <v>45594.5742824074</v>
      </c>
      <c r="C170" s="1" t="n">
        <v>46050</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971-2026</t>
        </is>
      </c>
      <c r="B171" s="1" t="n">
        <v>46029</v>
      </c>
      <c r="C171" s="1" t="n">
        <v>46050</v>
      </c>
      <c r="D171" t="inlineStr">
        <is>
          <t>JÄMTLANDS LÄN</t>
        </is>
      </c>
      <c r="E171" t="inlineStr">
        <is>
          <t>BERG</t>
        </is>
      </c>
      <c r="F171" t="inlineStr">
        <is>
          <t>SCA</t>
        </is>
      </c>
      <c r="G171" t="n">
        <v>9.699999999999999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HYPERLINK("https://klasma.github.io/Logging_2326/artfynd/A 971-2026 artfynd.xlsx", "A 971-2026")</f>
        <v/>
      </c>
      <c r="T171">
        <f>HYPERLINK("https://klasma.github.io/Logging_2326/kartor/A 971-2026 karta.png", "A 971-2026")</f>
        <v/>
      </c>
      <c r="V171">
        <f>HYPERLINK("https://klasma.github.io/Logging_2326/klagomål/A 971-2026 FSC-klagomål.docx", "A 971-2026")</f>
        <v/>
      </c>
      <c r="W171">
        <f>HYPERLINK("https://klasma.github.io/Logging_2326/klagomålsmail/A 971-2026 FSC-klagomål mail.docx", "A 971-2026")</f>
        <v/>
      </c>
      <c r="X171">
        <f>HYPERLINK("https://klasma.github.io/Logging_2326/tillsyn/A 971-2026 tillsynsbegäran.docx", "A 971-2026")</f>
        <v/>
      </c>
      <c r="Y171">
        <f>HYPERLINK("https://klasma.github.io/Logging_2326/tillsynsmail/A 971-2026 tillsynsbegäran mail.docx", "A 971-2026")</f>
        <v/>
      </c>
      <c r="Z171">
        <f>HYPERLINK("https://klasma.github.io/Logging_2326/fåglar/A 971-2026 prioriterade fågelarter.docx", "A 971-2026")</f>
        <v/>
      </c>
    </row>
    <row r="172" ht="15" customHeight="1">
      <c r="A172" t="inlineStr">
        <is>
          <t>A 60150-2025</t>
        </is>
      </c>
      <c r="B172" s="1" t="n">
        <v>45994.38944444444</v>
      </c>
      <c r="C172" s="1" t="n">
        <v>46050</v>
      </c>
      <c r="D172" t="inlineStr">
        <is>
          <t>JÄMTLANDS LÄN</t>
        </is>
      </c>
      <c r="E172" t="inlineStr">
        <is>
          <t>BERG</t>
        </is>
      </c>
      <c r="G172" t="n">
        <v>17.6</v>
      </c>
      <c r="H172" t="n">
        <v>0</v>
      </c>
      <c r="I172" t="n">
        <v>0</v>
      </c>
      <c r="J172" t="n">
        <v>1</v>
      </c>
      <c r="K172" t="n">
        <v>0</v>
      </c>
      <c r="L172" t="n">
        <v>0</v>
      </c>
      <c r="M172" t="n">
        <v>0</v>
      </c>
      <c r="N172" t="n">
        <v>0</v>
      </c>
      <c r="O172" t="n">
        <v>1</v>
      </c>
      <c r="P172" t="n">
        <v>0</v>
      </c>
      <c r="Q172" t="n">
        <v>1</v>
      </c>
      <c r="R172" s="2" t="inlineStr">
        <is>
          <t>Kolflarnlav</t>
        </is>
      </c>
      <c r="S172">
        <f>HYPERLINK("https://klasma.github.io/Logging_2326/artfynd/A 60150-2025 artfynd.xlsx", "A 60150-2025")</f>
        <v/>
      </c>
      <c r="T172">
        <f>HYPERLINK("https://klasma.github.io/Logging_2326/kartor/A 60150-2025 karta.png", "A 60150-2025")</f>
        <v/>
      </c>
      <c r="V172">
        <f>HYPERLINK("https://klasma.github.io/Logging_2326/klagomål/A 60150-2025 FSC-klagomål.docx", "A 60150-2025")</f>
        <v/>
      </c>
      <c r="W172">
        <f>HYPERLINK("https://klasma.github.io/Logging_2326/klagomålsmail/A 60150-2025 FSC-klagomål mail.docx", "A 60150-2025")</f>
        <v/>
      </c>
      <c r="X172">
        <f>HYPERLINK("https://klasma.github.io/Logging_2326/tillsyn/A 60150-2025 tillsynsbegäran.docx", "A 60150-2025")</f>
        <v/>
      </c>
      <c r="Y172">
        <f>HYPERLINK("https://klasma.github.io/Logging_2326/tillsynsmail/A 60150-2025 tillsynsbegäran mail.docx", "A 60150-2025")</f>
        <v/>
      </c>
    </row>
    <row r="173" ht="15" customHeight="1">
      <c r="A173" t="inlineStr">
        <is>
          <t>A 60633-2025</t>
        </is>
      </c>
      <c r="B173" s="1" t="n">
        <v>45996.42788194444</v>
      </c>
      <c r="C173" s="1" t="n">
        <v>46050</v>
      </c>
      <c r="D173" t="inlineStr">
        <is>
          <t>JÄMTLANDS LÄN</t>
        </is>
      </c>
      <c r="E173" t="inlineStr">
        <is>
          <t>BERG</t>
        </is>
      </c>
      <c r="F173" t="inlineStr">
        <is>
          <t>SCA</t>
        </is>
      </c>
      <c r="G173" t="n">
        <v>18.3</v>
      </c>
      <c r="H173" t="n">
        <v>1</v>
      </c>
      <c r="I173" t="n">
        <v>1</v>
      </c>
      <c r="J173" t="n">
        <v>0</v>
      </c>
      <c r="K173" t="n">
        <v>0</v>
      </c>
      <c r="L173" t="n">
        <v>0</v>
      </c>
      <c r="M173" t="n">
        <v>0</v>
      </c>
      <c r="N173" t="n">
        <v>0</v>
      </c>
      <c r="O173" t="n">
        <v>0</v>
      </c>
      <c r="P173" t="n">
        <v>0</v>
      </c>
      <c r="Q173" t="n">
        <v>1</v>
      </c>
      <c r="R173" s="2" t="inlineStr">
        <is>
          <t>Plattlummer</t>
        </is>
      </c>
      <c r="S173">
        <f>HYPERLINK("https://klasma.github.io/Logging_2326/artfynd/A 60633-2025 artfynd.xlsx", "A 60633-2025")</f>
        <v/>
      </c>
      <c r="T173">
        <f>HYPERLINK("https://klasma.github.io/Logging_2326/kartor/A 60633-2025 karta.png", "A 60633-2025")</f>
        <v/>
      </c>
      <c r="V173">
        <f>HYPERLINK("https://klasma.github.io/Logging_2326/klagomål/A 60633-2025 FSC-klagomål.docx", "A 60633-2025")</f>
        <v/>
      </c>
      <c r="W173">
        <f>HYPERLINK("https://klasma.github.io/Logging_2326/klagomålsmail/A 60633-2025 FSC-klagomål mail.docx", "A 60633-2025")</f>
        <v/>
      </c>
      <c r="X173">
        <f>HYPERLINK("https://klasma.github.io/Logging_2326/tillsyn/A 60633-2025 tillsynsbegäran.docx", "A 60633-2025")</f>
        <v/>
      </c>
      <c r="Y173">
        <f>HYPERLINK("https://klasma.github.io/Logging_2326/tillsynsmail/A 60633-2025 tillsynsbegäran mail.docx", "A 60633-2025")</f>
        <v/>
      </c>
    </row>
    <row r="174" ht="15" customHeight="1">
      <c r="A174" t="inlineStr">
        <is>
          <t>A 60833-2025</t>
        </is>
      </c>
      <c r="B174" s="1" t="n">
        <v>45999.46969907408</v>
      </c>
      <c r="C174" s="1" t="n">
        <v>46050</v>
      </c>
      <c r="D174" t="inlineStr">
        <is>
          <t>JÄMTLANDS LÄN</t>
        </is>
      </c>
      <c r="E174" t="inlineStr">
        <is>
          <t>BERG</t>
        </is>
      </c>
      <c r="F174" t="inlineStr">
        <is>
          <t>SCA</t>
        </is>
      </c>
      <c r="G174" t="n">
        <v>18.1</v>
      </c>
      <c r="H174" t="n">
        <v>1</v>
      </c>
      <c r="I174" t="n">
        <v>0</v>
      </c>
      <c r="J174" t="n">
        <v>1</v>
      </c>
      <c r="K174" t="n">
        <v>0</v>
      </c>
      <c r="L174" t="n">
        <v>0</v>
      </c>
      <c r="M174" t="n">
        <v>0</v>
      </c>
      <c r="N174" t="n">
        <v>0</v>
      </c>
      <c r="O174" t="n">
        <v>1</v>
      </c>
      <c r="P174" t="n">
        <v>0</v>
      </c>
      <c r="Q174" t="n">
        <v>1</v>
      </c>
      <c r="R174" s="2" t="inlineStr">
        <is>
          <t>Spillkråka</t>
        </is>
      </c>
      <c r="S174">
        <f>HYPERLINK("https://klasma.github.io/Logging_2326/artfynd/A 60833-2025 artfynd.xlsx", "A 60833-2025")</f>
        <v/>
      </c>
      <c r="T174">
        <f>HYPERLINK("https://klasma.github.io/Logging_2326/kartor/A 60833-2025 karta.png", "A 60833-2025")</f>
        <v/>
      </c>
      <c r="V174">
        <f>HYPERLINK("https://klasma.github.io/Logging_2326/klagomål/A 60833-2025 FSC-klagomål.docx", "A 60833-2025")</f>
        <v/>
      </c>
      <c r="W174">
        <f>HYPERLINK("https://klasma.github.io/Logging_2326/klagomålsmail/A 60833-2025 FSC-klagomål mail.docx", "A 60833-2025")</f>
        <v/>
      </c>
      <c r="X174">
        <f>HYPERLINK("https://klasma.github.io/Logging_2326/tillsyn/A 60833-2025 tillsynsbegäran.docx", "A 60833-2025")</f>
        <v/>
      </c>
      <c r="Y174">
        <f>HYPERLINK("https://klasma.github.io/Logging_2326/tillsynsmail/A 60833-2025 tillsynsbegäran mail.docx", "A 60833-2025")</f>
        <v/>
      </c>
      <c r="Z174">
        <f>HYPERLINK("https://klasma.github.io/Logging_2326/fåglar/A 60833-2025 prioriterade fågelarter.docx", "A 60833-2025")</f>
        <v/>
      </c>
    </row>
    <row r="175" ht="15" customHeight="1">
      <c r="A175" t="inlineStr">
        <is>
          <t>A 23177-2024</t>
        </is>
      </c>
      <c r="B175" s="1" t="n">
        <v>45450</v>
      </c>
      <c r="C175" s="1" t="n">
        <v>46050</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53014-2022</t>
        </is>
      </c>
      <c r="B176" s="1" t="n">
        <v>44875</v>
      </c>
      <c r="C176" s="1" t="n">
        <v>46050</v>
      </c>
      <c r="D176" t="inlineStr">
        <is>
          <t>JÄMTLANDS LÄN</t>
        </is>
      </c>
      <c r="E176" t="inlineStr">
        <is>
          <t>BERG</t>
        </is>
      </c>
      <c r="F176" t="inlineStr">
        <is>
          <t>SCA</t>
        </is>
      </c>
      <c r="G176" t="n">
        <v>13</v>
      </c>
      <c r="H176" t="n">
        <v>0</v>
      </c>
      <c r="I176" t="n">
        <v>0</v>
      </c>
      <c r="J176" t="n">
        <v>0</v>
      </c>
      <c r="K176" t="n">
        <v>1</v>
      </c>
      <c r="L176" t="n">
        <v>0</v>
      </c>
      <c r="M176" t="n">
        <v>0</v>
      </c>
      <c r="N176" t="n">
        <v>0</v>
      </c>
      <c r="O176" t="n">
        <v>1</v>
      </c>
      <c r="P176" t="n">
        <v>1</v>
      </c>
      <c r="Q176" t="n">
        <v>1</v>
      </c>
      <c r="R176" s="2" t="inlineStr">
        <is>
          <t>Gräddporing</t>
        </is>
      </c>
      <c r="S176">
        <f>HYPERLINK("https://klasma.github.io/Logging_2326/artfynd/A 53014-2022 artfynd.xlsx", "A 53014-2022")</f>
        <v/>
      </c>
      <c r="T176">
        <f>HYPERLINK("https://klasma.github.io/Logging_2326/kartor/A 53014-2022 karta.png", "A 53014-2022")</f>
        <v/>
      </c>
      <c r="V176">
        <f>HYPERLINK("https://klasma.github.io/Logging_2326/klagomål/A 53014-2022 FSC-klagomål.docx", "A 53014-2022")</f>
        <v/>
      </c>
      <c r="W176">
        <f>HYPERLINK("https://klasma.github.io/Logging_2326/klagomålsmail/A 53014-2022 FSC-klagomål mail.docx", "A 53014-2022")</f>
        <v/>
      </c>
      <c r="X176">
        <f>HYPERLINK("https://klasma.github.io/Logging_2326/tillsyn/A 53014-2022 tillsynsbegäran.docx", "A 53014-2022")</f>
        <v/>
      </c>
      <c r="Y176">
        <f>HYPERLINK("https://klasma.github.io/Logging_2326/tillsynsmail/A 53014-2022 tillsynsbegäran mail.docx", "A 53014-2022")</f>
        <v/>
      </c>
    </row>
    <row r="177" ht="15" customHeight="1">
      <c r="A177" t="inlineStr">
        <is>
          <t>A 24309-2023</t>
        </is>
      </c>
      <c r="B177" s="1" t="n">
        <v>45079</v>
      </c>
      <c r="C177" s="1" t="n">
        <v>46050</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32686-2022</t>
        </is>
      </c>
      <c r="B178" s="1" t="n">
        <v>44776</v>
      </c>
      <c r="C178" s="1" t="n">
        <v>46050</v>
      </c>
      <c r="D178" t="inlineStr">
        <is>
          <t>JÄMTLANDS LÄN</t>
        </is>
      </c>
      <c r="E178" t="inlineStr">
        <is>
          <t>BERG</t>
        </is>
      </c>
      <c r="G178" t="n">
        <v>4.8</v>
      </c>
      <c r="H178" t="n">
        <v>1</v>
      </c>
      <c r="I178" t="n">
        <v>0</v>
      </c>
      <c r="J178" t="n">
        <v>0</v>
      </c>
      <c r="K178" t="n">
        <v>1</v>
      </c>
      <c r="L178" t="n">
        <v>0</v>
      </c>
      <c r="M178" t="n">
        <v>0</v>
      </c>
      <c r="N178" t="n">
        <v>0</v>
      </c>
      <c r="O178" t="n">
        <v>1</v>
      </c>
      <c r="P178" t="n">
        <v>1</v>
      </c>
      <c r="Q178" t="n">
        <v>1</v>
      </c>
      <c r="R178" s="2" t="inlineStr">
        <is>
          <t>Knärot</t>
        </is>
      </c>
      <c r="S178">
        <f>HYPERLINK("https://klasma.github.io/Logging_2326/artfynd/A 32686-2022 artfynd.xlsx", "A 32686-2022")</f>
        <v/>
      </c>
      <c r="T178">
        <f>HYPERLINK("https://klasma.github.io/Logging_2326/kartor/A 32686-2022 karta.png", "A 32686-2022")</f>
        <v/>
      </c>
      <c r="U178">
        <f>HYPERLINK("https://klasma.github.io/Logging_2326/knärot/A 32686-2022 karta knärot.png", "A 32686-2022")</f>
        <v/>
      </c>
      <c r="V178">
        <f>HYPERLINK("https://klasma.github.io/Logging_2326/klagomål/A 32686-2022 FSC-klagomål.docx", "A 32686-2022")</f>
        <v/>
      </c>
      <c r="W178">
        <f>HYPERLINK("https://klasma.github.io/Logging_2326/klagomålsmail/A 32686-2022 FSC-klagomål mail.docx", "A 32686-2022")</f>
        <v/>
      </c>
      <c r="X178">
        <f>HYPERLINK("https://klasma.github.io/Logging_2326/tillsyn/A 32686-2022 tillsynsbegäran.docx", "A 32686-2022")</f>
        <v/>
      </c>
      <c r="Y178">
        <f>HYPERLINK("https://klasma.github.io/Logging_2326/tillsynsmail/A 32686-2022 tillsynsbegäran mail.docx", "A 32686-2022")</f>
        <v/>
      </c>
    </row>
    <row r="179" ht="15" customHeight="1">
      <c r="A179" t="inlineStr">
        <is>
          <t>A 68434-2021</t>
        </is>
      </c>
      <c r="B179" s="1" t="n">
        <v>44529</v>
      </c>
      <c r="C179" s="1" t="n">
        <v>46050</v>
      </c>
      <c r="D179" t="inlineStr">
        <is>
          <t>JÄMTLANDS LÄN</t>
        </is>
      </c>
      <c r="E179" t="inlineStr">
        <is>
          <t>BERG</t>
        </is>
      </c>
      <c r="G179" t="n">
        <v>14</v>
      </c>
      <c r="H179" t="n">
        <v>0</v>
      </c>
      <c r="I179" t="n">
        <v>0</v>
      </c>
      <c r="J179" t="n">
        <v>0</v>
      </c>
      <c r="K179" t="n">
        <v>1</v>
      </c>
      <c r="L179" t="n">
        <v>0</v>
      </c>
      <c r="M179" t="n">
        <v>0</v>
      </c>
      <c r="N179" t="n">
        <v>0</v>
      </c>
      <c r="O179" t="n">
        <v>1</v>
      </c>
      <c r="P179" t="n">
        <v>1</v>
      </c>
      <c r="Q179" t="n">
        <v>1</v>
      </c>
      <c r="R179" s="2" t="inlineStr">
        <is>
          <t>Ostticka</t>
        </is>
      </c>
      <c r="S179">
        <f>HYPERLINK("https://klasma.github.io/Logging_2326/artfynd/A 68434-2021 artfynd.xlsx", "A 68434-2021")</f>
        <v/>
      </c>
      <c r="T179">
        <f>HYPERLINK("https://klasma.github.io/Logging_2326/kartor/A 68434-2021 karta.png", "A 68434-2021")</f>
        <v/>
      </c>
      <c r="V179">
        <f>HYPERLINK("https://klasma.github.io/Logging_2326/klagomål/A 68434-2021 FSC-klagomål.docx", "A 68434-2021")</f>
        <v/>
      </c>
      <c r="W179">
        <f>HYPERLINK("https://klasma.github.io/Logging_2326/klagomålsmail/A 68434-2021 FSC-klagomål mail.docx", "A 68434-2021")</f>
        <v/>
      </c>
      <c r="X179">
        <f>HYPERLINK("https://klasma.github.io/Logging_2326/tillsyn/A 68434-2021 tillsynsbegäran.docx", "A 68434-2021")</f>
        <v/>
      </c>
      <c r="Y179">
        <f>HYPERLINK("https://klasma.github.io/Logging_2326/tillsynsmail/A 68434-2021 tillsynsbegäran mail.docx", "A 68434-2021")</f>
        <v/>
      </c>
    </row>
    <row r="180" ht="15" customHeight="1">
      <c r="A180" t="inlineStr">
        <is>
          <t>A 33083-2024</t>
        </is>
      </c>
      <c r="B180" s="1" t="n">
        <v>45517.675</v>
      </c>
      <c r="C180" s="1" t="n">
        <v>46050</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40440-2024</t>
        </is>
      </c>
      <c r="B181" s="1" t="n">
        <v>45555.48267361111</v>
      </c>
      <c r="C181" s="1" t="n">
        <v>46050</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46050</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46050</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46050</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46050</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20444-2025</t>
        </is>
      </c>
      <c r="B186" s="1" t="n">
        <v>45775.48989583334</v>
      </c>
      <c r="C186" s="1" t="n">
        <v>46050</v>
      </c>
      <c r="D186" t="inlineStr">
        <is>
          <t>JÄMTLANDS LÄN</t>
        </is>
      </c>
      <c r="E186" t="inlineStr">
        <is>
          <t>BERG</t>
        </is>
      </c>
      <c r="F186" t="inlineStr">
        <is>
          <t>SCA</t>
        </is>
      </c>
      <c r="G186" t="n">
        <v>2.3</v>
      </c>
      <c r="H186" t="n">
        <v>0</v>
      </c>
      <c r="I186" t="n">
        <v>0</v>
      </c>
      <c r="J186" t="n">
        <v>0</v>
      </c>
      <c r="K186" t="n">
        <v>1</v>
      </c>
      <c r="L186" t="n">
        <v>0</v>
      </c>
      <c r="M186" t="n">
        <v>0</v>
      </c>
      <c r="N186" t="n">
        <v>0</v>
      </c>
      <c r="O186" t="n">
        <v>1</v>
      </c>
      <c r="P186" t="n">
        <v>1</v>
      </c>
      <c r="Q186" t="n">
        <v>1</v>
      </c>
      <c r="R186" s="2" t="inlineStr">
        <is>
          <t>Gräddporing</t>
        </is>
      </c>
      <c r="S186">
        <f>HYPERLINK("https://klasma.github.io/Logging_2326/artfynd/A 20444-2025 artfynd.xlsx", "A 20444-2025")</f>
        <v/>
      </c>
      <c r="T186">
        <f>HYPERLINK("https://klasma.github.io/Logging_2326/kartor/A 20444-2025 karta.png", "A 20444-2025")</f>
        <v/>
      </c>
      <c r="V186">
        <f>HYPERLINK("https://klasma.github.io/Logging_2326/klagomål/A 20444-2025 FSC-klagomål.docx", "A 20444-2025")</f>
        <v/>
      </c>
      <c r="W186">
        <f>HYPERLINK("https://klasma.github.io/Logging_2326/klagomålsmail/A 20444-2025 FSC-klagomål mail.docx", "A 20444-2025")</f>
        <v/>
      </c>
      <c r="X186">
        <f>HYPERLINK("https://klasma.github.io/Logging_2326/tillsyn/A 20444-2025 tillsynsbegäran.docx", "A 20444-2025")</f>
        <v/>
      </c>
      <c r="Y186">
        <f>HYPERLINK("https://klasma.github.io/Logging_2326/tillsynsmail/A 20444-2025 tillsynsbegäran mail.docx", "A 20444-2025")</f>
        <v/>
      </c>
    </row>
    <row r="187" ht="15" customHeight="1">
      <c r="A187" t="inlineStr">
        <is>
          <t>A 21681-2025</t>
        </is>
      </c>
      <c r="B187" s="1" t="n">
        <v>45783.49015046296</v>
      </c>
      <c r="C187" s="1" t="n">
        <v>46050</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53708-2024</t>
        </is>
      </c>
      <c r="B188" s="1" t="n">
        <v>45615.40983796296</v>
      </c>
      <c r="C188" s="1" t="n">
        <v>46050</v>
      </c>
      <c r="D188" t="inlineStr">
        <is>
          <t>JÄMTLANDS LÄN</t>
        </is>
      </c>
      <c r="E188" t="inlineStr">
        <is>
          <t>BERG</t>
        </is>
      </c>
      <c r="G188" t="n">
        <v>8.199999999999999</v>
      </c>
      <c r="H188" t="n">
        <v>0</v>
      </c>
      <c r="I188" t="n">
        <v>0</v>
      </c>
      <c r="J188" t="n">
        <v>1</v>
      </c>
      <c r="K188" t="n">
        <v>0</v>
      </c>
      <c r="L188" t="n">
        <v>0</v>
      </c>
      <c r="M188" t="n">
        <v>0</v>
      </c>
      <c r="N188" t="n">
        <v>0</v>
      </c>
      <c r="O188" t="n">
        <v>1</v>
      </c>
      <c r="P188" t="n">
        <v>0</v>
      </c>
      <c r="Q188" t="n">
        <v>1</v>
      </c>
      <c r="R188" s="2" t="inlineStr">
        <is>
          <t>Lunglav</t>
        </is>
      </c>
      <c r="S188">
        <f>HYPERLINK("https://klasma.github.io/Logging_2326/artfynd/A 53708-2024 artfynd.xlsx", "A 53708-2024")</f>
        <v/>
      </c>
      <c r="T188">
        <f>HYPERLINK("https://klasma.github.io/Logging_2326/kartor/A 53708-2024 karta.png", "A 53708-2024")</f>
        <v/>
      </c>
      <c r="V188">
        <f>HYPERLINK("https://klasma.github.io/Logging_2326/klagomål/A 53708-2024 FSC-klagomål.docx", "A 53708-2024")</f>
        <v/>
      </c>
      <c r="W188">
        <f>HYPERLINK("https://klasma.github.io/Logging_2326/klagomålsmail/A 53708-2024 FSC-klagomål mail.docx", "A 53708-2024")</f>
        <v/>
      </c>
      <c r="X188">
        <f>HYPERLINK("https://klasma.github.io/Logging_2326/tillsyn/A 53708-2024 tillsynsbegäran.docx", "A 53708-2024")</f>
        <v/>
      </c>
      <c r="Y188">
        <f>HYPERLINK("https://klasma.github.io/Logging_2326/tillsynsmail/A 53708-2024 tillsynsbegäran mail.docx", "A 53708-2024")</f>
        <v/>
      </c>
    </row>
    <row r="189" ht="15" customHeight="1">
      <c r="A189" t="inlineStr">
        <is>
          <t>A 33126-2024</t>
        </is>
      </c>
      <c r="B189" s="1" t="n">
        <v>45517.9575462963</v>
      </c>
      <c r="C189" s="1" t="n">
        <v>46050</v>
      </c>
      <c r="D189" t="inlineStr">
        <is>
          <t>JÄMTLANDS LÄN</t>
        </is>
      </c>
      <c r="E189" t="inlineStr">
        <is>
          <t>BERG</t>
        </is>
      </c>
      <c r="F189" t="inlineStr">
        <is>
          <t>SCA</t>
        </is>
      </c>
      <c r="G189" t="n">
        <v>4.2</v>
      </c>
      <c r="H189" t="n">
        <v>0</v>
      </c>
      <c r="I189" t="n">
        <v>0</v>
      </c>
      <c r="J189" t="n">
        <v>0</v>
      </c>
      <c r="K189" t="n">
        <v>1</v>
      </c>
      <c r="L189" t="n">
        <v>0</v>
      </c>
      <c r="M189" t="n">
        <v>0</v>
      </c>
      <c r="N189" t="n">
        <v>0</v>
      </c>
      <c r="O189" t="n">
        <v>1</v>
      </c>
      <c r="P189" t="n">
        <v>1</v>
      </c>
      <c r="Q189" t="n">
        <v>1</v>
      </c>
      <c r="R189" s="2" t="inlineStr">
        <is>
          <t>Gräddporing</t>
        </is>
      </c>
      <c r="S189">
        <f>HYPERLINK("https://klasma.github.io/Logging_2326/artfynd/A 33126-2024 artfynd.xlsx", "A 33126-2024")</f>
        <v/>
      </c>
      <c r="T189">
        <f>HYPERLINK("https://klasma.github.io/Logging_2326/kartor/A 33126-2024 karta.png", "A 33126-2024")</f>
        <v/>
      </c>
      <c r="V189">
        <f>HYPERLINK("https://klasma.github.io/Logging_2326/klagomål/A 33126-2024 FSC-klagomål.docx", "A 33126-2024")</f>
        <v/>
      </c>
      <c r="W189">
        <f>HYPERLINK("https://klasma.github.io/Logging_2326/klagomålsmail/A 33126-2024 FSC-klagomål mail.docx", "A 33126-2024")</f>
        <v/>
      </c>
      <c r="X189">
        <f>HYPERLINK("https://klasma.github.io/Logging_2326/tillsyn/A 33126-2024 tillsynsbegäran.docx", "A 33126-2024")</f>
        <v/>
      </c>
      <c r="Y189">
        <f>HYPERLINK("https://klasma.github.io/Logging_2326/tillsynsmail/A 33126-2024 tillsynsbegäran mail.docx", "A 33126-2024")</f>
        <v/>
      </c>
    </row>
    <row r="190" ht="15" customHeight="1">
      <c r="A190" t="inlineStr">
        <is>
          <t>A 49196-2022</t>
        </is>
      </c>
      <c r="B190" s="1" t="n">
        <v>44860.95508101852</v>
      </c>
      <c r="C190" s="1" t="n">
        <v>46050</v>
      </c>
      <c r="D190" t="inlineStr">
        <is>
          <t>JÄMTLANDS LÄN</t>
        </is>
      </c>
      <c r="E190" t="inlineStr">
        <is>
          <t>BERG</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46050</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3801-2022</t>
        </is>
      </c>
      <c r="B192" s="1" t="n">
        <v>44586.93952546296</v>
      </c>
      <c r="C192" s="1" t="n">
        <v>46050</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35867-2021</t>
        </is>
      </c>
      <c r="B193" s="1" t="n">
        <v>44386.93510416667</v>
      </c>
      <c r="C193" s="1" t="n">
        <v>46050</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15277-2021</t>
        </is>
      </c>
      <c r="B194" s="1" t="n">
        <v>44284.57520833334</v>
      </c>
      <c r="C194" s="1" t="n">
        <v>46050</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44575.5847337963</v>
      </c>
      <c r="C195" s="1" t="n">
        <v>46050</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46050</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24843-2021</t>
        </is>
      </c>
      <c r="B197" s="1" t="n">
        <v>44340.82405092593</v>
      </c>
      <c r="C197" s="1" t="n">
        <v>46050</v>
      </c>
      <c r="D197" t="inlineStr">
        <is>
          <t>JÄMTLANDS LÄN</t>
        </is>
      </c>
      <c r="E197" t="inlineStr">
        <is>
          <t>BERG</t>
        </is>
      </c>
      <c r="G197" t="n">
        <v>3.8</v>
      </c>
      <c r="H197" t="n">
        <v>0</v>
      </c>
      <c r="I197" t="n">
        <v>0</v>
      </c>
      <c r="J197" t="n">
        <v>0</v>
      </c>
      <c r="K197" t="n">
        <v>0</v>
      </c>
      <c r="L197" t="n">
        <v>0</v>
      </c>
      <c r="M197" t="n">
        <v>0</v>
      </c>
      <c r="N197" t="n">
        <v>0</v>
      </c>
      <c r="O197" t="n">
        <v>0</v>
      </c>
      <c r="P197" t="n">
        <v>0</v>
      </c>
      <c r="Q197" t="n">
        <v>0</v>
      </c>
      <c r="R197" s="2" t="inlineStr"/>
    </row>
    <row r="198" ht="15" customHeight="1">
      <c r="A198" t="inlineStr">
        <is>
          <t>A 28883-2021</t>
        </is>
      </c>
      <c r="B198" s="1" t="n">
        <v>44357</v>
      </c>
      <c r="C198" s="1" t="n">
        <v>46050</v>
      </c>
      <c r="D198" t="inlineStr">
        <is>
          <t>JÄMTLANDS LÄN</t>
        </is>
      </c>
      <c r="E198" t="inlineStr">
        <is>
          <t>BERG</t>
        </is>
      </c>
      <c r="F198" t="inlineStr">
        <is>
          <t>Kyrkan</t>
        </is>
      </c>
      <c r="G198" t="n">
        <v>7.3</v>
      </c>
      <c r="H198" t="n">
        <v>0</v>
      </c>
      <c r="I198" t="n">
        <v>0</v>
      </c>
      <c r="J198" t="n">
        <v>0</v>
      </c>
      <c r="K198" t="n">
        <v>0</v>
      </c>
      <c r="L198" t="n">
        <v>0</v>
      </c>
      <c r="M198" t="n">
        <v>0</v>
      </c>
      <c r="N198" t="n">
        <v>0</v>
      </c>
      <c r="O198" t="n">
        <v>0</v>
      </c>
      <c r="P198" t="n">
        <v>0</v>
      </c>
      <c r="Q198" t="n">
        <v>0</v>
      </c>
      <c r="R198" s="2" t="inlineStr"/>
    </row>
    <row r="199" ht="15" customHeight="1">
      <c r="A199" t="inlineStr">
        <is>
          <t>A 37591-2021</t>
        </is>
      </c>
      <c r="B199" s="1" t="n">
        <v>44399</v>
      </c>
      <c r="C199" s="1" t="n">
        <v>46050</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2544-2022</t>
        </is>
      </c>
      <c r="B200" s="1" t="n">
        <v>44579.9719212963</v>
      </c>
      <c r="C200" s="1" t="n">
        <v>46050</v>
      </c>
      <c r="D200" t="inlineStr">
        <is>
          <t>JÄMTLANDS LÄN</t>
        </is>
      </c>
      <c r="E200" t="inlineStr">
        <is>
          <t>BERG</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43296-2022</t>
        </is>
      </c>
      <c r="B201" s="1" t="n">
        <v>44834</v>
      </c>
      <c r="C201" s="1" t="n">
        <v>46050</v>
      </c>
      <c r="D201" t="inlineStr">
        <is>
          <t>JÄMTLANDS LÄN</t>
        </is>
      </c>
      <c r="E201" t="inlineStr">
        <is>
          <t>BERG</t>
        </is>
      </c>
      <c r="G201" t="n">
        <v>3.7</v>
      </c>
      <c r="H201" t="n">
        <v>0</v>
      </c>
      <c r="I201" t="n">
        <v>0</v>
      </c>
      <c r="J201" t="n">
        <v>0</v>
      </c>
      <c r="K201" t="n">
        <v>0</v>
      </c>
      <c r="L201" t="n">
        <v>0</v>
      </c>
      <c r="M201" t="n">
        <v>0</v>
      </c>
      <c r="N201" t="n">
        <v>0</v>
      </c>
      <c r="O201" t="n">
        <v>0</v>
      </c>
      <c r="P201" t="n">
        <v>0</v>
      </c>
      <c r="Q201" t="n">
        <v>0</v>
      </c>
      <c r="R201" s="2" t="inlineStr"/>
    </row>
    <row r="202" ht="15" customHeight="1">
      <c r="A202" t="inlineStr">
        <is>
          <t>A 16828-2021</t>
        </is>
      </c>
      <c r="B202" s="1" t="n">
        <v>44293</v>
      </c>
      <c r="C202" s="1" t="n">
        <v>46050</v>
      </c>
      <c r="D202" t="inlineStr">
        <is>
          <t>JÄMTLANDS LÄN</t>
        </is>
      </c>
      <c r="E202" t="inlineStr">
        <is>
          <t>BERG</t>
        </is>
      </c>
      <c r="G202" t="n">
        <v>2.2</v>
      </c>
      <c r="H202" t="n">
        <v>0</v>
      </c>
      <c r="I202" t="n">
        <v>0</v>
      </c>
      <c r="J202" t="n">
        <v>0</v>
      </c>
      <c r="K202" t="n">
        <v>0</v>
      </c>
      <c r="L202" t="n">
        <v>0</v>
      </c>
      <c r="M202" t="n">
        <v>0</v>
      </c>
      <c r="N202" t="n">
        <v>0</v>
      </c>
      <c r="O202" t="n">
        <v>0</v>
      </c>
      <c r="P202" t="n">
        <v>0</v>
      </c>
      <c r="Q202" t="n">
        <v>0</v>
      </c>
      <c r="R202" s="2" t="inlineStr"/>
    </row>
    <row r="203" ht="15" customHeight="1">
      <c r="A203" t="inlineStr">
        <is>
          <t>A 36373-2022</t>
        </is>
      </c>
      <c r="B203" s="1" t="n">
        <v>44803</v>
      </c>
      <c r="C203" s="1" t="n">
        <v>46050</v>
      </c>
      <c r="D203" t="inlineStr">
        <is>
          <t>JÄMTLANDS LÄN</t>
        </is>
      </c>
      <c r="E203" t="inlineStr">
        <is>
          <t>BERG</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3870-2022</t>
        </is>
      </c>
      <c r="B204" s="1" t="n">
        <v>44587</v>
      </c>
      <c r="C204" s="1" t="n">
        <v>46050</v>
      </c>
      <c r="D204" t="inlineStr">
        <is>
          <t>JÄMTLANDS LÄN</t>
        </is>
      </c>
      <c r="E204" t="inlineStr">
        <is>
          <t>BERG</t>
        </is>
      </c>
      <c r="G204" t="n">
        <v>2</v>
      </c>
      <c r="H204" t="n">
        <v>0</v>
      </c>
      <c r="I204" t="n">
        <v>0</v>
      </c>
      <c r="J204" t="n">
        <v>0</v>
      </c>
      <c r="K204" t="n">
        <v>0</v>
      </c>
      <c r="L204" t="n">
        <v>0</v>
      </c>
      <c r="M204" t="n">
        <v>0</v>
      </c>
      <c r="N204" t="n">
        <v>0</v>
      </c>
      <c r="O204" t="n">
        <v>0</v>
      </c>
      <c r="P204" t="n">
        <v>0</v>
      </c>
      <c r="Q204" t="n">
        <v>0</v>
      </c>
      <c r="R204" s="2" t="inlineStr"/>
    </row>
    <row r="205" ht="15" customHeight="1">
      <c r="A205" t="inlineStr">
        <is>
          <t>A 68450-2021</t>
        </is>
      </c>
      <c r="B205" s="1" t="n">
        <v>44529</v>
      </c>
      <c r="C205" s="1" t="n">
        <v>46050</v>
      </c>
      <c r="D205" t="inlineStr">
        <is>
          <t>JÄMTLANDS LÄN</t>
        </is>
      </c>
      <c r="E205" t="inlineStr">
        <is>
          <t>BERG</t>
        </is>
      </c>
      <c r="G205" t="n">
        <v>7.3</v>
      </c>
      <c r="H205" t="n">
        <v>0</v>
      </c>
      <c r="I205" t="n">
        <v>0</v>
      </c>
      <c r="J205" t="n">
        <v>0</v>
      </c>
      <c r="K205" t="n">
        <v>0</v>
      </c>
      <c r="L205" t="n">
        <v>0</v>
      </c>
      <c r="M205" t="n">
        <v>0</v>
      </c>
      <c r="N205" t="n">
        <v>0</v>
      </c>
      <c r="O205" t="n">
        <v>0</v>
      </c>
      <c r="P205" t="n">
        <v>0</v>
      </c>
      <c r="Q205" t="n">
        <v>0</v>
      </c>
      <c r="R205" s="2" t="inlineStr"/>
    </row>
    <row r="206" ht="15" customHeight="1">
      <c r="A206" t="inlineStr">
        <is>
          <t>A 44443-2022</t>
        </is>
      </c>
      <c r="B206" s="1" t="n">
        <v>44839.95467592592</v>
      </c>
      <c r="C206" s="1" t="n">
        <v>46050</v>
      </c>
      <c r="D206" t="inlineStr">
        <is>
          <t>JÄMTLANDS LÄN</t>
        </is>
      </c>
      <c r="E206" t="inlineStr">
        <is>
          <t>BERG</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25265-2022</t>
        </is>
      </c>
      <c r="B207" s="1" t="n">
        <v>44729.94224537037</v>
      </c>
      <c r="C207" s="1" t="n">
        <v>46050</v>
      </c>
      <c r="D207" t="inlineStr">
        <is>
          <t>JÄMTLANDS LÄN</t>
        </is>
      </c>
      <c r="E207" t="inlineStr">
        <is>
          <t>BERG</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36720-2021</t>
        </is>
      </c>
      <c r="B208" s="1" t="n">
        <v>44392</v>
      </c>
      <c r="C208" s="1" t="n">
        <v>46050</v>
      </c>
      <c r="D208" t="inlineStr">
        <is>
          <t>JÄMTLANDS LÄN</t>
        </is>
      </c>
      <c r="E208" t="inlineStr">
        <is>
          <t>BERG</t>
        </is>
      </c>
      <c r="G208" t="n">
        <v>1.9</v>
      </c>
      <c r="H208" t="n">
        <v>0</v>
      </c>
      <c r="I208" t="n">
        <v>0</v>
      </c>
      <c r="J208" t="n">
        <v>0</v>
      </c>
      <c r="K208" t="n">
        <v>0</v>
      </c>
      <c r="L208" t="n">
        <v>0</v>
      </c>
      <c r="M208" t="n">
        <v>0</v>
      </c>
      <c r="N208" t="n">
        <v>0</v>
      </c>
      <c r="O208" t="n">
        <v>0</v>
      </c>
      <c r="P208" t="n">
        <v>0</v>
      </c>
      <c r="Q208" t="n">
        <v>0</v>
      </c>
      <c r="R208" s="2" t="inlineStr"/>
    </row>
    <row r="209" ht="15" customHeight="1">
      <c r="A209" t="inlineStr">
        <is>
          <t>A 16822-2021</t>
        </is>
      </c>
      <c r="B209" s="1" t="n">
        <v>44293</v>
      </c>
      <c r="C209" s="1" t="n">
        <v>46050</v>
      </c>
      <c r="D209" t="inlineStr">
        <is>
          <t>JÄMTLANDS LÄN</t>
        </is>
      </c>
      <c r="E209" t="inlineStr">
        <is>
          <t>BERG</t>
        </is>
      </c>
      <c r="G209" t="n">
        <v>4.5</v>
      </c>
      <c r="H209" t="n">
        <v>0</v>
      </c>
      <c r="I209" t="n">
        <v>0</v>
      </c>
      <c r="J209" t="n">
        <v>0</v>
      </c>
      <c r="K209" t="n">
        <v>0</v>
      </c>
      <c r="L209" t="n">
        <v>0</v>
      </c>
      <c r="M209" t="n">
        <v>0</v>
      </c>
      <c r="N209" t="n">
        <v>0</v>
      </c>
      <c r="O209" t="n">
        <v>0</v>
      </c>
      <c r="P209" t="n">
        <v>0</v>
      </c>
      <c r="Q209" t="n">
        <v>0</v>
      </c>
      <c r="R209" s="2" t="inlineStr"/>
    </row>
    <row r="210" ht="15" customHeight="1">
      <c r="A210" t="inlineStr">
        <is>
          <t>A 16825-2021</t>
        </is>
      </c>
      <c r="B210" s="1" t="n">
        <v>44293</v>
      </c>
      <c r="C210" s="1" t="n">
        <v>46050</v>
      </c>
      <c r="D210" t="inlineStr">
        <is>
          <t>JÄMTLANDS LÄN</t>
        </is>
      </c>
      <c r="E210" t="inlineStr">
        <is>
          <t>BERG</t>
        </is>
      </c>
      <c r="G210" t="n">
        <v>20</v>
      </c>
      <c r="H210" t="n">
        <v>0</v>
      </c>
      <c r="I210" t="n">
        <v>0</v>
      </c>
      <c r="J210" t="n">
        <v>0</v>
      </c>
      <c r="K210" t="n">
        <v>0</v>
      </c>
      <c r="L210" t="n">
        <v>0</v>
      </c>
      <c r="M210" t="n">
        <v>0</v>
      </c>
      <c r="N210" t="n">
        <v>0</v>
      </c>
      <c r="O210" t="n">
        <v>0</v>
      </c>
      <c r="P210" t="n">
        <v>0</v>
      </c>
      <c r="Q210" t="n">
        <v>0</v>
      </c>
      <c r="R210" s="2" t="inlineStr"/>
    </row>
    <row r="211" ht="15" customHeight="1">
      <c r="A211" t="inlineStr">
        <is>
          <t>A 46937-2021</t>
        </is>
      </c>
      <c r="B211" s="1" t="n">
        <v>44446</v>
      </c>
      <c r="C211" s="1" t="n">
        <v>46050</v>
      </c>
      <c r="D211" t="inlineStr">
        <is>
          <t>JÄMTLANDS LÄN</t>
        </is>
      </c>
      <c r="E211" t="inlineStr">
        <is>
          <t>BERG</t>
        </is>
      </c>
      <c r="G211" t="n">
        <v>3</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46050</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14224-2021</t>
        </is>
      </c>
      <c r="B213" s="1" t="n">
        <v>44277</v>
      </c>
      <c r="C213" s="1" t="n">
        <v>46050</v>
      </c>
      <c r="D213" t="inlineStr">
        <is>
          <t>JÄMTLANDS LÄN</t>
        </is>
      </c>
      <c r="E213" t="inlineStr">
        <is>
          <t>BERG</t>
        </is>
      </c>
      <c r="G213" t="n">
        <v>24.9</v>
      </c>
      <c r="H213" t="n">
        <v>0</v>
      </c>
      <c r="I213" t="n">
        <v>0</v>
      </c>
      <c r="J213" t="n">
        <v>0</v>
      </c>
      <c r="K213" t="n">
        <v>0</v>
      </c>
      <c r="L213" t="n">
        <v>0</v>
      </c>
      <c r="M213" t="n">
        <v>0</v>
      </c>
      <c r="N213" t="n">
        <v>0</v>
      </c>
      <c r="O213" t="n">
        <v>0</v>
      </c>
      <c r="P213" t="n">
        <v>0</v>
      </c>
      <c r="Q213" t="n">
        <v>0</v>
      </c>
      <c r="R213" s="2" t="inlineStr"/>
    </row>
    <row r="214" ht="15" customHeight="1">
      <c r="A214" t="inlineStr">
        <is>
          <t>A 24136-2021</t>
        </is>
      </c>
      <c r="B214" s="1" t="n">
        <v>44336.540625</v>
      </c>
      <c r="C214" s="1" t="n">
        <v>46050</v>
      </c>
      <c r="D214" t="inlineStr">
        <is>
          <t>JÄMTLANDS LÄN</t>
        </is>
      </c>
      <c r="E214" t="inlineStr">
        <is>
          <t>BERG</t>
        </is>
      </c>
      <c r="G214" t="n">
        <v>12.6</v>
      </c>
      <c r="H214" t="n">
        <v>0</v>
      </c>
      <c r="I214" t="n">
        <v>0</v>
      </c>
      <c r="J214" t="n">
        <v>0</v>
      </c>
      <c r="K214" t="n">
        <v>0</v>
      </c>
      <c r="L214" t="n">
        <v>0</v>
      </c>
      <c r="M214" t="n">
        <v>0</v>
      </c>
      <c r="N214" t="n">
        <v>0</v>
      </c>
      <c r="O214" t="n">
        <v>0</v>
      </c>
      <c r="P214" t="n">
        <v>0</v>
      </c>
      <c r="Q214" t="n">
        <v>0</v>
      </c>
      <c r="R214" s="2" t="inlineStr"/>
    </row>
    <row r="215" ht="15" customHeight="1">
      <c r="A215" t="inlineStr">
        <is>
          <t>A 27144-2021</t>
        </is>
      </c>
      <c r="B215" s="1" t="n">
        <v>44350</v>
      </c>
      <c r="C215" s="1" t="n">
        <v>46050</v>
      </c>
      <c r="D215" t="inlineStr">
        <is>
          <t>JÄMTLANDS LÄN</t>
        </is>
      </c>
      <c r="E215" t="inlineStr">
        <is>
          <t>BERG</t>
        </is>
      </c>
      <c r="F215" t="inlineStr">
        <is>
          <t>Sveaskog</t>
        </is>
      </c>
      <c r="G215" t="n">
        <v>10.2</v>
      </c>
      <c r="H215" t="n">
        <v>0</v>
      </c>
      <c r="I215" t="n">
        <v>0</v>
      </c>
      <c r="J215" t="n">
        <v>0</v>
      </c>
      <c r="K215" t="n">
        <v>0</v>
      </c>
      <c r="L215" t="n">
        <v>0</v>
      </c>
      <c r="M215" t="n">
        <v>0</v>
      </c>
      <c r="N215" t="n">
        <v>0</v>
      </c>
      <c r="O215" t="n">
        <v>0</v>
      </c>
      <c r="P215" t="n">
        <v>0</v>
      </c>
      <c r="Q215" t="n">
        <v>0</v>
      </c>
      <c r="R215" s="2" t="inlineStr"/>
    </row>
    <row r="216" ht="15" customHeight="1">
      <c r="A216" t="inlineStr">
        <is>
          <t>A 33558-2021</t>
        </is>
      </c>
      <c r="B216" s="1" t="n">
        <v>44377</v>
      </c>
      <c r="C216" s="1" t="n">
        <v>46050</v>
      </c>
      <c r="D216" t="inlineStr">
        <is>
          <t>JÄMTLANDS LÄN</t>
        </is>
      </c>
      <c r="E216" t="inlineStr">
        <is>
          <t>BERG</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52927-2022</t>
        </is>
      </c>
      <c r="B217" s="1" t="n">
        <v>44872</v>
      </c>
      <c r="C217" s="1" t="n">
        <v>46050</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41819-2021</t>
        </is>
      </c>
      <c r="B218" s="1" t="n">
        <v>44425.85641203704</v>
      </c>
      <c r="C218" s="1" t="n">
        <v>46050</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46050</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70468-2021</t>
        </is>
      </c>
      <c r="B220" s="1" t="n">
        <v>44536.66070601852</v>
      </c>
      <c r="C220" s="1" t="n">
        <v>46050</v>
      </c>
      <c r="D220" t="inlineStr">
        <is>
          <t>JÄMTLANDS LÄN</t>
        </is>
      </c>
      <c r="E220" t="inlineStr">
        <is>
          <t>BERG</t>
        </is>
      </c>
      <c r="G220" t="n">
        <v>3.9</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46050</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48756-2022</t>
        </is>
      </c>
      <c r="B222" s="1" t="n">
        <v>44859</v>
      </c>
      <c r="C222" s="1" t="n">
        <v>46050</v>
      </c>
      <c r="D222" t="inlineStr">
        <is>
          <t>JÄMTLANDS LÄN</t>
        </is>
      </c>
      <c r="E222" t="inlineStr">
        <is>
          <t>BERG</t>
        </is>
      </c>
      <c r="G222" t="n">
        <v>10.8</v>
      </c>
      <c r="H222" t="n">
        <v>0</v>
      </c>
      <c r="I222" t="n">
        <v>0</v>
      </c>
      <c r="J222" t="n">
        <v>0</v>
      </c>
      <c r="K222" t="n">
        <v>0</v>
      </c>
      <c r="L222" t="n">
        <v>0</v>
      </c>
      <c r="M222" t="n">
        <v>0</v>
      </c>
      <c r="N222" t="n">
        <v>0</v>
      </c>
      <c r="O222" t="n">
        <v>0</v>
      </c>
      <c r="P222" t="n">
        <v>0</v>
      </c>
      <c r="Q222" t="n">
        <v>0</v>
      </c>
      <c r="R222" s="2" t="inlineStr"/>
    </row>
    <row r="223" ht="15" customHeight="1">
      <c r="A223" t="inlineStr">
        <is>
          <t>A 1559-2022</t>
        </is>
      </c>
      <c r="B223" s="1" t="n">
        <v>44573</v>
      </c>
      <c r="C223" s="1" t="n">
        <v>46050</v>
      </c>
      <c r="D223" t="inlineStr">
        <is>
          <t>JÄMTLANDS LÄN</t>
        </is>
      </c>
      <c r="E223" t="inlineStr">
        <is>
          <t>BERG</t>
        </is>
      </c>
      <c r="G223" t="n">
        <v>0.7</v>
      </c>
      <c r="H223" t="n">
        <v>0</v>
      </c>
      <c r="I223" t="n">
        <v>0</v>
      </c>
      <c r="J223" t="n">
        <v>0</v>
      </c>
      <c r="K223" t="n">
        <v>0</v>
      </c>
      <c r="L223" t="n">
        <v>0</v>
      </c>
      <c r="M223" t="n">
        <v>0</v>
      </c>
      <c r="N223" t="n">
        <v>0</v>
      </c>
      <c r="O223" t="n">
        <v>0</v>
      </c>
      <c r="P223" t="n">
        <v>0</v>
      </c>
      <c r="Q223" t="n">
        <v>0</v>
      </c>
      <c r="R223" s="2" t="inlineStr"/>
    </row>
    <row r="224" ht="15" customHeight="1">
      <c r="A224" t="inlineStr">
        <is>
          <t>A 3891-2022</t>
        </is>
      </c>
      <c r="B224" s="1" t="n">
        <v>44587</v>
      </c>
      <c r="C224" s="1" t="n">
        <v>46050</v>
      </c>
      <c r="D224" t="inlineStr">
        <is>
          <t>JÄMTLANDS LÄN</t>
        </is>
      </c>
      <c r="E224" t="inlineStr">
        <is>
          <t>BERG</t>
        </is>
      </c>
      <c r="G224" t="n">
        <v>2.6</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46050</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8639-2021</t>
        </is>
      </c>
      <c r="B226" s="1" t="n">
        <v>44245</v>
      </c>
      <c r="C226" s="1" t="n">
        <v>46050</v>
      </c>
      <c r="D226" t="inlineStr">
        <is>
          <t>JÄMTLANDS LÄN</t>
        </is>
      </c>
      <c r="E226" t="inlineStr">
        <is>
          <t>BERG</t>
        </is>
      </c>
      <c r="F226" t="inlineStr">
        <is>
          <t>Naturvårdsverket</t>
        </is>
      </c>
      <c r="G226" t="n">
        <v>1.5</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46050</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20304-2022</t>
        </is>
      </c>
      <c r="B228" s="1" t="n">
        <v>44698.94268518518</v>
      </c>
      <c r="C228" s="1" t="n">
        <v>46050</v>
      </c>
      <c r="D228" t="inlineStr">
        <is>
          <t>JÄMTLANDS LÄN</t>
        </is>
      </c>
      <c r="E228" t="inlineStr">
        <is>
          <t>BERG</t>
        </is>
      </c>
      <c r="F228" t="inlineStr">
        <is>
          <t>SCA</t>
        </is>
      </c>
      <c r="G228" t="n">
        <v>6.7</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46050</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46050</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46050</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46050</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46050</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46050</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33878-2021</t>
        </is>
      </c>
      <c r="B235" s="1" t="n">
        <v>44378.64378472222</v>
      </c>
      <c r="C235" s="1" t="n">
        <v>46050</v>
      </c>
      <c r="D235" t="inlineStr">
        <is>
          <t>JÄMTLANDS LÄN</t>
        </is>
      </c>
      <c r="E235" t="inlineStr">
        <is>
          <t>BERG</t>
        </is>
      </c>
      <c r="G235" t="n">
        <v>6.6</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46050</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46050</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29019-2021</t>
        </is>
      </c>
      <c r="B238" s="1" t="n">
        <v>44358</v>
      </c>
      <c r="C238" s="1" t="n">
        <v>46050</v>
      </c>
      <c r="D238" t="inlineStr">
        <is>
          <t>JÄMTLANDS LÄN</t>
        </is>
      </c>
      <c r="E238" t="inlineStr">
        <is>
          <t>BERG</t>
        </is>
      </c>
      <c r="F238" t="inlineStr">
        <is>
          <t>Sveaskog</t>
        </is>
      </c>
      <c r="G238" t="n">
        <v>27.1</v>
      </c>
      <c r="H238" t="n">
        <v>0</v>
      </c>
      <c r="I238" t="n">
        <v>0</v>
      </c>
      <c r="J238" t="n">
        <v>0</v>
      </c>
      <c r="K238" t="n">
        <v>0</v>
      </c>
      <c r="L238" t="n">
        <v>0</v>
      </c>
      <c r="M238" t="n">
        <v>0</v>
      </c>
      <c r="N238" t="n">
        <v>0</v>
      </c>
      <c r="O238" t="n">
        <v>0</v>
      </c>
      <c r="P238" t="n">
        <v>0</v>
      </c>
      <c r="Q238" t="n">
        <v>0</v>
      </c>
      <c r="R238" s="2" t="inlineStr"/>
    </row>
    <row r="239" ht="15" customHeight="1">
      <c r="A239" t="inlineStr">
        <is>
          <t>A 22680-2022</t>
        </is>
      </c>
      <c r="B239" s="1" t="n">
        <v>44714</v>
      </c>
      <c r="C239" s="1" t="n">
        <v>46050</v>
      </c>
      <c r="D239" t="inlineStr">
        <is>
          <t>JÄMTLANDS LÄN</t>
        </is>
      </c>
      <c r="E239" t="inlineStr">
        <is>
          <t>BERG</t>
        </is>
      </c>
      <c r="G239" t="n">
        <v>15.4</v>
      </c>
      <c r="H239" t="n">
        <v>0</v>
      </c>
      <c r="I239" t="n">
        <v>0</v>
      </c>
      <c r="J239" t="n">
        <v>0</v>
      </c>
      <c r="K239" t="n">
        <v>0</v>
      </c>
      <c r="L239" t="n">
        <v>0</v>
      </c>
      <c r="M239" t="n">
        <v>0</v>
      </c>
      <c r="N239" t="n">
        <v>0</v>
      </c>
      <c r="O239" t="n">
        <v>0</v>
      </c>
      <c r="P239" t="n">
        <v>0</v>
      </c>
      <c r="Q239" t="n">
        <v>0</v>
      </c>
      <c r="R239" s="2" t="inlineStr"/>
    </row>
    <row r="240" ht="15" customHeight="1">
      <c r="A240" t="inlineStr">
        <is>
          <t>A 46199-2022</t>
        </is>
      </c>
      <c r="B240" s="1" t="n">
        <v>44847.53822916667</v>
      </c>
      <c r="C240" s="1" t="n">
        <v>46050</v>
      </c>
      <c r="D240" t="inlineStr">
        <is>
          <t>JÄMTLANDS LÄN</t>
        </is>
      </c>
      <c r="E240" t="inlineStr">
        <is>
          <t>BERG</t>
        </is>
      </c>
      <c r="G240" t="n">
        <v>5.6</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46050</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46050</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9920-2021</t>
        </is>
      </c>
      <c r="B243" s="1" t="n">
        <v>44253</v>
      </c>
      <c r="C243" s="1" t="n">
        <v>46050</v>
      </c>
      <c r="D243" t="inlineStr">
        <is>
          <t>JÄMTLANDS LÄN</t>
        </is>
      </c>
      <c r="E243" t="inlineStr">
        <is>
          <t>BERG</t>
        </is>
      </c>
      <c r="G243" t="n">
        <v>3.5</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46050</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68483-2021</t>
        </is>
      </c>
      <c r="B245" s="1" t="n">
        <v>44529</v>
      </c>
      <c r="C245" s="1" t="n">
        <v>46050</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6090-2022</t>
        </is>
      </c>
      <c r="B246" s="1" t="n">
        <v>44599</v>
      </c>
      <c r="C246" s="1" t="n">
        <v>46050</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46050</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46050</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37726-2022</t>
        </is>
      </c>
      <c r="B249" s="1" t="n">
        <v>44810.56636574074</v>
      </c>
      <c r="C249" s="1" t="n">
        <v>46050</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5221-2022</t>
        </is>
      </c>
      <c r="B250" s="1" t="n">
        <v>44594.48864583333</v>
      </c>
      <c r="C250" s="1" t="n">
        <v>46050</v>
      </c>
      <c r="D250" t="inlineStr">
        <is>
          <t>JÄMTLANDS LÄN</t>
        </is>
      </c>
      <c r="E250" t="inlineStr">
        <is>
          <t>BERG</t>
        </is>
      </c>
      <c r="G250" t="n">
        <v>4.9</v>
      </c>
      <c r="H250" t="n">
        <v>0</v>
      </c>
      <c r="I250" t="n">
        <v>0</v>
      </c>
      <c r="J250" t="n">
        <v>0</v>
      </c>
      <c r="K250" t="n">
        <v>0</v>
      </c>
      <c r="L250" t="n">
        <v>0</v>
      </c>
      <c r="M250" t="n">
        <v>0</v>
      </c>
      <c r="N250" t="n">
        <v>0</v>
      </c>
      <c r="O250" t="n">
        <v>0</v>
      </c>
      <c r="P250" t="n">
        <v>0</v>
      </c>
      <c r="Q250" t="n">
        <v>0</v>
      </c>
      <c r="R250" s="2" t="inlineStr"/>
    </row>
    <row r="251" ht="15" customHeight="1">
      <c r="A251" t="inlineStr">
        <is>
          <t>A 5222-2022</t>
        </is>
      </c>
      <c r="B251" s="1" t="n">
        <v>44594.4892824074</v>
      </c>
      <c r="C251" s="1" t="n">
        <v>46050</v>
      </c>
      <c r="D251" t="inlineStr">
        <is>
          <t>JÄMTLANDS LÄN</t>
        </is>
      </c>
      <c r="E251" t="inlineStr">
        <is>
          <t>BERG</t>
        </is>
      </c>
      <c r="G251" t="n">
        <v>12.3</v>
      </c>
      <c r="H251" t="n">
        <v>0</v>
      </c>
      <c r="I251" t="n">
        <v>0</v>
      </c>
      <c r="J251" t="n">
        <v>0</v>
      </c>
      <c r="K251" t="n">
        <v>0</v>
      </c>
      <c r="L251" t="n">
        <v>0</v>
      </c>
      <c r="M251" t="n">
        <v>0</v>
      </c>
      <c r="N251" t="n">
        <v>0</v>
      </c>
      <c r="O251" t="n">
        <v>0</v>
      </c>
      <c r="P251" t="n">
        <v>0</v>
      </c>
      <c r="Q251" t="n">
        <v>0</v>
      </c>
      <c r="R251" s="2" t="inlineStr"/>
    </row>
    <row r="252" ht="15" customHeight="1">
      <c r="A252" t="inlineStr">
        <is>
          <t>A 46515-2021</t>
        </is>
      </c>
      <c r="B252" s="1" t="n">
        <v>44445</v>
      </c>
      <c r="C252" s="1" t="n">
        <v>46050</v>
      </c>
      <c r="D252" t="inlineStr">
        <is>
          <t>JÄMTLANDS LÄN</t>
        </is>
      </c>
      <c r="E252" t="inlineStr">
        <is>
          <t>BERG</t>
        </is>
      </c>
      <c r="G252" t="n">
        <v>1.1</v>
      </c>
      <c r="H252" t="n">
        <v>0</v>
      </c>
      <c r="I252" t="n">
        <v>0</v>
      </c>
      <c r="J252" t="n">
        <v>0</v>
      </c>
      <c r="K252" t="n">
        <v>0</v>
      </c>
      <c r="L252" t="n">
        <v>0</v>
      </c>
      <c r="M252" t="n">
        <v>0</v>
      </c>
      <c r="N252" t="n">
        <v>0</v>
      </c>
      <c r="O252" t="n">
        <v>0</v>
      </c>
      <c r="P252" t="n">
        <v>0</v>
      </c>
      <c r="Q252" t="n">
        <v>0</v>
      </c>
      <c r="R252" s="2" t="inlineStr"/>
    </row>
    <row r="253" ht="15" customHeight="1">
      <c r="A253" t="inlineStr">
        <is>
          <t>A 34803-2022</t>
        </is>
      </c>
      <c r="B253" s="1" t="n">
        <v>44795.94754629629</v>
      </c>
      <c r="C253" s="1" t="n">
        <v>46050</v>
      </c>
      <c r="D253" t="inlineStr">
        <is>
          <t>JÄMTLANDS LÄN</t>
        </is>
      </c>
      <c r="E253" t="inlineStr">
        <is>
          <t>BERG</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18567-2021</t>
        </is>
      </c>
      <c r="B254" s="1" t="n">
        <v>44306.55199074074</v>
      </c>
      <c r="C254" s="1" t="n">
        <v>46050</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18569-2021</t>
        </is>
      </c>
      <c r="B255" s="1" t="n">
        <v>44306.55394675926</v>
      </c>
      <c r="C255" s="1" t="n">
        <v>46050</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10230-2024</t>
        </is>
      </c>
      <c r="B256" s="1" t="n">
        <v>45365.31883101852</v>
      </c>
      <c r="C256" s="1" t="n">
        <v>46050</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9482-2024</t>
        </is>
      </c>
      <c r="B257" s="1" t="n">
        <v>45359.57847222222</v>
      </c>
      <c r="C257" s="1" t="n">
        <v>46050</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65209-2023</t>
        </is>
      </c>
      <c r="B258" s="1" t="n">
        <v>45289</v>
      </c>
      <c r="C258" s="1" t="n">
        <v>46050</v>
      </c>
      <c r="D258" t="inlineStr">
        <is>
          <t>JÄMTLANDS LÄN</t>
        </is>
      </c>
      <c r="E258" t="inlineStr">
        <is>
          <t>BERG</t>
        </is>
      </c>
      <c r="G258" t="n">
        <v>1</v>
      </c>
      <c r="H258" t="n">
        <v>0</v>
      </c>
      <c r="I258" t="n">
        <v>0</v>
      </c>
      <c r="J258" t="n">
        <v>0</v>
      </c>
      <c r="K258" t="n">
        <v>0</v>
      </c>
      <c r="L258" t="n">
        <v>0</v>
      </c>
      <c r="M258" t="n">
        <v>0</v>
      </c>
      <c r="N258" t="n">
        <v>0</v>
      </c>
      <c r="O258" t="n">
        <v>0</v>
      </c>
      <c r="P258" t="n">
        <v>0</v>
      </c>
      <c r="Q258" t="n">
        <v>0</v>
      </c>
      <c r="R258" s="2" t="inlineStr"/>
    </row>
    <row r="259" ht="15" customHeight="1">
      <c r="A259" t="inlineStr">
        <is>
          <t>A 36079-2024</t>
        </is>
      </c>
      <c r="B259" s="1" t="n">
        <v>45533.66685185185</v>
      </c>
      <c r="C259" s="1" t="n">
        <v>46050</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36287-2024</t>
        </is>
      </c>
      <c r="B260" s="1" t="n">
        <v>45534</v>
      </c>
      <c r="C260" s="1" t="n">
        <v>46050</v>
      </c>
      <c r="D260" t="inlineStr">
        <is>
          <t>JÄMTLANDS LÄN</t>
        </is>
      </c>
      <c r="E260" t="inlineStr">
        <is>
          <t>BERG</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51951-2021</t>
        </is>
      </c>
      <c r="B261" s="1" t="n">
        <v>44462</v>
      </c>
      <c r="C261" s="1" t="n">
        <v>46050</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18685-2024</t>
        </is>
      </c>
      <c r="B262" s="1" t="n">
        <v>45426.38322916667</v>
      </c>
      <c r="C262" s="1" t="n">
        <v>46050</v>
      </c>
      <c r="D262" t="inlineStr">
        <is>
          <t>JÄMTLANDS LÄN</t>
        </is>
      </c>
      <c r="E262" t="inlineStr">
        <is>
          <t>BERG</t>
        </is>
      </c>
      <c r="G262" t="n">
        <v>5.1</v>
      </c>
      <c r="H262" t="n">
        <v>0</v>
      </c>
      <c r="I262" t="n">
        <v>0</v>
      </c>
      <c r="J262" t="n">
        <v>0</v>
      </c>
      <c r="K262" t="n">
        <v>0</v>
      </c>
      <c r="L262" t="n">
        <v>0</v>
      </c>
      <c r="M262" t="n">
        <v>0</v>
      </c>
      <c r="N262" t="n">
        <v>0</v>
      </c>
      <c r="O262" t="n">
        <v>0</v>
      </c>
      <c r="P262" t="n">
        <v>0</v>
      </c>
      <c r="Q262" t="n">
        <v>0</v>
      </c>
      <c r="R262" s="2" t="inlineStr"/>
    </row>
    <row r="263" ht="15" customHeight="1">
      <c r="A263" t="inlineStr">
        <is>
          <t>A 44110-2022</t>
        </is>
      </c>
      <c r="B263" s="1" t="n">
        <v>44837</v>
      </c>
      <c r="C263" s="1" t="n">
        <v>46050</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10974-2025</t>
        </is>
      </c>
      <c r="B264" s="1" t="n">
        <v>45723.38790509259</v>
      </c>
      <c r="C264" s="1" t="n">
        <v>46050</v>
      </c>
      <c r="D264" t="inlineStr">
        <is>
          <t>JÄMTLANDS LÄN</t>
        </is>
      </c>
      <c r="E264" t="inlineStr">
        <is>
          <t>BERG</t>
        </is>
      </c>
      <c r="G264" t="n">
        <v>6.9</v>
      </c>
      <c r="H264" t="n">
        <v>0</v>
      </c>
      <c r="I264" t="n">
        <v>0</v>
      </c>
      <c r="J264" t="n">
        <v>0</v>
      </c>
      <c r="K264" t="n">
        <v>0</v>
      </c>
      <c r="L264" t="n">
        <v>0</v>
      </c>
      <c r="M264" t="n">
        <v>0</v>
      </c>
      <c r="N264" t="n">
        <v>0</v>
      </c>
      <c r="O264" t="n">
        <v>0</v>
      </c>
      <c r="P264" t="n">
        <v>0</v>
      </c>
      <c r="Q264" t="n">
        <v>0</v>
      </c>
      <c r="R264" s="2" t="inlineStr"/>
    </row>
    <row r="265" ht="15" customHeight="1">
      <c r="A265" t="inlineStr">
        <is>
          <t>A 21717-2023</t>
        </is>
      </c>
      <c r="B265" s="1" t="n">
        <v>45063</v>
      </c>
      <c r="C265" s="1" t="n">
        <v>46050</v>
      </c>
      <c r="D265" t="inlineStr">
        <is>
          <t>JÄMTLANDS LÄN</t>
        </is>
      </c>
      <c r="E265" t="inlineStr">
        <is>
          <t>BERG</t>
        </is>
      </c>
      <c r="G265" t="n">
        <v>6</v>
      </c>
      <c r="H265" t="n">
        <v>0</v>
      </c>
      <c r="I265" t="n">
        <v>0</v>
      </c>
      <c r="J265" t="n">
        <v>0</v>
      </c>
      <c r="K265" t="n">
        <v>0</v>
      </c>
      <c r="L265" t="n">
        <v>0</v>
      </c>
      <c r="M265" t="n">
        <v>0</v>
      </c>
      <c r="N265" t="n">
        <v>0</v>
      </c>
      <c r="O265" t="n">
        <v>0</v>
      </c>
      <c r="P265" t="n">
        <v>0</v>
      </c>
      <c r="Q265" t="n">
        <v>0</v>
      </c>
      <c r="R265" s="2" t="inlineStr"/>
    </row>
    <row r="266" ht="15" customHeight="1">
      <c r="A266" t="inlineStr">
        <is>
          <t>A 47674-2024</t>
        </is>
      </c>
      <c r="B266" s="1" t="n">
        <v>45588.40413194444</v>
      </c>
      <c r="C266" s="1" t="n">
        <v>46050</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56490-2024</t>
        </is>
      </c>
      <c r="B267" s="1" t="n">
        <v>45625.48765046296</v>
      </c>
      <c r="C267" s="1" t="n">
        <v>46050</v>
      </c>
      <c r="D267" t="inlineStr">
        <is>
          <t>JÄMTLANDS LÄN</t>
        </is>
      </c>
      <c r="E267" t="inlineStr">
        <is>
          <t>BERG</t>
        </is>
      </c>
      <c r="G267" t="n">
        <v>5.9</v>
      </c>
      <c r="H267" t="n">
        <v>0</v>
      </c>
      <c r="I267" t="n">
        <v>0</v>
      </c>
      <c r="J267" t="n">
        <v>0</v>
      </c>
      <c r="K267" t="n">
        <v>0</v>
      </c>
      <c r="L267" t="n">
        <v>0</v>
      </c>
      <c r="M267" t="n">
        <v>0</v>
      </c>
      <c r="N267" t="n">
        <v>0</v>
      </c>
      <c r="O267" t="n">
        <v>0</v>
      </c>
      <c r="P267" t="n">
        <v>0</v>
      </c>
      <c r="Q267" t="n">
        <v>0</v>
      </c>
      <c r="R267" s="2" t="inlineStr"/>
    </row>
    <row r="268" ht="15" customHeight="1">
      <c r="A268" t="inlineStr">
        <is>
          <t>A 35792-2024</t>
        </is>
      </c>
      <c r="B268" s="1" t="n">
        <v>45532.62950231481</v>
      </c>
      <c r="C268" s="1" t="n">
        <v>46050</v>
      </c>
      <c r="D268" t="inlineStr">
        <is>
          <t>JÄMTLANDS LÄN</t>
        </is>
      </c>
      <c r="E268" t="inlineStr">
        <is>
          <t>BERG</t>
        </is>
      </c>
      <c r="F268" t="inlineStr">
        <is>
          <t>SCA</t>
        </is>
      </c>
      <c r="G268" t="n">
        <v>6.7</v>
      </c>
      <c r="H268" t="n">
        <v>0</v>
      </c>
      <c r="I268" t="n">
        <v>0</v>
      </c>
      <c r="J268" t="n">
        <v>0</v>
      </c>
      <c r="K268" t="n">
        <v>0</v>
      </c>
      <c r="L268" t="n">
        <v>0</v>
      </c>
      <c r="M268" t="n">
        <v>0</v>
      </c>
      <c r="N268" t="n">
        <v>0</v>
      </c>
      <c r="O268" t="n">
        <v>0</v>
      </c>
      <c r="P268" t="n">
        <v>0</v>
      </c>
      <c r="Q268" t="n">
        <v>0</v>
      </c>
      <c r="R268" s="2" t="inlineStr"/>
    </row>
    <row r="269" ht="15" customHeight="1">
      <c r="A269" t="inlineStr">
        <is>
          <t>A 62360-2023</t>
        </is>
      </c>
      <c r="B269" s="1" t="n">
        <v>45267</v>
      </c>
      <c r="C269" s="1" t="n">
        <v>46050</v>
      </c>
      <c r="D269" t="inlineStr">
        <is>
          <t>JÄMTLANDS LÄN</t>
        </is>
      </c>
      <c r="E269" t="inlineStr">
        <is>
          <t>BERG</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1499-2025</t>
        </is>
      </c>
      <c r="B270" s="1" t="n">
        <v>45670.41112268518</v>
      </c>
      <c r="C270" s="1" t="n">
        <v>46050</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48069-2023</t>
        </is>
      </c>
      <c r="B271" s="1" t="n">
        <v>45204</v>
      </c>
      <c r="C271" s="1" t="n">
        <v>46050</v>
      </c>
      <c r="D271" t="inlineStr">
        <is>
          <t>JÄMTLANDS LÄN</t>
        </is>
      </c>
      <c r="E271" t="inlineStr">
        <is>
          <t>BERG</t>
        </is>
      </c>
      <c r="F271" t="inlineStr">
        <is>
          <t>SCA</t>
        </is>
      </c>
      <c r="G271" t="n">
        <v>11.2</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46050</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53894-2023</t>
        </is>
      </c>
      <c r="B273" s="1" t="n">
        <v>45231.53321759259</v>
      </c>
      <c r="C273" s="1" t="n">
        <v>46050</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46050</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45346-2023</t>
        </is>
      </c>
      <c r="B275" s="1" t="n">
        <v>45191</v>
      </c>
      <c r="C275" s="1" t="n">
        <v>46050</v>
      </c>
      <c r="D275" t="inlineStr">
        <is>
          <t>JÄMTLANDS LÄN</t>
        </is>
      </c>
      <c r="E275" t="inlineStr">
        <is>
          <t>BERG</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46050</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43403-2023</t>
        </is>
      </c>
      <c r="B277" s="1" t="n">
        <v>45183</v>
      </c>
      <c r="C277" s="1" t="n">
        <v>46050</v>
      </c>
      <c r="D277" t="inlineStr">
        <is>
          <t>JÄMTLANDS LÄN</t>
        </is>
      </c>
      <c r="E277" t="inlineStr">
        <is>
          <t>BERG</t>
        </is>
      </c>
      <c r="F277" t="inlineStr">
        <is>
          <t>SCA</t>
        </is>
      </c>
      <c r="G277" t="n">
        <v>0.1</v>
      </c>
      <c r="H277" t="n">
        <v>0</v>
      </c>
      <c r="I277" t="n">
        <v>0</v>
      </c>
      <c r="J277" t="n">
        <v>0</v>
      </c>
      <c r="K277" t="n">
        <v>0</v>
      </c>
      <c r="L277" t="n">
        <v>0</v>
      </c>
      <c r="M277" t="n">
        <v>0</v>
      </c>
      <c r="N277" t="n">
        <v>0</v>
      </c>
      <c r="O277" t="n">
        <v>0</v>
      </c>
      <c r="P277" t="n">
        <v>0</v>
      </c>
      <c r="Q277" t="n">
        <v>0</v>
      </c>
      <c r="R277" s="2" t="inlineStr"/>
    </row>
    <row r="278" ht="15" customHeight="1">
      <c r="A278" t="inlineStr">
        <is>
          <t>A 17899-2024</t>
        </is>
      </c>
      <c r="B278" s="1" t="n">
        <v>45419.49334490741</v>
      </c>
      <c r="C278" s="1" t="n">
        <v>46050</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46050</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46050</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46050</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63819-2023</t>
        </is>
      </c>
      <c r="B282" s="1" t="n">
        <v>45278.44128472222</v>
      </c>
      <c r="C282" s="1" t="n">
        <v>46050</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64490-2023</t>
        </is>
      </c>
      <c r="B283" s="1" t="n">
        <v>45280</v>
      </c>
      <c r="C283" s="1" t="n">
        <v>46050</v>
      </c>
      <c r="D283" t="inlineStr">
        <is>
          <t>JÄMTLANDS LÄN</t>
        </is>
      </c>
      <c r="E283" t="inlineStr">
        <is>
          <t>BERG</t>
        </is>
      </c>
      <c r="F283" t="inlineStr">
        <is>
          <t>Övriga Aktiebolag</t>
        </is>
      </c>
      <c r="G283" t="n">
        <v>7.7</v>
      </c>
      <c r="H283" t="n">
        <v>0</v>
      </c>
      <c r="I283" t="n">
        <v>0</v>
      </c>
      <c r="J283" t="n">
        <v>0</v>
      </c>
      <c r="K283" t="n">
        <v>0</v>
      </c>
      <c r="L283" t="n">
        <v>0</v>
      </c>
      <c r="M283" t="n">
        <v>0</v>
      </c>
      <c r="N283" t="n">
        <v>0</v>
      </c>
      <c r="O283" t="n">
        <v>0</v>
      </c>
      <c r="P283" t="n">
        <v>0</v>
      </c>
      <c r="Q283" t="n">
        <v>0</v>
      </c>
      <c r="R283" s="2" t="inlineStr"/>
    </row>
    <row r="284" ht="15" customHeight="1">
      <c r="A284" t="inlineStr">
        <is>
          <t>A 44911-2021</t>
        </is>
      </c>
      <c r="B284" s="1" t="n">
        <v>44435</v>
      </c>
      <c r="C284" s="1" t="n">
        <v>46050</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3419-2025</t>
        </is>
      </c>
      <c r="B285" s="1" t="n">
        <v>45680.4165625</v>
      </c>
      <c r="C285" s="1" t="n">
        <v>46050</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5014-2024</t>
        </is>
      </c>
      <c r="B286" s="1" t="n">
        <v>45329</v>
      </c>
      <c r="C286" s="1" t="n">
        <v>46050</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29540-2024</t>
        </is>
      </c>
      <c r="B287" s="1" t="n">
        <v>45484</v>
      </c>
      <c r="C287" s="1" t="n">
        <v>46050</v>
      </c>
      <c r="D287" t="inlineStr">
        <is>
          <t>JÄMTLANDS LÄN</t>
        </is>
      </c>
      <c r="E287" t="inlineStr">
        <is>
          <t>BERG</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54799-2021</t>
        </is>
      </c>
      <c r="B288" s="1" t="n">
        <v>44473</v>
      </c>
      <c r="C288" s="1" t="n">
        <v>46050</v>
      </c>
      <c r="D288" t="inlineStr">
        <is>
          <t>JÄMTLANDS LÄN</t>
        </is>
      </c>
      <c r="E288" t="inlineStr">
        <is>
          <t>BERG</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4476-2025</t>
        </is>
      </c>
      <c r="B289" s="1" t="n">
        <v>45686.62828703703</v>
      </c>
      <c r="C289" s="1" t="n">
        <v>46050</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41927-2023</t>
        </is>
      </c>
      <c r="B290" s="1" t="n">
        <v>45176</v>
      </c>
      <c r="C290" s="1" t="n">
        <v>46050</v>
      </c>
      <c r="D290" t="inlineStr">
        <is>
          <t>JÄMTLANDS LÄN</t>
        </is>
      </c>
      <c r="E290" t="inlineStr">
        <is>
          <t>BERG</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46050</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5187-2025</t>
        </is>
      </c>
      <c r="B292" s="1" t="n">
        <v>45691.64266203704</v>
      </c>
      <c r="C292" s="1" t="n">
        <v>46050</v>
      </c>
      <c r="D292" t="inlineStr">
        <is>
          <t>JÄMTLANDS LÄN</t>
        </is>
      </c>
      <c r="E292" t="inlineStr">
        <is>
          <t>BERG</t>
        </is>
      </c>
      <c r="G292" t="n">
        <v>2.5</v>
      </c>
      <c r="H292" t="n">
        <v>0</v>
      </c>
      <c r="I292" t="n">
        <v>0</v>
      </c>
      <c r="J292" t="n">
        <v>0</v>
      </c>
      <c r="K292" t="n">
        <v>0</v>
      </c>
      <c r="L292" t="n">
        <v>0</v>
      </c>
      <c r="M292" t="n">
        <v>0</v>
      </c>
      <c r="N292" t="n">
        <v>0</v>
      </c>
      <c r="O292" t="n">
        <v>0</v>
      </c>
      <c r="P292" t="n">
        <v>0</v>
      </c>
      <c r="Q292" t="n">
        <v>0</v>
      </c>
      <c r="R292" s="2" t="inlineStr"/>
    </row>
    <row r="293" ht="15" customHeight="1">
      <c r="A293" t="inlineStr">
        <is>
          <t>A 61085-2024</t>
        </is>
      </c>
      <c r="B293" s="1" t="n">
        <v>45645.53202546296</v>
      </c>
      <c r="C293" s="1" t="n">
        <v>46050</v>
      </c>
      <c r="D293" t="inlineStr">
        <is>
          <t>JÄMTLANDS LÄN</t>
        </is>
      </c>
      <c r="E293" t="inlineStr">
        <is>
          <t>BERG</t>
        </is>
      </c>
      <c r="F293" t="inlineStr">
        <is>
          <t>SCA</t>
        </is>
      </c>
      <c r="G293" t="n">
        <v>12.2</v>
      </c>
      <c r="H293" t="n">
        <v>0</v>
      </c>
      <c r="I293" t="n">
        <v>0</v>
      </c>
      <c r="J293" t="n">
        <v>0</v>
      </c>
      <c r="K293" t="n">
        <v>0</v>
      </c>
      <c r="L293" t="n">
        <v>0</v>
      </c>
      <c r="M293" t="n">
        <v>0</v>
      </c>
      <c r="N293" t="n">
        <v>0</v>
      </c>
      <c r="O293" t="n">
        <v>0</v>
      </c>
      <c r="P293" t="n">
        <v>0</v>
      </c>
      <c r="Q293" t="n">
        <v>0</v>
      </c>
      <c r="R293" s="2" t="inlineStr"/>
    </row>
    <row r="294" ht="15" customHeight="1">
      <c r="A294" t="inlineStr">
        <is>
          <t>A 3842-2023</t>
        </is>
      </c>
      <c r="B294" s="1" t="n">
        <v>44951</v>
      </c>
      <c r="C294" s="1" t="n">
        <v>46050</v>
      </c>
      <c r="D294" t="inlineStr">
        <is>
          <t>JÄMTLANDS LÄN</t>
        </is>
      </c>
      <c r="E294" t="inlineStr">
        <is>
          <t>BERG</t>
        </is>
      </c>
      <c r="G294" t="n">
        <v>0.3</v>
      </c>
      <c r="H294" t="n">
        <v>0</v>
      </c>
      <c r="I294" t="n">
        <v>0</v>
      </c>
      <c r="J294" t="n">
        <v>0</v>
      </c>
      <c r="K294" t="n">
        <v>0</v>
      </c>
      <c r="L294" t="n">
        <v>0</v>
      </c>
      <c r="M294" t="n">
        <v>0</v>
      </c>
      <c r="N294" t="n">
        <v>0</v>
      </c>
      <c r="O294" t="n">
        <v>0</v>
      </c>
      <c r="P294" t="n">
        <v>0</v>
      </c>
      <c r="Q294" t="n">
        <v>0</v>
      </c>
      <c r="R294" s="2" t="inlineStr"/>
    </row>
    <row r="295" ht="15" customHeight="1">
      <c r="A295" t="inlineStr">
        <is>
          <t>A 59526-2024</t>
        </is>
      </c>
      <c r="B295" s="1" t="n">
        <v>45638.58019675926</v>
      </c>
      <c r="C295" s="1" t="n">
        <v>46050</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29511-2021</t>
        </is>
      </c>
      <c r="B296" s="1" t="n">
        <v>44361</v>
      </c>
      <c r="C296" s="1" t="n">
        <v>46050</v>
      </c>
      <c r="D296" t="inlineStr">
        <is>
          <t>JÄMTLANDS LÄN</t>
        </is>
      </c>
      <c r="E296" t="inlineStr">
        <is>
          <t>BERG</t>
        </is>
      </c>
      <c r="G296" t="n">
        <v>5.6</v>
      </c>
      <c r="H296" t="n">
        <v>0</v>
      </c>
      <c r="I296" t="n">
        <v>0</v>
      </c>
      <c r="J296" t="n">
        <v>0</v>
      </c>
      <c r="K296" t="n">
        <v>0</v>
      </c>
      <c r="L296" t="n">
        <v>0</v>
      </c>
      <c r="M296" t="n">
        <v>0</v>
      </c>
      <c r="N296" t="n">
        <v>0</v>
      </c>
      <c r="O296" t="n">
        <v>0</v>
      </c>
      <c r="P296" t="n">
        <v>0</v>
      </c>
      <c r="Q296" t="n">
        <v>0</v>
      </c>
      <c r="R296" s="2" t="inlineStr"/>
    </row>
    <row r="297" ht="15" customHeight="1">
      <c r="A297" t="inlineStr">
        <is>
          <t>A 18217-2023</t>
        </is>
      </c>
      <c r="B297" s="1" t="n">
        <v>45040</v>
      </c>
      <c r="C297" s="1" t="n">
        <v>46050</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23900-2025</t>
        </is>
      </c>
      <c r="B298" s="1" t="n">
        <v>45794.34425925926</v>
      </c>
      <c r="C298" s="1" t="n">
        <v>46050</v>
      </c>
      <c r="D298" t="inlineStr">
        <is>
          <t>JÄMTLANDS LÄN</t>
        </is>
      </c>
      <c r="E298" t="inlineStr">
        <is>
          <t>BERG</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23915-2025</t>
        </is>
      </c>
      <c r="B299" s="1" t="n">
        <v>45795.3446412037</v>
      </c>
      <c r="C299" s="1" t="n">
        <v>46050</v>
      </c>
      <c r="D299" t="inlineStr">
        <is>
          <t>JÄMTLANDS LÄN</t>
        </is>
      </c>
      <c r="E299" t="inlineStr">
        <is>
          <t>BERG</t>
        </is>
      </c>
      <c r="F299" t="inlineStr">
        <is>
          <t>SCA</t>
        </is>
      </c>
      <c r="G299" t="n">
        <v>16.7</v>
      </c>
      <c r="H299" t="n">
        <v>0</v>
      </c>
      <c r="I299" t="n">
        <v>0</v>
      </c>
      <c r="J299" t="n">
        <v>0</v>
      </c>
      <c r="K299" t="n">
        <v>0</v>
      </c>
      <c r="L299" t="n">
        <v>0</v>
      </c>
      <c r="M299" t="n">
        <v>0</v>
      </c>
      <c r="N299" t="n">
        <v>0</v>
      </c>
      <c r="O299" t="n">
        <v>0</v>
      </c>
      <c r="P299" t="n">
        <v>0</v>
      </c>
      <c r="Q299" t="n">
        <v>0</v>
      </c>
      <c r="R299" s="2" t="inlineStr"/>
    </row>
    <row r="300" ht="15" customHeight="1">
      <c r="A300" t="inlineStr">
        <is>
          <t>A 23916-2025</t>
        </is>
      </c>
      <c r="B300" s="1" t="n">
        <v>45795.34472222222</v>
      </c>
      <c r="C300" s="1" t="n">
        <v>46050</v>
      </c>
      <c r="D300" t="inlineStr">
        <is>
          <t>JÄMTLANDS LÄN</t>
        </is>
      </c>
      <c r="E300" t="inlineStr">
        <is>
          <t>BERG</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24360-2025</t>
        </is>
      </c>
      <c r="B301" s="1" t="n">
        <v>45797.59502314815</v>
      </c>
      <c r="C301" s="1" t="n">
        <v>46050</v>
      </c>
      <c r="D301" t="inlineStr">
        <is>
          <t>JÄMTLANDS LÄN</t>
        </is>
      </c>
      <c r="E301" t="inlineStr">
        <is>
          <t>BERG</t>
        </is>
      </c>
      <c r="F301" t="inlineStr">
        <is>
          <t>SCA</t>
        </is>
      </c>
      <c r="G301" t="n">
        <v>10.5</v>
      </c>
      <c r="H301" t="n">
        <v>0</v>
      </c>
      <c r="I301" t="n">
        <v>0</v>
      </c>
      <c r="J301" t="n">
        <v>0</v>
      </c>
      <c r="K301" t="n">
        <v>0</v>
      </c>
      <c r="L301" t="n">
        <v>0</v>
      </c>
      <c r="M301" t="n">
        <v>0</v>
      </c>
      <c r="N301" t="n">
        <v>0</v>
      </c>
      <c r="O301" t="n">
        <v>0</v>
      </c>
      <c r="P301" t="n">
        <v>0</v>
      </c>
      <c r="Q301" t="n">
        <v>0</v>
      </c>
      <c r="R301" s="2" t="inlineStr"/>
    </row>
    <row r="302" ht="15" customHeight="1">
      <c r="A302" t="inlineStr">
        <is>
          <t>A 24060-2025</t>
        </is>
      </c>
      <c r="B302" s="1" t="n">
        <v>45796.5216087963</v>
      </c>
      <c r="C302" s="1" t="n">
        <v>46050</v>
      </c>
      <c r="D302" t="inlineStr">
        <is>
          <t>JÄMTLANDS LÄN</t>
        </is>
      </c>
      <c r="E302" t="inlineStr">
        <is>
          <t>BERG</t>
        </is>
      </c>
      <c r="G302" t="n">
        <v>4.7</v>
      </c>
      <c r="H302" t="n">
        <v>0</v>
      </c>
      <c r="I302" t="n">
        <v>0</v>
      </c>
      <c r="J302" t="n">
        <v>0</v>
      </c>
      <c r="K302" t="n">
        <v>0</v>
      </c>
      <c r="L302" t="n">
        <v>0</v>
      </c>
      <c r="M302" t="n">
        <v>0</v>
      </c>
      <c r="N302" t="n">
        <v>0</v>
      </c>
      <c r="O302" t="n">
        <v>0</v>
      </c>
      <c r="P302" t="n">
        <v>0</v>
      </c>
      <c r="Q302" t="n">
        <v>0</v>
      </c>
      <c r="R302" s="2" t="inlineStr"/>
    </row>
    <row r="303" ht="15" customHeight="1">
      <c r="A303" t="inlineStr">
        <is>
          <t>A 24390-2025</t>
        </is>
      </c>
      <c r="B303" s="1" t="n">
        <v>45797.63576388889</v>
      </c>
      <c r="C303" s="1" t="n">
        <v>46050</v>
      </c>
      <c r="D303" t="inlineStr">
        <is>
          <t>JÄMTLANDS LÄN</t>
        </is>
      </c>
      <c r="E303" t="inlineStr">
        <is>
          <t>BERG</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23901-2025</t>
        </is>
      </c>
      <c r="B304" s="1" t="n">
        <v>45794.34436342592</v>
      </c>
      <c r="C304" s="1" t="n">
        <v>46050</v>
      </c>
      <c r="D304" t="inlineStr">
        <is>
          <t>JÄMTLANDS LÄN</t>
        </is>
      </c>
      <c r="E304" t="inlineStr">
        <is>
          <t>BERG</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41098-2023</t>
        </is>
      </c>
      <c r="B305" s="1" t="n">
        <v>45170</v>
      </c>
      <c r="C305" s="1" t="n">
        <v>46050</v>
      </c>
      <c r="D305" t="inlineStr">
        <is>
          <t>JÄMTLANDS LÄN</t>
        </is>
      </c>
      <c r="E305" t="inlineStr">
        <is>
          <t>BERG</t>
        </is>
      </c>
      <c r="G305" t="n">
        <v>3.1</v>
      </c>
      <c r="H305" t="n">
        <v>0</v>
      </c>
      <c r="I305" t="n">
        <v>0</v>
      </c>
      <c r="J305" t="n">
        <v>0</v>
      </c>
      <c r="K305" t="n">
        <v>0</v>
      </c>
      <c r="L305" t="n">
        <v>0</v>
      </c>
      <c r="M305" t="n">
        <v>0</v>
      </c>
      <c r="N305" t="n">
        <v>0</v>
      </c>
      <c r="O305" t="n">
        <v>0</v>
      </c>
      <c r="P305" t="n">
        <v>0</v>
      </c>
      <c r="Q305" t="n">
        <v>0</v>
      </c>
      <c r="R305" s="2" t="inlineStr"/>
    </row>
    <row r="306" ht="15" customHeight="1">
      <c r="A306" t="inlineStr">
        <is>
          <t>A 433-2023</t>
        </is>
      </c>
      <c r="B306" s="1" t="n">
        <v>44923</v>
      </c>
      <c r="C306" s="1" t="n">
        <v>46050</v>
      </c>
      <c r="D306" t="inlineStr">
        <is>
          <t>JÄMTLANDS LÄN</t>
        </is>
      </c>
      <c r="E306" t="inlineStr">
        <is>
          <t>BERG</t>
        </is>
      </c>
      <c r="G306" t="n">
        <v>1.5</v>
      </c>
      <c r="H306" t="n">
        <v>0</v>
      </c>
      <c r="I306" t="n">
        <v>0</v>
      </c>
      <c r="J306" t="n">
        <v>0</v>
      </c>
      <c r="K306" t="n">
        <v>0</v>
      </c>
      <c r="L306" t="n">
        <v>0</v>
      </c>
      <c r="M306" t="n">
        <v>0</v>
      </c>
      <c r="N306" t="n">
        <v>0</v>
      </c>
      <c r="O306" t="n">
        <v>0</v>
      </c>
      <c r="P306" t="n">
        <v>0</v>
      </c>
      <c r="Q306" t="n">
        <v>0</v>
      </c>
      <c r="R306" s="2" t="inlineStr"/>
    </row>
    <row r="307" ht="15" customHeight="1">
      <c r="A307" t="inlineStr">
        <is>
          <t>A 23920-2025</t>
        </is>
      </c>
      <c r="B307" s="1" t="n">
        <v>45795.34505787037</v>
      </c>
      <c r="C307" s="1" t="n">
        <v>46050</v>
      </c>
      <c r="D307" t="inlineStr">
        <is>
          <t>JÄMTLANDS LÄN</t>
        </is>
      </c>
      <c r="E307" t="inlineStr">
        <is>
          <t>BERG</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32147-2024</t>
        </is>
      </c>
      <c r="B308" s="1" t="n">
        <v>45511.55600694445</v>
      </c>
      <c r="C308" s="1" t="n">
        <v>46050</v>
      </c>
      <c r="D308" t="inlineStr">
        <is>
          <t>JÄMTLANDS LÄN</t>
        </is>
      </c>
      <c r="E308" t="inlineStr">
        <is>
          <t>BERG</t>
        </is>
      </c>
      <c r="G308" t="n">
        <v>2.3</v>
      </c>
      <c r="H308" t="n">
        <v>0</v>
      </c>
      <c r="I308" t="n">
        <v>0</v>
      </c>
      <c r="J308" t="n">
        <v>0</v>
      </c>
      <c r="K308" t="n">
        <v>0</v>
      </c>
      <c r="L308" t="n">
        <v>0</v>
      </c>
      <c r="M308" t="n">
        <v>0</v>
      </c>
      <c r="N308" t="n">
        <v>0</v>
      </c>
      <c r="O308" t="n">
        <v>0</v>
      </c>
      <c r="P308" t="n">
        <v>0</v>
      </c>
      <c r="Q308" t="n">
        <v>0</v>
      </c>
      <c r="R308" s="2" t="inlineStr"/>
    </row>
    <row r="309" ht="15" customHeight="1">
      <c r="A309" t="inlineStr">
        <is>
          <t>A 46872-2023</t>
        </is>
      </c>
      <c r="B309" s="1" t="n">
        <v>45200</v>
      </c>
      <c r="C309" s="1" t="n">
        <v>46050</v>
      </c>
      <c r="D309" t="inlineStr">
        <is>
          <t>JÄMTLANDS LÄN</t>
        </is>
      </c>
      <c r="E309" t="inlineStr">
        <is>
          <t>BERG</t>
        </is>
      </c>
      <c r="F309" t="inlineStr">
        <is>
          <t>Naturvårdsverket</t>
        </is>
      </c>
      <c r="G309" t="n">
        <v>1.2</v>
      </c>
      <c r="H309" t="n">
        <v>0</v>
      </c>
      <c r="I309" t="n">
        <v>0</v>
      </c>
      <c r="J309" t="n">
        <v>0</v>
      </c>
      <c r="K309" t="n">
        <v>0</v>
      </c>
      <c r="L309" t="n">
        <v>0</v>
      </c>
      <c r="M309" t="n">
        <v>0</v>
      </c>
      <c r="N309" t="n">
        <v>0</v>
      </c>
      <c r="O309" t="n">
        <v>0</v>
      </c>
      <c r="P309" t="n">
        <v>0</v>
      </c>
      <c r="Q309" t="n">
        <v>0</v>
      </c>
      <c r="R309" s="2" t="inlineStr"/>
      <c r="U309">
        <f>HYPERLINK("https://klasma.github.io/Logging_2326/knärot/A 46872-2023 karta knärot.png", "A 46872-2023")</f>
        <v/>
      </c>
      <c r="V309">
        <f>HYPERLINK("https://klasma.github.io/Logging_2326/klagomål/A 46872-2023 FSC-klagomål.docx", "A 46872-2023")</f>
        <v/>
      </c>
      <c r="W309">
        <f>HYPERLINK("https://klasma.github.io/Logging_2326/klagomålsmail/A 46872-2023 FSC-klagomål mail.docx", "A 46872-2023")</f>
        <v/>
      </c>
      <c r="X309">
        <f>HYPERLINK("https://klasma.github.io/Logging_2326/tillsyn/A 46872-2023 tillsynsbegäran.docx", "A 46872-2023")</f>
        <v/>
      </c>
      <c r="Y309">
        <f>HYPERLINK("https://klasma.github.io/Logging_2326/tillsynsmail/A 46872-2023 tillsynsbegäran mail.docx", "A 46872-2023")</f>
        <v/>
      </c>
    </row>
    <row r="310" ht="15" customHeight="1">
      <c r="A310" t="inlineStr">
        <is>
          <t>A 23902-2025</t>
        </is>
      </c>
      <c r="B310" s="1" t="n">
        <v>45794.34447916667</v>
      </c>
      <c r="C310" s="1" t="n">
        <v>46050</v>
      </c>
      <c r="D310" t="inlineStr">
        <is>
          <t>JÄMTLANDS LÄN</t>
        </is>
      </c>
      <c r="E310" t="inlineStr">
        <is>
          <t>BERG</t>
        </is>
      </c>
      <c r="F310" t="inlineStr">
        <is>
          <t>SCA</t>
        </is>
      </c>
      <c r="G310" t="n">
        <v>14.3</v>
      </c>
      <c r="H310" t="n">
        <v>0</v>
      </c>
      <c r="I310" t="n">
        <v>0</v>
      </c>
      <c r="J310" t="n">
        <v>0</v>
      </c>
      <c r="K310" t="n">
        <v>0</v>
      </c>
      <c r="L310" t="n">
        <v>0</v>
      </c>
      <c r="M310" t="n">
        <v>0</v>
      </c>
      <c r="N310" t="n">
        <v>0</v>
      </c>
      <c r="O310" t="n">
        <v>0</v>
      </c>
      <c r="P310" t="n">
        <v>0</v>
      </c>
      <c r="Q310" t="n">
        <v>0</v>
      </c>
      <c r="R310" s="2" t="inlineStr"/>
    </row>
    <row r="311" ht="15" customHeight="1">
      <c r="A311" t="inlineStr">
        <is>
          <t>A 24954-2025</t>
        </is>
      </c>
      <c r="B311" s="1" t="n">
        <v>45799.57385416667</v>
      </c>
      <c r="C311" s="1" t="n">
        <v>46050</v>
      </c>
      <c r="D311" t="inlineStr">
        <is>
          <t>JÄMTLANDS LÄN</t>
        </is>
      </c>
      <c r="E311" t="inlineStr">
        <is>
          <t>BERG</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22297-2022</t>
        </is>
      </c>
      <c r="B312" s="1" t="n">
        <v>44712</v>
      </c>
      <c r="C312" s="1" t="n">
        <v>46050</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24786-2025</t>
        </is>
      </c>
      <c r="B313" s="1" t="n">
        <v>45799.42777777778</v>
      </c>
      <c r="C313" s="1" t="n">
        <v>46050</v>
      </c>
      <c r="D313" t="inlineStr">
        <is>
          <t>JÄMTLANDS LÄN</t>
        </is>
      </c>
      <c r="E313" t="inlineStr">
        <is>
          <t>BERG</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24869-2025</t>
        </is>
      </c>
      <c r="B314" s="1" t="n">
        <v>45799.48994212963</v>
      </c>
      <c r="C314" s="1" t="n">
        <v>46050</v>
      </c>
      <c r="D314" t="inlineStr">
        <is>
          <t>JÄMTLANDS LÄN</t>
        </is>
      </c>
      <c r="E314" t="inlineStr">
        <is>
          <t>BERG</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24442-2025</t>
        </is>
      </c>
      <c r="B315" s="1" t="n">
        <v>45797.96236111111</v>
      </c>
      <c r="C315" s="1" t="n">
        <v>46050</v>
      </c>
      <c r="D315" t="inlineStr">
        <is>
          <t>JÄMTLANDS LÄN</t>
        </is>
      </c>
      <c r="E315" t="inlineStr">
        <is>
          <t>BERG</t>
        </is>
      </c>
      <c r="G315" t="n">
        <v>9</v>
      </c>
      <c r="H315" t="n">
        <v>0</v>
      </c>
      <c r="I315" t="n">
        <v>0</v>
      </c>
      <c r="J315" t="n">
        <v>0</v>
      </c>
      <c r="K315" t="n">
        <v>0</v>
      </c>
      <c r="L315" t="n">
        <v>0</v>
      </c>
      <c r="M315" t="n">
        <v>0</v>
      </c>
      <c r="N315" t="n">
        <v>0</v>
      </c>
      <c r="O315" t="n">
        <v>0</v>
      </c>
      <c r="P315" t="n">
        <v>0</v>
      </c>
      <c r="Q315" t="n">
        <v>0</v>
      </c>
      <c r="R315" s="2" t="inlineStr"/>
    </row>
    <row r="316" ht="15" customHeight="1">
      <c r="A316" t="inlineStr">
        <is>
          <t>A 24849-2025</t>
        </is>
      </c>
      <c r="B316" s="1" t="n">
        <v>45799.46949074074</v>
      </c>
      <c r="C316" s="1" t="n">
        <v>46050</v>
      </c>
      <c r="D316" t="inlineStr">
        <is>
          <t>JÄMTLANDS LÄN</t>
        </is>
      </c>
      <c r="E316" t="inlineStr">
        <is>
          <t>BERG</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61251-2022</t>
        </is>
      </c>
      <c r="B317" s="1" t="n">
        <v>44909</v>
      </c>
      <c r="C317" s="1" t="n">
        <v>46050</v>
      </c>
      <c r="D317" t="inlineStr">
        <is>
          <t>JÄMTLANDS LÄN</t>
        </is>
      </c>
      <c r="E317" t="inlineStr">
        <is>
          <t>BERG</t>
        </is>
      </c>
      <c r="G317" t="n">
        <v>3</v>
      </c>
      <c r="H317" t="n">
        <v>0</v>
      </c>
      <c r="I317" t="n">
        <v>0</v>
      </c>
      <c r="J317" t="n">
        <v>0</v>
      </c>
      <c r="K317" t="n">
        <v>0</v>
      </c>
      <c r="L317" t="n">
        <v>0</v>
      </c>
      <c r="M317" t="n">
        <v>0</v>
      </c>
      <c r="N317" t="n">
        <v>0</v>
      </c>
      <c r="O317" t="n">
        <v>0</v>
      </c>
      <c r="P317" t="n">
        <v>0</v>
      </c>
      <c r="Q317" t="n">
        <v>0</v>
      </c>
      <c r="R317" s="2" t="inlineStr"/>
    </row>
    <row r="318" ht="15" customHeight="1">
      <c r="A318" t="inlineStr">
        <is>
          <t>A 61255-2022</t>
        </is>
      </c>
      <c r="B318" s="1" t="n">
        <v>44909</v>
      </c>
      <c r="C318" s="1" t="n">
        <v>46050</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47626-2023</t>
        </is>
      </c>
      <c r="B319" s="1" t="n">
        <v>45203</v>
      </c>
      <c r="C319" s="1" t="n">
        <v>46050</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60331-2023</t>
        </is>
      </c>
      <c r="B320" s="1" t="n">
        <v>45258</v>
      </c>
      <c r="C320" s="1" t="n">
        <v>46050</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47083-2024</t>
        </is>
      </c>
      <c r="B321" s="1" t="n">
        <v>45586.50625</v>
      </c>
      <c r="C321" s="1" t="n">
        <v>46050</v>
      </c>
      <c r="D321" t="inlineStr">
        <is>
          <t>JÄMTLANDS LÄN</t>
        </is>
      </c>
      <c r="E321" t="inlineStr">
        <is>
          <t>BERG</t>
        </is>
      </c>
      <c r="G321" t="n">
        <v>1.9</v>
      </c>
      <c r="H321" t="n">
        <v>0</v>
      </c>
      <c r="I321" t="n">
        <v>0</v>
      </c>
      <c r="J321" t="n">
        <v>0</v>
      </c>
      <c r="K321" t="n">
        <v>0</v>
      </c>
      <c r="L321" t="n">
        <v>0</v>
      </c>
      <c r="M321" t="n">
        <v>0</v>
      </c>
      <c r="N321" t="n">
        <v>0</v>
      </c>
      <c r="O321" t="n">
        <v>0</v>
      </c>
      <c r="P321" t="n">
        <v>0</v>
      </c>
      <c r="Q321" t="n">
        <v>0</v>
      </c>
      <c r="R321" s="2" t="inlineStr"/>
    </row>
    <row r="322" ht="15" customHeight="1">
      <c r="A322" t="inlineStr">
        <is>
          <t>A 25452-2025</t>
        </is>
      </c>
      <c r="B322" s="1" t="n">
        <v>45802.34440972222</v>
      </c>
      <c r="C322" s="1" t="n">
        <v>46050</v>
      </c>
      <c r="D322" t="inlineStr">
        <is>
          <t>JÄMTLANDS LÄN</t>
        </is>
      </c>
      <c r="E322" t="inlineStr">
        <is>
          <t>BERG</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60409-2023</t>
        </is>
      </c>
      <c r="B323" s="1" t="n">
        <v>45259.47972222222</v>
      </c>
      <c r="C323" s="1" t="n">
        <v>46050</v>
      </c>
      <c r="D323" t="inlineStr">
        <is>
          <t>JÄMTLANDS LÄN</t>
        </is>
      </c>
      <c r="E323" t="inlineStr">
        <is>
          <t>BERG</t>
        </is>
      </c>
      <c r="G323" t="n">
        <v>5.8</v>
      </c>
      <c r="H323" t="n">
        <v>0</v>
      </c>
      <c r="I323" t="n">
        <v>0</v>
      </c>
      <c r="J323" t="n">
        <v>0</v>
      </c>
      <c r="K323" t="n">
        <v>0</v>
      </c>
      <c r="L323" t="n">
        <v>0</v>
      </c>
      <c r="M323" t="n">
        <v>0</v>
      </c>
      <c r="N323" t="n">
        <v>0</v>
      </c>
      <c r="O323" t="n">
        <v>0</v>
      </c>
      <c r="P323" t="n">
        <v>0</v>
      </c>
      <c r="Q323" t="n">
        <v>0</v>
      </c>
      <c r="R323" s="2" t="inlineStr"/>
    </row>
    <row r="324" ht="15" customHeight="1">
      <c r="A324" t="inlineStr">
        <is>
          <t>A 29378-2024</t>
        </is>
      </c>
      <c r="B324" s="1" t="n">
        <v>45483.59328703704</v>
      </c>
      <c r="C324" s="1" t="n">
        <v>46050</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21508-2024</t>
        </is>
      </c>
      <c r="B325" s="1" t="n">
        <v>45441.56905092593</v>
      </c>
      <c r="C325" s="1" t="n">
        <v>46050</v>
      </c>
      <c r="D325" t="inlineStr">
        <is>
          <t>JÄMTLANDS LÄN</t>
        </is>
      </c>
      <c r="E325" t="inlineStr">
        <is>
          <t>BERG</t>
        </is>
      </c>
      <c r="G325" t="n">
        <v>3.2</v>
      </c>
      <c r="H325" t="n">
        <v>0</v>
      </c>
      <c r="I325" t="n">
        <v>0</v>
      </c>
      <c r="J325" t="n">
        <v>0</v>
      </c>
      <c r="K325" t="n">
        <v>0</v>
      </c>
      <c r="L325" t="n">
        <v>0</v>
      </c>
      <c r="M325" t="n">
        <v>0</v>
      </c>
      <c r="N325" t="n">
        <v>0</v>
      </c>
      <c r="O325" t="n">
        <v>0</v>
      </c>
      <c r="P325" t="n">
        <v>0</v>
      </c>
      <c r="Q325" t="n">
        <v>0</v>
      </c>
      <c r="R325" s="2" t="inlineStr"/>
    </row>
    <row r="326" ht="15" customHeight="1">
      <c r="A326" t="inlineStr">
        <is>
          <t>A 25454-2025</t>
        </is>
      </c>
      <c r="B326" s="1" t="n">
        <v>45802.34460648148</v>
      </c>
      <c r="C326" s="1" t="n">
        <v>46050</v>
      </c>
      <c r="D326" t="inlineStr">
        <is>
          <t>JÄMTLANDS LÄN</t>
        </is>
      </c>
      <c r="E326" t="inlineStr">
        <is>
          <t>BERG</t>
        </is>
      </c>
      <c r="F326" t="inlineStr">
        <is>
          <t>SCA</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46991-2024</t>
        </is>
      </c>
      <c r="B327" s="1" t="n">
        <v>45586.365625</v>
      </c>
      <c r="C327" s="1" t="n">
        <v>46050</v>
      </c>
      <c r="D327" t="inlineStr">
        <is>
          <t>JÄMTLANDS LÄN</t>
        </is>
      </c>
      <c r="E327" t="inlineStr">
        <is>
          <t>BERG</t>
        </is>
      </c>
      <c r="G327" t="n">
        <v>2.9</v>
      </c>
      <c r="H327" t="n">
        <v>0</v>
      </c>
      <c r="I327" t="n">
        <v>0</v>
      </c>
      <c r="J327" t="n">
        <v>0</v>
      </c>
      <c r="K327" t="n">
        <v>0</v>
      </c>
      <c r="L327" t="n">
        <v>0</v>
      </c>
      <c r="M327" t="n">
        <v>0</v>
      </c>
      <c r="N327" t="n">
        <v>0</v>
      </c>
      <c r="O327" t="n">
        <v>0</v>
      </c>
      <c r="P327" t="n">
        <v>0</v>
      </c>
      <c r="Q327" t="n">
        <v>0</v>
      </c>
      <c r="R327" s="2" t="inlineStr"/>
    </row>
    <row r="328" ht="15" customHeight="1">
      <c r="A328" t="inlineStr">
        <is>
          <t>A 25453-2025</t>
        </is>
      </c>
      <c r="B328" s="1" t="n">
        <v>45802.34451388889</v>
      </c>
      <c r="C328" s="1" t="n">
        <v>46050</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58157-2021</t>
        </is>
      </c>
      <c r="B329" s="1" t="n">
        <v>44487.60703703704</v>
      </c>
      <c r="C329" s="1" t="n">
        <v>46050</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26944-2022</t>
        </is>
      </c>
      <c r="B330" s="1" t="n">
        <v>44740</v>
      </c>
      <c r="C330" s="1" t="n">
        <v>46050</v>
      </c>
      <c r="D330" t="inlineStr">
        <is>
          <t>JÄMTLANDS LÄN</t>
        </is>
      </c>
      <c r="E330" t="inlineStr">
        <is>
          <t>BERG</t>
        </is>
      </c>
      <c r="G330" t="n">
        <v>3.3</v>
      </c>
      <c r="H330" t="n">
        <v>0</v>
      </c>
      <c r="I330" t="n">
        <v>0</v>
      </c>
      <c r="J330" t="n">
        <v>0</v>
      </c>
      <c r="K330" t="n">
        <v>0</v>
      </c>
      <c r="L330" t="n">
        <v>0</v>
      </c>
      <c r="M330" t="n">
        <v>0</v>
      </c>
      <c r="N330" t="n">
        <v>0</v>
      </c>
      <c r="O330" t="n">
        <v>0</v>
      </c>
      <c r="P330" t="n">
        <v>0</v>
      </c>
      <c r="Q330" t="n">
        <v>0</v>
      </c>
      <c r="R330" s="2" t="inlineStr"/>
    </row>
    <row r="331" ht="15" customHeight="1">
      <c r="A331" t="inlineStr">
        <is>
          <t>A 62555-2023</t>
        </is>
      </c>
      <c r="B331" s="1" t="n">
        <v>45268.9262962963</v>
      </c>
      <c r="C331" s="1" t="n">
        <v>46050</v>
      </c>
      <c r="D331" t="inlineStr">
        <is>
          <t>JÄMTLANDS LÄN</t>
        </is>
      </c>
      <c r="E331" t="inlineStr">
        <is>
          <t>BERG</t>
        </is>
      </c>
      <c r="G331" t="n">
        <v>5</v>
      </c>
      <c r="H331" t="n">
        <v>0</v>
      </c>
      <c r="I331" t="n">
        <v>0</v>
      </c>
      <c r="J331" t="n">
        <v>0</v>
      </c>
      <c r="K331" t="n">
        <v>0</v>
      </c>
      <c r="L331" t="n">
        <v>0</v>
      </c>
      <c r="M331" t="n">
        <v>0</v>
      </c>
      <c r="N331" t="n">
        <v>0</v>
      </c>
      <c r="O331" t="n">
        <v>0</v>
      </c>
      <c r="P331" t="n">
        <v>0</v>
      </c>
      <c r="Q331" t="n">
        <v>0</v>
      </c>
      <c r="R331" s="2" t="inlineStr"/>
    </row>
    <row r="332" ht="15" customHeight="1">
      <c r="A332" t="inlineStr">
        <is>
          <t>A 25441-2025</t>
        </is>
      </c>
      <c r="B332" s="1" t="n">
        <v>45801.34476851852</v>
      </c>
      <c r="C332" s="1" t="n">
        <v>46050</v>
      </c>
      <c r="D332" t="inlineStr">
        <is>
          <t>JÄMTLANDS LÄN</t>
        </is>
      </c>
      <c r="E332" t="inlineStr">
        <is>
          <t>BERG</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47407-2024</t>
        </is>
      </c>
      <c r="B333" s="1" t="n">
        <v>45587.47828703704</v>
      </c>
      <c r="C333" s="1" t="n">
        <v>46050</v>
      </c>
      <c r="D333" t="inlineStr">
        <is>
          <t>JÄMTLANDS LÄN</t>
        </is>
      </c>
      <c r="E333" t="inlineStr">
        <is>
          <t>BERG</t>
        </is>
      </c>
      <c r="G333" t="n">
        <v>2.7</v>
      </c>
      <c r="H333" t="n">
        <v>0</v>
      </c>
      <c r="I333" t="n">
        <v>0</v>
      </c>
      <c r="J333" t="n">
        <v>0</v>
      </c>
      <c r="K333" t="n">
        <v>0</v>
      </c>
      <c r="L333" t="n">
        <v>0</v>
      </c>
      <c r="M333" t="n">
        <v>0</v>
      </c>
      <c r="N333" t="n">
        <v>0</v>
      </c>
      <c r="O333" t="n">
        <v>0</v>
      </c>
      <c r="P333" t="n">
        <v>0</v>
      </c>
      <c r="Q333" t="n">
        <v>0</v>
      </c>
      <c r="R333" s="2" t="inlineStr"/>
    </row>
    <row r="334" ht="15" customHeight="1">
      <c r="A334" t="inlineStr">
        <is>
          <t>A 13524-2024</t>
        </is>
      </c>
      <c r="B334" s="1" t="n">
        <v>45387.78174768519</v>
      </c>
      <c r="C334" s="1" t="n">
        <v>46050</v>
      </c>
      <c r="D334" t="inlineStr">
        <is>
          <t>JÄMTLANDS LÄN</t>
        </is>
      </c>
      <c r="E334" t="inlineStr">
        <is>
          <t>BERG</t>
        </is>
      </c>
      <c r="G334" t="n">
        <v>0.6</v>
      </c>
      <c r="H334" t="n">
        <v>0</v>
      </c>
      <c r="I334" t="n">
        <v>0</v>
      </c>
      <c r="J334" t="n">
        <v>0</v>
      </c>
      <c r="K334" t="n">
        <v>0</v>
      </c>
      <c r="L334" t="n">
        <v>0</v>
      </c>
      <c r="M334" t="n">
        <v>0</v>
      </c>
      <c r="N334" t="n">
        <v>0</v>
      </c>
      <c r="O334" t="n">
        <v>0</v>
      </c>
      <c r="P334" t="n">
        <v>0</v>
      </c>
      <c r="Q334" t="n">
        <v>0</v>
      </c>
      <c r="R334" s="2" t="inlineStr"/>
    </row>
    <row r="335" ht="15" customHeight="1">
      <c r="A335" t="inlineStr">
        <is>
          <t>A 26013-2025</t>
        </is>
      </c>
      <c r="B335" s="1" t="n">
        <v>45804.67760416667</v>
      </c>
      <c r="C335" s="1" t="n">
        <v>46050</v>
      </c>
      <c r="D335" t="inlineStr">
        <is>
          <t>JÄMTLANDS LÄN</t>
        </is>
      </c>
      <c r="E335" t="inlineStr">
        <is>
          <t>BERG</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25976-2025</t>
        </is>
      </c>
      <c r="B336" s="1" t="n">
        <v>45804.63596064815</v>
      </c>
      <c r="C336" s="1" t="n">
        <v>46050</v>
      </c>
      <c r="D336" t="inlineStr">
        <is>
          <t>JÄMTLANDS LÄN</t>
        </is>
      </c>
      <c r="E336" t="inlineStr">
        <is>
          <t>BERG</t>
        </is>
      </c>
      <c r="F336" t="inlineStr">
        <is>
          <t>SCA</t>
        </is>
      </c>
      <c r="G336" t="n">
        <v>5.5</v>
      </c>
      <c r="H336" t="n">
        <v>0</v>
      </c>
      <c r="I336" t="n">
        <v>0</v>
      </c>
      <c r="J336" t="n">
        <v>0</v>
      </c>
      <c r="K336" t="n">
        <v>0</v>
      </c>
      <c r="L336" t="n">
        <v>0</v>
      </c>
      <c r="M336" t="n">
        <v>0</v>
      </c>
      <c r="N336" t="n">
        <v>0</v>
      </c>
      <c r="O336" t="n">
        <v>0</v>
      </c>
      <c r="P336" t="n">
        <v>0</v>
      </c>
      <c r="Q336" t="n">
        <v>0</v>
      </c>
      <c r="R336" s="2" t="inlineStr"/>
    </row>
    <row r="337" ht="15" customHeight="1">
      <c r="A337" t="inlineStr">
        <is>
          <t>A 25979-2025</t>
        </is>
      </c>
      <c r="B337" s="1" t="n">
        <v>45804.63642361111</v>
      </c>
      <c r="C337" s="1" t="n">
        <v>46050</v>
      </c>
      <c r="D337" t="inlineStr">
        <is>
          <t>JÄMTLANDS LÄN</t>
        </is>
      </c>
      <c r="E337" t="inlineStr">
        <is>
          <t>BERG</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26053-2025</t>
        </is>
      </c>
      <c r="B338" s="1" t="n">
        <v>45804.75445601852</v>
      </c>
      <c r="C338" s="1" t="n">
        <v>46050</v>
      </c>
      <c r="D338" t="inlineStr">
        <is>
          <t>JÄMTLANDS LÄN</t>
        </is>
      </c>
      <c r="E338" t="inlineStr">
        <is>
          <t>BERG</t>
        </is>
      </c>
      <c r="G338" t="n">
        <v>6</v>
      </c>
      <c r="H338" t="n">
        <v>0</v>
      </c>
      <c r="I338" t="n">
        <v>0</v>
      </c>
      <c r="J338" t="n">
        <v>0</v>
      </c>
      <c r="K338" t="n">
        <v>0</v>
      </c>
      <c r="L338" t="n">
        <v>0</v>
      </c>
      <c r="M338" t="n">
        <v>0</v>
      </c>
      <c r="N338" t="n">
        <v>0</v>
      </c>
      <c r="O338" t="n">
        <v>0</v>
      </c>
      <c r="P338" t="n">
        <v>0</v>
      </c>
      <c r="Q338" t="n">
        <v>0</v>
      </c>
      <c r="R338" s="2" t="inlineStr"/>
    </row>
    <row r="339" ht="15" customHeight="1">
      <c r="A339" t="inlineStr">
        <is>
          <t>A 17266-2025</t>
        </is>
      </c>
      <c r="B339" s="1" t="n">
        <v>45756</v>
      </c>
      <c r="C339" s="1" t="n">
        <v>46050</v>
      </c>
      <c r="D339" t="inlineStr">
        <is>
          <t>JÄMTLANDS LÄN</t>
        </is>
      </c>
      <c r="E339" t="inlineStr">
        <is>
          <t>BERG</t>
        </is>
      </c>
      <c r="G339" t="n">
        <v>20.1</v>
      </c>
      <c r="H339" t="n">
        <v>0</v>
      </c>
      <c r="I339" t="n">
        <v>0</v>
      </c>
      <c r="J339" t="n">
        <v>0</v>
      </c>
      <c r="K339" t="n">
        <v>0</v>
      </c>
      <c r="L339" t="n">
        <v>0</v>
      </c>
      <c r="M339" t="n">
        <v>0</v>
      </c>
      <c r="N339" t="n">
        <v>0</v>
      </c>
      <c r="O339" t="n">
        <v>0</v>
      </c>
      <c r="P339" t="n">
        <v>0</v>
      </c>
      <c r="Q339" t="n">
        <v>0</v>
      </c>
      <c r="R339" s="2" t="inlineStr"/>
    </row>
    <row r="340" ht="15" customHeight="1">
      <c r="A340" t="inlineStr">
        <is>
          <t>A 25951-2025</t>
        </is>
      </c>
      <c r="B340" s="1" t="n">
        <v>45804.5984375</v>
      </c>
      <c r="C340" s="1" t="n">
        <v>46050</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25885-2025</t>
        </is>
      </c>
      <c r="B341" s="1" t="n">
        <v>45804.51075231482</v>
      </c>
      <c r="C341" s="1" t="n">
        <v>46050</v>
      </c>
      <c r="D341" t="inlineStr">
        <is>
          <t>JÄMTLANDS LÄN</t>
        </is>
      </c>
      <c r="E341" t="inlineStr">
        <is>
          <t>BERG</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25887-2025</t>
        </is>
      </c>
      <c r="B342" s="1" t="n">
        <v>45804.51104166666</v>
      </c>
      <c r="C342" s="1" t="n">
        <v>46050</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7040-2024</t>
        </is>
      </c>
      <c r="B343" s="1" t="n">
        <v>45343</v>
      </c>
      <c r="C343" s="1" t="n">
        <v>46050</v>
      </c>
      <c r="D343" t="inlineStr">
        <is>
          <t>JÄMTLANDS LÄN</t>
        </is>
      </c>
      <c r="E343" t="inlineStr">
        <is>
          <t>BERG</t>
        </is>
      </c>
      <c r="G343" t="n">
        <v>15.9</v>
      </c>
      <c r="H343" t="n">
        <v>0</v>
      </c>
      <c r="I343" t="n">
        <v>0</v>
      </c>
      <c r="J343" t="n">
        <v>0</v>
      </c>
      <c r="K343" t="n">
        <v>0</v>
      </c>
      <c r="L343" t="n">
        <v>0</v>
      </c>
      <c r="M343" t="n">
        <v>0</v>
      </c>
      <c r="N343" t="n">
        <v>0</v>
      </c>
      <c r="O343" t="n">
        <v>0</v>
      </c>
      <c r="P343" t="n">
        <v>0</v>
      </c>
      <c r="Q343" t="n">
        <v>0</v>
      </c>
      <c r="R343" s="2" t="inlineStr"/>
    </row>
    <row r="344" ht="15" customHeight="1">
      <c r="A344" t="inlineStr">
        <is>
          <t>A 25960-2025</t>
        </is>
      </c>
      <c r="B344" s="1" t="n">
        <v>45804.60972222222</v>
      </c>
      <c r="C344" s="1" t="n">
        <v>46050</v>
      </c>
      <c r="D344" t="inlineStr">
        <is>
          <t>JÄMTLANDS LÄN</t>
        </is>
      </c>
      <c r="E344" t="inlineStr">
        <is>
          <t>BERG</t>
        </is>
      </c>
      <c r="G344" t="n">
        <v>7.3</v>
      </c>
      <c r="H344" t="n">
        <v>0</v>
      </c>
      <c r="I344" t="n">
        <v>0</v>
      </c>
      <c r="J344" t="n">
        <v>0</v>
      </c>
      <c r="K344" t="n">
        <v>0</v>
      </c>
      <c r="L344" t="n">
        <v>0</v>
      </c>
      <c r="M344" t="n">
        <v>0</v>
      </c>
      <c r="N344" t="n">
        <v>0</v>
      </c>
      <c r="O344" t="n">
        <v>0</v>
      </c>
      <c r="P344" t="n">
        <v>0</v>
      </c>
      <c r="Q344" t="n">
        <v>0</v>
      </c>
      <c r="R344" s="2" t="inlineStr"/>
    </row>
    <row r="345" ht="15" customHeight="1">
      <c r="A345" t="inlineStr">
        <is>
          <t>A 64709-2021</t>
        </is>
      </c>
      <c r="B345" s="1" t="n">
        <v>44512</v>
      </c>
      <c r="C345" s="1" t="n">
        <v>46050</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25938-2025</t>
        </is>
      </c>
      <c r="B346" s="1" t="n">
        <v>45804.59414351852</v>
      </c>
      <c r="C346" s="1" t="n">
        <v>46050</v>
      </c>
      <c r="D346" t="inlineStr">
        <is>
          <t>JÄMTLANDS LÄN</t>
        </is>
      </c>
      <c r="E346" t="inlineStr">
        <is>
          <t>BERG</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25886-2025</t>
        </is>
      </c>
      <c r="B347" s="1" t="n">
        <v>45804.51092592593</v>
      </c>
      <c r="C347" s="1" t="n">
        <v>46050</v>
      </c>
      <c r="D347" t="inlineStr">
        <is>
          <t>JÄMTLANDS LÄN</t>
        </is>
      </c>
      <c r="E347" t="inlineStr">
        <is>
          <t>BERG</t>
        </is>
      </c>
      <c r="F347" t="inlineStr">
        <is>
          <t>SCA</t>
        </is>
      </c>
      <c r="G347" t="n">
        <v>18.3</v>
      </c>
      <c r="H347" t="n">
        <v>0</v>
      </c>
      <c r="I347" t="n">
        <v>0</v>
      </c>
      <c r="J347" t="n">
        <v>0</v>
      </c>
      <c r="K347" t="n">
        <v>0</v>
      </c>
      <c r="L347" t="n">
        <v>0</v>
      </c>
      <c r="M347" t="n">
        <v>0</v>
      </c>
      <c r="N347" t="n">
        <v>0</v>
      </c>
      <c r="O347" t="n">
        <v>0</v>
      </c>
      <c r="P347" t="n">
        <v>0</v>
      </c>
      <c r="Q347" t="n">
        <v>0</v>
      </c>
      <c r="R347" s="2" t="inlineStr"/>
    </row>
    <row r="348" ht="15" customHeight="1">
      <c r="A348" t="inlineStr">
        <is>
          <t>A 19428-2025</t>
        </is>
      </c>
      <c r="B348" s="1" t="n">
        <v>45769.79763888889</v>
      </c>
      <c r="C348" s="1" t="n">
        <v>46050</v>
      </c>
      <c r="D348" t="inlineStr">
        <is>
          <t>JÄMTLANDS LÄN</t>
        </is>
      </c>
      <c r="E348" t="inlineStr">
        <is>
          <t>BERG</t>
        </is>
      </c>
      <c r="G348" t="n">
        <v>7.1</v>
      </c>
      <c r="H348" t="n">
        <v>0</v>
      </c>
      <c r="I348" t="n">
        <v>0</v>
      </c>
      <c r="J348" t="n">
        <v>0</v>
      </c>
      <c r="K348" t="n">
        <v>0</v>
      </c>
      <c r="L348" t="n">
        <v>0</v>
      </c>
      <c r="M348" t="n">
        <v>0</v>
      </c>
      <c r="N348" t="n">
        <v>0</v>
      </c>
      <c r="O348" t="n">
        <v>0</v>
      </c>
      <c r="P348" t="n">
        <v>0</v>
      </c>
      <c r="Q348" t="n">
        <v>0</v>
      </c>
      <c r="R348" s="2" t="inlineStr"/>
    </row>
    <row r="349" ht="15" customHeight="1">
      <c r="A349" t="inlineStr">
        <is>
          <t>A 26186-2025</t>
        </is>
      </c>
      <c r="B349" s="1" t="n">
        <v>45805.47840277778</v>
      </c>
      <c r="C349" s="1" t="n">
        <v>46050</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26275-2025</t>
        </is>
      </c>
      <c r="B350" s="1" t="n">
        <v>45805.60230324074</v>
      </c>
      <c r="C350" s="1" t="n">
        <v>46050</v>
      </c>
      <c r="D350" t="inlineStr">
        <is>
          <t>JÄMTLANDS LÄN</t>
        </is>
      </c>
      <c r="E350" t="inlineStr">
        <is>
          <t>BERG</t>
        </is>
      </c>
      <c r="G350" t="n">
        <v>10.2</v>
      </c>
      <c r="H350" t="n">
        <v>0</v>
      </c>
      <c r="I350" t="n">
        <v>0</v>
      </c>
      <c r="J350" t="n">
        <v>0</v>
      </c>
      <c r="K350" t="n">
        <v>0</v>
      </c>
      <c r="L350" t="n">
        <v>0</v>
      </c>
      <c r="M350" t="n">
        <v>0</v>
      </c>
      <c r="N350" t="n">
        <v>0</v>
      </c>
      <c r="O350" t="n">
        <v>0</v>
      </c>
      <c r="P350" t="n">
        <v>0</v>
      </c>
      <c r="Q350" t="n">
        <v>0</v>
      </c>
      <c r="R350" s="2" t="inlineStr"/>
    </row>
    <row r="351" ht="15" customHeight="1">
      <c r="A351" t="inlineStr">
        <is>
          <t>A 25980-2025</t>
        </is>
      </c>
      <c r="B351" s="1" t="n">
        <v>45804.63658564815</v>
      </c>
      <c r="C351" s="1" t="n">
        <v>46050</v>
      </c>
      <c r="D351" t="inlineStr">
        <is>
          <t>JÄMTLANDS LÄN</t>
        </is>
      </c>
      <c r="E351" t="inlineStr">
        <is>
          <t>BERG</t>
        </is>
      </c>
      <c r="F351" t="inlineStr">
        <is>
          <t>SCA</t>
        </is>
      </c>
      <c r="G351" t="n">
        <v>8.9</v>
      </c>
      <c r="H351" t="n">
        <v>0</v>
      </c>
      <c r="I351" t="n">
        <v>0</v>
      </c>
      <c r="J351" t="n">
        <v>0</v>
      </c>
      <c r="K351" t="n">
        <v>0</v>
      </c>
      <c r="L351" t="n">
        <v>0</v>
      </c>
      <c r="M351" t="n">
        <v>0</v>
      </c>
      <c r="N351" t="n">
        <v>0</v>
      </c>
      <c r="O351" t="n">
        <v>0</v>
      </c>
      <c r="P351" t="n">
        <v>0</v>
      </c>
      <c r="Q351" t="n">
        <v>0</v>
      </c>
      <c r="R351" s="2" t="inlineStr"/>
    </row>
    <row r="352" ht="15" customHeight="1">
      <c r="A352" t="inlineStr">
        <is>
          <t>A 37248-2023</t>
        </is>
      </c>
      <c r="B352" s="1" t="n">
        <v>45155.954375</v>
      </c>
      <c r="C352" s="1" t="n">
        <v>46050</v>
      </c>
      <c r="D352" t="inlineStr">
        <is>
          <t>JÄMTLANDS LÄN</t>
        </is>
      </c>
      <c r="E352" t="inlineStr">
        <is>
          <t>BERG</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39418-2025</t>
        </is>
      </c>
      <c r="B353" s="1" t="n">
        <v>45889</v>
      </c>
      <c r="C353" s="1" t="n">
        <v>46050</v>
      </c>
      <c r="D353" t="inlineStr">
        <is>
          <t>JÄMTLANDS LÄN</t>
        </is>
      </c>
      <c r="E353" t="inlineStr">
        <is>
          <t>BERG</t>
        </is>
      </c>
      <c r="G353" t="n">
        <v>19.8</v>
      </c>
      <c r="H353" t="n">
        <v>0</v>
      </c>
      <c r="I353" t="n">
        <v>0</v>
      </c>
      <c r="J353" t="n">
        <v>0</v>
      </c>
      <c r="K353" t="n">
        <v>0</v>
      </c>
      <c r="L353" t="n">
        <v>0</v>
      </c>
      <c r="M353" t="n">
        <v>0</v>
      </c>
      <c r="N353" t="n">
        <v>0</v>
      </c>
      <c r="O353" t="n">
        <v>0</v>
      </c>
      <c r="P353" t="n">
        <v>0</v>
      </c>
      <c r="Q353" t="n">
        <v>0</v>
      </c>
      <c r="R353" s="2" t="inlineStr"/>
    </row>
    <row r="354" ht="15" customHeight="1">
      <c r="A354" t="inlineStr">
        <is>
          <t>A 26378-2025</t>
        </is>
      </c>
      <c r="B354" s="1" t="n">
        <v>45806.48989583334</v>
      </c>
      <c r="C354" s="1" t="n">
        <v>46050</v>
      </c>
      <c r="D354" t="inlineStr">
        <is>
          <t>JÄMTLANDS LÄN</t>
        </is>
      </c>
      <c r="E354" t="inlineStr">
        <is>
          <t>BERG</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39004-2025</t>
        </is>
      </c>
      <c r="B355" s="1" t="n">
        <v>45888.34472222222</v>
      </c>
      <c r="C355" s="1" t="n">
        <v>46050</v>
      </c>
      <c r="D355" t="inlineStr">
        <is>
          <t>JÄMTLANDS LÄN</t>
        </is>
      </c>
      <c r="E355" t="inlineStr">
        <is>
          <t>BERG</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26374-2025</t>
        </is>
      </c>
      <c r="B356" s="1" t="n">
        <v>45806.42745370371</v>
      </c>
      <c r="C356" s="1" t="n">
        <v>46050</v>
      </c>
      <c r="D356" t="inlineStr">
        <is>
          <t>JÄMTLANDS LÄN</t>
        </is>
      </c>
      <c r="E356" t="inlineStr">
        <is>
          <t>BERG</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33962-2024</t>
        </is>
      </c>
      <c r="B357" s="1" t="n">
        <v>45523.48854166667</v>
      </c>
      <c r="C357" s="1" t="n">
        <v>46050</v>
      </c>
      <c r="D357" t="inlineStr">
        <is>
          <t>JÄMTLANDS LÄN</t>
        </is>
      </c>
      <c r="E357" t="inlineStr">
        <is>
          <t>BERG</t>
        </is>
      </c>
      <c r="G357" t="n">
        <v>2.2</v>
      </c>
      <c r="H357" t="n">
        <v>0</v>
      </c>
      <c r="I357" t="n">
        <v>0</v>
      </c>
      <c r="J357" t="n">
        <v>0</v>
      </c>
      <c r="K357" t="n">
        <v>0</v>
      </c>
      <c r="L357" t="n">
        <v>0</v>
      </c>
      <c r="M357" t="n">
        <v>0</v>
      </c>
      <c r="N357" t="n">
        <v>0</v>
      </c>
      <c r="O357" t="n">
        <v>0</v>
      </c>
      <c r="P357" t="n">
        <v>0</v>
      </c>
      <c r="Q357" t="n">
        <v>0</v>
      </c>
      <c r="R357" s="2" t="inlineStr"/>
    </row>
    <row r="358" ht="15" customHeight="1">
      <c r="A358" t="inlineStr">
        <is>
          <t>A 26743-2025</t>
        </is>
      </c>
      <c r="B358" s="1" t="n">
        <v>45810.53163194445</v>
      </c>
      <c r="C358" s="1" t="n">
        <v>46050</v>
      </c>
      <c r="D358" t="inlineStr">
        <is>
          <t>JÄMTLANDS LÄN</t>
        </is>
      </c>
      <c r="E358" t="inlineStr">
        <is>
          <t>BERG</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33386-2025</t>
        </is>
      </c>
      <c r="B359" s="1" t="n">
        <v>45841.40587962963</v>
      </c>
      <c r="C359" s="1" t="n">
        <v>46050</v>
      </c>
      <c r="D359" t="inlineStr">
        <is>
          <t>JÄMTLANDS LÄN</t>
        </is>
      </c>
      <c r="E359" t="inlineStr">
        <is>
          <t>BERG</t>
        </is>
      </c>
      <c r="G359" t="n">
        <v>37.7</v>
      </c>
      <c r="H359" t="n">
        <v>0</v>
      </c>
      <c r="I359" t="n">
        <v>0</v>
      </c>
      <c r="J359" t="n">
        <v>0</v>
      </c>
      <c r="K359" t="n">
        <v>0</v>
      </c>
      <c r="L359" t="n">
        <v>0</v>
      </c>
      <c r="M359" t="n">
        <v>0</v>
      </c>
      <c r="N359" t="n">
        <v>0</v>
      </c>
      <c r="O359" t="n">
        <v>0</v>
      </c>
      <c r="P359" t="n">
        <v>0</v>
      </c>
      <c r="Q359" t="n">
        <v>0</v>
      </c>
      <c r="R359" s="2" t="inlineStr"/>
    </row>
    <row r="360" ht="15" customHeight="1">
      <c r="A360" t="inlineStr">
        <is>
          <t>A 39601-2025</t>
        </is>
      </c>
      <c r="B360" s="1" t="n">
        <v>45890.55284722222</v>
      </c>
      <c r="C360" s="1" t="n">
        <v>46050</v>
      </c>
      <c r="D360" t="inlineStr">
        <is>
          <t>JÄMTLANDS LÄN</t>
        </is>
      </c>
      <c r="E360" t="inlineStr">
        <is>
          <t>BERG</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27044-2025</t>
        </is>
      </c>
      <c r="B361" s="1" t="n">
        <v>45811.61496527777</v>
      </c>
      <c r="C361" s="1" t="n">
        <v>46050</v>
      </c>
      <c r="D361" t="inlineStr">
        <is>
          <t>JÄMTLANDS LÄN</t>
        </is>
      </c>
      <c r="E361" t="inlineStr">
        <is>
          <t>BERG</t>
        </is>
      </c>
      <c r="F361" t="inlineStr">
        <is>
          <t>SCA</t>
        </is>
      </c>
      <c r="G361" t="n">
        <v>26.1</v>
      </c>
      <c r="H361" t="n">
        <v>0</v>
      </c>
      <c r="I361" t="n">
        <v>0</v>
      </c>
      <c r="J361" t="n">
        <v>0</v>
      </c>
      <c r="K361" t="n">
        <v>0</v>
      </c>
      <c r="L361" t="n">
        <v>0</v>
      </c>
      <c r="M361" t="n">
        <v>0</v>
      </c>
      <c r="N361" t="n">
        <v>0</v>
      </c>
      <c r="O361" t="n">
        <v>0</v>
      </c>
      <c r="P361" t="n">
        <v>0</v>
      </c>
      <c r="Q361" t="n">
        <v>0</v>
      </c>
      <c r="R361" s="2" t="inlineStr"/>
    </row>
    <row r="362" ht="15" customHeight="1">
      <c r="A362" t="inlineStr">
        <is>
          <t>A 39698-2025</t>
        </is>
      </c>
      <c r="B362" s="1" t="n">
        <v>45890.69837962963</v>
      </c>
      <c r="C362" s="1" t="n">
        <v>46050</v>
      </c>
      <c r="D362" t="inlineStr">
        <is>
          <t>JÄMTLANDS LÄN</t>
        </is>
      </c>
      <c r="E362" t="inlineStr">
        <is>
          <t>BERG</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27063-2025</t>
        </is>
      </c>
      <c r="B363" s="1" t="n">
        <v>45811.63626157407</v>
      </c>
      <c r="C363" s="1" t="n">
        <v>46050</v>
      </c>
      <c r="D363" t="inlineStr">
        <is>
          <t>JÄMTLANDS LÄN</t>
        </is>
      </c>
      <c r="E363" t="inlineStr">
        <is>
          <t>BERG</t>
        </is>
      </c>
      <c r="F363" t="inlineStr">
        <is>
          <t>SCA</t>
        </is>
      </c>
      <c r="G363" t="n">
        <v>18.9</v>
      </c>
      <c r="H363" t="n">
        <v>0</v>
      </c>
      <c r="I363" t="n">
        <v>0</v>
      </c>
      <c r="J363" t="n">
        <v>0</v>
      </c>
      <c r="K363" t="n">
        <v>0</v>
      </c>
      <c r="L363" t="n">
        <v>0</v>
      </c>
      <c r="M363" t="n">
        <v>0</v>
      </c>
      <c r="N363" t="n">
        <v>0</v>
      </c>
      <c r="O363" t="n">
        <v>0</v>
      </c>
      <c r="P363" t="n">
        <v>0</v>
      </c>
      <c r="Q363" t="n">
        <v>0</v>
      </c>
      <c r="R363" s="2" t="inlineStr"/>
    </row>
    <row r="364" ht="15" customHeight="1">
      <c r="A364" t="inlineStr">
        <is>
          <t>A 39544-2025</t>
        </is>
      </c>
      <c r="B364" s="1" t="n">
        <v>45890.45547453704</v>
      </c>
      <c r="C364" s="1" t="n">
        <v>46050</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14226-2021</t>
        </is>
      </c>
      <c r="B365" s="1" t="n">
        <v>44277</v>
      </c>
      <c r="C365" s="1" t="n">
        <v>46050</v>
      </c>
      <c r="D365" t="inlineStr">
        <is>
          <t>JÄMTLANDS LÄN</t>
        </is>
      </c>
      <c r="E365" t="inlineStr">
        <is>
          <t>BERG</t>
        </is>
      </c>
      <c r="G365" t="n">
        <v>23.7</v>
      </c>
      <c r="H365" t="n">
        <v>0</v>
      </c>
      <c r="I365" t="n">
        <v>0</v>
      </c>
      <c r="J365" t="n">
        <v>0</v>
      </c>
      <c r="K365" t="n">
        <v>0</v>
      </c>
      <c r="L365" t="n">
        <v>0</v>
      </c>
      <c r="M365" t="n">
        <v>0</v>
      </c>
      <c r="N365" t="n">
        <v>0</v>
      </c>
      <c r="O365" t="n">
        <v>0</v>
      </c>
      <c r="P365" t="n">
        <v>0</v>
      </c>
      <c r="Q365" t="n">
        <v>0</v>
      </c>
      <c r="R365" s="2" t="inlineStr"/>
    </row>
    <row r="366" ht="15" customHeight="1">
      <c r="A366" t="inlineStr">
        <is>
          <t>A 39539-2025</t>
        </is>
      </c>
      <c r="B366" s="1" t="n">
        <v>45890.4525</v>
      </c>
      <c r="C366" s="1" t="n">
        <v>46050</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38962-2024</t>
        </is>
      </c>
      <c r="B367" s="1" t="n">
        <v>45548.36175925926</v>
      </c>
      <c r="C367" s="1" t="n">
        <v>46050</v>
      </c>
      <c r="D367" t="inlineStr">
        <is>
          <t>JÄMTLANDS LÄN</t>
        </is>
      </c>
      <c r="E367" t="inlineStr">
        <is>
          <t>BERG</t>
        </is>
      </c>
      <c r="G367" t="n">
        <v>2.2</v>
      </c>
      <c r="H367" t="n">
        <v>0</v>
      </c>
      <c r="I367" t="n">
        <v>0</v>
      </c>
      <c r="J367" t="n">
        <v>0</v>
      </c>
      <c r="K367" t="n">
        <v>0</v>
      </c>
      <c r="L367" t="n">
        <v>0</v>
      </c>
      <c r="M367" t="n">
        <v>0</v>
      </c>
      <c r="N367" t="n">
        <v>0</v>
      </c>
      <c r="O367" t="n">
        <v>0</v>
      </c>
      <c r="P367" t="n">
        <v>0</v>
      </c>
      <c r="Q367" t="n">
        <v>0</v>
      </c>
      <c r="R367" s="2" t="inlineStr"/>
    </row>
    <row r="368" ht="15" customHeight="1">
      <c r="A368" t="inlineStr">
        <is>
          <t>A 40266-2025</t>
        </is>
      </c>
      <c r="B368" s="1" t="n">
        <v>45895.34478009259</v>
      </c>
      <c r="C368" s="1" t="n">
        <v>46050</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40060-2025</t>
        </is>
      </c>
      <c r="B369" s="1" t="n">
        <v>45894.42746527777</v>
      </c>
      <c r="C369" s="1" t="n">
        <v>46050</v>
      </c>
      <c r="D369" t="inlineStr">
        <is>
          <t>JÄMTLANDS LÄN</t>
        </is>
      </c>
      <c r="E369" t="inlineStr">
        <is>
          <t>BERG</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46050</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40339-2025</t>
        </is>
      </c>
      <c r="B371" s="1" t="n">
        <v>45895</v>
      </c>
      <c r="C371" s="1" t="n">
        <v>46050</v>
      </c>
      <c r="D371" t="inlineStr">
        <is>
          <t>JÄMTLANDS LÄN</t>
        </is>
      </c>
      <c r="E371" t="inlineStr">
        <is>
          <t>BERG</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40340-2025</t>
        </is>
      </c>
      <c r="B372" s="1" t="n">
        <v>45895.46922453704</v>
      </c>
      <c r="C372" s="1" t="n">
        <v>46050</v>
      </c>
      <c r="D372" t="inlineStr">
        <is>
          <t>JÄMTLANDS LÄN</t>
        </is>
      </c>
      <c r="E372" t="inlineStr">
        <is>
          <t>BERG</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40410-2025</t>
        </is>
      </c>
      <c r="B373" s="1" t="n">
        <v>45895.57349537037</v>
      </c>
      <c r="C373" s="1" t="n">
        <v>46050</v>
      </c>
      <c r="D373" t="inlineStr">
        <is>
          <t>JÄMTLANDS LÄN</t>
        </is>
      </c>
      <c r="E373" t="inlineStr">
        <is>
          <t>BERG</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40341-2025</t>
        </is>
      </c>
      <c r="B374" s="1" t="n">
        <v>45895</v>
      </c>
      <c r="C374" s="1" t="n">
        <v>46050</v>
      </c>
      <c r="D374" t="inlineStr">
        <is>
          <t>JÄMTLANDS LÄN</t>
        </is>
      </c>
      <c r="E374" t="inlineStr">
        <is>
          <t>BERG</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22020-2024</t>
        </is>
      </c>
      <c r="B375" s="1" t="n">
        <v>45443.5894675926</v>
      </c>
      <c r="C375" s="1" t="n">
        <v>46050</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17748-2024</t>
        </is>
      </c>
      <c r="B376" s="1" t="n">
        <v>45418</v>
      </c>
      <c r="C376" s="1" t="n">
        <v>46050</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27317-2025</t>
        </is>
      </c>
      <c r="B377" s="1" t="n">
        <v>45812.59011574074</v>
      </c>
      <c r="C377" s="1" t="n">
        <v>46050</v>
      </c>
      <c r="D377" t="inlineStr">
        <is>
          <t>JÄMTLANDS LÄN</t>
        </is>
      </c>
      <c r="E377" t="inlineStr">
        <is>
          <t>BERG</t>
        </is>
      </c>
      <c r="G377" t="n">
        <v>6.2</v>
      </c>
      <c r="H377" t="n">
        <v>0</v>
      </c>
      <c r="I377" t="n">
        <v>0</v>
      </c>
      <c r="J377" t="n">
        <v>0</v>
      </c>
      <c r="K377" t="n">
        <v>0</v>
      </c>
      <c r="L377" t="n">
        <v>0</v>
      </c>
      <c r="M377" t="n">
        <v>0</v>
      </c>
      <c r="N377" t="n">
        <v>0</v>
      </c>
      <c r="O377" t="n">
        <v>0</v>
      </c>
      <c r="P377" t="n">
        <v>0</v>
      </c>
      <c r="Q377" t="n">
        <v>0</v>
      </c>
      <c r="R377" s="2" t="inlineStr"/>
    </row>
    <row r="378" ht="15" customHeight="1">
      <c r="A378" t="inlineStr">
        <is>
          <t>A 27459-2025</t>
        </is>
      </c>
      <c r="B378" s="1" t="n">
        <v>45813.34561342592</v>
      </c>
      <c r="C378" s="1" t="n">
        <v>46050</v>
      </c>
      <c r="D378" t="inlineStr">
        <is>
          <t>JÄMTLANDS LÄN</t>
        </is>
      </c>
      <c r="E378" t="inlineStr">
        <is>
          <t>BERG</t>
        </is>
      </c>
      <c r="F378" t="inlineStr">
        <is>
          <t>SCA</t>
        </is>
      </c>
      <c r="G378" t="n">
        <v>19.2</v>
      </c>
      <c r="H378" t="n">
        <v>0</v>
      </c>
      <c r="I378" t="n">
        <v>0</v>
      </c>
      <c r="J378" t="n">
        <v>0</v>
      </c>
      <c r="K378" t="n">
        <v>0</v>
      </c>
      <c r="L378" t="n">
        <v>0</v>
      </c>
      <c r="M378" t="n">
        <v>0</v>
      </c>
      <c r="N378" t="n">
        <v>0</v>
      </c>
      <c r="O378" t="n">
        <v>0</v>
      </c>
      <c r="P378" t="n">
        <v>0</v>
      </c>
      <c r="Q378" t="n">
        <v>0</v>
      </c>
      <c r="R378" s="2" t="inlineStr"/>
    </row>
    <row r="379" ht="15" customHeight="1">
      <c r="A379" t="inlineStr">
        <is>
          <t>A 18833-2024</t>
        </is>
      </c>
      <c r="B379" s="1" t="n">
        <v>45426.65157407407</v>
      </c>
      <c r="C379" s="1" t="n">
        <v>46050</v>
      </c>
      <c r="D379" t="inlineStr">
        <is>
          <t>JÄMTLANDS LÄN</t>
        </is>
      </c>
      <c r="E379" t="inlineStr">
        <is>
          <t>BERG</t>
        </is>
      </c>
      <c r="G379" t="n">
        <v>1.3</v>
      </c>
      <c r="H379" t="n">
        <v>0</v>
      </c>
      <c r="I379" t="n">
        <v>0</v>
      </c>
      <c r="J379" t="n">
        <v>0</v>
      </c>
      <c r="K379" t="n">
        <v>0</v>
      </c>
      <c r="L379" t="n">
        <v>0</v>
      </c>
      <c r="M379" t="n">
        <v>0</v>
      </c>
      <c r="N379" t="n">
        <v>0</v>
      </c>
      <c r="O379" t="n">
        <v>0</v>
      </c>
      <c r="P379" t="n">
        <v>0</v>
      </c>
      <c r="Q379" t="n">
        <v>0</v>
      </c>
      <c r="R379" s="2" t="inlineStr"/>
    </row>
    <row r="380" ht="15" customHeight="1">
      <c r="A380" t="inlineStr">
        <is>
          <t>A 27575-2025</t>
        </is>
      </c>
      <c r="B380" s="1" t="n">
        <v>45813.49083333334</v>
      </c>
      <c r="C380" s="1" t="n">
        <v>46050</v>
      </c>
      <c r="D380" t="inlineStr">
        <is>
          <t>JÄMTLANDS LÄN</t>
        </is>
      </c>
      <c r="E380" t="inlineStr">
        <is>
          <t>BERG</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45897.6292824074</v>
      </c>
      <c r="C381" s="1" t="n">
        <v>46050</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58176-2024</t>
        </is>
      </c>
      <c r="B382" s="1" t="n">
        <v>45632.46771990741</v>
      </c>
      <c r="C382" s="1" t="n">
        <v>46050</v>
      </c>
      <c r="D382" t="inlineStr">
        <is>
          <t>JÄMTLANDS LÄN</t>
        </is>
      </c>
      <c r="E382" t="inlineStr">
        <is>
          <t>BERG</t>
        </is>
      </c>
      <c r="G382" t="n">
        <v>14.4</v>
      </c>
      <c r="H382" t="n">
        <v>0</v>
      </c>
      <c r="I382" t="n">
        <v>0</v>
      </c>
      <c r="J382" t="n">
        <v>0</v>
      </c>
      <c r="K382" t="n">
        <v>0</v>
      </c>
      <c r="L382" t="n">
        <v>0</v>
      </c>
      <c r="M382" t="n">
        <v>0</v>
      </c>
      <c r="N382" t="n">
        <v>0</v>
      </c>
      <c r="O382" t="n">
        <v>0</v>
      </c>
      <c r="P382" t="n">
        <v>0</v>
      </c>
      <c r="Q382" t="n">
        <v>0</v>
      </c>
      <c r="R382" s="2" t="inlineStr"/>
    </row>
    <row r="383" ht="15" customHeight="1">
      <c r="A383" t="inlineStr">
        <is>
          <t>A 40737-2025</t>
        </is>
      </c>
      <c r="B383" s="1" t="n">
        <v>45897.36572916667</v>
      </c>
      <c r="C383" s="1" t="n">
        <v>46050</v>
      </c>
      <c r="D383" t="inlineStr">
        <is>
          <t>JÄMTLANDS LÄN</t>
        </is>
      </c>
      <c r="E383" t="inlineStr">
        <is>
          <t>BERG</t>
        </is>
      </c>
      <c r="G383" t="n">
        <v>2.8</v>
      </c>
      <c r="H383" t="n">
        <v>0</v>
      </c>
      <c r="I383" t="n">
        <v>0</v>
      </c>
      <c r="J383" t="n">
        <v>0</v>
      </c>
      <c r="K383" t="n">
        <v>0</v>
      </c>
      <c r="L383" t="n">
        <v>0</v>
      </c>
      <c r="M383" t="n">
        <v>0</v>
      </c>
      <c r="N383" t="n">
        <v>0</v>
      </c>
      <c r="O383" t="n">
        <v>0</v>
      </c>
      <c r="P383" t="n">
        <v>0</v>
      </c>
      <c r="Q383" t="n">
        <v>0</v>
      </c>
      <c r="R383" s="2" t="inlineStr"/>
    </row>
    <row r="384" ht="15" customHeight="1">
      <c r="A384" t="inlineStr">
        <is>
          <t>A 27603-2025</t>
        </is>
      </c>
      <c r="B384" s="1" t="n">
        <v>45813.53174768519</v>
      </c>
      <c r="C384" s="1" t="n">
        <v>46050</v>
      </c>
      <c r="D384" t="inlineStr">
        <is>
          <t>JÄMTLANDS LÄN</t>
        </is>
      </c>
      <c r="E384" t="inlineStr">
        <is>
          <t>BERG</t>
        </is>
      </c>
      <c r="F384" t="inlineStr">
        <is>
          <t>SCA</t>
        </is>
      </c>
      <c r="G384" t="n">
        <v>11.3</v>
      </c>
      <c r="H384" t="n">
        <v>0</v>
      </c>
      <c r="I384" t="n">
        <v>0</v>
      </c>
      <c r="J384" t="n">
        <v>0</v>
      </c>
      <c r="K384" t="n">
        <v>0</v>
      </c>
      <c r="L384" t="n">
        <v>0</v>
      </c>
      <c r="M384" t="n">
        <v>0</v>
      </c>
      <c r="N384" t="n">
        <v>0</v>
      </c>
      <c r="O384" t="n">
        <v>0</v>
      </c>
      <c r="P384" t="n">
        <v>0</v>
      </c>
      <c r="Q384" t="n">
        <v>0</v>
      </c>
      <c r="R384" s="2" t="inlineStr"/>
    </row>
    <row r="385" ht="15" customHeight="1">
      <c r="A385" t="inlineStr">
        <is>
          <t>A 27569-2025</t>
        </is>
      </c>
      <c r="B385" s="1" t="n">
        <v>45813.49018518518</v>
      </c>
      <c r="C385" s="1" t="n">
        <v>46050</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27312-2025</t>
        </is>
      </c>
      <c r="B386" s="1" t="n">
        <v>45812.58002314815</v>
      </c>
      <c r="C386" s="1" t="n">
        <v>46050</v>
      </c>
      <c r="D386" t="inlineStr">
        <is>
          <t>JÄMTLANDS LÄN</t>
        </is>
      </c>
      <c r="E386" t="inlineStr">
        <is>
          <t>BERG</t>
        </is>
      </c>
      <c r="G386" t="n">
        <v>6</v>
      </c>
      <c r="H386" t="n">
        <v>0</v>
      </c>
      <c r="I386" t="n">
        <v>0</v>
      </c>
      <c r="J386" t="n">
        <v>0</v>
      </c>
      <c r="K386" t="n">
        <v>0</v>
      </c>
      <c r="L386" t="n">
        <v>0</v>
      </c>
      <c r="M386" t="n">
        <v>0</v>
      </c>
      <c r="N386" t="n">
        <v>0</v>
      </c>
      <c r="O386" t="n">
        <v>0</v>
      </c>
      <c r="P386" t="n">
        <v>0</v>
      </c>
      <c r="Q386" t="n">
        <v>0</v>
      </c>
      <c r="R386" s="2" t="inlineStr"/>
    </row>
    <row r="387" ht="15" customHeight="1">
      <c r="A387" t="inlineStr">
        <is>
          <t>A 53085-2024</t>
        </is>
      </c>
      <c r="B387" s="1" t="n">
        <v>45611.51072916666</v>
      </c>
      <c r="C387" s="1" t="n">
        <v>46050</v>
      </c>
      <c r="D387" t="inlineStr">
        <is>
          <t>JÄMTLANDS LÄN</t>
        </is>
      </c>
      <c r="E387" t="inlineStr">
        <is>
          <t>BERG</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40630-2025</t>
        </is>
      </c>
      <c r="B388" s="1" t="n">
        <v>45896</v>
      </c>
      <c r="C388" s="1" t="n">
        <v>46050</v>
      </c>
      <c r="D388" t="inlineStr">
        <is>
          <t>JÄMTLANDS LÄN</t>
        </is>
      </c>
      <c r="E388" t="inlineStr">
        <is>
          <t>BERG</t>
        </is>
      </c>
      <c r="G388" t="n">
        <v>2.1</v>
      </c>
      <c r="H388" t="n">
        <v>0</v>
      </c>
      <c r="I388" t="n">
        <v>0</v>
      </c>
      <c r="J388" t="n">
        <v>0</v>
      </c>
      <c r="K388" t="n">
        <v>0</v>
      </c>
      <c r="L388" t="n">
        <v>0</v>
      </c>
      <c r="M388" t="n">
        <v>0</v>
      </c>
      <c r="N388" t="n">
        <v>0</v>
      </c>
      <c r="O388" t="n">
        <v>0</v>
      </c>
      <c r="P388" t="n">
        <v>0</v>
      </c>
      <c r="Q388" t="n">
        <v>0</v>
      </c>
      <c r="R388" s="2" t="inlineStr"/>
    </row>
    <row r="389" ht="15" customHeight="1">
      <c r="A389" t="inlineStr">
        <is>
          <t>A 40708-2025</t>
        </is>
      </c>
      <c r="B389" s="1" t="n">
        <v>45897</v>
      </c>
      <c r="C389" s="1" t="n">
        <v>46050</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40873-2025</t>
        </is>
      </c>
      <c r="B390" s="1" t="n">
        <v>45897.5744675926</v>
      </c>
      <c r="C390" s="1" t="n">
        <v>46050</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6982-2025</t>
        </is>
      </c>
      <c r="B391" s="1" t="n">
        <v>45701.55769675926</v>
      </c>
      <c r="C391" s="1" t="n">
        <v>46050</v>
      </c>
      <c r="D391" t="inlineStr">
        <is>
          <t>JÄMTLANDS LÄN</t>
        </is>
      </c>
      <c r="E391" t="inlineStr">
        <is>
          <t>BERG</t>
        </is>
      </c>
      <c r="G391" t="n">
        <v>6.8</v>
      </c>
      <c r="H391" t="n">
        <v>0</v>
      </c>
      <c r="I391" t="n">
        <v>0</v>
      </c>
      <c r="J391" t="n">
        <v>0</v>
      </c>
      <c r="K391" t="n">
        <v>0</v>
      </c>
      <c r="L391" t="n">
        <v>0</v>
      </c>
      <c r="M391" t="n">
        <v>0</v>
      </c>
      <c r="N391" t="n">
        <v>0</v>
      </c>
      <c r="O391" t="n">
        <v>0</v>
      </c>
      <c r="P391" t="n">
        <v>0</v>
      </c>
      <c r="Q391" t="n">
        <v>0</v>
      </c>
      <c r="R391" s="2" t="inlineStr"/>
    </row>
    <row r="392" ht="15" customHeight="1">
      <c r="A392" t="inlineStr">
        <is>
          <t>A 40617-2025</t>
        </is>
      </c>
      <c r="B392" s="1" t="n">
        <v>45896.58326388889</v>
      </c>
      <c r="C392" s="1" t="n">
        <v>46050</v>
      </c>
      <c r="D392" t="inlineStr">
        <is>
          <t>JÄMTLANDS LÄN</t>
        </is>
      </c>
      <c r="E392" t="inlineStr">
        <is>
          <t>BERG</t>
        </is>
      </c>
      <c r="G392" t="n">
        <v>3.5</v>
      </c>
      <c r="H392" t="n">
        <v>0</v>
      </c>
      <c r="I392" t="n">
        <v>0</v>
      </c>
      <c r="J392" t="n">
        <v>0</v>
      </c>
      <c r="K392" t="n">
        <v>0</v>
      </c>
      <c r="L392" t="n">
        <v>0</v>
      </c>
      <c r="M392" t="n">
        <v>0</v>
      </c>
      <c r="N392" t="n">
        <v>0</v>
      </c>
      <c r="O392" t="n">
        <v>0</v>
      </c>
      <c r="P392" t="n">
        <v>0</v>
      </c>
      <c r="Q392" t="n">
        <v>0</v>
      </c>
      <c r="R392" s="2" t="inlineStr"/>
    </row>
    <row r="393" ht="15" customHeight="1">
      <c r="A393" t="inlineStr">
        <is>
          <t>A 27737-2025</t>
        </is>
      </c>
      <c r="B393" s="1" t="n">
        <v>45815.34414351852</v>
      </c>
      <c r="C393" s="1" t="n">
        <v>46050</v>
      </c>
      <c r="D393" t="inlineStr">
        <is>
          <t>JÄMTLANDS LÄN</t>
        </is>
      </c>
      <c r="E393" t="inlineStr">
        <is>
          <t>BERG</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28079-2025</t>
        </is>
      </c>
      <c r="B394" s="1" t="n">
        <v>45817.69681712963</v>
      </c>
      <c r="C394" s="1" t="n">
        <v>46050</v>
      </c>
      <c r="D394" t="inlineStr">
        <is>
          <t>JÄMTLANDS LÄN</t>
        </is>
      </c>
      <c r="E394" t="inlineStr">
        <is>
          <t>BERG</t>
        </is>
      </c>
      <c r="G394" t="n">
        <v>3.7</v>
      </c>
      <c r="H394" t="n">
        <v>0</v>
      </c>
      <c r="I394" t="n">
        <v>0</v>
      </c>
      <c r="J394" t="n">
        <v>0</v>
      </c>
      <c r="K394" t="n">
        <v>0</v>
      </c>
      <c r="L394" t="n">
        <v>0</v>
      </c>
      <c r="M394" t="n">
        <v>0</v>
      </c>
      <c r="N394" t="n">
        <v>0</v>
      </c>
      <c r="O394" t="n">
        <v>0</v>
      </c>
      <c r="P394" t="n">
        <v>0</v>
      </c>
      <c r="Q394" t="n">
        <v>0</v>
      </c>
      <c r="R394" s="2" t="inlineStr"/>
    </row>
    <row r="395" ht="15" customHeight="1">
      <c r="A395" t="inlineStr">
        <is>
          <t>A 28077-2025</t>
        </is>
      </c>
      <c r="B395" s="1" t="n">
        <v>45817.68596064814</v>
      </c>
      <c r="C395" s="1" t="n">
        <v>46050</v>
      </c>
      <c r="D395" t="inlineStr">
        <is>
          <t>JÄMTLANDS LÄN</t>
        </is>
      </c>
      <c r="E395" t="inlineStr">
        <is>
          <t>BERG</t>
        </is>
      </c>
      <c r="G395" t="n">
        <v>6</v>
      </c>
      <c r="H395" t="n">
        <v>0</v>
      </c>
      <c r="I395" t="n">
        <v>0</v>
      </c>
      <c r="J395" t="n">
        <v>0</v>
      </c>
      <c r="K395" t="n">
        <v>0</v>
      </c>
      <c r="L395" t="n">
        <v>0</v>
      </c>
      <c r="M395" t="n">
        <v>0</v>
      </c>
      <c r="N395" t="n">
        <v>0</v>
      </c>
      <c r="O395" t="n">
        <v>0</v>
      </c>
      <c r="P395" t="n">
        <v>0</v>
      </c>
      <c r="Q395" t="n">
        <v>0</v>
      </c>
      <c r="R395" s="2" t="inlineStr"/>
    </row>
    <row r="396" ht="15" customHeight="1">
      <c r="A396" t="inlineStr">
        <is>
          <t>A 27716-2025</t>
        </is>
      </c>
      <c r="B396" s="1" t="n">
        <v>45813.961875</v>
      </c>
      <c r="C396" s="1" t="n">
        <v>46050</v>
      </c>
      <c r="D396" t="inlineStr">
        <is>
          <t>JÄMTLANDS LÄN</t>
        </is>
      </c>
      <c r="E396" t="inlineStr">
        <is>
          <t>BERG</t>
        </is>
      </c>
      <c r="G396" t="n">
        <v>6.7</v>
      </c>
      <c r="H396" t="n">
        <v>0</v>
      </c>
      <c r="I396" t="n">
        <v>0</v>
      </c>
      <c r="J396" t="n">
        <v>0</v>
      </c>
      <c r="K396" t="n">
        <v>0</v>
      </c>
      <c r="L396" t="n">
        <v>0</v>
      </c>
      <c r="M396" t="n">
        <v>0</v>
      </c>
      <c r="N396" t="n">
        <v>0</v>
      </c>
      <c r="O396" t="n">
        <v>0</v>
      </c>
      <c r="P396" t="n">
        <v>0</v>
      </c>
      <c r="Q396" t="n">
        <v>0</v>
      </c>
      <c r="R396" s="2" t="inlineStr"/>
    </row>
    <row r="397" ht="15" customHeight="1">
      <c r="A397" t="inlineStr">
        <is>
          <t>A 27750-2025</t>
        </is>
      </c>
      <c r="B397" s="1" t="n">
        <v>45815.68543981481</v>
      </c>
      <c r="C397" s="1" t="n">
        <v>46050</v>
      </c>
      <c r="D397" t="inlineStr">
        <is>
          <t>JÄMTLANDS LÄN</t>
        </is>
      </c>
      <c r="E397" t="inlineStr">
        <is>
          <t>BERG</t>
        </is>
      </c>
      <c r="G397" t="n">
        <v>2.4</v>
      </c>
      <c r="H397" t="n">
        <v>0</v>
      </c>
      <c r="I397" t="n">
        <v>0</v>
      </c>
      <c r="J397" t="n">
        <v>0</v>
      </c>
      <c r="K397" t="n">
        <v>0</v>
      </c>
      <c r="L397" t="n">
        <v>0</v>
      </c>
      <c r="M397" t="n">
        <v>0</v>
      </c>
      <c r="N397" t="n">
        <v>0</v>
      </c>
      <c r="O397" t="n">
        <v>0</v>
      </c>
      <c r="P397" t="n">
        <v>0</v>
      </c>
      <c r="Q397" t="n">
        <v>0</v>
      </c>
      <c r="R397" s="2" t="inlineStr"/>
    </row>
    <row r="398" ht="15" customHeight="1">
      <c r="A398" t="inlineStr">
        <is>
          <t>A 28232-2025</t>
        </is>
      </c>
      <c r="B398" s="1" t="n">
        <v>45818.48989583334</v>
      </c>
      <c r="C398" s="1" t="n">
        <v>46050</v>
      </c>
      <c r="D398" t="inlineStr">
        <is>
          <t>JÄMTLANDS LÄN</t>
        </is>
      </c>
      <c r="E398" t="inlineStr">
        <is>
          <t>BERG</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28257-2025</t>
        </is>
      </c>
      <c r="B399" s="1" t="n">
        <v>45818.55263888889</v>
      </c>
      <c r="C399" s="1" t="n">
        <v>46050</v>
      </c>
      <c r="D399" t="inlineStr">
        <is>
          <t>JÄMTLANDS LÄN</t>
        </is>
      </c>
      <c r="E399" t="inlineStr">
        <is>
          <t>BERG</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32064-2023</t>
        </is>
      </c>
      <c r="B400" s="1" t="n">
        <v>45119.57108796296</v>
      </c>
      <c r="C400" s="1" t="n">
        <v>46050</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28657-2025</t>
        </is>
      </c>
      <c r="B401" s="1" t="n">
        <v>45819.65709490741</v>
      </c>
      <c r="C401" s="1" t="n">
        <v>46050</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28196-2025</t>
        </is>
      </c>
      <c r="B402" s="1" t="n">
        <v>45818.42753472222</v>
      </c>
      <c r="C402" s="1" t="n">
        <v>46050</v>
      </c>
      <c r="D402" t="inlineStr">
        <is>
          <t>JÄMTLANDS LÄN</t>
        </is>
      </c>
      <c r="E402" t="inlineStr">
        <is>
          <t>BERG</t>
        </is>
      </c>
      <c r="F402" t="inlineStr">
        <is>
          <t>SCA</t>
        </is>
      </c>
      <c r="G402" t="n">
        <v>6.6</v>
      </c>
      <c r="H402" t="n">
        <v>0</v>
      </c>
      <c r="I402" t="n">
        <v>0</v>
      </c>
      <c r="J402" t="n">
        <v>0</v>
      </c>
      <c r="K402" t="n">
        <v>0</v>
      </c>
      <c r="L402" t="n">
        <v>0</v>
      </c>
      <c r="M402" t="n">
        <v>0</v>
      </c>
      <c r="N402" t="n">
        <v>0</v>
      </c>
      <c r="O402" t="n">
        <v>0</v>
      </c>
      <c r="P402" t="n">
        <v>0</v>
      </c>
      <c r="Q402" t="n">
        <v>0</v>
      </c>
      <c r="R402" s="2" t="inlineStr"/>
    </row>
    <row r="403" ht="15" customHeight="1">
      <c r="A403" t="inlineStr">
        <is>
          <t>A 41247-2025</t>
        </is>
      </c>
      <c r="B403" s="1" t="n">
        <v>45898.60109953704</v>
      </c>
      <c r="C403" s="1" t="n">
        <v>46050</v>
      </c>
      <c r="D403" t="inlineStr">
        <is>
          <t>JÄMTLANDS LÄN</t>
        </is>
      </c>
      <c r="E403" t="inlineStr">
        <is>
          <t>BERG</t>
        </is>
      </c>
      <c r="G403" t="n">
        <v>17.5</v>
      </c>
      <c r="H403" t="n">
        <v>0</v>
      </c>
      <c r="I403" t="n">
        <v>0</v>
      </c>
      <c r="J403" t="n">
        <v>0</v>
      </c>
      <c r="K403" t="n">
        <v>0</v>
      </c>
      <c r="L403" t="n">
        <v>0</v>
      </c>
      <c r="M403" t="n">
        <v>0</v>
      </c>
      <c r="N403" t="n">
        <v>0</v>
      </c>
      <c r="O403" t="n">
        <v>0</v>
      </c>
      <c r="P403" t="n">
        <v>0</v>
      </c>
      <c r="Q403" t="n">
        <v>0</v>
      </c>
      <c r="R403" s="2" t="inlineStr"/>
    </row>
    <row r="404" ht="15" customHeight="1">
      <c r="A404" t="inlineStr">
        <is>
          <t>A 41263-2025</t>
        </is>
      </c>
      <c r="B404" s="1" t="n">
        <v>45898.61517361111</v>
      </c>
      <c r="C404" s="1" t="n">
        <v>46050</v>
      </c>
      <c r="D404" t="inlineStr">
        <is>
          <t>JÄMTLANDS LÄN</t>
        </is>
      </c>
      <c r="E404" t="inlineStr">
        <is>
          <t>BERG</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28401-2025</t>
        </is>
      </c>
      <c r="B405" s="1" t="n">
        <v>45819.34469907408</v>
      </c>
      <c r="C405" s="1" t="n">
        <v>46050</v>
      </c>
      <c r="D405" t="inlineStr">
        <is>
          <t>JÄMTLANDS LÄN</t>
        </is>
      </c>
      <c r="E405" t="inlineStr">
        <is>
          <t>BERG</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41295-2025</t>
        </is>
      </c>
      <c r="B406" s="1" t="n">
        <v>45898.65660879629</v>
      </c>
      <c r="C406" s="1" t="n">
        <v>46050</v>
      </c>
      <c r="D406" t="inlineStr">
        <is>
          <t>JÄMTLANDS LÄN</t>
        </is>
      </c>
      <c r="E406" t="inlineStr">
        <is>
          <t>BERG</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28453-2025</t>
        </is>
      </c>
      <c r="B407" s="1" t="n">
        <v>45819.40668981482</v>
      </c>
      <c r="C407" s="1" t="n">
        <v>46050</v>
      </c>
      <c r="D407" t="inlineStr">
        <is>
          <t>JÄMTLANDS LÄN</t>
        </is>
      </c>
      <c r="E407" t="inlineStr">
        <is>
          <t>BERG</t>
        </is>
      </c>
      <c r="G407" t="n">
        <v>4.1</v>
      </c>
      <c r="H407" t="n">
        <v>0</v>
      </c>
      <c r="I407" t="n">
        <v>0</v>
      </c>
      <c r="J407" t="n">
        <v>0</v>
      </c>
      <c r="K407" t="n">
        <v>0</v>
      </c>
      <c r="L407" t="n">
        <v>0</v>
      </c>
      <c r="M407" t="n">
        <v>0</v>
      </c>
      <c r="N407" t="n">
        <v>0</v>
      </c>
      <c r="O407" t="n">
        <v>0</v>
      </c>
      <c r="P407" t="n">
        <v>0</v>
      </c>
      <c r="Q407" t="n">
        <v>0</v>
      </c>
      <c r="R407" s="2" t="inlineStr"/>
    </row>
    <row r="408" ht="15" customHeight="1">
      <c r="A408" t="inlineStr">
        <is>
          <t>A 28157-2025</t>
        </is>
      </c>
      <c r="B408" s="1" t="n">
        <v>45818.36512731481</v>
      </c>
      <c r="C408" s="1" t="n">
        <v>46050</v>
      </c>
      <c r="D408" t="inlineStr">
        <is>
          <t>JÄMTLANDS LÄN</t>
        </is>
      </c>
      <c r="E408" t="inlineStr">
        <is>
          <t>BERG</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28454-2025</t>
        </is>
      </c>
      <c r="B409" s="1" t="n">
        <v>45819.40679398148</v>
      </c>
      <c r="C409" s="1" t="n">
        <v>46050</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41265-2025</t>
        </is>
      </c>
      <c r="B410" s="1" t="n">
        <v>45898.6153587963</v>
      </c>
      <c r="C410" s="1" t="n">
        <v>46050</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34819-2023</t>
        </is>
      </c>
      <c r="B411" s="1" t="n">
        <v>45140</v>
      </c>
      <c r="C411" s="1" t="n">
        <v>46050</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50780-2021</t>
        </is>
      </c>
      <c r="B412" s="1" t="n">
        <v>44459</v>
      </c>
      <c r="C412" s="1" t="n">
        <v>46050</v>
      </c>
      <c r="D412" t="inlineStr">
        <is>
          <t>JÄMTLANDS LÄN</t>
        </is>
      </c>
      <c r="E412" t="inlineStr">
        <is>
          <t>BERG</t>
        </is>
      </c>
      <c r="G412" t="n">
        <v>3.5</v>
      </c>
      <c r="H412" t="n">
        <v>0</v>
      </c>
      <c r="I412" t="n">
        <v>0</v>
      </c>
      <c r="J412" t="n">
        <v>0</v>
      </c>
      <c r="K412" t="n">
        <v>0</v>
      </c>
      <c r="L412" t="n">
        <v>0</v>
      </c>
      <c r="M412" t="n">
        <v>0</v>
      </c>
      <c r="N412" t="n">
        <v>0</v>
      </c>
      <c r="O412" t="n">
        <v>0</v>
      </c>
      <c r="P412" t="n">
        <v>0</v>
      </c>
      <c r="Q412" t="n">
        <v>0</v>
      </c>
      <c r="R412" s="2" t="inlineStr"/>
    </row>
    <row r="413" ht="15" customHeight="1">
      <c r="A413" t="inlineStr">
        <is>
          <t>A 42003-2025</t>
        </is>
      </c>
      <c r="B413" s="1" t="n">
        <v>45903.55403935185</v>
      </c>
      <c r="C413" s="1" t="n">
        <v>46050</v>
      </c>
      <c r="D413" t="inlineStr">
        <is>
          <t>JÄMTLANDS LÄN</t>
        </is>
      </c>
      <c r="E413" t="inlineStr">
        <is>
          <t>BERG</t>
        </is>
      </c>
      <c r="F413" t="inlineStr">
        <is>
          <t>Övriga statliga verk och myndigheter</t>
        </is>
      </c>
      <c r="G413" t="n">
        <v>10.5</v>
      </c>
      <c r="H413" t="n">
        <v>0</v>
      </c>
      <c r="I413" t="n">
        <v>0</v>
      </c>
      <c r="J413" t="n">
        <v>0</v>
      </c>
      <c r="K413" t="n">
        <v>0</v>
      </c>
      <c r="L413" t="n">
        <v>0</v>
      </c>
      <c r="M413" t="n">
        <v>0</v>
      </c>
      <c r="N413" t="n">
        <v>0</v>
      </c>
      <c r="O413" t="n">
        <v>0</v>
      </c>
      <c r="P413" t="n">
        <v>0</v>
      </c>
      <c r="Q413" t="n">
        <v>0</v>
      </c>
      <c r="R413" s="2" t="inlineStr"/>
    </row>
    <row r="414" ht="15" customHeight="1">
      <c r="A414" t="inlineStr">
        <is>
          <t>A 41930-2025</t>
        </is>
      </c>
      <c r="B414" s="1" t="n">
        <v>45903.43454861111</v>
      </c>
      <c r="C414" s="1" t="n">
        <v>46050</v>
      </c>
      <c r="D414" t="inlineStr">
        <is>
          <t>JÄMTLANDS LÄN</t>
        </is>
      </c>
      <c r="E414" t="inlineStr">
        <is>
          <t>BERG</t>
        </is>
      </c>
      <c r="F414" t="inlineStr">
        <is>
          <t>Övriga statliga verk och myndigheter</t>
        </is>
      </c>
      <c r="G414" t="n">
        <v>2.4</v>
      </c>
      <c r="H414" t="n">
        <v>0</v>
      </c>
      <c r="I414" t="n">
        <v>0</v>
      </c>
      <c r="J414" t="n">
        <v>0</v>
      </c>
      <c r="K414" t="n">
        <v>0</v>
      </c>
      <c r="L414" t="n">
        <v>0</v>
      </c>
      <c r="M414" t="n">
        <v>0</v>
      </c>
      <c r="N414" t="n">
        <v>0</v>
      </c>
      <c r="O414" t="n">
        <v>0</v>
      </c>
      <c r="P414" t="n">
        <v>0</v>
      </c>
      <c r="Q414" t="n">
        <v>0</v>
      </c>
      <c r="R414" s="2" t="inlineStr"/>
    </row>
    <row r="415" ht="15" customHeight="1">
      <c r="A415" t="inlineStr">
        <is>
          <t>A 43279-2024</t>
        </is>
      </c>
      <c r="B415" s="1" t="n">
        <v>45568.3975462963</v>
      </c>
      <c r="C415" s="1" t="n">
        <v>46050</v>
      </c>
      <c r="D415" t="inlineStr">
        <is>
          <t>JÄMTLANDS LÄN</t>
        </is>
      </c>
      <c r="E415" t="inlineStr">
        <is>
          <t>BERG</t>
        </is>
      </c>
      <c r="G415" t="n">
        <v>7.6</v>
      </c>
      <c r="H415" t="n">
        <v>0</v>
      </c>
      <c r="I415" t="n">
        <v>0</v>
      </c>
      <c r="J415" t="n">
        <v>0</v>
      </c>
      <c r="K415" t="n">
        <v>0</v>
      </c>
      <c r="L415" t="n">
        <v>0</v>
      </c>
      <c r="M415" t="n">
        <v>0</v>
      </c>
      <c r="N415" t="n">
        <v>0</v>
      </c>
      <c r="O415" t="n">
        <v>0</v>
      </c>
      <c r="P415" t="n">
        <v>0</v>
      </c>
      <c r="Q415" t="n">
        <v>0</v>
      </c>
      <c r="R415" s="2" t="inlineStr"/>
    </row>
    <row r="416" ht="15" customHeight="1">
      <c r="A416" t="inlineStr">
        <is>
          <t>A 41997-2025</t>
        </is>
      </c>
      <c r="B416" s="1" t="n">
        <v>45903.55162037037</v>
      </c>
      <c r="C416" s="1" t="n">
        <v>46050</v>
      </c>
      <c r="D416" t="inlineStr">
        <is>
          <t>JÄMTLANDS LÄN</t>
        </is>
      </c>
      <c r="E416" t="inlineStr">
        <is>
          <t>BERG</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29199-2025</t>
        </is>
      </c>
      <c r="B417" s="1" t="n">
        <v>45823.34459490741</v>
      </c>
      <c r="C417" s="1" t="n">
        <v>46050</v>
      </c>
      <c r="D417" t="inlineStr">
        <is>
          <t>JÄMTLANDS LÄN</t>
        </is>
      </c>
      <c r="E417" t="inlineStr">
        <is>
          <t>BERG</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29197-2025</t>
        </is>
      </c>
      <c r="B418" s="1" t="n">
        <v>45823.34438657408</v>
      </c>
      <c r="C418" s="1" t="n">
        <v>46050</v>
      </c>
      <c r="D418" t="inlineStr">
        <is>
          <t>JÄMTLANDS LÄN</t>
        </is>
      </c>
      <c r="E418" t="inlineStr">
        <is>
          <t>BERG</t>
        </is>
      </c>
      <c r="F418" t="inlineStr">
        <is>
          <t>SCA</t>
        </is>
      </c>
      <c r="G418" t="n">
        <v>10</v>
      </c>
      <c r="H418" t="n">
        <v>0</v>
      </c>
      <c r="I418" t="n">
        <v>0</v>
      </c>
      <c r="J418" t="n">
        <v>0</v>
      </c>
      <c r="K418" t="n">
        <v>0</v>
      </c>
      <c r="L418" t="n">
        <v>0</v>
      </c>
      <c r="M418" t="n">
        <v>0</v>
      </c>
      <c r="N418" t="n">
        <v>0</v>
      </c>
      <c r="O418" t="n">
        <v>0</v>
      </c>
      <c r="P418" t="n">
        <v>0</v>
      </c>
      <c r="Q418" t="n">
        <v>0</v>
      </c>
      <c r="R418" s="2" t="inlineStr"/>
    </row>
    <row r="419" ht="15" customHeight="1">
      <c r="A419" t="inlineStr">
        <is>
          <t>A 29310-2025</t>
        </is>
      </c>
      <c r="B419" s="1" t="n">
        <v>45824.46353009259</v>
      </c>
      <c r="C419" s="1" t="n">
        <v>46050</v>
      </c>
      <c r="D419" t="inlineStr">
        <is>
          <t>JÄMTLANDS LÄN</t>
        </is>
      </c>
      <c r="E419" t="inlineStr">
        <is>
          <t>BERG</t>
        </is>
      </c>
      <c r="G419" t="n">
        <v>5.6</v>
      </c>
      <c r="H419" t="n">
        <v>0</v>
      </c>
      <c r="I419" t="n">
        <v>0</v>
      </c>
      <c r="J419" t="n">
        <v>0</v>
      </c>
      <c r="K419" t="n">
        <v>0</v>
      </c>
      <c r="L419" t="n">
        <v>0</v>
      </c>
      <c r="M419" t="n">
        <v>0</v>
      </c>
      <c r="N419" t="n">
        <v>0</v>
      </c>
      <c r="O419" t="n">
        <v>0</v>
      </c>
      <c r="P419" t="n">
        <v>0</v>
      </c>
      <c r="Q419" t="n">
        <v>0</v>
      </c>
      <c r="R419" s="2" t="inlineStr"/>
    </row>
    <row r="420" ht="15" customHeight="1">
      <c r="A420" t="inlineStr">
        <is>
          <t>A 29538-2025</t>
        </is>
      </c>
      <c r="B420" s="1" t="n">
        <v>45825.34517361111</v>
      </c>
      <c r="C420" s="1" t="n">
        <v>46050</v>
      </c>
      <c r="D420" t="inlineStr">
        <is>
          <t>JÄMTLANDS LÄN</t>
        </is>
      </c>
      <c r="E420" t="inlineStr">
        <is>
          <t>BERG</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29533-2025</t>
        </is>
      </c>
      <c r="B421" s="1" t="n">
        <v>45825.34466435185</v>
      </c>
      <c r="C421" s="1" t="n">
        <v>46050</v>
      </c>
      <c r="D421" t="inlineStr">
        <is>
          <t>JÄMTLANDS LÄN</t>
        </is>
      </c>
      <c r="E421" t="inlineStr">
        <is>
          <t>BERG</t>
        </is>
      </c>
      <c r="F421" t="inlineStr">
        <is>
          <t>SCA</t>
        </is>
      </c>
      <c r="G421" t="n">
        <v>10</v>
      </c>
      <c r="H421" t="n">
        <v>0</v>
      </c>
      <c r="I421" t="n">
        <v>0</v>
      </c>
      <c r="J421" t="n">
        <v>0</v>
      </c>
      <c r="K421" t="n">
        <v>0</v>
      </c>
      <c r="L421" t="n">
        <v>0</v>
      </c>
      <c r="M421" t="n">
        <v>0</v>
      </c>
      <c r="N421" t="n">
        <v>0</v>
      </c>
      <c r="O421" t="n">
        <v>0</v>
      </c>
      <c r="P421" t="n">
        <v>0</v>
      </c>
      <c r="Q421" t="n">
        <v>0</v>
      </c>
      <c r="R421" s="2" t="inlineStr"/>
    </row>
    <row r="422" ht="15" customHeight="1">
      <c r="A422" t="inlineStr">
        <is>
          <t>A 31024-2025</t>
        </is>
      </c>
      <c r="B422" s="1" t="n">
        <v>45832.52571759259</v>
      </c>
      <c r="C422" s="1" t="n">
        <v>46050</v>
      </c>
      <c r="D422" t="inlineStr">
        <is>
          <t>JÄMTLANDS LÄN</t>
        </is>
      </c>
      <c r="E422" t="inlineStr">
        <is>
          <t>BERG</t>
        </is>
      </c>
      <c r="G422" t="n">
        <v>3.6</v>
      </c>
      <c r="H422" t="n">
        <v>0</v>
      </c>
      <c r="I422" t="n">
        <v>0</v>
      </c>
      <c r="J422" t="n">
        <v>0</v>
      </c>
      <c r="K422" t="n">
        <v>0</v>
      </c>
      <c r="L422" t="n">
        <v>0</v>
      </c>
      <c r="M422" t="n">
        <v>0</v>
      </c>
      <c r="N422" t="n">
        <v>0</v>
      </c>
      <c r="O422" t="n">
        <v>0</v>
      </c>
      <c r="P422" t="n">
        <v>0</v>
      </c>
      <c r="Q422" t="n">
        <v>0</v>
      </c>
      <c r="R422" s="2" t="inlineStr"/>
    </row>
    <row r="423" ht="15" customHeight="1">
      <c r="A423" t="inlineStr">
        <is>
          <t>A 29279-2025</t>
        </is>
      </c>
      <c r="B423" s="1" t="n">
        <v>45824.42381944445</v>
      </c>
      <c r="C423" s="1" t="n">
        <v>46050</v>
      </c>
      <c r="D423" t="inlineStr">
        <is>
          <t>JÄMTLANDS LÄN</t>
        </is>
      </c>
      <c r="E423" t="inlineStr">
        <is>
          <t>BERG</t>
        </is>
      </c>
      <c r="G423" t="n">
        <v>3.6</v>
      </c>
      <c r="H423" t="n">
        <v>0</v>
      </c>
      <c r="I423" t="n">
        <v>0</v>
      </c>
      <c r="J423" t="n">
        <v>0</v>
      </c>
      <c r="K423" t="n">
        <v>0</v>
      </c>
      <c r="L423" t="n">
        <v>0</v>
      </c>
      <c r="M423" t="n">
        <v>0</v>
      </c>
      <c r="N423" t="n">
        <v>0</v>
      </c>
      <c r="O423" t="n">
        <v>0</v>
      </c>
      <c r="P423" t="n">
        <v>0</v>
      </c>
      <c r="Q423" t="n">
        <v>0</v>
      </c>
      <c r="R423" s="2" t="inlineStr"/>
    </row>
    <row r="424" ht="15" customHeight="1">
      <c r="A424" t="inlineStr">
        <is>
          <t>A 29198-2025</t>
        </is>
      </c>
      <c r="B424" s="1" t="n">
        <v>45823.34451388889</v>
      </c>
      <c r="C424" s="1" t="n">
        <v>46050</v>
      </c>
      <c r="D424" t="inlineStr">
        <is>
          <t>JÄMTLANDS LÄN</t>
        </is>
      </c>
      <c r="E424" t="inlineStr">
        <is>
          <t>BERG</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42415-2025</t>
        </is>
      </c>
      <c r="B425" s="1" t="n">
        <v>45905.39195601852</v>
      </c>
      <c r="C425" s="1" t="n">
        <v>46050</v>
      </c>
      <c r="D425" t="inlineStr">
        <is>
          <t>JÄMTLANDS LÄN</t>
        </is>
      </c>
      <c r="E425" t="inlineStr">
        <is>
          <t>BERG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37093-2024</t>
        </is>
      </c>
      <c r="B426" s="1" t="n">
        <v>45539.50018518518</v>
      </c>
      <c r="C426" s="1" t="n">
        <v>46050</v>
      </c>
      <c r="D426" t="inlineStr">
        <is>
          <t>JÄMTLANDS LÄN</t>
        </is>
      </c>
      <c r="E426" t="inlineStr">
        <is>
          <t>BERG</t>
        </is>
      </c>
      <c r="F426" t="inlineStr">
        <is>
          <t>Övriga Aktiebolag</t>
        </is>
      </c>
      <c r="G426" t="n">
        <v>15.4</v>
      </c>
      <c r="H426" t="n">
        <v>0</v>
      </c>
      <c r="I426" t="n">
        <v>0</v>
      </c>
      <c r="J426" t="n">
        <v>0</v>
      </c>
      <c r="K426" t="n">
        <v>0</v>
      </c>
      <c r="L426" t="n">
        <v>0</v>
      </c>
      <c r="M426" t="n">
        <v>0</v>
      </c>
      <c r="N426" t="n">
        <v>0</v>
      </c>
      <c r="O426" t="n">
        <v>0</v>
      </c>
      <c r="P426" t="n">
        <v>0</v>
      </c>
      <c r="Q426" t="n">
        <v>0</v>
      </c>
      <c r="R426" s="2" t="inlineStr"/>
    </row>
    <row r="427" ht="15" customHeight="1">
      <c r="A427" t="inlineStr">
        <is>
          <t>A 29836-2025</t>
        </is>
      </c>
      <c r="B427" s="1" t="n">
        <v>45825.9468287037</v>
      </c>
      <c r="C427" s="1" t="n">
        <v>46050</v>
      </c>
      <c r="D427" t="inlineStr">
        <is>
          <t>JÄMTLANDS LÄN</t>
        </is>
      </c>
      <c r="E427" t="inlineStr">
        <is>
          <t>BERG</t>
        </is>
      </c>
      <c r="G427" t="n">
        <v>12.7</v>
      </c>
      <c r="H427" t="n">
        <v>0</v>
      </c>
      <c r="I427" t="n">
        <v>0</v>
      </c>
      <c r="J427" t="n">
        <v>0</v>
      </c>
      <c r="K427" t="n">
        <v>0</v>
      </c>
      <c r="L427" t="n">
        <v>0</v>
      </c>
      <c r="M427" t="n">
        <v>0</v>
      </c>
      <c r="N427" t="n">
        <v>0</v>
      </c>
      <c r="O427" t="n">
        <v>0</v>
      </c>
      <c r="P427" t="n">
        <v>0</v>
      </c>
      <c r="Q427" t="n">
        <v>0</v>
      </c>
      <c r="R427" s="2" t="inlineStr"/>
    </row>
    <row r="428" ht="15" customHeight="1">
      <c r="A428" t="inlineStr">
        <is>
          <t>A 42378-2025</t>
        </is>
      </c>
      <c r="B428" s="1" t="n">
        <v>45905.34423611111</v>
      </c>
      <c r="C428" s="1" t="n">
        <v>46050</v>
      </c>
      <c r="D428" t="inlineStr">
        <is>
          <t>JÄMTLANDS LÄN</t>
        </is>
      </c>
      <c r="E428" t="inlineStr">
        <is>
          <t>BERG</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42439-2025</t>
        </is>
      </c>
      <c r="B429" s="1" t="n">
        <v>45905.42969907408</v>
      </c>
      <c r="C429" s="1" t="n">
        <v>46050</v>
      </c>
      <c r="D429" t="inlineStr">
        <is>
          <t>JÄMTLANDS LÄN</t>
        </is>
      </c>
      <c r="E429" t="inlineStr">
        <is>
          <t>BERG</t>
        </is>
      </c>
      <c r="G429" t="n">
        <v>2</v>
      </c>
      <c r="H429" t="n">
        <v>0</v>
      </c>
      <c r="I429" t="n">
        <v>0</v>
      </c>
      <c r="J429" t="n">
        <v>0</v>
      </c>
      <c r="K429" t="n">
        <v>0</v>
      </c>
      <c r="L429" t="n">
        <v>0</v>
      </c>
      <c r="M429" t="n">
        <v>0</v>
      </c>
      <c r="N429" t="n">
        <v>0</v>
      </c>
      <c r="O429" t="n">
        <v>0</v>
      </c>
      <c r="P429" t="n">
        <v>0</v>
      </c>
      <c r="Q429" t="n">
        <v>0</v>
      </c>
      <c r="R429" s="2" t="inlineStr"/>
    </row>
    <row r="430" ht="15" customHeight="1">
      <c r="A430" t="inlineStr">
        <is>
          <t>A 30017-2025</t>
        </is>
      </c>
      <c r="B430" s="1" t="n">
        <v>45826.55306712963</v>
      </c>
      <c r="C430" s="1" t="n">
        <v>46050</v>
      </c>
      <c r="D430" t="inlineStr">
        <is>
          <t>JÄMTLANDS LÄN</t>
        </is>
      </c>
      <c r="E430" t="inlineStr">
        <is>
          <t>BERG</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10861-2024</t>
        </is>
      </c>
      <c r="B431" s="1" t="n">
        <v>45370.01967592593</v>
      </c>
      <c r="C431" s="1" t="n">
        <v>46050</v>
      </c>
      <c r="D431" t="inlineStr">
        <is>
          <t>JÄMTLANDS LÄN</t>
        </is>
      </c>
      <c r="E431" t="inlineStr">
        <is>
          <t>BERG</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30314-2025</t>
        </is>
      </c>
      <c r="B432" s="1" t="n">
        <v>45827.49047453704</v>
      </c>
      <c r="C432" s="1" t="n">
        <v>46050</v>
      </c>
      <c r="D432" t="inlineStr">
        <is>
          <t>JÄMTLANDS LÄN</t>
        </is>
      </c>
      <c r="E432" t="inlineStr">
        <is>
          <t>BERG</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29902-2025</t>
        </is>
      </c>
      <c r="B433" s="1" t="n">
        <v>45826</v>
      </c>
      <c r="C433" s="1" t="n">
        <v>46050</v>
      </c>
      <c r="D433" t="inlineStr">
        <is>
          <t>JÄMTLANDS LÄN</t>
        </is>
      </c>
      <c r="E433" t="inlineStr">
        <is>
          <t>BERG</t>
        </is>
      </c>
      <c r="G433" t="n">
        <v>9.1</v>
      </c>
      <c r="H433" t="n">
        <v>0</v>
      </c>
      <c r="I433" t="n">
        <v>0</v>
      </c>
      <c r="J433" t="n">
        <v>0</v>
      </c>
      <c r="K433" t="n">
        <v>0</v>
      </c>
      <c r="L433" t="n">
        <v>0</v>
      </c>
      <c r="M433" t="n">
        <v>0</v>
      </c>
      <c r="N433" t="n">
        <v>0</v>
      </c>
      <c r="O433" t="n">
        <v>0</v>
      </c>
      <c r="P433" t="n">
        <v>0</v>
      </c>
      <c r="Q433" t="n">
        <v>0</v>
      </c>
      <c r="R433" s="2" t="inlineStr"/>
    </row>
    <row r="434" ht="15" customHeight="1">
      <c r="A434" t="inlineStr">
        <is>
          <t>A 29908-2025</t>
        </is>
      </c>
      <c r="B434" s="1" t="n">
        <v>45826</v>
      </c>
      <c r="C434" s="1" t="n">
        <v>46050</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42862-2025</t>
        </is>
      </c>
      <c r="B435" s="1" t="n">
        <v>45908.61515046296</v>
      </c>
      <c r="C435" s="1" t="n">
        <v>46050</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43015-2025</t>
        </is>
      </c>
      <c r="B436" s="1" t="n">
        <v>45909.49278935185</v>
      </c>
      <c r="C436" s="1" t="n">
        <v>46050</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43442-2025</t>
        </is>
      </c>
      <c r="B437" s="1" t="n">
        <v>45911.44244212963</v>
      </c>
      <c r="C437" s="1" t="n">
        <v>46050</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21679-2023</t>
        </is>
      </c>
      <c r="B438" s="1" t="n">
        <v>45063.94199074074</v>
      </c>
      <c r="C438" s="1" t="n">
        <v>46050</v>
      </c>
      <c r="D438" t="inlineStr">
        <is>
          <t>JÄMTLANDS LÄN</t>
        </is>
      </c>
      <c r="E438" t="inlineStr">
        <is>
          <t>BERG</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31015-2025</t>
        </is>
      </c>
      <c r="B439" s="1" t="n">
        <v>45832.51086805556</v>
      </c>
      <c r="C439" s="1" t="n">
        <v>46050</v>
      </c>
      <c r="D439" t="inlineStr">
        <is>
          <t>JÄMTLANDS LÄN</t>
        </is>
      </c>
      <c r="E439" t="inlineStr">
        <is>
          <t>BERG</t>
        </is>
      </c>
      <c r="F439" t="inlineStr">
        <is>
          <t>SCA</t>
        </is>
      </c>
      <c r="G439" t="n">
        <v>5.5</v>
      </c>
      <c r="H439" t="n">
        <v>0</v>
      </c>
      <c r="I439" t="n">
        <v>0</v>
      </c>
      <c r="J439" t="n">
        <v>0</v>
      </c>
      <c r="K439" t="n">
        <v>0</v>
      </c>
      <c r="L439" t="n">
        <v>0</v>
      </c>
      <c r="M439" t="n">
        <v>0</v>
      </c>
      <c r="N439" t="n">
        <v>0</v>
      </c>
      <c r="O439" t="n">
        <v>0</v>
      </c>
      <c r="P439" t="n">
        <v>0</v>
      </c>
      <c r="Q439" t="n">
        <v>0</v>
      </c>
      <c r="R439" s="2" t="inlineStr"/>
    </row>
    <row r="440" ht="15" customHeight="1">
      <c r="A440" t="inlineStr">
        <is>
          <t>A 31017-2025</t>
        </is>
      </c>
      <c r="B440" s="1" t="n">
        <v>45832.51111111111</v>
      </c>
      <c r="C440" s="1" t="n">
        <v>46050</v>
      </c>
      <c r="D440" t="inlineStr">
        <is>
          <t>JÄMTLANDS LÄN</t>
        </is>
      </c>
      <c r="E440" t="inlineStr">
        <is>
          <t>BERG</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43443-2025</t>
        </is>
      </c>
      <c r="B441" s="1" t="n">
        <v>45911.44350694444</v>
      </c>
      <c r="C441" s="1" t="n">
        <v>46050</v>
      </c>
      <c r="D441" t="inlineStr">
        <is>
          <t>JÄMTLANDS LÄN</t>
        </is>
      </c>
      <c r="E441" t="inlineStr">
        <is>
          <t>BERG</t>
        </is>
      </c>
      <c r="G441" t="n">
        <v>2.7</v>
      </c>
      <c r="H441" t="n">
        <v>0</v>
      </c>
      <c r="I441" t="n">
        <v>0</v>
      </c>
      <c r="J441" t="n">
        <v>0</v>
      </c>
      <c r="K441" t="n">
        <v>0</v>
      </c>
      <c r="L441" t="n">
        <v>0</v>
      </c>
      <c r="M441" t="n">
        <v>0</v>
      </c>
      <c r="N441" t="n">
        <v>0</v>
      </c>
      <c r="O441" t="n">
        <v>0</v>
      </c>
      <c r="P441" t="n">
        <v>0</v>
      </c>
      <c r="Q441" t="n">
        <v>0</v>
      </c>
      <c r="R441" s="2" t="inlineStr"/>
    </row>
    <row r="442" ht="15" customHeight="1">
      <c r="A442" t="inlineStr">
        <is>
          <t>A 31070-2025</t>
        </is>
      </c>
      <c r="B442" s="1" t="n">
        <v>45832.57887731482</v>
      </c>
      <c r="C442" s="1" t="n">
        <v>46050</v>
      </c>
      <c r="D442" t="inlineStr">
        <is>
          <t>JÄMTLANDS LÄN</t>
        </is>
      </c>
      <c r="E442" t="inlineStr">
        <is>
          <t>BERG</t>
        </is>
      </c>
      <c r="G442" t="n">
        <v>3.7</v>
      </c>
      <c r="H442" t="n">
        <v>0</v>
      </c>
      <c r="I442" t="n">
        <v>0</v>
      </c>
      <c r="J442" t="n">
        <v>0</v>
      </c>
      <c r="K442" t="n">
        <v>0</v>
      </c>
      <c r="L442" t="n">
        <v>0</v>
      </c>
      <c r="M442" t="n">
        <v>0</v>
      </c>
      <c r="N442" t="n">
        <v>0</v>
      </c>
      <c r="O442" t="n">
        <v>0</v>
      </c>
      <c r="P442" t="n">
        <v>0</v>
      </c>
      <c r="Q442" t="n">
        <v>0</v>
      </c>
      <c r="R442" s="2" t="inlineStr"/>
    </row>
    <row r="443" ht="15" customHeight="1">
      <c r="A443" t="inlineStr">
        <is>
          <t>A 31090-2025</t>
        </is>
      </c>
      <c r="B443" s="1" t="n">
        <v>45832.59436342592</v>
      </c>
      <c r="C443" s="1" t="n">
        <v>46050</v>
      </c>
      <c r="D443" t="inlineStr">
        <is>
          <t>JÄMTLANDS LÄN</t>
        </is>
      </c>
      <c r="E443" t="inlineStr">
        <is>
          <t>BERG</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41264-2025</t>
        </is>
      </c>
      <c r="B444" s="1" t="n">
        <v>45898</v>
      </c>
      <c r="C444" s="1" t="n">
        <v>46050</v>
      </c>
      <c r="D444" t="inlineStr">
        <is>
          <t>JÄMTLANDS LÄN</t>
        </is>
      </c>
      <c r="E444" t="inlineStr">
        <is>
          <t>BERG</t>
        </is>
      </c>
      <c r="G444" t="n">
        <v>17.4</v>
      </c>
      <c r="H444" t="n">
        <v>0</v>
      </c>
      <c r="I444" t="n">
        <v>0</v>
      </c>
      <c r="J444" t="n">
        <v>0</v>
      </c>
      <c r="K444" t="n">
        <v>0</v>
      </c>
      <c r="L444" t="n">
        <v>0</v>
      </c>
      <c r="M444" t="n">
        <v>0</v>
      </c>
      <c r="N444" t="n">
        <v>0</v>
      </c>
      <c r="O444" t="n">
        <v>0</v>
      </c>
      <c r="P444" t="n">
        <v>0</v>
      </c>
      <c r="Q444" t="n">
        <v>0</v>
      </c>
      <c r="R444" s="2" t="inlineStr"/>
    </row>
    <row r="445" ht="15" customHeight="1">
      <c r="A445" t="inlineStr">
        <is>
          <t>A 43567-2025</t>
        </is>
      </c>
      <c r="B445" s="1" t="n">
        <v>45911.6327662037</v>
      </c>
      <c r="C445" s="1" t="n">
        <v>46050</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43441-2025</t>
        </is>
      </c>
      <c r="B446" s="1" t="n">
        <v>45911.44184027778</v>
      </c>
      <c r="C446" s="1" t="n">
        <v>46050</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43456-2025</t>
        </is>
      </c>
      <c r="B447" s="1" t="n">
        <v>45911.46148148148</v>
      </c>
      <c r="C447" s="1" t="n">
        <v>46050</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43560-2025</t>
        </is>
      </c>
      <c r="B448" s="1" t="n">
        <v>45911.62758101852</v>
      </c>
      <c r="C448" s="1" t="n">
        <v>46050</v>
      </c>
      <c r="D448" t="inlineStr">
        <is>
          <t>JÄMTLANDS LÄN</t>
        </is>
      </c>
      <c r="E448" t="inlineStr">
        <is>
          <t>BERG</t>
        </is>
      </c>
      <c r="G448" t="n">
        <v>10</v>
      </c>
      <c r="H448" t="n">
        <v>0</v>
      </c>
      <c r="I448" t="n">
        <v>0</v>
      </c>
      <c r="J448" t="n">
        <v>0</v>
      </c>
      <c r="K448" t="n">
        <v>0</v>
      </c>
      <c r="L448" t="n">
        <v>0</v>
      </c>
      <c r="M448" t="n">
        <v>0</v>
      </c>
      <c r="N448" t="n">
        <v>0</v>
      </c>
      <c r="O448" t="n">
        <v>0</v>
      </c>
      <c r="P448" t="n">
        <v>0</v>
      </c>
      <c r="Q448" t="n">
        <v>0</v>
      </c>
      <c r="R448" s="2" t="inlineStr"/>
    </row>
    <row r="449" ht="15" customHeight="1">
      <c r="A449" t="inlineStr">
        <is>
          <t>A 43364-2025</t>
        </is>
      </c>
      <c r="B449" s="1" t="n">
        <v>45911.34483796296</v>
      </c>
      <c r="C449" s="1" t="n">
        <v>46050</v>
      </c>
      <c r="D449" t="inlineStr">
        <is>
          <t>JÄMTLANDS LÄN</t>
        </is>
      </c>
      <c r="E449" t="inlineStr">
        <is>
          <t>BERG</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22947-2022</t>
        </is>
      </c>
      <c r="B450" s="1" t="n">
        <v>44715.92443287037</v>
      </c>
      <c r="C450" s="1" t="n">
        <v>46050</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20268-2024</t>
        </is>
      </c>
      <c r="B451" s="1" t="n">
        <v>45434.94887731481</v>
      </c>
      <c r="C451" s="1" t="n">
        <v>46050</v>
      </c>
      <c r="D451" t="inlineStr">
        <is>
          <t>JÄMTLANDS LÄN</t>
        </is>
      </c>
      <c r="E451" t="inlineStr">
        <is>
          <t>BERG</t>
        </is>
      </c>
      <c r="F451" t="inlineStr">
        <is>
          <t>SCA</t>
        </is>
      </c>
      <c r="G451" t="n">
        <v>4.9</v>
      </c>
      <c r="H451" t="n">
        <v>0</v>
      </c>
      <c r="I451" t="n">
        <v>0</v>
      </c>
      <c r="J451" t="n">
        <v>0</v>
      </c>
      <c r="K451" t="n">
        <v>0</v>
      </c>
      <c r="L451" t="n">
        <v>0</v>
      </c>
      <c r="M451" t="n">
        <v>0</v>
      </c>
      <c r="N451" t="n">
        <v>0</v>
      </c>
      <c r="O451" t="n">
        <v>0</v>
      </c>
      <c r="P451" t="n">
        <v>0</v>
      </c>
      <c r="Q451" t="n">
        <v>0</v>
      </c>
      <c r="R451" s="2" t="inlineStr"/>
    </row>
    <row r="452" ht="15" customHeight="1">
      <c r="A452" t="inlineStr">
        <is>
          <t>A 31136-2025</t>
        </is>
      </c>
      <c r="B452" s="1" t="n">
        <v>45832.63599537037</v>
      </c>
      <c r="C452" s="1" t="n">
        <v>46050</v>
      </c>
      <c r="D452" t="inlineStr">
        <is>
          <t>JÄMTLANDS LÄN</t>
        </is>
      </c>
      <c r="E452" t="inlineStr">
        <is>
          <t>BERG</t>
        </is>
      </c>
      <c r="F452" t="inlineStr">
        <is>
          <t>SCA</t>
        </is>
      </c>
      <c r="G452" t="n">
        <v>5</v>
      </c>
      <c r="H452" t="n">
        <v>0</v>
      </c>
      <c r="I452" t="n">
        <v>0</v>
      </c>
      <c r="J452" t="n">
        <v>0</v>
      </c>
      <c r="K452" t="n">
        <v>0</v>
      </c>
      <c r="L452" t="n">
        <v>0</v>
      </c>
      <c r="M452" t="n">
        <v>0</v>
      </c>
      <c r="N452" t="n">
        <v>0</v>
      </c>
      <c r="O452" t="n">
        <v>0</v>
      </c>
      <c r="P452" t="n">
        <v>0</v>
      </c>
      <c r="Q452" t="n">
        <v>0</v>
      </c>
      <c r="R452" s="2" t="inlineStr"/>
    </row>
    <row r="453" ht="15" customHeight="1">
      <c r="A453" t="inlineStr">
        <is>
          <t>A 44043-2025</t>
        </is>
      </c>
      <c r="B453" s="1" t="n">
        <v>45915.49266203704</v>
      </c>
      <c r="C453" s="1" t="n">
        <v>46050</v>
      </c>
      <c r="D453" t="inlineStr">
        <is>
          <t>JÄMTLANDS LÄN</t>
        </is>
      </c>
      <c r="E453" t="inlineStr">
        <is>
          <t>BERG</t>
        </is>
      </c>
      <c r="G453" t="n">
        <v>3.4</v>
      </c>
      <c r="H453" t="n">
        <v>0</v>
      </c>
      <c r="I453" t="n">
        <v>0</v>
      </c>
      <c r="J453" t="n">
        <v>0</v>
      </c>
      <c r="K453" t="n">
        <v>0</v>
      </c>
      <c r="L453" t="n">
        <v>0</v>
      </c>
      <c r="M453" t="n">
        <v>0</v>
      </c>
      <c r="N453" t="n">
        <v>0</v>
      </c>
      <c r="O453" t="n">
        <v>0</v>
      </c>
      <c r="P453" t="n">
        <v>0</v>
      </c>
      <c r="Q453" t="n">
        <v>0</v>
      </c>
      <c r="R453" s="2" t="inlineStr"/>
    </row>
    <row r="454" ht="15" customHeight="1">
      <c r="A454" t="inlineStr">
        <is>
          <t>A 43982-2025</t>
        </is>
      </c>
      <c r="B454" s="1" t="n">
        <v>45915.42771990741</v>
      </c>
      <c r="C454" s="1" t="n">
        <v>46050</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12342-2023</t>
        </is>
      </c>
      <c r="B455" s="1" t="n">
        <v>44998</v>
      </c>
      <c r="C455" s="1" t="n">
        <v>46050</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44051-2025</t>
        </is>
      </c>
      <c r="B456" s="1" t="n">
        <v>45915.51079861111</v>
      </c>
      <c r="C456" s="1" t="n">
        <v>46050</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44302-2025</t>
        </is>
      </c>
      <c r="B457" s="1" t="n">
        <v>45915</v>
      </c>
      <c r="C457" s="1" t="n">
        <v>46050</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31155-2024</t>
        </is>
      </c>
      <c r="B458" s="1" t="n">
        <v>45503</v>
      </c>
      <c r="C458" s="1" t="n">
        <v>46050</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32160-2025</t>
        </is>
      </c>
      <c r="B459" s="1" t="n">
        <v>45835.54142361111</v>
      </c>
      <c r="C459" s="1" t="n">
        <v>46050</v>
      </c>
      <c r="D459" t="inlineStr">
        <is>
          <t>JÄMTLANDS LÄN</t>
        </is>
      </c>
      <c r="E459" t="inlineStr">
        <is>
          <t>BERG</t>
        </is>
      </c>
      <c r="G459" t="n">
        <v>10.3</v>
      </c>
      <c r="H459" t="n">
        <v>0</v>
      </c>
      <c r="I459" t="n">
        <v>0</v>
      </c>
      <c r="J459" t="n">
        <v>0</v>
      </c>
      <c r="K459" t="n">
        <v>0</v>
      </c>
      <c r="L459" t="n">
        <v>0</v>
      </c>
      <c r="M459" t="n">
        <v>0</v>
      </c>
      <c r="N459" t="n">
        <v>0</v>
      </c>
      <c r="O459" t="n">
        <v>0</v>
      </c>
      <c r="P459" t="n">
        <v>0</v>
      </c>
      <c r="Q459" t="n">
        <v>0</v>
      </c>
      <c r="R459" s="2" t="inlineStr"/>
    </row>
    <row r="460" ht="15" customHeight="1">
      <c r="A460" t="inlineStr">
        <is>
          <t>A 44031-2025</t>
        </is>
      </c>
      <c r="B460" s="1" t="n">
        <v>45915.49019675926</v>
      </c>
      <c r="C460" s="1" t="n">
        <v>46050</v>
      </c>
      <c r="D460" t="inlineStr">
        <is>
          <t>JÄMTLANDS LÄN</t>
        </is>
      </c>
      <c r="E460" t="inlineStr">
        <is>
          <t>BERG</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43968-2025</t>
        </is>
      </c>
      <c r="B461" s="1" t="n">
        <v>45915</v>
      </c>
      <c r="C461" s="1" t="n">
        <v>46050</v>
      </c>
      <c r="D461" t="inlineStr">
        <is>
          <t>JÄMTLANDS LÄN</t>
        </is>
      </c>
      <c r="E461" t="inlineStr">
        <is>
          <t>BERG</t>
        </is>
      </c>
      <c r="G461" t="n">
        <v>2</v>
      </c>
      <c r="H461" t="n">
        <v>0</v>
      </c>
      <c r="I461" t="n">
        <v>0</v>
      </c>
      <c r="J461" t="n">
        <v>0</v>
      </c>
      <c r="K461" t="n">
        <v>0</v>
      </c>
      <c r="L461" t="n">
        <v>0</v>
      </c>
      <c r="M461" t="n">
        <v>0</v>
      </c>
      <c r="N461" t="n">
        <v>0</v>
      </c>
      <c r="O461" t="n">
        <v>0</v>
      </c>
      <c r="P461" t="n">
        <v>0</v>
      </c>
      <c r="Q461" t="n">
        <v>0</v>
      </c>
      <c r="R461" s="2" t="inlineStr"/>
    </row>
    <row r="462" ht="15" customHeight="1">
      <c r="A462" t="inlineStr">
        <is>
          <t>A 31820-2025</t>
        </is>
      </c>
      <c r="B462" s="1" t="n">
        <v>45834.57930555556</v>
      </c>
      <c r="C462" s="1" t="n">
        <v>46050</v>
      </c>
      <c r="D462" t="inlineStr">
        <is>
          <t>JÄMTLANDS LÄN</t>
        </is>
      </c>
      <c r="E462" t="inlineStr">
        <is>
          <t>BERG</t>
        </is>
      </c>
      <c r="G462" t="n">
        <v>13.9</v>
      </c>
      <c r="H462" t="n">
        <v>0</v>
      </c>
      <c r="I462" t="n">
        <v>0</v>
      </c>
      <c r="J462" t="n">
        <v>0</v>
      </c>
      <c r="K462" t="n">
        <v>0</v>
      </c>
      <c r="L462" t="n">
        <v>0</v>
      </c>
      <c r="M462" t="n">
        <v>0</v>
      </c>
      <c r="N462" t="n">
        <v>0</v>
      </c>
      <c r="O462" t="n">
        <v>0</v>
      </c>
      <c r="P462" t="n">
        <v>0</v>
      </c>
      <c r="Q462" t="n">
        <v>0</v>
      </c>
      <c r="R462" s="2" t="inlineStr"/>
    </row>
    <row r="463" ht="15" customHeight="1">
      <c r="A463" t="inlineStr">
        <is>
          <t>A 44303-2025</t>
        </is>
      </c>
      <c r="B463" s="1" t="n">
        <v>45915</v>
      </c>
      <c r="C463" s="1" t="n">
        <v>46050</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44572-2025</t>
        </is>
      </c>
      <c r="B464" s="1" t="n">
        <v>45917</v>
      </c>
      <c r="C464" s="1" t="n">
        <v>46050</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51172-2024</t>
        </is>
      </c>
      <c r="B465" s="1" t="n">
        <v>45603.59056712963</v>
      </c>
      <c r="C465" s="1" t="n">
        <v>46050</v>
      </c>
      <c r="D465" t="inlineStr">
        <is>
          <t>JÄMTLANDS LÄN</t>
        </is>
      </c>
      <c r="E465" t="inlineStr">
        <is>
          <t>BERG</t>
        </is>
      </c>
      <c r="G465" t="n">
        <v>12.2</v>
      </c>
      <c r="H465" t="n">
        <v>0</v>
      </c>
      <c r="I465" t="n">
        <v>0</v>
      </c>
      <c r="J465" t="n">
        <v>0</v>
      </c>
      <c r="K465" t="n">
        <v>0</v>
      </c>
      <c r="L465" t="n">
        <v>0</v>
      </c>
      <c r="M465" t="n">
        <v>0</v>
      </c>
      <c r="N465" t="n">
        <v>0</v>
      </c>
      <c r="O465" t="n">
        <v>0</v>
      </c>
      <c r="P465" t="n">
        <v>0</v>
      </c>
      <c r="Q465" t="n">
        <v>0</v>
      </c>
      <c r="R465" s="2" t="inlineStr"/>
    </row>
    <row r="466" ht="15" customHeight="1">
      <c r="A466" t="inlineStr">
        <is>
          <t>A 65210-2023</t>
        </is>
      </c>
      <c r="B466" s="1" t="n">
        <v>45289</v>
      </c>
      <c r="C466" s="1" t="n">
        <v>46050</v>
      </c>
      <c r="D466" t="inlineStr">
        <is>
          <t>JÄMTLANDS LÄN</t>
        </is>
      </c>
      <c r="E466" t="inlineStr">
        <is>
          <t>BERG</t>
        </is>
      </c>
      <c r="G466" t="n">
        <v>0.4</v>
      </c>
      <c r="H466" t="n">
        <v>0</v>
      </c>
      <c r="I466" t="n">
        <v>0</v>
      </c>
      <c r="J466" t="n">
        <v>0</v>
      </c>
      <c r="K466" t="n">
        <v>0</v>
      </c>
      <c r="L466" t="n">
        <v>0</v>
      </c>
      <c r="M466" t="n">
        <v>0</v>
      </c>
      <c r="N466" t="n">
        <v>0</v>
      </c>
      <c r="O466" t="n">
        <v>0</v>
      </c>
      <c r="P466" t="n">
        <v>0</v>
      </c>
      <c r="Q466" t="n">
        <v>0</v>
      </c>
      <c r="R466" s="2" t="inlineStr"/>
    </row>
    <row r="467" ht="15" customHeight="1">
      <c r="A467" t="inlineStr">
        <is>
          <t>A 32713-2025</t>
        </is>
      </c>
      <c r="B467" s="1" t="n">
        <v>45839.36935185185</v>
      </c>
      <c r="C467" s="1" t="n">
        <v>46050</v>
      </c>
      <c r="D467" t="inlineStr">
        <is>
          <t>JÄMTLANDS LÄN</t>
        </is>
      </c>
      <c r="E467" t="inlineStr">
        <is>
          <t>BERG</t>
        </is>
      </c>
      <c r="G467" t="n">
        <v>1.5</v>
      </c>
      <c r="H467" t="n">
        <v>0</v>
      </c>
      <c r="I467" t="n">
        <v>0</v>
      </c>
      <c r="J467" t="n">
        <v>0</v>
      </c>
      <c r="K467" t="n">
        <v>0</v>
      </c>
      <c r="L467" t="n">
        <v>0</v>
      </c>
      <c r="M467" t="n">
        <v>0</v>
      </c>
      <c r="N467" t="n">
        <v>0</v>
      </c>
      <c r="O467" t="n">
        <v>0</v>
      </c>
      <c r="P467" t="n">
        <v>0</v>
      </c>
      <c r="Q467" t="n">
        <v>0</v>
      </c>
      <c r="R467" s="2" t="inlineStr"/>
    </row>
    <row r="468" ht="15" customHeight="1">
      <c r="A468" t="inlineStr">
        <is>
          <t>A 28403-2025</t>
        </is>
      </c>
      <c r="B468" s="1" t="n">
        <v>45819</v>
      </c>
      <c r="C468" s="1" t="n">
        <v>46050</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44697-2025</t>
        </is>
      </c>
      <c r="B469" s="1" t="n">
        <v>45917.59888888889</v>
      </c>
      <c r="C469" s="1" t="n">
        <v>46050</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45249-2025</t>
        </is>
      </c>
      <c r="B470" s="1" t="n">
        <v>45919.61225694444</v>
      </c>
      <c r="C470" s="1" t="n">
        <v>46050</v>
      </c>
      <c r="D470" t="inlineStr">
        <is>
          <t>JÄMTLANDS LÄN</t>
        </is>
      </c>
      <c r="E470" t="inlineStr">
        <is>
          <t>BERG</t>
        </is>
      </c>
      <c r="G470" t="n">
        <v>1.3</v>
      </c>
      <c r="H470" t="n">
        <v>0</v>
      </c>
      <c r="I470" t="n">
        <v>0</v>
      </c>
      <c r="J470" t="n">
        <v>0</v>
      </c>
      <c r="K470" t="n">
        <v>0</v>
      </c>
      <c r="L470" t="n">
        <v>0</v>
      </c>
      <c r="M470" t="n">
        <v>0</v>
      </c>
      <c r="N470" t="n">
        <v>0</v>
      </c>
      <c r="O470" t="n">
        <v>0</v>
      </c>
      <c r="P470" t="n">
        <v>0</v>
      </c>
      <c r="Q470" t="n">
        <v>0</v>
      </c>
      <c r="R470" s="2" t="inlineStr"/>
    </row>
    <row r="471" ht="15" customHeight="1">
      <c r="A471" t="inlineStr">
        <is>
          <t>A 12392-2025</t>
        </is>
      </c>
      <c r="B471" s="1" t="n">
        <v>45730.40104166666</v>
      </c>
      <c r="C471" s="1" t="n">
        <v>46050</v>
      </c>
      <c r="D471" t="inlineStr">
        <is>
          <t>JÄMTLANDS LÄN</t>
        </is>
      </c>
      <c r="E471" t="inlineStr">
        <is>
          <t>BERG</t>
        </is>
      </c>
      <c r="G471" t="n">
        <v>5.1</v>
      </c>
      <c r="H471" t="n">
        <v>0</v>
      </c>
      <c r="I471" t="n">
        <v>0</v>
      </c>
      <c r="J471" t="n">
        <v>0</v>
      </c>
      <c r="K471" t="n">
        <v>0</v>
      </c>
      <c r="L471" t="n">
        <v>0</v>
      </c>
      <c r="M471" t="n">
        <v>0</v>
      </c>
      <c r="N471" t="n">
        <v>0</v>
      </c>
      <c r="O471" t="n">
        <v>0</v>
      </c>
      <c r="P471" t="n">
        <v>0</v>
      </c>
      <c r="Q471" t="n">
        <v>0</v>
      </c>
      <c r="R471" s="2" t="inlineStr"/>
    </row>
    <row r="472" ht="15" customHeight="1">
      <c r="A472" t="inlineStr">
        <is>
          <t>A 45171-2025</t>
        </is>
      </c>
      <c r="B472" s="1" t="n">
        <v>45919.50256944444</v>
      </c>
      <c r="C472" s="1" t="n">
        <v>46050</v>
      </c>
      <c r="D472" t="inlineStr">
        <is>
          <t>JÄMTLANDS LÄN</t>
        </is>
      </c>
      <c r="E472" t="inlineStr">
        <is>
          <t>BERG</t>
        </is>
      </c>
      <c r="F472" t="inlineStr">
        <is>
          <t>Övriga Aktiebolag</t>
        </is>
      </c>
      <c r="G472" t="n">
        <v>10.7</v>
      </c>
      <c r="H472" t="n">
        <v>0</v>
      </c>
      <c r="I472" t="n">
        <v>0</v>
      </c>
      <c r="J472" t="n">
        <v>0</v>
      </c>
      <c r="K472" t="n">
        <v>0</v>
      </c>
      <c r="L472" t="n">
        <v>0</v>
      </c>
      <c r="M472" t="n">
        <v>0</v>
      </c>
      <c r="N472" t="n">
        <v>0</v>
      </c>
      <c r="O472" t="n">
        <v>0</v>
      </c>
      <c r="P472" t="n">
        <v>0</v>
      </c>
      <c r="Q472" t="n">
        <v>0</v>
      </c>
      <c r="R472" s="2" t="inlineStr"/>
    </row>
    <row r="473" ht="15" customHeight="1">
      <c r="A473" t="inlineStr">
        <is>
          <t>A 32919-2025</t>
        </is>
      </c>
      <c r="B473" s="1" t="n">
        <v>45839.64721064815</v>
      </c>
      <c r="C473" s="1" t="n">
        <v>46050</v>
      </c>
      <c r="D473" t="inlineStr">
        <is>
          <t>JÄMTLANDS LÄN</t>
        </is>
      </c>
      <c r="E473" t="inlineStr">
        <is>
          <t>BERG</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64251-2023</t>
        </is>
      </c>
      <c r="B474" s="1" t="n">
        <v>45279.92756944444</v>
      </c>
      <c r="C474" s="1" t="n">
        <v>46050</v>
      </c>
      <c r="D474" t="inlineStr">
        <is>
          <t>JÄMTLANDS LÄN</t>
        </is>
      </c>
      <c r="E474" t="inlineStr">
        <is>
          <t>BERG</t>
        </is>
      </c>
      <c r="G474" t="n">
        <v>0.4</v>
      </c>
      <c r="H474" t="n">
        <v>0</v>
      </c>
      <c r="I474" t="n">
        <v>0</v>
      </c>
      <c r="J474" t="n">
        <v>0</v>
      </c>
      <c r="K474" t="n">
        <v>0</v>
      </c>
      <c r="L474" t="n">
        <v>0</v>
      </c>
      <c r="M474" t="n">
        <v>0</v>
      </c>
      <c r="N474" t="n">
        <v>0</v>
      </c>
      <c r="O474" t="n">
        <v>0</v>
      </c>
      <c r="P474" t="n">
        <v>0</v>
      </c>
      <c r="Q474" t="n">
        <v>0</v>
      </c>
      <c r="R474" s="2" t="inlineStr"/>
    </row>
    <row r="475" ht="15" customHeight="1">
      <c r="A475" t="inlineStr">
        <is>
          <t>A 33481-2023</t>
        </is>
      </c>
      <c r="B475" s="1" t="n">
        <v>45131</v>
      </c>
      <c r="C475" s="1" t="n">
        <v>46050</v>
      </c>
      <c r="D475" t="inlineStr">
        <is>
          <t>JÄMTLANDS LÄN</t>
        </is>
      </c>
      <c r="E475" t="inlineStr">
        <is>
          <t>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45129-2025</t>
        </is>
      </c>
      <c r="B476" s="1" t="n">
        <v>45919.43584490741</v>
      </c>
      <c r="C476" s="1" t="n">
        <v>46050</v>
      </c>
      <c r="D476" t="inlineStr">
        <is>
          <t>JÄMTLANDS LÄN</t>
        </is>
      </c>
      <c r="E476" t="inlineStr">
        <is>
          <t>BERG</t>
        </is>
      </c>
      <c r="F476" t="inlineStr">
        <is>
          <t>Övriga Aktiebolag</t>
        </is>
      </c>
      <c r="G476" t="n">
        <v>3.3</v>
      </c>
      <c r="H476" t="n">
        <v>0</v>
      </c>
      <c r="I476" t="n">
        <v>0</v>
      </c>
      <c r="J476" t="n">
        <v>0</v>
      </c>
      <c r="K476" t="n">
        <v>0</v>
      </c>
      <c r="L476" t="n">
        <v>0</v>
      </c>
      <c r="M476" t="n">
        <v>0</v>
      </c>
      <c r="N476" t="n">
        <v>0</v>
      </c>
      <c r="O476" t="n">
        <v>0</v>
      </c>
      <c r="P476" t="n">
        <v>0</v>
      </c>
      <c r="Q476" t="n">
        <v>0</v>
      </c>
      <c r="R476" s="2" t="inlineStr"/>
    </row>
    <row r="477" ht="15" customHeight="1">
      <c r="A477" t="inlineStr">
        <is>
          <t>A 45150-2025</t>
        </is>
      </c>
      <c r="B477" s="1" t="n">
        <v>45919.47131944444</v>
      </c>
      <c r="C477" s="1" t="n">
        <v>46050</v>
      </c>
      <c r="D477" t="inlineStr">
        <is>
          <t>JÄMTLANDS LÄN</t>
        </is>
      </c>
      <c r="E477" t="inlineStr">
        <is>
          <t>BERG</t>
        </is>
      </c>
      <c r="F477" t="inlineStr">
        <is>
          <t>Övriga Aktiebolag</t>
        </is>
      </c>
      <c r="G477" t="n">
        <v>9.6</v>
      </c>
      <c r="H477" t="n">
        <v>0</v>
      </c>
      <c r="I477" t="n">
        <v>0</v>
      </c>
      <c r="J477" t="n">
        <v>0</v>
      </c>
      <c r="K477" t="n">
        <v>0</v>
      </c>
      <c r="L477" t="n">
        <v>0</v>
      </c>
      <c r="M477" t="n">
        <v>0</v>
      </c>
      <c r="N477" t="n">
        <v>0</v>
      </c>
      <c r="O477" t="n">
        <v>0</v>
      </c>
      <c r="P477" t="n">
        <v>0</v>
      </c>
      <c r="Q477" t="n">
        <v>0</v>
      </c>
      <c r="R477" s="2" t="inlineStr"/>
    </row>
    <row r="478" ht="15" customHeight="1">
      <c r="A478" t="inlineStr">
        <is>
          <t>A 44811-2025</t>
        </is>
      </c>
      <c r="B478" s="1" t="n">
        <v>45918.37195601852</v>
      </c>
      <c r="C478" s="1" t="n">
        <v>46050</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45109-2025</t>
        </is>
      </c>
      <c r="B479" s="1" t="n">
        <v>45919.41850694444</v>
      </c>
      <c r="C479" s="1" t="n">
        <v>46050</v>
      </c>
      <c r="D479" t="inlineStr">
        <is>
          <t>JÄMTLANDS LÄN</t>
        </is>
      </c>
      <c r="E479" t="inlineStr">
        <is>
          <t>BERG</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45254-2025</t>
        </is>
      </c>
      <c r="B480" s="1" t="n">
        <v>45919.61523148148</v>
      </c>
      <c r="C480" s="1" t="n">
        <v>46050</v>
      </c>
      <c r="D480" t="inlineStr">
        <is>
          <t>JÄMTLANDS LÄN</t>
        </is>
      </c>
      <c r="E480" t="inlineStr">
        <is>
          <t>BERG</t>
        </is>
      </c>
      <c r="G480" t="n">
        <v>0.9</v>
      </c>
      <c r="H480" t="n">
        <v>0</v>
      </c>
      <c r="I480" t="n">
        <v>0</v>
      </c>
      <c r="J480" t="n">
        <v>0</v>
      </c>
      <c r="K480" t="n">
        <v>0</v>
      </c>
      <c r="L480" t="n">
        <v>0</v>
      </c>
      <c r="M480" t="n">
        <v>0</v>
      </c>
      <c r="N480" t="n">
        <v>0</v>
      </c>
      <c r="O480" t="n">
        <v>0</v>
      </c>
      <c r="P480" t="n">
        <v>0</v>
      </c>
      <c r="Q480" t="n">
        <v>0</v>
      </c>
      <c r="R480" s="2" t="inlineStr"/>
    </row>
    <row r="481" ht="15" customHeight="1">
      <c r="A481" t="inlineStr">
        <is>
          <t>A 45640-2025</t>
        </is>
      </c>
      <c r="B481" s="1" t="n">
        <v>45922.961875</v>
      </c>
      <c r="C481" s="1" t="n">
        <v>46050</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33054-2025</t>
        </is>
      </c>
      <c r="B482" s="1" t="n">
        <v>45840.42746527777</v>
      </c>
      <c r="C482" s="1" t="n">
        <v>46050</v>
      </c>
      <c r="D482" t="inlineStr">
        <is>
          <t>JÄMTLANDS LÄN</t>
        </is>
      </c>
      <c r="E482" t="inlineStr">
        <is>
          <t>BERG</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45568-2025</t>
        </is>
      </c>
      <c r="B483" s="1" t="n">
        <v>45922.65672453704</v>
      </c>
      <c r="C483" s="1" t="n">
        <v>46050</v>
      </c>
      <c r="D483" t="inlineStr">
        <is>
          <t>JÄMTLANDS LÄN</t>
        </is>
      </c>
      <c r="E483" t="inlineStr">
        <is>
          <t>BERG</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45570-2025</t>
        </is>
      </c>
      <c r="B484" s="1" t="n">
        <v>45922.65715277778</v>
      </c>
      <c r="C484" s="1" t="n">
        <v>46050</v>
      </c>
      <c r="D484" t="inlineStr">
        <is>
          <t>JÄMTLANDS LÄN</t>
        </is>
      </c>
      <c r="E484" t="inlineStr">
        <is>
          <t>BERG</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45459-2025</t>
        </is>
      </c>
      <c r="B485" s="1" t="n">
        <v>45922.49230324074</v>
      </c>
      <c r="C485" s="1" t="n">
        <v>46050</v>
      </c>
      <c r="D485" t="inlineStr">
        <is>
          <t>JÄMTLANDS LÄN</t>
        </is>
      </c>
      <c r="E485" t="inlineStr">
        <is>
          <t>BERG</t>
        </is>
      </c>
      <c r="F485" t="inlineStr">
        <is>
          <t>Kyrkan</t>
        </is>
      </c>
      <c r="G485" t="n">
        <v>8</v>
      </c>
      <c r="H485" t="n">
        <v>0</v>
      </c>
      <c r="I485" t="n">
        <v>0</v>
      </c>
      <c r="J485" t="n">
        <v>0</v>
      </c>
      <c r="K485" t="n">
        <v>0</v>
      </c>
      <c r="L485" t="n">
        <v>0</v>
      </c>
      <c r="M485" t="n">
        <v>0</v>
      </c>
      <c r="N485" t="n">
        <v>0</v>
      </c>
      <c r="O485" t="n">
        <v>0</v>
      </c>
      <c r="P485" t="n">
        <v>0</v>
      </c>
      <c r="Q485" t="n">
        <v>0</v>
      </c>
      <c r="R485" s="2" t="inlineStr"/>
    </row>
    <row r="486" ht="15" customHeight="1">
      <c r="A486" t="inlineStr">
        <is>
          <t>A 45912-2025</t>
        </is>
      </c>
      <c r="B486" s="1" t="n">
        <v>45923</v>
      </c>
      <c r="C486" s="1" t="n">
        <v>46050</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8711-2024</t>
        </is>
      </c>
      <c r="B487" s="1" t="n">
        <v>45356</v>
      </c>
      <c r="C487" s="1" t="n">
        <v>46050</v>
      </c>
      <c r="D487" t="inlineStr">
        <is>
          <t>JÄMTLANDS LÄN</t>
        </is>
      </c>
      <c r="E487" t="inlineStr">
        <is>
          <t>BERG</t>
        </is>
      </c>
      <c r="G487" t="n">
        <v>5.2</v>
      </c>
      <c r="H487" t="n">
        <v>0</v>
      </c>
      <c r="I487" t="n">
        <v>0</v>
      </c>
      <c r="J487" t="n">
        <v>0</v>
      </c>
      <c r="K487" t="n">
        <v>0</v>
      </c>
      <c r="L487" t="n">
        <v>0</v>
      </c>
      <c r="M487" t="n">
        <v>0</v>
      </c>
      <c r="N487" t="n">
        <v>0</v>
      </c>
      <c r="O487" t="n">
        <v>0</v>
      </c>
      <c r="P487" t="n">
        <v>0</v>
      </c>
      <c r="Q487" t="n">
        <v>0</v>
      </c>
      <c r="R487" s="2" t="inlineStr"/>
    </row>
    <row r="488" ht="15" customHeight="1">
      <c r="A488" t="inlineStr">
        <is>
          <t>A 45657-2025</t>
        </is>
      </c>
      <c r="B488" s="1" t="n">
        <v>45923.34453703704</v>
      </c>
      <c r="C488" s="1" t="n">
        <v>46050</v>
      </c>
      <c r="D488" t="inlineStr">
        <is>
          <t>JÄMTLANDS LÄN</t>
        </is>
      </c>
      <c r="E488" t="inlineStr">
        <is>
          <t>BERG</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14198-2023</t>
        </is>
      </c>
      <c r="B489" s="1" t="n">
        <v>45009.57518518518</v>
      </c>
      <c r="C489" s="1" t="n">
        <v>46050</v>
      </c>
      <c r="D489" t="inlineStr">
        <is>
          <t>JÄMTLANDS LÄN</t>
        </is>
      </c>
      <c r="E489" t="inlineStr">
        <is>
          <t>BERG</t>
        </is>
      </c>
      <c r="G489" t="n">
        <v>2.3</v>
      </c>
      <c r="H489" t="n">
        <v>0</v>
      </c>
      <c r="I489" t="n">
        <v>0</v>
      </c>
      <c r="J489" t="n">
        <v>0</v>
      </c>
      <c r="K489" t="n">
        <v>0</v>
      </c>
      <c r="L489" t="n">
        <v>0</v>
      </c>
      <c r="M489" t="n">
        <v>0</v>
      </c>
      <c r="N489" t="n">
        <v>0</v>
      </c>
      <c r="O489" t="n">
        <v>0</v>
      </c>
      <c r="P489" t="n">
        <v>0</v>
      </c>
      <c r="Q489" t="n">
        <v>0</v>
      </c>
      <c r="R489" s="2" t="inlineStr"/>
    </row>
    <row r="490" ht="15" customHeight="1">
      <c r="A490" t="inlineStr">
        <is>
          <t>A 1596-2024</t>
        </is>
      </c>
      <c r="B490" s="1" t="n">
        <v>45306</v>
      </c>
      <c r="C490" s="1" t="n">
        <v>46050</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45390-2025</t>
        </is>
      </c>
      <c r="B491" s="1" t="n">
        <v>45922.40762731482</v>
      </c>
      <c r="C491" s="1" t="n">
        <v>46050</v>
      </c>
      <c r="D491" t="inlineStr">
        <is>
          <t>JÄMTLANDS LÄN</t>
        </is>
      </c>
      <c r="E491" t="inlineStr">
        <is>
          <t>BERG</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33750-2025</t>
        </is>
      </c>
      <c r="B492" s="1" t="n">
        <v>45842.36243055556</v>
      </c>
      <c r="C492" s="1" t="n">
        <v>46050</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33748-2025</t>
        </is>
      </c>
      <c r="B493" s="1" t="n">
        <v>45842.35685185185</v>
      </c>
      <c r="C493" s="1" t="n">
        <v>46050</v>
      </c>
      <c r="D493" t="inlineStr">
        <is>
          <t>JÄMTLANDS LÄN</t>
        </is>
      </c>
      <c r="E493" t="inlineStr">
        <is>
          <t>BERG</t>
        </is>
      </c>
      <c r="G493" t="n">
        <v>2.1</v>
      </c>
      <c r="H493" t="n">
        <v>0</v>
      </c>
      <c r="I493" t="n">
        <v>0</v>
      </c>
      <c r="J493" t="n">
        <v>0</v>
      </c>
      <c r="K493" t="n">
        <v>0</v>
      </c>
      <c r="L493" t="n">
        <v>0</v>
      </c>
      <c r="M493" t="n">
        <v>0</v>
      </c>
      <c r="N493" t="n">
        <v>0</v>
      </c>
      <c r="O493" t="n">
        <v>0</v>
      </c>
      <c r="P493" t="n">
        <v>0</v>
      </c>
      <c r="Q493" t="n">
        <v>0</v>
      </c>
      <c r="R493" s="2" t="inlineStr"/>
    </row>
    <row r="494" ht="15" customHeight="1">
      <c r="A494" t="inlineStr">
        <is>
          <t>A 1520-2022</t>
        </is>
      </c>
      <c r="B494" s="1" t="n">
        <v>44572</v>
      </c>
      <c r="C494" s="1" t="n">
        <v>46050</v>
      </c>
      <c r="D494" t="inlineStr">
        <is>
          <t>JÄMTLANDS LÄN</t>
        </is>
      </c>
      <c r="E494" t="inlineStr">
        <is>
          <t>BERG</t>
        </is>
      </c>
      <c r="G494" t="n">
        <v>7.7</v>
      </c>
      <c r="H494" t="n">
        <v>0</v>
      </c>
      <c r="I494" t="n">
        <v>0</v>
      </c>
      <c r="J494" t="n">
        <v>0</v>
      </c>
      <c r="K494" t="n">
        <v>0</v>
      </c>
      <c r="L494" t="n">
        <v>0</v>
      </c>
      <c r="M494" t="n">
        <v>0</v>
      </c>
      <c r="N494" t="n">
        <v>0</v>
      </c>
      <c r="O494" t="n">
        <v>0</v>
      </c>
      <c r="P494" t="n">
        <v>0</v>
      </c>
      <c r="Q494" t="n">
        <v>0</v>
      </c>
      <c r="R494" s="2" t="inlineStr"/>
    </row>
    <row r="495" ht="15" customHeight="1">
      <c r="A495" t="inlineStr">
        <is>
          <t>A 34030-2025</t>
        </is>
      </c>
      <c r="B495" s="1" t="n">
        <v>45845.3633912037</v>
      </c>
      <c r="C495" s="1" t="n">
        <v>46050</v>
      </c>
      <c r="D495" t="inlineStr">
        <is>
          <t>JÄMTLANDS LÄN</t>
        </is>
      </c>
      <c r="E495" t="inlineStr">
        <is>
          <t>BERG</t>
        </is>
      </c>
      <c r="G495" t="n">
        <v>13.5</v>
      </c>
      <c r="H495" t="n">
        <v>0</v>
      </c>
      <c r="I495" t="n">
        <v>0</v>
      </c>
      <c r="J495" t="n">
        <v>0</v>
      </c>
      <c r="K495" t="n">
        <v>0</v>
      </c>
      <c r="L495" t="n">
        <v>0</v>
      </c>
      <c r="M495" t="n">
        <v>0</v>
      </c>
      <c r="N495" t="n">
        <v>0</v>
      </c>
      <c r="O495" t="n">
        <v>0</v>
      </c>
      <c r="P495" t="n">
        <v>0</v>
      </c>
      <c r="Q495" t="n">
        <v>0</v>
      </c>
      <c r="R495" s="2" t="inlineStr"/>
    </row>
    <row r="496" ht="15" customHeight="1">
      <c r="A496" t="inlineStr">
        <is>
          <t>A 33753-2025</t>
        </is>
      </c>
      <c r="B496" s="1" t="n">
        <v>45842.37199074074</v>
      </c>
      <c r="C496" s="1" t="n">
        <v>46050</v>
      </c>
      <c r="D496" t="inlineStr">
        <is>
          <t>JÄMTLANDS LÄN</t>
        </is>
      </c>
      <c r="E496" t="inlineStr">
        <is>
          <t>BERG</t>
        </is>
      </c>
      <c r="G496" t="n">
        <v>1</v>
      </c>
      <c r="H496" t="n">
        <v>0</v>
      </c>
      <c r="I496" t="n">
        <v>0</v>
      </c>
      <c r="J496" t="n">
        <v>0</v>
      </c>
      <c r="K496" t="n">
        <v>0</v>
      </c>
      <c r="L496" t="n">
        <v>0</v>
      </c>
      <c r="M496" t="n">
        <v>0</v>
      </c>
      <c r="N496" t="n">
        <v>0</v>
      </c>
      <c r="O496" t="n">
        <v>0</v>
      </c>
      <c r="P496" t="n">
        <v>0</v>
      </c>
      <c r="Q496" t="n">
        <v>0</v>
      </c>
      <c r="R496" s="2" t="inlineStr"/>
    </row>
    <row r="497" ht="15" customHeight="1">
      <c r="A497" t="inlineStr">
        <is>
          <t>A 34036-2025</t>
        </is>
      </c>
      <c r="B497" s="1" t="n">
        <v>45845.36954861111</v>
      </c>
      <c r="C497" s="1" t="n">
        <v>46050</v>
      </c>
      <c r="D497" t="inlineStr">
        <is>
          <t>JÄMTLANDS LÄN</t>
        </is>
      </c>
      <c r="E497" t="inlineStr">
        <is>
          <t>BERG</t>
        </is>
      </c>
      <c r="G497" t="n">
        <v>4.8</v>
      </c>
      <c r="H497" t="n">
        <v>0</v>
      </c>
      <c r="I497" t="n">
        <v>0</v>
      </c>
      <c r="J497" t="n">
        <v>0</v>
      </c>
      <c r="K497" t="n">
        <v>0</v>
      </c>
      <c r="L497" t="n">
        <v>0</v>
      </c>
      <c r="M497" t="n">
        <v>0</v>
      </c>
      <c r="N497" t="n">
        <v>0</v>
      </c>
      <c r="O497" t="n">
        <v>0</v>
      </c>
      <c r="P497" t="n">
        <v>0</v>
      </c>
      <c r="Q497" t="n">
        <v>0</v>
      </c>
      <c r="R497" s="2" t="inlineStr"/>
    </row>
    <row r="498" ht="15" customHeight="1">
      <c r="A498" t="inlineStr">
        <is>
          <t>A 27239-2023</t>
        </is>
      </c>
      <c r="B498" s="1" t="n">
        <v>45092</v>
      </c>
      <c r="C498" s="1" t="n">
        <v>46050</v>
      </c>
      <c r="D498" t="inlineStr">
        <is>
          <t>JÄMTLANDS LÄN</t>
        </is>
      </c>
      <c r="E498" t="inlineStr">
        <is>
          <t>BERG</t>
        </is>
      </c>
      <c r="G498" t="n">
        <v>5.3</v>
      </c>
      <c r="H498" t="n">
        <v>0</v>
      </c>
      <c r="I498" t="n">
        <v>0</v>
      </c>
      <c r="J498" t="n">
        <v>0</v>
      </c>
      <c r="K498" t="n">
        <v>0</v>
      </c>
      <c r="L498" t="n">
        <v>0</v>
      </c>
      <c r="M498" t="n">
        <v>0</v>
      </c>
      <c r="N498" t="n">
        <v>0</v>
      </c>
      <c r="O498" t="n">
        <v>0</v>
      </c>
      <c r="P498" t="n">
        <v>0</v>
      </c>
      <c r="Q498" t="n">
        <v>0</v>
      </c>
      <c r="R498" s="2" t="inlineStr"/>
    </row>
    <row r="499" ht="15" customHeight="1">
      <c r="A499" t="inlineStr">
        <is>
          <t>A 32248-2024</t>
        </is>
      </c>
      <c r="B499" s="1" t="n">
        <v>45511.95144675926</v>
      </c>
      <c r="C499" s="1" t="n">
        <v>46050</v>
      </c>
      <c r="D499" t="inlineStr">
        <is>
          <t>JÄMTLANDS LÄN</t>
        </is>
      </c>
      <c r="E499" t="inlineStr">
        <is>
          <t>BERG</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39103-2024</t>
        </is>
      </c>
      <c r="B500" s="1" t="n">
        <v>45548.57025462963</v>
      </c>
      <c r="C500" s="1" t="n">
        <v>46050</v>
      </c>
      <c r="D500" t="inlineStr">
        <is>
          <t>JÄMTLANDS LÄN</t>
        </is>
      </c>
      <c r="E500" t="inlineStr">
        <is>
          <t>BERG</t>
        </is>
      </c>
      <c r="G500" t="n">
        <v>38.4</v>
      </c>
      <c r="H500" t="n">
        <v>0</v>
      </c>
      <c r="I500" t="n">
        <v>0</v>
      </c>
      <c r="J500" t="n">
        <v>0</v>
      </c>
      <c r="K500" t="n">
        <v>0</v>
      </c>
      <c r="L500" t="n">
        <v>0</v>
      </c>
      <c r="M500" t="n">
        <v>0</v>
      </c>
      <c r="N500" t="n">
        <v>0</v>
      </c>
      <c r="O500" t="n">
        <v>0</v>
      </c>
      <c r="P500" t="n">
        <v>0</v>
      </c>
      <c r="Q500" t="n">
        <v>0</v>
      </c>
      <c r="R500" s="2" t="inlineStr"/>
    </row>
    <row r="501" ht="15" customHeight="1">
      <c r="A501" t="inlineStr">
        <is>
          <t>A 8191-2025</t>
        </is>
      </c>
      <c r="B501" s="1" t="n">
        <v>45708.40821759259</v>
      </c>
      <c r="C501" s="1" t="n">
        <v>46050</v>
      </c>
      <c r="D501" t="inlineStr">
        <is>
          <t>JÄMTLANDS LÄN</t>
        </is>
      </c>
      <c r="E501" t="inlineStr">
        <is>
          <t>BERG</t>
        </is>
      </c>
      <c r="G501" t="n">
        <v>1.1</v>
      </c>
      <c r="H501" t="n">
        <v>0</v>
      </c>
      <c r="I501" t="n">
        <v>0</v>
      </c>
      <c r="J501" t="n">
        <v>0</v>
      </c>
      <c r="K501" t="n">
        <v>0</v>
      </c>
      <c r="L501" t="n">
        <v>0</v>
      </c>
      <c r="M501" t="n">
        <v>0</v>
      </c>
      <c r="N501" t="n">
        <v>0</v>
      </c>
      <c r="O501" t="n">
        <v>0</v>
      </c>
      <c r="P501" t="n">
        <v>0</v>
      </c>
      <c r="Q501" t="n">
        <v>0</v>
      </c>
      <c r="R501" s="2" t="inlineStr"/>
    </row>
    <row r="502" ht="15" customHeight="1">
      <c r="A502" t="inlineStr">
        <is>
          <t>A 46853-2025</t>
        </is>
      </c>
      <c r="B502" s="1" t="n">
        <v>45928.86563657408</v>
      </c>
      <c r="C502" s="1" t="n">
        <v>46050</v>
      </c>
      <c r="D502" t="inlineStr">
        <is>
          <t>JÄMTLANDS LÄN</t>
        </is>
      </c>
      <c r="E502" t="inlineStr">
        <is>
          <t>BERG</t>
        </is>
      </c>
      <c r="F502" t="inlineStr">
        <is>
          <t>Kyrkan</t>
        </is>
      </c>
      <c r="G502" t="n">
        <v>7.9</v>
      </c>
      <c r="H502" t="n">
        <v>0</v>
      </c>
      <c r="I502" t="n">
        <v>0</v>
      </c>
      <c r="J502" t="n">
        <v>0</v>
      </c>
      <c r="K502" t="n">
        <v>0</v>
      </c>
      <c r="L502" t="n">
        <v>0</v>
      </c>
      <c r="M502" t="n">
        <v>0</v>
      </c>
      <c r="N502" t="n">
        <v>0</v>
      </c>
      <c r="O502" t="n">
        <v>0</v>
      </c>
      <c r="P502" t="n">
        <v>0</v>
      </c>
      <c r="Q502" t="n">
        <v>0</v>
      </c>
      <c r="R502" s="2" t="inlineStr"/>
    </row>
    <row r="503" ht="15" customHeight="1">
      <c r="A503" t="inlineStr">
        <is>
          <t>A 34892-2025</t>
        </is>
      </c>
      <c r="B503" s="1" t="n">
        <v>45849.49047453704</v>
      </c>
      <c r="C503" s="1" t="n">
        <v>46050</v>
      </c>
      <c r="D503" t="inlineStr">
        <is>
          <t>JÄMTLANDS LÄN</t>
        </is>
      </c>
      <c r="E503" t="inlineStr">
        <is>
          <t>BERG</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46854-2025</t>
        </is>
      </c>
      <c r="B504" s="1" t="n">
        <v>45928.87376157408</v>
      </c>
      <c r="C504" s="1" t="n">
        <v>46050</v>
      </c>
      <c r="D504" t="inlineStr">
        <is>
          <t>JÄMTLANDS LÄN</t>
        </is>
      </c>
      <c r="E504" t="inlineStr">
        <is>
          <t>BERG</t>
        </is>
      </c>
      <c r="F504" t="inlineStr">
        <is>
          <t>Kyrkan</t>
        </is>
      </c>
      <c r="G504" t="n">
        <v>4.8</v>
      </c>
      <c r="H504" t="n">
        <v>0</v>
      </c>
      <c r="I504" t="n">
        <v>0</v>
      </c>
      <c r="J504" t="n">
        <v>0</v>
      </c>
      <c r="K504" t="n">
        <v>0</v>
      </c>
      <c r="L504" t="n">
        <v>0</v>
      </c>
      <c r="M504" t="n">
        <v>0</v>
      </c>
      <c r="N504" t="n">
        <v>0</v>
      </c>
      <c r="O504" t="n">
        <v>0</v>
      </c>
      <c r="P504" t="n">
        <v>0</v>
      </c>
      <c r="Q504" t="n">
        <v>0</v>
      </c>
      <c r="R504" s="2" t="inlineStr"/>
    </row>
    <row r="505" ht="15" customHeight="1">
      <c r="A505" t="inlineStr">
        <is>
          <t>A 46908-2025</t>
        </is>
      </c>
      <c r="B505" s="1" t="n">
        <v>45929.40664351852</v>
      </c>
      <c r="C505" s="1" t="n">
        <v>46050</v>
      </c>
      <c r="D505" t="inlineStr">
        <is>
          <t>JÄMTLANDS LÄN</t>
        </is>
      </c>
      <c r="E505" t="inlineStr">
        <is>
          <t>BERG</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47137-2025</t>
        </is>
      </c>
      <c r="B506" s="1" t="n">
        <v>45929.69876157407</v>
      </c>
      <c r="C506" s="1" t="n">
        <v>46050</v>
      </c>
      <c r="D506" t="inlineStr">
        <is>
          <t>JÄMTLANDS LÄN</t>
        </is>
      </c>
      <c r="E506" t="inlineStr">
        <is>
          <t>BERG</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47145-2025</t>
        </is>
      </c>
      <c r="B507" s="1" t="n">
        <v>45929.71310185185</v>
      </c>
      <c r="C507" s="1" t="n">
        <v>46050</v>
      </c>
      <c r="D507" t="inlineStr">
        <is>
          <t>JÄMTLANDS LÄN</t>
        </is>
      </c>
      <c r="E507" t="inlineStr">
        <is>
          <t>BERG</t>
        </is>
      </c>
      <c r="G507" t="n">
        <v>3.5</v>
      </c>
      <c r="H507" t="n">
        <v>0</v>
      </c>
      <c r="I507" t="n">
        <v>0</v>
      </c>
      <c r="J507" t="n">
        <v>0</v>
      </c>
      <c r="K507" t="n">
        <v>0</v>
      </c>
      <c r="L507" t="n">
        <v>0</v>
      </c>
      <c r="M507" t="n">
        <v>0</v>
      </c>
      <c r="N507" t="n">
        <v>0</v>
      </c>
      <c r="O507" t="n">
        <v>0</v>
      </c>
      <c r="P507" t="n">
        <v>0</v>
      </c>
      <c r="Q507" t="n">
        <v>0</v>
      </c>
      <c r="R507" s="2" t="inlineStr"/>
    </row>
    <row r="508" ht="15" customHeight="1">
      <c r="A508" t="inlineStr">
        <is>
          <t>A 35183-2025</t>
        </is>
      </c>
      <c r="B508" s="1" t="n">
        <v>45853.29931712963</v>
      </c>
      <c r="C508" s="1" t="n">
        <v>46050</v>
      </c>
      <c r="D508" t="inlineStr">
        <is>
          <t>JÄMTLANDS LÄN</t>
        </is>
      </c>
      <c r="E508" t="inlineStr">
        <is>
          <t>BERG</t>
        </is>
      </c>
      <c r="G508" t="n">
        <v>2.8</v>
      </c>
      <c r="H508" t="n">
        <v>0</v>
      </c>
      <c r="I508" t="n">
        <v>0</v>
      </c>
      <c r="J508" t="n">
        <v>0</v>
      </c>
      <c r="K508" t="n">
        <v>0</v>
      </c>
      <c r="L508" t="n">
        <v>0</v>
      </c>
      <c r="M508" t="n">
        <v>0</v>
      </c>
      <c r="N508" t="n">
        <v>0</v>
      </c>
      <c r="O508" t="n">
        <v>0</v>
      </c>
      <c r="P508" t="n">
        <v>0</v>
      </c>
      <c r="Q508" t="n">
        <v>0</v>
      </c>
      <c r="R508" s="2" t="inlineStr"/>
    </row>
    <row r="509" ht="15" customHeight="1">
      <c r="A509" t="inlineStr">
        <is>
          <t>A 25565-2023</t>
        </is>
      </c>
      <c r="B509" s="1" t="n">
        <v>45082</v>
      </c>
      <c r="C509" s="1" t="n">
        <v>46050</v>
      </c>
      <c r="D509" t="inlineStr">
        <is>
          <t>JÄMTLANDS LÄN</t>
        </is>
      </c>
      <c r="E509" t="inlineStr">
        <is>
          <t>BERG</t>
        </is>
      </c>
      <c r="G509" t="n">
        <v>3.1</v>
      </c>
      <c r="H509" t="n">
        <v>0</v>
      </c>
      <c r="I509" t="n">
        <v>0</v>
      </c>
      <c r="J509" t="n">
        <v>0</v>
      </c>
      <c r="K509" t="n">
        <v>0</v>
      </c>
      <c r="L509" t="n">
        <v>0</v>
      </c>
      <c r="M509" t="n">
        <v>0</v>
      </c>
      <c r="N509" t="n">
        <v>0</v>
      </c>
      <c r="O509" t="n">
        <v>0</v>
      </c>
      <c r="P509" t="n">
        <v>0</v>
      </c>
      <c r="Q509" t="n">
        <v>0</v>
      </c>
      <c r="R509" s="2" t="inlineStr"/>
    </row>
    <row r="510" ht="15" customHeight="1">
      <c r="A510" t="inlineStr">
        <is>
          <t>A 35213-2025</t>
        </is>
      </c>
      <c r="B510" s="1" t="n">
        <v>45853.46494212963</v>
      </c>
      <c r="C510" s="1" t="n">
        <v>46050</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35184-2025</t>
        </is>
      </c>
      <c r="B511" s="1" t="n">
        <v>45853.30270833334</v>
      </c>
      <c r="C511" s="1" t="n">
        <v>46050</v>
      </c>
      <c r="D511" t="inlineStr">
        <is>
          <t>JÄMTLANDS LÄN</t>
        </is>
      </c>
      <c r="E511" t="inlineStr">
        <is>
          <t>BERG</t>
        </is>
      </c>
      <c r="G511" t="n">
        <v>1.4</v>
      </c>
      <c r="H511" t="n">
        <v>0</v>
      </c>
      <c r="I511" t="n">
        <v>0</v>
      </c>
      <c r="J511" t="n">
        <v>0</v>
      </c>
      <c r="K511" t="n">
        <v>0</v>
      </c>
      <c r="L511" t="n">
        <v>0</v>
      </c>
      <c r="M511" t="n">
        <v>0</v>
      </c>
      <c r="N511" t="n">
        <v>0</v>
      </c>
      <c r="O511" t="n">
        <v>0</v>
      </c>
      <c r="P511" t="n">
        <v>0</v>
      </c>
      <c r="Q511" t="n">
        <v>0</v>
      </c>
      <c r="R511" s="2" t="inlineStr"/>
    </row>
    <row r="512" ht="15" customHeight="1">
      <c r="A512" t="inlineStr">
        <is>
          <t>A 57661-2024</t>
        </is>
      </c>
      <c r="B512" s="1" t="n">
        <v>45630.6140162037</v>
      </c>
      <c r="C512" s="1" t="n">
        <v>46050</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45208-2024</t>
        </is>
      </c>
      <c r="B513" s="1" t="n">
        <v>45575.7077662037</v>
      </c>
      <c r="C513" s="1" t="n">
        <v>46050</v>
      </c>
      <c r="D513" t="inlineStr">
        <is>
          <t>JÄMTLANDS LÄN</t>
        </is>
      </c>
      <c r="E513" t="inlineStr">
        <is>
          <t>BERG</t>
        </is>
      </c>
      <c r="G513" t="n">
        <v>1.9</v>
      </c>
      <c r="H513" t="n">
        <v>0</v>
      </c>
      <c r="I513" t="n">
        <v>0</v>
      </c>
      <c r="J513" t="n">
        <v>0</v>
      </c>
      <c r="K513" t="n">
        <v>0</v>
      </c>
      <c r="L513" t="n">
        <v>0</v>
      </c>
      <c r="M513" t="n">
        <v>0</v>
      </c>
      <c r="N513" t="n">
        <v>0</v>
      </c>
      <c r="O513" t="n">
        <v>0</v>
      </c>
      <c r="P513" t="n">
        <v>0</v>
      </c>
      <c r="Q513" t="n">
        <v>0</v>
      </c>
      <c r="R513" s="2" t="inlineStr"/>
    </row>
    <row r="514" ht="15" customHeight="1">
      <c r="A514" t="inlineStr">
        <is>
          <t>A 47135-2025</t>
        </is>
      </c>
      <c r="B514" s="1" t="n">
        <v>45929.69799768519</v>
      </c>
      <c r="C514" s="1" t="n">
        <v>46050</v>
      </c>
      <c r="D514" t="inlineStr">
        <is>
          <t>JÄMTLANDS LÄN</t>
        </is>
      </c>
      <c r="E514" t="inlineStr">
        <is>
          <t>BERG</t>
        </is>
      </c>
      <c r="G514" t="n">
        <v>0.6</v>
      </c>
      <c r="H514" t="n">
        <v>0</v>
      </c>
      <c r="I514" t="n">
        <v>0</v>
      </c>
      <c r="J514" t="n">
        <v>0</v>
      </c>
      <c r="K514" t="n">
        <v>0</v>
      </c>
      <c r="L514" t="n">
        <v>0</v>
      </c>
      <c r="M514" t="n">
        <v>0</v>
      </c>
      <c r="N514" t="n">
        <v>0</v>
      </c>
      <c r="O514" t="n">
        <v>0</v>
      </c>
      <c r="P514" t="n">
        <v>0</v>
      </c>
      <c r="Q514" t="n">
        <v>0</v>
      </c>
      <c r="R514" s="2" t="inlineStr"/>
    </row>
    <row r="515" ht="15" customHeight="1">
      <c r="A515" t="inlineStr">
        <is>
          <t>A 46811-2025</t>
        </is>
      </c>
      <c r="B515" s="1" t="n">
        <v>45926.69831018519</v>
      </c>
      <c r="C515" s="1" t="n">
        <v>46050</v>
      </c>
      <c r="D515" t="inlineStr">
        <is>
          <t>JÄMTLANDS LÄN</t>
        </is>
      </c>
      <c r="E515" t="inlineStr">
        <is>
          <t>BERG</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35866-2024</t>
        </is>
      </c>
      <c r="B516" s="1" t="n">
        <v>45533.3422337963</v>
      </c>
      <c r="C516" s="1" t="n">
        <v>46050</v>
      </c>
      <c r="D516" t="inlineStr">
        <is>
          <t>JÄMTLANDS LÄN</t>
        </is>
      </c>
      <c r="E516" t="inlineStr">
        <is>
          <t>BERG</t>
        </is>
      </c>
      <c r="G516" t="n">
        <v>2.5</v>
      </c>
      <c r="H516" t="n">
        <v>0</v>
      </c>
      <c r="I516" t="n">
        <v>0</v>
      </c>
      <c r="J516" t="n">
        <v>0</v>
      </c>
      <c r="K516" t="n">
        <v>0</v>
      </c>
      <c r="L516" t="n">
        <v>0</v>
      </c>
      <c r="M516" t="n">
        <v>0</v>
      </c>
      <c r="N516" t="n">
        <v>0</v>
      </c>
      <c r="O516" t="n">
        <v>0</v>
      </c>
      <c r="P516" t="n">
        <v>0</v>
      </c>
      <c r="Q516" t="n">
        <v>0</v>
      </c>
      <c r="R516" s="2" t="inlineStr"/>
    </row>
    <row r="517" ht="15" customHeight="1">
      <c r="A517" t="inlineStr">
        <is>
          <t>A 47141-2025</t>
        </is>
      </c>
      <c r="B517" s="1" t="n">
        <v>45929.70355324074</v>
      </c>
      <c r="C517" s="1" t="n">
        <v>46050</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35363-2025</t>
        </is>
      </c>
      <c r="B518" s="1" t="n">
        <v>45854.67538194444</v>
      </c>
      <c r="C518" s="1" t="n">
        <v>46050</v>
      </c>
      <c r="D518" t="inlineStr">
        <is>
          <t>JÄMTLANDS LÄN</t>
        </is>
      </c>
      <c r="E518" t="inlineStr">
        <is>
          <t>BERG</t>
        </is>
      </c>
      <c r="G518" t="n">
        <v>9.5</v>
      </c>
      <c r="H518" t="n">
        <v>0</v>
      </c>
      <c r="I518" t="n">
        <v>0</v>
      </c>
      <c r="J518" t="n">
        <v>0</v>
      </c>
      <c r="K518" t="n">
        <v>0</v>
      </c>
      <c r="L518" t="n">
        <v>0</v>
      </c>
      <c r="M518" t="n">
        <v>0</v>
      </c>
      <c r="N518" t="n">
        <v>0</v>
      </c>
      <c r="O518" t="n">
        <v>0</v>
      </c>
      <c r="P518" t="n">
        <v>0</v>
      </c>
      <c r="Q518" t="n">
        <v>0</v>
      </c>
      <c r="R518" s="2" t="inlineStr"/>
    </row>
    <row r="519" ht="15" customHeight="1">
      <c r="A519" t="inlineStr">
        <is>
          <t>A 46584-2025</t>
        </is>
      </c>
      <c r="B519" s="1" t="n">
        <v>45926</v>
      </c>
      <c r="C519" s="1" t="n">
        <v>46050</v>
      </c>
      <c r="D519" t="inlineStr">
        <is>
          <t>JÄMTLANDS LÄN</t>
        </is>
      </c>
      <c r="E519" t="inlineStr">
        <is>
          <t>BERG</t>
        </is>
      </c>
      <c r="G519" t="n">
        <v>17.1</v>
      </c>
      <c r="H519" t="n">
        <v>0</v>
      </c>
      <c r="I519" t="n">
        <v>0</v>
      </c>
      <c r="J519" t="n">
        <v>0</v>
      </c>
      <c r="K519" t="n">
        <v>0</v>
      </c>
      <c r="L519" t="n">
        <v>0</v>
      </c>
      <c r="M519" t="n">
        <v>0</v>
      </c>
      <c r="N519" t="n">
        <v>0</v>
      </c>
      <c r="O519" t="n">
        <v>0</v>
      </c>
      <c r="P519" t="n">
        <v>0</v>
      </c>
      <c r="Q519" t="n">
        <v>0</v>
      </c>
      <c r="R519" s="2" t="inlineStr"/>
    </row>
    <row r="520" ht="15" customHeight="1">
      <c r="A520" t="inlineStr">
        <is>
          <t>A 14772-2021</t>
        </is>
      </c>
      <c r="B520" s="1" t="n">
        <v>44280.62068287037</v>
      </c>
      <c r="C520" s="1" t="n">
        <v>46050</v>
      </c>
      <c r="D520" t="inlineStr">
        <is>
          <t>JÄMTLANDS LÄN</t>
        </is>
      </c>
      <c r="E520" t="inlineStr">
        <is>
          <t>BERG</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35360-2025</t>
        </is>
      </c>
      <c r="B521" s="1" t="n">
        <v>45854.66877314815</v>
      </c>
      <c r="C521" s="1" t="n">
        <v>46050</v>
      </c>
      <c r="D521" t="inlineStr">
        <is>
          <t>JÄMTLANDS LÄN</t>
        </is>
      </c>
      <c r="E521" t="inlineStr">
        <is>
          <t>BERG</t>
        </is>
      </c>
      <c r="G521" t="n">
        <v>3.7</v>
      </c>
      <c r="H521" t="n">
        <v>0</v>
      </c>
      <c r="I521" t="n">
        <v>0</v>
      </c>
      <c r="J521" t="n">
        <v>0</v>
      </c>
      <c r="K521" t="n">
        <v>0</v>
      </c>
      <c r="L521" t="n">
        <v>0</v>
      </c>
      <c r="M521" t="n">
        <v>0</v>
      </c>
      <c r="N521" t="n">
        <v>0</v>
      </c>
      <c r="O521" t="n">
        <v>0</v>
      </c>
      <c r="P521" t="n">
        <v>0</v>
      </c>
      <c r="Q521" t="n">
        <v>0</v>
      </c>
      <c r="R521" s="2" t="inlineStr"/>
    </row>
    <row r="522" ht="15" customHeight="1">
      <c r="A522" t="inlineStr">
        <is>
          <t>A 35576-2025</t>
        </is>
      </c>
      <c r="B522" s="1" t="n">
        <v>45856.63608796296</v>
      </c>
      <c r="C522" s="1" t="n">
        <v>46050</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47428-2025</t>
        </is>
      </c>
      <c r="B523" s="1" t="n">
        <v>45930</v>
      </c>
      <c r="C523" s="1" t="n">
        <v>46050</v>
      </c>
      <c r="D523" t="inlineStr">
        <is>
          <t>JÄMTLANDS LÄN</t>
        </is>
      </c>
      <c r="E523" t="inlineStr">
        <is>
          <t>BERG</t>
        </is>
      </c>
      <c r="G523" t="n">
        <v>3.4</v>
      </c>
      <c r="H523" t="n">
        <v>0</v>
      </c>
      <c r="I523" t="n">
        <v>0</v>
      </c>
      <c r="J523" t="n">
        <v>0</v>
      </c>
      <c r="K523" t="n">
        <v>0</v>
      </c>
      <c r="L523" t="n">
        <v>0</v>
      </c>
      <c r="M523" t="n">
        <v>0</v>
      </c>
      <c r="N523" t="n">
        <v>0</v>
      </c>
      <c r="O523" t="n">
        <v>0</v>
      </c>
      <c r="P523" t="n">
        <v>0</v>
      </c>
      <c r="Q523" t="n">
        <v>0</v>
      </c>
      <c r="R523" s="2" t="inlineStr"/>
    </row>
    <row r="524" ht="15" customHeight="1">
      <c r="A524" t="inlineStr">
        <is>
          <t>A 47193-2025</t>
        </is>
      </c>
      <c r="B524" s="1" t="n">
        <v>45930.34469907408</v>
      </c>
      <c r="C524" s="1" t="n">
        <v>46050</v>
      </c>
      <c r="D524" t="inlineStr">
        <is>
          <t>JÄMTLANDS LÄN</t>
        </is>
      </c>
      <c r="E524" t="inlineStr">
        <is>
          <t>BERG</t>
        </is>
      </c>
      <c r="F524" t="inlineStr">
        <is>
          <t>SCA</t>
        </is>
      </c>
      <c r="G524" t="n">
        <v>6.1</v>
      </c>
      <c r="H524" t="n">
        <v>0</v>
      </c>
      <c r="I524" t="n">
        <v>0</v>
      </c>
      <c r="J524" t="n">
        <v>0</v>
      </c>
      <c r="K524" t="n">
        <v>0</v>
      </c>
      <c r="L524" t="n">
        <v>0</v>
      </c>
      <c r="M524" t="n">
        <v>0</v>
      </c>
      <c r="N524" t="n">
        <v>0</v>
      </c>
      <c r="O524" t="n">
        <v>0</v>
      </c>
      <c r="P524" t="n">
        <v>0</v>
      </c>
      <c r="Q524" t="n">
        <v>0</v>
      </c>
      <c r="R524" s="2" t="inlineStr"/>
    </row>
    <row r="525" ht="15" customHeight="1">
      <c r="A525" t="inlineStr">
        <is>
          <t>A 47533-2025</t>
        </is>
      </c>
      <c r="B525" s="1" t="n">
        <v>45931.34659722223</v>
      </c>
      <c r="C525" s="1" t="n">
        <v>46050</v>
      </c>
      <c r="D525" t="inlineStr">
        <is>
          <t>JÄMTLANDS LÄN</t>
        </is>
      </c>
      <c r="E525" t="inlineStr">
        <is>
          <t>BERG</t>
        </is>
      </c>
      <c r="G525" t="n">
        <v>3.1</v>
      </c>
      <c r="H525" t="n">
        <v>0</v>
      </c>
      <c r="I525" t="n">
        <v>0</v>
      </c>
      <c r="J525" t="n">
        <v>0</v>
      </c>
      <c r="K525" t="n">
        <v>0</v>
      </c>
      <c r="L525" t="n">
        <v>0</v>
      </c>
      <c r="M525" t="n">
        <v>0</v>
      </c>
      <c r="N525" t="n">
        <v>0</v>
      </c>
      <c r="O525" t="n">
        <v>0</v>
      </c>
      <c r="P525" t="n">
        <v>0</v>
      </c>
      <c r="Q525" t="n">
        <v>0</v>
      </c>
      <c r="R525" s="2" t="inlineStr"/>
    </row>
    <row r="526" ht="15" customHeight="1">
      <c r="A526" t="inlineStr">
        <is>
          <t>A 47430-2025</t>
        </is>
      </c>
      <c r="B526" s="1" t="n">
        <v>45930.63619212963</v>
      </c>
      <c r="C526" s="1" t="n">
        <v>46050</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47431-2025</t>
        </is>
      </c>
      <c r="B527" s="1" t="n">
        <v>45930.63626157407</v>
      </c>
      <c r="C527" s="1" t="n">
        <v>46050</v>
      </c>
      <c r="D527" t="inlineStr">
        <is>
          <t>JÄMTLANDS LÄN</t>
        </is>
      </c>
      <c r="E527" t="inlineStr">
        <is>
          <t>BERG</t>
        </is>
      </c>
      <c r="F527" t="inlineStr">
        <is>
          <t>SCA</t>
        </is>
      </c>
      <c r="G527" t="n">
        <v>9.5</v>
      </c>
      <c r="H527" t="n">
        <v>0</v>
      </c>
      <c r="I527" t="n">
        <v>0</v>
      </c>
      <c r="J527" t="n">
        <v>0</v>
      </c>
      <c r="K527" t="n">
        <v>0</v>
      </c>
      <c r="L527" t="n">
        <v>0</v>
      </c>
      <c r="M527" t="n">
        <v>0</v>
      </c>
      <c r="N527" t="n">
        <v>0</v>
      </c>
      <c r="O527" t="n">
        <v>0</v>
      </c>
      <c r="P527" t="n">
        <v>0</v>
      </c>
      <c r="Q527" t="n">
        <v>0</v>
      </c>
      <c r="R527" s="2" t="inlineStr"/>
    </row>
    <row r="528" ht="15" customHeight="1">
      <c r="A528" t="inlineStr">
        <is>
          <t>A 47197-2025</t>
        </is>
      </c>
      <c r="B528" s="1" t="n">
        <v>45930.34533564815</v>
      </c>
      <c r="C528" s="1" t="n">
        <v>46050</v>
      </c>
      <c r="D528" t="inlineStr">
        <is>
          <t>JÄMTLANDS LÄN</t>
        </is>
      </c>
      <c r="E528" t="inlineStr">
        <is>
          <t>BERG</t>
        </is>
      </c>
      <c r="F528" t="inlineStr">
        <is>
          <t>SCA</t>
        </is>
      </c>
      <c r="G528" t="n">
        <v>5.4</v>
      </c>
      <c r="H528" t="n">
        <v>0</v>
      </c>
      <c r="I528" t="n">
        <v>0</v>
      </c>
      <c r="J528" t="n">
        <v>0</v>
      </c>
      <c r="K528" t="n">
        <v>0</v>
      </c>
      <c r="L528" t="n">
        <v>0</v>
      </c>
      <c r="M528" t="n">
        <v>0</v>
      </c>
      <c r="N528" t="n">
        <v>0</v>
      </c>
      <c r="O528" t="n">
        <v>0</v>
      </c>
      <c r="P528" t="n">
        <v>0</v>
      </c>
      <c r="Q528" t="n">
        <v>0</v>
      </c>
      <c r="R528" s="2" t="inlineStr"/>
    </row>
    <row r="529" ht="15" customHeight="1">
      <c r="A529" t="inlineStr">
        <is>
          <t>A 35684-2025</t>
        </is>
      </c>
      <c r="B529" s="1" t="n">
        <v>45859.88079861111</v>
      </c>
      <c r="C529" s="1" t="n">
        <v>46050</v>
      </c>
      <c r="D529" t="inlineStr">
        <is>
          <t>JÄMTLANDS LÄN</t>
        </is>
      </c>
      <c r="E529" t="inlineStr">
        <is>
          <t>BERG</t>
        </is>
      </c>
      <c r="G529" t="n">
        <v>6.1</v>
      </c>
      <c r="H529" t="n">
        <v>0</v>
      </c>
      <c r="I529" t="n">
        <v>0</v>
      </c>
      <c r="J529" t="n">
        <v>0</v>
      </c>
      <c r="K529" t="n">
        <v>0</v>
      </c>
      <c r="L529" t="n">
        <v>0</v>
      </c>
      <c r="M529" t="n">
        <v>0</v>
      </c>
      <c r="N529" t="n">
        <v>0</v>
      </c>
      <c r="O529" t="n">
        <v>0</v>
      </c>
      <c r="P529" t="n">
        <v>0</v>
      </c>
      <c r="Q529" t="n">
        <v>0</v>
      </c>
      <c r="R529" s="2" t="inlineStr"/>
    </row>
    <row r="530" ht="15" customHeight="1">
      <c r="A530" t="inlineStr">
        <is>
          <t>A 47434-2025</t>
        </is>
      </c>
      <c r="B530" s="1" t="n">
        <v>45930.63659722222</v>
      </c>
      <c r="C530" s="1" t="n">
        <v>46050</v>
      </c>
      <c r="D530" t="inlineStr">
        <is>
          <t>JÄMTLANDS LÄN</t>
        </is>
      </c>
      <c r="E530" t="inlineStr">
        <is>
          <t>BERG</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47534-2025</t>
        </is>
      </c>
      <c r="B531" s="1" t="n">
        <v>45931.3466550926</v>
      </c>
      <c r="C531" s="1" t="n">
        <v>46050</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35691-2025</t>
        </is>
      </c>
      <c r="B532" s="1" t="n">
        <v>45860.344375</v>
      </c>
      <c r="C532" s="1" t="n">
        <v>46050</v>
      </c>
      <c r="D532" t="inlineStr">
        <is>
          <t>JÄMTLANDS LÄN</t>
        </is>
      </c>
      <c r="E532" t="inlineStr">
        <is>
          <t>BERG</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37101-2024</t>
        </is>
      </c>
      <c r="B533" s="1" t="n">
        <v>45539.5029050926</v>
      </c>
      <c r="C533" s="1" t="n">
        <v>46050</v>
      </c>
      <c r="D533" t="inlineStr">
        <is>
          <t>JÄMTLANDS LÄN</t>
        </is>
      </c>
      <c r="E533" t="inlineStr">
        <is>
          <t>BERG</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48250-2025</t>
        </is>
      </c>
      <c r="B534" s="1" t="n">
        <v>45933.55259259259</v>
      </c>
      <c r="C534" s="1" t="n">
        <v>46050</v>
      </c>
      <c r="D534" t="inlineStr">
        <is>
          <t>JÄMTLANDS LÄN</t>
        </is>
      </c>
      <c r="E534" t="inlineStr">
        <is>
          <t>BERG</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35681-2025</t>
        </is>
      </c>
      <c r="B535" s="1" t="n">
        <v>45859.77703703703</v>
      </c>
      <c r="C535" s="1" t="n">
        <v>46050</v>
      </c>
      <c r="D535" t="inlineStr">
        <is>
          <t>JÄMTLANDS LÄN</t>
        </is>
      </c>
      <c r="E535" t="inlineStr">
        <is>
          <t>BERG</t>
        </is>
      </c>
      <c r="G535" t="n">
        <v>27</v>
      </c>
      <c r="H535" t="n">
        <v>0</v>
      </c>
      <c r="I535" t="n">
        <v>0</v>
      </c>
      <c r="J535" t="n">
        <v>0</v>
      </c>
      <c r="K535" t="n">
        <v>0</v>
      </c>
      <c r="L535" t="n">
        <v>0</v>
      </c>
      <c r="M535" t="n">
        <v>0</v>
      </c>
      <c r="N535" t="n">
        <v>0</v>
      </c>
      <c r="O535" t="n">
        <v>0</v>
      </c>
      <c r="P535" t="n">
        <v>0</v>
      </c>
      <c r="Q535" t="n">
        <v>0</v>
      </c>
      <c r="R535" s="2" t="inlineStr"/>
    </row>
    <row r="536" ht="15" customHeight="1">
      <c r="A536" t="inlineStr">
        <is>
          <t>A 35683-2025</t>
        </is>
      </c>
      <c r="B536" s="1" t="n">
        <v>45859</v>
      </c>
      <c r="C536" s="1" t="n">
        <v>46050</v>
      </c>
      <c r="D536" t="inlineStr">
        <is>
          <t>JÄMTLANDS LÄN</t>
        </is>
      </c>
      <c r="E536" t="inlineStr">
        <is>
          <t>BERG</t>
        </is>
      </c>
      <c r="G536" t="n">
        <v>3.4</v>
      </c>
      <c r="H536" t="n">
        <v>0</v>
      </c>
      <c r="I536" t="n">
        <v>0</v>
      </c>
      <c r="J536" t="n">
        <v>0</v>
      </c>
      <c r="K536" t="n">
        <v>0</v>
      </c>
      <c r="L536" t="n">
        <v>0</v>
      </c>
      <c r="M536" t="n">
        <v>0</v>
      </c>
      <c r="N536" t="n">
        <v>0</v>
      </c>
      <c r="O536" t="n">
        <v>0</v>
      </c>
      <c r="P536" t="n">
        <v>0</v>
      </c>
      <c r="Q536" t="n">
        <v>0</v>
      </c>
      <c r="R536" s="2" t="inlineStr"/>
    </row>
    <row r="537" ht="15" customHeight="1">
      <c r="A537" t="inlineStr">
        <is>
          <t>A 37067-2023</t>
        </is>
      </c>
      <c r="B537" s="1" t="n">
        <v>45154</v>
      </c>
      <c r="C537" s="1" t="n">
        <v>46050</v>
      </c>
      <c r="D537" t="inlineStr">
        <is>
          <t>JÄMTLANDS LÄN</t>
        </is>
      </c>
      <c r="E537" t="inlineStr">
        <is>
          <t>BERG</t>
        </is>
      </c>
      <c r="G537" t="n">
        <v>7.4</v>
      </c>
      <c r="H537" t="n">
        <v>0</v>
      </c>
      <c r="I537" t="n">
        <v>0</v>
      </c>
      <c r="J537" t="n">
        <v>0</v>
      </c>
      <c r="K537" t="n">
        <v>0</v>
      </c>
      <c r="L537" t="n">
        <v>0</v>
      </c>
      <c r="M537" t="n">
        <v>0</v>
      </c>
      <c r="N537" t="n">
        <v>0</v>
      </c>
      <c r="O537" t="n">
        <v>0</v>
      </c>
      <c r="P537" t="n">
        <v>0</v>
      </c>
      <c r="Q537" t="n">
        <v>0</v>
      </c>
      <c r="R537" s="2" t="inlineStr"/>
    </row>
    <row r="538" ht="15" customHeight="1">
      <c r="A538" t="inlineStr">
        <is>
          <t>A 48056-2025</t>
        </is>
      </c>
      <c r="B538" s="1" t="n">
        <v>45932.67946759259</v>
      </c>
      <c r="C538" s="1" t="n">
        <v>46050</v>
      </c>
      <c r="D538" t="inlineStr">
        <is>
          <t>JÄMTLANDS LÄN</t>
        </is>
      </c>
      <c r="E538" t="inlineStr">
        <is>
          <t>BERG</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8733-2025</t>
        </is>
      </c>
      <c r="B539" s="1" t="n">
        <v>45712.53197916667</v>
      </c>
      <c r="C539" s="1" t="n">
        <v>46050</v>
      </c>
      <c r="D539" t="inlineStr">
        <is>
          <t>JÄMTLANDS LÄN</t>
        </is>
      </c>
      <c r="E539" t="inlineStr">
        <is>
          <t>BERG</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48209-2025</t>
        </is>
      </c>
      <c r="B540" s="1" t="n">
        <v>45933.4900462963</v>
      </c>
      <c r="C540" s="1" t="n">
        <v>46050</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34601-2024</t>
        </is>
      </c>
      <c r="B541" s="1" t="n">
        <v>45526.4034375</v>
      </c>
      <c r="C541" s="1" t="n">
        <v>46050</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47821-2025</t>
        </is>
      </c>
      <c r="B542" s="1" t="n">
        <v>45932.34421296296</v>
      </c>
      <c r="C542" s="1" t="n">
        <v>46050</v>
      </c>
      <c r="D542" t="inlineStr">
        <is>
          <t>JÄMTLANDS LÄN</t>
        </is>
      </c>
      <c r="E542" t="inlineStr">
        <is>
          <t>BERG</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48168-2025</t>
        </is>
      </c>
      <c r="B543" s="1" t="n">
        <v>45933.43004629629</v>
      </c>
      <c r="C543" s="1" t="n">
        <v>46050</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36142-2025</t>
        </is>
      </c>
      <c r="B544" s="1" t="n">
        <v>45866</v>
      </c>
      <c r="C544" s="1" t="n">
        <v>46050</v>
      </c>
      <c r="D544" t="inlineStr">
        <is>
          <t>JÄMTLANDS LÄN</t>
        </is>
      </c>
      <c r="E544" t="inlineStr">
        <is>
          <t>BERG</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48190-2025</t>
        </is>
      </c>
      <c r="B545" s="1" t="n">
        <v>45933.46930555555</v>
      </c>
      <c r="C545" s="1" t="n">
        <v>46050</v>
      </c>
      <c r="D545" t="inlineStr">
        <is>
          <t>JÄMTLANDS LÄN</t>
        </is>
      </c>
      <c r="E545" t="inlineStr">
        <is>
          <t>BERG</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43137-2025</t>
        </is>
      </c>
      <c r="B546" s="1" t="n">
        <v>45909.85438657407</v>
      </c>
      <c r="C546" s="1" t="n">
        <v>46050</v>
      </c>
      <c r="D546" t="inlineStr">
        <is>
          <t>JÄMTLANDS LÄN</t>
        </is>
      </c>
      <c r="E546" t="inlineStr">
        <is>
          <t>BERG</t>
        </is>
      </c>
      <c r="F546" t="inlineStr">
        <is>
          <t>Övriga statliga verk och myndigheter</t>
        </is>
      </c>
      <c r="G546" t="n">
        <v>11.6</v>
      </c>
      <c r="H546" t="n">
        <v>0</v>
      </c>
      <c r="I546" t="n">
        <v>0</v>
      </c>
      <c r="J546" t="n">
        <v>0</v>
      </c>
      <c r="K546" t="n">
        <v>0</v>
      </c>
      <c r="L546" t="n">
        <v>0</v>
      </c>
      <c r="M546" t="n">
        <v>0</v>
      </c>
      <c r="N546" t="n">
        <v>0</v>
      </c>
      <c r="O546" t="n">
        <v>0</v>
      </c>
      <c r="P546" t="n">
        <v>0</v>
      </c>
      <c r="Q546" t="n">
        <v>0</v>
      </c>
      <c r="R546" s="2" t="inlineStr"/>
    </row>
    <row r="547" ht="15" customHeight="1">
      <c r="A547" t="inlineStr">
        <is>
          <t>A 48508-2025</t>
        </is>
      </c>
      <c r="B547" s="1" t="n">
        <v>45936.3859837963</v>
      </c>
      <c r="C547" s="1" t="n">
        <v>46050</v>
      </c>
      <c r="D547" t="inlineStr">
        <is>
          <t>JÄMTLANDS LÄN</t>
        </is>
      </c>
      <c r="E547" t="inlineStr">
        <is>
          <t>BERG</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22030-2025</t>
        </is>
      </c>
      <c r="B548" s="1" t="n">
        <v>45785.25814814815</v>
      </c>
      <c r="C548" s="1" t="n">
        <v>46050</v>
      </c>
      <c r="D548" t="inlineStr">
        <is>
          <t>JÄMTLANDS LÄN</t>
        </is>
      </c>
      <c r="E548" t="inlineStr">
        <is>
          <t>BERG</t>
        </is>
      </c>
      <c r="G548" t="n">
        <v>5</v>
      </c>
      <c r="H548" t="n">
        <v>0</v>
      </c>
      <c r="I548" t="n">
        <v>0</v>
      </c>
      <c r="J548" t="n">
        <v>0</v>
      </c>
      <c r="K548" t="n">
        <v>0</v>
      </c>
      <c r="L548" t="n">
        <v>0</v>
      </c>
      <c r="M548" t="n">
        <v>0</v>
      </c>
      <c r="N548" t="n">
        <v>0</v>
      </c>
      <c r="O548" t="n">
        <v>0</v>
      </c>
      <c r="P548" t="n">
        <v>0</v>
      </c>
      <c r="Q548" t="n">
        <v>0</v>
      </c>
      <c r="R548" s="2" t="inlineStr"/>
    </row>
    <row r="549" ht="15" customHeight="1">
      <c r="A549" t="inlineStr">
        <is>
          <t>A 36377-2025</t>
        </is>
      </c>
      <c r="B549" s="1" t="n">
        <v>45868.57342592593</v>
      </c>
      <c r="C549" s="1" t="n">
        <v>46050</v>
      </c>
      <c r="D549" t="inlineStr">
        <is>
          <t>JÄMTLANDS LÄN</t>
        </is>
      </c>
      <c r="E549" t="inlineStr">
        <is>
          <t>BERG</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19258-2025</t>
        </is>
      </c>
      <c r="B550" s="1" t="n">
        <v>45769.49987268518</v>
      </c>
      <c r="C550" s="1" t="n">
        <v>46050</v>
      </c>
      <c r="D550" t="inlineStr">
        <is>
          <t>JÄMTLANDS LÄN</t>
        </is>
      </c>
      <c r="E550" t="inlineStr">
        <is>
          <t>BERG</t>
        </is>
      </c>
      <c r="G550" t="n">
        <v>10.9</v>
      </c>
      <c r="H550" t="n">
        <v>0</v>
      </c>
      <c r="I550" t="n">
        <v>0</v>
      </c>
      <c r="J550" t="n">
        <v>0</v>
      </c>
      <c r="K550" t="n">
        <v>0</v>
      </c>
      <c r="L550" t="n">
        <v>0</v>
      </c>
      <c r="M550" t="n">
        <v>0</v>
      </c>
      <c r="N550" t="n">
        <v>0</v>
      </c>
      <c r="O550" t="n">
        <v>0</v>
      </c>
      <c r="P550" t="n">
        <v>0</v>
      </c>
      <c r="Q550" t="n">
        <v>0</v>
      </c>
      <c r="R550" s="2" t="inlineStr"/>
    </row>
    <row r="551" ht="15" customHeight="1">
      <c r="A551" t="inlineStr">
        <is>
          <t>A 16022-2025</t>
        </is>
      </c>
      <c r="B551" s="1" t="n">
        <v>45749.60973379629</v>
      </c>
      <c r="C551" s="1" t="n">
        <v>46050</v>
      </c>
      <c r="D551" t="inlineStr">
        <is>
          <t>JÄMTLANDS LÄN</t>
        </is>
      </c>
      <c r="E551" t="inlineStr">
        <is>
          <t>BERG</t>
        </is>
      </c>
      <c r="G551" t="n">
        <v>2</v>
      </c>
      <c r="H551" t="n">
        <v>0</v>
      </c>
      <c r="I551" t="n">
        <v>0</v>
      </c>
      <c r="J551" t="n">
        <v>0</v>
      </c>
      <c r="K551" t="n">
        <v>0</v>
      </c>
      <c r="L551" t="n">
        <v>0</v>
      </c>
      <c r="M551" t="n">
        <v>0</v>
      </c>
      <c r="N551" t="n">
        <v>0</v>
      </c>
      <c r="O551" t="n">
        <v>0</v>
      </c>
      <c r="P551" t="n">
        <v>0</v>
      </c>
      <c r="Q551" t="n">
        <v>0</v>
      </c>
      <c r="R551" s="2" t="inlineStr"/>
    </row>
    <row r="552" ht="15" customHeight="1">
      <c r="A552" t="inlineStr">
        <is>
          <t>A 48511-2025</t>
        </is>
      </c>
      <c r="B552" s="1" t="n">
        <v>45936.3865162037</v>
      </c>
      <c r="C552" s="1" t="n">
        <v>46050</v>
      </c>
      <c r="D552" t="inlineStr">
        <is>
          <t>JÄMTLANDS LÄN</t>
        </is>
      </c>
      <c r="E552" t="inlineStr">
        <is>
          <t>BERG</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28098-2024</t>
        </is>
      </c>
      <c r="B553" s="1" t="n">
        <v>45476.61347222222</v>
      </c>
      <c r="C553" s="1" t="n">
        <v>46050</v>
      </c>
      <c r="D553" t="inlineStr">
        <is>
          <t>JÄMTLANDS LÄN</t>
        </is>
      </c>
      <c r="E553" t="inlineStr">
        <is>
          <t>BERG</t>
        </is>
      </c>
      <c r="G553" t="n">
        <v>0.4</v>
      </c>
      <c r="H553" t="n">
        <v>0</v>
      </c>
      <c r="I553" t="n">
        <v>0</v>
      </c>
      <c r="J553" t="n">
        <v>0</v>
      </c>
      <c r="K553" t="n">
        <v>0</v>
      </c>
      <c r="L553" t="n">
        <v>0</v>
      </c>
      <c r="M553" t="n">
        <v>0</v>
      </c>
      <c r="N553" t="n">
        <v>0</v>
      </c>
      <c r="O553" t="n">
        <v>0</v>
      </c>
      <c r="P553" t="n">
        <v>0</v>
      </c>
      <c r="Q553" t="n">
        <v>0</v>
      </c>
      <c r="R553" s="2" t="inlineStr"/>
    </row>
    <row r="554" ht="15" customHeight="1">
      <c r="A554" t="inlineStr">
        <is>
          <t>A 12499-2021</t>
        </is>
      </c>
      <c r="B554" s="1" t="n">
        <v>44267</v>
      </c>
      <c r="C554" s="1" t="n">
        <v>46050</v>
      </c>
      <c r="D554" t="inlineStr">
        <is>
          <t>JÄMTLANDS LÄN</t>
        </is>
      </c>
      <c r="E554" t="inlineStr">
        <is>
          <t>BERG</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48704-2025</t>
        </is>
      </c>
      <c r="B555" s="1" t="n">
        <v>45936.6222337963</v>
      </c>
      <c r="C555" s="1" t="n">
        <v>46050</v>
      </c>
      <c r="D555" t="inlineStr">
        <is>
          <t>JÄMTLANDS LÄN</t>
        </is>
      </c>
      <c r="E555" t="inlineStr">
        <is>
          <t>BERG</t>
        </is>
      </c>
      <c r="G555" t="n">
        <v>2.7</v>
      </c>
      <c r="H555" t="n">
        <v>0</v>
      </c>
      <c r="I555" t="n">
        <v>0</v>
      </c>
      <c r="J555" t="n">
        <v>0</v>
      </c>
      <c r="K555" t="n">
        <v>0</v>
      </c>
      <c r="L555" t="n">
        <v>0</v>
      </c>
      <c r="M555" t="n">
        <v>0</v>
      </c>
      <c r="N555" t="n">
        <v>0</v>
      </c>
      <c r="O555" t="n">
        <v>0</v>
      </c>
      <c r="P555" t="n">
        <v>0</v>
      </c>
      <c r="Q555" t="n">
        <v>0</v>
      </c>
      <c r="R555" s="2" t="inlineStr"/>
    </row>
    <row r="556" ht="15" customHeight="1">
      <c r="A556" t="inlineStr">
        <is>
          <t>A 47099-2024</t>
        </is>
      </c>
      <c r="B556" s="1" t="n">
        <v>45586.53743055555</v>
      </c>
      <c r="C556" s="1" t="n">
        <v>46050</v>
      </c>
      <c r="D556" t="inlineStr">
        <is>
          <t>JÄMTLANDS LÄN</t>
        </is>
      </c>
      <c r="E556" t="inlineStr">
        <is>
          <t>BERG</t>
        </is>
      </c>
      <c r="G556" t="n">
        <v>5.9</v>
      </c>
      <c r="H556" t="n">
        <v>0</v>
      </c>
      <c r="I556" t="n">
        <v>0</v>
      </c>
      <c r="J556" t="n">
        <v>0</v>
      </c>
      <c r="K556" t="n">
        <v>0</v>
      </c>
      <c r="L556" t="n">
        <v>0</v>
      </c>
      <c r="M556" t="n">
        <v>0</v>
      </c>
      <c r="N556" t="n">
        <v>0</v>
      </c>
      <c r="O556" t="n">
        <v>0</v>
      </c>
      <c r="P556" t="n">
        <v>0</v>
      </c>
      <c r="Q556" t="n">
        <v>0</v>
      </c>
      <c r="R556" s="2" t="inlineStr"/>
    </row>
    <row r="557" ht="15" customHeight="1">
      <c r="A557" t="inlineStr">
        <is>
          <t>A 48865-2025</t>
        </is>
      </c>
      <c r="B557" s="1" t="n">
        <v>45937.44760416666</v>
      </c>
      <c r="C557" s="1" t="n">
        <v>46050</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36668-2025</t>
        </is>
      </c>
      <c r="B558" s="1" t="n">
        <v>45873.38351851852</v>
      </c>
      <c r="C558" s="1" t="n">
        <v>46050</v>
      </c>
      <c r="D558" t="inlineStr">
        <is>
          <t>JÄMTLANDS LÄN</t>
        </is>
      </c>
      <c r="E558" t="inlineStr">
        <is>
          <t>BERG</t>
        </is>
      </c>
      <c r="G558" t="n">
        <v>6.7</v>
      </c>
      <c r="H558" t="n">
        <v>0</v>
      </c>
      <c r="I558" t="n">
        <v>0</v>
      </c>
      <c r="J558" t="n">
        <v>0</v>
      </c>
      <c r="K558" t="n">
        <v>0</v>
      </c>
      <c r="L558" t="n">
        <v>0</v>
      </c>
      <c r="M558" t="n">
        <v>0</v>
      </c>
      <c r="N558" t="n">
        <v>0</v>
      </c>
      <c r="O558" t="n">
        <v>0</v>
      </c>
      <c r="P558" t="n">
        <v>0</v>
      </c>
      <c r="Q558" t="n">
        <v>0</v>
      </c>
      <c r="R558" s="2" t="inlineStr"/>
    </row>
    <row r="559" ht="15" customHeight="1">
      <c r="A559" t="inlineStr">
        <is>
          <t>A 48968-2025</t>
        </is>
      </c>
      <c r="B559" s="1" t="n">
        <v>45937.56285879629</v>
      </c>
      <c r="C559" s="1" t="n">
        <v>46050</v>
      </c>
      <c r="D559" t="inlineStr">
        <is>
          <t>JÄMTLANDS LÄN</t>
        </is>
      </c>
      <c r="E559" t="inlineStr">
        <is>
          <t>BERG</t>
        </is>
      </c>
      <c r="G559" t="n">
        <v>20</v>
      </c>
      <c r="H559" t="n">
        <v>0</v>
      </c>
      <c r="I559" t="n">
        <v>0</v>
      </c>
      <c r="J559" t="n">
        <v>0</v>
      </c>
      <c r="K559" t="n">
        <v>0</v>
      </c>
      <c r="L559" t="n">
        <v>0</v>
      </c>
      <c r="M559" t="n">
        <v>0</v>
      </c>
      <c r="N559" t="n">
        <v>0</v>
      </c>
      <c r="O559" t="n">
        <v>0</v>
      </c>
      <c r="P559" t="n">
        <v>0</v>
      </c>
      <c r="Q559" t="n">
        <v>0</v>
      </c>
      <c r="R559" s="2" t="inlineStr"/>
    </row>
    <row r="560" ht="15" customHeight="1">
      <c r="A560" t="inlineStr">
        <is>
          <t>A 48770-2025</t>
        </is>
      </c>
      <c r="B560" s="1" t="n">
        <v>45936.91108796297</v>
      </c>
      <c r="C560" s="1" t="n">
        <v>46050</v>
      </c>
      <c r="D560" t="inlineStr">
        <is>
          <t>JÄMTLANDS LÄN</t>
        </is>
      </c>
      <c r="E560" t="inlineStr">
        <is>
          <t>BERG</t>
        </is>
      </c>
      <c r="G560" t="n">
        <v>1.7</v>
      </c>
      <c r="H560" t="n">
        <v>0</v>
      </c>
      <c r="I560" t="n">
        <v>0</v>
      </c>
      <c r="J560" t="n">
        <v>0</v>
      </c>
      <c r="K560" t="n">
        <v>0</v>
      </c>
      <c r="L560" t="n">
        <v>0</v>
      </c>
      <c r="M560" t="n">
        <v>0</v>
      </c>
      <c r="N560" t="n">
        <v>0</v>
      </c>
      <c r="O560" t="n">
        <v>0</v>
      </c>
      <c r="P560" t="n">
        <v>0</v>
      </c>
      <c r="Q560" t="n">
        <v>0</v>
      </c>
      <c r="R560" s="2" t="inlineStr"/>
    </row>
    <row r="561" ht="15" customHeight="1">
      <c r="A561" t="inlineStr">
        <is>
          <t>A 49391-2025</t>
        </is>
      </c>
      <c r="B561" s="1" t="n">
        <v>45938.65011574074</v>
      </c>
      <c r="C561" s="1" t="n">
        <v>46050</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49041-2025</t>
        </is>
      </c>
      <c r="B562" s="1" t="n">
        <v>45937.63592592593</v>
      </c>
      <c r="C562" s="1" t="n">
        <v>46050</v>
      </c>
      <c r="D562" t="inlineStr">
        <is>
          <t>JÄMTLANDS LÄN</t>
        </is>
      </c>
      <c r="E562" t="inlineStr">
        <is>
          <t>BERG</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37201-2025</t>
        </is>
      </c>
      <c r="B563" s="1" t="n">
        <v>45875.67797453704</v>
      </c>
      <c r="C563" s="1" t="n">
        <v>46050</v>
      </c>
      <c r="D563" t="inlineStr">
        <is>
          <t>JÄMTLANDS LÄN</t>
        </is>
      </c>
      <c r="E563" t="inlineStr">
        <is>
          <t>BERG</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37066-2025</t>
        </is>
      </c>
      <c r="B564" s="1" t="n">
        <v>45875.3862962963</v>
      </c>
      <c r="C564" s="1" t="n">
        <v>46050</v>
      </c>
      <c r="D564" t="inlineStr">
        <is>
          <t>JÄMTLANDS LÄN</t>
        </is>
      </c>
      <c r="E564" t="inlineStr">
        <is>
          <t>BERG</t>
        </is>
      </c>
      <c r="F564" t="inlineStr">
        <is>
          <t>SCA</t>
        </is>
      </c>
      <c r="G564" t="n">
        <v>9.6</v>
      </c>
      <c r="H564" t="n">
        <v>0</v>
      </c>
      <c r="I564" t="n">
        <v>0</v>
      </c>
      <c r="J564" t="n">
        <v>0</v>
      </c>
      <c r="K564" t="n">
        <v>0</v>
      </c>
      <c r="L564" t="n">
        <v>0</v>
      </c>
      <c r="M564" t="n">
        <v>0</v>
      </c>
      <c r="N564" t="n">
        <v>0</v>
      </c>
      <c r="O564" t="n">
        <v>0</v>
      </c>
      <c r="P564" t="n">
        <v>0</v>
      </c>
      <c r="Q564" t="n">
        <v>0</v>
      </c>
      <c r="R564" s="2" t="inlineStr"/>
    </row>
    <row r="565" ht="15" customHeight="1">
      <c r="A565" t="inlineStr">
        <is>
          <t>A 1495-2025</t>
        </is>
      </c>
      <c r="B565" s="1" t="n">
        <v>45670.40652777778</v>
      </c>
      <c r="C565" s="1" t="n">
        <v>46050</v>
      </c>
      <c r="D565" t="inlineStr">
        <is>
          <t>JÄMTLANDS LÄN</t>
        </is>
      </c>
      <c r="E565" t="inlineStr">
        <is>
          <t>BERG</t>
        </is>
      </c>
      <c r="G565" t="n">
        <v>0.3</v>
      </c>
      <c r="H565" t="n">
        <v>0</v>
      </c>
      <c r="I565" t="n">
        <v>0</v>
      </c>
      <c r="J565" t="n">
        <v>0</v>
      </c>
      <c r="K565" t="n">
        <v>0</v>
      </c>
      <c r="L565" t="n">
        <v>0</v>
      </c>
      <c r="M565" t="n">
        <v>0</v>
      </c>
      <c r="N565" t="n">
        <v>0</v>
      </c>
      <c r="O565" t="n">
        <v>0</v>
      </c>
      <c r="P565" t="n">
        <v>0</v>
      </c>
      <c r="Q565" t="n">
        <v>0</v>
      </c>
      <c r="R565" s="2" t="inlineStr"/>
    </row>
    <row r="566" ht="15" customHeight="1">
      <c r="A566" t="inlineStr">
        <is>
          <t>A 49573-2025</t>
        </is>
      </c>
      <c r="B566" s="1" t="n">
        <v>45939.49037037037</v>
      </c>
      <c r="C566" s="1" t="n">
        <v>46050</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34367-2024</t>
        </is>
      </c>
      <c r="B567" s="1" t="n">
        <v>45525.38040509259</v>
      </c>
      <c r="C567" s="1" t="n">
        <v>46050</v>
      </c>
      <c r="D567" t="inlineStr">
        <is>
          <t>JÄMTLANDS LÄN</t>
        </is>
      </c>
      <c r="E567" t="inlineStr">
        <is>
          <t>BERG</t>
        </is>
      </c>
      <c r="G567" t="n">
        <v>0.4</v>
      </c>
      <c r="H567" t="n">
        <v>0</v>
      </c>
      <c r="I567" t="n">
        <v>0</v>
      </c>
      <c r="J567" t="n">
        <v>0</v>
      </c>
      <c r="K567" t="n">
        <v>0</v>
      </c>
      <c r="L567" t="n">
        <v>0</v>
      </c>
      <c r="M567" t="n">
        <v>0</v>
      </c>
      <c r="N567" t="n">
        <v>0</v>
      </c>
      <c r="O567" t="n">
        <v>0</v>
      </c>
      <c r="P567" t="n">
        <v>0</v>
      </c>
      <c r="Q567" t="n">
        <v>0</v>
      </c>
      <c r="R567" s="2" t="inlineStr"/>
    </row>
    <row r="568" ht="15" customHeight="1">
      <c r="A568" t="inlineStr">
        <is>
          <t>A 34369-2024</t>
        </is>
      </c>
      <c r="B568" s="1" t="n">
        <v>45525.38228009259</v>
      </c>
      <c r="C568" s="1" t="n">
        <v>46050</v>
      </c>
      <c r="D568" t="inlineStr">
        <is>
          <t>JÄMTLANDS LÄN</t>
        </is>
      </c>
      <c r="E568" t="inlineStr">
        <is>
          <t>BERG</t>
        </is>
      </c>
      <c r="G568" t="n">
        <v>0.6</v>
      </c>
      <c r="H568" t="n">
        <v>0</v>
      </c>
      <c r="I568" t="n">
        <v>0</v>
      </c>
      <c r="J568" t="n">
        <v>0</v>
      </c>
      <c r="K568" t="n">
        <v>0</v>
      </c>
      <c r="L568" t="n">
        <v>0</v>
      </c>
      <c r="M568" t="n">
        <v>0</v>
      </c>
      <c r="N568" t="n">
        <v>0</v>
      </c>
      <c r="O568" t="n">
        <v>0</v>
      </c>
      <c r="P568" t="n">
        <v>0</v>
      </c>
      <c r="Q568" t="n">
        <v>0</v>
      </c>
      <c r="R568" s="2" t="inlineStr"/>
    </row>
    <row r="569" ht="15" customHeight="1">
      <c r="A569" t="inlineStr">
        <is>
          <t>A 36896-2025</t>
        </is>
      </c>
      <c r="B569" s="1" t="n">
        <v>45874.4740625</v>
      </c>
      <c r="C569" s="1" t="n">
        <v>46050</v>
      </c>
      <c r="D569" t="inlineStr">
        <is>
          <t>JÄMTLANDS LÄN</t>
        </is>
      </c>
      <c r="E569" t="inlineStr">
        <is>
          <t>BERG</t>
        </is>
      </c>
      <c r="G569" t="n">
        <v>3.2</v>
      </c>
      <c r="H569" t="n">
        <v>0</v>
      </c>
      <c r="I569" t="n">
        <v>0</v>
      </c>
      <c r="J569" t="n">
        <v>0</v>
      </c>
      <c r="K569" t="n">
        <v>0</v>
      </c>
      <c r="L569" t="n">
        <v>0</v>
      </c>
      <c r="M569" t="n">
        <v>0</v>
      </c>
      <c r="N569" t="n">
        <v>0</v>
      </c>
      <c r="O569" t="n">
        <v>0</v>
      </c>
      <c r="P569" t="n">
        <v>0</v>
      </c>
      <c r="Q569" t="n">
        <v>0</v>
      </c>
      <c r="R569" s="2" t="inlineStr"/>
    </row>
    <row r="570" ht="15" customHeight="1">
      <c r="A570" t="inlineStr">
        <is>
          <t>A 36714-2025</t>
        </is>
      </c>
      <c r="B570" s="1" t="n">
        <v>45873.46881944445</v>
      </c>
      <c r="C570" s="1" t="n">
        <v>46050</v>
      </c>
      <c r="D570" t="inlineStr">
        <is>
          <t>JÄMTLANDS LÄN</t>
        </is>
      </c>
      <c r="E570" t="inlineStr">
        <is>
          <t>BERG</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36718-2025</t>
        </is>
      </c>
      <c r="B571" s="1" t="n">
        <v>45873.47069444445</v>
      </c>
      <c r="C571" s="1" t="n">
        <v>46050</v>
      </c>
      <c r="D571" t="inlineStr">
        <is>
          <t>JÄMTLANDS LÄN</t>
        </is>
      </c>
      <c r="E571" t="inlineStr">
        <is>
          <t>BERG</t>
        </is>
      </c>
      <c r="F571" t="inlineStr">
        <is>
          <t>Sveaskog</t>
        </is>
      </c>
      <c r="G571" t="n">
        <v>2.8</v>
      </c>
      <c r="H571" t="n">
        <v>0</v>
      </c>
      <c r="I571" t="n">
        <v>0</v>
      </c>
      <c r="J571" t="n">
        <v>0</v>
      </c>
      <c r="K571" t="n">
        <v>0</v>
      </c>
      <c r="L571" t="n">
        <v>0</v>
      </c>
      <c r="M571" t="n">
        <v>0</v>
      </c>
      <c r="N571" t="n">
        <v>0</v>
      </c>
      <c r="O571" t="n">
        <v>0</v>
      </c>
      <c r="P571" t="n">
        <v>0</v>
      </c>
      <c r="Q571" t="n">
        <v>0</v>
      </c>
      <c r="R571" s="2" t="inlineStr"/>
    </row>
    <row r="572" ht="15" customHeight="1">
      <c r="A572" t="inlineStr">
        <is>
          <t>A 37062-2025</t>
        </is>
      </c>
      <c r="B572" s="1" t="n">
        <v>45875.38579861111</v>
      </c>
      <c r="C572" s="1" t="n">
        <v>46050</v>
      </c>
      <c r="D572" t="inlineStr">
        <is>
          <t>JÄMTLANDS LÄN</t>
        </is>
      </c>
      <c r="E572" t="inlineStr">
        <is>
          <t>BERG</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36341-2025</t>
        </is>
      </c>
      <c r="B573" s="1" t="n">
        <v>45868</v>
      </c>
      <c r="C573" s="1" t="n">
        <v>46050</v>
      </c>
      <c r="D573" t="inlineStr">
        <is>
          <t>JÄMTLANDS LÄN</t>
        </is>
      </c>
      <c r="E573" t="inlineStr">
        <is>
          <t>BERG</t>
        </is>
      </c>
      <c r="G573" t="n">
        <v>3.1</v>
      </c>
      <c r="H573" t="n">
        <v>0</v>
      </c>
      <c r="I573" t="n">
        <v>0</v>
      </c>
      <c r="J573" t="n">
        <v>0</v>
      </c>
      <c r="K573" t="n">
        <v>0</v>
      </c>
      <c r="L573" t="n">
        <v>0</v>
      </c>
      <c r="M573" t="n">
        <v>0</v>
      </c>
      <c r="N573" t="n">
        <v>0</v>
      </c>
      <c r="O573" t="n">
        <v>0</v>
      </c>
      <c r="P573" t="n">
        <v>0</v>
      </c>
      <c r="Q573" t="n">
        <v>0</v>
      </c>
      <c r="R573" s="2" t="inlineStr"/>
    </row>
    <row r="574" ht="15" customHeight="1">
      <c r="A574" t="inlineStr">
        <is>
          <t>A 49349-2025</t>
        </is>
      </c>
      <c r="B574" s="1" t="n">
        <v>45938.61060185185</v>
      </c>
      <c r="C574" s="1" t="n">
        <v>46050</v>
      </c>
      <c r="D574" t="inlineStr">
        <is>
          <t>JÄMTLANDS LÄN</t>
        </is>
      </c>
      <c r="E574" t="inlineStr">
        <is>
          <t>BERG</t>
        </is>
      </c>
      <c r="G574" t="n">
        <v>2.5</v>
      </c>
      <c r="H574" t="n">
        <v>0</v>
      </c>
      <c r="I574" t="n">
        <v>0</v>
      </c>
      <c r="J574" t="n">
        <v>0</v>
      </c>
      <c r="K574" t="n">
        <v>0</v>
      </c>
      <c r="L574" t="n">
        <v>0</v>
      </c>
      <c r="M574" t="n">
        <v>0</v>
      </c>
      <c r="N574" t="n">
        <v>0</v>
      </c>
      <c r="O574" t="n">
        <v>0</v>
      </c>
      <c r="P574" t="n">
        <v>0</v>
      </c>
      <c r="Q574" t="n">
        <v>0</v>
      </c>
      <c r="R574" s="2" t="inlineStr"/>
    </row>
    <row r="575" ht="15" customHeight="1">
      <c r="A575" t="inlineStr">
        <is>
          <t>A 49604-2025</t>
        </is>
      </c>
      <c r="B575" s="1" t="n">
        <v>45939.55241898148</v>
      </c>
      <c r="C575" s="1" t="n">
        <v>46050</v>
      </c>
      <c r="D575" t="inlineStr">
        <is>
          <t>JÄMTLANDS LÄN</t>
        </is>
      </c>
      <c r="E575" t="inlineStr">
        <is>
          <t>BERG</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37488-2025</t>
        </is>
      </c>
      <c r="B576" s="1" t="n">
        <v>45877.63582175926</v>
      </c>
      <c r="C576" s="1" t="n">
        <v>46050</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37455-2025</t>
        </is>
      </c>
      <c r="B577" s="1" t="n">
        <v>45877.56710648148</v>
      </c>
      <c r="C577" s="1" t="n">
        <v>46050</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166-2024</t>
        </is>
      </c>
      <c r="B578" s="1" t="n">
        <v>45294</v>
      </c>
      <c r="C578" s="1" t="n">
        <v>46050</v>
      </c>
      <c r="D578" t="inlineStr">
        <is>
          <t>JÄMTLANDS LÄN</t>
        </is>
      </c>
      <c r="E578" t="inlineStr">
        <is>
          <t>BERG</t>
        </is>
      </c>
      <c r="F578" t="inlineStr">
        <is>
          <t>Kyrkan</t>
        </is>
      </c>
      <c r="G578" t="n">
        <v>1.3</v>
      </c>
      <c r="H578" t="n">
        <v>0</v>
      </c>
      <c r="I578" t="n">
        <v>0</v>
      </c>
      <c r="J578" t="n">
        <v>0</v>
      </c>
      <c r="K578" t="n">
        <v>0</v>
      </c>
      <c r="L578" t="n">
        <v>0</v>
      </c>
      <c r="M578" t="n">
        <v>0</v>
      </c>
      <c r="N578" t="n">
        <v>0</v>
      </c>
      <c r="O578" t="n">
        <v>0</v>
      </c>
      <c r="P578" t="n">
        <v>0</v>
      </c>
      <c r="Q578" t="n">
        <v>0</v>
      </c>
      <c r="R578" s="2" t="inlineStr"/>
    </row>
    <row r="579" ht="15" customHeight="1">
      <c r="A579" t="inlineStr">
        <is>
          <t>A 49918-2025</t>
        </is>
      </c>
      <c r="B579" s="1" t="n">
        <v>45940.6290625</v>
      </c>
      <c r="C579" s="1" t="n">
        <v>46050</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3964-2025</t>
        </is>
      </c>
      <c r="B580" s="1" t="n">
        <v>45684.50761574074</v>
      </c>
      <c r="C580" s="1" t="n">
        <v>46050</v>
      </c>
      <c r="D580" t="inlineStr">
        <is>
          <t>JÄMTLANDS LÄN</t>
        </is>
      </c>
      <c r="E580" t="inlineStr">
        <is>
          <t>BERG</t>
        </is>
      </c>
      <c r="G580" t="n">
        <v>0.7</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46050</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61239-2022</t>
        </is>
      </c>
      <c r="B582" s="1" t="n">
        <v>44909</v>
      </c>
      <c r="C582" s="1" t="n">
        <v>46050</v>
      </c>
      <c r="D582" t="inlineStr">
        <is>
          <t>JÄMTLANDS LÄN</t>
        </is>
      </c>
      <c r="E582" t="inlineStr">
        <is>
          <t>BERG</t>
        </is>
      </c>
      <c r="G582" t="n">
        <v>13.5</v>
      </c>
      <c r="H582" t="n">
        <v>0</v>
      </c>
      <c r="I582" t="n">
        <v>0</v>
      </c>
      <c r="J582" t="n">
        <v>0</v>
      </c>
      <c r="K582" t="n">
        <v>0</v>
      </c>
      <c r="L582" t="n">
        <v>0</v>
      </c>
      <c r="M582" t="n">
        <v>0</v>
      </c>
      <c r="N582" t="n">
        <v>0</v>
      </c>
      <c r="O582" t="n">
        <v>0</v>
      </c>
      <c r="P582" t="n">
        <v>0</v>
      </c>
      <c r="Q582" t="n">
        <v>0</v>
      </c>
      <c r="R582" s="2" t="inlineStr"/>
    </row>
    <row r="583" ht="15" customHeight="1">
      <c r="A583" t="inlineStr">
        <is>
          <t>A 7021-2025</t>
        </is>
      </c>
      <c r="B583" s="1" t="n">
        <v>45701.61520833334</v>
      </c>
      <c r="C583" s="1" t="n">
        <v>46050</v>
      </c>
      <c r="D583" t="inlineStr">
        <is>
          <t>JÄMTLANDS LÄN</t>
        </is>
      </c>
      <c r="E583" t="inlineStr">
        <is>
          <t>BERG</t>
        </is>
      </c>
      <c r="G583" t="n">
        <v>4.2</v>
      </c>
      <c r="H583" t="n">
        <v>0</v>
      </c>
      <c r="I583" t="n">
        <v>0</v>
      </c>
      <c r="J583" t="n">
        <v>0</v>
      </c>
      <c r="K583" t="n">
        <v>0</v>
      </c>
      <c r="L583" t="n">
        <v>0</v>
      </c>
      <c r="M583" t="n">
        <v>0</v>
      </c>
      <c r="N583" t="n">
        <v>0</v>
      </c>
      <c r="O583" t="n">
        <v>0</v>
      </c>
      <c r="P583" t="n">
        <v>0</v>
      </c>
      <c r="Q583" t="n">
        <v>0</v>
      </c>
      <c r="R583" s="2" t="inlineStr"/>
    </row>
    <row r="584" ht="15" customHeight="1">
      <c r="A584" t="inlineStr">
        <is>
          <t>A 37463-2025</t>
        </is>
      </c>
      <c r="B584" s="1" t="n">
        <v>45877.5738425926</v>
      </c>
      <c r="C584" s="1" t="n">
        <v>46050</v>
      </c>
      <c r="D584" t="inlineStr">
        <is>
          <t>JÄMTLANDS LÄN</t>
        </is>
      </c>
      <c r="E584" t="inlineStr">
        <is>
          <t>BERG</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50024-2025</t>
        </is>
      </c>
      <c r="B585" s="1" t="n">
        <v>45943.37563657408</v>
      </c>
      <c r="C585" s="1" t="n">
        <v>46050</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50094-2025</t>
        </is>
      </c>
      <c r="B586" s="1" t="n">
        <v>45943.49340277778</v>
      </c>
      <c r="C586" s="1" t="n">
        <v>46050</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19429-2025</t>
        </is>
      </c>
      <c r="B587" s="1" t="n">
        <v>45769.8025462963</v>
      </c>
      <c r="C587" s="1" t="n">
        <v>46050</v>
      </c>
      <c r="D587" t="inlineStr">
        <is>
          <t>JÄMTLANDS LÄN</t>
        </is>
      </c>
      <c r="E587" t="inlineStr">
        <is>
          <t>BERG</t>
        </is>
      </c>
      <c r="G587" t="n">
        <v>2</v>
      </c>
      <c r="H587" t="n">
        <v>0</v>
      </c>
      <c r="I587" t="n">
        <v>0</v>
      </c>
      <c r="J587" t="n">
        <v>0</v>
      </c>
      <c r="K587" t="n">
        <v>0</v>
      </c>
      <c r="L587" t="n">
        <v>0</v>
      </c>
      <c r="M587" t="n">
        <v>0</v>
      </c>
      <c r="N587" t="n">
        <v>0</v>
      </c>
      <c r="O587" t="n">
        <v>0</v>
      </c>
      <c r="P587" t="n">
        <v>0</v>
      </c>
      <c r="Q587" t="n">
        <v>0</v>
      </c>
      <c r="R587" s="2" t="inlineStr"/>
    </row>
    <row r="588" ht="15" customHeight="1">
      <c r="A588" t="inlineStr">
        <is>
          <t>A 29087-2024</t>
        </is>
      </c>
      <c r="B588" s="1" t="n">
        <v>45481.92946759259</v>
      </c>
      <c r="C588" s="1" t="n">
        <v>46050</v>
      </c>
      <c r="D588" t="inlineStr">
        <is>
          <t>JÄMTLANDS LÄN</t>
        </is>
      </c>
      <c r="E588" t="inlineStr">
        <is>
          <t>BERG</t>
        </is>
      </c>
      <c r="G588" t="n">
        <v>10.7</v>
      </c>
      <c r="H588" t="n">
        <v>0</v>
      </c>
      <c r="I588" t="n">
        <v>0</v>
      </c>
      <c r="J588" t="n">
        <v>0</v>
      </c>
      <c r="K588" t="n">
        <v>0</v>
      </c>
      <c r="L588" t="n">
        <v>0</v>
      </c>
      <c r="M588" t="n">
        <v>0</v>
      </c>
      <c r="N588" t="n">
        <v>0</v>
      </c>
      <c r="O588" t="n">
        <v>0</v>
      </c>
      <c r="P588" t="n">
        <v>0</v>
      </c>
      <c r="Q588" t="n">
        <v>0</v>
      </c>
      <c r="R588" s="2" t="inlineStr"/>
    </row>
    <row r="589" ht="15" customHeight="1">
      <c r="A589" t="inlineStr">
        <is>
          <t>A 37431-2025</t>
        </is>
      </c>
      <c r="B589" s="1" t="n">
        <v>45877.51092592593</v>
      </c>
      <c r="C589" s="1" t="n">
        <v>46050</v>
      </c>
      <c r="D589" t="inlineStr">
        <is>
          <t>JÄMTLANDS LÄN</t>
        </is>
      </c>
      <c r="E589" t="inlineStr">
        <is>
          <t>BERG</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49749-2025</t>
        </is>
      </c>
      <c r="B590" s="1" t="n">
        <v>45940.34486111111</v>
      </c>
      <c r="C590" s="1" t="n">
        <v>46050</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50020-2025</t>
        </is>
      </c>
      <c r="B591" s="1" t="n">
        <v>45943.36899305556</v>
      </c>
      <c r="C591" s="1" t="n">
        <v>46050</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50231-2025</t>
        </is>
      </c>
      <c r="B592" s="1" t="n">
        <v>45943.70643518519</v>
      </c>
      <c r="C592" s="1" t="n">
        <v>46050</v>
      </c>
      <c r="D592" t="inlineStr">
        <is>
          <t>JÄMTLANDS LÄN</t>
        </is>
      </c>
      <c r="E592" t="inlineStr">
        <is>
          <t>BERG</t>
        </is>
      </c>
      <c r="G592" t="n">
        <v>4.6</v>
      </c>
      <c r="H592" t="n">
        <v>0</v>
      </c>
      <c r="I592" t="n">
        <v>0</v>
      </c>
      <c r="J592" t="n">
        <v>0</v>
      </c>
      <c r="K592" t="n">
        <v>0</v>
      </c>
      <c r="L592" t="n">
        <v>0</v>
      </c>
      <c r="M592" t="n">
        <v>0</v>
      </c>
      <c r="N592" t="n">
        <v>0</v>
      </c>
      <c r="O592" t="n">
        <v>0</v>
      </c>
      <c r="P592" t="n">
        <v>0</v>
      </c>
      <c r="Q592" t="n">
        <v>0</v>
      </c>
      <c r="R592" s="2" t="inlineStr"/>
    </row>
    <row r="593" ht="15" customHeight="1">
      <c r="A593" t="inlineStr">
        <is>
          <t>A 50233-2025</t>
        </is>
      </c>
      <c r="B593" s="1" t="n">
        <v>45943.71228009259</v>
      </c>
      <c r="C593" s="1" t="n">
        <v>46050</v>
      </c>
      <c r="D593" t="inlineStr">
        <is>
          <t>JÄMTLANDS LÄN</t>
        </is>
      </c>
      <c r="E593" t="inlineStr">
        <is>
          <t>BERG</t>
        </is>
      </c>
      <c r="G593" t="n">
        <v>1.4</v>
      </c>
      <c r="H593" t="n">
        <v>0</v>
      </c>
      <c r="I593" t="n">
        <v>0</v>
      </c>
      <c r="J593" t="n">
        <v>0</v>
      </c>
      <c r="K593" t="n">
        <v>0</v>
      </c>
      <c r="L593" t="n">
        <v>0</v>
      </c>
      <c r="M593" t="n">
        <v>0</v>
      </c>
      <c r="N593" t="n">
        <v>0</v>
      </c>
      <c r="O593" t="n">
        <v>0</v>
      </c>
      <c r="P593" t="n">
        <v>0</v>
      </c>
      <c r="Q593" t="n">
        <v>0</v>
      </c>
      <c r="R593" s="2" t="inlineStr"/>
    </row>
    <row r="594" ht="15" customHeight="1">
      <c r="A594" t="inlineStr">
        <is>
          <t>A 50227-2025</t>
        </is>
      </c>
      <c r="B594" s="1" t="n">
        <v>45943.69686342592</v>
      </c>
      <c r="C594" s="1" t="n">
        <v>46050</v>
      </c>
      <c r="D594" t="inlineStr">
        <is>
          <t>JÄMTLANDS LÄN</t>
        </is>
      </c>
      <c r="E594" t="inlineStr">
        <is>
          <t>BERG</t>
        </is>
      </c>
      <c r="G594" t="n">
        <v>1.5</v>
      </c>
      <c r="H594" t="n">
        <v>0</v>
      </c>
      <c r="I594" t="n">
        <v>0</v>
      </c>
      <c r="J594" t="n">
        <v>0</v>
      </c>
      <c r="K594" t="n">
        <v>0</v>
      </c>
      <c r="L594" t="n">
        <v>0</v>
      </c>
      <c r="M594" t="n">
        <v>0</v>
      </c>
      <c r="N594" t="n">
        <v>0</v>
      </c>
      <c r="O594" t="n">
        <v>0</v>
      </c>
      <c r="P594" t="n">
        <v>0</v>
      </c>
      <c r="Q594" t="n">
        <v>0</v>
      </c>
      <c r="R594" s="2" t="inlineStr"/>
    </row>
    <row r="595" ht="15" customHeight="1">
      <c r="A595" t="inlineStr">
        <is>
          <t>A 50230-2025</t>
        </is>
      </c>
      <c r="B595" s="1" t="n">
        <v>45943.70216435185</v>
      </c>
      <c r="C595" s="1" t="n">
        <v>46050</v>
      </c>
      <c r="D595" t="inlineStr">
        <is>
          <t>JÄMTLANDS LÄN</t>
        </is>
      </c>
      <c r="E595" t="inlineStr">
        <is>
          <t>BERG</t>
        </is>
      </c>
      <c r="G595" t="n">
        <v>6.3</v>
      </c>
      <c r="H595" t="n">
        <v>0</v>
      </c>
      <c r="I595" t="n">
        <v>0</v>
      </c>
      <c r="J595" t="n">
        <v>0</v>
      </c>
      <c r="K595" t="n">
        <v>0</v>
      </c>
      <c r="L595" t="n">
        <v>0</v>
      </c>
      <c r="M595" t="n">
        <v>0</v>
      </c>
      <c r="N595" t="n">
        <v>0</v>
      </c>
      <c r="O595" t="n">
        <v>0</v>
      </c>
      <c r="P595" t="n">
        <v>0</v>
      </c>
      <c r="Q595" t="n">
        <v>0</v>
      </c>
      <c r="R595" s="2" t="inlineStr"/>
    </row>
    <row r="596" ht="15" customHeight="1">
      <c r="A596" t="inlineStr">
        <is>
          <t>A 47176-2023</t>
        </is>
      </c>
      <c r="B596" s="1" t="n">
        <v>45201.94844907407</v>
      </c>
      <c r="C596" s="1" t="n">
        <v>46050</v>
      </c>
      <c r="D596" t="inlineStr">
        <is>
          <t>JÄMTLANDS LÄN</t>
        </is>
      </c>
      <c r="E596" t="inlineStr">
        <is>
          <t>BERG</t>
        </is>
      </c>
      <c r="F596" t="inlineStr">
        <is>
          <t>SCA</t>
        </is>
      </c>
      <c r="G596" t="n">
        <v>32.3</v>
      </c>
      <c r="H596" t="n">
        <v>0</v>
      </c>
      <c r="I596" t="n">
        <v>0</v>
      </c>
      <c r="J596" t="n">
        <v>0</v>
      </c>
      <c r="K596" t="n">
        <v>0</v>
      </c>
      <c r="L596" t="n">
        <v>0</v>
      </c>
      <c r="M596" t="n">
        <v>0</v>
      </c>
      <c r="N596" t="n">
        <v>0</v>
      </c>
      <c r="O596" t="n">
        <v>0</v>
      </c>
      <c r="P596" t="n">
        <v>0</v>
      </c>
      <c r="Q596" t="n">
        <v>0</v>
      </c>
      <c r="R596" s="2" t="inlineStr"/>
    </row>
    <row r="597" ht="15" customHeight="1">
      <c r="A597" t="inlineStr">
        <is>
          <t>A 13672-2024</t>
        </is>
      </c>
      <c r="B597" s="1" t="n">
        <v>45390</v>
      </c>
      <c r="C597" s="1" t="n">
        <v>46050</v>
      </c>
      <c r="D597" t="inlineStr">
        <is>
          <t>JÄMTLANDS LÄN</t>
        </is>
      </c>
      <c r="E597" t="inlineStr">
        <is>
          <t>BERG</t>
        </is>
      </c>
      <c r="G597" t="n">
        <v>0.3</v>
      </c>
      <c r="H597" t="n">
        <v>0</v>
      </c>
      <c r="I597" t="n">
        <v>0</v>
      </c>
      <c r="J597" t="n">
        <v>0</v>
      </c>
      <c r="K597" t="n">
        <v>0</v>
      </c>
      <c r="L597" t="n">
        <v>0</v>
      </c>
      <c r="M597" t="n">
        <v>0</v>
      </c>
      <c r="N597" t="n">
        <v>0</v>
      </c>
      <c r="O597" t="n">
        <v>0</v>
      </c>
      <c r="P597" t="n">
        <v>0</v>
      </c>
      <c r="Q597" t="n">
        <v>0</v>
      </c>
      <c r="R597" s="2" t="inlineStr"/>
    </row>
    <row r="598" ht="15" customHeight="1">
      <c r="A598" t="inlineStr">
        <is>
          <t>A 50435-2025</t>
        </is>
      </c>
      <c r="B598" s="1" t="n">
        <v>45944.6984837963</v>
      </c>
      <c r="C598" s="1" t="n">
        <v>46050</v>
      </c>
      <c r="D598" t="inlineStr">
        <is>
          <t>JÄMTLANDS LÄN</t>
        </is>
      </c>
      <c r="E598" t="inlineStr">
        <is>
          <t>BERG</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50273-2025</t>
        </is>
      </c>
      <c r="B599" s="1" t="n">
        <v>45944.36600694444</v>
      </c>
      <c r="C599" s="1" t="n">
        <v>46050</v>
      </c>
      <c r="D599" t="inlineStr">
        <is>
          <t>JÄMTLANDS LÄN</t>
        </is>
      </c>
      <c r="E599" t="inlineStr">
        <is>
          <t>BERG</t>
        </is>
      </c>
      <c r="G599" t="n">
        <v>5.7</v>
      </c>
      <c r="H599" t="n">
        <v>0</v>
      </c>
      <c r="I599" t="n">
        <v>0</v>
      </c>
      <c r="J599" t="n">
        <v>0</v>
      </c>
      <c r="K599" t="n">
        <v>0</v>
      </c>
      <c r="L599" t="n">
        <v>0</v>
      </c>
      <c r="M599" t="n">
        <v>0</v>
      </c>
      <c r="N599" t="n">
        <v>0</v>
      </c>
      <c r="O599" t="n">
        <v>0</v>
      </c>
      <c r="P599" t="n">
        <v>0</v>
      </c>
      <c r="Q599" t="n">
        <v>0</v>
      </c>
      <c r="R599" s="2" t="inlineStr"/>
    </row>
    <row r="600" ht="15" customHeight="1">
      <c r="A600" t="inlineStr">
        <is>
          <t>A 50408-2025</t>
        </is>
      </c>
      <c r="B600" s="1" t="n">
        <v>45944.64006944445</v>
      </c>
      <c r="C600" s="1" t="n">
        <v>46050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43458-2025</t>
        </is>
      </c>
      <c r="B601" s="1" t="n">
        <v>45911.46315972223</v>
      </c>
      <c r="C601" s="1" t="n">
        <v>46050</v>
      </c>
      <c r="D601" t="inlineStr">
        <is>
          <t>JÄMTLANDS LÄN</t>
        </is>
      </c>
      <c r="E601" t="inlineStr">
        <is>
          <t>BERG</t>
        </is>
      </c>
      <c r="G601" t="n">
        <v>11.2</v>
      </c>
      <c r="H601" t="n">
        <v>0</v>
      </c>
      <c r="I601" t="n">
        <v>0</v>
      </c>
      <c r="J601" t="n">
        <v>0</v>
      </c>
      <c r="K601" t="n">
        <v>0</v>
      </c>
      <c r="L601" t="n">
        <v>0</v>
      </c>
      <c r="M601" t="n">
        <v>0</v>
      </c>
      <c r="N601" t="n">
        <v>0</v>
      </c>
      <c r="O601" t="n">
        <v>0</v>
      </c>
      <c r="P601" t="n">
        <v>0</v>
      </c>
      <c r="Q601" t="n">
        <v>0</v>
      </c>
      <c r="R601" s="2" t="inlineStr"/>
    </row>
    <row r="602" ht="15" customHeight="1">
      <c r="A602" t="inlineStr">
        <is>
          <t>A 50562-2025</t>
        </is>
      </c>
      <c r="B602" s="1" t="n">
        <v>45945.55256944444</v>
      </c>
      <c r="C602" s="1" t="n">
        <v>46050</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50531-2025</t>
        </is>
      </c>
      <c r="B603" s="1" t="n">
        <v>45945.47693287037</v>
      </c>
      <c r="C603" s="1" t="n">
        <v>46050</v>
      </c>
      <c r="D603" t="inlineStr">
        <is>
          <t>JÄMTLANDS LÄN</t>
        </is>
      </c>
      <c r="E603" t="inlineStr">
        <is>
          <t>BERG</t>
        </is>
      </c>
      <c r="G603" t="n">
        <v>13.9</v>
      </c>
      <c r="H603" t="n">
        <v>0</v>
      </c>
      <c r="I603" t="n">
        <v>0</v>
      </c>
      <c r="J603" t="n">
        <v>0</v>
      </c>
      <c r="K603" t="n">
        <v>0</v>
      </c>
      <c r="L603" t="n">
        <v>0</v>
      </c>
      <c r="M603" t="n">
        <v>0</v>
      </c>
      <c r="N603" t="n">
        <v>0</v>
      </c>
      <c r="O603" t="n">
        <v>0</v>
      </c>
      <c r="P603" t="n">
        <v>0</v>
      </c>
      <c r="Q603" t="n">
        <v>0</v>
      </c>
      <c r="R603" s="2" t="inlineStr"/>
    </row>
    <row r="604" ht="15" customHeight="1">
      <c r="A604" t="inlineStr">
        <is>
          <t>A 50547-2025</t>
        </is>
      </c>
      <c r="B604" s="1" t="n">
        <v>45945.51104166666</v>
      </c>
      <c r="C604" s="1" t="n">
        <v>46050</v>
      </c>
      <c r="D604" t="inlineStr">
        <is>
          <t>JÄMTLANDS LÄN</t>
        </is>
      </c>
      <c r="E604" t="inlineStr">
        <is>
          <t>BERG</t>
        </is>
      </c>
      <c r="F604" t="inlineStr">
        <is>
          <t>SCA</t>
        </is>
      </c>
      <c r="G604" t="n">
        <v>12.6</v>
      </c>
      <c r="H604" t="n">
        <v>0</v>
      </c>
      <c r="I604" t="n">
        <v>0</v>
      </c>
      <c r="J604" t="n">
        <v>0</v>
      </c>
      <c r="K604" t="n">
        <v>0</v>
      </c>
      <c r="L604" t="n">
        <v>0</v>
      </c>
      <c r="M604" t="n">
        <v>0</v>
      </c>
      <c r="N604" t="n">
        <v>0</v>
      </c>
      <c r="O604" t="n">
        <v>0</v>
      </c>
      <c r="P604" t="n">
        <v>0</v>
      </c>
      <c r="Q604" t="n">
        <v>0</v>
      </c>
      <c r="R604" s="2" t="inlineStr"/>
    </row>
    <row r="605" ht="15" customHeight="1">
      <c r="A605" t="inlineStr">
        <is>
          <t>A 50612-2023</t>
        </is>
      </c>
      <c r="B605" s="1" t="n">
        <v>45217.444375</v>
      </c>
      <c r="C605" s="1" t="n">
        <v>46050</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162-2024</t>
        </is>
      </c>
      <c r="B606" s="1" t="n">
        <v>45294</v>
      </c>
      <c r="C606" s="1" t="n">
        <v>46050</v>
      </c>
      <c r="D606" t="inlineStr">
        <is>
          <t>JÄMTLANDS LÄN</t>
        </is>
      </c>
      <c r="E606" t="inlineStr">
        <is>
          <t>BERG</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38082-2025</t>
        </is>
      </c>
      <c r="B607" s="1" t="n">
        <v>45882</v>
      </c>
      <c r="C607" s="1" t="n">
        <v>46050</v>
      </c>
      <c r="D607" t="inlineStr">
        <is>
          <t>JÄMTLANDS LÄN</t>
        </is>
      </c>
      <c r="E607" t="inlineStr">
        <is>
          <t>BERG</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38408-2025</t>
        </is>
      </c>
      <c r="B608" s="1" t="n">
        <v>45883.59412037037</v>
      </c>
      <c r="C608" s="1" t="n">
        <v>46050</v>
      </c>
      <c r="D608" t="inlineStr">
        <is>
          <t>JÄMTLANDS LÄN</t>
        </is>
      </c>
      <c r="E608" t="inlineStr">
        <is>
          <t>BERG</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38388-2025</t>
        </is>
      </c>
      <c r="B609" s="1" t="n">
        <v>45883.57467592593</v>
      </c>
      <c r="C609" s="1" t="n">
        <v>46050</v>
      </c>
      <c r="D609" t="inlineStr">
        <is>
          <t>JÄMTLANDS LÄN</t>
        </is>
      </c>
      <c r="E609" t="inlineStr">
        <is>
          <t>BERG</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38428-2025</t>
        </is>
      </c>
      <c r="B610" s="1" t="n">
        <v>45883.63628472222</v>
      </c>
      <c r="C610" s="1" t="n">
        <v>46050</v>
      </c>
      <c r="D610" t="inlineStr">
        <is>
          <t>JÄMTLANDS LÄN</t>
        </is>
      </c>
      <c r="E610" t="inlineStr">
        <is>
          <t>BERG</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46298-2024</t>
        </is>
      </c>
      <c r="B611" s="1" t="n">
        <v>45581.67739583334</v>
      </c>
      <c r="C611" s="1" t="n">
        <v>46050</v>
      </c>
      <c r="D611" t="inlineStr">
        <is>
          <t>JÄMTLANDS LÄN</t>
        </is>
      </c>
      <c r="E611" t="inlineStr">
        <is>
          <t>BERG</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50458-2025</t>
        </is>
      </c>
      <c r="B612" s="1" t="n">
        <v>45945</v>
      </c>
      <c r="C612" s="1" t="n">
        <v>46050</v>
      </c>
      <c r="D612" t="inlineStr">
        <is>
          <t>JÄMTLANDS LÄN</t>
        </is>
      </c>
      <c r="E612" t="inlineStr">
        <is>
          <t>BERG</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36-2024</t>
        </is>
      </c>
      <c r="B613" s="1" t="n">
        <v>45293</v>
      </c>
      <c r="C613" s="1" t="n">
        <v>46050</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38080-2025</t>
        </is>
      </c>
      <c r="B614" s="1" t="n">
        <v>45882</v>
      </c>
      <c r="C614" s="1" t="n">
        <v>46050</v>
      </c>
      <c r="D614" t="inlineStr">
        <is>
          <t>JÄMTLANDS LÄN</t>
        </is>
      </c>
      <c r="E614" t="inlineStr">
        <is>
          <t>BERG</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51203-2025</t>
        </is>
      </c>
      <c r="B615" s="1" t="n">
        <v>45947.63592592593</v>
      </c>
      <c r="C615" s="1" t="n">
        <v>46050</v>
      </c>
      <c r="D615" t="inlineStr">
        <is>
          <t>JÄMTLANDS LÄN</t>
        </is>
      </c>
      <c r="E615" t="inlineStr">
        <is>
          <t>BERG</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45206-2024</t>
        </is>
      </c>
      <c r="B616" s="1" t="n">
        <v>45575.69966435185</v>
      </c>
      <c r="C616" s="1" t="n">
        <v>46050</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50698-2025</t>
        </is>
      </c>
      <c r="B617" s="1" t="n">
        <v>45945.91894675926</v>
      </c>
      <c r="C617" s="1" t="n">
        <v>46050</v>
      </c>
      <c r="D617" t="inlineStr">
        <is>
          <t>JÄMTLANDS LÄN</t>
        </is>
      </c>
      <c r="E617" t="inlineStr">
        <is>
          <t>BERG</t>
        </is>
      </c>
      <c r="G617" t="n">
        <v>1</v>
      </c>
      <c r="H617" t="n">
        <v>0</v>
      </c>
      <c r="I617" t="n">
        <v>0</v>
      </c>
      <c r="J617" t="n">
        <v>0</v>
      </c>
      <c r="K617" t="n">
        <v>0</v>
      </c>
      <c r="L617" t="n">
        <v>0</v>
      </c>
      <c r="M617" t="n">
        <v>0</v>
      </c>
      <c r="N617" t="n">
        <v>0</v>
      </c>
      <c r="O617" t="n">
        <v>0</v>
      </c>
      <c r="P617" t="n">
        <v>0</v>
      </c>
      <c r="Q617" t="n">
        <v>0</v>
      </c>
      <c r="R617" s="2" t="inlineStr"/>
    </row>
    <row r="618" ht="15" customHeight="1">
      <c r="A618" t="inlineStr">
        <is>
          <t>A 51083-2025</t>
        </is>
      </c>
      <c r="B618" s="1" t="n">
        <v>45947.4678587963</v>
      </c>
      <c r="C618" s="1" t="n">
        <v>46050</v>
      </c>
      <c r="D618" t="inlineStr">
        <is>
          <t>JÄMTLANDS LÄN</t>
        </is>
      </c>
      <c r="E618" t="inlineStr">
        <is>
          <t>BERG</t>
        </is>
      </c>
      <c r="F618" t="inlineStr">
        <is>
          <t>Övriga Aktiebolag</t>
        </is>
      </c>
      <c r="G618" t="n">
        <v>10.4</v>
      </c>
      <c r="H618" t="n">
        <v>0</v>
      </c>
      <c r="I618" t="n">
        <v>0</v>
      </c>
      <c r="J618" t="n">
        <v>0</v>
      </c>
      <c r="K618" t="n">
        <v>0</v>
      </c>
      <c r="L618" t="n">
        <v>0</v>
      </c>
      <c r="M618" t="n">
        <v>0</v>
      </c>
      <c r="N618" t="n">
        <v>0</v>
      </c>
      <c r="O618" t="n">
        <v>0</v>
      </c>
      <c r="P618" t="n">
        <v>0</v>
      </c>
      <c r="Q618" t="n">
        <v>0</v>
      </c>
      <c r="R618" s="2" t="inlineStr"/>
    </row>
    <row r="619" ht="15" customHeight="1">
      <c r="A619" t="inlineStr">
        <is>
          <t>A 51079-2025</t>
        </is>
      </c>
      <c r="B619" s="1" t="n">
        <v>45947.465</v>
      </c>
      <c r="C619" s="1" t="n">
        <v>46050</v>
      </c>
      <c r="D619" t="inlineStr">
        <is>
          <t>JÄMTLANDS LÄN</t>
        </is>
      </c>
      <c r="E619" t="inlineStr">
        <is>
          <t>BERG</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23877-2024</t>
        </is>
      </c>
      <c r="B620" s="1" t="n">
        <v>45455.63024305556</v>
      </c>
      <c r="C620" s="1" t="n">
        <v>46050</v>
      </c>
      <c r="D620" t="inlineStr">
        <is>
          <t>JÄMTLANDS LÄN</t>
        </is>
      </c>
      <c r="E620" t="inlineStr">
        <is>
          <t>BERG</t>
        </is>
      </c>
      <c r="G620" t="n">
        <v>2</v>
      </c>
      <c r="H620" t="n">
        <v>0</v>
      </c>
      <c r="I620" t="n">
        <v>0</v>
      </c>
      <c r="J620" t="n">
        <v>0</v>
      </c>
      <c r="K620" t="n">
        <v>0</v>
      </c>
      <c r="L620" t="n">
        <v>0</v>
      </c>
      <c r="M620" t="n">
        <v>0</v>
      </c>
      <c r="N620" t="n">
        <v>0</v>
      </c>
      <c r="O620" t="n">
        <v>0</v>
      </c>
      <c r="P620" t="n">
        <v>0</v>
      </c>
      <c r="Q620" t="n">
        <v>0</v>
      </c>
      <c r="R620" s="2" t="inlineStr"/>
    </row>
    <row r="621" ht="15" customHeight="1">
      <c r="A621" t="inlineStr">
        <is>
          <t>A 23880-2024</t>
        </is>
      </c>
      <c r="B621" s="1" t="n">
        <v>45455.63731481481</v>
      </c>
      <c r="C621" s="1" t="n">
        <v>46050</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51080-2025</t>
        </is>
      </c>
      <c r="B622" s="1" t="n">
        <v>45947.46655092593</v>
      </c>
      <c r="C622" s="1" t="n">
        <v>46050</v>
      </c>
      <c r="D622" t="inlineStr">
        <is>
          <t>JÄMTLANDS LÄN</t>
        </is>
      </c>
      <c r="E622" t="inlineStr">
        <is>
          <t>BERG</t>
        </is>
      </c>
      <c r="F622" t="inlineStr">
        <is>
          <t>Övriga Aktiebolag</t>
        </is>
      </c>
      <c r="G622" t="n">
        <v>2</v>
      </c>
      <c r="H622" t="n">
        <v>0</v>
      </c>
      <c r="I622" t="n">
        <v>0</v>
      </c>
      <c r="J622" t="n">
        <v>0</v>
      </c>
      <c r="K622" t="n">
        <v>0</v>
      </c>
      <c r="L622" t="n">
        <v>0</v>
      </c>
      <c r="M622" t="n">
        <v>0</v>
      </c>
      <c r="N622" t="n">
        <v>0</v>
      </c>
      <c r="O622" t="n">
        <v>0</v>
      </c>
      <c r="P622" t="n">
        <v>0</v>
      </c>
      <c r="Q622" t="n">
        <v>0</v>
      </c>
      <c r="R622" s="2" t="inlineStr"/>
    </row>
    <row r="623" ht="15" customHeight="1">
      <c r="A623" t="inlineStr">
        <is>
          <t>A 62299-2023</t>
        </is>
      </c>
      <c r="B623" s="1" t="n">
        <v>45266</v>
      </c>
      <c r="C623" s="1" t="n">
        <v>46050</v>
      </c>
      <c r="D623" t="inlineStr">
        <is>
          <t>JÄMTLANDS LÄN</t>
        </is>
      </c>
      <c r="E623" t="inlineStr">
        <is>
          <t>BERG</t>
        </is>
      </c>
      <c r="G623" t="n">
        <v>2.6</v>
      </c>
      <c r="H623" t="n">
        <v>0</v>
      </c>
      <c r="I623" t="n">
        <v>0</v>
      </c>
      <c r="J623" t="n">
        <v>0</v>
      </c>
      <c r="K623" t="n">
        <v>0</v>
      </c>
      <c r="L623" t="n">
        <v>0</v>
      </c>
      <c r="M623" t="n">
        <v>0</v>
      </c>
      <c r="N623" t="n">
        <v>0</v>
      </c>
      <c r="O623" t="n">
        <v>0</v>
      </c>
      <c r="P623" t="n">
        <v>0</v>
      </c>
      <c r="Q623" t="n">
        <v>0</v>
      </c>
      <c r="R623" s="2" t="inlineStr"/>
    </row>
    <row r="624" ht="15" customHeight="1">
      <c r="A624" t="inlineStr">
        <is>
          <t>A 51301-2025</t>
        </is>
      </c>
      <c r="B624" s="1" t="n">
        <v>45950.36480324074</v>
      </c>
      <c r="C624" s="1" t="n">
        <v>46050</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51675-2025</t>
        </is>
      </c>
      <c r="B625" s="1" t="n">
        <v>45951.50565972222</v>
      </c>
      <c r="C625" s="1" t="n">
        <v>46050</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51495-2025</t>
        </is>
      </c>
      <c r="B626" s="1" t="n">
        <v>45950.6366550926</v>
      </c>
      <c r="C626" s="1" t="n">
        <v>46050</v>
      </c>
      <c r="D626" t="inlineStr">
        <is>
          <t>JÄMTLANDS LÄN</t>
        </is>
      </c>
      <c r="E626" t="inlineStr">
        <is>
          <t>BERG</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18775-2024</t>
        </is>
      </c>
      <c r="B627" s="1" t="n">
        <v>45426</v>
      </c>
      <c r="C627" s="1" t="n">
        <v>46050</v>
      </c>
      <c r="D627" t="inlineStr">
        <is>
          <t>JÄMTLANDS LÄN</t>
        </is>
      </c>
      <c r="E627" t="inlineStr">
        <is>
          <t>BERG</t>
        </is>
      </c>
      <c r="G627" t="n">
        <v>13.9</v>
      </c>
      <c r="H627" t="n">
        <v>0</v>
      </c>
      <c r="I627" t="n">
        <v>0</v>
      </c>
      <c r="J627" t="n">
        <v>0</v>
      </c>
      <c r="K627" t="n">
        <v>0</v>
      </c>
      <c r="L627" t="n">
        <v>0</v>
      </c>
      <c r="M627" t="n">
        <v>0</v>
      </c>
      <c r="N627" t="n">
        <v>0</v>
      </c>
      <c r="O627" t="n">
        <v>0</v>
      </c>
      <c r="P627" t="n">
        <v>0</v>
      </c>
      <c r="Q627" t="n">
        <v>0</v>
      </c>
      <c r="R627" s="2" t="inlineStr"/>
    </row>
    <row r="628" ht="15" customHeight="1">
      <c r="A628" t="inlineStr">
        <is>
          <t>A 18872-2023</t>
        </is>
      </c>
      <c r="B628" s="1" t="n">
        <v>45042</v>
      </c>
      <c r="C628" s="1" t="n">
        <v>46050</v>
      </c>
      <c r="D628" t="inlineStr">
        <is>
          <t>JÄMTLANDS LÄN</t>
        </is>
      </c>
      <c r="E628" t="inlineStr">
        <is>
          <t>BERG</t>
        </is>
      </c>
      <c r="G628" t="n">
        <v>13.2</v>
      </c>
      <c r="H628" t="n">
        <v>0</v>
      </c>
      <c r="I628" t="n">
        <v>0</v>
      </c>
      <c r="J628" t="n">
        <v>0</v>
      </c>
      <c r="K628" t="n">
        <v>0</v>
      </c>
      <c r="L628" t="n">
        <v>0</v>
      </c>
      <c r="M628" t="n">
        <v>0</v>
      </c>
      <c r="N628" t="n">
        <v>0</v>
      </c>
      <c r="O628" t="n">
        <v>0</v>
      </c>
      <c r="P628" t="n">
        <v>0</v>
      </c>
      <c r="Q628" t="n">
        <v>0</v>
      </c>
      <c r="R628" s="2" t="inlineStr"/>
    </row>
    <row r="629" ht="15" customHeight="1">
      <c r="A629" t="inlineStr">
        <is>
          <t>A 52341-2025</t>
        </is>
      </c>
      <c r="B629" s="1" t="n">
        <v>45953.71564814815</v>
      </c>
      <c r="C629" s="1" t="n">
        <v>46050</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52128-2025</t>
        </is>
      </c>
      <c r="B630" s="1" t="n">
        <v>45952.72754629629</v>
      </c>
      <c r="C630" s="1" t="n">
        <v>46050</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52256-2025</t>
        </is>
      </c>
      <c r="B631" s="1" t="n">
        <v>45953.50086805555</v>
      </c>
      <c r="C631" s="1" t="n">
        <v>46050</v>
      </c>
      <c r="D631" t="inlineStr">
        <is>
          <t>JÄMTLANDS LÄN</t>
        </is>
      </c>
      <c r="E631" t="inlineStr">
        <is>
          <t>BERG</t>
        </is>
      </c>
      <c r="G631" t="n">
        <v>3.9</v>
      </c>
      <c r="H631" t="n">
        <v>0</v>
      </c>
      <c r="I631" t="n">
        <v>0</v>
      </c>
      <c r="J631" t="n">
        <v>0</v>
      </c>
      <c r="K631" t="n">
        <v>0</v>
      </c>
      <c r="L631" t="n">
        <v>0</v>
      </c>
      <c r="M631" t="n">
        <v>0</v>
      </c>
      <c r="N631" t="n">
        <v>0</v>
      </c>
      <c r="O631" t="n">
        <v>0</v>
      </c>
      <c r="P631" t="n">
        <v>0</v>
      </c>
      <c r="Q631" t="n">
        <v>0</v>
      </c>
      <c r="R631" s="2" t="inlineStr"/>
    </row>
    <row r="632" ht="15" customHeight="1">
      <c r="A632" t="inlineStr">
        <is>
          <t>A 52340-2025</t>
        </is>
      </c>
      <c r="B632" s="1" t="n">
        <v>45953.70571759259</v>
      </c>
      <c r="C632" s="1" t="n">
        <v>46050</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52260-2025</t>
        </is>
      </c>
      <c r="B633" s="1" t="n">
        <v>45953.51113425926</v>
      </c>
      <c r="C633" s="1" t="n">
        <v>46050</v>
      </c>
      <c r="D633" t="inlineStr">
        <is>
          <t>JÄMTLANDS LÄN</t>
        </is>
      </c>
      <c r="E633" t="inlineStr">
        <is>
          <t>BERG</t>
        </is>
      </c>
      <c r="G633" t="n">
        <v>0.8</v>
      </c>
      <c r="H633" t="n">
        <v>0</v>
      </c>
      <c r="I633" t="n">
        <v>0</v>
      </c>
      <c r="J633" t="n">
        <v>0</v>
      </c>
      <c r="K633" t="n">
        <v>0</v>
      </c>
      <c r="L633" t="n">
        <v>0</v>
      </c>
      <c r="M633" t="n">
        <v>0</v>
      </c>
      <c r="N633" t="n">
        <v>0</v>
      </c>
      <c r="O633" t="n">
        <v>0</v>
      </c>
      <c r="P633" t="n">
        <v>0</v>
      </c>
      <c r="Q633" t="n">
        <v>0</v>
      </c>
      <c r="R633" s="2" t="inlineStr"/>
    </row>
    <row r="634" ht="15" customHeight="1">
      <c r="A634" t="inlineStr">
        <is>
          <t>A 51883-2025</t>
        </is>
      </c>
      <c r="B634" s="1" t="n">
        <v>45952.40701388889</v>
      </c>
      <c r="C634" s="1" t="n">
        <v>46050</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32654-2025</t>
        </is>
      </c>
      <c r="B635" s="1" t="n">
        <v>45838.6778587963</v>
      </c>
      <c r="C635" s="1" t="n">
        <v>46050</v>
      </c>
      <c r="D635" t="inlineStr">
        <is>
          <t>JÄMTLANDS LÄN</t>
        </is>
      </c>
      <c r="E635" t="inlineStr">
        <is>
          <t>BERG</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52348-2025</t>
        </is>
      </c>
      <c r="B636" s="1" t="n">
        <v>45953.72064814815</v>
      </c>
      <c r="C636" s="1" t="n">
        <v>46050</v>
      </c>
      <c r="D636" t="inlineStr">
        <is>
          <t>JÄMTLANDS LÄN</t>
        </is>
      </c>
      <c r="E636" t="inlineStr">
        <is>
          <t>BERG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52062-2025</t>
        </is>
      </c>
      <c r="B637" s="1" t="n">
        <v>45952.63679398148</v>
      </c>
      <c r="C637" s="1" t="n">
        <v>46050</v>
      </c>
      <c r="D637" t="inlineStr">
        <is>
          <t>JÄMTLANDS LÄN</t>
        </is>
      </c>
      <c r="E637" t="inlineStr">
        <is>
          <t>BERG</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52225-2025</t>
        </is>
      </c>
      <c r="B638" s="1" t="n">
        <v>45953.44831018519</v>
      </c>
      <c r="C638" s="1" t="n">
        <v>46050</v>
      </c>
      <c r="D638" t="inlineStr">
        <is>
          <t>JÄMTLANDS LÄN</t>
        </is>
      </c>
      <c r="E638" t="inlineStr">
        <is>
          <t>BERG</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5644-2025</t>
        </is>
      </c>
      <c r="B639" s="1" t="n">
        <v>45693.6833449074</v>
      </c>
      <c r="C639" s="1" t="n">
        <v>46050</v>
      </c>
      <c r="D639" t="inlineStr">
        <is>
          <t>JÄMTLANDS LÄN</t>
        </is>
      </c>
      <c r="E639" t="inlineStr">
        <is>
          <t>BERG</t>
        </is>
      </c>
      <c r="G639" t="n">
        <v>2.1</v>
      </c>
      <c r="H639" t="n">
        <v>0</v>
      </c>
      <c r="I639" t="n">
        <v>0</v>
      </c>
      <c r="J639" t="n">
        <v>0</v>
      </c>
      <c r="K639" t="n">
        <v>0</v>
      </c>
      <c r="L639" t="n">
        <v>0</v>
      </c>
      <c r="M639" t="n">
        <v>0</v>
      </c>
      <c r="N639" t="n">
        <v>0</v>
      </c>
      <c r="O639" t="n">
        <v>0</v>
      </c>
      <c r="P639" t="n">
        <v>0</v>
      </c>
      <c r="Q639" t="n">
        <v>0</v>
      </c>
      <c r="R639" s="2" t="inlineStr"/>
    </row>
    <row r="640" ht="15" customHeight="1">
      <c r="A640" t="inlineStr">
        <is>
          <t>A 52562-2025</t>
        </is>
      </c>
      <c r="B640" s="1" t="n">
        <v>45954.57357638889</v>
      </c>
      <c r="C640" s="1" t="n">
        <v>46050</v>
      </c>
      <c r="D640" t="inlineStr">
        <is>
          <t>JÄMTLANDS LÄN</t>
        </is>
      </c>
      <c r="E640" t="inlineStr">
        <is>
          <t>BERG</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52933-2025</t>
        </is>
      </c>
      <c r="B641" s="1" t="n">
        <v>45957.62528935185</v>
      </c>
      <c r="C641" s="1" t="n">
        <v>46050</v>
      </c>
      <c r="D641" t="inlineStr">
        <is>
          <t>JÄMTLANDS LÄN</t>
        </is>
      </c>
      <c r="E641" t="inlineStr">
        <is>
          <t>BERG</t>
        </is>
      </c>
      <c r="G641" t="n">
        <v>10.1</v>
      </c>
      <c r="H641" t="n">
        <v>0</v>
      </c>
      <c r="I641" t="n">
        <v>0</v>
      </c>
      <c r="J641" t="n">
        <v>0</v>
      </c>
      <c r="K641" t="n">
        <v>0</v>
      </c>
      <c r="L641" t="n">
        <v>0</v>
      </c>
      <c r="M641" t="n">
        <v>0</v>
      </c>
      <c r="N641" t="n">
        <v>0</v>
      </c>
      <c r="O641" t="n">
        <v>0</v>
      </c>
      <c r="P641" t="n">
        <v>0</v>
      </c>
      <c r="Q641" t="n">
        <v>0</v>
      </c>
      <c r="R641" s="2" t="inlineStr"/>
    </row>
    <row r="642" ht="15" customHeight="1">
      <c r="A642" t="inlineStr">
        <is>
          <t>A 29424-2024</t>
        </is>
      </c>
      <c r="B642" s="1" t="n">
        <v>45483.71451388889</v>
      </c>
      <c r="C642" s="1" t="n">
        <v>46050</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60249-2022</t>
        </is>
      </c>
      <c r="B643" s="1" t="n">
        <v>44903</v>
      </c>
      <c r="C643" s="1" t="n">
        <v>46050</v>
      </c>
      <c r="D643" t="inlineStr">
        <is>
          <t>JÄMTLANDS LÄN</t>
        </is>
      </c>
      <c r="E643" t="inlineStr">
        <is>
          <t>BERG</t>
        </is>
      </c>
      <c r="G643" t="n">
        <v>6</v>
      </c>
      <c r="H643" t="n">
        <v>0</v>
      </c>
      <c r="I643" t="n">
        <v>0</v>
      </c>
      <c r="J643" t="n">
        <v>0</v>
      </c>
      <c r="K643" t="n">
        <v>0</v>
      </c>
      <c r="L643" t="n">
        <v>0</v>
      </c>
      <c r="M643" t="n">
        <v>0</v>
      </c>
      <c r="N643" t="n">
        <v>0</v>
      </c>
      <c r="O643" t="n">
        <v>0</v>
      </c>
      <c r="P643" t="n">
        <v>0</v>
      </c>
      <c r="Q643" t="n">
        <v>0</v>
      </c>
      <c r="R643" s="2" t="inlineStr"/>
    </row>
    <row r="644" ht="15" customHeight="1">
      <c r="A644" t="inlineStr">
        <is>
          <t>A 52938-2025</t>
        </is>
      </c>
      <c r="B644" s="1" t="n">
        <v>45957.63680555556</v>
      </c>
      <c r="C644" s="1" t="n">
        <v>46050</v>
      </c>
      <c r="D644" t="inlineStr">
        <is>
          <t>JÄMTLANDS LÄN</t>
        </is>
      </c>
      <c r="E644" t="inlineStr">
        <is>
          <t>BERG</t>
        </is>
      </c>
      <c r="G644" t="n">
        <v>3.6</v>
      </c>
      <c r="H644" t="n">
        <v>0</v>
      </c>
      <c r="I644" t="n">
        <v>0</v>
      </c>
      <c r="J644" t="n">
        <v>0</v>
      </c>
      <c r="K644" t="n">
        <v>0</v>
      </c>
      <c r="L644" t="n">
        <v>0</v>
      </c>
      <c r="M644" t="n">
        <v>0</v>
      </c>
      <c r="N644" t="n">
        <v>0</v>
      </c>
      <c r="O644" t="n">
        <v>0</v>
      </c>
      <c r="P644" t="n">
        <v>0</v>
      </c>
      <c r="Q644" t="n">
        <v>0</v>
      </c>
      <c r="R644" s="2" t="inlineStr"/>
    </row>
    <row r="645" ht="15" customHeight="1">
      <c r="A645" t="inlineStr">
        <is>
          <t>A 8065-2024</t>
        </is>
      </c>
      <c r="B645" s="1" t="n">
        <v>45351.40697916667</v>
      </c>
      <c r="C645" s="1" t="n">
        <v>46050</v>
      </c>
      <c r="D645" t="inlineStr">
        <is>
          <t>JÄMTLANDS LÄN</t>
        </is>
      </c>
      <c r="E645" t="inlineStr">
        <is>
          <t>BERG</t>
        </is>
      </c>
      <c r="G645" t="n">
        <v>6.9</v>
      </c>
      <c r="H645" t="n">
        <v>0</v>
      </c>
      <c r="I645" t="n">
        <v>0</v>
      </c>
      <c r="J645" t="n">
        <v>0</v>
      </c>
      <c r="K645" t="n">
        <v>0</v>
      </c>
      <c r="L645" t="n">
        <v>0</v>
      </c>
      <c r="M645" t="n">
        <v>0</v>
      </c>
      <c r="N645" t="n">
        <v>0</v>
      </c>
      <c r="O645" t="n">
        <v>0</v>
      </c>
      <c r="P645" t="n">
        <v>0</v>
      </c>
      <c r="Q645" t="n">
        <v>0</v>
      </c>
      <c r="R645" s="2" t="inlineStr"/>
    </row>
    <row r="646" ht="15" customHeight="1">
      <c r="A646" t="inlineStr">
        <is>
          <t>A 53155-2025</t>
        </is>
      </c>
      <c r="B646" s="1" t="n">
        <v>45958.49011574074</v>
      </c>
      <c r="C646" s="1" t="n">
        <v>46050</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53157-2025</t>
        </is>
      </c>
      <c r="B647" s="1" t="n">
        <v>45958.49056712963</v>
      </c>
      <c r="C647" s="1" t="n">
        <v>46050</v>
      </c>
      <c r="D647" t="inlineStr">
        <is>
          <t>JÄMTLANDS LÄN</t>
        </is>
      </c>
      <c r="E647" t="inlineStr">
        <is>
          <t>BERG</t>
        </is>
      </c>
      <c r="F647" t="inlineStr">
        <is>
          <t>SCA</t>
        </is>
      </c>
      <c r="G647" t="n">
        <v>9.5</v>
      </c>
      <c r="H647" t="n">
        <v>0</v>
      </c>
      <c r="I647" t="n">
        <v>0</v>
      </c>
      <c r="J647" t="n">
        <v>0</v>
      </c>
      <c r="K647" t="n">
        <v>0</v>
      </c>
      <c r="L647" t="n">
        <v>0</v>
      </c>
      <c r="M647" t="n">
        <v>0</v>
      </c>
      <c r="N647" t="n">
        <v>0</v>
      </c>
      <c r="O647" t="n">
        <v>0</v>
      </c>
      <c r="P647" t="n">
        <v>0</v>
      </c>
      <c r="Q647" t="n">
        <v>0</v>
      </c>
      <c r="R647" s="2" t="inlineStr"/>
    </row>
    <row r="648" ht="15" customHeight="1">
      <c r="A648" t="inlineStr">
        <is>
          <t>A 35911-2024</t>
        </is>
      </c>
      <c r="B648" s="1" t="n">
        <v>45533.41498842592</v>
      </c>
      <c r="C648" s="1" t="n">
        <v>46050</v>
      </c>
      <c r="D648" t="inlineStr">
        <is>
          <t>JÄMTLANDS LÄN</t>
        </is>
      </c>
      <c r="E648" t="inlineStr">
        <is>
          <t>BERG</t>
        </is>
      </c>
      <c r="G648" t="n">
        <v>4.1</v>
      </c>
      <c r="H648" t="n">
        <v>0</v>
      </c>
      <c r="I648" t="n">
        <v>0</v>
      </c>
      <c r="J648" t="n">
        <v>0</v>
      </c>
      <c r="K648" t="n">
        <v>0</v>
      </c>
      <c r="L648" t="n">
        <v>0</v>
      </c>
      <c r="M648" t="n">
        <v>0</v>
      </c>
      <c r="N648" t="n">
        <v>0</v>
      </c>
      <c r="O648" t="n">
        <v>0</v>
      </c>
      <c r="P648" t="n">
        <v>0</v>
      </c>
      <c r="Q648" t="n">
        <v>0</v>
      </c>
      <c r="R648" s="2" t="inlineStr"/>
    </row>
    <row r="649" ht="15" customHeight="1">
      <c r="A649" t="inlineStr">
        <is>
          <t>A 61837-2023</t>
        </is>
      </c>
      <c r="B649" s="1" t="n">
        <v>45264</v>
      </c>
      <c r="C649" s="1" t="n">
        <v>46050</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62104-2023</t>
        </is>
      </c>
      <c r="B650" s="1" t="n">
        <v>45266.95052083334</v>
      </c>
      <c r="C650" s="1" t="n">
        <v>46050</v>
      </c>
      <c r="D650" t="inlineStr">
        <is>
          <t>JÄMTLANDS LÄN</t>
        </is>
      </c>
      <c r="E650" t="inlineStr">
        <is>
          <t>BERG</t>
        </is>
      </c>
      <c r="G650" t="n">
        <v>1.5</v>
      </c>
      <c r="H650" t="n">
        <v>0</v>
      </c>
      <c r="I650" t="n">
        <v>0</v>
      </c>
      <c r="J650" t="n">
        <v>0</v>
      </c>
      <c r="K650" t="n">
        <v>0</v>
      </c>
      <c r="L650" t="n">
        <v>0</v>
      </c>
      <c r="M650" t="n">
        <v>0</v>
      </c>
      <c r="N650" t="n">
        <v>0</v>
      </c>
      <c r="O650" t="n">
        <v>0</v>
      </c>
      <c r="P650" t="n">
        <v>0</v>
      </c>
      <c r="Q650" t="n">
        <v>0</v>
      </c>
      <c r="R650" s="2" t="inlineStr"/>
    </row>
    <row r="651" ht="15" customHeight="1">
      <c r="A651" t="inlineStr">
        <is>
          <t>A 62105-2023</t>
        </is>
      </c>
      <c r="B651" s="1" t="n">
        <v>45266.95074074074</v>
      </c>
      <c r="C651" s="1" t="n">
        <v>46050</v>
      </c>
      <c r="D651" t="inlineStr">
        <is>
          <t>JÄMTLANDS LÄN</t>
        </is>
      </c>
      <c r="E651" t="inlineStr">
        <is>
          <t>BERG</t>
        </is>
      </c>
      <c r="F651" t="inlineStr">
        <is>
          <t>SCA</t>
        </is>
      </c>
      <c r="G651" t="n">
        <v>13.1</v>
      </c>
      <c r="H651" t="n">
        <v>0</v>
      </c>
      <c r="I651" t="n">
        <v>0</v>
      </c>
      <c r="J651" t="n">
        <v>0</v>
      </c>
      <c r="K651" t="n">
        <v>0</v>
      </c>
      <c r="L651" t="n">
        <v>0</v>
      </c>
      <c r="M651" t="n">
        <v>0</v>
      </c>
      <c r="N651" t="n">
        <v>0</v>
      </c>
      <c r="O651" t="n">
        <v>0</v>
      </c>
      <c r="P651" t="n">
        <v>0</v>
      </c>
      <c r="Q651" t="n">
        <v>0</v>
      </c>
      <c r="R651" s="2" t="inlineStr"/>
    </row>
    <row r="652" ht="15" customHeight="1">
      <c r="A652" t="inlineStr">
        <is>
          <t>A 53349-2025</t>
        </is>
      </c>
      <c r="B652" s="1" t="n">
        <v>45959.43579861111</v>
      </c>
      <c r="C652" s="1" t="n">
        <v>46050</v>
      </c>
      <c r="D652" t="inlineStr">
        <is>
          <t>JÄMTLANDS LÄN</t>
        </is>
      </c>
      <c r="E652" t="inlineStr">
        <is>
          <t>BERG</t>
        </is>
      </c>
      <c r="G652" t="n">
        <v>1.8</v>
      </c>
      <c r="H652" t="n">
        <v>0</v>
      </c>
      <c r="I652" t="n">
        <v>0</v>
      </c>
      <c r="J652" t="n">
        <v>0</v>
      </c>
      <c r="K652" t="n">
        <v>0</v>
      </c>
      <c r="L652" t="n">
        <v>0</v>
      </c>
      <c r="M652" t="n">
        <v>0</v>
      </c>
      <c r="N652" t="n">
        <v>0</v>
      </c>
      <c r="O652" t="n">
        <v>0</v>
      </c>
      <c r="P652" t="n">
        <v>0</v>
      </c>
      <c r="Q652" t="n">
        <v>0</v>
      </c>
      <c r="R652" s="2" t="inlineStr"/>
    </row>
    <row r="653" ht="15" customHeight="1">
      <c r="A653" t="inlineStr">
        <is>
          <t>A 60028-2022</t>
        </is>
      </c>
      <c r="B653" s="1" t="n">
        <v>44902</v>
      </c>
      <c r="C653" s="1" t="n">
        <v>46050</v>
      </c>
      <c r="D653" t="inlineStr">
        <is>
          <t>JÄMTLANDS LÄN</t>
        </is>
      </c>
      <c r="E653" t="inlineStr">
        <is>
          <t>BERG</t>
        </is>
      </c>
      <c r="G653" t="n">
        <v>20</v>
      </c>
      <c r="H653" t="n">
        <v>0</v>
      </c>
      <c r="I653" t="n">
        <v>0</v>
      </c>
      <c r="J653" t="n">
        <v>0</v>
      </c>
      <c r="K653" t="n">
        <v>0</v>
      </c>
      <c r="L653" t="n">
        <v>0</v>
      </c>
      <c r="M653" t="n">
        <v>0</v>
      </c>
      <c r="N653" t="n">
        <v>0</v>
      </c>
      <c r="O653" t="n">
        <v>0</v>
      </c>
      <c r="P653" t="n">
        <v>0</v>
      </c>
      <c r="Q653" t="n">
        <v>0</v>
      </c>
      <c r="R653" s="2" t="inlineStr"/>
    </row>
    <row r="654" ht="15" customHeight="1">
      <c r="A654" t="inlineStr">
        <is>
          <t>A 53085-2025</t>
        </is>
      </c>
      <c r="B654" s="1" t="n">
        <v>45958.40675925926</v>
      </c>
      <c r="C654" s="1" t="n">
        <v>46050</v>
      </c>
      <c r="D654" t="inlineStr">
        <is>
          <t>JÄMTLANDS LÄN</t>
        </is>
      </c>
      <c r="E654" t="inlineStr">
        <is>
          <t>BERG</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53625-2025</t>
        </is>
      </c>
      <c r="B655" s="1" t="n">
        <v>45960.49020833334</v>
      </c>
      <c r="C655" s="1" t="n">
        <v>46050</v>
      </c>
      <c r="D655" t="inlineStr">
        <is>
          <t>JÄMTLANDS LÄN</t>
        </is>
      </c>
      <c r="E655" t="inlineStr">
        <is>
          <t>BERG</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53610-2025</t>
        </is>
      </c>
      <c r="B656" s="1" t="n">
        <v>45960.46951388889</v>
      </c>
      <c r="C656" s="1" t="n">
        <v>46050</v>
      </c>
      <c r="D656" t="inlineStr">
        <is>
          <t>JÄMTLANDS LÄN</t>
        </is>
      </c>
      <c r="E656" t="inlineStr">
        <is>
          <t>BERG</t>
        </is>
      </c>
      <c r="F656" t="inlineStr">
        <is>
          <t>SCA</t>
        </is>
      </c>
      <c r="G656" t="n">
        <v>30.7</v>
      </c>
      <c r="H656" t="n">
        <v>0</v>
      </c>
      <c r="I656" t="n">
        <v>0</v>
      </c>
      <c r="J656" t="n">
        <v>0</v>
      </c>
      <c r="K656" t="n">
        <v>0</v>
      </c>
      <c r="L656" t="n">
        <v>0</v>
      </c>
      <c r="M656" t="n">
        <v>0</v>
      </c>
      <c r="N656" t="n">
        <v>0</v>
      </c>
      <c r="O656" t="n">
        <v>0</v>
      </c>
      <c r="P656" t="n">
        <v>0</v>
      </c>
      <c r="Q656" t="n">
        <v>0</v>
      </c>
      <c r="R656" s="2" t="inlineStr"/>
    </row>
    <row r="657" ht="15" customHeight="1">
      <c r="A657" t="inlineStr">
        <is>
          <t>A 53680-2025</t>
        </is>
      </c>
      <c r="B657" s="1" t="n">
        <v>45960.57361111111</v>
      </c>
      <c r="C657" s="1" t="n">
        <v>46050</v>
      </c>
      <c r="D657" t="inlineStr">
        <is>
          <t>JÄMTLANDS LÄN</t>
        </is>
      </c>
      <c r="E657" t="inlineStr">
        <is>
          <t>BERG</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32465-2024</t>
        </is>
      </c>
      <c r="B658" s="1" t="n">
        <v>45512.96096064815</v>
      </c>
      <c r="C658" s="1" t="n">
        <v>46050</v>
      </c>
      <c r="D658" t="inlineStr">
        <is>
          <t>JÄMTLANDS LÄN</t>
        </is>
      </c>
      <c r="E658" t="inlineStr">
        <is>
          <t>BERG</t>
        </is>
      </c>
      <c r="G658" t="n">
        <v>6.7</v>
      </c>
      <c r="H658" t="n">
        <v>0</v>
      </c>
      <c r="I658" t="n">
        <v>0</v>
      </c>
      <c r="J658" t="n">
        <v>0</v>
      </c>
      <c r="K658" t="n">
        <v>0</v>
      </c>
      <c r="L658" t="n">
        <v>0</v>
      </c>
      <c r="M658" t="n">
        <v>0</v>
      </c>
      <c r="N658" t="n">
        <v>0</v>
      </c>
      <c r="O658" t="n">
        <v>0</v>
      </c>
      <c r="P658" t="n">
        <v>0</v>
      </c>
      <c r="Q658" t="n">
        <v>0</v>
      </c>
      <c r="R658" s="2" t="inlineStr"/>
    </row>
    <row r="659" ht="15" customHeight="1">
      <c r="A659" t="inlineStr">
        <is>
          <t>A 51548-2023</t>
        </is>
      </c>
      <c r="B659" s="1" t="n">
        <v>45215</v>
      </c>
      <c r="C659" s="1" t="n">
        <v>46050</v>
      </c>
      <c r="D659" t="inlineStr">
        <is>
          <t>JÄMTLANDS LÄN</t>
        </is>
      </c>
      <c r="E659" t="inlineStr">
        <is>
          <t>BERG</t>
        </is>
      </c>
      <c r="G659" t="n">
        <v>4.8</v>
      </c>
      <c r="H659" t="n">
        <v>0</v>
      </c>
      <c r="I659" t="n">
        <v>0</v>
      </c>
      <c r="J659" t="n">
        <v>0</v>
      </c>
      <c r="K659" t="n">
        <v>0</v>
      </c>
      <c r="L659" t="n">
        <v>0</v>
      </c>
      <c r="M659" t="n">
        <v>0</v>
      </c>
      <c r="N659" t="n">
        <v>0</v>
      </c>
      <c r="O659" t="n">
        <v>0</v>
      </c>
      <c r="P659" t="n">
        <v>0</v>
      </c>
      <c r="Q659" t="n">
        <v>0</v>
      </c>
      <c r="R659" s="2" t="inlineStr"/>
    </row>
    <row r="660" ht="15" customHeight="1">
      <c r="A660" t="inlineStr">
        <is>
          <t>A 60068-2022</t>
        </is>
      </c>
      <c r="B660" s="1" t="n">
        <v>44902</v>
      </c>
      <c r="C660" s="1" t="n">
        <v>46050</v>
      </c>
      <c r="D660" t="inlineStr">
        <is>
          <t>JÄMTLANDS LÄN</t>
        </is>
      </c>
      <c r="E660" t="inlineStr">
        <is>
          <t>BERG</t>
        </is>
      </c>
      <c r="G660" t="n">
        <v>5.2</v>
      </c>
      <c r="H660" t="n">
        <v>0</v>
      </c>
      <c r="I660" t="n">
        <v>0</v>
      </c>
      <c r="J660" t="n">
        <v>0</v>
      </c>
      <c r="K660" t="n">
        <v>0</v>
      </c>
      <c r="L660" t="n">
        <v>0</v>
      </c>
      <c r="M660" t="n">
        <v>0</v>
      </c>
      <c r="N660" t="n">
        <v>0</v>
      </c>
      <c r="O660" t="n">
        <v>0</v>
      </c>
      <c r="P660" t="n">
        <v>0</v>
      </c>
      <c r="Q660" t="n">
        <v>0</v>
      </c>
      <c r="R660" s="2" t="inlineStr"/>
    </row>
    <row r="661" ht="15" customHeight="1">
      <c r="A661" t="inlineStr">
        <is>
          <t>A 7482-2022</t>
        </is>
      </c>
      <c r="B661" s="1" t="n">
        <v>44606</v>
      </c>
      <c r="C661" s="1" t="n">
        <v>46050</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53778-2025</t>
        </is>
      </c>
      <c r="B662" s="1" t="n">
        <v>45960.69841435185</v>
      </c>
      <c r="C662" s="1" t="n">
        <v>46050</v>
      </c>
      <c r="D662" t="inlineStr">
        <is>
          <t>JÄMTLANDS LÄN</t>
        </is>
      </c>
      <c r="E662" t="inlineStr">
        <is>
          <t>BERG</t>
        </is>
      </c>
      <c r="F662" t="inlineStr">
        <is>
          <t>SCA</t>
        </is>
      </c>
      <c r="G662" t="n">
        <v>18.7</v>
      </c>
      <c r="H662" t="n">
        <v>0</v>
      </c>
      <c r="I662" t="n">
        <v>0</v>
      </c>
      <c r="J662" t="n">
        <v>0</v>
      </c>
      <c r="K662" t="n">
        <v>0</v>
      </c>
      <c r="L662" t="n">
        <v>0</v>
      </c>
      <c r="M662" t="n">
        <v>0</v>
      </c>
      <c r="N662" t="n">
        <v>0</v>
      </c>
      <c r="O662" t="n">
        <v>0</v>
      </c>
      <c r="P662" t="n">
        <v>0</v>
      </c>
      <c r="Q662" t="n">
        <v>0</v>
      </c>
      <c r="R662" s="2" t="inlineStr"/>
      <c r="U662">
        <f>HYPERLINK("https://klasma.github.io/Logging_2326/knärot/A 53778-2025 karta knärot.png", "A 53778-2025")</f>
        <v/>
      </c>
      <c r="V662">
        <f>HYPERLINK("https://klasma.github.io/Logging_2326/klagomål/A 53778-2025 FSC-klagomål.docx", "A 53778-2025")</f>
        <v/>
      </c>
      <c r="W662">
        <f>HYPERLINK("https://klasma.github.io/Logging_2326/klagomålsmail/A 53778-2025 FSC-klagomål mail.docx", "A 53778-2025")</f>
        <v/>
      </c>
      <c r="X662">
        <f>HYPERLINK("https://klasma.github.io/Logging_2326/tillsyn/A 53778-2025 tillsynsbegäran.docx", "A 53778-2025")</f>
        <v/>
      </c>
      <c r="Y662">
        <f>HYPERLINK("https://klasma.github.io/Logging_2326/tillsynsmail/A 53778-2025 tillsynsbegäran mail.docx", "A 53778-2025")</f>
        <v/>
      </c>
    </row>
    <row r="663" ht="15" customHeight="1">
      <c r="A663" t="inlineStr">
        <is>
          <t>A 53712-2025</t>
        </is>
      </c>
      <c r="B663" s="1" t="n">
        <v>45960.61547453704</v>
      </c>
      <c r="C663" s="1" t="n">
        <v>46050</v>
      </c>
      <c r="D663" t="inlineStr">
        <is>
          <t>JÄMTLANDS LÄN</t>
        </is>
      </c>
      <c r="E663" t="inlineStr">
        <is>
          <t>BERG</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53859-2025</t>
        </is>
      </c>
      <c r="B664" s="1" t="n">
        <v>45961</v>
      </c>
      <c r="C664" s="1" t="n">
        <v>46050</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31641-2022</t>
        </is>
      </c>
      <c r="B665" s="1" t="n">
        <v>44775.94119212963</v>
      </c>
      <c r="C665" s="1" t="n">
        <v>46050</v>
      </c>
      <c r="D665" t="inlineStr">
        <is>
          <t>JÄMTLANDS LÄN</t>
        </is>
      </c>
      <c r="E665" t="inlineStr">
        <is>
          <t>BERG</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16247-2024</t>
        </is>
      </c>
      <c r="B666" s="1" t="n">
        <v>45407.05797453703</v>
      </c>
      <c r="C666" s="1" t="n">
        <v>46050</v>
      </c>
      <c r="D666" t="inlineStr">
        <is>
          <t>JÄMTLANDS LÄN</t>
        </is>
      </c>
      <c r="E666" t="inlineStr">
        <is>
          <t>BERG</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46268-2023</t>
        </is>
      </c>
      <c r="B667" s="1" t="n">
        <v>45196</v>
      </c>
      <c r="C667" s="1" t="n">
        <v>46050</v>
      </c>
      <c r="D667" t="inlineStr">
        <is>
          <t>JÄMTLANDS LÄN</t>
        </is>
      </c>
      <c r="E667" t="inlineStr">
        <is>
          <t>BERG</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8069-2024</t>
        </is>
      </c>
      <c r="B668" s="1" t="n">
        <v>45351.41600694445</v>
      </c>
      <c r="C668" s="1" t="n">
        <v>46050</v>
      </c>
      <c r="D668" t="inlineStr">
        <is>
          <t>JÄMTLANDS LÄN</t>
        </is>
      </c>
      <c r="E668" t="inlineStr">
        <is>
          <t>BERG</t>
        </is>
      </c>
      <c r="G668" t="n">
        <v>1.2</v>
      </c>
      <c r="H668" t="n">
        <v>0</v>
      </c>
      <c r="I668" t="n">
        <v>0</v>
      </c>
      <c r="J668" t="n">
        <v>0</v>
      </c>
      <c r="K668" t="n">
        <v>0</v>
      </c>
      <c r="L668" t="n">
        <v>0</v>
      </c>
      <c r="M668" t="n">
        <v>0</v>
      </c>
      <c r="N668" t="n">
        <v>0</v>
      </c>
      <c r="O668" t="n">
        <v>0</v>
      </c>
      <c r="P668" t="n">
        <v>0</v>
      </c>
      <c r="Q668" t="n">
        <v>0</v>
      </c>
      <c r="R668" s="2" t="inlineStr"/>
    </row>
    <row r="669" ht="15" customHeight="1">
      <c r="A669" t="inlineStr">
        <is>
          <t>A 61788-2023</t>
        </is>
      </c>
      <c r="B669" s="1" t="n">
        <v>45265.9577199074</v>
      </c>
      <c r="C669" s="1" t="n">
        <v>46050</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39785-2024</t>
        </is>
      </c>
      <c r="B670" s="1" t="n">
        <v>45553.29927083333</v>
      </c>
      <c r="C670" s="1" t="n">
        <v>46050</v>
      </c>
      <c r="D670" t="inlineStr">
        <is>
          <t>JÄMTLANDS LÄN</t>
        </is>
      </c>
      <c r="E670" t="inlineStr">
        <is>
          <t>BERG</t>
        </is>
      </c>
      <c r="G670" t="n">
        <v>16.1</v>
      </c>
      <c r="H670" t="n">
        <v>0</v>
      </c>
      <c r="I670" t="n">
        <v>0</v>
      </c>
      <c r="J670" t="n">
        <v>0</v>
      </c>
      <c r="K670" t="n">
        <v>0</v>
      </c>
      <c r="L670" t="n">
        <v>0</v>
      </c>
      <c r="M670" t="n">
        <v>0</v>
      </c>
      <c r="N670" t="n">
        <v>0</v>
      </c>
      <c r="O670" t="n">
        <v>0</v>
      </c>
      <c r="P670" t="n">
        <v>0</v>
      </c>
      <c r="Q670" t="n">
        <v>0</v>
      </c>
      <c r="R670" s="2" t="inlineStr"/>
    </row>
    <row r="671" ht="15" customHeight="1">
      <c r="A671" t="inlineStr">
        <is>
          <t>A 51201-2023</t>
        </is>
      </c>
      <c r="B671" s="1" t="n">
        <v>45219.42320601852</v>
      </c>
      <c r="C671" s="1" t="n">
        <v>46050</v>
      </c>
      <c r="D671" t="inlineStr">
        <is>
          <t>JÄMTLANDS LÄN</t>
        </is>
      </c>
      <c r="E671" t="inlineStr">
        <is>
          <t>BERG</t>
        </is>
      </c>
      <c r="G671" t="n">
        <v>1.2</v>
      </c>
      <c r="H671" t="n">
        <v>0</v>
      </c>
      <c r="I671" t="n">
        <v>0</v>
      </c>
      <c r="J671" t="n">
        <v>0</v>
      </c>
      <c r="K671" t="n">
        <v>0</v>
      </c>
      <c r="L671" t="n">
        <v>0</v>
      </c>
      <c r="M671" t="n">
        <v>0</v>
      </c>
      <c r="N671" t="n">
        <v>0</v>
      </c>
      <c r="O671" t="n">
        <v>0</v>
      </c>
      <c r="P671" t="n">
        <v>0</v>
      </c>
      <c r="Q671" t="n">
        <v>0</v>
      </c>
      <c r="R671" s="2" t="inlineStr"/>
    </row>
    <row r="672" ht="15" customHeight="1">
      <c r="A672" t="inlineStr">
        <is>
          <t>A 56226-2024</t>
        </is>
      </c>
      <c r="B672" s="1" t="n">
        <v>45624.61572916667</v>
      </c>
      <c r="C672" s="1" t="n">
        <v>46050</v>
      </c>
      <c r="D672" t="inlineStr">
        <is>
          <t>JÄMTLANDS LÄN</t>
        </is>
      </c>
      <c r="E672" t="inlineStr">
        <is>
          <t>BERG</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54852-2025</t>
        </is>
      </c>
      <c r="B673" s="1" t="n">
        <v>45966.71946759259</v>
      </c>
      <c r="C673" s="1" t="n">
        <v>46050</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54720-2025</t>
        </is>
      </c>
      <c r="B674" s="1" t="n">
        <v>45966.53177083333</v>
      </c>
      <c r="C674" s="1" t="n">
        <v>46050</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62826-2025</t>
        </is>
      </c>
      <c r="B675" s="1" t="n">
        <v>46008.65883101852</v>
      </c>
      <c r="C675" s="1" t="n">
        <v>46050</v>
      </c>
      <c r="D675" t="inlineStr">
        <is>
          <t>JÄMTLANDS LÄN</t>
        </is>
      </c>
      <c r="E675" t="inlineStr">
        <is>
          <t>BERG</t>
        </is>
      </c>
      <c r="G675" t="n">
        <v>4</v>
      </c>
      <c r="H675" t="n">
        <v>0</v>
      </c>
      <c r="I675" t="n">
        <v>0</v>
      </c>
      <c r="J675" t="n">
        <v>0</v>
      </c>
      <c r="K675" t="n">
        <v>0</v>
      </c>
      <c r="L675" t="n">
        <v>0</v>
      </c>
      <c r="M675" t="n">
        <v>0</v>
      </c>
      <c r="N675" t="n">
        <v>0</v>
      </c>
      <c r="O675" t="n">
        <v>0</v>
      </c>
      <c r="P675" t="n">
        <v>0</v>
      </c>
      <c r="Q675" t="n">
        <v>0</v>
      </c>
      <c r="R675" s="2" t="inlineStr"/>
    </row>
    <row r="676" ht="15" customHeight="1">
      <c r="A676" t="inlineStr">
        <is>
          <t>A 54825-2025</t>
        </is>
      </c>
      <c r="B676" s="1" t="n">
        <v>45966.66768518519</v>
      </c>
      <c r="C676" s="1" t="n">
        <v>46050</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32178-2024</t>
        </is>
      </c>
      <c r="B677" s="1" t="n">
        <v>45511</v>
      </c>
      <c r="C677" s="1" t="n">
        <v>46050</v>
      </c>
      <c r="D677" t="inlineStr">
        <is>
          <t>JÄMTLANDS LÄN</t>
        </is>
      </c>
      <c r="E677" t="inlineStr">
        <is>
          <t>BERG</t>
        </is>
      </c>
      <c r="G677" t="n">
        <v>11.4</v>
      </c>
      <c r="H677" t="n">
        <v>0</v>
      </c>
      <c r="I677" t="n">
        <v>0</v>
      </c>
      <c r="J677" t="n">
        <v>0</v>
      </c>
      <c r="K677" t="n">
        <v>0</v>
      </c>
      <c r="L677" t="n">
        <v>0</v>
      </c>
      <c r="M677" t="n">
        <v>0</v>
      </c>
      <c r="N677" t="n">
        <v>0</v>
      </c>
      <c r="O677" t="n">
        <v>0</v>
      </c>
      <c r="P677" t="n">
        <v>0</v>
      </c>
      <c r="Q677" t="n">
        <v>0</v>
      </c>
      <c r="R677" s="2" t="inlineStr"/>
    </row>
    <row r="678" ht="15" customHeight="1">
      <c r="A678" t="inlineStr">
        <is>
          <t>A 41868-2024</t>
        </is>
      </c>
      <c r="B678" s="1" t="n">
        <v>45561.46900462963</v>
      </c>
      <c r="C678" s="1" t="n">
        <v>46050</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55022-2025</t>
        </is>
      </c>
      <c r="B679" s="1" t="n">
        <v>45967.62862268519</v>
      </c>
      <c r="C679" s="1" t="n">
        <v>46050</v>
      </c>
      <c r="D679" t="inlineStr">
        <is>
          <t>JÄMTLANDS LÄN</t>
        </is>
      </c>
      <c r="E679" t="inlineStr">
        <is>
          <t>BERG</t>
        </is>
      </c>
      <c r="G679" t="n">
        <v>0.5</v>
      </c>
      <c r="H679" t="n">
        <v>0</v>
      </c>
      <c r="I679" t="n">
        <v>0</v>
      </c>
      <c r="J679" t="n">
        <v>0</v>
      </c>
      <c r="K679" t="n">
        <v>0</v>
      </c>
      <c r="L679" t="n">
        <v>0</v>
      </c>
      <c r="M679" t="n">
        <v>0</v>
      </c>
      <c r="N679" t="n">
        <v>0</v>
      </c>
      <c r="O679" t="n">
        <v>0</v>
      </c>
      <c r="P679" t="n">
        <v>0</v>
      </c>
      <c r="Q679" t="n">
        <v>0</v>
      </c>
      <c r="R679" s="2" t="inlineStr"/>
    </row>
    <row r="680" ht="15" customHeight="1">
      <c r="A680" t="inlineStr">
        <is>
          <t>A 55043-2025</t>
        </is>
      </c>
      <c r="B680" s="1" t="n">
        <v>45967.65983796296</v>
      </c>
      <c r="C680" s="1" t="n">
        <v>46050</v>
      </c>
      <c r="D680" t="inlineStr">
        <is>
          <t>JÄMTLANDS LÄN</t>
        </is>
      </c>
      <c r="E680" t="inlineStr">
        <is>
          <t>BERG</t>
        </is>
      </c>
      <c r="G680" t="n">
        <v>3</v>
      </c>
      <c r="H680" t="n">
        <v>0</v>
      </c>
      <c r="I680" t="n">
        <v>0</v>
      </c>
      <c r="J680" t="n">
        <v>0</v>
      </c>
      <c r="K680" t="n">
        <v>0</v>
      </c>
      <c r="L680" t="n">
        <v>0</v>
      </c>
      <c r="M680" t="n">
        <v>0</v>
      </c>
      <c r="N680" t="n">
        <v>0</v>
      </c>
      <c r="O680" t="n">
        <v>0</v>
      </c>
      <c r="P680" t="n">
        <v>0</v>
      </c>
      <c r="Q680" t="n">
        <v>0</v>
      </c>
      <c r="R680" s="2" t="inlineStr"/>
    </row>
    <row r="681" ht="15" customHeight="1">
      <c r="A681" t="inlineStr">
        <is>
          <t>A 43616-2024</t>
        </is>
      </c>
      <c r="B681" s="1" t="n">
        <v>45569</v>
      </c>
      <c r="C681" s="1" t="n">
        <v>46050</v>
      </c>
      <c r="D681" t="inlineStr">
        <is>
          <t>JÄMTLANDS LÄN</t>
        </is>
      </c>
      <c r="E681" t="inlineStr">
        <is>
          <t>BERG</t>
        </is>
      </c>
      <c r="G681" t="n">
        <v>12.3</v>
      </c>
      <c r="H681" t="n">
        <v>0</v>
      </c>
      <c r="I681" t="n">
        <v>0</v>
      </c>
      <c r="J681" t="n">
        <v>0</v>
      </c>
      <c r="K681" t="n">
        <v>0</v>
      </c>
      <c r="L681" t="n">
        <v>0</v>
      </c>
      <c r="M681" t="n">
        <v>0</v>
      </c>
      <c r="N681" t="n">
        <v>0</v>
      </c>
      <c r="O681" t="n">
        <v>0</v>
      </c>
      <c r="P681" t="n">
        <v>0</v>
      </c>
      <c r="Q681" t="n">
        <v>0</v>
      </c>
      <c r="R681" s="2" t="inlineStr"/>
    </row>
    <row r="682" ht="15" customHeight="1">
      <c r="A682" t="inlineStr">
        <is>
          <t>A 62814-2025</t>
        </is>
      </c>
      <c r="B682" s="1" t="n">
        <v>46008.6502662037</v>
      </c>
      <c r="C682" s="1" t="n">
        <v>46050</v>
      </c>
      <c r="D682" t="inlineStr">
        <is>
          <t>JÄMTLANDS LÄN</t>
        </is>
      </c>
      <c r="E682" t="inlineStr">
        <is>
          <t>BERG</t>
        </is>
      </c>
      <c r="G682" t="n">
        <v>7.8</v>
      </c>
      <c r="H682" t="n">
        <v>0</v>
      </c>
      <c r="I682" t="n">
        <v>0</v>
      </c>
      <c r="J682" t="n">
        <v>0</v>
      </c>
      <c r="K682" t="n">
        <v>0</v>
      </c>
      <c r="L682" t="n">
        <v>0</v>
      </c>
      <c r="M682" t="n">
        <v>0</v>
      </c>
      <c r="N682" t="n">
        <v>0</v>
      </c>
      <c r="O682" t="n">
        <v>0</v>
      </c>
      <c r="P682" t="n">
        <v>0</v>
      </c>
      <c r="Q682" t="n">
        <v>0</v>
      </c>
      <c r="R682" s="2" t="inlineStr"/>
    </row>
    <row r="683" ht="15" customHeight="1">
      <c r="A683" t="inlineStr">
        <is>
          <t>A 18261-2022</t>
        </is>
      </c>
      <c r="B683" s="1" t="n">
        <v>44685.45633101852</v>
      </c>
      <c r="C683" s="1" t="n">
        <v>46050</v>
      </c>
      <c r="D683" t="inlineStr">
        <is>
          <t>JÄMTLANDS LÄN</t>
        </is>
      </c>
      <c r="E683" t="inlineStr">
        <is>
          <t>BERG</t>
        </is>
      </c>
      <c r="G683" t="n">
        <v>3</v>
      </c>
      <c r="H683" t="n">
        <v>0</v>
      </c>
      <c r="I683" t="n">
        <v>0</v>
      </c>
      <c r="J683" t="n">
        <v>0</v>
      </c>
      <c r="K683" t="n">
        <v>0</v>
      </c>
      <c r="L683" t="n">
        <v>0</v>
      </c>
      <c r="M683" t="n">
        <v>0</v>
      </c>
      <c r="N683" t="n">
        <v>0</v>
      </c>
      <c r="O683" t="n">
        <v>0</v>
      </c>
      <c r="P683" t="n">
        <v>0</v>
      </c>
      <c r="Q683" t="n">
        <v>0</v>
      </c>
      <c r="R683" s="2" t="inlineStr"/>
    </row>
    <row r="684" ht="15" customHeight="1">
      <c r="A684" t="inlineStr">
        <is>
          <t>A 55553-2025</t>
        </is>
      </c>
      <c r="B684" s="1" t="n">
        <v>45971.64445601852</v>
      </c>
      <c r="C684" s="1" t="n">
        <v>46050</v>
      </c>
      <c r="D684" t="inlineStr">
        <is>
          <t>JÄMTLANDS LÄN</t>
        </is>
      </c>
      <c r="E684" t="inlineStr">
        <is>
          <t>BERG</t>
        </is>
      </c>
      <c r="G684" t="n">
        <v>2.9</v>
      </c>
      <c r="H684" t="n">
        <v>0</v>
      </c>
      <c r="I684" t="n">
        <v>0</v>
      </c>
      <c r="J684" t="n">
        <v>0</v>
      </c>
      <c r="K684" t="n">
        <v>0</v>
      </c>
      <c r="L684" t="n">
        <v>0</v>
      </c>
      <c r="M684" t="n">
        <v>0</v>
      </c>
      <c r="N684" t="n">
        <v>0</v>
      </c>
      <c r="O684" t="n">
        <v>0</v>
      </c>
      <c r="P684" t="n">
        <v>0</v>
      </c>
      <c r="Q684" t="n">
        <v>0</v>
      </c>
      <c r="R684" s="2" t="inlineStr"/>
    </row>
    <row r="685" ht="15" customHeight="1">
      <c r="A685" t="inlineStr">
        <is>
          <t>A 63559-2025</t>
        </is>
      </c>
      <c r="B685" s="1" t="n">
        <v>46013.61951388889</v>
      </c>
      <c r="C685" s="1" t="n">
        <v>46050</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55472-2025</t>
        </is>
      </c>
      <c r="B686" s="1" t="n">
        <v>45971.54526620371</v>
      </c>
      <c r="C686" s="1" t="n">
        <v>46050</v>
      </c>
      <c r="D686" t="inlineStr">
        <is>
          <t>JÄMTLANDS LÄN</t>
        </is>
      </c>
      <c r="E686" t="inlineStr">
        <is>
          <t>BERG</t>
        </is>
      </c>
      <c r="G686" t="n">
        <v>3.2</v>
      </c>
      <c r="H686" t="n">
        <v>0</v>
      </c>
      <c r="I686" t="n">
        <v>0</v>
      </c>
      <c r="J686" t="n">
        <v>0</v>
      </c>
      <c r="K686" t="n">
        <v>0</v>
      </c>
      <c r="L686" t="n">
        <v>0</v>
      </c>
      <c r="M686" t="n">
        <v>0</v>
      </c>
      <c r="N686" t="n">
        <v>0</v>
      </c>
      <c r="O686" t="n">
        <v>0</v>
      </c>
      <c r="P686" t="n">
        <v>0</v>
      </c>
      <c r="Q686" t="n">
        <v>0</v>
      </c>
      <c r="R686" s="2" t="inlineStr"/>
    </row>
    <row r="687" ht="15" customHeight="1">
      <c r="A687" t="inlineStr">
        <is>
          <t>A 55497-2025</t>
        </is>
      </c>
      <c r="B687" s="1" t="n">
        <v>45971.58337962963</v>
      </c>
      <c r="C687" s="1" t="n">
        <v>46050</v>
      </c>
      <c r="D687" t="inlineStr">
        <is>
          <t>JÄMTLANDS LÄN</t>
        </is>
      </c>
      <c r="E687" t="inlineStr">
        <is>
          <t>BERG</t>
        </is>
      </c>
      <c r="G687" t="n">
        <v>15</v>
      </c>
      <c r="H687" t="n">
        <v>0</v>
      </c>
      <c r="I687" t="n">
        <v>0</v>
      </c>
      <c r="J687" t="n">
        <v>0</v>
      </c>
      <c r="K687" t="n">
        <v>0</v>
      </c>
      <c r="L687" t="n">
        <v>0</v>
      </c>
      <c r="M687" t="n">
        <v>0</v>
      </c>
      <c r="N687" t="n">
        <v>0</v>
      </c>
      <c r="O687" t="n">
        <v>0</v>
      </c>
      <c r="P687" t="n">
        <v>0</v>
      </c>
      <c r="Q687" t="n">
        <v>0</v>
      </c>
      <c r="R687" s="2" t="inlineStr"/>
    </row>
    <row r="688" ht="15" customHeight="1">
      <c r="A688" t="inlineStr">
        <is>
          <t>A 55237-2025</t>
        </is>
      </c>
      <c r="B688" s="1" t="n">
        <v>45968</v>
      </c>
      <c r="C688" s="1" t="n">
        <v>46050</v>
      </c>
      <c r="D688" t="inlineStr">
        <is>
          <t>JÄMTLANDS LÄN</t>
        </is>
      </c>
      <c r="E688" t="inlineStr">
        <is>
          <t>BERG</t>
        </is>
      </c>
      <c r="G688" t="n">
        <v>11.9</v>
      </c>
      <c r="H688" t="n">
        <v>0</v>
      </c>
      <c r="I688" t="n">
        <v>0</v>
      </c>
      <c r="J688" t="n">
        <v>0</v>
      </c>
      <c r="K688" t="n">
        <v>0</v>
      </c>
      <c r="L688" t="n">
        <v>0</v>
      </c>
      <c r="M688" t="n">
        <v>0</v>
      </c>
      <c r="N688" t="n">
        <v>0</v>
      </c>
      <c r="O688" t="n">
        <v>0</v>
      </c>
      <c r="P688" t="n">
        <v>0</v>
      </c>
      <c r="Q688" t="n">
        <v>0</v>
      </c>
      <c r="R688" s="2" t="inlineStr"/>
    </row>
    <row r="689" ht="15" customHeight="1">
      <c r="A689" t="inlineStr">
        <is>
          <t>A 55267-2025</t>
        </is>
      </c>
      <c r="B689" s="1" t="n">
        <v>45968.66726851852</v>
      </c>
      <c r="C689" s="1" t="n">
        <v>46050</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55239-2025</t>
        </is>
      </c>
      <c r="B690" s="1" t="n">
        <v>45968</v>
      </c>
      <c r="C690" s="1" t="n">
        <v>46050</v>
      </c>
      <c r="D690" t="inlineStr">
        <is>
          <t>JÄMTLANDS LÄN</t>
        </is>
      </c>
      <c r="E690" t="inlineStr">
        <is>
          <t>BERG</t>
        </is>
      </c>
      <c r="G690" t="n">
        <v>6.3</v>
      </c>
      <c r="H690" t="n">
        <v>0</v>
      </c>
      <c r="I690" t="n">
        <v>0</v>
      </c>
      <c r="J690" t="n">
        <v>0</v>
      </c>
      <c r="K690" t="n">
        <v>0</v>
      </c>
      <c r="L690" t="n">
        <v>0</v>
      </c>
      <c r="M690" t="n">
        <v>0</v>
      </c>
      <c r="N690" t="n">
        <v>0</v>
      </c>
      <c r="O690" t="n">
        <v>0</v>
      </c>
      <c r="P690" t="n">
        <v>0</v>
      </c>
      <c r="Q690" t="n">
        <v>0</v>
      </c>
      <c r="R690" s="2" t="inlineStr"/>
    </row>
    <row r="691" ht="15" customHeight="1">
      <c r="A691" t="inlineStr">
        <is>
          <t>A 55240-2025</t>
        </is>
      </c>
      <c r="B691" s="1" t="n">
        <v>45968</v>
      </c>
      <c r="C691" s="1" t="n">
        <v>46050</v>
      </c>
      <c r="D691" t="inlineStr">
        <is>
          <t>JÄMTLANDS LÄN</t>
        </is>
      </c>
      <c r="E691" t="inlineStr">
        <is>
          <t>BERG</t>
        </is>
      </c>
      <c r="G691" t="n">
        <v>11.2</v>
      </c>
      <c r="H691" t="n">
        <v>0</v>
      </c>
      <c r="I691" t="n">
        <v>0</v>
      </c>
      <c r="J691" t="n">
        <v>0</v>
      </c>
      <c r="K691" t="n">
        <v>0</v>
      </c>
      <c r="L691" t="n">
        <v>0</v>
      </c>
      <c r="M691" t="n">
        <v>0</v>
      </c>
      <c r="N691" t="n">
        <v>0</v>
      </c>
      <c r="O691" t="n">
        <v>0</v>
      </c>
      <c r="P691" t="n">
        <v>0</v>
      </c>
      <c r="Q691" t="n">
        <v>0</v>
      </c>
      <c r="R691" s="2" t="inlineStr"/>
    </row>
    <row r="692" ht="15" customHeight="1">
      <c r="A692" t="inlineStr">
        <is>
          <t>A 44997-2021</t>
        </is>
      </c>
      <c r="B692" s="1" t="n">
        <v>44438</v>
      </c>
      <c r="C692" s="1" t="n">
        <v>46050</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55224-2025</t>
        </is>
      </c>
      <c r="B693" s="1" t="n">
        <v>45968.59447916667</v>
      </c>
      <c r="C693" s="1" t="n">
        <v>46050</v>
      </c>
      <c r="D693" t="inlineStr">
        <is>
          <t>JÄMTLANDS LÄN</t>
        </is>
      </c>
      <c r="E693" t="inlineStr">
        <is>
          <t>BERG</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63332-2025</t>
        </is>
      </c>
      <c r="B694" s="1" t="n">
        <v>46010.64340277778</v>
      </c>
      <c r="C694" s="1" t="n">
        <v>46050</v>
      </c>
      <c r="D694" t="inlineStr">
        <is>
          <t>JÄMTLANDS LÄN</t>
        </is>
      </c>
      <c r="E694" t="inlineStr">
        <is>
          <t>BERG</t>
        </is>
      </c>
      <c r="G694" t="n">
        <v>5.4</v>
      </c>
      <c r="H694" t="n">
        <v>0</v>
      </c>
      <c r="I694" t="n">
        <v>0</v>
      </c>
      <c r="J694" t="n">
        <v>0</v>
      </c>
      <c r="K694" t="n">
        <v>0</v>
      </c>
      <c r="L694" t="n">
        <v>0</v>
      </c>
      <c r="M694" t="n">
        <v>0</v>
      </c>
      <c r="N694" t="n">
        <v>0</v>
      </c>
      <c r="O694" t="n">
        <v>0</v>
      </c>
      <c r="P694" t="n">
        <v>0</v>
      </c>
      <c r="Q694" t="n">
        <v>0</v>
      </c>
      <c r="R694" s="2" t="inlineStr"/>
    </row>
    <row r="695" ht="15" customHeight="1">
      <c r="A695" t="inlineStr">
        <is>
          <t>A 55575-2025</t>
        </is>
      </c>
      <c r="B695" s="1" t="n">
        <v>45971.66145833334</v>
      </c>
      <c r="C695" s="1" t="n">
        <v>46050</v>
      </c>
      <c r="D695" t="inlineStr">
        <is>
          <t>JÄMTLANDS LÄN</t>
        </is>
      </c>
      <c r="E695" t="inlineStr">
        <is>
          <t>BERG</t>
        </is>
      </c>
      <c r="G695" t="n">
        <v>3.5</v>
      </c>
      <c r="H695" t="n">
        <v>0</v>
      </c>
      <c r="I695" t="n">
        <v>0</v>
      </c>
      <c r="J695" t="n">
        <v>0</v>
      </c>
      <c r="K695" t="n">
        <v>0</v>
      </c>
      <c r="L695" t="n">
        <v>0</v>
      </c>
      <c r="M695" t="n">
        <v>0</v>
      </c>
      <c r="N695" t="n">
        <v>0</v>
      </c>
      <c r="O695" t="n">
        <v>0</v>
      </c>
      <c r="P695" t="n">
        <v>0</v>
      </c>
      <c r="Q695" t="n">
        <v>0</v>
      </c>
      <c r="R695" s="2" t="inlineStr"/>
    </row>
    <row r="696" ht="15" customHeight="1">
      <c r="A696" t="inlineStr">
        <is>
          <t>A 55223-2025</t>
        </is>
      </c>
      <c r="B696" s="1" t="n">
        <v>45968.59439814815</v>
      </c>
      <c r="C696" s="1" t="n">
        <v>46050</v>
      </c>
      <c r="D696" t="inlineStr">
        <is>
          <t>JÄMTLANDS LÄN</t>
        </is>
      </c>
      <c r="E696" t="inlineStr">
        <is>
          <t>BERG</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63345-2025</t>
        </is>
      </c>
      <c r="B697" s="1" t="n">
        <v>46010.65959490741</v>
      </c>
      <c r="C697" s="1" t="n">
        <v>46050</v>
      </c>
      <c r="D697" t="inlineStr">
        <is>
          <t>JÄMTLANDS LÄN</t>
        </is>
      </c>
      <c r="E697" t="inlineStr">
        <is>
          <t>BERG</t>
        </is>
      </c>
      <c r="G697" t="n">
        <v>15</v>
      </c>
      <c r="H697" t="n">
        <v>0</v>
      </c>
      <c r="I697" t="n">
        <v>0</v>
      </c>
      <c r="J697" t="n">
        <v>0</v>
      </c>
      <c r="K697" t="n">
        <v>0</v>
      </c>
      <c r="L697" t="n">
        <v>0</v>
      </c>
      <c r="M697" t="n">
        <v>0</v>
      </c>
      <c r="N697" t="n">
        <v>0</v>
      </c>
      <c r="O697" t="n">
        <v>0</v>
      </c>
      <c r="P697" t="n">
        <v>0</v>
      </c>
      <c r="Q697" t="n">
        <v>0</v>
      </c>
      <c r="R697" s="2" t="inlineStr"/>
    </row>
    <row r="698" ht="15" customHeight="1">
      <c r="A698" t="inlineStr">
        <is>
          <t>A 63381-2025</t>
        </is>
      </c>
      <c r="B698" s="1" t="n">
        <v>46010.89377314815</v>
      </c>
      <c r="C698" s="1" t="n">
        <v>46050</v>
      </c>
      <c r="D698" t="inlineStr">
        <is>
          <t>JÄMTLANDS LÄN</t>
        </is>
      </c>
      <c r="E698" t="inlineStr">
        <is>
          <t>BERG</t>
        </is>
      </c>
      <c r="G698" t="n">
        <v>3.6</v>
      </c>
      <c r="H698" t="n">
        <v>0</v>
      </c>
      <c r="I698" t="n">
        <v>0</v>
      </c>
      <c r="J698" t="n">
        <v>0</v>
      </c>
      <c r="K698" t="n">
        <v>0</v>
      </c>
      <c r="L698" t="n">
        <v>0</v>
      </c>
      <c r="M698" t="n">
        <v>0</v>
      </c>
      <c r="N698" t="n">
        <v>0</v>
      </c>
      <c r="O698" t="n">
        <v>0</v>
      </c>
      <c r="P698" t="n">
        <v>0</v>
      </c>
      <c r="Q698" t="n">
        <v>0</v>
      </c>
      <c r="R698" s="2" t="inlineStr"/>
    </row>
    <row r="699" ht="15" customHeight="1">
      <c r="A699" t="inlineStr">
        <is>
          <t>A 13473-2025</t>
        </is>
      </c>
      <c r="B699" s="1" t="n">
        <v>45736.40671296296</v>
      </c>
      <c r="C699" s="1" t="n">
        <v>46050</v>
      </c>
      <c r="D699" t="inlineStr">
        <is>
          <t>JÄMTLANDS LÄN</t>
        </is>
      </c>
      <c r="E699" t="inlineStr">
        <is>
          <t>BERG</t>
        </is>
      </c>
      <c r="F699" t="inlineStr">
        <is>
          <t>SCA</t>
        </is>
      </c>
      <c r="G699" t="n">
        <v>13.7</v>
      </c>
      <c r="H699" t="n">
        <v>0</v>
      </c>
      <c r="I699" t="n">
        <v>0</v>
      </c>
      <c r="J699" t="n">
        <v>0</v>
      </c>
      <c r="K699" t="n">
        <v>0</v>
      </c>
      <c r="L699" t="n">
        <v>0</v>
      </c>
      <c r="M699" t="n">
        <v>0</v>
      </c>
      <c r="N699" t="n">
        <v>0</v>
      </c>
      <c r="O699" t="n">
        <v>0</v>
      </c>
      <c r="P699" t="n">
        <v>0</v>
      </c>
      <c r="Q699" t="n">
        <v>0</v>
      </c>
      <c r="R699" s="2" t="inlineStr"/>
    </row>
    <row r="700" ht="15" customHeight="1">
      <c r="A700" t="inlineStr">
        <is>
          <t>A 63562-2025</t>
        </is>
      </c>
      <c r="B700" s="1" t="n">
        <v>46013.62353009259</v>
      </c>
      <c r="C700" s="1" t="n">
        <v>46050</v>
      </c>
      <c r="D700" t="inlineStr">
        <is>
          <t>JÄMTLANDS LÄN</t>
        </is>
      </c>
      <c r="E700" t="inlineStr">
        <is>
          <t>BERG</t>
        </is>
      </c>
      <c r="G700" t="n">
        <v>1.1</v>
      </c>
      <c r="H700" t="n">
        <v>0</v>
      </c>
      <c r="I700" t="n">
        <v>0</v>
      </c>
      <c r="J700" t="n">
        <v>0</v>
      </c>
      <c r="K700" t="n">
        <v>0</v>
      </c>
      <c r="L700" t="n">
        <v>0</v>
      </c>
      <c r="M700" t="n">
        <v>0</v>
      </c>
      <c r="N700" t="n">
        <v>0</v>
      </c>
      <c r="O700" t="n">
        <v>0</v>
      </c>
      <c r="P700" t="n">
        <v>0</v>
      </c>
      <c r="Q700" t="n">
        <v>0</v>
      </c>
      <c r="R700" s="2" t="inlineStr"/>
    </row>
    <row r="701" ht="15" customHeight="1">
      <c r="A701" t="inlineStr">
        <is>
          <t>A 59498-2024</t>
        </is>
      </c>
      <c r="B701" s="1" t="n">
        <v>45638.54635416667</v>
      </c>
      <c r="C701" s="1" t="n">
        <v>46050</v>
      </c>
      <c r="D701" t="inlineStr">
        <is>
          <t>JÄMTLANDS LÄN</t>
        </is>
      </c>
      <c r="E701" t="inlineStr">
        <is>
          <t>BERG</t>
        </is>
      </c>
      <c r="G701" t="n">
        <v>2.4</v>
      </c>
      <c r="H701" t="n">
        <v>0</v>
      </c>
      <c r="I701" t="n">
        <v>0</v>
      </c>
      <c r="J701" t="n">
        <v>0</v>
      </c>
      <c r="K701" t="n">
        <v>0</v>
      </c>
      <c r="L701" t="n">
        <v>0</v>
      </c>
      <c r="M701" t="n">
        <v>0</v>
      </c>
      <c r="N701" t="n">
        <v>0</v>
      </c>
      <c r="O701" t="n">
        <v>0</v>
      </c>
      <c r="P701" t="n">
        <v>0</v>
      </c>
      <c r="Q701" t="n">
        <v>0</v>
      </c>
      <c r="R701" s="2" t="inlineStr"/>
    </row>
    <row r="702" ht="15" customHeight="1">
      <c r="A702" t="inlineStr">
        <is>
          <t>A 63597-2025</t>
        </is>
      </c>
      <c r="B702" s="1" t="n">
        <v>46014.28792824074</v>
      </c>
      <c r="C702" s="1" t="n">
        <v>46050</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47119-2024</t>
        </is>
      </c>
      <c r="B703" s="1" t="n">
        <v>45586.56431712963</v>
      </c>
      <c r="C703" s="1" t="n">
        <v>46050</v>
      </c>
      <c r="D703" t="inlineStr">
        <is>
          <t>JÄMTLANDS LÄN</t>
        </is>
      </c>
      <c r="E703" t="inlineStr">
        <is>
          <t>BERG</t>
        </is>
      </c>
      <c r="G703" t="n">
        <v>5</v>
      </c>
      <c r="H703" t="n">
        <v>0</v>
      </c>
      <c r="I703" t="n">
        <v>0</v>
      </c>
      <c r="J703" t="n">
        <v>0</v>
      </c>
      <c r="K703" t="n">
        <v>0</v>
      </c>
      <c r="L703" t="n">
        <v>0</v>
      </c>
      <c r="M703" t="n">
        <v>0</v>
      </c>
      <c r="N703" t="n">
        <v>0</v>
      </c>
      <c r="O703" t="n">
        <v>0</v>
      </c>
      <c r="P703" t="n">
        <v>0</v>
      </c>
      <c r="Q703" t="n">
        <v>0</v>
      </c>
      <c r="R703" s="2" t="inlineStr"/>
    </row>
    <row r="704" ht="15" customHeight="1">
      <c r="A704" t="inlineStr">
        <is>
          <t>A 55770-2025</t>
        </is>
      </c>
      <c r="B704" s="1" t="n">
        <v>45972</v>
      </c>
      <c r="C704" s="1" t="n">
        <v>46050</v>
      </c>
      <c r="D704" t="inlineStr">
        <is>
          <t>JÄMTLANDS LÄN</t>
        </is>
      </c>
      <c r="E704" t="inlineStr">
        <is>
          <t>BERG</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50169-2023</t>
        </is>
      </c>
      <c r="B705" s="1" t="n">
        <v>45208</v>
      </c>
      <c r="C705" s="1" t="n">
        <v>46050</v>
      </c>
      <c r="D705" t="inlineStr">
        <is>
          <t>JÄMTLANDS LÄN</t>
        </is>
      </c>
      <c r="E705" t="inlineStr">
        <is>
          <t>BERG</t>
        </is>
      </c>
      <c r="G705" t="n">
        <v>3.9</v>
      </c>
      <c r="H705" t="n">
        <v>0</v>
      </c>
      <c r="I705" t="n">
        <v>0</v>
      </c>
      <c r="J705" t="n">
        <v>0</v>
      </c>
      <c r="K705" t="n">
        <v>0</v>
      </c>
      <c r="L705" t="n">
        <v>0</v>
      </c>
      <c r="M705" t="n">
        <v>0</v>
      </c>
      <c r="N705" t="n">
        <v>0</v>
      </c>
      <c r="O705" t="n">
        <v>0</v>
      </c>
      <c r="P705" t="n">
        <v>0</v>
      </c>
      <c r="Q705" t="n">
        <v>0</v>
      </c>
      <c r="R705" s="2" t="inlineStr"/>
    </row>
    <row r="706" ht="15" customHeight="1">
      <c r="A706" t="inlineStr">
        <is>
          <t>A 50172-2023</t>
        </is>
      </c>
      <c r="B706" s="1" t="n">
        <v>45208</v>
      </c>
      <c r="C706" s="1" t="n">
        <v>46050</v>
      </c>
      <c r="D706" t="inlineStr">
        <is>
          <t>JÄMTLANDS LÄN</t>
        </is>
      </c>
      <c r="E706" t="inlineStr">
        <is>
          <t>BERG</t>
        </is>
      </c>
      <c r="G706" t="n">
        <v>0.9</v>
      </c>
      <c r="H706" t="n">
        <v>0</v>
      </c>
      <c r="I706" t="n">
        <v>0</v>
      </c>
      <c r="J706" t="n">
        <v>0</v>
      </c>
      <c r="K706" t="n">
        <v>0</v>
      </c>
      <c r="L706" t="n">
        <v>0</v>
      </c>
      <c r="M706" t="n">
        <v>0</v>
      </c>
      <c r="N706" t="n">
        <v>0</v>
      </c>
      <c r="O706" t="n">
        <v>0</v>
      </c>
      <c r="P706" t="n">
        <v>0</v>
      </c>
      <c r="Q706" t="n">
        <v>0</v>
      </c>
      <c r="R706" s="2" t="inlineStr"/>
    </row>
    <row r="707" ht="15" customHeight="1">
      <c r="A707" t="inlineStr">
        <is>
          <t>A 2474-2025</t>
        </is>
      </c>
      <c r="B707" s="1" t="n">
        <v>45674.47496527778</v>
      </c>
      <c r="C707" s="1" t="n">
        <v>46050</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56199-2025</t>
        </is>
      </c>
      <c r="B708" s="1" t="n">
        <v>45974.45790509259</v>
      </c>
      <c r="C708" s="1" t="n">
        <v>46050</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41886-2024</t>
        </is>
      </c>
      <c r="B709" s="1" t="n">
        <v>45561.48825231481</v>
      </c>
      <c r="C709" s="1" t="n">
        <v>46050</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56457-2025</t>
        </is>
      </c>
      <c r="B710" s="1" t="n">
        <v>45975.36277777778</v>
      </c>
      <c r="C710" s="1" t="n">
        <v>46050</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49277-2024</t>
        </is>
      </c>
      <c r="B711" s="1" t="n">
        <v>45595.50820601852</v>
      </c>
      <c r="C711" s="1" t="n">
        <v>46050</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34225-2024</t>
        </is>
      </c>
      <c r="B712" s="1" t="n">
        <v>45524.55398148148</v>
      </c>
      <c r="C712" s="1" t="n">
        <v>46050</v>
      </c>
      <c r="D712" t="inlineStr">
        <is>
          <t>JÄMTLANDS LÄN</t>
        </is>
      </c>
      <c r="E712" t="inlineStr">
        <is>
          <t>BERG</t>
        </is>
      </c>
      <c r="G712" t="n">
        <v>1.3</v>
      </c>
      <c r="H712" t="n">
        <v>0</v>
      </c>
      <c r="I712" t="n">
        <v>0</v>
      </c>
      <c r="J712" t="n">
        <v>0</v>
      </c>
      <c r="K712" t="n">
        <v>0</v>
      </c>
      <c r="L712" t="n">
        <v>0</v>
      </c>
      <c r="M712" t="n">
        <v>0</v>
      </c>
      <c r="N712" t="n">
        <v>0</v>
      </c>
      <c r="O712" t="n">
        <v>0</v>
      </c>
      <c r="P712" t="n">
        <v>0</v>
      </c>
      <c r="Q712" t="n">
        <v>0</v>
      </c>
      <c r="R712" s="2" t="inlineStr"/>
    </row>
    <row r="713" ht="15" customHeight="1">
      <c r="A713" t="inlineStr">
        <is>
          <t>A 19538-2023</t>
        </is>
      </c>
      <c r="B713" s="1" t="n">
        <v>45050</v>
      </c>
      <c r="C713" s="1" t="n">
        <v>46050</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56234-2025</t>
        </is>
      </c>
      <c r="B714" s="1" t="n">
        <v>45974.53696759259</v>
      </c>
      <c r="C714" s="1" t="n">
        <v>46050</v>
      </c>
      <c r="D714" t="inlineStr">
        <is>
          <t>JÄMTLANDS LÄN</t>
        </is>
      </c>
      <c r="E714" t="inlineStr">
        <is>
          <t>BERG</t>
        </is>
      </c>
      <c r="G714" t="n">
        <v>11.7</v>
      </c>
      <c r="H714" t="n">
        <v>0</v>
      </c>
      <c r="I714" t="n">
        <v>0</v>
      </c>
      <c r="J714" t="n">
        <v>0</v>
      </c>
      <c r="K714" t="n">
        <v>0</v>
      </c>
      <c r="L714" t="n">
        <v>0</v>
      </c>
      <c r="M714" t="n">
        <v>0</v>
      </c>
      <c r="N714" t="n">
        <v>0</v>
      </c>
      <c r="O714" t="n">
        <v>0</v>
      </c>
      <c r="P714" t="n">
        <v>0</v>
      </c>
      <c r="Q714" t="n">
        <v>0</v>
      </c>
      <c r="R714" s="2" t="inlineStr"/>
    </row>
    <row r="715" ht="15" customHeight="1">
      <c r="A715" t="inlineStr">
        <is>
          <t>A 9077-2023</t>
        </is>
      </c>
      <c r="B715" s="1" t="n">
        <v>44979</v>
      </c>
      <c r="C715" s="1" t="n">
        <v>46050</v>
      </c>
      <c r="D715" t="inlineStr">
        <is>
          <t>JÄMTLANDS LÄN</t>
        </is>
      </c>
      <c r="E715" t="inlineStr">
        <is>
          <t>BERG</t>
        </is>
      </c>
      <c r="G715" t="n">
        <v>3.6</v>
      </c>
      <c r="H715" t="n">
        <v>0</v>
      </c>
      <c r="I715" t="n">
        <v>0</v>
      </c>
      <c r="J715" t="n">
        <v>0</v>
      </c>
      <c r="K715" t="n">
        <v>0</v>
      </c>
      <c r="L715" t="n">
        <v>0</v>
      </c>
      <c r="M715" t="n">
        <v>0</v>
      </c>
      <c r="N715" t="n">
        <v>0</v>
      </c>
      <c r="O715" t="n">
        <v>0</v>
      </c>
      <c r="P715" t="n">
        <v>0</v>
      </c>
      <c r="Q715" t="n">
        <v>0</v>
      </c>
      <c r="R715" s="2" t="inlineStr"/>
    </row>
    <row r="716" ht="15" customHeight="1">
      <c r="A716" t="inlineStr">
        <is>
          <t>A 18752-2024</t>
        </is>
      </c>
      <c r="B716" s="1" t="n">
        <v>45426.54224537037</v>
      </c>
      <c r="C716" s="1" t="n">
        <v>46050</v>
      </c>
      <c r="D716" t="inlineStr">
        <is>
          <t>JÄMTLANDS LÄN</t>
        </is>
      </c>
      <c r="E716" t="inlineStr">
        <is>
          <t>BERG</t>
        </is>
      </c>
      <c r="G716" t="n">
        <v>0.7</v>
      </c>
      <c r="H716" t="n">
        <v>0</v>
      </c>
      <c r="I716" t="n">
        <v>0</v>
      </c>
      <c r="J716" t="n">
        <v>0</v>
      </c>
      <c r="K716" t="n">
        <v>0</v>
      </c>
      <c r="L716" t="n">
        <v>0</v>
      </c>
      <c r="M716" t="n">
        <v>0</v>
      </c>
      <c r="N716" t="n">
        <v>0</v>
      </c>
      <c r="O716" t="n">
        <v>0</v>
      </c>
      <c r="P716" t="n">
        <v>0</v>
      </c>
      <c r="Q716" t="n">
        <v>0</v>
      </c>
      <c r="R716" s="2" t="inlineStr"/>
    </row>
    <row r="717" ht="15" customHeight="1">
      <c r="A717" t="inlineStr">
        <is>
          <t>A 64486-2023</t>
        </is>
      </c>
      <c r="B717" s="1" t="n">
        <v>45280</v>
      </c>
      <c r="C717" s="1" t="n">
        <v>46050</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64488-2023</t>
        </is>
      </c>
      <c r="B718" s="1" t="n">
        <v>45280.92618055556</v>
      </c>
      <c r="C718" s="1" t="n">
        <v>46050</v>
      </c>
      <c r="D718" t="inlineStr">
        <is>
          <t>JÄMTLANDS LÄN</t>
        </is>
      </c>
      <c r="E718" t="inlineStr">
        <is>
          <t>BERG</t>
        </is>
      </c>
      <c r="F718" t="inlineStr">
        <is>
          <t>Övriga Aktiebolag</t>
        </is>
      </c>
      <c r="G718" t="n">
        <v>7.1</v>
      </c>
      <c r="H718" t="n">
        <v>0</v>
      </c>
      <c r="I718" t="n">
        <v>0</v>
      </c>
      <c r="J718" t="n">
        <v>0</v>
      </c>
      <c r="K718" t="n">
        <v>0</v>
      </c>
      <c r="L718" t="n">
        <v>0</v>
      </c>
      <c r="M718" t="n">
        <v>0</v>
      </c>
      <c r="N718" t="n">
        <v>0</v>
      </c>
      <c r="O718" t="n">
        <v>0</v>
      </c>
      <c r="P718" t="n">
        <v>0</v>
      </c>
      <c r="Q718" t="n">
        <v>0</v>
      </c>
      <c r="R718" s="2" t="inlineStr"/>
    </row>
    <row r="719" ht="15" customHeight="1">
      <c r="A719" t="inlineStr">
        <is>
          <t>A 57046-2025</t>
        </is>
      </c>
      <c r="B719" s="1" t="n">
        <v>45979.34672453703</v>
      </c>
      <c r="C719" s="1" t="n">
        <v>46050</v>
      </c>
      <c r="D719" t="inlineStr">
        <is>
          <t>JÄMTLANDS LÄN</t>
        </is>
      </c>
      <c r="E719" t="inlineStr">
        <is>
          <t>BERG</t>
        </is>
      </c>
      <c r="F719" t="inlineStr">
        <is>
          <t>SCA</t>
        </is>
      </c>
      <c r="G719" t="n">
        <v>10.8</v>
      </c>
      <c r="H719" t="n">
        <v>0</v>
      </c>
      <c r="I719" t="n">
        <v>0</v>
      </c>
      <c r="J719" t="n">
        <v>0</v>
      </c>
      <c r="K719" t="n">
        <v>0</v>
      </c>
      <c r="L719" t="n">
        <v>0</v>
      </c>
      <c r="M719" t="n">
        <v>0</v>
      </c>
      <c r="N719" t="n">
        <v>0</v>
      </c>
      <c r="O719" t="n">
        <v>0</v>
      </c>
      <c r="P719" t="n">
        <v>0</v>
      </c>
      <c r="Q719" t="n">
        <v>0</v>
      </c>
      <c r="R719" s="2" t="inlineStr"/>
    </row>
    <row r="720" ht="15" customHeight="1">
      <c r="A720" t="inlineStr">
        <is>
          <t>A 58817-2024</t>
        </is>
      </c>
      <c r="B720" s="1" t="n">
        <v>45636.35909722222</v>
      </c>
      <c r="C720" s="1" t="n">
        <v>46050</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57271-2025</t>
        </is>
      </c>
      <c r="B721" s="1" t="n">
        <v>45979.67789351852</v>
      </c>
      <c r="C721" s="1" t="n">
        <v>46050</v>
      </c>
      <c r="D721" t="inlineStr">
        <is>
          <t>JÄMTLANDS LÄN</t>
        </is>
      </c>
      <c r="E721" t="inlineStr">
        <is>
          <t>BERG</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57039-2025</t>
        </is>
      </c>
      <c r="B722" s="1" t="n">
        <v>45979.34543981482</v>
      </c>
      <c r="C722" s="1" t="n">
        <v>46050</v>
      </c>
      <c r="D722" t="inlineStr">
        <is>
          <t>JÄMTLANDS LÄN</t>
        </is>
      </c>
      <c r="E722" t="inlineStr">
        <is>
          <t>BERG</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57192-2025</t>
        </is>
      </c>
      <c r="B723" s="1" t="n">
        <v>45979.57696759259</v>
      </c>
      <c r="C723" s="1" t="n">
        <v>46050</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57602-2025</t>
        </is>
      </c>
      <c r="B724" s="1" t="n">
        <v>45981.31667824074</v>
      </c>
      <c r="C724" s="1" t="n">
        <v>46050</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57763-2025</t>
        </is>
      </c>
      <c r="B725" s="1" t="n">
        <v>45981.55693287037</v>
      </c>
      <c r="C725" s="1" t="n">
        <v>46050</v>
      </c>
      <c r="D725" t="inlineStr">
        <is>
          <t>JÄMTLANDS LÄN</t>
        </is>
      </c>
      <c r="E725" t="inlineStr">
        <is>
          <t>BERG</t>
        </is>
      </c>
      <c r="F725" t="inlineStr">
        <is>
          <t>Övriga Aktiebolag</t>
        </is>
      </c>
      <c r="G725" t="n">
        <v>13.1</v>
      </c>
      <c r="H725" t="n">
        <v>0</v>
      </c>
      <c r="I725" t="n">
        <v>0</v>
      </c>
      <c r="J725" t="n">
        <v>0</v>
      </c>
      <c r="K725" t="n">
        <v>0</v>
      </c>
      <c r="L725" t="n">
        <v>0</v>
      </c>
      <c r="M725" t="n">
        <v>0</v>
      </c>
      <c r="N725" t="n">
        <v>0</v>
      </c>
      <c r="O725" t="n">
        <v>0</v>
      </c>
      <c r="P725" t="n">
        <v>0</v>
      </c>
      <c r="Q725" t="n">
        <v>0</v>
      </c>
      <c r="R725" s="2" t="inlineStr"/>
    </row>
    <row r="726" ht="15" customHeight="1">
      <c r="A726" t="inlineStr">
        <is>
          <t>A 57861-2025</t>
        </is>
      </c>
      <c r="B726" s="1" t="n">
        <v>45981.64236111111</v>
      </c>
      <c r="C726" s="1" t="n">
        <v>46050</v>
      </c>
      <c r="D726" t="inlineStr">
        <is>
          <t>JÄMTLANDS LÄN</t>
        </is>
      </c>
      <c r="E726" t="inlineStr">
        <is>
          <t>BERG</t>
        </is>
      </c>
      <c r="G726" t="n">
        <v>1.3</v>
      </c>
      <c r="H726" t="n">
        <v>0</v>
      </c>
      <c r="I726" t="n">
        <v>0</v>
      </c>
      <c r="J726" t="n">
        <v>0</v>
      </c>
      <c r="K726" t="n">
        <v>0</v>
      </c>
      <c r="L726" t="n">
        <v>0</v>
      </c>
      <c r="M726" t="n">
        <v>0</v>
      </c>
      <c r="N726" t="n">
        <v>0</v>
      </c>
      <c r="O726" t="n">
        <v>0</v>
      </c>
      <c r="P726" t="n">
        <v>0</v>
      </c>
      <c r="Q726" t="n">
        <v>0</v>
      </c>
      <c r="R726" s="2" t="inlineStr"/>
    </row>
    <row r="727" ht="15" customHeight="1">
      <c r="A727" t="inlineStr">
        <is>
          <t>A 57503-2025</t>
        </is>
      </c>
      <c r="B727" s="1" t="n">
        <v>45980.59431712963</v>
      </c>
      <c r="C727" s="1" t="n">
        <v>46050</v>
      </c>
      <c r="D727" t="inlineStr">
        <is>
          <t>JÄMTLANDS LÄN</t>
        </is>
      </c>
      <c r="E727" t="inlineStr">
        <is>
          <t>BERG</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13108-2025</t>
        </is>
      </c>
      <c r="B728" s="1" t="n">
        <v>45734</v>
      </c>
      <c r="C728" s="1" t="n">
        <v>46050</v>
      </c>
      <c r="D728" t="inlineStr">
        <is>
          <t>JÄMTLANDS LÄN</t>
        </is>
      </c>
      <c r="E728" t="inlineStr">
        <is>
          <t>BERG</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57849-2025</t>
        </is>
      </c>
      <c r="B729" s="1" t="n">
        <v>45981.63472222222</v>
      </c>
      <c r="C729" s="1" t="n">
        <v>46050</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58237-2025</t>
        </is>
      </c>
      <c r="B730" s="1" t="n">
        <v>45985.38751157407</v>
      </c>
      <c r="C730" s="1" t="n">
        <v>46050</v>
      </c>
      <c r="D730" t="inlineStr">
        <is>
          <t>JÄMTLANDS LÄN</t>
        </is>
      </c>
      <c r="E730" t="inlineStr">
        <is>
          <t>BERG</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5215-2024</t>
        </is>
      </c>
      <c r="B731" s="1" t="n">
        <v>45330</v>
      </c>
      <c r="C731" s="1" t="n">
        <v>46050</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58413-2025</t>
        </is>
      </c>
      <c r="B732" s="1" t="n">
        <v>45985.57662037037</v>
      </c>
      <c r="C732" s="1" t="n">
        <v>46050</v>
      </c>
      <c r="D732" t="inlineStr">
        <is>
          <t>JÄMTLANDS LÄN</t>
        </is>
      </c>
      <c r="E732" t="inlineStr">
        <is>
          <t>BERG</t>
        </is>
      </c>
      <c r="G732" t="n">
        <v>4.2</v>
      </c>
      <c r="H732" t="n">
        <v>0</v>
      </c>
      <c r="I732" t="n">
        <v>0</v>
      </c>
      <c r="J732" t="n">
        <v>0</v>
      </c>
      <c r="K732" t="n">
        <v>0</v>
      </c>
      <c r="L732" t="n">
        <v>0</v>
      </c>
      <c r="M732" t="n">
        <v>0</v>
      </c>
      <c r="N732" t="n">
        <v>0</v>
      </c>
      <c r="O732" t="n">
        <v>0</v>
      </c>
      <c r="P732" t="n">
        <v>0</v>
      </c>
      <c r="Q732" t="n">
        <v>0</v>
      </c>
      <c r="R732" s="2" t="inlineStr"/>
    </row>
    <row r="733" ht="15" customHeight="1">
      <c r="A733" t="inlineStr">
        <is>
          <t>A 58438-2025</t>
        </is>
      </c>
      <c r="B733" s="1" t="n">
        <v>45985.61513888889</v>
      </c>
      <c r="C733" s="1" t="n">
        <v>46050</v>
      </c>
      <c r="D733" t="inlineStr">
        <is>
          <t>JÄMTLANDS LÄN</t>
        </is>
      </c>
      <c r="E733" t="inlineStr">
        <is>
          <t>BERG</t>
        </is>
      </c>
      <c r="G733" t="n">
        <v>5.1</v>
      </c>
      <c r="H733" t="n">
        <v>0</v>
      </c>
      <c r="I733" t="n">
        <v>0</v>
      </c>
      <c r="J733" t="n">
        <v>0</v>
      </c>
      <c r="K733" t="n">
        <v>0</v>
      </c>
      <c r="L733" t="n">
        <v>0</v>
      </c>
      <c r="M733" t="n">
        <v>0</v>
      </c>
      <c r="N733" t="n">
        <v>0</v>
      </c>
      <c r="O733" t="n">
        <v>0</v>
      </c>
      <c r="P733" t="n">
        <v>0</v>
      </c>
      <c r="Q733" t="n">
        <v>0</v>
      </c>
      <c r="R733" s="2" t="inlineStr"/>
    </row>
    <row r="734" ht="15" customHeight="1">
      <c r="A734" t="inlineStr">
        <is>
          <t>A 16002-2025</t>
        </is>
      </c>
      <c r="B734" s="1" t="n">
        <v>45749.59398148148</v>
      </c>
      <c r="C734" s="1" t="n">
        <v>46050</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58436-2025</t>
        </is>
      </c>
      <c r="B735" s="1" t="n">
        <v>45985.61510416667</v>
      </c>
      <c r="C735" s="1" t="n">
        <v>46050</v>
      </c>
      <c r="D735" t="inlineStr">
        <is>
          <t>JÄMTLANDS LÄN</t>
        </is>
      </c>
      <c r="E735" t="inlineStr">
        <is>
          <t>BERG</t>
        </is>
      </c>
      <c r="G735" t="n">
        <v>1.7</v>
      </c>
      <c r="H735" t="n">
        <v>0</v>
      </c>
      <c r="I735" t="n">
        <v>0</v>
      </c>
      <c r="J735" t="n">
        <v>0</v>
      </c>
      <c r="K735" t="n">
        <v>0</v>
      </c>
      <c r="L735" t="n">
        <v>0</v>
      </c>
      <c r="M735" t="n">
        <v>0</v>
      </c>
      <c r="N735" t="n">
        <v>0</v>
      </c>
      <c r="O735" t="n">
        <v>0</v>
      </c>
      <c r="P735" t="n">
        <v>0</v>
      </c>
      <c r="Q735" t="n">
        <v>0</v>
      </c>
      <c r="R735" s="2" t="inlineStr"/>
    </row>
    <row r="736" ht="15" customHeight="1">
      <c r="A736" t="inlineStr">
        <is>
          <t>A 58470-2025</t>
        </is>
      </c>
      <c r="B736" s="1" t="n">
        <v>45985.63704861111</v>
      </c>
      <c r="C736" s="1" t="n">
        <v>46050</v>
      </c>
      <c r="D736" t="inlineStr">
        <is>
          <t>JÄMTLANDS LÄN</t>
        </is>
      </c>
      <c r="E736" t="inlineStr">
        <is>
          <t>BERG</t>
        </is>
      </c>
      <c r="G736" t="n">
        <v>3.6</v>
      </c>
      <c r="H736" t="n">
        <v>0</v>
      </c>
      <c r="I736" t="n">
        <v>0</v>
      </c>
      <c r="J736" t="n">
        <v>0</v>
      </c>
      <c r="K736" t="n">
        <v>0</v>
      </c>
      <c r="L736" t="n">
        <v>0</v>
      </c>
      <c r="M736" t="n">
        <v>0</v>
      </c>
      <c r="N736" t="n">
        <v>0</v>
      </c>
      <c r="O736" t="n">
        <v>0</v>
      </c>
      <c r="P736" t="n">
        <v>0</v>
      </c>
      <c r="Q736" t="n">
        <v>0</v>
      </c>
      <c r="R736" s="2" t="inlineStr"/>
    </row>
    <row r="737" ht="15" customHeight="1">
      <c r="A737" t="inlineStr">
        <is>
          <t>A 18032-2024</t>
        </is>
      </c>
      <c r="B737" s="1" t="n">
        <v>45420.34979166667</v>
      </c>
      <c r="C737" s="1" t="n">
        <v>46050</v>
      </c>
      <c r="D737" t="inlineStr">
        <is>
          <t>JÄMTLANDS LÄN</t>
        </is>
      </c>
      <c r="E737" t="inlineStr">
        <is>
          <t>BERG</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58437-2025</t>
        </is>
      </c>
      <c r="B738" s="1" t="n">
        <v>45985.61512731481</v>
      </c>
      <c r="C738" s="1" t="n">
        <v>46050</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34845-2023</t>
        </is>
      </c>
      <c r="B739" s="1" t="n">
        <v>45141.95964120371</v>
      </c>
      <c r="C739" s="1" t="n">
        <v>46050</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568-2026</t>
        </is>
      </c>
      <c r="B740" s="1" t="n">
        <v>46029.46987268519</v>
      </c>
      <c r="C740" s="1" t="n">
        <v>46050</v>
      </c>
      <c r="D740" t="inlineStr">
        <is>
          <t>JÄMTLANDS LÄN</t>
        </is>
      </c>
      <c r="E740" t="inlineStr">
        <is>
          <t>BERG</t>
        </is>
      </c>
      <c r="G740" t="n">
        <v>2.7</v>
      </c>
      <c r="H740" t="n">
        <v>0</v>
      </c>
      <c r="I740" t="n">
        <v>0</v>
      </c>
      <c r="J740" t="n">
        <v>0</v>
      </c>
      <c r="K740" t="n">
        <v>0</v>
      </c>
      <c r="L740" t="n">
        <v>0</v>
      </c>
      <c r="M740" t="n">
        <v>0</v>
      </c>
      <c r="N740" t="n">
        <v>0</v>
      </c>
      <c r="O740" t="n">
        <v>0</v>
      </c>
      <c r="P740" t="n">
        <v>0</v>
      </c>
      <c r="Q740" t="n">
        <v>0</v>
      </c>
      <c r="R740" s="2" t="inlineStr"/>
    </row>
    <row r="741" ht="15" customHeight="1">
      <c r="A741" t="inlineStr">
        <is>
          <t>A 41069-2022</t>
        </is>
      </c>
      <c r="B741" s="1" t="n">
        <v>44825.60015046296</v>
      </c>
      <c r="C741" s="1" t="n">
        <v>46050</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54863-2023</t>
        </is>
      </c>
      <c r="B742" s="1" t="n">
        <v>45236</v>
      </c>
      <c r="C742" s="1" t="n">
        <v>46050</v>
      </c>
      <c r="D742" t="inlineStr">
        <is>
          <t>JÄMTLANDS LÄN</t>
        </is>
      </c>
      <c r="E742" t="inlineStr">
        <is>
          <t>BERG</t>
        </is>
      </c>
      <c r="G742" t="n">
        <v>3.3</v>
      </c>
      <c r="H742" t="n">
        <v>0</v>
      </c>
      <c r="I742" t="n">
        <v>0</v>
      </c>
      <c r="J742" t="n">
        <v>0</v>
      </c>
      <c r="K742" t="n">
        <v>0</v>
      </c>
      <c r="L742" t="n">
        <v>0</v>
      </c>
      <c r="M742" t="n">
        <v>0</v>
      </c>
      <c r="N742" t="n">
        <v>0</v>
      </c>
      <c r="O742" t="n">
        <v>0</v>
      </c>
      <c r="P742" t="n">
        <v>0</v>
      </c>
      <c r="Q742" t="n">
        <v>0</v>
      </c>
      <c r="R742" s="2" t="inlineStr"/>
    </row>
    <row r="743" ht="15" customHeight="1">
      <c r="A743" t="inlineStr">
        <is>
          <t>A 58581-2025</t>
        </is>
      </c>
      <c r="B743" s="1" t="n">
        <v>45986.38626157407</v>
      </c>
      <c r="C743" s="1" t="n">
        <v>46050</v>
      </c>
      <c r="D743" t="inlineStr">
        <is>
          <t>JÄMTLANDS LÄN</t>
        </is>
      </c>
      <c r="E743" t="inlineStr">
        <is>
          <t>BERG</t>
        </is>
      </c>
      <c r="G743" t="n">
        <v>6.9</v>
      </c>
      <c r="H743" t="n">
        <v>0</v>
      </c>
      <c r="I743" t="n">
        <v>0</v>
      </c>
      <c r="J743" t="n">
        <v>0</v>
      </c>
      <c r="K743" t="n">
        <v>0</v>
      </c>
      <c r="L743" t="n">
        <v>0</v>
      </c>
      <c r="M743" t="n">
        <v>0</v>
      </c>
      <c r="N743" t="n">
        <v>0</v>
      </c>
      <c r="O743" t="n">
        <v>0</v>
      </c>
      <c r="P743" t="n">
        <v>0</v>
      </c>
      <c r="Q743" t="n">
        <v>0</v>
      </c>
      <c r="R743" s="2" t="inlineStr"/>
    </row>
    <row r="744" ht="15" customHeight="1">
      <c r="A744" t="inlineStr">
        <is>
          <t>A 46167-2022</t>
        </is>
      </c>
      <c r="B744" s="1" t="n">
        <v>44845</v>
      </c>
      <c r="C744" s="1" t="n">
        <v>46050</v>
      </c>
      <c r="D744" t="inlineStr">
        <is>
          <t>JÄMTLANDS LÄN</t>
        </is>
      </c>
      <c r="E744" t="inlineStr">
        <is>
          <t>BERG</t>
        </is>
      </c>
      <c r="G744" t="n">
        <v>35.2</v>
      </c>
      <c r="H744" t="n">
        <v>0</v>
      </c>
      <c r="I744" t="n">
        <v>0</v>
      </c>
      <c r="J744" t="n">
        <v>0</v>
      </c>
      <c r="K744" t="n">
        <v>0</v>
      </c>
      <c r="L744" t="n">
        <v>0</v>
      </c>
      <c r="M744" t="n">
        <v>0</v>
      </c>
      <c r="N744" t="n">
        <v>0</v>
      </c>
      <c r="O744" t="n">
        <v>0</v>
      </c>
      <c r="P744" t="n">
        <v>0</v>
      </c>
      <c r="Q744" t="n">
        <v>0</v>
      </c>
      <c r="R744" s="2" t="inlineStr"/>
    </row>
    <row r="745" ht="15" customHeight="1">
      <c r="A745" t="inlineStr">
        <is>
          <t>A 59010-2025</t>
        </is>
      </c>
      <c r="B745" s="1" t="n">
        <v>45987</v>
      </c>
      <c r="C745" s="1" t="n">
        <v>46050</v>
      </c>
      <c r="D745" t="inlineStr">
        <is>
          <t>JÄMTLANDS LÄN</t>
        </is>
      </c>
      <c r="E745" t="inlineStr">
        <is>
          <t>BERG</t>
        </is>
      </c>
      <c r="G745" t="n">
        <v>0.7</v>
      </c>
      <c r="H745" t="n">
        <v>0</v>
      </c>
      <c r="I745" t="n">
        <v>0</v>
      </c>
      <c r="J745" t="n">
        <v>0</v>
      </c>
      <c r="K745" t="n">
        <v>0</v>
      </c>
      <c r="L745" t="n">
        <v>0</v>
      </c>
      <c r="M745" t="n">
        <v>0</v>
      </c>
      <c r="N745" t="n">
        <v>0</v>
      </c>
      <c r="O745" t="n">
        <v>0</v>
      </c>
      <c r="P745" t="n">
        <v>0</v>
      </c>
      <c r="Q745" t="n">
        <v>0</v>
      </c>
      <c r="R745" s="2" t="inlineStr"/>
    </row>
    <row r="746" ht="15" customHeight="1">
      <c r="A746" t="inlineStr">
        <is>
          <t>A 679-2026</t>
        </is>
      </c>
      <c r="B746" s="1" t="n">
        <v>46029.60032407408</v>
      </c>
      <c r="C746" s="1" t="n">
        <v>46050</v>
      </c>
      <c r="D746" t="inlineStr">
        <is>
          <t>JÄMTLANDS LÄN</t>
        </is>
      </c>
      <c r="E746" t="inlineStr">
        <is>
          <t>BERG</t>
        </is>
      </c>
      <c r="G746" t="n">
        <v>1.9</v>
      </c>
      <c r="H746" t="n">
        <v>0</v>
      </c>
      <c r="I746" t="n">
        <v>0</v>
      </c>
      <c r="J746" t="n">
        <v>0</v>
      </c>
      <c r="K746" t="n">
        <v>0</v>
      </c>
      <c r="L746" t="n">
        <v>0</v>
      </c>
      <c r="M746" t="n">
        <v>0</v>
      </c>
      <c r="N746" t="n">
        <v>0</v>
      </c>
      <c r="O746" t="n">
        <v>0</v>
      </c>
      <c r="P746" t="n">
        <v>0</v>
      </c>
      <c r="Q746" t="n">
        <v>0</v>
      </c>
      <c r="R746" s="2" t="inlineStr"/>
    </row>
    <row r="747" ht="15" customHeight="1">
      <c r="A747" t="inlineStr">
        <is>
          <t>A 58861-2025</t>
        </is>
      </c>
      <c r="B747" s="1" t="n">
        <v>45987.42820601852</v>
      </c>
      <c r="C747" s="1" t="n">
        <v>46050</v>
      </c>
      <c r="D747" t="inlineStr">
        <is>
          <t>JÄMTLANDS LÄN</t>
        </is>
      </c>
      <c r="E747" t="inlineStr">
        <is>
          <t>BERG</t>
        </is>
      </c>
      <c r="G747" t="n">
        <v>29.3</v>
      </c>
      <c r="H747" t="n">
        <v>0</v>
      </c>
      <c r="I747" t="n">
        <v>0</v>
      </c>
      <c r="J747" t="n">
        <v>0</v>
      </c>
      <c r="K747" t="n">
        <v>0</v>
      </c>
      <c r="L747" t="n">
        <v>0</v>
      </c>
      <c r="M747" t="n">
        <v>0</v>
      </c>
      <c r="N747" t="n">
        <v>0</v>
      </c>
      <c r="O747" t="n">
        <v>0</v>
      </c>
      <c r="P747" t="n">
        <v>0</v>
      </c>
      <c r="Q747" t="n">
        <v>0</v>
      </c>
      <c r="R747" s="2" t="inlineStr"/>
    </row>
    <row r="748" ht="15" customHeight="1">
      <c r="A748" t="inlineStr">
        <is>
          <t>A 39269-2024</t>
        </is>
      </c>
      <c r="B748" s="1" t="n">
        <v>45551.34488425926</v>
      </c>
      <c r="C748" s="1" t="n">
        <v>46050</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58822-2025</t>
        </is>
      </c>
      <c r="B749" s="1" t="n">
        <v>45987.34506944445</v>
      </c>
      <c r="C749" s="1" t="n">
        <v>46050</v>
      </c>
      <c r="D749" t="inlineStr">
        <is>
          <t>JÄMTLANDS LÄN</t>
        </is>
      </c>
      <c r="E749" t="inlineStr">
        <is>
          <t>BERG</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13805-2024</t>
        </is>
      </c>
      <c r="B750" s="1" t="n">
        <v>45390</v>
      </c>
      <c r="C750" s="1" t="n">
        <v>46050</v>
      </c>
      <c r="D750" t="inlineStr">
        <is>
          <t>JÄMTLANDS LÄN</t>
        </is>
      </c>
      <c r="E750" t="inlineStr">
        <is>
          <t>BERG</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58708-2025</t>
        </is>
      </c>
      <c r="B751" s="1" t="n">
        <v>45986.60412037037</v>
      </c>
      <c r="C751" s="1" t="n">
        <v>46050</v>
      </c>
      <c r="D751" t="inlineStr">
        <is>
          <t>JÄMTLANDS LÄN</t>
        </is>
      </c>
      <c r="E751" t="inlineStr">
        <is>
          <t>BERG</t>
        </is>
      </c>
      <c r="G751" t="n">
        <v>2.5</v>
      </c>
      <c r="H751" t="n">
        <v>0</v>
      </c>
      <c r="I751" t="n">
        <v>0</v>
      </c>
      <c r="J751" t="n">
        <v>0</v>
      </c>
      <c r="K751" t="n">
        <v>0</v>
      </c>
      <c r="L751" t="n">
        <v>0</v>
      </c>
      <c r="M751" t="n">
        <v>0</v>
      </c>
      <c r="N751" t="n">
        <v>0</v>
      </c>
      <c r="O751" t="n">
        <v>0</v>
      </c>
      <c r="P751" t="n">
        <v>0</v>
      </c>
      <c r="Q751" t="n">
        <v>0</v>
      </c>
      <c r="R751" s="2" t="inlineStr"/>
    </row>
    <row r="752" ht="15" customHeight="1">
      <c r="A752" t="inlineStr">
        <is>
          <t>A 37589-2021</t>
        </is>
      </c>
      <c r="B752" s="1" t="n">
        <v>44399</v>
      </c>
      <c r="C752" s="1" t="n">
        <v>46050</v>
      </c>
      <c r="D752" t="inlineStr">
        <is>
          <t>JÄMTLANDS LÄN</t>
        </is>
      </c>
      <c r="E752" t="inlineStr">
        <is>
          <t>BERG</t>
        </is>
      </c>
      <c r="G752" t="n">
        <v>8.6</v>
      </c>
      <c r="H752" t="n">
        <v>0</v>
      </c>
      <c r="I752" t="n">
        <v>0</v>
      </c>
      <c r="J752" t="n">
        <v>0</v>
      </c>
      <c r="K752" t="n">
        <v>0</v>
      </c>
      <c r="L752" t="n">
        <v>0</v>
      </c>
      <c r="M752" t="n">
        <v>0</v>
      </c>
      <c r="N752" t="n">
        <v>0</v>
      </c>
      <c r="O752" t="n">
        <v>0</v>
      </c>
      <c r="P752" t="n">
        <v>0</v>
      </c>
      <c r="Q752" t="n">
        <v>0</v>
      </c>
      <c r="R752" s="2" t="inlineStr"/>
    </row>
    <row r="753" ht="15" customHeight="1">
      <c r="A753" t="inlineStr">
        <is>
          <t>A 16491-2023</t>
        </is>
      </c>
      <c r="B753" s="1" t="n">
        <v>45027</v>
      </c>
      <c r="C753" s="1" t="n">
        <v>46050</v>
      </c>
      <c r="D753" t="inlineStr">
        <is>
          <t>JÄMTLANDS LÄN</t>
        </is>
      </c>
      <c r="E753" t="inlineStr">
        <is>
          <t>BERG</t>
        </is>
      </c>
      <c r="G753" t="n">
        <v>2.5</v>
      </c>
      <c r="H753" t="n">
        <v>0</v>
      </c>
      <c r="I753" t="n">
        <v>0</v>
      </c>
      <c r="J753" t="n">
        <v>0</v>
      </c>
      <c r="K753" t="n">
        <v>0</v>
      </c>
      <c r="L753" t="n">
        <v>0</v>
      </c>
      <c r="M753" t="n">
        <v>0</v>
      </c>
      <c r="N753" t="n">
        <v>0</v>
      </c>
      <c r="O753" t="n">
        <v>0</v>
      </c>
      <c r="P753" t="n">
        <v>0</v>
      </c>
      <c r="Q753" t="n">
        <v>0</v>
      </c>
      <c r="R753" s="2" t="inlineStr"/>
    </row>
    <row r="754" ht="15" customHeight="1">
      <c r="A754" t="inlineStr">
        <is>
          <t>A 57669-2024</t>
        </is>
      </c>
      <c r="B754" s="1" t="n">
        <v>45630.62520833333</v>
      </c>
      <c r="C754" s="1" t="n">
        <v>46050</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59401-2025</t>
        </is>
      </c>
      <c r="B755" s="1" t="n">
        <v>45989.48791666667</v>
      </c>
      <c r="C755" s="1" t="n">
        <v>46050</v>
      </c>
      <c r="D755" t="inlineStr">
        <is>
          <t>JÄMTLANDS LÄN</t>
        </is>
      </c>
      <c r="E755" t="inlineStr">
        <is>
          <t>BERG</t>
        </is>
      </c>
      <c r="G755" t="n">
        <v>4.6</v>
      </c>
      <c r="H755" t="n">
        <v>0</v>
      </c>
      <c r="I755" t="n">
        <v>0</v>
      </c>
      <c r="J755" t="n">
        <v>0</v>
      </c>
      <c r="K755" t="n">
        <v>0</v>
      </c>
      <c r="L755" t="n">
        <v>0</v>
      </c>
      <c r="M755" t="n">
        <v>0</v>
      </c>
      <c r="N755" t="n">
        <v>0</v>
      </c>
      <c r="O755" t="n">
        <v>0</v>
      </c>
      <c r="P755" t="n">
        <v>0</v>
      </c>
      <c r="Q755" t="n">
        <v>0</v>
      </c>
      <c r="R755" s="2" t="inlineStr"/>
    </row>
    <row r="756" ht="15" customHeight="1">
      <c r="A756" t="inlineStr">
        <is>
          <t>A 59411-2025</t>
        </is>
      </c>
      <c r="B756" s="1" t="n">
        <v>45989.49638888889</v>
      </c>
      <c r="C756" s="1" t="n">
        <v>46050</v>
      </c>
      <c r="D756" t="inlineStr">
        <is>
          <t>JÄMTLANDS LÄN</t>
        </is>
      </c>
      <c r="E756" t="inlineStr">
        <is>
          <t>BERG</t>
        </is>
      </c>
      <c r="G756" t="n">
        <v>2.4</v>
      </c>
      <c r="H756" t="n">
        <v>0</v>
      </c>
      <c r="I756" t="n">
        <v>0</v>
      </c>
      <c r="J756" t="n">
        <v>0</v>
      </c>
      <c r="K756" t="n">
        <v>0</v>
      </c>
      <c r="L756" t="n">
        <v>0</v>
      </c>
      <c r="M756" t="n">
        <v>0</v>
      </c>
      <c r="N756" t="n">
        <v>0</v>
      </c>
      <c r="O756" t="n">
        <v>0</v>
      </c>
      <c r="P756" t="n">
        <v>0</v>
      </c>
      <c r="Q756" t="n">
        <v>0</v>
      </c>
      <c r="R756" s="2" t="inlineStr"/>
    </row>
    <row r="757" ht="15" customHeight="1">
      <c r="A757" t="inlineStr">
        <is>
          <t>A 59415-2025</t>
        </is>
      </c>
      <c r="B757" s="1" t="n">
        <v>45989.50196759259</v>
      </c>
      <c r="C757" s="1" t="n">
        <v>46050</v>
      </c>
      <c r="D757" t="inlineStr">
        <is>
          <t>JÄMTLANDS LÄN</t>
        </is>
      </c>
      <c r="E757" t="inlineStr">
        <is>
          <t>BERG</t>
        </is>
      </c>
      <c r="G757" t="n">
        <v>6.8</v>
      </c>
      <c r="H757" t="n">
        <v>0</v>
      </c>
      <c r="I757" t="n">
        <v>0</v>
      </c>
      <c r="J757" t="n">
        <v>0</v>
      </c>
      <c r="K757" t="n">
        <v>0</v>
      </c>
      <c r="L757" t="n">
        <v>0</v>
      </c>
      <c r="M757" t="n">
        <v>0</v>
      </c>
      <c r="N757" t="n">
        <v>0</v>
      </c>
      <c r="O757" t="n">
        <v>0</v>
      </c>
      <c r="P757" t="n">
        <v>0</v>
      </c>
      <c r="Q757" t="n">
        <v>0</v>
      </c>
      <c r="R757" s="2" t="inlineStr"/>
    </row>
    <row r="758" ht="15" customHeight="1">
      <c r="A758" t="inlineStr">
        <is>
          <t>A 35921-2024</t>
        </is>
      </c>
      <c r="B758" s="1" t="n">
        <v>45533.42659722222</v>
      </c>
      <c r="C758" s="1" t="n">
        <v>46050</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64752-2023</t>
        </is>
      </c>
      <c r="B759" s="1" t="n">
        <v>45281.92891203704</v>
      </c>
      <c r="C759" s="1" t="n">
        <v>46050</v>
      </c>
      <c r="D759" t="inlineStr">
        <is>
          <t>JÄMTLANDS LÄN</t>
        </is>
      </c>
      <c r="E759" t="inlineStr">
        <is>
          <t>BERG</t>
        </is>
      </c>
      <c r="F759" t="inlineStr">
        <is>
          <t>Övriga Aktiebolag</t>
        </is>
      </c>
      <c r="G759" t="n">
        <v>3.4</v>
      </c>
      <c r="H759" t="n">
        <v>0</v>
      </c>
      <c r="I759" t="n">
        <v>0</v>
      </c>
      <c r="J759" t="n">
        <v>0</v>
      </c>
      <c r="K759" t="n">
        <v>0</v>
      </c>
      <c r="L759" t="n">
        <v>0</v>
      </c>
      <c r="M759" t="n">
        <v>0</v>
      </c>
      <c r="N759" t="n">
        <v>0</v>
      </c>
      <c r="O759" t="n">
        <v>0</v>
      </c>
      <c r="P759" t="n">
        <v>0</v>
      </c>
      <c r="Q759" t="n">
        <v>0</v>
      </c>
      <c r="R759" s="2" t="inlineStr"/>
    </row>
    <row r="760" ht="15" customHeight="1">
      <c r="A760" t="inlineStr">
        <is>
          <t>A 14728-2025</t>
        </is>
      </c>
      <c r="B760" s="1" t="n">
        <v>45742.63574074074</v>
      </c>
      <c r="C760" s="1" t="n">
        <v>46050</v>
      </c>
      <c r="D760" t="inlineStr">
        <is>
          <t>JÄMTLANDS LÄN</t>
        </is>
      </c>
      <c r="E760" t="inlineStr">
        <is>
          <t>BERG</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31129-2024</t>
        </is>
      </c>
      <c r="B761" s="1" t="n">
        <v>45502</v>
      </c>
      <c r="C761" s="1" t="n">
        <v>46050</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1287-2026</t>
        </is>
      </c>
      <c r="B762" s="1" t="n">
        <v>46031.49944444445</v>
      </c>
      <c r="C762" s="1" t="n">
        <v>46050</v>
      </c>
      <c r="D762" t="inlineStr">
        <is>
          <t>JÄMTLANDS LÄN</t>
        </is>
      </c>
      <c r="E762" t="inlineStr">
        <is>
          <t>BERG</t>
        </is>
      </c>
      <c r="G762" t="n">
        <v>2.2</v>
      </c>
      <c r="H762" t="n">
        <v>0</v>
      </c>
      <c r="I762" t="n">
        <v>0</v>
      </c>
      <c r="J762" t="n">
        <v>0</v>
      </c>
      <c r="K762" t="n">
        <v>0</v>
      </c>
      <c r="L762" t="n">
        <v>0</v>
      </c>
      <c r="M762" t="n">
        <v>0</v>
      </c>
      <c r="N762" t="n">
        <v>0</v>
      </c>
      <c r="O762" t="n">
        <v>0</v>
      </c>
      <c r="P762" t="n">
        <v>0</v>
      </c>
      <c r="Q762" t="n">
        <v>0</v>
      </c>
      <c r="R762" s="2" t="inlineStr"/>
    </row>
    <row r="763" ht="15" customHeight="1">
      <c r="A763" t="inlineStr">
        <is>
          <t>A 59404-2025</t>
        </is>
      </c>
      <c r="B763" s="1" t="n">
        <v>45989.48997685185</v>
      </c>
      <c r="C763" s="1" t="n">
        <v>46050</v>
      </c>
      <c r="D763" t="inlineStr">
        <is>
          <t>JÄMTLANDS LÄN</t>
        </is>
      </c>
      <c r="E763" t="inlineStr">
        <is>
          <t>BERG</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59447-2025</t>
        </is>
      </c>
      <c r="B764" s="1" t="n">
        <v>45989</v>
      </c>
      <c r="C764" s="1" t="n">
        <v>46050</v>
      </c>
      <c r="D764" t="inlineStr">
        <is>
          <t>JÄMTLANDS LÄN</t>
        </is>
      </c>
      <c r="E764" t="inlineStr">
        <is>
          <t>BERG</t>
        </is>
      </c>
      <c r="G764" t="n">
        <v>1.8</v>
      </c>
      <c r="H764" t="n">
        <v>0</v>
      </c>
      <c r="I764" t="n">
        <v>0</v>
      </c>
      <c r="J764" t="n">
        <v>0</v>
      </c>
      <c r="K764" t="n">
        <v>0</v>
      </c>
      <c r="L764" t="n">
        <v>0</v>
      </c>
      <c r="M764" t="n">
        <v>0</v>
      </c>
      <c r="N764" t="n">
        <v>0</v>
      </c>
      <c r="O764" t="n">
        <v>0</v>
      </c>
      <c r="P764" t="n">
        <v>0</v>
      </c>
      <c r="Q764" t="n">
        <v>0</v>
      </c>
      <c r="R764" s="2" t="inlineStr"/>
    </row>
    <row r="765" ht="15" customHeight="1">
      <c r="A765" t="inlineStr">
        <is>
          <t>A 1386-2026</t>
        </is>
      </c>
      <c r="B765" s="1" t="n">
        <v>46031.62633101852</v>
      </c>
      <c r="C765" s="1" t="n">
        <v>46050</v>
      </c>
      <c r="D765" t="inlineStr">
        <is>
          <t>JÄMTLANDS LÄN</t>
        </is>
      </c>
      <c r="E765" t="inlineStr">
        <is>
          <t>BERG</t>
        </is>
      </c>
      <c r="G765" t="n">
        <v>1.9</v>
      </c>
      <c r="H765" t="n">
        <v>0</v>
      </c>
      <c r="I765" t="n">
        <v>0</v>
      </c>
      <c r="J765" t="n">
        <v>0</v>
      </c>
      <c r="K765" t="n">
        <v>0</v>
      </c>
      <c r="L765" t="n">
        <v>0</v>
      </c>
      <c r="M765" t="n">
        <v>0</v>
      </c>
      <c r="N765" t="n">
        <v>0</v>
      </c>
      <c r="O765" t="n">
        <v>0</v>
      </c>
      <c r="P765" t="n">
        <v>0</v>
      </c>
      <c r="Q765" t="n">
        <v>0</v>
      </c>
      <c r="R765" s="2" t="inlineStr"/>
    </row>
    <row r="766" ht="15" customHeight="1">
      <c r="A766" t="inlineStr">
        <is>
          <t>A 1391-2026</t>
        </is>
      </c>
      <c r="B766" s="1" t="n">
        <v>46031.63359953704</v>
      </c>
      <c r="C766" s="1" t="n">
        <v>46050</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1401-2026</t>
        </is>
      </c>
      <c r="B767" s="1" t="n">
        <v>46031.64333333333</v>
      </c>
      <c r="C767" s="1" t="n">
        <v>46050</v>
      </c>
      <c r="D767" t="inlineStr">
        <is>
          <t>JÄMTLANDS LÄN</t>
        </is>
      </c>
      <c r="E767" t="inlineStr">
        <is>
          <t>BERG</t>
        </is>
      </c>
      <c r="G767" t="n">
        <v>2.1</v>
      </c>
      <c r="H767" t="n">
        <v>0</v>
      </c>
      <c r="I767" t="n">
        <v>0</v>
      </c>
      <c r="J767" t="n">
        <v>0</v>
      </c>
      <c r="K767" t="n">
        <v>0</v>
      </c>
      <c r="L767" t="n">
        <v>0</v>
      </c>
      <c r="M767" t="n">
        <v>0</v>
      </c>
      <c r="N767" t="n">
        <v>0</v>
      </c>
      <c r="O767" t="n">
        <v>0</v>
      </c>
      <c r="P767" t="n">
        <v>0</v>
      </c>
      <c r="Q767" t="n">
        <v>0</v>
      </c>
      <c r="R767" s="2" t="inlineStr"/>
    </row>
    <row r="768" ht="15" customHeight="1">
      <c r="A768" t="inlineStr">
        <is>
          <t>A 1407-2026</t>
        </is>
      </c>
      <c r="B768" s="1" t="n">
        <v>46031.64733796296</v>
      </c>
      <c r="C768" s="1" t="n">
        <v>46050</v>
      </c>
      <c r="D768" t="inlineStr">
        <is>
          <t>JÄMTLANDS LÄN</t>
        </is>
      </c>
      <c r="E768" t="inlineStr">
        <is>
          <t>BERG</t>
        </is>
      </c>
      <c r="G768" t="n">
        <v>0.9</v>
      </c>
      <c r="H768" t="n">
        <v>0</v>
      </c>
      <c r="I768" t="n">
        <v>0</v>
      </c>
      <c r="J768" t="n">
        <v>0</v>
      </c>
      <c r="K768" t="n">
        <v>0</v>
      </c>
      <c r="L768" t="n">
        <v>0</v>
      </c>
      <c r="M768" t="n">
        <v>0</v>
      </c>
      <c r="N768" t="n">
        <v>0</v>
      </c>
      <c r="O768" t="n">
        <v>0</v>
      </c>
      <c r="P768" t="n">
        <v>0</v>
      </c>
      <c r="Q768" t="n">
        <v>0</v>
      </c>
      <c r="R768" s="2" t="inlineStr"/>
    </row>
    <row r="769" ht="15" customHeight="1">
      <c r="A769" t="inlineStr">
        <is>
          <t>A 3961-2025</t>
        </is>
      </c>
      <c r="B769" s="1" t="n">
        <v>45684.50217592593</v>
      </c>
      <c r="C769" s="1" t="n">
        <v>46050</v>
      </c>
      <c r="D769" t="inlineStr">
        <is>
          <t>JÄMTLANDS LÄN</t>
        </is>
      </c>
      <c r="E769" t="inlineStr">
        <is>
          <t>BERG</t>
        </is>
      </c>
      <c r="G769" t="n">
        <v>14.9</v>
      </c>
      <c r="H769" t="n">
        <v>0</v>
      </c>
      <c r="I769" t="n">
        <v>0</v>
      </c>
      <c r="J769" t="n">
        <v>0</v>
      </c>
      <c r="K769" t="n">
        <v>0</v>
      </c>
      <c r="L769" t="n">
        <v>0</v>
      </c>
      <c r="M769" t="n">
        <v>0</v>
      </c>
      <c r="N769" t="n">
        <v>0</v>
      </c>
      <c r="O769" t="n">
        <v>0</v>
      </c>
      <c r="P769" t="n">
        <v>0</v>
      </c>
      <c r="Q769" t="n">
        <v>0</v>
      </c>
      <c r="R769" s="2" t="inlineStr"/>
    </row>
    <row r="770" ht="15" customHeight="1">
      <c r="A770" t="inlineStr">
        <is>
          <t>A 59210-2025</t>
        </is>
      </c>
      <c r="B770" s="1" t="n">
        <v>45988.61516203704</v>
      </c>
      <c r="C770" s="1" t="n">
        <v>46050</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35636-2023</t>
        </is>
      </c>
      <c r="B771" s="1" t="n">
        <v>45147</v>
      </c>
      <c r="C771" s="1" t="n">
        <v>46050</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59253-2025</t>
        </is>
      </c>
      <c r="B772" s="1" t="n">
        <v>45988.65121527778</v>
      </c>
      <c r="C772" s="1" t="n">
        <v>46050</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59267-2025</t>
        </is>
      </c>
      <c r="B773" s="1" t="n">
        <v>45988.66127314815</v>
      </c>
      <c r="C773" s="1" t="n">
        <v>46050</v>
      </c>
      <c r="D773" t="inlineStr">
        <is>
          <t>JÄMTLANDS LÄN</t>
        </is>
      </c>
      <c r="E773" t="inlineStr">
        <is>
          <t>BERG</t>
        </is>
      </c>
      <c r="G773" t="n">
        <v>0.8</v>
      </c>
      <c r="H773" t="n">
        <v>0</v>
      </c>
      <c r="I773" t="n">
        <v>0</v>
      </c>
      <c r="J773" t="n">
        <v>0</v>
      </c>
      <c r="K773" t="n">
        <v>0</v>
      </c>
      <c r="L773" t="n">
        <v>0</v>
      </c>
      <c r="M773" t="n">
        <v>0</v>
      </c>
      <c r="N773" t="n">
        <v>0</v>
      </c>
      <c r="O773" t="n">
        <v>0</v>
      </c>
      <c r="P773" t="n">
        <v>0</v>
      </c>
      <c r="Q773" t="n">
        <v>0</v>
      </c>
      <c r="R773" s="2" t="inlineStr"/>
    </row>
    <row r="774" ht="15" customHeight="1">
      <c r="A774" t="inlineStr">
        <is>
          <t>A 59281-2025</t>
        </is>
      </c>
      <c r="B774" s="1" t="n">
        <v>45988.7234375</v>
      </c>
      <c r="C774" s="1" t="n">
        <v>46050</v>
      </c>
      <c r="D774" t="inlineStr">
        <is>
          <t>JÄMTLANDS LÄN</t>
        </is>
      </c>
      <c r="E774" t="inlineStr">
        <is>
          <t>BERG</t>
        </is>
      </c>
      <c r="G774" t="n">
        <v>16.7</v>
      </c>
      <c r="H774" t="n">
        <v>0</v>
      </c>
      <c r="I774" t="n">
        <v>0</v>
      </c>
      <c r="J774" t="n">
        <v>0</v>
      </c>
      <c r="K774" t="n">
        <v>0</v>
      </c>
      <c r="L774" t="n">
        <v>0</v>
      </c>
      <c r="M774" t="n">
        <v>0</v>
      </c>
      <c r="N774" t="n">
        <v>0</v>
      </c>
      <c r="O774" t="n">
        <v>0</v>
      </c>
      <c r="P774" t="n">
        <v>0</v>
      </c>
      <c r="Q774" t="n">
        <v>0</v>
      </c>
      <c r="R774" s="2" t="inlineStr"/>
    </row>
    <row r="775" ht="15" customHeight="1">
      <c r="A775" t="inlineStr">
        <is>
          <t>A 59424-2025</t>
        </is>
      </c>
      <c r="B775" s="1" t="n">
        <v>45989.53782407408</v>
      </c>
      <c r="C775" s="1" t="n">
        <v>46050</v>
      </c>
      <c r="D775" t="inlineStr">
        <is>
          <t>JÄMTLANDS LÄN</t>
        </is>
      </c>
      <c r="E775" t="inlineStr">
        <is>
          <t>BERG</t>
        </is>
      </c>
      <c r="G775" t="n">
        <v>3.9</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46050</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1282-2026</t>
        </is>
      </c>
      <c r="B777" s="1" t="n">
        <v>46031.49096064815</v>
      </c>
      <c r="C777" s="1" t="n">
        <v>46050</v>
      </c>
      <c r="D777" t="inlineStr">
        <is>
          <t>JÄMTLANDS LÄN</t>
        </is>
      </c>
      <c r="E777" t="inlineStr">
        <is>
          <t>BERG</t>
        </is>
      </c>
      <c r="G777" t="n">
        <v>3.5</v>
      </c>
      <c r="H777" t="n">
        <v>0</v>
      </c>
      <c r="I777" t="n">
        <v>0</v>
      </c>
      <c r="J777" t="n">
        <v>0</v>
      </c>
      <c r="K777" t="n">
        <v>0</v>
      </c>
      <c r="L777" t="n">
        <v>0</v>
      </c>
      <c r="M777" t="n">
        <v>0</v>
      </c>
      <c r="N777" t="n">
        <v>0</v>
      </c>
      <c r="O777" t="n">
        <v>0</v>
      </c>
      <c r="P777" t="n">
        <v>0</v>
      </c>
      <c r="Q777" t="n">
        <v>0</v>
      </c>
      <c r="R777" s="2" t="inlineStr"/>
    </row>
    <row r="778" ht="15" customHeight="1">
      <c r="A778" t="inlineStr">
        <is>
          <t>A 59652-2025</t>
        </is>
      </c>
      <c r="B778" s="1" t="n">
        <v>45992</v>
      </c>
      <c r="C778" s="1" t="n">
        <v>46050</v>
      </c>
      <c r="D778" t="inlineStr">
        <is>
          <t>JÄMTLANDS LÄN</t>
        </is>
      </c>
      <c r="E778" t="inlineStr">
        <is>
          <t>BERG</t>
        </is>
      </c>
      <c r="G778" t="n">
        <v>4</v>
      </c>
      <c r="H778" t="n">
        <v>0</v>
      </c>
      <c r="I778" t="n">
        <v>0</v>
      </c>
      <c r="J778" t="n">
        <v>0</v>
      </c>
      <c r="K778" t="n">
        <v>0</v>
      </c>
      <c r="L778" t="n">
        <v>0</v>
      </c>
      <c r="M778" t="n">
        <v>0</v>
      </c>
      <c r="N778" t="n">
        <v>0</v>
      </c>
      <c r="O778" t="n">
        <v>0</v>
      </c>
      <c r="P778" t="n">
        <v>0</v>
      </c>
      <c r="Q778" t="n">
        <v>0</v>
      </c>
      <c r="R778" s="2" t="inlineStr"/>
    </row>
    <row r="779" ht="15" customHeight="1">
      <c r="A779" t="inlineStr">
        <is>
          <t>A 59824-2025</t>
        </is>
      </c>
      <c r="B779" s="1" t="n">
        <v>45992.65116898148</v>
      </c>
      <c r="C779" s="1" t="n">
        <v>46050</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59890-2025</t>
        </is>
      </c>
      <c r="B780" s="1" t="n">
        <v>45993.33128472222</v>
      </c>
      <c r="C780" s="1" t="n">
        <v>46050</v>
      </c>
      <c r="D780" t="inlineStr">
        <is>
          <t>JÄMTLANDS LÄN</t>
        </is>
      </c>
      <c r="E780" t="inlineStr">
        <is>
          <t>BERG</t>
        </is>
      </c>
      <c r="G780" t="n">
        <v>4</v>
      </c>
      <c r="H780" t="n">
        <v>0</v>
      </c>
      <c r="I780" t="n">
        <v>0</v>
      </c>
      <c r="J780" t="n">
        <v>0</v>
      </c>
      <c r="K780" t="n">
        <v>0</v>
      </c>
      <c r="L780" t="n">
        <v>0</v>
      </c>
      <c r="M780" t="n">
        <v>0</v>
      </c>
      <c r="N780" t="n">
        <v>0</v>
      </c>
      <c r="O780" t="n">
        <v>0</v>
      </c>
      <c r="P780" t="n">
        <v>0</v>
      </c>
      <c r="Q780" t="n">
        <v>0</v>
      </c>
      <c r="R780" s="2" t="inlineStr"/>
    </row>
    <row r="781" ht="15" customHeight="1">
      <c r="A781" t="inlineStr">
        <is>
          <t>A 59763-2025</t>
        </is>
      </c>
      <c r="B781" s="1" t="n">
        <v>45992.59430555555</v>
      </c>
      <c r="C781" s="1" t="n">
        <v>46050</v>
      </c>
      <c r="D781" t="inlineStr">
        <is>
          <t>JÄMTLANDS LÄN</t>
        </is>
      </c>
      <c r="E781" t="inlineStr">
        <is>
          <t>BERG</t>
        </is>
      </c>
      <c r="F781" t="inlineStr">
        <is>
          <t>SCA</t>
        </is>
      </c>
      <c r="G781" t="n">
        <v>16.5</v>
      </c>
      <c r="H781" t="n">
        <v>0</v>
      </c>
      <c r="I781" t="n">
        <v>0</v>
      </c>
      <c r="J781" t="n">
        <v>0</v>
      </c>
      <c r="K781" t="n">
        <v>0</v>
      </c>
      <c r="L781" t="n">
        <v>0</v>
      </c>
      <c r="M781" t="n">
        <v>0</v>
      </c>
      <c r="N781" t="n">
        <v>0</v>
      </c>
      <c r="O781" t="n">
        <v>0</v>
      </c>
      <c r="P781" t="n">
        <v>0</v>
      </c>
      <c r="Q781" t="n">
        <v>0</v>
      </c>
      <c r="R781" s="2" t="inlineStr"/>
    </row>
    <row r="782" ht="15" customHeight="1">
      <c r="A782" t="inlineStr">
        <is>
          <t>A 1495-2026</t>
        </is>
      </c>
      <c r="B782" s="1" t="n">
        <v>46034.32285879629</v>
      </c>
      <c r="C782" s="1" t="n">
        <v>46050</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59841-2025</t>
        </is>
      </c>
      <c r="B783" s="1" t="n">
        <v>45992</v>
      </c>
      <c r="C783" s="1" t="n">
        <v>46050</v>
      </c>
      <c r="D783" t="inlineStr">
        <is>
          <t>JÄMTLANDS LÄN</t>
        </is>
      </c>
      <c r="E783" t="inlineStr">
        <is>
          <t>BERG</t>
        </is>
      </c>
      <c r="G783" t="n">
        <v>14.9</v>
      </c>
      <c r="H783" t="n">
        <v>0</v>
      </c>
      <c r="I783" t="n">
        <v>0</v>
      </c>
      <c r="J783" t="n">
        <v>0</v>
      </c>
      <c r="K783" t="n">
        <v>0</v>
      </c>
      <c r="L783" t="n">
        <v>0</v>
      </c>
      <c r="M783" t="n">
        <v>0</v>
      </c>
      <c r="N783" t="n">
        <v>0</v>
      </c>
      <c r="O783" t="n">
        <v>0</v>
      </c>
      <c r="P783" t="n">
        <v>0</v>
      </c>
      <c r="Q783" t="n">
        <v>0</v>
      </c>
      <c r="R783" s="2" t="inlineStr"/>
    </row>
    <row r="784" ht="15" customHeight="1">
      <c r="A784" t="inlineStr">
        <is>
          <t>A 60077-2025</t>
        </is>
      </c>
      <c r="B784" s="1" t="n">
        <v>45993.67987268518</v>
      </c>
      <c r="C784" s="1" t="n">
        <v>46050</v>
      </c>
      <c r="D784" t="inlineStr">
        <is>
          <t>JÄMTLANDS LÄN</t>
        </is>
      </c>
      <c r="E784" t="inlineStr">
        <is>
          <t>BERG</t>
        </is>
      </c>
      <c r="G784" t="n">
        <v>0.7</v>
      </c>
      <c r="H784" t="n">
        <v>0</v>
      </c>
      <c r="I784" t="n">
        <v>0</v>
      </c>
      <c r="J784" t="n">
        <v>0</v>
      </c>
      <c r="K784" t="n">
        <v>0</v>
      </c>
      <c r="L784" t="n">
        <v>0</v>
      </c>
      <c r="M784" t="n">
        <v>0</v>
      </c>
      <c r="N784" t="n">
        <v>0</v>
      </c>
      <c r="O784" t="n">
        <v>0</v>
      </c>
      <c r="P784" t="n">
        <v>0</v>
      </c>
      <c r="Q784" t="n">
        <v>0</v>
      </c>
      <c r="R784" s="2" t="inlineStr"/>
    </row>
    <row r="785" ht="15" customHeight="1">
      <c r="A785" t="inlineStr">
        <is>
          <t>A 60051-2025</t>
        </is>
      </c>
      <c r="B785" s="1" t="n">
        <v>45993.6353125</v>
      </c>
      <c r="C785" s="1" t="n">
        <v>46050</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1939-2026</t>
        </is>
      </c>
      <c r="B786" s="1" t="n">
        <v>46035.58862268519</v>
      </c>
      <c r="C786" s="1" t="n">
        <v>46050</v>
      </c>
      <c r="D786" t="inlineStr">
        <is>
          <t>JÄMTLANDS LÄN</t>
        </is>
      </c>
      <c r="E786" t="inlineStr">
        <is>
          <t>BERG</t>
        </is>
      </c>
      <c r="G786" t="n">
        <v>3.9</v>
      </c>
      <c r="H786" t="n">
        <v>0</v>
      </c>
      <c r="I786" t="n">
        <v>0</v>
      </c>
      <c r="J786" t="n">
        <v>0</v>
      </c>
      <c r="K786" t="n">
        <v>0</v>
      </c>
      <c r="L786" t="n">
        <v>0</v>
      </c>
      <c r="M786" t="n">
        <v>0</v>
      </c>
      <c r="N786" t="n">
        <v>0</v>
      </c>
      <c r="O786" t="n">
        <v>0</v>
      </c>
      <c r="P786" t="n">
        <v>0</v>
      </c>
      <c r="Q786" t="n">
        <v>0</v>
      </c>
      <c r="R786" s="2" t="inlineStr"/>
    </row>
    <row r="787" ht="15" customHeight="1">
      <c r="A787" t="inlineStr">
        <is>
          <t>A 1498-2026</t>
        </is>
      </c>
      <c r="B787" s="1" t="n">
        <v>46034.331875</v>
      </c>
      <c r="C787" s="1" t="n">
        <v>46050</v>
      </c>
      <c r="D787" t="inlineStr">
        <is>
          <t>JÄMTLANDS LÄN</t>
        </is>
      </c>
      <c r="E787" t="inlineStr">
        <is>
          <t>BERG</t>
        </is>
      </c>
      <c r="G787" t="n">
        <v>1.8</v>
      </c>
      <c r="H787" t="n">
        <v>0</v>
      </c>
      <c r="I787" t="n">
        <v>0</v>
      </c>
      <c r="J787" t="n">
        <v>0</v>
      </c>
      <c r="K787" t="n">
        <v>0</v>
      </c>
      <c r="L787" t="n">
        <v>0</v>
      </c>
      <c r="M787" t="n">
        <v>0</v>
      </c>
      <c r="N787" t="n">
        <v>0</v>
      </c>
      <c r="O787" t="n">
        <v>0</v>
      </c>
      <c r="P787" t="n">
        <v>0</v>
      </c>
      <c r="Q787" t="n">
        <v>0</v>
      </c>
      <c r="R787" s="2" t="inlineStr"/>
    </row>
    <row r="788" ht="15" customHeight="1">
      <c r="A788" t="inlineStr">
        <is>
          <t>A 2270-2026</t>
        </is>
      </c>
      <c r="B788" s="1" t="n">
        <v>46029</v>
      </c>
      <c r="C788" s="1" t="n">
        <v>46050</v>
      </c>
      <c r="D788" t="inlineStr">
        <is>
          <t>JÄMTLANDS LÄN</t>
        </is>
      </c>
      <c r="E788" t="inlineStr">
        <is>
          <t>BERG</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60163-2025</t>
        </is>
      </c>
      <c r="B789" s="1" t="n">
        <v>45994.43094907407</v>
      </c>
      <c r="C789" s="1" t="n">
        <v>46050</v>
      </c>
      <c r="D789" t="inlineStr">
        <is>
          <t>JÄMTLANDS LÄN</t>
        </is>
      </c>
      <c r="E789" t="inlineStr">
        <is>
          <t>BERG</t>
        </is>
      </c>
      <c r="F789" t="inlineStr">
        <is>
          <t>Övriga Aktiebolag</t>
        </is>
      </c>
      <c r="G789" t="n">
        <v>7</v>
      </c>
      <c r="H789" t="n">
        <v>0</v>
      </c>
      <c r="I789" t="n">
        <v>0</v>
      </c>
      <c r="J789" t="n">
        <v>0</v>
      </c>
      <c r="K789" t="n">
        <v>0</v>
      </c>
      <c r="L789" t="n">
        <v>0</v>
      </c>
      <c r="M789" t="n">
        <v>0</v>
      </c>
      <c r="N789" t="n">
        <v>0</v>
      </c>
      <c r="O789" t="n">
        <v>0</v>
      </c>
      <c r="P789" t="n">
        <v>0</v>
      </c>
      <c r="Q789" t="n">
        <v>0</v>
      </c>
      <c r="R789" s="2" t="inlineStr"/>
    </row>
    <row r="790" ht="15" customHeight="1">
      <c r="A790" t="inlineStr">
        <is>
          <t>A 2312-2026</t>
        </is>
      </c>
      <c r="B790" s="1" t="n">
        <v>46036.59519675926</v>
      </c>
      <c r="C790" s="1" t="n">
        <v>46050</v>
      </c>
      <c r="D790" t="inlineStr">
        <is>
          <t>JÄMTLANDS LÄN</t>
        </is>
      </c>
      <c r="E790" t="inlineStr">
        <is>
          <t>BERG</t>
        </is>
      </c>
      <c r="G790" t="n">
        <v>5.4</v>
      </c>
      <c r="H790" t="n">
        <v>0</v>
      </c>
      <c r="I790" t="n">
        <v>0</v>
      </c>
      <c r="J790" t="n">
        <v>0</v>
      </c>
      <c r="K790" t="n">
        <v>0</v>
      </c>
      <c r="L790" t="n">
        <v>0</v>
      </c>
      <c r="M790" t="n">
        <v>0</v>
      </c>
      <c r="N790" t="n">
        <v>0</v>
      </c>
      <c r="O790" t="n">
        <v>0</v>
      </c>
      <c r="P790" t="n">
        <v>0</v>
      </c>
      <c r="Q790" t="n">
        <v>0</v>
      </c>
      <c r="R790" s="2" t="inlineStr"/>
    </row>
    <row r="791" ht="15" customHeight="1">
      <c r="A791" t="inlineStr">
        <is>
          <t>A 2632-2026</t>
        </is>
      </c>
      <c r="B791" s="1" t="n">
        <v>46035</v>
      </c>
      <c r="C791" s="1" t="n">
        <v>46050</v>
      </c>
      <c r="D791" t="inlineStr">
        <is>
          <t>JÄMTLANDS LÄN</t>
        </is>
      </c>
      <c r="E791" t="inlineStr">
        <is>
          <t>BERG</t>
        </is>
      </c>
      <c r="G791" t="n">
        <v>0.9</v>
      </c>
      <c r="H791" t="n">
        <v>0</v>
      </c>
      <c r="I791" t="n">
        <v>0</v>
      </c>
      <c r="J791" t="n">
        <v>0</v>
      </c>
      <c r="K791" t="n">
        <v>0</v>
      </c>
      <c r="L791" t="n">
        <v>0</v>
      </c>
      <c r="M791" t="n">
        <v>0</v>
      </c>
      <c r="N791" t="n">
        <v>0</v>
      </c>
      <c r="O791" t="n">
        <v>0</v>
      </c>
      <c r="P791" t="n">
        <v>0</v>
      </c>
      <c r="Q791" t="n">
        <v>0</v>
      </c>
      <c r="R791" s="2" t="inlineStr"/>
    </row>
    <row r="792" ht="15" customHeight="1">
      <c r="A792" t="inlineStr">
        <is>
          <t>A 49225-2024</t>
        </is>
      </c>
      <c r="B792" s="1" t="n">
        <v>45595.4177662037</v>
      </c>
      <c r="C792" s="1" t="n">
        <v>46050</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15624-2023</t>
        </is>
      </c>
      <c r="B793" s="1" t="n">
        <v>45020.94496527778</v>
      </c>
      <c r="C793" s="1" t="n">
        <v>46050</v>
      </c>
      <c r="D793" t="inlineStr">
        <is>
          <t>JÄMTLANDS LÄN</t>
        </is>
      </c>
      <c r="E793" t="inlineStr">
        <is>
          <t>BERG</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20882-2023</t>
        </is>
      </c>
      <c r="B794" s="1" t="n">
        <v>45058</v>
      </c>
      <c r="C794" s="1" t="n">
        <v>46050</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60463-2025</t>
        </is>
      </c>
      <c r="B795" s="1" t="n">
        <v>45995.55276620371</v>
      </c>
      <c r="C795" s="1" t="n">
        <v>46050</v>
      </c>
      <c r="D795" t="inlineStr">
        <is>
          <t>JÄMTLANDS LÄN</t>
        </is>
      </c>
      <c r="E795" t="inlineStr">
        <is>
          <t>BERG</t>
        </is>
      </c>
      <c r="G795" t="n">
        <v>4.3</v>
      </c>
      <c r="H795" t="n">
        <v>0</v>
      </c>
      <c r="I795" t="n">
        <v>0</v>
      </c>
      <c r="J795" t="n">
        <v>0</v>
      </c>
      <c r="K795" t="n">
        <v>0</v>
      </c>
      <c r="L795" t="n">
        <v>0</v>
      </c>
      <c r="M795" t="n">
        <v>0</v>
      </c>
      <c r="N795" t="n">
        <v>0</v>
      </c>
      <c r="O795" t="n">
        <v>0</v>
      </c>
      <c r="P795" t="n">
        <v>0</v>
      </c>
      <c r="Q795" t="n">
        <v>0</v>
      </c>
      <c r="R795" s="2" t="inlineStr"/>
    </row>
    <row r="796" ht="15" customHeight="1">
      <c r="A796" t="inlineStr">
        <is>
          <t>A 2346-2026</t>
        </is>
      </c>
      <c r="B796" s="1" t="n">
        <v>46036.62737268519</v>
      </c>
      <c r="C796" s="1" t="n">
        <v>46050</v>
      </c>
      <c r="D796" t="inlineStr">
        <is>
          <t>JÄMTLANDS LÄN</t>
        </is>
      </c>
      <c r="E796" t="inlineStr">
        <is>
          <t>BERG</t>
        </is>
      </c>
      <c r="G796" t="n">
        <v>4.2</v>
      </c>
      <c r="H796" t="n">
        <v>0</v>
      </c>
      <c r="I796" t="n">
        <v>0</v>
      </c>
      <c r="J796" t="n">
        <v>0</v>
      </c>
      <c r="K796" t="n">
        <v>0</v>
      </c>
      <c r="L796" t="n">
        <v>0</v>
      </c>
      <c r="M796" t="n">
        <v>0</v>
      </c>
      <c r="N796" t="n">
        <v>0</v>
      </c>
      <c r="O796" t="n">
        <v>0</v>
      </c>
      <c r="P796" t="n">
        <v>0</v>
      </c>
      <c r="Q796" t="n">
        <v>0</v>
      </c>
      <c r="R796" s="2" t="inlineStr"/>
    </row>
    <row r="797" ht="15" customHeight="1">
      <c r="A797" t="inlineStr">
        <is>
          <t>A 60632-2025</t>
        </is>
      </c>
      <c r="B797" s="1" t="n">
        <v>45996.42769675926</v>
      </c>
      <c r="C797" s="1" t="n">
        <v>46050</v>
      </c>
      <c r="D797" t="inlineStr">
        <is>
          <t>JÄMTLANDS LÄN</t>
        </is>
      </c>
      <c r="E797" t="inlineStr">
        <is>
          <t>BERG</t>
        </is>
      </c>
      <c r="F797" t="inlineStr">
        <is>
          <t>SCA</t>
        </is>
      </c>
      <c r="G797" t="n">
        <v>18.2</v>
      </c>
      <c r="H797" t="n">
        <v>0</v>
      </c>
      <c r="I797" t="n">
        <v>0</v>
      </c>
      <c r="J797" t="n">
        <v>0</v>
      </c>
      <c r="K797" t="n">
        <v>0</v>
      </c>
      <c r="L797" t="n">
        <v>0</v>
      </c>
      <c r="M797" t="n">
        <v>0</v>
      </c>
      <c r="N797" t="n">
        <v>0</v>
      </c>
      <c r="O797" t="n">
        <v>0</v>
      </c>
      <c r="P797" t="n">
        <v>0</v>
      </c>
      <c r="Q797" t="n">
        <v>0</v>
      </c>
      <c r="R797" s="2" t="inlineStr"/>
    </row>
    <row r="798" ht="15" customHeight="1">
      <c r="A798" t="inlineStr">
        <is>
          <t>A 60635-2025</t>
        </is>
      </c>
      <c r="B798" s="1" t="n">
        <v>45996.42826388889</v>
      </c>
      <c r="C798" s="1" t="n">
        <v>46050</v>
      </c>
      <c r="D798" t="inlineStr">
        <is>
          <t>JÄMTLANDS LÄN</t>
        </is>
      </c>
      <c r="E798" t="inlineStr">
        <is>
          <t>BERG</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60634-2025</t>
        </is>
      </c>
      <c r="B799" s="1" t="n">
        <v>45996.42805555555</v>
      </c>
      <c r="C799" s="1" t="n">
        <v>46050</v>
      </c>
      <c r="D799" t="inlineStr">
        <is>
          <t>JÄMTLANDS LÄN</t>
        </is>
      </c>
      <c r="E799" t="inlineStr">
        <is>
          <t>BERG</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12774-2023</t>
        </is>
      </c>
      <c r="B800" s="1" t="n">
        <v>45001</v>
      </c>
      <c r="C800" s="1" t="n">
        <v>46050</v>
      </c>
      <c r="D800" t="inlineStr">
        <is>
          <t>JÄMTLANDS LÄN</t>
        </is>
      </c>
      <c r="E800" t="inlineStr">
        <is>
          <t>BERG</t>
        </is>
      </c>
      <c r="G800" t="n">
        <v>0.7</v>
      </c>
      <c r="H800" t="n">
        <v>0</v>
      </c>
      <c r="I800" t="n">
        <v>0</v>
      </c>
      <c r="J800" t="n">
        <v>0</v>
      </c>
      <c r="K800" t="n">
        <v>0</v>
      </c>
      <c r="L800" t="n">
        <v>0</v>
      </c>
      <c r="M800" t="n">
        <v>0</v>
      </c>
      <c r="N800" t="n">
        <v>0</v>
      </c>
      <c r="O800" t="n">
        <v>0</v>
      </c>
      <c r="P800" t="n">
        <v>0</v>
      </c>
      <c r="Q800" t="n">
        <v>0</v>
      </c>
      <c r="R800" s="2" t="inlineStr"/>
    </row>
    <row r="801" ht="15" customHeight="1">
      <c r="A801" t="inlineStr">
        <is>
          <t>A 60587-2022</t>
        </is>
      </c>
      <c r="B801" s="1" t="n">
        <v>44911.58445601852</v>
      </c>
      <c r="C801" s="1" t="n">
        <v>46050</v>
      </c>
      <c r="D801" t="inlineStr">
        <is>
          <t>JÄMTLANDS LÄN</t>
        </is>
      </c>
      <c r="E801" t="inlineStr">
        <is>
          <t>BERG</t>
        </is>
      </c>
      <c r="G801" t="n">
        <v>4.8</v>
      </c>
      <c r="H801" t="n">
        <v>0</v>
      </c>
      <c r="I801" t="n">
        <v>0</v>
      </c>
      <c r="J801" t="n">
        <v>0</v>
      </c>
      <c r="K801" t="n">
        <v>0</v>
      </c>
      <c r="L801" t="n">
        <v>0</v>
      </c>
      <c r="M801" t="n">
        <v>0</v>
      </c>
      <c r="N801" t="n">
        <v>0</v>
      </c>
      <c r="O801" t="n">
        <v>0</v>
      </c>
      <c r="P801" t="n">
        <v>0</v>
      </c>
      <c r="Q801" t="n">
        <v>0</v>
      </c>
      <c r="R801" s="2" t="inlineStr"/>
    </row>
    <row r="802" ht="15" customHeight="1">
      <c r="A802" t="inlineStr">
        <is>
          <t>A 6645-2025</t>
        </is>
      </c>
      <c r="B802" s="1" t="n">
        <v>45700.39645833334</v>
      </c>
      <c r="C802" s="1" t="n">
        <v>46050</v>
      </c>
      <c r="D802" t="inlineStr">
        <is>
          <t>JÄMTLANDS LÄN</t>
        </is>
      </c>
      <c r="E802" t="inlineStr">
        <is>
          <t>BERG</t>
        </is>
      </c>
      <c r="G802" t="n">
        <v>2.6</v>
      </c>
      <c r="H802" t="n">
        <v>0</v>
      </c>
      <c r="I802" t="n">
        <v>0</v>
      </c>
      <c r="J802" t="n">
        <v>0</v>
      </c>
      <c r="K802" t="n">
        <v>0</v>
      </c>
      <c r="L802" t="n">
        <v>0</v>
      </c>
      <c r="M802" t="n">
        <v>0</v>
      </c>
      <c r="N802" t="n">
        <v>0</v>
      </c>
      <c r="O802" t="n">
        <v>0</v>
      </c>
      <c r="P802" t="n">
        <v>0</v>
      </c>
      <c r="Q802" t="n">
        <v>0</v>
      </c>
      <c r="R802" s="2" t="inlineStr"/>
    </row>
    <row r="803" ht="15" customHeight="1">
      <c r="A803" t="inlineStr">
        <is>
          <t>A 12254-2025</t>
        </is>
      </c>
      <c r="B803" s="1" t="n">
        <v>45729</v>
      </c>
      <c r="C803" s="1" t="n">
        <v>46050</v>
      </c>
      <c r="D803" t="inlineStr">
        <is>
          <t>JÄMTLANDS LÄN</t>
        </is>
      </c>
      <c r="E803" t="inlineStr">
        <is>
          <t>BERG</t>
        </is>
      </c>
      <c r="G803" t="n">
        <v>26.3</v>
      </c>
      <c r="H803" t="n">
        <v>0</v>
      </c>
      <c r="I803" t="n">
        <v>0</v>
      </c>
      <c r="J803" t="n">
        <v>0</v>
      </c>
      <c r="K803" t="n">
        <v>0</v>
      </c>
      <c r="L803" t="n">
        <v>0</v>
      </c>
      <c r="M803" t="n">
        <v>0</v>
      </c>
      <c r="N803" t="n">
        <v>0</v>
      </c>
      <c r="O803" t="n">
        <v>0</v>
      </c>
      <c r="P803" t="n">
        <v>0</v>
      </c>
      <c r="Q803" t="n">
        <v>0</v>
      </c>
      <c r="R803" s="2" t="inlineStr"/>
    </row>
    <row r="804" ht="15" customHeight="1">
      <c r="A804" t="inlineStr">
        <is>
          <t>A 3241-2026</t>
        </is>
      </c>
      <c r="B804" s="1" t="n">
        <v>46041.56872685185</v>
      </c>
      <c r="C804" s="1" t="n">
        <v>46050</v>
      </c>
      <c r="D804" t="inlineStr">
        <is>
          <t>JÄMTLANDS LÄN</t>
        </is>
      </c>
      <c r="E804" t="inlineStr">
        <is>
          <t>BERG</t>
        </is>
      </c>
      <c r="G804" t="n">
        <v>2</v>
      </c>
      <c r="H804" t="n">
        <v>0</v>
      </c>
      <c r="I804" t="n">
        <v>0</v>
      </c>
      <c r="J804" t="n">
        <v>0</v>
      </c>
      <c r="K804" t="n">
        <v>0</v>
      </c>
      <c r="L804" t="n">
        <v>0</v>
      </c>
      <c r="M804" t="n">
        <v>0</v>
      </c>
      <c r="N804" t="n">
        <v>0</v>
      </c>
      <c r="O804" t="n">
        <v>0</v>
      </c>
      <c r="P804" t="n">
        <v>0</v>
      </c>
      <c r="Q804" t="n">
        <v>0</v>
      </c>
      <c r="R804" s="2" t="inlineStr"/>
    </row>
    <row r="805" ht="15" customHeight="1">
      <c r="A805" t="inlineStr">
        <is>
          <t>A 60831-2025</t>
        </is>
      </c>
      <c r="B805" s="1" t="n">
        <v>45999.46935185185</v>
      </c>
      <c r="C805" s="1" t="n">
        <v>46050</v>
      </c>
      <c r="D805" t="inlineStr">
        <is>
          <t>JÄMTLANDS LÄN</t>
        </is>
      </c>
      <c r="E805" t="inlineStr">
        <is>
          <t>BERG</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23560-2024</t>
        </is>
      </c>
      <c r="B806" s="1" t="n">
        <v>45453.95467592592</v>
      </c>
      <c r="C806" s="1" t="n">
        <v>46050</v>
      </c>
      <c r="D806" t="inlineStr">
        <is>
          <t>JÄMTLANDS LÄN</t>
        </is>
      </c>
      <c r="E806" t="inlineStr">
        <is>
          <t>BERG</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3810-2026</t>
        </is>
      </c>
      <c r="B807" s="1" t="n">
        <v>46043.58373842593</v>
      </c>
      <c r="C807" s="1" t="n">
        <v>46050</v>
      </c>
      <c r="D807" t="inlineStr">
        <is>
          <t>JÄMTLANDS LÄN</t>
        </is>
      </c>
      <c r="E807" t="inlineStr">
        <is>
          <t>BERG</t>
        </is>
      </c>
      <c r="G807" t="n">
        <v>2.5</v>
      </c>
      <c r="H807" t="n">
        <v>0</v>
      </c>
      <c r="I807" t="n">
        <v>0</v>
      </c>
      <c r="J807" t="n">
        <v>0</v>
      </c>
      <c r="K807" t="n">
        <v>0</v>
      </c>
      <c r="L807" t="n">
        <v>0</v>
      </c>
      <c r="M807" t="n">
        <v>0</v>
      </c>
      <c r="N807" t="n">
        <v>0</v>
      </c>
      <c r="O807" t="n">
        <v>0</v>
      </c>
      <c r="P807" t="n">
        <v>0</v>
      </c>
      <c r="Q807" t="n">
        <v>0</v>
      </c>
      <c r="R807" s="2" t="inlineStr"/>
    </row>
    <row r="808" ht="15" customHeight="1">
      <c r="A808" t="inlineStr">
        <is>
          <t>A 61501-2025</t>
        </is>
      </c>
      <c r="B808" s="1" t="n">
        <v>46001.65951388889</v>
      </c>
      <c r="C808" s="1" t="n">
        <v>46050</v>
      </c>
      <c r="D808" t="inlineStr">
        <is>
          <t>JÄMTLANDS LÄN</t>
        </is>
      </c>
      <c r="E808" t="inlineStr">
        <is>
          <t>BERG</t>
        </is>
      </c>
      <c r="G808" t="n">
        <v>1.8</v>
      </c>
      <c r="H808" t="n">
        <v>0</v>
      </c>
      <c r="I808" t="n">
        <v>0</v>
      </c>
      <c r="J808" t="n">
        <v>0</v>
      </c>
      <c r="K808" t="n">
        <v>0</v>
      </c>
      <c r="L808" t="n">
        <v>0</v>
      </c>
      <c r="M808" t="n">
        <v>0</v>
      </c>
      <c r="N808" t="n">
        <v>0</v>
      </c>
      <c r="O808" t="n">
        <v>0</v>
      </c>
      <c r="P808" t="n">
        <v>0</v>
      </c>
      <c r="Q808" t="n">
        <v>0</v>
      </c>
      <c r="R808" s="2" t="inlineStr"/>
    </row>
    <row r="809" ht="15" customHeight="1">
      <c r="A809" t="inlineStr">
        <is>
          <t>A 47168-2025</t>
        </is>
      </c>
      <c r="B809" s="1" t="n">
        <v>45929</v>
      </c>
      <c r="C809" s="1" t="n">
        <v>46050</v>
      </c>
      <c r="D809" t="inlineStr">
        <is>
          <t>JÄMTLANDS LÄN</t>
        </is>
      </c>
      <c r="E809" t="inlineStr">
        <is>
          <t>BERG</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1982-2022</t>
        </is>
      </c>
      <c r="B810" s="1" t="n">
        <v>44575</v>
      </c>
      <c r="C810" s="1" t="n">
        <v>46050</v>
      </c>
      <c r="D810" t="inlineStr">
        <is>
          <t>JÄMTLANDS LÄN</t>
        </is>
      </c>
      <c r="E810" t="inlineStr">
        <is>
          <t>BERG</t>
        </is>
      </c>
      <c r="G810" t="n">
        <v>1.6</v>
      </c>
      <c r="H810" t="n">
        <v>0</v>
      </c>
      <c r="I810" t="n">
        <v>0</v>
      </c>
      <c r="J810" t="n">
        <v>0</v>
      </c>
      <c r="K810" t="n">
        <v>0</v>
      </c>
      <c r="L810" t="n">
        <v>0</v>
      </c>
      <c r="M810" t="n">
        <v>0</v>
      </c>
      <c r="N810" t="n">
        <v>0</v>
      </c>
      <c r="O810" t="n">
        <v>0</v>
      </c>
      <c r="P810" t="n">
        <v>0</v>
      </c>
      <c r="Q810" t="n">
        <v>0</v>
      </c>
      <c r="R810" s="2" t="inlineStr"/>
    </row>
    <row r="811" ht="15" customHeight="1">
      <c r="A811" t="inlineStr">
        <is>
          <t>A 1989-2022</t>
        </is>
      </c>
      <c r="B811" s="1" t="n">
        <v>44575.55935185185</v>
      </c>
      <c r="C811" s="1" t="n">
        <v>46050</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3173-2025</t>
        </is>
      </c>
      <c r="B812" s="1" t="n">
        <v>45679.38309027778</v>
      </c>
      <c r="C812" s="1" t="n">
        <v>46050</v>
      </c>
      <c r="D812" t="inlineStr">
        <is>
          <t>JÄMTLANDS LÄN</t>
        </is>
      </c>
      <c r="E812" t="inlineStr">
        <is>
          <t>BERG</t>
        </is>
      </c>
      <c r="G812" t="n">
        <v>8.9</v>
      </c>
      <c r="H812" t="n">
        <v>0</v>
      </c>
      <c r="I812" t="n">
        <v>0</v>
      </c>
      <c r="J812" t="n">
        <v>0</v>
      </c>
      <c r="K812" t="n">
        <v>0</v>
      </c>
      <c r="L812" t="n">
        <v>0</v>
      </c>
      <c r="M812" t="n">
        <v>0</v>
      </c>
      <c r="N812" t="n">
        <v>0</v>
      </c>
      <c r="O812" t="n">
        <v>0</v>
      </c>
      <c r="P812" t="n">
        <v>0</v>
      </c>
      <c r="Q812" t="n">
        <v>0</v>
      </c>
      <c r="R812" s="2" t="inlineStr"/>
    </row>
    <row r="813" ht="15" customHeight="1">
      <c r="A813" t="inlineStr">
        <is>
          <t>A 62153-2022</t>
        </is>
      </c>
      <c r="B813" s="1" t="n">
        <v>44914</v>
      </c>
      <c r="C813" s="1" t="n">
        <v>46050</v>
      </c>
      <c r="D813" t="inlineStr">
        <is>
          <t>JÄMTLANDS LÄN</t>
        </is>
      </c>
      <c r="E813" t="inlineStr">
        <is>
          <t>BERG</t>
        </is>
      </c>
      <c r="G813" t="n">
        <v>1</v>
      </c>
      <c r="H813" t="n">
        <v>0</v>
      </c>
      <c r="I813" t="n">
        <v>0</v>
      </c>
      <c r="J813" t="n">
        <v>0</v>
      </c>
      <c r="K813" t="n">
        <v>0</v>
      </c>
      <c r="L813" t="n">
        <v>0</v>
      </c>
      <c r="M813" t="n">
        <v>0</v>
      </c>
      <c r="N813" t="n">
        <v>0</v>
      </c>
      <c r="O813" t="n">
        <v>0</v>
      </c>
      <c r="P813" t="n">
        <v>0</v>
      </c>
      <c r="Q813" t="n">
        <v>0</v>
      </c>
      <c r="R813" s="2" t="inlineStr"/>
    </row>
    <row r="814" ht="15" customHeight="1">
      <c r="A814" t="inlineStr">
        <is>
          <t>A 15156-2024</t>
        </is>
      </c>
      <c r="B814" s="1" t="n">
        <v>45399.94496527778</v>
      </c>
      <c r="C814" s="1" t="n">
        <v>46050</v>
      </c>
      <c r="D814" t="inlineStr">
        <is>
          <t>JÄMTLANDS LÄN</t>
        </is>
      </c>
      <c r="E814" t="inlineStr">
        <is>
          <t>BERG</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46858-2023</t>
        </is>
      </c>
      <c r="B815" s="1" t="n">
        <v>45199.97042824074</v>
      </c>
      <c r="C815" s="1" t="n">
        <v>46050</v>
      </c>
      <c r="D815" t="inlineStr">
        <is>
          <t>JÄMTLANDS LÄN</t>
        </is>
      </c>
      <c r="E815" t="inlineStr">
        <is>
          <t>BERG</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3796-2026</t>
        </is>
      </c>
      <c r="B816" s="1" t="n">
        <v>46043.57982638889</v>
      </c>
      <c r="C816" s="1" t="n">
        <v>46050</v>
      </c>
      <c r="D816" t="inlineStr">
        <is>
          <t>JÄMTLANDS LÄN</t>
        </is>
      </c>
      <c r="E816" t="inlineStr">
        <is>
          <t>BERG</t>
        </is>
      </c>
      <c r="G816" t="n">
        <v>2.5</v>
      </c>
      <c r="H816" t="n">
        <v>0</v>
      </c>
      <c r="I816" t="n">
        <v>0</v>
      </c>
      <c r="J816" t="n">
        <v>0</v>
      </c>
      <c r="K816" t="n">
        <v>0</v>
      </c>
      <c r="L816" t="n">
        <v>0</v>
      </c>
      <c r="M816" t="n">
        <v>0</v>
      </c>
      <c r="N816" t="n">
        <v>0</v>
      </c>
      <c r="O816" t="n">
        <v>0</v>
      </c>
      <c r="P816" t="n">
        <v>0</v>
      </c>
      <c r="Q816" t="n">
        <v>0</v>
      </c>
      <c r="R816" s="2" t="inlineStr"/>
    </row>
    <row r="817" ht="15" customHeight="1">
      <c r="A817" t="inlineStr">
        <is>
          <t>A 36192-2024</t>
        </is>
      </c>
      <c r="B817" s="1" t="n">
        <v>45534.42809027778</v>
      </c>
      <c r="C817" s="1" t="n">
        <v>46050</v>
      </c>
      <c r="D817" t="inlineStr">
        <is>
          <t>JÄMTLANDS LÄN</t>
        </is>
      </c>
      <c r="E817" t="inlineStr">
        <is>
          <t>BERG</t>
        </is>
      </c>
      <c r="G817" t="n">
        <v>1.4</v>
      </c>
      <c r="H817" t="n">
        <v>0</v>
      </c>
      <c r="I817" t="n">
        <v>0</v>
      </c>
      <c r="J817" t="n">
        <v>0</v>
      </c>
      <c r="K817" t="n">
        <v>0</v>
      </c>
      <c r="L817" t="n">
        <v>0</v>
      </c>
      <c r="M817" t="n">
        <v>0</v>
      </c>
      <c r="N817" t="n">
        <v>0</v>
      </c>
      <c r="O817" t="n">
        <v>0</v>
      </c>
      <c r="P817" t="n">
        <v>0</v>
      </c>
      <c r="Q817" t="n">
        <v>0</v>
      </c>
      <c r="R817" s="2" t="inlineStr"/>
    </row>
    <row r="818" ht="15" customHeight="1">
      <c r="A818" t="inlineStr">
        <is>
          <t>A 14431-2025</t>
        </is>
      </c>
      <c r="B818" s="1" t="n">
        <v>45741</v>
      </c>
      <c r="C818" s="1" t="n">
        <v>46050</v>
      </c>
      <c r="D818" t="inlineStr">
        <is>
          <t>JÄMTLANDS LÄN</t>
        </is>
      </c>
      <c r="E818" t="inlineStr">
        <is>
          <t>BERG</t>
        </is>
      </c>
      <c r="G818" t="n">
        <v>1.7</v>
      </c>
      <c r="H818" t="n">
        <v>0</v>
      </c>
      <c r="I818" t="n">
        <v>0</v>
      </c>
      <c r="J818" t="n">
        <v>0</v>
      </c>
      <c r="K818" t="n">
        <v>0</v>
      </c>
      <c r="L818" t="n">
        <v>0</v>
      </c>
      <c r="M818" t="n">
        <v>0</v>
      </c>
      <c r="N818" t="n">
        <v>0</v>
      </c>
      <c r="O818" t="n">
        <v>0</v>
      </c>
      <c r="P818" t="n">
        <v>0</v>
      </c>
      <c r="Q818" t="n">
        <v>0</v>
      </c>
      <c r="R818" s="2" t="inlineStr"/>
    </row>
    <row r="819" ht="15" customHeight="1">
      <c r="A819" t="inlineStr">
        <is>
          <t>A 14594-2025</t>
        </is>
      </c>
      <c r="B819" s="1" t="n">
        <v>45742.34414351852</v>
      </c>
      <c r="C819" s="1" t="n">
        <v>46050</v>
      </c>
      <c r="D819" t="inlineStr">
        <is>
          <t>JÄMTLANDS LÄN</t>
        </is>
      </c>
      <c r="E819" t="inlineStr">
        <is>
          <t>BERG</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14596-2025</t>
        </is>
      </c>
      <c r="B820" s="1" t="n">
        <v>45742.34449074074</v>
      </c>
      <c r="C820" s="1" t="n">
        <v>46050</v>
      </c>
      <c r="D820" t="inlineStr">
        <is>
          <t>JÄMTLANDS LÄN</t>
        </is>
      </c>
      <c r="E820" t="inlineStr">
        <is>
          <t>BERG</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61459-2025</t>
        </is>
      </c>
      <c r="B821" s="1" t="n">
        <v>46001.59416666667</v>
      </c>
      <c r="C821" s="1" t="n">
        <v>46050</v>
      </c>
      <c r="D821" t="inlineStr">
        <is>
          <t>JÄMTLANDS LÄN</t>
        </is>
      </c>
      <c r="E821" t="inlineStr">
        <is>
          <t>BERG</t>
        </is>
      </c>
      <c r="G821" t="n">
        <v>2.7</v>
      </c>
      <c r="H821" t="n">
        <v>0</v>
      </c>
      <c r="I821" t="n">
        <v>0</v>
      </c>
      <c r="J821" t="n">
        <v>0</v>
      </c>
      <c r="K821" t="n">
        <v>0</v>
      </c>
      <c r="L821" t="n">
        <v>0</v>
      </c>
      <c r="M821" t="n">
        <v>0</v>
      </c>
      <c r="N821" t="n">
        <v>0</v>
      </c>
      <c r="O821" t="n">
        <v>0</v>
      </c>
      <c r="P821" t="n">
        <v>0</v>
      </c>
      <c r="Q821" t="n">
        <v>0</v>
      </c>
      <c r="R821" s="2" t="inlineStr"/>
    </row>
    <row r="822" ht="15" customHeight="1">
      <c r="A822" t="inlineStr">
        <is>
          <t>A 61460-2025</t>
        </is>
      </c>
      <c r="B822" s="1" t="n">
        <v>46001.59425925926</v>
      </c>
      <c r="C822" s="1" t="n">
        <v>46050</v>
      </c>
      <c r="D822" t="inlineStr">
        <is>
          <t>JÄMTLANDS LÄN</t>
        </is>
      </c>
      <c r="E822" t="inlineStr">
        <is>
          <t>BERG</t>
        </is>
      </c>
      <c r="G822" t="n">
        <v>1.9</v>
      </c>
      <c r="H822" t="n">
        <v>0</v>
      </c>
      <c r="I822" t="n">
        <v>0</v>
      </c>
      <c r="J822" t="n">
        <v>0</v>
      </c>
      <c r="K822" t="n">
        <v>0</v>
      </c>
      <c r="L822" t="n">
        <v>0</v>
      </c>
      <c r="M822" t="n">
        <v>0</v>
      </c>
      <c r="N822" t="n">
        <v>0</v>
      </c>
      <c r="O822" t="n">
        <v>0</v>
      </c>
      <c r="P822" t="n">
        <v>0</v>
      </c>
      <c r="Q822" t="n">
        <v>0</v>
      </c>
      <c r="R822" s="2" t="inlineStr"/>
    </row>
    <row r="823" ht="15" customHeight="1">
      <c r="A823" t="inlineStr">
        <is>
          <t>A 4337-2026</t>
        </is>
      </c>
      <c r="B823" s="1" t="n">
        <v>46045</v>
      </c>
      <c r="C823" s="1" t="n">
        <v>46050</v>
      </c>
      <c r="D823" t="inlineStr">
        <is>
          <t>JÄMTLANDS LÄN</t>
        </is>
      </c>
      <c r="E823" t="inlineStr">
        <is>
          <t>BERG</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3798-2022</t>
        </is>
      </c>
      <c r="B824" s="1" t="n">
        <v>44586</v>
      </c>
      <c r="C824" s="1" t="n">
        <v>46050</v>
      </c>
      <c r="D824" t="inlineStr">
        <is>
          <t>JÄMTLANDS LÄN</t>
        </is>
      </c>
      <c r="E824" t="inlineStr">
        <is>
          <t>BERG</t>
        </is>
      </c>
      <c r="G824" t="n">
        <v>0.1</v>
      </c>
      <c r="H824" t="n">
        <v>0</v>
      </c>
      <c r="I824" t="n">
        <v>0</v>
      </c>
      <c r="J824" t="n">
        <v>0</v>
      </c>
      <c r="K824" t="n">
        <v>0</v>
      </c>
      <c r="L824" t="n">
        <v>0</v>
      </c>
      <c r="M824" t="n">
        <v>0</v>
      </c>
      <c r="N824" t="n">
        <v>0</v>
      </c>
      <c r="O824" t="n">
        <v>0</v>
      </c>
      <c r="P824" t="n">
        <v>0</v>
      </c>
      <c r="Q824" t="n">
        <v>0</v>
      </c>
      <c r="R824" s="2" t="inlineStr"/>
    </row>
    <row r="825" ht="15" customHeight="1">
      <c r="A825" t="inlineStr">
        <is>
          <t>A 11274-2025</t>
        </is>
      </c>
      <c r="B825" s="1" t="n">
        <v>45726.40868055556</v>
      </c>
      <c r="C825" s="1" t="n">
        <v>46050</v>
      </c>
      <c r="D825" t="inlineStr">
        <is>
          <t>JÄMTLANDS LÄN</t>
        </is>
      </c>
      <c r="E825" t="inlineStr">
        <is>
          <t>BERG</t>
        </is>
      </c>
      <c r="G825" t="n">
        <v>3</v>
      </c>
      <c r="H825" t="n">
        <v>0</v>
      </c>
      <c r="I825" t="n">
        <v>0</v>
      </c>
      <c r="J825" t="n">
        <v>0</v>
      </c>
      <c r="K825" t="n">
        <v>0</v>
      </c>
      <c r="L825" t="n">
        <v>0</v>
      </c>
      <c r="M825" t="n">
        <v>0</v>
      </c>
      <c r="N825" t="n">
        <v>0</v>
      </c>
      <c r="O825" t="n">
        <v>0</v>
      </c>
      <c r="P825" t="n">
        <v>0</v>
      </c>
      <c r="Q825" t="n">
        <v>0</v>
      </c>
      <c r="R825" s="2" t="inlineStr"/>
    </row>
    <row r="826" ht="15" customHeight="1">
      <c r="A826" t="inlineStr">
        <is>
          <t>A 31682-2022</t>
        </is>
      </c>
      <c r="B826" s="1" t="n">
        <v>44776</v>
      </c>
      <c r="C826" s="1" t="n">
        <v>46050</v>
      </c>
      <c r="D826" t="inlineStr">
        <is>
          <t>JÄMTLANDS LÄN</t>
        </is>
      </c>
      <c r="E826" t="inlineStr">
        <is>
          <t>BERG</t>
        </is>
      </c>
      <c r="G826" t="n">
        <v>8</v>
      </c>
      <c r="H826" t="n">
        <v>0</v>
      </c>
      <c r="I826" t="n">
        <v>0</v>
      </c>
      <c r="J826" t="n">
        <v>0</v>
      </c>
      <c r="K826" t="n">
        <v>0</v>
      </c>
      <c r="L826" t="n">
        <v>0</v>
      </c>
      <c r="M826" t="n">
        <v>0</v>
      </c>
      <c r="N826" t="n">
        <v>0</v>
      </c>
      <c r="O826" t="n">
        <v>0</v>
      </c>
      <c r="P826" t="n">
        <v>0</v>
      </c>
      <c r="Q826" t="n">
        <v>0</v>
      </c>
      <c r="R826" s="2" t="inlineStr"/>
    </row>
    <row r="827" ht="15" customHeight="1">
      <c r="A827" t="inlineStr">
        <is>
          <t>A 149-2024</t>
        </is>
      </c>
      <c r="B827" s="1" t="n">
        <v>45294</v>
      </c>
      <c r="C827" s="1" t="n">
        <v>46050</v>
      </c>
      <c r="D827" t="inlineStr">
        <is>
          <t>JÄMTLANDS LÄN</t>
        </is>
      </c>
      <c r="E827" t="inlineStr">
        <is>
          <t>BERG</t>
        </is>
      </c>
      <c r="F827" t="inlineStr">
        <is>
          <t>Kyrkan</t>
        </is>
      </c>
      <c r="G827" t="n">
        <v>3.7</v>
      </c>
      <c r="H827" t="n">
        <v>0</v>
      </c>
      <c r="I827" t="n">
        <v>0</v>
      </c>
      <c r="J827" t="n">
        <v>0</v>
      </c>
      <c r="K827" t="n">
        <v>0</v>
      </c>
      <c r="L827" t="n">
        <v>0</v>
      </c>
      <c r="M827" t="n">
        <v>0</v>
      </c>
      <c r="N827" t="n">
        <v>0</v>
      </c>
      <c r="O827" t="n">
        <v>0</v>
      </c>
      <c r="P827" t="n">
        <v>0</v>
      </c>
      <c r="Q827" t="n">
        <v>0</v>
      </c>
      <c r="R827" s="2" t="inlineStr"/>
    </row>
    <row r="828" ht="15" customHeight="1">
      <c r="A828" t="inlineStr">
        <is>
          <t>A 36708-2023</t>
        </is>
      </c>
      <c r="B828" s="1" t="n">
        <v>45153.65226851852</v>
      </c>
      <c r="C828" s="1" t="n">
        <v>46050</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1684-2026</t>
        </is>
      </c>
      <c r="B829" s="1" t="n">
        <v>46034.58386574074</v>
      </c>
      <c r="C829" s="1" t="n">
        <v>46050</v>
      </c>
      <c r="D829" t="inlineStr">
        <is>
          <t>JÄMTLANDS LÄN</t>
        </is>
      </c>
      <c r="E829" t="inlineStr">
        <is>
          <t>BERG</t>
        </is>
      </c>
      <c r="G829" t="n">
        <v>1.9</v>
      </c>
      <c r="H829" t="n">
        <v>0</v>
      </c>
      <c r="I829" t="n">
        <v>0</v>
      </c>
      <c r="J829" t="n">
        <v>0</v>
      </c>
      <c r="K829" t="n">
        <v>0</v>
      </c>
      <c r="L829" t="n">
        <v>0</v>
      </c>
      <c r="M829" t="n">
        <v>0</v>
      </c>
      <c r="N829" t="n">
        <v>0</v>
      </c>
      <c r="O829" t="n">
        <v>0</v>
      </c>
      <c r="P829" t="n">
        <v>0</v>
      </c>
      <c r="Q829" t="n">
        <v>0</v>
      </c>
      <c r="R829" s="2" t="inlineStr"/>
    </row>
    <row r="830" ht="15" customHeight="1">
      <c r="A830" t="inlineStr">
        <is>
          <t>A 33750-2023</t>
        </is>
      </c>
      <c r="B830" s="1" t="n">
        <v>45120</v>
      </c>
      <c r="C830" s="1" t="n">
        <v>46050</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61647-2025</t>
        </is>
      </c>
      <c r="B831" s="1" t="n">
        <v>46002.4403587963</v>
      </c>
      <c r="C831" s="1" t="n">
        <v>46050</v>
      </c>
      <c r="D831" t="inlineStr">
        <is>
          <t>JÄMTLANDS LÄN</t>
        </is>
      </c>
      <c r="E831" t="inlineStr">
        <is>
          <t>BERG</t>
        </is>
      </c>
      <c r="G831" t="n">
        <v>3.2</v>
      </c>
      <c r="H831" t="n">
        <v>0</v>
      </c>
      <c r="I831" t="n">
        <v>0</v>
      </c>
      <c r="J831" t="n">
        <v>0</v>
      </c>
      <c r="K831" t="n">
        <v>0</v>
      </c>
      <c r="L831" t="n">
        <v>0</v>
      </c>
      <c r="M831" t="n">
        <v>0</v>
      </c>
      <c r="N831" t="n">
        <v>0</v>
      </c>
      <c r="O831" t="n">
        <v>0</v>
      </c>
      <c r="P831" t="n">
        <v>0</v>
      </c>
      <c r="Q831" t="n">
        <v>0</v>
      </c>
      <c r="R831" s="2" t="inlineStr"/>
    </row>
    <row r="832" ht="15" customHeight="1">
      <c r="A832" t="inlineStr">
        <is>
          <t>A 61987-2025</t>
        </is>
      </c>
      <c r="B832" s="1" t="n">
        <v>46003.62914351852</v>
      </c>
      <c r="C832" s="1" t="n">
        <v>46050</v>
      </c>
      <c r="D832" t="inlineStr">
        <is>
          <t>JÄMTLANDS LÄN</t>
        </is>
      </c>
      <c r="E832" t="inlineStr">
        <is>
          <t>BERG</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8722-2024</t>
        </is>
      </c>
      <c r="B833" s="1" t="n">
        <v>45355</v>
      </c>
      <c r="C833" s="1" t="n">
        <v>46050</v>
      </c>
      <c r="D833" t="inlineStr">
        <is>
          <t>JÄMTLANDS LÄN</t>
        </is>
      </c>
      <c r="E833" t="inlineStr">
        <is>
          <t>BERG</t>
        </is>
      </c>
      <c r="G833" t="n">
        <v>2.4</v>
      </c>
      <c r="H833" t="n">
        <v>0</v>
      </c>
      <c r="I833" t="n">
        <v>0</v>
      </c>
      <c r="J833" t="n">
        <v>0</v>
      </c>
      <c r="K833" t="n">
        <v>0</v>
      </c>
      <c r="L833" t="n">
        <v>0</v>
      </c>
      <c r="M833" t="n">
        <v>0</v>
      </c>
      <c r="N833" t="n">
        <v>0</v>
      </c>
      <c r="O833" t="n">
        <v>0</v>
      </c>
      <c r="P833" t="n">
        <v>0</v>
      </c>
      <c r="Q833" t="n">
        <v>0</v>
      </c>
      <c r="R833" s="2" t="inlineStr"/>
    </row>
    <row r="834" ht="15" customHeight="1">
      <c r="A834" t="inlineStr">
        <is>
          <t>A 8726-2024</t>
        </is>
      </c>
      <c r="B834" s="1" t="n">
        <v>45355</v>
      </c>
      <c r="C834" s="1" t="n">
        <v>46050</v>
      </c>
      <c r="D834" t="inlineStr">
        <is>
          <t>JÄMTLANDS LÄN</t>
        </is>
      </c>
      <c r="E834" t="inlineStr">
        <is>
          <t>BERG</t>
        </is>
      </c>
      <c r="G834" t="n">
        <v>1.3</v>
      </c>
      <c r="H834" t="n">
        <v>0</v>
      </c>
      <c r="I834" t="n">
        <v>0</v>
      </c>
      <c r="J834" t="n">
        <v>0</v>
      </c>
      <c r="K834" t="n">
        <v>0</v>
      </c>
      <c r="L834" t="n">
        <v>0</v>
      </c>
      <c r="M834" t="n">
        <v>0</v>
      </c>
      <c r="N834" t="n">
        <v>0</v>
      </c>
      <c r="O834" t="n">
        <v>0</v>
      </c>
      <c r="P834" t="n">
        <v>0</v>
      </c>
      <c r="Q834" t="n">
        <v>0</v>
      </c>
      <c r="R834" s="2" t="inlineStr"/>
    </row>
    <row r="835" ht="15" customHeight="1">
      <c r="A835" t="inlineStr">
        <is>
          <t>A 61977-2025</t>
        </is>
      </c>
      <c r="B835" s="1" t="n">
        <v>46003.61158564815</v>
      </c>
      <c r="C835" s="1" t="n">
        <v>46050</v>
      </c>
      <c r="D835" t="inlineStr">
        <is>
          <t>JÄMTLANDS LÄN</t>
        </is>
      </c>
      <c r="E835" t="inlineStr">
        <is>
          <t>BERG</t>
        </is>
      </c>
      <c r="G835" t="n">
        <v>2.7</v>
      </c>
      <c r="H835" t="n">
        <v>0</v>
      </c>
      <c r="I835" t="n">
        <v>0</v>
      </c>
      <c r="J835" t="n">
        <v>0</v>
      </c>
      <c r="K835" t="n">
        <v>0</v>
      </c>
      <c r="L835" t="n">
        <v>0</v>
      </c>
      <c r="M835" t="n">
        <v>0</v>
      </c>
      <c r="N835" t="n">
        <v>0</v>
      </c>
      <c r="O835" t="n">
        <v>0</v>
      </c>
      <c r="P835" t="n">
        <v>0</v>
      </c>
      <c r="Q835" t="n">
        <v>0</v>
      </c>
      <c r="R835" s="2" t="inlineStr"/>
    </row>
    <row r="836" ht="15" customHeight="1">
      <c r="A836" t="inlineStr">
        <is>
          <t>A 61991-2025</t>
        </is>
      </c>
      <c r="B836" s="1" t="n">
        <v>46003.62962962963</v>
      </c>
      <c r="C836" s="1" t="n">
        <v>46050</v>
      </c>
      <c r="D836" t="inlineStr">
        <is>
          <t>JÄMTLANDS LÄN</t>
        </is>
      </c>
      <c r="E836" t="inlineStr">
        <is>
          <t>BERG</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8733-2024</t>
        </is>
      </c>
      <c r="B837" s="1" t="n">
        <v>45355</v>
      </c>
      <c r="C837" s="1" t="n">
        <v>46050</v>
      </c>
      <c r="D837" t="inlineStr">
        <is>
          <t>JÄMTLANDS LÄN</t>
        </is>
      </c>
      <c r="E837" t="inlineStr">
        <is>
          <t>BERG</t>
        </is>
      </c>
      <c r="G837" t="n">
        <v>1.9</v>
      </c>
      <c r="H837" t="n">
        <v>0</v>
      </c>
      <c r="I837" t="n">
        <v>0</v>
      </c>
      <c r="J837" t="n">
        <v>0</v>
      </c>
      <c r="K837" t="n">
        <v>0</v>
      </c>
      <c r="L837" t="n">
        <v>0</v>
      </c>
      <c r="M837" t="n">
        <v>0</v>
      </c>
      <c r="N837" t="n">
        <v>0</v>
      </c>
      <c r="O837" t="n">
        <v>0</v>
      </c>
      <c r="P837" t="n">
        <v>0</v>
      </c>
      <c r="Q837" t="n">
        <v>0</v>
      </c>
      <c r="R837" s="2" t="inlineStr"/>
    </row>
    <row r="838" ht="15" customHeight="1">
      <c r="A838" t="inlineStr">
        <is>
          <t>A 4383-2026</t>
        </is>
      </c>
      <c r="B838" s="1" t="n">
        <v>46045.56296296296</v>
      </c>
      <c r="C838" s="1" t="n">
        <v>46050</v>
      </c>
      <c r="D838" t="inlineStr">
        <is>
          <t>JÄMTLANDS LÄN</t>
        </is>
      </c>
      <c r="E838" t="inlineStr">
        <is>
          <t>BERG</t>
        </is>
      </c>
      <c r="G838" t="n">
        <v>0.9</v>
      </c>
      <c r="H838" t="n">
        <v>0</v>
      </c>
      <c r="I838" t="n">
        <v>0</v>
      </c>
      <c r="J838" t="n">
        <v>0</v>
      </c>
      <c r="K838" t="n">
        <v>0</v>
      </c>
      <c r="L838" t="n">
        <v>0</v>
      </c>
      <c r="M838" t="n">
        <v>0</v>
      </c>
      <c r="N838" t="n">
        <v>0</v>
      </c>
      <c r="O838" t="n">
        <v>0</v>
      </c>
      <c r="P838" t="n">
        <v>0</v>
      </c>
      <c r="Q838" t="n">
        <v>0</v>
      </c>
      <c r="R838" s="2" t="inlineStr"/>
    </row>
    <row r="839" ht="15" customHeight="1">
      <c r="A839" t="inlineStr">
        <is>
          <t>A 62158-2025</t>
        </is>
      </c>
      <c r="B839" s="1" t="n">
        <v>46006.490625</v>
      </c>
      <c r="C839" s="1" t="n">
        <v>46050</v>
      </c>
      <c r="D839" t="inlineStr">
        <is>
          <t>JÄMTLANDS LÄN</t>
        </is>
      </c>
      <c r="E839" t="inlineStr">
        <is>
          <t>BERG</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30992-2024</t>
        </is>
      </c>
      <c r="B840" s="1" t="n">
        <v>45499</v>
      </c>
      <c r="C840" s="1" t="n">
        <v>46050</v>
      </c>
      <c r="D840" t="inlineStr">
        <is>
          <t>JÄMTLANDS LÄN</t>
        </is>
      </c>
      <c r="E840" t="inlineStr">
        <is>
          <t>BERG</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4833-2026</t>
        </is>
      </c>
      <c r="B841" s="1" t="n">
        <v>46048.60271990741</v>
      </c>
      <c r="C841" s="1" t="n">
        <v>46050</v>
      </c>
      <c r="D841" t="inlineStr">
        <is>
          <t>JÄMTLANDS LÄN</t>
        </is>
      </c>
      <c r="E841" t="inlineStr">
        <is>
          <t>BERG</t>
        </is>
      </c>
      <c r="G841" t="n">
        <v>0.8</v>
      </c>
      <c r="H841" t="n">
        <v>0</v>
      </c>
      <c r="I841" t="n">
        <v>0</v>
      </c>
      <c r="J841" t="n">
        <v>0</v>
      </c>
      <c r="K841" t="n">
        <v>0</v>
      </c>
      <c r="L841" t="n">
        <v>0</v>
      </c>
      <c r="M841" t="n">
        <v>0</v>
      </c>
      <c r="N841" t="n">
        <v>0</v>
      </c>
      <c r="O841" t="n">
        <v>0</v>
      </c>
      <c r="P841" t="n">
        <v>0</v>
      </c>
      <c r="Q841" t="n">
        <v>0</v>
      </c>
      <c r="R841" s="2" t="inlineStr"/>
    </row>
    <row r="842" ht="15" customHeight="1">
      <c r="A842" t="inlineStr">
        <is>
          <t>A 49048-2024</t>
        </is>
      </c>
      <c r="B842" s="1" t="n">
        <v>45594.57427083333</v>
      </c>
      <c r="C842" s="1" t="n">
        <v>46050</v>
      </c>
      <c r="D842" t="inlineStr">
        <is>
          <t>JÄMTLANDS LÄN</t>
        </is>
      </c>
      <c r="E842" t="inlineStr">
        <is>
          <t>BERG</t>
        </is>
      </c>
      <c r="G842" t="n">
        <v>1.3</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46050</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53427-2025</t>
        </is>
      </c>
      <c r="B844" s="1" t="n">
        <v>45959</v>
      </c>
      <c r="C844" s="1" t="n">
        <v>46050</v>
      </c>
      <c r="D844" t="inlineStr">
        <is>
          <t>JÄMTLANDS LÄN</t>
        </is>
      </c>
      <c r="E844" t="inlineStr">
        <is>
          <t>BERG</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62052-2025</t>
        </is>
      </c>
      <c r="B845" s="1" t="n">
        <v>46006.32145833333</v>
      </c>
      <c r="C845" s="1" t="n">
        <v>46050</v>
      </c>
      <c r="D845" t="inlineStr">
        <is>
          <t>JÄMTLANDS LÄN</t>
        </is>
      </c>
      <c r="E845" t="inlineStr">
        <is>
          <t>BERG</t>
        </is>
      </c>
      <c r="G845" t="n">
        <v>11</v>
      </c>
      <c r="H845" t="n">
        <v>0</v>
      </c>
      <c r="I845" t="n">
        <v>0</v>
      </c>
      <c r="J845" t="n">
        <v>0</v>
      </c>
      <c r="K845" t="n">
        <v>0</v>
      </c>
      <c r="L845" t="n">
        <v>0</v>
      </c>
      <c r="M845" t="n">
        <v>0</v>
      </c>
      <c r="N845" t="n">
        <v>0</v>
      </c>
      <c r="O845" t="n">
        <v>0</v>
      </c>
      <c r="P845" t="n">
        <v>0</v>
      </c>
      <c r="Q845" t="n">
        <v>0</v>
      </c>
      <c r="R845" s="2" t="inlineStr"/>
    </row>
    <row r="846" ht="15" customHeight="1">
      <c r="A846" t="inlineStr">
        <is>
          <t>A 4527-2025</t>
        </is>
      </c>
      <c r="B846" s="1" t="n">
        <v>45686</v>
      </c>
      <c r="C846" s="1" t="n">
        <v>46050</v>
      </c>
      <c r="D846" t="inlineStr">
        <is>
          <t>JÄMTLANDS LÄN</t>
        </is>
      </c>
      <c r="E846" t="inlineStr">
        <is>
          <t>BERG</t>
        </is>
      </c>
      <c r="G846" t="n">
        <v>17.8</v>
      </c>
      <c r="H846" t="n">
        <v>0</v>
      </c>
      <c r="I846" t="n">
        <v>0</v>
      </c>
      <c r="J846" t="n">
        <v>0</v>
      </c>
      <c r="K846" t="n">
        <v>0</v>
      </c>
      <c r="L846" t="n">
        <v>0</v>
      </c>
      <c r="M846" t="n">
        <v>0</v>
      </c>
      <c r="N846" t="n">
        <v>0</v>
      </c>
      <c r="O846" t="n">
        <v>0</v>
      </c>
      <c r="P846" t="n">
        <v>0</v>
      </c>
      <c r="Q846" t="n">
        <v>0</v>
      </c>
      <c r="R846" s="2" t="inlineStr"/>
    </row>
    <row r="847" ht="15" customHeight="1">
      <c r="A847" t="inlineStr">
        <is>
          <t>A 461-2023</t>
        </is>
      </c>
      <c r="B847" s="1" t="n">
        <v>44929</v>
      </c>
      <c r="C847" s="1" t="n">
        <v>46050</v>
      </c>
      <c r="D847" t="inlineStr">
        <is>
          <t>JÄMTLANDS LÄN</t>
        </is>
      </c>
      <c r="E847" t="inlineStr">
        <is>
          <t>BERG</t>
        </is>
      </c>
      <c r="G847" t="n">
        <v>5.8</v>
      </c>
      <c r="H847" t="n">
        <v>0</v>
      </c>
      <c r="I847" t="n">
        <v>0</v>
      </c>
      <c r="J847" t="n">
        <v>0</v>
      </c>
      <c r="K847" t="n">
        <v>0</v>
      </c>
      <c r="L847" t="n">
        <v>0</v>
      </c>
      <c r="M847" t="n">
        <v>0</v>
      </c>
      <c r="N847" t="n">
        <v>0</v>
      </c>
      <c r="O847" t="n">
        <v>0</v>
      </c>
      <c r="P847" t="n">
        <v>0</v>
      </c>
      <c r="Q847" t="n">
        <v>0</v>
      </c>
      <c r="R847" s="2" t="inlineStr"/>
    </row>
    <row r="848" ht="15" customHeight="1">
      <c r="A848" t="inlineStr">
        <is>
          <t>A 39809-2025</t>
        </is>
      </c>
      <c r="B848" s="1" t="n">
        <v>45891</v>
      </c>
      <c r="C848" s="1" t="n">
        <v>46050</v>
      </c>
      <c r="D848" t="inlineStr">
        <is>
          <t>JÄMTLANDS LÄN</t>
        </is>
      </c>
      <c r="E848" t="inlineStr">
        <is>
          <t>BERG</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5089-2026</t>
        </is>
      </c>
      <c r="B849" s="1" t="n">
        <v>46049.55258101852</v>
      </c>
      <c r="C849" s="1" t="n">
        <v>46050</v>
      </c>
      <c r="D849" t="inlineStr">
        <is>
          <t>JÄMTLANDS LÄN</t>
        </is>
      </c>
      <c r="E849" t="inlineStr">
        <is>
          <t>BERG</t>
        </is>
      </c>
      <c r="F849" t="inlineStr">
        <is>
          <t>SCA</t>
        </is>
      </c>
      <c r="G849" t="n">
        <v>4.5</v>
      </c>
      <c r="H849" t="n">
        <v>0</v>
      </c>
      <c r="I849" t="n">
        <v>0</v>
      </c>
      <c r="J849" t="n">
        <v>0</v>
      </c>
      <c r="K849" t="n">
        <v>0</v>
      </c>
      <c r="L849" t="n">
        <v>0</v>
      </c>
      <c r="M849" t="n">
        <v>0</v>
      </c>
      <c r="N849" t="n">
        <v>0</v>
      </c>
      <c r="O849" t="n">
        <v>0</v>
      </c>
      <c r="P849" t="n">
        <v>0</v>
      </c>
      <c r="Q849" t="n">
        <v>0</v>
      </c>
      <c r="R849" s="2" t="inlineStr"/>
    </row>
    <row r="850" ht="15" customHeight="1">
      <c r="A850" t="inlineStr">
        <is>
          <t>A 525-2023</t>
        </is>
      </c>
      <c r="B850" s="1" t="n">
        <v>44924</v>
      </c>
      <c r="C850" s="1" t="n">
        <v>46050</v>
      </c>
      <c r="D850" t="inlineStr">
        <is>
          <t>JÄMTLANDS LÄN</t>
        </is>
      </c>
      <c r="E850" t="inlineStr">
        <is>
          <t>BERG</t>
        </is>
      </c>
      <c r="G850" t="n">
        <v>4</v>
      </c>
      <c r="H850" t="n">
        <v>0</v>
      </c>
      <c r="I850" t="n">
        <v>0</v>
      </c>
      <c r="J850" t="n">
        <v>0</v>
      </c>
      <c r="K850" t="n">
        <v>0</v>
      </c>
      <c r="L850" t="n">
        <v>0</v>
      </c>
      <c r="M850" t="n">
        <v>0</v>
      </c>
      <c r="N850" t="n">
        <v>0</v>
      </c>
      <c r="O850" t="n">
        <v>0</v>
      </c>
      <c r="P850" t="n">
        <v>0</v>
      </c>
      <c r="Q850" t="n">
        <v>0</v>
      </c>
      <c r="R850" s="2" t="inlineStr"/>
    </row>
    <row r="851" ht="15" customHeight="1">
      <c r="A851" t="inlineStr">
        <is>
          <t>A 26918-2024</t>
        </is>
      </c>
      <c r="B851" s="1" t="n">
        <v>45470</v>
      </c>
      <c r="C851" s="1" t="n">
        <v>46050</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27579-2024</t>
        </is>
      </c>
      <c r="B852" s="1" t="n">
        <v>45474.65244212963</v>
      </c>
      <c r="C852" s="1" t="n">
        <v>46050</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54992-2023</t>
        </is>
      </c>
      <c r="B853" s="1" t="n">
        <v>45236.96789351852</v>
      </c>
      <c r="C853" s="1" t="n">
        <v>46050</v>
      </c>
      <c r="D853" t="inlineStr">
        <is>
          <t>JÄMTLANDS LÄN</t>
        </is>
      </c>
      <c r="E853" t="inlineStr">
        <is>
          <t>BERG</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54994-2023</t>
        </is>
      </c>
      <c r="B854" s="1" t="n">
        <v>45236</v>
      </c>
      <c r="C854" s="1" t="n">
        <v>46050</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57226-2022</t>
        </is>
      </c>
      <c r="B855" s="1" t="n">
        <v>44895.66629629629</v>
      </c>
      <c r="C855" s="1" t="n">
        <v>46050</v>
      </c>
      <c r="D855" t="inlineStr">
        <is>
          <t>JÄMTLANDS LÄN</t>
        </is>
      </c>
      <c r="E855" t="inlineStr">
        <is>
          <t>BERG</t>
        </is>
      </c>
      <c r="G855" t="n">
        <v>4.6</v>
      </c>
      <c r="H855" t="n">
        <v>0</v>
      </c>
      <c r="I855" t="n">
        <v>0</v>
      </c>
      <c r="J855" t="n">
        <v>0</v>
      </c>
      <c r="K855" t="n">
        <v>0</v>
      </c>
      <c r="L855" t="n">
        <v>0</v>
      </c>
      <c r="M855" t="n">
        <v>0</v>
      </c>
      <c r="N855" t="n">
        <v>0</v>
      </c>
      <c r="O855" t="n">
        <v>0</v>
      </c>
      <c r="P855" t="n">
        <v>0</v>
      </c>
      <c r="Q855" t="n">
        <v>0</v>
      </c>
      <c r="R855" s="2" t="inlineStr"/>
    </row>
    <row r="856" ht="15" customHeight="1">
      <c r="A856" t="inlineStr">
        <is>
          <t>A 5911-2024</t>
        </is>
      </c>
      <c r="B856" s="1" t="n">
        <v>45335</v>
      </c>
      <c r="C856" s="1" t="n">
        <v>46050</v>
      </c>
      <c r="D856" t="inlineStr">
        <is>
          <t>JÄMTLANDS LÄN</t>
        </is>
      </c>
      <c r="E856" t="inlineStr">
        <is>
          <t>BERG</t>
        </is>
      </c>
      <c r="F856" t="inlineStr">
        <is>
          <t>SCA</t>
        </is>
      </c>
      <c r="G856" t="n">
        <v>28.6</v>
      </c>
      <c r="H856" t="n">
        <v>0</v>
      </c>
      <c r="I856" t="n">
        <v>0</v>
      </c>
      <c r="J856" t="n">
        <v>0</v>
      </c>
      <c r="K856" t="n">
        <v>0</v>
      </c>
      <c r="L856" t="n">
        <v>0</v>
      </c>
      <c r="M856" t="n">
        <v>0</v>
      </c>
      <c r="N856" t="n">
        <v>0</v>
      </c>
      <c r="O856" t="n">
        <v>0</v>
      </c>
      <c r="P856" t="n">
        <v>0</v>
      </c>
      <c r="Q856" t="n">
        <v>0</v>
      </c>
      <c r="R856" s="2" t="inlineStr"/>
    </row>
    <row r="857" ht="15" customHeight="1">
      <c r="A857" t="inlineStr">
        <is>
          <t>A 25306-2023</t>
        </is>
      </c>
      <c r="B857" s="1" t="n">
        <v>45086</v>
      </c>
      <c r="C857" s="1" t="n">
        <v>46050</v>
      </c>
      <c r="D857" t="inlineStr">
        <is>
          <t>JÄMTLANDS LÄN</t>
        </is>
      </c>
      <c r="E857" t="inlineStr">
        <is>
          <t>BERG</t>
        </is>
      </c>
      <c r="G857" t="n">
        <v>23.3</v>
      </c>
      <c r="H857" t="n">
        <v>0</v>
      </c>
      <c r="I857" t="n">
        <v>0</v>
      </c>
      <c r="J857" t="n">
        <v>0</v>
      </c>
      <c r="K857" t="n">
        <v>0</v>
      </c>
      <c r="L857" t="n">
        <v>0</v>
      </c>
      <c r="M857" t="n">
        <v>0</v>
      </c>
      <c r="N857" t="n">
        <v>0</v>
      </c>
      <c r="O857" t="n">
        <v>0</v>
      </c>
      <c r="P857" t="n">
        <v>0</v>
      </c>
      <c r="Q857" t="n">
        <v>0</v>
      </c>
      <c r="R857" s="2" t="inlineStr"/>
    </row>
    <row r="858" ht="15" customHeight="1">
      <c r="A858" t="inlineStr">
        <is>
          <t>A 13373-2024</t>
        </is>
      </c>
      <c r="B858" s="1" t="n">
        <v>45387.37010416666</v>
      </c>
      <c r="C858" s="1" t="n">
        <v>46050</v>
      </c>
      <c r="D858" t="inlineStr">
        <is>
          <t>JÄMTLANDS LÄN</t>
        </is>
      </c>
      <c r="E858" t="inlineStr">
        <is>
          <t>BERG</t>
        </is>
      </c>
      <c r="G858" t="n">
        <v>3.8</v>
      </c>
      <c r="H858" t="n">
        <v>0</v>
      </c>
      <c r="I858" t="n">
        <v>0</v>
      </c>
      <c r="J858" t="n">
        <v>0</v>
      </c>
      <c r="K858" t="n">
        <v>0</v>
      </c>
      <c r="L858" t="n">
        <v>0</v>
      </c>
      <c r="M858" t="n">
        <v>0</v>
      </c>
      <c r="N858" t="n">
        <v>0</v>
      </c>
      <c r="O858" t="n">
        <v>0</v>
      </c>
      <c r="P858" t="n">
        <v>0</v>
      </c>
      <c r="Q858" t="n">
        <v>0</v>
      </c>
      <c r="R858" s="2" t="inlineStr"/>
    </row>
    <row r="859" ht="15" customHeight="1">
      <c r="A859" t="inlineStr">
        <is>
          <t>A 52774-2023</t>
        </is>
      </c>
      <c r="B859" s="1" t="n">
        <v>45219</v>
      </c>
      <c r="C859" s="1" t="n">
        <v>46050</v>
      </c>
      <c r="D859" t="inlineStr">
        <is>
          <t>JÄMTLANDS LÄN</t>
        </is>
      </c>
      <c r="E859" t="inlineStr">
        <is>
          <t>BERG</t>
        </is>
      </c>
      <c r="G859" t="n">
        <v>1.1</v>
      </c>
      <c r="H859" t="n">
        <v>0</v>
      </c>
      <c r="I859" t="n">
        <v>0</v>
      </c>
      <c r="J859" t="n">
        <v>0</v>
      </c>
      <c r="K859" t="n">
        <v>0</v>
      </c>
      <c r="L859" t="n">
        <v>0</v>
      </c>
      <c r="M859" t="n">
        <v>0</v>
      </c>
      <c r="N859" t="n">
        <v>0</v>
      </c>
      <c r="O859" t="n">
        <v>0</v>
      </c>
      <c r="P859" t="n">
        <v>0</v>
      </c>
      <c r="Q859" t="n">
        <v>0</v>
      </c>
      <c r="R859" s="2" t="inlineStr"/>
    </row>
    <row r="860" ht="15" customHeight="1">
      <c r="A860" t="inlineStr">
        <is>
          <t>A 24011-2023</t>
        </is>
      </c>
      <c r="B860" s="1" t="n">
        <v>45078</v>
      </c>
      <c r="C860" s="1" t="n">
        <v>46050</v>
      </c>
      <c r="D860" t="inlineStr">
        <is>
          <t>JÄMTLANDS LÄN</t>
        </is>
      </c>
      <c r="E860" t="inlineStr">
        <is>
          <t>BERG</t>
        </is>
      </c>
      <c r="G860" t="n">
        <v>1.4</v>
      </c>
      <c r="H860" t="n">
        <v>0</v>
      </c>
      <c r="I860" t="n">
        <v>0</v>
      </c>
      <c r="J860" t="n">
        <v>0</v>
      </c>
      <c r="K860" t="n">
        <v>0</v>
      </c>
      <c r="L860" t="n">
        <v>0</v>
      </c>
      <c r="M860" t="n">
        <v>0</v>
      </c>
      <c r="N860" t="n">
        <v>0</v>
      </c>
      <c r="O860" t="n">
        <v>0</v>
      </c>
      <c r="P860" t="n">
        <v>0</v>
      </c>
      <c r="Q860" t="n">
        <v>0</v>
      </c>
      <c r="R860" s="2" t="inlineStr"/>
    </row>
    <row r="861" ht="15" customHeight="1">
      <c r="A861" t="inlineStr">
        <is>
          <t>A 11704-2023</t>
        </is>
      </c>
      <c r="B861" s="1" t="n">
        <v>44994.54274305556</v>
      </c>
      <c r="C861" s="1" t="n">
        <v>46050</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59459-2024</t>
        </is>
      </c>
      <c r="B862" s="1" t="n">
        <v>45638</v>
      </c>
      <c r="C862" s="1" t="n">
        <v>46050</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14153-2023</t>
        </is>
      </c>
      <c r="B863" s="1" t="n">
        <v>45008</v>
      </c>
      <c r="C863" s="1" t="n">
        <v>46050</v>
      </c>
      <c r="D863" t="inlineStr">
        <is>
          <t>JÄMTLANDS LÄN</t>
        </is>
      </c>
      <c r="E863" t="inlineStr">
        <is>
          <t>BERG</t>
        </is>
      </c>
      <c r="G863" t="n">
        <v>1.1</v>
      </c>
      <c r="H863" t="n">
        <v>0</v>
      </c>
      <c r="I863" t="n">
        <v>0</v>
      </c>
      <c r="J863" t="n">
        <v>0</v>
      </c>
      <c r="K863" t="n">
        <v>0</v>
      </c>
      <c r="L863" t="n">
        <v>0</v>
      </c>
      <c r="M863" t="n">
        <v>0</v>
      </c>
      <c r="N863" t="n">
        <v>0</v>
      </c>
      <c r="O863" t="n">
        <v>0</v>
      </c>
      <c r="P863" t="n">
        <v>0</v>
      </c>
      <c r="Q863" t="n">
        <v>0</v>
      </c>
      <c r="R863" s="2" t="inlineStr"/>
    </row>
    <row r="864" ht="15" customHeight="1">
      <c r="A864" t="inlineStr">
        <is>
          <t>A 20899-2023</t>
        </is>
      </c>
      <c r="B864" s="1" t="n">
        <v>45060</v>
      </c>
      <c r="C864" s="1" t="n">
        <v>46050</v>
      </c>
      <c r="D864" t="inlineStr">
        <is>
          <t>JÄMTLANDS LÄN</t>
        </is>
      </c>
      <c r="E864" t="inlineStr">
        <is>
          <t>BERG</t>
        </is>
      </c>
      <c r="G864" t="n">
        <v>1.9</v>
      </c>
      <c r="H864" t="n">
        <v>0</v>
      </c>
      <c r="I864" t="n">
        <v>0</v>
      </c>
      <c r="J864" t="n">
        <v>0</v>
      </c>
      <c r="K864" t="n">
        <v>0</v>
      </c>
      <c r="L864" t="n">
        <v>0</v>
      </c>
      <c r="M864" t="n">
        <v>0</v>
      </c>
      <c r="N864" t="n">
        <v>0</v>
      </c>
      <c r="O864" t="n">
        <v>0</v>
      </c>
      <c r="P864" t="n">
        <v>0</v>
      </c>
      <c r="Q864" t="n">
        <v>0</v>
      </c>
      <c r="R864" s="2" t="inlineStr"/>
    </row>
    <row r="865" ht="15" customHeight="1">
      <c r="A865" t="inlineStr">
        <is>
          <t>A 41106-2023</t>
        </is>
      </c>
      <c r="B865" s="1" t="n">
        <v>45170</v>
      </c>
      <c r="C865" s="1" t="n">
        <v>46050</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7744-2024</t>
        </is>
      </c>
      <c r="B866" s="1" t="n">
        <v>45349</v>
      </c>
      <c r="C866" s="1" t="n">
        <v>46050</v>
      </c>
      <c r="D866" t="inlineStr">
        <is>
          <t>JÄMTLANDS LÄN</t>
        </is>
      </c>
      <c r="E866" t="inlineStr">
        <is>
          <t>BERG</t>
        </is>
      </c>
      <c r="G866" t="n">
        <v>1.7</v>
      </c>
      <c r="H866" t="n">
        <v>0</v>
      </c>
      <c r="I866" t="n">
        <v>0</v>
      </c>
      <c r="J866" t="n">
        <v>0</v>
      </c>
      <c r="K866" t="n">
        <v>0</v>
      </c>
      <c r="L866" t="n">
        <v>0</v>
      </c>
      <c r="M866" t="n">
        <v>0</v>
      </c>
      <c r="N866" t="n">
        <v>0</v>
      </c>
      <c r="O866" t="n">
        <v>0</v>
      </c>
      <c r="P866" t="n">
        <v>0</v>
      </c>
      <c r="Q866" t="n">
        <v>0</v>
      </c>
      <c r="R866" s="2" t="inlineStr"/>
    </row>
    <row r="867" ht="15" customHeight="1">
      <c r="A867" t="inlineStr">
        <is>
          <t>A 511-2025</t>
        </is>
      </c>
      <c r="B867" s="1" t="n">
        <v>45664.47284722222</v>
      </c>
      <c r="C867" s="1" t="n">
        <v>46050</v>
      </c>
      <c r="D867" t="inlineStr">
        <is>
          <t>JÄMTLANDS LÄN</t>
        </is>
      </c>
      <c r="E867" t="inlineStr">
        <is>
          <t>BERG</t>
        </is>
      </c>
      <c r="G867" t="n">
        <v>4.5</v>
      </c>
      <c r="H867" t="n">
        <v>0</v>
      </c>
      <c r="I867" t="n">
        <v>0</v>
      </c>
      <c r="J867" t="n">
        <v>0</v>
      </c>
      <c r="K867" t="n">
        <v>0</v>
      </c>
      <c r="L867" t="n">
        <v>0</v>
      </c>
      <c r="M867" t="n">
        <v>0</v>
      </c>
      <c r="N867" t="n">
        <v>0</v>
      </c>
      <c r="O867" t="n">
        <v>0</v>
      </c>
      <c r="P867" t="n">
        <v>0</v>
      </c>
      <c r="Q867" t="n">
        <v>0</v>
      </c>
      <c r="R867" s="2" t="inlineStr"/>
    </row>
    <row r="868" ht="15" customHeight="1">
      <c r="A868" t="inlineStr">
        <is>
          <t>A 40415-2023</t>
        </is>
      </c>
      <c r="B868" s="1" t="n">
        <v>45169.93925925926</v>
      </c>
      <c r="C868" s="1" t="n">
        <v>46050</v>
      </c>
      <c r="D868" t="inlineStr">
        <is>
          <t>JÄMTLANDS LÄN</t>
        </is>
      </c>
      <c r="E868" t="inlineStr">
        <is>
          <t>BERG</t>
        </is>
      </c>
      <c r="F868" t="inlineStr">
        <is>
          <t>SCA</t>
        </is>
      </c>
      <c r="G868" t="n">
        <v>10.2</v>
      </c>
      <c r="H868" t="n">
        <v>0</v>
      </c>
      <c r="I868" t="n">
        <v>0</v>
      </c>
      <c r="J868" t="n">
        <v>0</v>
      </c>
      <c r="K868" t="n">
        <v>0</v>
      </c>
      <c r="L868" t="n">
        <v>0</v>
      </c>
      <c r="M868" t="n">
        <v>0</v>
      </c>
      <c r="N868" t="n">
        <v>0</v>
      </c>
      <c r="O868" t="n">
        <v>0</v>
      </c>
      <c r="P868" t="n">
        <v>0</v>
      </c>
      <c r="Q868" t="n">
        <v>0</v>
      </c>
      <c r="R868" s="2" t="inlineStr"/>
    </row>
    <row r="869" ht="15" customHeight="1">
      <c r="A869" t="inlineStr">
        <is>
          <t>A 12611-2025</t>
        </is>
      </c>
      <c r="B869" s="1" t="n">
        <v>45733.33921296296</v>
      </c>
      <c r="C869" s="1" t="n">
        <v>46050</v>
      </c>
      <c r="D869" t="inlineStr">
        <is>
          <t>JÄMTLANDS LÄN</t>
        </is>
      </c>
      <c r="E869" t="inlineStr">
        <is>
          <t>BERG</t>
        </is>
      </c>
      <c r="G869" t="n">
        <v>7.7</v>
      </c>
      <c r="H869" t="n">
        <v>0</v>
      </c>
      <c r="I869" t="n">
        <v>0</v>
      </c>
      <c r="J869" t="n">
        <v>0</v>
      </c>
      <c r="K869" t="n">
        <v>0</v>
      </c>
      <c r="L869" t="n">
        <v>0</v>
      </c>
      <c r="M869" t="n">
        <v>0</v>
      </c>
      <c r="N869" t="n">
        <v>0</v>
      </c>
      <c r="O869" t="n">
        <v>0</v>
      </c>
      <c r="P869" t="n">
        <v>0</v>
      </c>
      <c r="Q869" t="n">
        <v>0</v>
      </c>
      <c r="R869" s="2" t="inlineStr"/>
    </row>
    <row r="870" ht="15" customHeight="1">
      <c r="A870" t="inlineStr">
        <is>
          <t>A 2247-2025</t>
        </is>
      </c>
      <c r="B870" s="1" t="n">
        <v>45673.49039351852</v>
      </c>
      <c r="C870" s="1" t="n">
        <v>46050</v>
      </c>
      <c r="D870" t="inlineStr">
        <is>
          <t>JÄMTLANDS LÄN</t>
        </is>
      </c>
      <c r="E870" t="inlineStr">
        <is>
          <t>BERG</t>
        </is>
      </c>
      <c r="F870" t="inlineStr">
        <is>
          <t>SCA</t>
        </is>
      </c>
      <c r="G870" t="n">
        <v>13.3</v>
      </c>
      <c r="H870" t="n">
        <v>0</v>
      </c>
      <c r="I870" t="n">
        <v>0</v>
      </c>
      <c r="J870" t="n">
        <v>0</v>
      </c>
      <c r="K870" t="n">
        <v>0</v>
      </c>
      <c r="L870" t="n">
        <v>0</v>
      </c>
      <c r="M870" t="n">
        <v>0</v>
      </c>
      <c r="N870" t="n">
        <v>0</v>
      </c>
      <c r="O870" t="n">
        <v>0</v>
      </c>
      <c r="P870" t="n">
        <v>0</v>
      </c>
      <c r="Q870" t="n">
        <v>0</v>
      </c>
      <c r="R870" s="2" t="inlineStr"/>
    </row>
    <row r="871" ht="15" customHeight="1">
      <c r="A871" t="inlineStr">
        <is>
          <t>A 1983-2022</t>
        </is>
      </c>
      <c r="B871" s="1" t="n">
        <v>44575</v>
      </c>
      <c r="C871" s="1" t="n">
        <v>46050</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13936-2024</t>
        </is>
      </c>
      <c r="B872" s="1" t="n">
        <v>45391.9533912037</v>
      </c>
      <c r="C872" s="1" t="n">
        <v>46050</v>
      </c>
      <c r="D872" t="inlineStr">
        <is>
          <t>JÄMTLANDS LÄN</t>
        </is>
      </c>
      <c r="E872" t="inlineStr">
        <is>
          <t>BERG</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37098-2024</t>
        </is>
      </c>
      <c r="B873" s="1" t="n">
        <v>45539.50243055556</v>
      </c>
      <c r="C873" s="1" t="n">
        <v>46050</v>
      </c>
      <c r="D873" t="inlineStr">
        <is>
          <t>JÄMTLANDS LÄN</t>
        </is>
      </c>
      <c r="E873" t="inlineStr">
        <is>
          <t>BERG</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44088-2021</t>
        </is>
      </c>
      <c r="B874" s="1" t="n">
        <v>44434</v>
      </c>
      <c r="C874" s="1" t="n">
        <v>46050</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26959-2022</t>
        </is>
      </c>
      <c r="B875" s="1" t="n">
        <v>44740.66048611111</v>
      </c>
      <c r="C875" s="1" t="n">
        <v>46050</v>
      </c>
      <c r="D875" t="inlineStr">
        <is>
          <t>JÄMTLANDS LÄN</t>
        </is>
      </c>
      <c r="E875" t="inlineStr">
        <is>
          <t>BERG</t>
        </is>
      </c>
      <c r="G875" t="n">
        <v>2.8</v>
      </c>
      <c r="H875" t="n">
        <v>0</v>
      </c>
      <c r="I875" t="n">
        <v>0</v>
      </c>
      <c r="J875" t="n">
        <v>0</v>
      </c>
      <c r="K875" t="n">
        <v>0</v>
      </c>
      <c r="L875" t="n">
        <v>0</v>
      </c>
      <c r="M875" t="n">
        <v>0</v>
      </c>
      <c r="N875" t="n">
        <v>0</v>
      </c>
      <c r="O875" t="n">
        <v>0</v>
      </c>
      <c r="P875" t="n">
        <v>0</v>
      </c>
      <c r="Q875" t="n">
        <v>0</v>
      </c>
      <c r="R875" s="2" t="inlineStr"/>
    </row>
    <row r="876" ht="15" customHeight="1">
      <c r="A876" t="inlineStr">
        <is>
          <t>A 2855-2025</t>
        </is>
      </c>
      <c r="B876" s="1" t="n">
        <v>45678</v>
      </c>
      <c r="C876" s="1" t="n">
        <v>46050</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46050</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41782-2024</t>
        </is>
      </c>
      <c r="B878" s="1" t="n">
        <v>45561</v>
      </c>
      <c r="C878" s="1" t="n">
        <v>46050</v>
      </c>
      <c r="D878" t="inlineStr">
        <is>
          <t>JÄMTLANDS LÄN</t>
        </is>
      </c>
      <c r="E878" t="inlineStr">
        <is>
          <t>BERG</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10465-2023</t>
        </is>
      </c>
      <c r="B879" s="1" t="n">
        <v>44987.60319444445</v>
      </c>
      <c r="C879" s="1" t="n">
        <v>46050</v>
      </c>
      <c r="D879" t="inlineStr">
        <is>
          <t>JÄMTLANDS LÄN</t>
        </is>
      </c>
      <c r="E879" t="inlineStr">
        <is>
          <t>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18551-2025</t>
        </is>
      </c>
      <c r="B880" s="1" t="n">
        <v>45763.43650462963</v>
      </c>
      <c r="C880" s="1" t="n">
        <v>46050</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31131-2024</t>
        </is>
      </c>
      <c r="B881" s="1" t="n">
        <v>45502</v>
      </c>
      <c r="C881" s="1" t="n">
        <v>46050</v>
      </c>
      <c r="D881" t="inlineStr">
        <is>
          <t>JÄMTLANDS LÄN</t>
        </is>
      </c>
      <c r="E881" t="inlineStr">
        <is>
          <t>BERG</t>
        </is>
      </c>
      <c r="G881" t="n">
        <v>2.1</v>
      </c>
      <c r="H881" t="n">
        <v>0</v>
      </c>
      <c r="I881" t="n">
        <v>0</v>
      </c>
      <c r="J881" t="n">
        <v>0</v>
      </c>
      <c r="K881" t="n">
        <v>0</v>
      </c>
      <c r="L881" t="n">
        <v>0</v>
      </c>
      <c r="M881" t="n">
        <v>0</v>
      </c>
      <c r="N881" t="n">
        <v>0</v>
      </c>
      <c r="O881" t="n">
        <v>0</v>
      </c>
      <c r="P881" t="n">
        <v>0</v>
      </c>
      <c r="Q881" t="n">
        <v>0</v>
      </c>
      <c r="R881" s="2" t="inlineStr"/>
    </row>
    <row r="882" ht="15" customHeight="1">
      <c r="A882" t="inlineStr">
        <is>
          <t>A 31154-2024</t>
        </is>
      </c>
      <c r="B882" s="1" t="n">
        <v>45503.32976851852</v>
      </c>
      <c r="C882" s="1" t="n">
        <v>46050</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17929-2024</t>
        </is>
      </c>
      <c r="B883" s="1" t="n">
        <v>45419.60266203704</v>
      </c>
      <c r="C883" s="1" t="n">
        <v>46050</v>
      </c>
      <c r="D883" t="inlineStr">
        <is>
          <t>JÄMTLANDS LÄN</t>
        </is>
      </c>
      <c r="E883" t="inlineStr">
        <is>
          <t>BERG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7447-2022</t>
        </is>
      </c>
      <c r="B884" s="1" t="n">
        <v>44606</v>
      </c>
      <c r="C884" s="1" t="n">
        <v>46050</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41105-2023</t>
        </is>
      </c>
      <c r="B885" s="1" t="n">
        <v>45170</v>
      </c>
      <c r="C885" s="1" t="n">
        <v>46050</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61980-2024</t>
        </is>
      </c>
      <c r="B886" s="1" t="n">
        <v>45653.66269675926</v>
      </c>
      <c r="C886" s="1" t="n">
        <v>46050</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18112-2024</t>
        </is>
      </c>
      <c r="B887" s="1" t="n">
        <v>45420.49851851852</v>
      </c>
      <c r="C887" s="1" t="n">
        <v>46050</v>
      </c>
      <c r="D887" t="inlineStr">
        <is>
          <t>JÄMTLANDS LÄN</t>
        </is>
      </c>
      <c r="E887" t="inlineStr">
        <is>
          <t>BERG</t>
        </is>
      </c>
      <c r="F887" t="inlineStr">
        <is>
          <t>Holmen skog AB</t>
        </is>
      </c>
      <c r="G887" t="n">
        <v>16.6</v>
      </c>
      <c r="H887" t="n">
        <v>0</v>
      </c>
      <c r="I887" t="n">
        <v>0</v>
      </c>
      <c r="J887" t="n">
        <v>0</v>
      </c>
      <c r="K887" t="n">
        <v>0</v>
      </c>
      <c r="L887" t="n">
        <v>0</v>
      </c>
      <c r="M887" t="n">
        <v>0</v>
      </c>
      <c r="N887" t="n">
        <v>0</v>
      </c>
      <c r="O887" t="n">
        <v>0</v>
      </c>
      <c r="P887" t="n">
        <v>0</v>
      </c>
      <c r="Q887" t="n">
        <v>0</v>
      </c>
      <c r="R887" s="2" t="inlineStr"/>
    </row>
    <row r="888" ht="15" customHeight="1">
      <c r="A888" t="inlineStr">
        <is>
          <t>A 13436-2024</t>
        </is>
      </c>
      <c r="B888" s="1" t="n">
        <v>45387.4865625</v>
      </c>
      <c r="C888" s="1" t="n">
        <v>46050</v>
      </c>
      <c r="D888" t="inlineStr">
        <is>
          <t>JÄMTLANDS LÄN</t>
        </is>
      </c>
      <c r="E888" t="inlineStr">
        <is>
          <t>BERG</t>
        </is>
      </c>
      <c r="G888" t="n">
        <v>28.9</v>
      </c>
      <c r="H888" t="n">
        <v>0</v>
      </c>
      <c r="I888" t="n">
        <v>0</v>
      </c>
      <c r="J888" t="n">
        <v>0</v>
      </c>
      <c r="K888" t="n">
        <v>0</v>
      </c>
      <c r="L888" t="n">
        <v>0</v>
      </c>
      <c r="M888" t="n">
        <v>0</v>
      </c>
      <c r="N888" t="n">
        <v>0</v>
      </c>
      <c r="O888" t="n">
        <v>0</v>
      </c>
      <c r="P888" t="n">
        <v>0</v>
      </c>
      <c r="Q888" t="n">
        <v>0</v>
      </c>
      <c r="R888" s="2" t="inlineStr"/>
    </row>
    <row r="889" ht="15" customHeight="1">
      <c r="A889" t="inlineStr">
        <is>
          <t>A 18153-2024</t>
        </is>
      </c>
      <c r="B889" s="1" t="n">
        <v>45420</v>
      </c>
      <c r="C889" s="1" t="n">
        <v>46050</v>
      </c>
      <c r="D889" t="inlineStr">
        <is>
          <t>JÄMTLANDS LÄN</t>
        </is>
      </c>
      <c r="E889" t="inlineStr">
        <is>
          <t>BERG</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46874-2023</t>
        </is>
      </c>
      <c r="B890" s="1" t="n">
        <v>45200</v>
      </c>
      <c r="C890" s="1" t="n">
        <v>46050</v>
      </c>
      <c r="D890" t="inlineStr">
        <is>
          <t>JÄMTLANDS LÄN</t>
        </is>
      </c>
      <c r="E890" t="inlineStr">
        <is>
          <t>BERG</t>
        </is>
      </c>
      <c r="F890" t="inlineStr">
        <is>
          <t>Naturvårdsverket</t>
        </is>
      </c>
      <c r="G890" t="n">
        <v>1.1</v>
      </c>
      <c r="H890" t="n">
        <v>0</v>
      </c>
      <c r="I890" t="n">
        <v>0</v>
      </c>
      <c r="J890" t="n">
        <v>0</v>
      </c>
      <c r="K890" t="n">
        <v>0</v>
      </c>
      <c r="L890" t="n">
        <v>0</v>
      </c>
      <c r="M890" t="n">
        <v>0</v>
      </c>
      <c r="N890" t="n">
        <v>0</v>
      </c>
      <c r="O890" t="n">
        <v>0</v>
      </c>
      <c r="P890" t="n">
        <v>0</v>
      </c>
      <c r="Q890" t="n">
        <v>0</v>
      </c>
      <c r="R890" s="2" t="inlineStr"/>
    </row>
    <row r="891" ht="15" customHeight="1">
      <c r="A891" t="inlineStr">
        <is>
          <t>A 47304-2023</t>
        </is>
      </c>
      <c r="B891" s="1" t="n">
        <v>45202.48180555556</v>
      </c>
      <c r="C891" s="1" t="n">
        <v>46050</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14697-2025</t>
        </is>
      </c>
      <c r="B892" s="1" t="n">
        <v>45742.59415509259</v>
      </c>
      <c r="C892" s="1" t="n">
        <v>46050</v>
      </c>
      <c r="D892" t="inlineStr">
        <is>
          <t>JÄMTLANDS LÄN</t>
        </is>
      </c>
      <c r="E892" t="inlineStr">
        <is>
          <t>BERG</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54415-2023</t>
        </is>
      </c>
      <c r="B893" s="1" t="n">
        <v>45233.40039351852</v>
      </c>
      <c r="C893" s="1" t="n">
        <v>46050</v>
      </c>
      <c r="D893" t="inlineStr">
        <is>
          <t>JÄMTLANDS LÄN</t>
        </is>
      </c>
      <c r="E893" t="inlineStr">
        <is>
          <t>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24307-2023</t>
        </is>
      </c>
      <c r="B894" s="1" t="n">
        <v>45079.94229166667</v>
      </c>
      <c r="C894" s="1" t="n">
        <v>46050</v>
      </c>
      <c r="D894" t="inlineStr">
        <is>
          <t>JÄMTLANDS LÄN</t>
        </is>
      </c>
      <c r="E894" t="inlineStr">
        <is>
          <t>BERG</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40990-2022</t>
        </is>
      </c>
      <c r="B895" s="1" t="n">
        <v>44823</v>
      </c>
      <c r="C895" s="1" t="n">
        <v>46050</v>
      </c>
      <c r="D895" t="inlineStr">
        <is>
          <t>JÄMTLANDS LÄN</t>
        </is>
      </c>
      <c r="E895" t="inlineStr">
        <is>
          <t>BERG</t>
        </is>
      </c>
      <c r="G895" t="n">
        <v>11.7</v>
      </c>
      <c r="H895" t="n">
        <v>0</v>
      </c>
      <c r="I895" t="n">
        <v>0</v>
      </c>
      <c r="J895" t="n">
        <v>0</v>
      </c>
      <c r="K895" t="n">
        <v>0</v>
      </c>
      <c r="L895" t="n">
        <v>0</v>
      </c>
      <c r="M895" t="n">
        <v>0</v>
      </c>
      <c r="N895" t="n">
        <v>0</v>
      </c>
      <c r="O895" t="n">
        <v>0</v>
      </c>
      <c r="P895" t="n">
        <v>0</v>
      </c>
      <c r="Q895" t="n">
        <v>0</v>
      </c>
      <c r="R895" s="2" t="inlineStr"/>
    </row>
    <row r="896" ht="15" customHeight="1">
      <c r="A896" t="inlineStr">
        <is>
          <t>A 21521-2024</t>
        </is>
      </c>
      <c r="B896" s="1" t="n">
        <v>45441.58313657407</v>
      </c>
      <c r="C896" s="1" t="n">
        <v>46050</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54998-2023</t>
        </is>
      </c>
      <c r="B897" s="1" t="n">
        <v>45236</v>
      </c>
      <c r="C897" s="1" t="n">
        <v>46050</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32156-2024</t>
        </is>
      </c>
      <c r="B898" s="1" t="n">
        <v>45511</v>
      </c>
      <c r="C898" s="1" t="n">
        <v>46050</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23165-2024</t>
        </is>
      </c>
      <c r="B899" s="1" t="n">
        <v>45450</v>
      </c>
      <c r="C899" s="1" t="n">
        <v>46050</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19345-2024</t>
        </is>
      </c>
      <c r="B900" s="1" t="n">
        <v>45428.97185185185</v>
      </c>
      <c r="C900" s="1" t="n">
        <v>46050</v>
      </c>
      <c r="D900" t="inlineStr">
        <is>
          <t>JÄMTLANDS LÄN</t>
        </is>
      </c>
      <c r="E900" t="inlineStr">
        <is>
          <t>BERG</t>
        </is>
      </c>
      <c r="F900" t="inlineStr">
        <is>
          <t>SCA</t>
        </is>
      </c>
      <c r="G900" t="n">
        <v>14.7</v>
      </c>
      <c r="H900" t="n">
        <v>0</v>
      </c>
      <c r="I900" t="n">
        <v>0</v>
      </c>
      <c r="J900" t="n">
        <v>0</v>
      </c>
      <c r="K900" t="n">
        <v>0</v>
      </c>
      <c r="L900" t="n">
        <v>0</v>
      </c>
      <c r="M900" t="n">
        <v>0</v>
      </c>
      <c r="N900" t="n">
        <v>0</v>
      </c>
      <c r="O900" t="n">
        <v>0</v>
      </c>
      <c r="P900" t="n">
        <v>0</v>
      </c>
      <c r="Q900" t="n">
        <v>0</v>
      </c>
      <c r="R900" s="2" t="inlineStr"/>
    </row>
    <row r="901" ht="15" customHeight="1">
      <c r="A901" t="inlineStr">
        <is>
          <t>A 53456-2022</t>
        </is>
      </c>
      <c r="B901" s="1" t="n">
        <v>44874</v>
      </c>
      <c r="C901" s="1" t="n">
        <v>46050</v>
      </c>
      <c r="D901" t="inlineStr">
        <is>
          <t>JÄMTLANDS LÄN</t>
        </is>
      </c>
      <c r="E901" t="inlineStr">
        <is>
          <t>BERG</t>
        </is>
      </c>
      <c r="G901" t="n">
        <v>13.3</v>
      </c>
      <c r="H901" t="n">
        <v>0</v>
      </c>
      <c r="I901" t="n">
        <v>0</v>
      </c>
      <c r="J901" t="n">
        <v>0</v>
      </c>
      <c r="K901" t="n">
        <v>0</v>
      </c>
      <c r="L901" t="n">
        <v>0</v>
      </c>
      <c r="M901" t="n">
        <v>0</v>
      </c>
      <c r="N901" t="n">
        <v>0</v>
      </c>
      <c r="O901" t="n">
        <v>0</v>
      </c>
      <c r="P901" t="n">
        <v>0</v>
      </c>
      <c r="Q901" t="n">
        <v>0</v>
      </c>
      <c r="R901" s="2" t="inlineStr"/>
    </row>
    <row r="902" ht="15" customHeight="1">
      <c r="A902" t="inlineStr">
        <is>
          <t>A 9252-2025</t>
        </is>
      </c>
      <c r="B902" s="1" t="n">
        <v>45714.59415509259</v>
      </c>
      <c r="C902" s="1" t="n">
        <v>46050</v>
      </c>
      <c r="D902" t="inlineStr">
        <is>
          <t>JÄMTLANDS LÄN</t>
        </is>
      </c>
      <c r="E902" t="inlineStr">
        <is>
          <t>BERG</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64247-2023</t>
        </is>
      </c>
      <c r="B903" s="1" t="n">
        <v>45279.92739583334</v>
      </c>
      <c r="C903" s="1" t="n">
        <v>46050</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31330-2024</t>
        </is>
      </c>
      <c r="B904" s="1" t="n">
        <v>45504</v>
      </c>
      <c r="C904" s="1" t="n">
        <v>46050</v>
      </c>
      <c r="D904" t="inlineStr">
        <is>
          <t>JÄMTLANDS LÄN</t>
        </is>
      </c>
      <c r="E904" t="inlineStr">
        <is>
          <t>BERG</t>
        </is>
      </c>
      <c r="G904" t="n">
        <v>30.5</v>
      </c>
      <c r="H904" t="n">
        <v>0</v>
      </c>
      <c r="I904" t="n">
        <v>0</v>
      </c>
      <c r="J904" t="n">
        <v>0</v>
      </c>
      <c r="K904" t="n">
        <v>0</v>
      </c>
      <c r="L904" t="n">
        <v>0</v>
      </c>
      <c r="M904" t="n">
        <v>0</v>
      </c>
      <c r="N904" t="n">
        <v>0</v>
      </c>
      <c r="O904" t="n">
        <v>0</v>
      </c>
      <c r="P904" t="n">
        <v>0</v>
      </c>
      <c r="Q904" t="n">
        <v>0</v>
      </c>
      <c r="R904" s="2" t="inlineStr"/>
    </row>
    <row r="905" ht="15" customHeight="1">
      <c r="A905" t="inlineStr">
        <is>
          <t>A 60404-2023</t>
        </is>
      </c>
      <c r="B905" s="1" t="n">
        <v>45259.46332175926</v>
      </c>
      <c r="C905" s="1" t="n">
        <v>46050</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39186-2024</t>
        </is>
      </c>
      <c r="B906" s="1" t="n">
        <v>45548.66489583333</v>
      </c>
      <c r="C906" s="1" t="n">
        <v>46050</v>
      </c>
      <c r="D906" t="inlineStr">
        <is>
          <t>JÄMTLANDS LÄN</t>
        </is>
      </c>
      <c r="E906" t="inlineStr">
        <is>
          <t>BERG</t>
        </is>
      </c>
      <c r="G906" t="n">
        <v>38.4</v>
      </c>
      <c r="H906" t="n">
        <v>0</v>
      </c>
      <c r="I906" t="n">
        <v>0</v>
      </c>
      <c r="J906" t="n">
        <v>0</v>
      </c>
      <c r="K906" t="n">
        <v>0</v>
      </c>
      <c r="L906" t="n">
        <v>0</v>
      </c>
      <c r="M906" t="n">
        <v>0</v>
      </c>
      <c r="N906" t="n">
        <v>0</v>
      </c>
      <c r="O906" t="n">
        <v>0</v>
      </c>
      <c r="P906" t="n">
        <v>0</v>
      </c>
      <c r="Q906" t="n">
        <v>0</v>
      </c>
      <c r="R906" s="2" t="inlineStr"/>
    </row>
    <row r="907" ht="15" customHeight="1">
      <c r="A907" t="inlineStr">
        <is>
          <t>A 50706-2023</t>
        </is>
      </c>
      <c r="B907" s="1" t="n">
        <v>45217.55832175926</v>
      </c>
      <c r="C907" s="1" t="n">
        <v>46050</v>
      </c>
      <c r="D907" t="inlineStr">
        <is>
          <t>JÄMTLANDS LÄN</t>
        </is>
      </c>
      <c r="E907" t="inlineStr">
        <is>
          <t>BERG</t>
        </is>
      </c>
      <c r="G907" t="n">
        <v>4.1</v>
      </c>
      <c r="H907" t="n">
        <v>0</v>
      </c>
      <c r="I907" t="n">
        <v>0</v>
      </c>
      <c r="J907" t="n">
        <v>0</v>
      </c>
      <c r="K907" t="n">
        <v>0</v>
      </c>
      <c r="L907" t="n">
        <v>0</v>
      </c>
      <c r="M907" t="n">
        <v>0</v>
      </c>
      <c r="N907" t="n">
        <v>0</v>
      </c>
      <c r="O907" t="n">
        <v>0</v>
      </c>
      <c r="P907" t="n">
        <v>0</v>
      </c>
      <c r="Q907" t="n">
        <v>0</v>
      </c>
      <c r="R907" s="2" t="inlineStr"/>
    </row>
    <row r="908" ht="15" customHeight="1">
      <c r="A908" t="inlineStr">
        <is>
          <t>A 3625-2024</t>
        </is>
      </c>
      <c r="B908" s="1" t="n">
        <v>45320</v>
      </c>
      <c r="C908" s="1" t="n">
        <v>46050</v>
      </c>
      <c r="D908" t="inlineStr">
        <is>
          <t>JÄMTLANDS LÄN</t>
        </is>
      </c>
      <c r="E908" t="inlineStr">
        <is>
          <t>BERG</t>
        </is>
      </c>
      <c r="F908" t="inlineStr">
        <is>
          <t>SCA</t>
        </is>
      </c>
      <c r="G908" t="n">
        <v>23.7</v>
      </c>
      <c r="H908" t="n">
        <v>0</v>
      </c>
      <c r="I908" t="n">
        <v>0</v>
      </c>
      <c r="J908" t="n">
        <v>0</v>
      </c>
      <c r="K908" t="n">
        <v>0</v>
      </c>
      <c r="L908" t="n">
        <v>0</v>
      </c>
      <c r="M908" t="n">
        <v>0</v>
      </c>
      <c r="N908" t="n">
        <v>0</v>
      </c>
      <c r="O908" t="n">
        <v>0</v>
      </c>
      <c r="P908" t="n">
        <v>0</v>
      </c>
      <c r="Q908" t="n">
        <v>0</v>
      </c>
      <c r="R908" s="2" t="inlineStr"/>
    </row>
    <row r="909" ht="15" customHeight="1">
      <c r="A909" t="inlineStr">
        <is>
          <t>A 18408-2025</t>
        </is>
      </c>
      <c r="B909" s="1" t="n">
        <v>45762.61128472222</v>
      </c>
      <c r="C909" s="1" t="n">
        <v>46050</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37086-2024</t>
        </is>
      </c>
      <c r="B910" s="1" t="n">
        <v>45539.49776620371</v>
      </c>
      <c r="C910" s="1" t="n">
        <v>46050</v>
      </c>
      <c r="D910" t="inlineStr">
        <is>
          <t>JÄMTLANDS LÄN</t>
        </is>
      </c>
      <c r="E910" t="inlineStr">
        <is>
          <t>BERG</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59968-2024</t>
        </is>
      </c>
      <c r="B911" s="1" t="n">
        <v>45642</v>
      </c>
      <c r="C911" s="1" t="n">
        <v>46050</v>
      </c>
      <c r="D911" t="inlineStr">
        <is>
          <t>JÄMTLANDS LÄN</t>
        </is>
      </c>
      <c r="E911" t="inlineStr">
        <is>
          <t>BERG</t>
        </is>
      </c>
      <c r="G911" t="n">
        <v>4.7</v>
      </c>
      <c r="H911" t="n">
        <v>0</v>
      </c>
      <c r="I911" t="n">
        <v>0</v>
      </c>
      <c r="J911" t="n">
        <v>0</v>
      </c>
      <c r="K911" t="n">
        <v>0</v>
      </c>
      <c r="L911" t="n">
        <v>0</v>
      </c>
      <c r="M911" t="n">
        <v>0</v>
      </c>
      <c r="N911" t="n">
        <v>0</v>
      </c>
      <c r="O911" t="n">
        <v>0</v>
      </c>
      <c r="P911" t="n">
        <v>0</v>
      </c>
      <c r="Q911" t="n">
        <v>0</v>
      </c>
      <c r="R911" s="2" t="inlineStr"/>
    </row>
    <row r="912" ht="15" customHeight="1">
      <c r="A912" t="inlineStr">
        <is>
          <t>A 22275-2022</t>
        </is>
      </c>
      <c r="B912" s="1" t="n">
        <v>44712</v>
      </c>
      <c r="C912" s="1" t="n">
        <v>46050</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4561-2024</t>
        </is>
      </c>
      <c r="B913" s="1" t="n">
        <v>45327</v>
      </c>
      <c r="C913" s="1" t="n">
        <v>46050</v>
      </c>
      <c r="D913" t="inlineStr">
        <is>
          <t>JÄMTLANDS LÄN</t>
        </is>
      </c>
      <c r="E913" t="inlineStr">
        <is>
          <t>BERG</t>
        </is>
      </c>
      <c r="G913" t="n">
        <v>7.4</v>
      </c>
      <c r="H913" t="n">
        <v>0</v>
      </c>
      <c r="I913" t="n">
        <v>0</v>
      </c>
      <c r="J913" t="n">
        <v>0</v>
      </c>
      <c r="K913" t="n">
        <v>0</v>
      </c>
      <c r="L913" t="n">
        <v>0</v>
      </c>
      <c r="M913" t="n">
        <v>0</v>
      </c>
      <c r="N913" t="n">
        <v>0</v>
      </c>
      <c r="O913" t="n">
        <v>0</v>
      </c>
      <c r="P913" t="n">
        <v>0</v>
      </c>
      <c r="Q913" t="n">
        <v>0</v>
      </c>
      <c r="R913" s="2" t="inlineStr"/>
    </row>
    <row r="914" ht="15" customHeight="1">
      <c r="A914" t="inlineStr">
        <is>
          <t>A 14190-2023</t>
        </is>
      </c>
      <c r="B914" s="1" t="n">
        <v>45009.56106481481</v>
      </c>
      <c r="C914" s="1" t="n">
        <v>46050</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31079-2024</t>
        </is>
      </c>
      <c r="B915" s="1" t="n">
        <v>45502.46423611111</v>
      </c>
      <c r="C915" s="1" t="n">
        <v>46050</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45280.92613425926</v>
      </c>
      <c r="C916" s="1" t="n">
        <v>46050</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46050</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39510-2023</t>
        </is>
      </c>
      <c r="B918" s="1" t="n">
        <v>45166</v>
      </c>
      <c r="C918" s="1" t="n">
        <v>46050</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41636-2024</t>
        </is>
      </c>
      <c r="B919" s="1" t="n">
        <v>45560.61606481481</v>
      </c>
      <c r="C919" s="1" t="n">
        <v>46050</v>
      </c>
      <c r="D919" t="inlineStr">
        <is>
          <t>JÄMTLANDS LÄN</t>
        </is>
      </c>
      <c r="E919" t="inlineStr">
        <is>
          <t>BERG</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41634-2024</t>
        </is>
      </c>
      <c r="B920" s="1" t="n">
        <v>45560.61496527777</v>
      </c>
      <c r="C920" s="1" t="n">
        <v>46050</v>
      </c>
      <c r="D920" t="inlineStr">
        <is>
          <t>JÄMTLANDS LÄN</t>
        </is>
      </c>
      <c r="E920" t="inlineStr">
        <is>
          <t>BERG</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27395-2021</t>
        </is>
      </c>
      <c r="B921" s="1" t="n">
        <v>44350</v>
      </c>
      <c r="C921" s="1" t="n">
        <v>46050</v>
      </c>
      <c r="D921" t="inlineStr">
        <is>
          <t>JÄMTLANDS LÄN</t>
        </is>
      </c>
      <c r="E921" t="inlineStr">
        <is>
          <t>BERG</t>
        </is>
      </c>
      <c r="G921" t="n">
        <v>4.4</v>
      </c>
      <c r="H921" t="n">
        <v>0</v>
      </c>
      <c r="I921" t="n">
        <v>0</v>
      </c>
      <c r="J921" t="n">
        <v>0</v>
      </c>
      <c r="K921" t="n">
        <v>0</v>
      </c>
      <c r="L921" t="n">
        <v>0</v>
      </c>
      <c r="M921" t="n">
        <v>0</v>
      </c>
      <c r="N921" t="n">
        <v>0</v>
      </c>
      <c r="O921" t="n">
        <v>0</v>
      </c>
      <c r="P921" t="n">
        <v>0</v>
      </c>
      <c r="Q921" t="n">
        <v>0</v>
      </c>
      <c r="R921" s="2" t="inlineStr"/>
    </row>
    <row r="922" ht="15" customHeight="1">
      <c r="A922" t="inlineStr">
        <is>
          <t>A 5219-2022</t>
        </is>
      </c>
      <c r="B922" s="1" t="n">
        <v>44594.48569444445</v>
      </c>
      <c r="C922" s="1" t="n">
        <v>46050</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14672-2025</t>
        </is>
      </c>
      <c r="B923" s="1" t="n">
        <v>45742.55269675926</v>
      </c>
      <c r="C923" s="1" t="n">
        <v>46050</v>
      </c>
      <c r="D923" t="inlineStr">
        <is>
          <t>JÄMTLANDS LÄN</t>
        </is>
      </c>
      <c r="E923" t="inlineStr">
        <is>
          <t>BERG</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13149-2025</t>
        </is>
      </c>
      <c r="B924" s="1" t="n">
        <v>45735.34424768519</v>
      </c>
      <c r="C924" s="1" t="n">
        <v>46050</v>
      </c>
      <c r="D924" t="inlineStr">
        <is>
          <t>JÄMTLANDS LÄN</t>
        </is>
      </c>
      <c r="E924" t="inlineStr">
        <is>
          <t>BERG</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15013-2025</t>
        </is>
      </c>
      <c r="B925" s="1" t="n">
        <v>45743.62734953704</v>
      </c>
      <c r="C925" s="1" t="n">
        <v>46050</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40824-2023</t>
        </is>
      </c>
      <c r="B926" s="1" t="n">
        <v>45171</v>
      </c>
      <c r="C926" s="1" t="n">
        <v>46050</v>
      </c>
      <c r="D926" t="inlineStr">
        <is>
          <t>JÄMTLANDS LÄN</t>
        </is>
      </c>
      <c r="E926" t="inlineStr">
        <is>
          <t>BERG</t>
        </is>
      </c>
      <c r="G926" t="n">
        <v>0.5</v>
      </c>
      <c r="H926" t="n">
        <v>0</v>
      </c>
      <c r="I926" t="n">
        <v>0</v>
      </c>
      <c r="J926" t="n">
        <v>0</v>
      </c>
      <c r="K926" t="n">
        <v>0</v>
      </c>
      <c r="L926" t="n">
        <v>0</v>
      </c>
      <c r="M926" t="n">
        <v>0</v>
      </c>
      <c r="N926" t="n">
        <v>0</v>
      </c>
      <c r="O926" t="n">
        <v>0</v>
      </c>
      <c r="P926" t="n">
        <v>0</v>
      </c>
      <c r="Q926" t="n">
        <v>0</v>
      </c>
      <c r="R926" s="2" t="inlineStr"/>
    </row>
    <row r="927" ht="15" customHeight="1">
      <c r="A927" t="inlineStr">
        <is>
          <t>A 35986-2023</t>
        </is>
      </c>
      <c r="B927" s="1" t="n">
        <v>45148</v>
      </c>
      <c r="C927" s="1" t="n">
        <v>46050</v>
      </c>
      <c r="D927" t="inlineStr">
        <is>
          <t>JÄMTLANDS LÄN</t>
        </is>
      </c>
      <c r="E927" t="inlineStr">
        <is>
          <t>BERG</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171-2022</t>
        </is>
      </c>
      <c r="B928" s="1" t="n">
        <v>44564</v>
      </c>
      <c r="C928" s="1" t="n">
        <v>46050</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2002-2022</t>
        </is>
      </c>
      <c r="B929" s="1" t="n">
        <v>44575</v>
      </c>
      <c r="C929" s="1" t="n">
        <v>46050</v>
      </c>
      <c r="D929" t="inlineStr">
        <is>
          <t>JÄMTLANDS LÄN</t>
        </is>
      </c>
      <c r="E929" t="inlineStr">
        <is>
          <t>BERG</t>
        </is>
      </c>
      <c r="G929" t="n">
        <v>11.3</v>
      </c>
      <c r="H929" t="n">
        <v>0</v>
      </c>
      <c r="I929" t="n">
        <v>0</v>
      </c>
      <c r="J929" t="n">
        <v>0</v>
      </c>
      <c r="K929" t="n">
        <v>0</v>
      </c>
      <c r="L929" t="n">
        <v>0</v>
      </c>
      <c r="M929" t="n">
        <v>0</v>
      </c>
      <c r="N929" t="n">
        <v>0</v>
      </c>
      <c r="O929" t="n">
        <v>0</v>
      </c>
      <c r="P929" t="n">
        <v>0</v>
      </c>
      <c r="Q929" t="n">
        <v>0</v>
      </c>
      <c r="R929" s="2" t="inlineStr"/>
    </row>
    <row r="930" ht="15" customHeight="1">
      <c r="A930" t="inlineStr">
        <is>
          <t>A 53883-2023</t>
        </is>
      </c>
      <c r="B930" s="1" t="n">
        <v>45231.5221875</v>
      </c>
      <c r="C930" s="1" t="n">
        <v>46050</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41875-2024</t>
        </is>
      </c>
      <c r="B931" s="1" t="n">
        <v>45561.47431712963</v>
      </c>
      <c r="C931" s="1" t="n">
        <v>46050</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4246-2025</t>
        </is>
      </c>
      <c r="B932" s="1" t="n">
        <v>45685.59083333334</v>
      </c>
      <c r="C932" s="1" t="n">
        <v>46050</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8251-2023</t>
        </is>
      </c>
      <c r="B933" s="1" t="n">
        <v>44974</v>
      </c>
      <c r="C933" s="1" t="n">
        <v>46050</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16553-2025</t>
        </is>
      </c>
      <c r="B934" s="1" t="n">
        <v>45751.69967592593</v>
      </c>
      <c r="C934" s="1" t="n">
        <v>46050</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45081-2022</t>
        </is>
      </c>
      <c r="B935" s="1" t="n">
        <v>44841</v>
      </c>
      <c r="C935" s="1" t="n">
        <v>46050</v>
      </c>
      <c r="D935" t="inlineStr">
        <is>
          <t>JÄMTLANDS LÄN</t>
        </is>
      </c>
      <c r="E935" t="inlineStr">
        <is>
          <t>BERG</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47289-2023</t>
        </is>
      </c>
      <c r="B936" s="1" t="n">
        <v>45202.46581018518</v>
      </c>
      <c r="C936" s="1" t="n">
        <v>46050</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8388-2022</t>
        </is>
      </c>
      <c r="B937" s="1" t="n">
        <v>44610</v>
      </c>
      <c r="C937" s="1" t="n">
        <v>46050</v>
      </c>
      <c r="D937" t="inlineStr">
        <is>
          <t>JÄMTLANDS LÄN</t>
        </is>
      </c>
      <c r="E937" t="inlineStr">
        <is>
          <t>BERG</t>
        </is>
      </c>
      <c r="G937" t="n">
        <v>2.6</v>
      </c>
      <c r="H937" t="n">
        <v>0</v>
      </c>
      <c r="I937" t="n">
        <v>0</v>
      </c>
      <c r="J937" t="n">
        <v>0</v>
      </c>
      <c r="K937" t="n">
        <v>0</v>
      </c>
      <c r="L937" t="n">
        <v>0</v>
      </c>
      <c r="M937" t="n">
        <v>0</v>
      </c>
      <c r="N937" t="n">
        <v>0</v>
      </c>
      <c r="O937" t="n">
        <v>0</v>
      </c>
      <c r="P937" t="n">
        <v>0</v>
      </c>
      <c r="Q937" t="n">
        <v>0</v>
      </c>
      <c r="R937" s="2" t="inlineStr"/>
    </row>
    <row r="938" ht="15" customHeight="1">
      <c r="A938" t="inlineStr">
        <is>
          <t>A 4522-2024</t>
        </is>
      </c>
      <c r="B938" s="1" t="n">
        <v>45327</v>
      </c>
      <c r="C938" s="1" t="n">
        <v>46050</v>
      </c>
      <c r="D938" t="inlineStr">
        <is>
          <t>JÄMTLANDS LÄN</t>
        </is>
      </c>
      <c r="E938" t="inlineStr">
        <is>
          <t>BERG</t>
        </is>
      </c>
      <c r="G938" t="n">
        <v>0.6</v>
      </c>
      <c r="H938" t="n">
        <v>0</v>
      </c>
      <c r="I938" t="n">
        <v>0</v>
      </c>
      <c r="J938" t="n">
        <v>0</v>
      </c>
      <c r="K938" t="n">
        <v>0</v>
      </c>
      <c r="L938" t="n">
        <v>0</v>
      </c>
      <c r="M938" t="n">
        <v>0</v>
      </c>
      <c r="N938" t="n">
        <v>0</v>
      </c>
      <c r="O938" t="n">
        <v>0</v>
      </c>
      <c r="P938" t="n">
        <v>0</v>
      </c>
      <c r="Q938" t="n">
        <v>0</v>
      </c>
      <c r="R938" s="2" t="inlineStr"/>
    </row>
    <row r="939" ht="15" customHeight="1">
      <c r="A939" t="inlineStr">
        <is>
          <t>A 11599-2025</t>
        </is>
      </c>
      <c r="B939" s="1" t="n">
        <v>45727.4261574074</v>
      </c>
      <c r="C939" s="1" t="n">
        <v>46050</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48307-2024</t>
        </is>
      </c>
      <c r="B940" s="1" t="n">
        <v>45590.47684027778</v>
      </c>
      <c r="C940" s="1" t="n">
        <v>46050</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61652-2024</t>
        </is>
      </c>
      <c r="B941" s="1" t="n">
        <v>45646.72293981481</v>
      </c>
      <c r="C941" s="1" t="n">
        <v>46050</v>
      </c>
      <c r="D941" t="inlineStr">
        <is>
          <t>JÄMTLANDS LÄN</t>
        </is>
      </c>
      <c r="E941" t="inlineStr">
        <is>
          <t>BERG</t>
        </is>
      </c>
      <c r="G941" t="n">
        <v>6.4</v>
      </c>
      <c r="H941" t="n">
        <v>0</v>
      </c>
      <c r="I941" t="n">
        <v>0</v>
      </c>
      <c r="J941" t="n">
        <v>0</v>
      </c>
      <c r="K941" t="n">
        <v>0</v>
      </c>
      <c r="L941" t="n">
        <v>0</v>
      </c>
      <c r="M941" t="n">
        <v>0</v>
      </c>
      <c r="N941" t="n">
        <v>0</v>
      </c>
      <c r="O941" t="n">
        <v>0</v>
      </c>
      <c r="P941" t="n">
        <v>0</v>
      </c>
      <c r="Q941" t="n">
        <v>0</v>
      </c>
      <c r="R941" s="2" t="inlineStr"/>
    </row>
    <row r="942" ht="15" customHeight="1">
      <c r="A942" t="inlineStr">
        <is>
          <t>A 48663-2023</t>
        </is>
      </c>
      <c r="B942" s="1" t="n">
        <v>45202</v>
      </c>
      <c r="C942" s="1" t="n">
        <v>46050</v>
      </c>
      <c r="D942" t="inlineStr">
        <is>
          <t>JÄMTLANDS LÄN</t>
        </is>
      </c>
      <c r="E942" t="inlineStr">
        <is>
          <t>BERG</t>
        </is>
      </c>
      <c r="G942" t="n">
        <v>1.6</v>
      </c>
      <c r="H942" t="n">
        <v>0</v>
      </c>
      <c r="I942" t="n">
        <v>0</v>
      </c>
      <c r="J942" t="n">
        <v>0</v>
      </c>
      <c r="K942" t="n">
        <v>0</v>
      </c>
      <c r="L942" t="n">
        <v>0</v>
      </c>
      <c r="M942" t="n">
        <v>0</v>
      </c>
      <c r="N942" t="n">
        <v>0</v>
      </c>
      <c r="O942" t="n">
        <v>0</v>
      </c>
      <c r="P942" t="n">
        <v>0</v>
      </c>
      <c r="Q942" t="n">
        <v>0</v>
      </c>
      <c r="R942" s="2" t="inlineStr"/>
    </row>
    <row r="943" ht="15" customHeight="1">
      <c r="A943" t="inlineStr">
        <is>
          <t>A 15785-2021</t>
        </is>
      </c>
      <c r="B943" s="1" t="n">
        <v>44286.58679398148</v>
      </c>
      <c r="C943" s="1" t="n">
        <v>46050</v>
      </c>
      <c r="D943" t="inlineStr">
        <is>
          <t>JÄMTLANDS LÄN</t>
        </is>
      </c>
      <c r="E943" t="inlineStr">
        <is>
          <t>BERG</t>
        </is>
      </c>
      <c r="G943" t="n">
        <v>3.2</v>
      </c>
      <c r="H943" t="n">
        <v>0</v>
      </c>
      <c r="I943" t="n">
        <v>0</v>
      </c>
      <c r="J943" t="n">
        <v>0</v>
      </c>
      <c r="K943" t="n">
        <v>0</v>
      </c>
      <c r="L943" t="n">
        <v>0</v>
      </c>
      <c r="M943" t="n">
        <v>0</v>
      </c>
      <c r="N943" t="n">
        <v>0</v>
      </c>
      <c r="O943" t="n">
        <v>0</v>
      </c>
      <c r="P943" t="n">
        <v>0</v>
      </c>
      <c r="Q943" t="n">
        <v>0</v>
      </c>
      <c r="R943" s="2" t="inlineStr"/>
    </row>
    <row r="944" ht="15" customHeight="1">
      <c r="A944" t="inlineStr">
        <is>
          <t>A 38-2024</t>
        </is>
      </c>
      <c r="B944" s="1" t="n">
        <v>45293</v>
      </c>
      <c r="C944" s="1" t="n">
        <v>46050</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43762-2023</t>
        </is>
      </c>
      <c r="B945" s="1" t="n">
        <v>45182</v>
      </c>
      <c r="C945" s="1" t="n">
        <v>46050</v>
      </c>
      <c r="D945" t="inlineStr">
        <is>
          <t>JÄMTLANDS LÄN</t>
        </is>
      </c>
      <c r="E945" t="inlineStr">
        <is>
          <t>BERG</t>
        </is>
      </c>
      <c r="G945" t="n">
        <v>6.4</v>
      </c>
      <c r="H945" t="n">
        <v>0</v>
      </c>
      <c r="I945" t="n">
        <v>0</v>
      </c>
      <c r="J945" t="n">
        <v>0</v>
      </c>
      <c r="K945" t="n">
        <v>0</v>
      </c>
      <c r="L945" t="n">
        <v>0</v>
      </c>
      <c r="M945" t="n">
        <v>0</v>
      </c>
      <c r="N945" t="n">
        <v>0</v>
      </c>
      <c r="O945" t="n">
        <v>0</v>
      </c>
      <c r="P945" t="n">
        <v>0</v>
      </c>
      <c r="Q945" t="n">
        <v>0</v>
      </c>
      <c r="R945" s="2" t="inlineStr"/>
    </row>
    <row r="946" ht="15" customHeight="1">
      <c r="A946" t="inlineStr">
        <is>
          <t>A 51039-2024</t>
        </is>
      </c>
      <c r="B946" s="1" t="n">
        <v>45603.43164351852</v>
      </c>
      <c r="C946" s="1" t="n">
        <v>46050</v>
      </c>
      <c r="D946" t="inlineStr">
        <is>
          <t>JÄMTLANDS LÄN</t>
        </is>
      </c>
      <c r="E946" t="inlineStr">
        <is>
          <t>BERG</t>
        </is>
      </c>
      <c r="G946" t="n">
        <v>14</v>
      </c>
      <c r="H946" t="n">
        <v>0</v>
      </c>
      <c r="I946" t="n">
        <v>0</v>
      </c>
      <c r="J946" t="n">
        <v>0</v>
      </c>
      <c r="K946" t="n">
        <v>0</v>
      </c>
      <c r="L946" t="n">
        <v>0</v>
      </c>
      <c r="M946" t="n">
        <v>0</v>
      </c>
      <c r="N946" t="n">
        <v>0</v>
      </c>
      <c r="O946" t="n">
        <v>0</v>
      </c>
      <c r="P946" t="n">
        <v>0</v>
      </c>
      <c r="Q946" t="n">
        <v>0</v>
      </c>
      <c r="R946" s="2" t="inlineStr"/>
    </row>
    <row r="947" ht="15" customHeight="1">
      <c r="A947" t="inlineStr">
        <is>
          <t>A 60076-2024</t>
        </is>
      </c>
      <c r="B947" s="1" t="n">
        <v>45642.53166666667</v>
      </c>
      <c r="C947" s="1" t="n">
        <v>46050</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32711-2024</t>
        </is>
      </c>
      <c r="B948" s="1" t="n">
        <v>45516</v>
      </c>
      <c r="C948" s="1" t="n">
        <v>46050</v>
      </c>
      <c r="D948" t="inlineStr">
        <is>
          <t>JÄMTLANDS LÄN</t>
        </is>
      </c>
      <c r="E948" t="inlineStr">
        <is>
          <t>BERG</t>
        </is>
      </c>
      <c r="G948" t="n">
        <v>0</v>
      </c>
      <c r="H948" t="n">
        <v>0</v>
      </c>
      <c r="I948" t="n">
        <v>0</v>
      </c>
      <c r="J948" t="n">
        <v>0</v>
      </c>
      <c r="K948" t="n">
        <v>0</v>
      </c>
      <c r="L948" t="n">
        <v>0</v>
      </c>
      <c r="M948" t="n">
        <v>0</v>
      </c>
      <c r="N948" t="n">
        <v>0</v>
      </c>
      <c r="O948" t="n">
        <v>0</v>
      </c>
      <c r="P948" t="n">
        <v>0</v>
      </c>
      <c r="Q948" t="n">
        <v>0</v>
      </c>
      <c r="R948" s="2" t="inlineStr"/>
    </row>
    <row r="949" ht="15" customHeight="1">
      <c r="A949" t="inlineStr">
        <is>
          <t>A 15992-2025</t>
        </is>
      </c>
      <c r="B949" s="1" t="n">
        <v>45749.58319444444</v>
      </c>
      <c r="C949" s="1" t="n">
        <v>46050</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2472-2025</t>
        </is>
      </c>
      <c r="B950" s="1" t="n">
        <v>45674.47341435185</v>
      </c>
      <c r="C950" s="1" t="n">
        <v>46050</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8239-2024</t>
        </is>
      </c>
      <c r="B951" s="1" t="n">
        <v>45351</v>
      </c>
      <c r="C951" s="1" t="n">
        <v>46050</v>
      </c>
      <c r="D951" t="inlineStr">
        <is>
          <t>JÄMTLANDS LÄN</t>
        </is>
      </c>
      <c r="E951" t="inlineStr">
        <is>
          <t>BERG</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46050</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44313-2023</t>
        </is>
      </c>
      <c r="B953" s="1" t="n">
        <v>45188.6505787037</v>
      </c>
      <c r="C953" s="1" t="n">
        <v>46050</v>
      </c>
      <c r="D953" t="inlineStr">
        <is>
          <t>JÄMTLANDS LÄN</t>
        </is>
      </c>
      <c r="E953" t="inlineStr">
        <is>
          <t>BERG</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19181-2025</t>
        </is>
      </c>
      <c r="B954" s="1" t="n">
        <v>45769.40174768519</v>
      </c>
      <c r="C954" s="1" t="n">
        <v>46050</v>
      </c>
      <c r="D954" t="inlineStr">
        <is>
          <t>JÄMTLANDS LÄN</t>
        </is>
      </c>
      <c r="E954" t="inlineStr">
        <is>
          <t>BERG</t>
        </is>
      </c>
      <c r="G954" t="n">
        <v>4.4</v>
      </c>
      <c r="H954" t="n">
        <v>0</v>
      </c>
      <c r="I954" t="n">
        <v>0</v>
      </c>
      <c r="J954" t="n">
        <v>0</v>
      </c>
      <c r="K954" t="n">
        <v>0</v>
      </c>
      <c r="L954" t="n">
        <v>0</v>
      </c>
      <c r="M954" t="n">
        <v>0</v>
      </c>
      <c r="N954" t="n">
        <v>0</v>
      </c>
      <c r="O954" t="n">
        <v>0</v>
      </c>
      <c r="P954" t="n">
        <v>0</v>
      </c>
      <c r="Q954" t="n">
        <v>0</v>
      </c>
      <c r="R954" s="2" t="inlineStr"/>
    </row>
    <row r="955" ht="15" customHeight="1">
      <c r="A955" t="inlineStr">
        <is>
          <t>A 19891-2025</t>
        </is>
      </c>
      <c r="B955" s="1" t="n">
        <v>45771.5743287037</v>
      </c>
      <c r="C955" s="1" t="n">
        <v>46050</v>
      </c>
      <c r="D955" t="inlineStr">
        <is>
          <t>JÄMTLANDS LÄN</t>
        </is>
      </c>
      <c r="E955" t="inlineStr">
        <is>
          <t>BERG</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30917-2024</t>
        </is>
      </c>
      <c r="B956" s="1" t="n">
        <v>45498.66611111111</v>
      </c>
      <c r="C956" s="1" t="n">
        <v>46050</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14341-2025</t>
        </is>
      </c>
      <c r="B957" s="1" t="n">
        <v>45741.26008101852</v>
      </c>
      <c r="C957" s="1" t="n">
        <v>46050</v>
      </c>
      <c r="D957" t="inlineStr">
        <is>
          <t>JÄMTLANDS LÄN</t>
        </is>
      </c>
      <c r="E957" t="inlineStr">
        <is>
          <t>BERG</t>
        </is>
      </c>
      <c r="G957" t="n">
        <v>3.8</v>
      </c>
      <c r="H957" t="n">
        <v>0</v>
      </c>
      <c r="I957" t="n">
        <v>0</v>
      </c>
      <c r="J957" t="n">
        <v>0</v>
      </c>
      <c r="K957" t="n">
        <v>0</v>
      </c>
      <c r="L957" t="n">
        <v>0</v>
      </c>
      <c r="M957" t="n">
        <v>0</v>
      </c>
      <c r="N957" t="n">
        <v>0</v>
      </c>
      <c r="O957" t="n">
        <v>0</v>
      </c>
      <c r="P957" t="n">
        <v>0</v>
      </c>
      <c r="Q957" t="n">
        <v>0</v>
      </c>
      <c r="R957" s="2" t="inlineStr"/>
    </row>
    <row r="958" ht="15" customHeight="1">
      <c r="A958" t="inlineStr">
        <is>
          <t>A 59634-2022</t>
        </is>
      </c>
      <c r="B958" s="1" t="n">
        <v>44907.9645949074</v>
      </c>
      <c r="C958" s="1" t="n">
        <v>46050</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46816-2023</t>
        </is>
      </c>
      <c r="B959" s="1" t="n">
        <v>45198</v>
      </c>
      <c r="C959" s="1" t="n">
        <v>46050</v>
      </c>
      <c r="D959" t="inlineStr">
        <is>
          <t>JÄMTLANDS LÄN</t>
        </is>
      </c>
      <c r="E959" t="inlineStr">
        <is>
          <t>BERG</t>
        </is>
      </c>
      <c r="F959" t="inlineStr">
        <is>
          <t>SCA</t>
        </is>
      </c>
      <c r="G959" t="n">
        <v>66.2</v>
      </c>
      <c r="H959" t="n">
        <v>0</v>
      </c>
      <c r="I959" t="n">
        <v>0</v>
      </c>
      <c r="J959" t="n">
        <v>0</v>
      </c>
      <c r="K959" t="n">
        <v>0</v>
      </c>
      <c r="L959" t="n">
        <v>0</v>
      </c>
      <c r="M959" t="n">
        <v>0</v>
      </c>
      <c r="N959" t="n">
        <v>0</v>
      </c>
      <c r="O959" t="n">
        <v>0</v>
      </c>
      <c r="P959" t="n">
        <v>0</v>
      </c>
      <c r="Q959" t="n">
        <v>0</v>
      </c>
      <c r="R959" s="2" t="inlineStr"/>
    </row>
    <row r="960" ht="15" customHeight="1">
      <c r="A960" t="inlineStr">
        <is>
          <t>A 49555-2023</t>
        </is>
      </c>
      <c r="B960" s="1" t="n">
        <v>45205</v>
      </c>
      <c r="C960" s="1" t="n">
        <v>46050</v>
      </c>
      <c r="D960" t="inlineStr">
        <is>
          <t>JÄMTLANDS LÄN</t>
        </is>
      </c>
      <c r="E960" t="inlineStr">
        <is>
          <t>BERG</t>
        </is>
      </c>
      <c r="G960" t="n">
        <v>0.6</v>
      </c>
      <c r="H960" t="n">
        <v>0</v>
      </c>
      <c r="I960" t="n">
        <v>0</v>
      </c>
      <c r="J960" t="n">
        <v>0</v>
      </c>
      <c r="K960" t="n">
        <v>0</v>
      </c>
      <c r="L960" t="n">
        <v>0</v>
      </c>
      <c r="M960" t="n">
        <v>0</v>
      </c>
      <c r="N960" t="n">
        <v>0</v>
      </c>
      <c r="O960" t="n">
        <v>0</v>
      </c>
      <c r="P960" t="n">
        <v>0</v>
      </c>
      <c r="Q960" t="n">
        <v>0</v>
      </c>
      <c r="R960" s="2" t="inlineStr"/>
    </row>
    <row r="961" ht="15" customHeight="1">
      <c r="A961" t="inlineStr">
        <is>
          <t>A 59521-2024</t>
        </is>
      </c>
      <c r="B961" s="1" t="n">
        <v>45638.57283564815</v>
      </c>
      <c r="C961" s="1" t="n">
        <v>46050</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19513-2025</t>
        </is>
      </c>
      <c r="B962" s="1" t="n">
        <v>45770.42762731481</v>
      </c>
      <c r="C962" s="1" t="n">
        <v>46050</v>
      </c>
      <c r="D962" t="inlineStr">
        <is>
          <t>JÄMTLANDS LÄN</t>
        </is>
      </c>
      <c r="E962" t="inlineStr">
        <is>
          <t>BERG</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9478-2024</t>
        </is>
      </c>
      <c r="B963" s="1" t="n">
        <v>45359.5732175926</v>
      </c>
      <c r="C963" s="1" t="n">
        <v>46050</v>
      </c>
      <c r="D963" t="inlineStr">
        <is>
          <t>JÄMTLANDS LÄN</t>
        </is>
      </c>
      <c r="E963" t="inlineStr">
        <is>
          <t>BERG</t>
        </is>
      </c>
      <c r="G963" t="n">
        <v>6.2</v>
      </c>
      <c r="H963" t="n">
        <v>0</v>
      </c>
      <c r="I963" t="n">
        <v>0</v>
      </c>
      <c r="J963" t="n">
        <v>0</v>
      </c>
      <c r="K963" t="n">
        <v>0</v>
      </c>
      <c r="L963" t="n">
        <v>0</v>
      </c>
      <c r="M963" t="n">
        <v>0</v>
      </c>
      <c r="N963" t="n">
        <v>0</v>
      </c>
      <c r="O963" t="n">
        <v>0</v>
      </c>
      <c r="P963" t="n">
        <v>0</v>
      </c>
      <c r="Q963" t="n">
        <v>0</v>
      </c>
      <c r="R963" s="2" t="inlineStr"/>
    </row>
    <row r="964" ht="15" customHeight="1">
      <c r="A964" t="inlineStr">
        <is>
          <t>A 21156-2025</t>
        </is>
      </c>
      <c r="B964" s="1" t="n">
        <v>45779.37599537037</v>
      </c>
      <c r="C964" s="1" t="n">
        <v>46050</v>
      </c>
      <c r="D964" t="inlineStr">
        <is>
          <t>JÄMTLANDS LÄN</t>
        </is>
      </c>
      <c r="E964" t="inlineStr">
        <is>
          <t>BERG</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46050</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21292-2025</t>
        </is>
      </c>
      <c r="B966" s="1" t="n">
        <v>45780.39354166666</v>
      </c>
      <c r="C966" s="1" t="n">
        <v>46050</v>
      </c>
      <c r="D966" t="inlineStr">
        <is>
          <t>JÄMTLANDS LÄN</t>
        </is>
      </c>
      <c r="E966" t="inlineStr">
        <is>
          <t>BERG</t>
        </is>
      </c>
      <c r="G966" t="n">
        <v>1.6</v>
      </c>
      <c r="H966" t="n">
        <v>0</v>
      </c>
      <c r="I966" t="n">
        <v>0</v>
      </c>
      <c r="J966" t="n">
        <v>0</v>
      </c>
      <c r="K966" t="n">
        <v>0</v>
      </c>
      <c r="L966" t="n">
        <v>0</v>
      </c>
      <c r="M966" t="n">
        <v>0</v>
      </c>
      <c r="N966" t="n">
        <v>0</v>
      </c>
      <c r="O966" t="n">
        <v>0</v>
      </c>
      <c r="P966" t="n">
        <v>0</v>
      </c>
      <c r="Q966" t="n">
        <v>0</v>
      </c>
      <c r="R966" s="2" t="inlineStr"/>
    </row>
    <row r="967" ht="15" customHeight="1">
      <c r="A967" t="inlineStr">
        <is>
          <t>A 32020-2023</t>
        </is>
      </c>
      <c r="B967" s="1" t="n">
        <v>45119.49261574074</v>
      </c>
      <c r="C967" s="1" t="n">
        <v>46050</v>
      </c>
      <c r="D967" t="inlineStr">
        <is>
          <t>JÄMTLANDS LÄN</t>
        </is>
      </c>
      <c r="E967" t="inlineStr">
        <is>
          <t>BERG</t>
        </is>
      </c>
      <c r="G967" t="n">
        <v>10.3</v>
      </c>
      <c r="H967" t="n">
        <v>0</v>
      </c>
      <c r="I967" t="n">
        <v>0</v>
      </c>
      <c r="J967" t="n">
        <v>0</v>
      </c>
      <c r="K967" t="n">
        <v>0</v>
      </c>
      <c r="L967" t="n">
        <v>0</v>
      </c>
      <c r="M967" t="n">
        <v>0</v>
      </c>
      <c r="N967" t="n">
        <v>0</v>
      </c>
      <c r="O967" t="n">
        <v>0</v>
      </c>
      <c r="P967" t="n">
        <v>0</v>
      </c>
      <c r="Q967" t="n">
        <v>0</v>
      </c>
      <c r="R967" s="2" t="inlineStr"/>
    </row>
    <row r="968" ht="15" customHeight="1">
      <c r="A968" t="inlineStr">
        <is>
          <t>A 22180-2025</t>
        </is>
      </c>
      <c r="B968" s="1" t="n">
        <v>45785</v>
      </c>
      <c r="C968" s="1" t="n">
        <v>46050</v>
      </c>
      <c r="D968" t="inlineStr">
        <is>
          <t>JÄMTLANDS LÄN</t>
        </is>
      </c>
      <c r="E968" t="inlineStr">
        <is>
          <t>BERG</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46050</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46050</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46366-2024</t>
        </is>
      </c>
      <c r="B971" s="1" t="n">
        <v>45582.36490740741</v>
      </c>
      <c r="C971" s="1" t="n">
        <v>46050</v>
      </c>
      <c r="D971" t="inlineStr">
        <is>
          <t>JÄMTLANDS LÄN</t>
        </is>
      </c>
      <c r="E971" t="inlineStr">
        <is>
          <t>BERG</t>
        </is>
      </c>
      <c r="G971" t="n">
        <v>5</v>
      </c>
      <c r="H971" t="n">
        <v>0</v>
      </c>
      <c r="I971" t="n">
        <v>0</v>
      </c>
      <c r="J971" t="n">
        <v>0</v>
      </c>
      <c r="K971" t="n">
        <v>0</v>
      </c>
      <c r="L971" t="n">
        <v>0</v>
      </c>
      <c r="M971" t="n">
        <v>0</v>
      </c>
      <c r="N971" t="n">
        <v>0</v>
      </c>
      <c r="O971" t="n">
        <v>0</v>
      </c>
      <c r="P971" t="n">
        <v>0</v>
      </c>
      <c r="Q971" t="n">
        <v>0</v>
      </c>
      <c r="R971" s="2" t="inlineStr"/>
    </row>
    <row r="972" ht="15" customHeight="1">
      <c r="A972" t="inlineStr">
        <is>
          <t>A 22724-2025</t>
        </is>
      </c>
      <c r="B972" s="1" t="n">
        <v>45789.57361111111</v>
      </c>
      <c r="C972" s="1" t="n">
        <v>46050</v>
      </c>
      <c r="D972" t="inlineStr">
        <is>
          <t>JÄMTLANDS LÄN</t>
        </is>
      </c>
      <c r="E972" t="inlineStr">
        <is>
          <t>BERG</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22672-2025</t>
        </is>
      </c>
      <c r="B973" s="1" t="n">
        <v>45789.4903587963</v>
      </c>
      <c r="C973" s="1" t="n">
        <v>46050</v>
      </c>
      <c r="D973" t="inlineStr">
        <is>
          <t>JÄMTLANDS LÄN</t>
        </is>
      </c>
      <c r="E973" t="inlineStr">
        <is>
          <t>BERG</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22653-2025</t>
        </is>
      </c>
      <c r="B974" s="1" t="n">
        <v>45789.46931712963</v>
      </c>
      <c r="C974" s="1" t="n">
        <v>46050</v>
      </c>
      <c r="D974" t="inlineStr">
        <is>
          <t>JÄMTLANDS LÄN</t>
        </is>
      </c>
      <c r="E974" t="inlineStr">
        <is>
          <t>BERG</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22478-2025</t>
        </is>
      </c>
      <c r="B975" s="1" t="n">
        <v>45786.6349537037</v>
      </c>
      <c r="C975" s="1" t="n">
        <v>46050</v>
      </c>
      <c r="D975" t="inlineStr">
        <is>
          <t>JÄMTLANDS LÄN</t>
        </is>
      </c>
      <c r="E975" t="inlineStr">
        <is>
          <t>BERG</t>
        </is>
      </c>
      <c r="G975" t="n">
        <v>2.5</v>
      </c>
      <c r="H975" t="n">
        <v>0</v>
      </c>
      <c r="I975" t="n">
        <v>0</v>
      </c>
      <c r="J975" t="n">
        <v>0</v>
      </c>
      <c r="K975" t="n">
        <v>0</v>
      </c>
      <c r="L975" t="n">
        <v>0</v>
      </c>
      <c r="M975" t="n">
        <v>0</v>
      </c>
      <c r="N975" t="n">
        <v>0</v>
      </c>
      <c r="O975" t="n">
        <v>0</v>
      </c>
      <c r="P975" t="n">
        <v>0</v>
      </c>
      <c r="Q975" t="n">
        <v>0</v>
      </c>
      <c r="R975" s="2" t="inlineStr"/>
    </row>
    <row r="976" ht="15" customHeight="1">
      <c r="A976" t="inlineStr">
        <is>
          <t>A 34650-2024</t>
        </is>
      </c>
      <c r="B976" s="1" t="n">
        <v>45526.48329861111</v>
      </c>
      <c r="C976" s="1" t="n">
        <v>46050</v>
      </c>
      <c r="D976" t="inlineStr">
        <is>
          <t>JÄMTLANDS LÄN</t>
        </is>
      </c>
      <c r="E976" t="inlineStr">
        <is>
          <t>BERG</t>
        </is>
      </c>
      <c r="G976" t="n">
        <v>4.9</v>
      </c>
      <c r="H976" t="n">
        <v>0</v>
      </c>
      <c r="I976" t="n">
        <v>0</v>
      </c>
      <c r="J976" t="n">
        <v>0</v>
      </c>
      <c r="K976" t="n">
        <v>0</v>
      </c>
      <c r="L976" t="n">
        <v>0</v>
      </c>
      <c r="M976" t="n">
        <v>0</v>
      </c>
      <c r="N976" t="n">
        <v>0</v>
      </c>
      <c r="O976" t="n">
        <v>0</v>
      </c>
      <c r="P976" t="n">
        <v>0</v>
      </c>
      <c r="Q976" t="n">
        <v>0</v>
      </c>
      <c r="R976" s="2" t="inlineStr"/>
    </row>
    <row r="977" ht="15" customHeight="1">
      <c r="A977" t="inlineStr">
        <is>
          <t>A 22991-2025</t>
        </is>
      </c>
      <c r="B977" s="1" t="n">
        <v>45790.57836805555</v>
      </c>
      <c r="C977" s="1" t="n">
        <v>46050</v>
      </c>
      <c r="D977" t="inlineStr">
        <is>
          <t>JÄMTLANDS LÄN</t>
        </is>
      </c>
      <c r="E977" t="inlineStr">
        <is>
          <t>BERG</t>
        </is>
      </c>
      <c r="G977" t="n">
        <v>1.2</v>
      </c>
      <c r="H977" t="n">
        <v>0</v>
      </c>
      <c r="I977" t="n">
        <v>0</v>
      </c>
      <c r="J977" t="n">
        <v>0</v>
      </c>
      <c r="K977" t="n">
        <v>0</v>
      </c>
      <c r="L977" t="n">
        <v>0</v>
      </c>
      <c r="M977" t="n">
        <v>0</v>
      </c>
      <c r="N977" t="n">
        <v>0</v>
      </c>
      <c r="O977" t="n">
        <v>0</v>
      </c>
      <c r="P977" t="n">
        <v>0</v>
      </c>
      <c r="Q977" t="n">
        <v>0</v>
      </c>
      <c r="R977" s="2" t="inlineStr"/>
    </row>
    <row r="978" ht="15" customHeight="1">
      <c r="A978" t="inlineStr">
        <is>
          <t>A 23026-2025</t>
        </is>
      </c>
      <c r="B978" s="1" t="n">
        <v>45790.65690972222</v>
      </c>
      <c r="C978" s="1" t="n">
        <v>46050</v>
      </c>
      <c r="D978" t="inlineStr">
        <is>
          <t>JÄMTLANDS LÄN</t>
        </is>
      </c>
      <c r="E978" t="inlineStr">
        <is>
          <t>BERG</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22995-2025</t>
        </is>
      </c>
      <c r="B979" s="1" t="n">
        <v>45790.58265046297</v>
      </c>
      <c r="C979" s="1" t="n">
        <v>46050</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23766-2025</t>
        </is>
      </c>
      <c r="B980" s="1" t="n">
        <v>45793.46954861111</v>
      </c>
      <c r="C980" s="1" t="n">
        <v>46050</v>
      </c>
      <c r="D980" t="inlineStr">
        <is>
          <t>JÄMTLANDS LÄN</t>
        </is>
      </c>
      <c r="E980" t="inlineStr">
        <is>
          <t>BERG</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23913-2025</t>
        </is>
      </c>
      <c r="B981" s="1" t="n">
        <v>45795.34442129629</v>
      </c>
      <c r="C981" s="1" t="n">
        <v>46050</v>
      </c>
      <c r="D981" t="inlineStr">
        <is>
          <t>JÄMTLANDS LÄN</t>
        </is>
      </c>
      <c r="E981" t="inlineStr">
        <is>
          <t>BERG</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23919-2025</t>
        </is>
      </c>
      <c r="B982" s="1" t="n">
        <v>45795.34497685185</v>
      </c>
      <c r="C982" s="1" t="n">
        <v>46050</v>
      </c>
      <c r="D982" t="inlineStr">
        <is>
          <t>JÄMTLANDS LÄN</t>
        </is>
      </c>
      <c r="E982" t="inlineStr">
        <is>
          <t>BERG</t>
        </is>
      </c>
      <c r="F982" t="inlineStr">
        <is>
          <t>SCA</t>
        </is>
      </c>
      <c r="G982" t="n">
        <v>3.4</v>
      </c>
      <c r="H982" t="n">
        <v>0</v>
      </c>
      <c r="I982" t="n">
        <v>0</v>
      </c>
      <c r="J982" t="n">
        <v>0</v>
      </c>
      <c r="K982" t="n">
        <v>0</v>
      </c>
      <c r="L982" t="n">
        <v>0</v>
      </c>
      <c r="M982" t="n">
        <v>0</v>
      </c>
      <c r="N982" t="n">
        <v>0</v>
      </c>
      <c r="O982" t="n">
        <v>0</v>
      </c>
      <c r="P982" t="n">
        <v>0</v>
      </c>
      <c r="Q982" t="n">
        <v>0</v>
      </c>
      <c r="R982" s="2" t="inlineStr"/>
    </row>
    <row r="983">
      <c r="A983" t="inlineStr">
        <is>
          <t>A 24324-2025</t>
        </is>
      </c>
      <c r="B983" s="1" t="n">
        <v>45797.56049768518</v>
      </c>
      <c r="C983" s="1" t="n">
        <v>46050</v>
      </c>
      <c r="D983" t="inlineStr">
        <is>
          <t>JÄMTLANDS LÄN</t>
        </is>
      </c>
      <c r="E983" t="inlineStr">
        <is>
          <t>BERG</t>
        </is>
      </c>
      <c r="G983" t="n">
        <v>1.6</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2026-01-28T11:03:51Z</dcterms:created>
  <dcterms:modified xmlns:dcterms="http://purl.org/dc/terms/" xmlns:xsi="http://www.w3.org/2001/XMLSchema-instance" xsi:type="dcterms:W3CDTF">2026-01-28T11:03:52Z</dcterms:modified>
</cp:coreProperties>
</file>