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45643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45643</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45643</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45643</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45643</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45643</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45643</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45643</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45643</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45643</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45643</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45643</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45643</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47127-2024</t>
        </is>
      </c>
      <c r="B15" s="1" t="n">
        <v>45586</v>
      </c>
      <c r="C15" s="1" t="n">
        <v>45643</v>
      </c>
      <c r="D15" t="inlineStr">
        <is>
          <t>JÄMTLANDS LÄN</t>
        </is>
      </c>
      <c r="E15" t="inlineStr">
        <is>
          <t>BERG</t>
        </is>
      </c>
      <c r="G15" t="n">
        <v>24.2</v>
      </c>
      <c r="H15" t="n">
        <v>6</v>
      </c>
      <c r="I15" t="n">
        <v>4</v>
      </c>
      <c r="J15" t="n">
        <v>10</v>
      </c>
      <c r="K15" t="n">
        <v>1</v>
      </c>
      <c r="L15" t="n">
        <v>0</v>
      </c>
      <c r="M15" t="n">
        <v>0</v>
      </c>
      <c r="N15" t="n">
        <v>0</v>
      </c>
      <c r="O15" t="n">
        <v>11</v>
      </c>
      <c r="P15" t="n">
        <v>1</v>
      </c>
      <c r="Q15" t="n">
        <v>17</v>
      </c>
      <c r="R15" s="2" t="inlineStr">
        <is>
          <t>Knärot
Brunpudrad nållav
Gammelgransskål
Garnlav
Granticka
Lunglav
Mörk kolflarnlav
Skrovellav
Talltita
Tretåig hackspett
Vedflamlav
Bollvitmossa
Dropptaggsvamp
Plattlummer
Tibast
Tjäder
Revlummer</t>
        </is>
      </c>
      <c r="S15">
        <f>HYPERLINK("https://klasma.github.io/Logging_2326/artfynd/A 47127-2024 artfynd.xlsx", "A 47127-2024")</f>
        <v/>
      </c>
      <c r="T15">
        <f>HYPERLINK("https://klasma.github.io/Logging_2326/kartor/A 47127-2024 karta.png", "A 47127-2024")</f>
        <v/>
      </c>
      <c r="U15">
        <f>HYPERLINK("https://klasma.github.io/Logging_2326/knärot/A 47127-2024 karta knärot.png", "A 47127-2024")</f>
        <v/>
      </c>
      <c r="V15">
        <f>HYPERLINK("https://klasma.github.io/Logging_2326/klagomål/A 47127-2024 FSC-klagomål.docx", "A 47127-2024")</f>
        <v/>
      </c>
      <c r="W15">
        <f>HYPERLINK("https://klasma.github.io/Logging_2326/klagomålsmail/A 47127-2024 FSC-klagomål mail.docx", "A 47127-2024")</f>
        <v/>
      </c>
      <c r="X15">
        <f>HYPERLINK("https://klasma.github.io/Logging_2326/tillsyn/A 47127-2024 tillsynsbegäran.docx", "A 47127-2024")</f>
        <v/>
      </c>
      <c r="Y15">
        <f>HYPERLINK("https://klasma.github.io/Logging_2326/tillsynsmail/A 47127-2024 tillsynsbegäran mail.docx", "A 47127-2024")</f>
        <v/>
      </c>
      <c r="Z15">
        <f>HYPERLINK("https://klasma.github.io/Logging_2326/fåglar/A 47127-2024 prioriterade fågelarter.docx", "A 47127-2024")</f>
        <v/>
      </c>
    </row>
    <row r="16" ht="15" customHeight="1">
      <c r="A16" t="inlineStr">
        <is>
          <t>A 35741-2022</t>
        </is>
      </c>
      <c r="B16" s="1" t="n">
        <v>44799</v>
      </c>
      <c r="C16" s="1" t="n">
        <v>45643</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45643</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45643</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45643</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45643</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45643</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45643</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45643</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17919-2024</t>
        </is>
      </c>
      <c r="B24" s="1" t="n">
        <v>45419</v>
      </c>
      <c r="C24" s="1" t="n">
        <v>45643</v>
      </c>
      <c r="D24" t="inlineStr">
        <is>
          <t>JÄMTLANDS LÄN</t>
        </is>
      </c>
      <c r="E24" t="inlineStr">
        <is>
          <t>BERG</t>
        </is>
      </c>
      <c r="G24" t="n">
        <v>10.3</v>
      </c>
      <c r="H24" t="n">
        <v>3</v>
      </c>
      <c r="I24" t="n">
        <v>7</v>
      </c>
      <c r="J24" t="n">
        <v>5</v>
      </c>
      <c r="K24" t="n">
        <v>0</v>
      </c>
      <c r="L24" t="n">
        <v>0</v>
      </c>
      <c r="M24" t="n">
        <v>0</v>
      </c>
      <c r="N24" t="n">
        <v>0</v>
      </c>
      <c r="O24" t="n">
        <v>5</v>
      </c>
      <c r="P24" t="n">
        <v>0</v>
      </c>
      <c r="Q24" t="n">
        <v>13</v>
      </c>
      <c r="R24" s="2" t="inlineStr">
        <is>
          <t>Granticka
Lunglav
Skorpgelélav
Tretåig hackspett
Vitgrynig nållav
Barkkornlav
Kransrams
Luddlav
Mörk husmossa
Skogshakmossa
Spindelblomster
Stuplav
Fläcknycklar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33076-2024</t>
        </is>
      </c>
      <c r="B25" s="1" t="n">
        <v>45517</v>
      </c>
      <c r="C25" s="1" t="n">
        <v>45643</v>
      </c>
      <c r="D25" t="inlineStr">
        <is>
          <t>JÄMTLANDS LÄN</t>
        </is>
      </c>
      <c r="E25" t="inlineStr">
        <is>
          <t>BERG</t>
        </is>
      </c>
      <c r="G25" t="n">
        <v>7.9</v>
      </c>
      <c r="H25" t="n">
        <v>4</v>
      </c>
      <c r="I25" t="n">
        <v>2</v>
      </c>
      <c r="J25" t="n">
        <v>8</v>
      </c>
      <c r="K25" t="n">
        <v>1</v>
      </c>
      <c r="L25" t="n">
        <v>0</v>
      </c>
      <c r="M25" t="n">
        <v>0</v>
      </c>
      <c r="N25" t="n">
        <v>0</v>
      </c>
      <c r="O25" t="n">
        <v>9</v>
      </c>
      <c r="P25" t="n">
        <v>1</v>
      </c>
      <c r="Q25" t="n">
        <v>13</v>
      </c>
      <c r="R25" s="2" t="inlineStr">
        <is>
          <t>Knärot
Blanksvart spiklav
Garnlav
Granticka
Lunglav
Mörk kolflarnlav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45643</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45643</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45643</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45643</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45643</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45643</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45643</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45643</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45643</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45643</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45643</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45643</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53455-2024</t>
        </is>
      </c>
      <c r="B38" s="1" t="n">
        <v>45614</v>
      </c>
      <c r="C38" s="1" t="n">
        <v>45643</v>
      </c>
      <c r="D38" t="inlineStr">
        <is>
          <t>JÄMTLANDS LÄN</t>
        </is>
      </c>
      <c r="E38" t="inlineStr">
        <is>
          <t>BERG</t>
        </is>
      </c>
      <c r="G38" t="n">
        <v>4</v>
      </c>
      <c r="H38" t="n">
        <v>3</v>
      </c>
      <c r="I38" t="n">
        <v>1</v>
      </c>
      <c r="J38" t="n">
        <v>7</v>
      </c>
      <c r="K38" t="n">
        <v>1</v>
      </c>
      <c r="L38" t="n">
        <v>0</v>
      </c>
      <c r="M38" t="n">
        <v>0</v>
      </c>
      <c r="N38" t="n">
        <v>0</v>
      </c>
      <c r="O38" t="n">
        <v>8</v>
      </c>
      <c r="P38" t="n">
        <v>1</v>
      </c>
      <c r="Q38" t="n">
        <v>9</v>
      </c>
      <c r="R38" s="2" t="inlineStr">
        <is>
          <t>Knärot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7672-2023</t>
        </is>
      </c>
      <c r="B39" s="1" t="n">
        <v>44967</v>
      </c>
      <c r="C39" s="1" t="n">
        <v>45643</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45643</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45643</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45643</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45643</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45643</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45643</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45643</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45643</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45643</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45643</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45643</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45643</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45643</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45643</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45643</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45643</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45643</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39021-2020</t>
        </is>
      </c>
      <c r="B57" s="1" t="n">
        <v>44062</v>
      </c>
      <c r="C57" s="1" t="n">
        <v>45643</v>
      </c>
      <c r="D57" t="inlineStr">
        <is>
          <t>JÄMTLANDS LÄN</t>
        </is>
      </c>
      <c r="E57" t="inlineStr">
        <is>
          <t>BERG</t>
        </is>
      </c>
      <c r="G57" t="n">
        <v>18</v>
      </c>
      <c r="H57" t="n">
        <v>0</v>
      </c>
      <c r="I57" t="n">
        <v>0</v>
      </c>
      <c r="J57" t="n">
        <v>5</v>
      </c>
      <c r="K57" t="n">
        <v>0</v>
      </c>
      <c r="L57" t="n">
        <v>0</v>
      </c>
      <c r="M57" t="n">
        <v>0</v>
      </c>
      <c r="N57" t="n">
        <v>0</v>
      </c>
      <c r="O57" t="n">
        <v>5</v>
      </c>
      <c r="P57" t="n">
        <v>0</v>
      </c>
      <c r="Q57" t="n">
        <v>5</v>
      </c>
      <c r="R57" s="2" t="inlineStr">
        <is>
          <t>Kolflarnlav
Mörk kolflarnlav
Vedflamlav
Vedskivlav
Vitplätt</t>
        </is>
      </c>
      <c r="S57">
        <f>HYPERLINK("https://klasma.github.io/Logging_2326/artfynd/A 39021-2020 artfynd.xlsx", "A 39021-2020")</f>
        <v/>
      </c>
      <c r="T57">
        <f>HYPERLINK("https://klasma.github.io/Logging_2326/kartor/A 39021-2020 karta.png", "A 39021-2020")</f>
        <v/>
      </c>
      <c r="V57">
        <f>HYPERLINK("https://klasma.github.io/Logging_2326/klagomål/A 39021-2020 FSC-klagomål.docx", "A 39021-2020")</f>
        <v/>
      </c>
      <c r="W57">
        <f>HYPERLINK("https://klasma.github.io/Logging_2326/klagomålsmail/A 39021-2020 FSC-klagomål mail.docx", "A 39021-2020")</f>
        <v/>
      </c>
      <c r="X57">
        <f>HYPERLINK("https://klasma.github.io/Logging_2326/tillsyn/A 39021-2020 tillsynsbegäran.docx", "A 39021-2020")</f>
        <v/>
      </c>
      <c r="Y57">
        <f>HYPERLINK("https://klasma.github.io/Logging_2326/tillsynsmail/A 39021-2020 tillsynsbegäran mail.docx", "A 39021-2020")</f>
        <v/>
      </c>
    </row>
    <row r="58" ht="15" customHeight="1">
      <c r="A58" t="inlineStr">
        <is>
          <t>A 56203-2021</t>
        </is>
      </c>
      <c r="B58" s="1" t="n">
        <v>44477</v>
      </c>
      <c r="C58" s="1" t="n">
        <v>45643</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54841-2022</t>
        </is>
      </c>
      <c r="B59" s="1" t="n">
        <v>44883</v>
      </c>
      <c r="C59" s="1" t="n">
        <v>45643</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55332-2023</t>
        </is>
      </c>
      <c r="B60" s="1" t="n">
        <v>45238</v>
      </c>
      <c r="C60" s="1" t="n">
        <v>45643</v>
      </c>
      <c r="D60" t="inlineStr">
        <is>
          <t>JÄMTLANDS LÄN</t>
        </is>
      </c>
      <c r="E60" t="inlineStr">
        <is>
          <t>BERG</t>
        </is>
      </c>
      <c r="F60" t="inlineStr">
        <is>
          <t>SCA</t>
        </is>
      </c>
      <c r="G60" t="n">
        <v>13</v>
      </c>
      <c r="H60" t="n">
        <v>0</v>
      </c>
      <c r="I60" t="n">
        <v>0</v>
      </c>
      <c r="J60" t="n">
        <v>3</v>
      </c>
      <c r="K60" t="n">
        <v>2</v>
      </c>
      <c r="L60" t="n">
        <v>0</v>
      </c>
      <c r="M60" t="n">
        <v>0</v>
      </c>
      <c r="N60" t="n">
        <v>0</v>
      </c>
      <c r="O60" t="n">
        <v>5</v>
      </c>
      <c r="P60" t="n">
        <v>2</v>
      </c>
      <c r="Q60" t="n">
        <v>5</v>
      </c>
      <c r="R60" s="2" t="inlineStr">
        <is>
          <t>Smalfotad taggsvamp
Tajgataggsvamp
Blanksvart spiklav
Reliktbock
Vedflamlav</t>
        </is>
      </c>
      <c r="S60">
        <f>HYPERLINK("https://klasma.github.io/Logging_2326/artfynd/A 55332-2023 artfynd.xlsx", "A 55332-2023")</f>
        <v/>
      </c>
      <c r="T60">
        <f>HYPERLINK("https://klasma.github.io/Logging_2326/kartor/A 55332-2023 karta.png", "A 55332-2023")</f>
        <v/>
      </c>
      <c r="V60">
        <f>HYPERLINK("https://klasma.github.io/Logging_2326/klagomål/A 55332-2023 FSC-klagomål.docx", "A 55332-2023")</f>
        <v/>
      </c>
      <c r="W60">
        <f>HYPERLINK("https://klasma.github.io/Logging_2326/klagomålsmail/A 55332-2023 FSC-klagomål mail.docx", "A 55332-2023")</f>
        <v/>
      </c>
      <c r="X60">
        <f>HYPERLINK("https://klasma.github.io/Logging_2326/tillsyn/A 55332-2023 tillsynsbegäran.docx", "A 55332-2023")</f>
        <v/>
      </c>
      <c r="Y60">
        <f>HYPERLINK("https://klasma.github.io/Logging_2326/tillsynsmail/A 55332-2023 tillsynsbegäran mail.docx", "A 55332-2023")</f>
        <v/>
      </c>
    </row>
    <row r="61" ht="15" customHeight="1">
      <c r="A61" t="inlineStr">
        <is>
          <t>A 22356-2024</t>
        </is>
      </c>
      <c r="B61" s="1" t="n">
        <v>45446</v>
      </c>
      <c r="C61" s="1" t="n">
        <v>45643</v>
      </c>
      <c r="D61" t="inlineStr">
        <is>
          <t>JÄMTLANDS LÄN</t>
        </is>
      </c>
      <c r="E61" t="inlineStr">
        <is>
          <t>BERG</t>
        </is>
      </c>
      <c r="G61" t="n">
        <v>18.5</v>
      </c>
      <c r="H61" t="n">
        <v>0</v>
      </c>
      <c r="I61" t="n">
        <v>1</v>
      </c>
      <c r="J61" t="n">
        <v>4</v>
      </c>
      <c r="K61" t="n">
        <v>0</v>
      </c>
      <c r="L61" t="n">
        <v>0</v>
      </c>
      <c r="M61" t="n">
        <v>0</v>
      </c>
      <c r="N61" t="n">
        <v>0</v>
      </c>
      <c r="O61" t="n">
        <v>4</v>
      </c>
      <c r="P61" t="n">
        <v>0</v>
      </c>
      <c r="Q61" t="n">
        <v>5</v>
      </c>
      <c r="R61" s="2" t="inlineStr">
        <is>
          <t>Garnlav
Granticka
Mörk kolflarnlav
Vedflamlav
Norrlandslav</t>
        </is>
      </c>
      <c r="S61">
        <f>HYPERLINK("https://klasma.github.io/Logging_2326/artfynd/A 22356-2024 artfynd.xlsx", "A 22356-2024")</f>
        <v/>
      </c>
      <c r="T61">
        <f>HYPERLINK("https://klasma.github.io/Logging_2326/kartor/A 22356-2024 karta.png", "A 22356-2024")</f>
        <v/>
      </c>
      <c r="V61">
        <f>HYPERLINK("https://klasma.github.io/Logging_2326/klagomål/A 22356-2024 FSC-klagomål.docx", "A 22356-2024")</f>
        <v/>
      </c>
      <c r="W61">
        <f>HYPERLINK("https://klasma.github.io/Logging_2326/klagomålsmail/A 22356-2024 FSC-klagomål mail.docx", "A 22356-2024")</f>
        <v/>
      </c>
      <c r="X61">
        <f>HYPERLINK("https://klasma.github.io/Logging_2326/tillsyn/A 22356-2024 tillsynsbegäran.docx", "A 22356-2024")</f>
        <v/>
      </c>
      <c r="Y61">
        <f>HYPERLINK("https://klasma.github.io/Logging_2326/tillsynsmail/A 22356-2024 tillsynsbegäran mail.docx", "A 22356-2024")</f>
        <v/>
      </c>
    </row>
    <row r="62" ht="15" customHeight="1">
      <c r="A62" t="inlineStr">
        <is>
          <t>A 24204-2024</t>
        </is>
      </c>
      <c r="B62" s="1" t="n">
        <v>45456</v>
      </c>
      <c r="C62" s="1" t="n">
        <v>45643</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26853-2024</t>
        </is>
      </c>
      <c r="B63" s="1" t="n">
        <v>45470</v>
      </c>
      <c r="C63" s="1" t="n">
        <v>45643</v>
      </c>
      <c r="D63" t="inlineStr">
        <is>
          <t>JÄMTLANDS LÄN</t>
        </is>
      </c>
      <c r="E63" t="inlineStr">
        <is>
          <t>BERG</t>
        </is>
      </c>
      <c r="G63" t="n">
        <v>25.9</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HYPERLINK("https://klasma.github.io/Logging_2326/artfynd/A 26853-2024 artfynd.xlsx", "A 26853-2024")</f>
        <v/>
      </c>
      <c r="T63">
        <f>HYPERLINK("https://klasma.github.io/Logging_2326/kartor/A 26853-2024 karta.png", "A 26853-2024")</f>
        <v/>
      </c>
      <c r="V63">
        <f>HYPERLINK("https://klasma.github.io/Logging_2326/klagomål/A 26853-2024 FSC-klagomål.docx", "A 26853-2024")</f>
        <v/>
      </c>
      <c r="W63">
        <f>HYPERLINK("https://klasma.github.io/Logging_2326/klagomålsmail/A 26853-2024 FSC-klagomål mail.docx", "A 26853-2024")</f>
        <v/>
      </c>
      <c r="X63">
        <f>HYPERLINK("https://klasma.github.io/Logging_2326/tillsyn/A 26853-2024 tillsynsbegäran.docx", "A 26853-2024")</f>
        <v/>
      </c>
      <c r="Y63">
        <f>HYPERLINK("https://klasma.github.io/Logging_2326/tillsynsmail/A 26853-2024 tillsynsbegäran mail.docx", "A 26853-2024")</f>
        <v/>
      </c>
      <c r="Z63">
        <f>HYPERLINK("https://klasma.github.io/Logging_2326/fåglar/A 26853-2024 prioriterade fågelarter.docx", "A 26853-2024")</f>
        <v/>
      </c>
    </row>
    <row r="64" ht="15" customHeight="1">
      <c r="A64" t="inlineStr">
        <is>
          <t>A 28770-2024</t>
        </is>
      </c>
      <c r="B64" s="1" t="n">
        <v>45478</v>
      </c>
      <c r="C64" s="1" t="n">
        <v>45643</v>
      </c>
      <c r="D64" t="inlineStr">
        <is>
          <t>JÄMTLANDS LÄN</t>
        </is>
      </c>
      <c r="E64" t="inlineStr">
        <is>
          <t>BERG</t>
        </is>
      </c>
      <c r="G64" t="n">
        <v>19.5</v>
      </c>
      <c r="H64" t="n">
        <v>0</v>
      </c>
      <c r="I64" t="n">
        <v>0</v>
      </c>
      <c r="J64" t="n">
        <v>5</v>
      </c>
      <c r="K64" t="n">
        <v>0</v>
      </c>
      <c r="L64" t="n">
        <v>0</v>
      </c>
      <c r="M64" t="n">
        <v>0</v>
      </c>
      <c r="N64" t="n">
        <v>0</v>
      </c>
      <c r="O64" t="n">
        <v>5</v>
      </c>
      <c r="P64" t="n">
        <v>0</v>
      </c>
      <c r="Q64" t="n">
        <v>5</v>
      </c>
      <c r="R64" s="2" t="inlineStr">
        <is>
          <t>Blågrå svartspik
Dvärgbägarlav
Lunglav
Mörk kolflarnlav
Vedskivlav</t>
        </is>
      </c>
      <c r="S64">
        <f>HYPERLINK("https://klasma.github.io/Logging_2326/artfynd/A 28770-2024 artfynd.xlsx", "A 28770-2024")</f>
        <v/>
      </c>
      <c r="T64">
        <f>HYPERLINK("https://klasma.github.io/Logging_2326/kartor/A 28770-2024 karta.png", "A 28770-2024")</f>
        <v/>
      </c>
      <c r="V64">
        <f>HYPERLINK("https://klasma.github.io/Logging_2326/klagomål/A 28770-2024 FSC-klagomål.docx", "A 28770-2024")</f>
        <v/>
      </c>
      <c r="W64">
        <f>HYPERLINK("https://klasma.github.io/Logging_2326/klagomålsmail/A 28770-2024 FSC-klagomål mail.docx", "A 28770-2024")</f>
        <v/>
      </c>
      <c r="X64">
        <f>HYPERLINK("https://klasma.github.io/Logging_2326/tillsyn/A 28770-2024 tillsynsbegäran.docx", "A 28770-2024")</f>
        <v/>
      </c>
      <c r="Y64">
        <f>HYPERLINK("https://klasma.github.io/Logging_2326/tillsynsmail/A 28770-2024 tillsynsbegäran mail.docx", "A 28770-2024")</f>
        <v/>
      </c>
    </row>
    <row r="65" ht="15" customHeight="1">
      <c r="A65" t="inlineStr">
        <is>
          <t>A 49019-2024</t>
        </is>
      </c>
      <c r="B65" s="1" t="n">
        <v>45594</v>
      </c>
      <c r="C65" s="1" t="n">
        <v>45643</v>
      </c>
      <c r="D65" t="inlineStr">
        <is>
          <t>JÄMTLANDS LÄN</t>
        </is>
      </c>
      <c r="E65" t="inlineStr">
        <is>
          <t>BERG</t>
        </is>
      </c>
      <c r="G65" t="n">
        <v>11.6</v>
      </c>
      <c r="H65" t="n">
        <v>1</v>
      </c>
      <c r="I65" t="n">
        <v>0</v>
      </c>
      <c r="J65" t="n">
        <v>3</v>
      </c>
      <c r="K65" t="n">
        <v>2</v>
      </c>
      <c r="L65" t="n">
        <v>0</v>
      </c>
      <c r="M65" t="n">
        <v>0</v>
      </c>
      <c r="N65" t="n">
        <v>0</v>
      </c>
      <c r="O65" t="n">
        <v>5</v>
      </c>
      <c r="P65" t="n">
        <v>2</v>
      </c>
      <c r="Q65" t="n">
        <v>5</v>
      </c>
      <c r="R65" s="2" t="inlineStr">
        <is>
          <t>Knärot
Rynkskinn
Blanksvart spiklav
Granticka
Vedflamlav</t>
        </is>
      </c>
      <c r="S65">
        <f>HYPERLINK("https://klasma.github.io/Logging_2326/artfynd/A 49019-2024 artfynd.xlsx", "A 49019-2024")</f>
        <v/>
      </c>
      <c r="T65">
        <f>HYPERLINK("https://klasma.github.io/Logging_2326/kartor/A 49019-2024 karta.png", "A 49019-2024")</f>
        <v/>
      </c>
      <c r="U65">
        <f>HYPERLINK("https://klasma.github.io/Logging_2326/knärot/A 49019-2024 karta knärot.png", "A 49019-2024")</f>
        <v/>
      </c>
      <c r="V65">
        <f>HYPERLINK("https://klasma.github.io/Logging_2326/klagomål/A 49019-2024 FSC-klagomål.docx", "A 49019-2024")</f>
        <v/>
      </c>
      <c r="W65">
        <f>HYPERLINK("https://klasma.github.io/Logging_2326/klagomålsmail/A 49019-2024 FSC-klagomål mail.docx", "A 49019-2024")</f>
        <v/>
      </c>
      <c r="X65">
        <f>HYPERLINK("https://klasma.github.io/Logging_2326/tillsyn/A 49019-2024 tillsynsbegäran.docx", "A 49019-2024")</f>
        <v/>
      </c>
      <c r="Y65">
        <f>HYPERLINK("https://klasma.github.io/Logging_2326/tillsynsmail/A 49019-2024 tillsynsbegäran mail.docx", "A 49019-2024")</f>
        <v/>
      </c>
    </row>
    <row r="66" ht="15" customHeight="1">
      <c r="A66" t="inlineStr">
        <is>
          <t>A 20526-2020</t>
        </is>
      </c>
      <c r="B66" s="1" t="n">
        <v>43948</v>
      </c>
      <c r="C66" s="1" t="n">
        <v>45643</v>
      </c>
      <c r="D66" t="inlineStr">
        <is>
          <t>JÄMTLANDS LÄN</t>
        </is>
      </c>
      <c r="E66" t="inlineStr">
        <is>
          <t>BERG</t>
        </is>
      </c>
      <c r="G66" t="n">
        <v>1</v>
      </c>
      <c r="H66" t="n">
        <v>0</v>
      </c>
      <c r="I66" t="n">
        <v>0</v>
      </c>
      <c r="J66" t="n">
        <v>3</v>
      </c>
      <c r="K66" t="n">
        <v>0</v>
      </c>
      <c r="L66" t="n">
        <v>1</v>
      </c>
      <c r="M66" t="n">
        <v>0</v>
      </c>
      <c r="N66" t="n">
        <v>0</v>
      </c>
      <c r="O66" t="n">
        <v>4</v>
      </c>
      <c r="P66" t="n">
        <v>1</v>
      </c>
      <c r="Q66" t="n">
        <v>4</v>
      </c>
      <c r="R66" s="2" t="inlineStr">
        <is>
          <t>Grynlav
Olivbrun gytterlav
Skrovellav
Ullticka</t>
        </is>
      </c>
      <c r="S66">
        <f>HYPERLINK("https://klasma.github.io/Logging_2326/artfynd/A 20526-2020 artfynd.xlsx", "A 20526-2020")</f>
        <v/>
      </c>
      <c r="T66">
        <f>HYPERLINK("https://klasma.github.io/Logging_2326/kartor/A 20526-2020 karta.png", "A 20526-2020")</f>
        <v/>
      </c>
      <c r="V66">
        <f>HYPERLINK("https://klasma.github.io/Logging_2326/klagomål/A 20526-2020 FSC-klagomål.docx", "A 20526-2020")</f>
        <v/>
      </c>
      <c r="W66">
        <f>HYPERLINK("https://klasma.github.io/Logging_2326/klagomålsmail/A 20526-2020 FSC-klagomål mail.docx", "A 20526-2020")</f>
        <v/>
      </c>
      <c r="X66">
        <f>HYPERLINK("https://klasma.github.io/Logging_2326/tillsyn/A 20526-2020 tillsynsbegäran.docx", "A 20526-2020")</f>
        <v/>
      </c>
      <c r="Y66">
        <f>HYPERLINK("https://klasma.github.io/Logging_2326/tillsynsmail/A 20526-2020 tillsynsbegäran mail.docx", "A 20526-2020")</f>
        <v/>
      </c>
    </row>
    <row r="67" ht="15" customHeight="1">
      <c r="A67" t="inlineStr">
        <is>
          <t>A 36669-2020</t>
        </is>
      </c>
      <c r="B67" s="1" t="n">
        <v>44050</v>
      </c>
      <c r="C67" s="1" t="n">
        <v>45643</v>
      </c>
      <c r="D67" t="inlineStr">
        <is>
          <t>JÄMTLANDS LÄN</t>
        </is>
      </c>
      <c r="E67" t="inlineStr">
        <is>
          <t>BERG</t>
        </is>
      </c>
      <c r="F67" t="inlineStr">
        <is>
          <t>SCA</t>
        </is>
      </c>
      <c r="G67" t="n">
        <v>2.7</v>
      </c>
      <c r="H67" t="n">
        <v>0</v>
      </c>
      <c r="I67" t="n">
        <v>0</v>
      </c>
      <c r="J67" t="n">
        <v>4</v>
      </c>
      <c r="K67" t="n">
        <v>0</v>
      </c>
      <c r="L67" t="n">
        <v>0</v>
      </c>
      <c r="M67" t="n">
        <v>0</v>
      </c>
      <c r="N67" t="n">
        <v>0</v>
      </c>
      <c r="O67" t="n">
        <v>4</v>
      </c>
      <c r="P67" t="n">
        <v>0</v>
      </c>
      <c r="Q67" t="n">
        <v>4</v>
      </c>
      <c r="R67" s="2" t="inlineStr">
        <is>
          <t>Gammelgransskål
Garnlav
Harticka
Skrovellav</t>
        </is>
      </c>
      <c r="S67">
        <f>HYPERLINK("https://klasma.github.io/Logging_2326/artfynd/A 36669-2020 artfynd.xlsx", "A 36669-2020")</f>
        <v/>
      </c>
      <c r="T67">
        <f>HYPERLINK("https://klasma.github.io/Logging_2326/kartor/A 36669-2020 karta.png", "A 36669-2020")</f>
        <v/>
      </c>
      <c r="V67">
        <f>HYPERLINK("https://klasma.github.io/Logging_2326/klagomål/A 36669-2020 FSC-klagomål.docx", "A 36669-2020")</f>
        <v/>
      </c>
      <c r="W67">
        <f>HYPERLINK("https://klasma.github.io/Logging_2326/klagomålsmail/A 36669-2020 FSC-klagomål mail.docx", "A 36669-2020")</f>
        <v/>
      </c>
      <c r="X67">
        <f>HYPERLINK("https://klasma.github.io/Logging_2326/tillsyn/A 36669-2020 tillsynsbegäran.docx", "A 36669-2020")</f>
        <v/>
      </c>
      <c r="Y67">
        <f>HYPERLINK("https://klasma.github.io/Logging_2326/tillsynsmail/A 36669-2020 tillsynsbegäran mail.docx", "A 36669-2020")</f>
        <v/>
      </c>
    </row>
    <row r="68" ht="15" customHeight="1">
      <c r="A68" t="inlineStr">
        <is>
          <t>A 41872-2020</t>
        </is>
      </c>
      <c r="B68" s="1" t="n">
        <v>44074</v>
      </c>
      <c r="C68" s="1" t="n">
        <v>45643</v>
      </c>
      <c r="D68" t="inlineStr">
        <is>
          <t>JÄMTLANDS LÄN</t>
        </is>
      </c>
      <c r="E68" t="inlineStr">
        <is>
          <t>BERG</t>
        </is>
      </c>
      <c r="F68" t="inlineStr">
        <is>
          <t>SCA</t>
        </is>
      </c>
      <c r="G68" t="n">
        <v>4.9</v>
      </c>
      <c r="H68" t="n">
        <v>0</v>
      </c>
      <c r="I68" t="n">
        <v>1</v>
      </c>
      <c r="J68" t="n">
        <v>3</v>
      </c>
      <c r="K68" t="n">
        <v>0</v>
      </c>
      <c r="L68" t="n">
        <v>0</v>
      </c>
      <c r="M68" t="n">
        <v>0</v>
      </c>
      <c r="N68" t="n">
        <v>0</v>
      </c>
      <c r="O68" t="n">
        <v>3</v>
      </c>
      <c r="P68" t="n">
        <v>0</v>
      </c>
      <c r="Q68" t="n">
        <v>4</v>
      </c>
      <c r="R68" s="2" t="inlineStr">
        <is>
          <t>Garnlav
Lunglav
Vedskivlav
Dropptaggsvamp</t>
        </is>
      </c>
      <c r="S68">
        <f>HYPERLINK("https://klasma.github.io/Logging_2326/artfynd/A 41872-2020 artfynd.xlsx", "A 41872-2020")</f>
        <v/>
      </c>
      <c r="T68">
        <f>HYPERLINK("https://klasma.github.io/Logging_2326/kartor/A 41872-2020 karta.png", "A 41872-2020")</f>
        <v/>
      </c>
      <c r="V68">
        <f>HYPERLINK("https://klasma.github.io/Logging_2326/klagomål/A 41872-2020 FSC-klagomål.docx", "A 41872-2020")</f>
        <v/>
      </c>
      <c r="W68">
        <f>HYPERLINK("https://klasma.github.io/Logging_2326/klagomålsmail/A 41872-2020 FSC-klagomål mail.docx", "A 41872-2020")</f>
        <v/>
      </c>
      <c r="X68">
        <f>HYPERLINK("https://klasma.github.io/Logging_2326/tillsyn/A 41872-2020 tillsynsbegäran.docx", "A 41872-2020")</f>
        <v/>
      </c>
      <c r="Y68">
        <f>HYPERLINK("https://klasma.github.io/Logging_2326/tillsynsmail/A 41872-2020 tillsynsbegäran mail.docx", "A 41872-2020")</f>
        <v/>
      </c>
    </row>
    <row r="69" ht="15" customHeight="1">
      <c r="A69" t="inlineStr">
        <is>
          <t>A 54979-2021</t>
        </is>
      </c>
      <c r="B69" s="1" t="n">
        <v>44474</v>
      </c>
      <c r="C69" s="1" t="n">
        <v>45643</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7891-2022</t>
        </is>
      </c>
      <c r="B70" s="1" t="n">
        <v>44607</v>
      </c>
      <c r="C70" s="1" t="n">
        <v>45643</v>
      </c>
      <c r="D70" t="inlineStr">
        <is>
          <t>JÄMTLANDS LÄN</t>
        </is>
      </c>
      <c r="E70" t="inlineStr">
        <is>
          <t>BERG</t>
        </is>
      </c>
      <c r="G70" t="n">
        <v>2.5</v>
      </c>
      <c r="H70" t="n">
        <v>3</v>
      </c>
      <c r="I70" t="n">
        <v>0</v>
      </c>
      <c r="J70" t="n">
        <v>1</v>
      </c>
      <c r="K70" t="n">
        <v>1</v>
      </c>
      <c r="L70" t="n">
        <v>0</v>
      </c>
      <c r="M70" t="n">
        <v>0</v>
      </c>
      <c r="N70" t="n">
        <v>0</v>
      </c>
      <c r="O70" t="n">
        <v>2</v>
      </c>
      <c r="P70" t="n">
        <v>1</v>
      </c>
      <c r="Q70" t="n">
        <v>4</v>
      </c>
      <c r="R70" s="2" t="inlineStr">
        <is>
          <t>Knärot
Ullticka
Blåsippa
Revlummer</t>
        </is>
      </c>
      <c r="S70">
        <f>HYPERLINK("https://klasma.github.io/Logging_2326/artfynd/A 7891-2022 artfynd.xlsx", "A 7891-2022")</f>
        <v/>
      </c>
      <c r="T70">
        <f>HYPERLINK("https://klasma.github.io/Logging_2326/kartor/A 7891-2022 karta.png", "A 7891-2022")</f>
        <v/>
      </c>
      <c r="U70">
        <f>HYPERLINK("https://klasma.github.io/Logging_2326/knärot/A 7891-2022 karta knärot.png", "A 7891-2022")</f>
        <v/>
      </c>
      <c r="V70">
        <f>HYPERLINK("https://klasma.github.io/Logging_2326/klagomål/A 7891-2022 FSC-klagomål.docx", "A 7891-2022")</f>
        <v/>
      </c>
      <c r="W70">
        <f>HYPERLINK("https://klasma.github.io/Logging_2326/klagomålsmail/A 7891-2022 FSC-klagomål mail.docx", "A 7891-2022")</f>
        <v/>
      </c>
      <c r="X70">
        <f>HYPERLINK("https://klasma.github.io/Logging_2326/tillsyn/A 7891-2022 tillsynsbegäran.docx", "A 7891-2022")</f>
        <v/>
      </c>
      <c r="Y70">
        <f>HYPERLINK("https://klasma.github.io/Logging_2326/tillsynsmail/A 7891-2022 tillsynsbegäran mail.docx", "A 7891-2022")</f>
        <v/>
      </c>
    </row>
    <row r="71" ht="15" customHeight="1">
      <c r="A71" t="inlineStr">
        <is>
          <t>A 22333-2022</t>
        </is>
      </c>
      <c r="B71" s="1" t="n">
        <v>44712</v>
      </c>
      <c r="C71" s="1" t="n">
        <v>45643</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45643</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37381-2022</t>
        </is>
      </c>
      <c r="B73" s="1" t="n">
        <v>44806</v>
      </c>
      <c r="C73" s="1" t="n">
        <v>45643</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7473-2023</t>
        </is>
      </c>
      <c r="B74" s="1" t="n">
        <v>44966</v>
      </c>
      <c r="C74" s="1" t="n">
        <v>45643</v>
      </c>
      <c r="D74" t="inlineStr">
        <is>
          <t>JÄMTLANDS LÄN</t>
        </is>
      </c>
      <c r="E74" t="inlineStr">
        <is>
          <t>BERG</t>
        </is>
      </c>
      <c r="G74" t="n">
        <v>26.8</v>
      </c>
      <c r="H74" t="n">
        <v>1</v>
      </c>
      <c r="I74" t="n">
        <v>1</v>
      </c>
      <c r="J74" t="n">
        <v>3</v>
      </c>
      <c r="K74" t="n">
        <v>0</v>
      </c>
      <c r="L74" t="n">
        <v>0</v>
      </c>
      <c r="M74" t="n">
        <v>0</v>
      </c>
      <c r="N74" t="n">
        <v>0</v>
      </c>
      <c r="O74" t="n">
        <v>3</v>
      </c>
      <c r="P74" t="n">
        <v>0</v>
      </c>
      <c r="Q74" t="n">
        <v>4</v>
      </c>
      <c r="R74" s="2" t="inlineStr">
        <is>
          <t>Blågrå svartspik
Tretåig hackspett
Vedflamlav
Dropptaggsvamp</t>
        </is>
      </c>
      <c r="S74">
        <f>HYPERLINK("https://klasma.github.io/Logging_2326/artfynd/A 7473-2023 artfynd.xlsx", "A 7473-2023")</f>
        <v/>
      </c>
      <c r="T74">
        <f>HYPERLINK("https://klasma.github.io/Logging_2326/kartor/A 7473-2023 karta.png", "A 7473-2023")</f>
        <v/>
      </c>
      <c r="V74">
        <f>HYPERLINK("https://klasma.github.io/Logging_2326/klagomål/A 7473-2023 FSC-klagomål.docx", "A 7473-2023")</f>
        <v/>
      </c>
      <c r="W74">
        <f>HYPERLINK("https://klasma.github.io/Logging_2326/klagomålsmail/A 7473-2023 FSC-klagomål mail.docx", "A 7473-2023")</f>
        <v/>
      </c>
      <c r="X74">
        <f>HYPERLINK("https://klasma.github.io/Logging_2326/tillsyn/A 7473-2023 tillsynsbegäran.docx", "A 7473-2023")</f>
        <v/>
      </c>
      <c r="Y74">
        <f>HYPERLINK("https://klasma.github.io/Logging_2326/tillsynsmail/A 7473-2023 tillsynsbegäran mail.docx", "A 7473-2023")</f>
        <v/>
      </c>
      <c r="Z74">
        <f>HYPERLINK("https://klasma.github.io/Logging_2326/fåglar/A 7473-2023 prioriterade fågelarter.docx", "A 7473-2023")</f>
        <v/>
      </c>
    </row>
    <row r="75" ht="15" customHeight="1">
      <c r="A75" t="inlineStr">
        <is>
          <t>A 20874-2023</t>
        </is>
      </c>
      <c r="B75" s="1" t="n">
        <v>45058</v>
      </c>
      <c r="C75" s="1" t="n">
        <v>45643</v>
      </c>
      <c r="D75" t="inlineStr">
        <is>
          <t>JÄMTLANDS LÄN</t>
        </is>
      </c>
      <c r="E75" t="inlineStr">
        <is>
          <t>BERG</t>
        </is>
      </c>
      <c r="F75" t="inlineStr">
        <is>
          <t>SCA</t>
        </is>
      </c>
      <c r="G75" t="n">
        <v>2.6</v>
      </c>
      <c r="H75" t="n">
        <v>0</v>
      </c>
      <c r="I75" t="n">
        <v>1</v>
      </c>
      <c r="J75" t="n">
        <v>3</v>
      </c>
      <c r="K75" t="n">
        <v>0</v>
      </c>
      <c r="L75" t="n">
        <v>0</v>
      </c>
      <c r="M75" t="n">
        <v>0</v>
      </c>
      <c r="N75" t="n">
        <v>0</v>
      </c>
      <c r="O75" t="n">
        <v>3</v>
      </c>
      <c r="P75" t="n">
        <v>0</v>
      </c>
      <c r="Q75" t="n">
        <v>4</v>
      </c>
      <c r="R75" s="2" t="inlineStr">
        <is>
          <t>Kolflarnlav
Mörk kolflarnlav
Vedskivlav
Skinnlav</t>
        </is>
      </c>
      <c r="S75">
        <f>HYPERLINK("https://klasma.github.io/Logging_2326/artfynd/A 20874-2023 artfynd.xlsx", "A 20874-2023")</f>
        <v/>
      </c>
      <c r="T75">
        <f>HYPERLINK("https://klasma.github.io/Logging_2326/kartor/A 20874-2023 karta.png", "A 20874-2023")</f>
        <v/>
      </c>
      <c r="V75">
        <f>HYPERLINK("https://klasma.github.io/Logging_2326/klagomål/A 20874-2023 FSC-klagomål.docx", "A 20874-2023")</f>
        <v/>
      </c>
      <c r="W75">
        <f>HYPERLINK("https://klasma.github.io/Logging_2326/klagomålsmail/A 20874-2023 FSC-klagomål mail.docx", "A 20874-2023")</f>
        <v/>
      </c>
      <c r="X75">
        <f>HYPERLINK("https://klasma.github.io/Logging_2326/tillsyn/A 20874-2023 tillsynsbegäran.docx", "A 20874-2023")</f>
        <v/>
      </c>
      <c r="Y75">
        <f>HYPERLINK("https://klasma.github.io/Logging_2326/tillsynsmail/A 20874-2023 tillsynsbegäran mail.docx", "A 20874-2023")</f>
        <v/>
      </c>
    </row>
    <row r="76" ht="15" customHeight="1">
      <c r="A76" t="inlineStr">
        <is>
          <t>A 23951-2023</t>
        </is>
      </c>
      <c r="B76" s="1" t="n">
        <v>45078</v>
      </c>
      <c r="C76" s="1" t="n">
        <v>45643</v>
      </c>
      <c r="D76" t="inlineStr">
        <is>
          <t>JÄMTLANDS LÄN</t>
        </is>
      </c>
      <c r="E76" t="inlineStr">
        <is>
          <t>BERG</t>
        </is>
      </c>
      <c r="G76" t="n">
        <v>16.4</v>
      </c>
      <c r="H76" t="n">
        <v>1</v>
      </c>
      <c r="I76" t="n">
        <v>1</v>
      </c>
      <c r="J76" t="n">
        <v>2</v>
      </c>
      <c r="K76" t="n">
        <v>1</v>
      </c>
      <c r="L76" t="n">
        <v>0</v>
      </c>
      <c r="M76" t="n">
        <v>0</v>
      </c>
      <c r="N76" t="n">
        <v>0</v>
      </c>
      <c r="O76" t="n">
        <v>3</v>
      </c>
      <c r="P76" t="n">
        <v>1</v>
      </c>
      <c r="Q76" t="n">
        <v>4</v>
      </c>
      <c r="R76" s="2" t="inlineStr">
        <is>
          <t>Doftticka
Kolflarnlav
Lunglav
Stuplav</t>
        </is>
      </c>
      <c r="S76">
        <f>HYPERLINK("https://klasma.github.io/Logging_2326/artfynd/A 23951-2023 artfynd.xlsx", "A 23951-2023")</f>
        <v/>
      </c>
      <c r="T76">
        <f>HYPERLINK("https://klasma.github.io/Logging_2326/kartor/A 23951-2023 karta.png", "A 23951-2023")</f>
        <v/>
      </c>
      <c r="V76">
        <f>HYPERLINK("https://klasma.github.io/Logging_2326/klagomål/A 23951-2023 FSC-klagomål.docx", "A 23951-2023")</f>
        <v/>
      </c>
      <c r="W76">
        <f>HYPERLINK("https://klasma.github.io/Logging_2326/klagomålsmail/A 23951-2023 FSC-klagomål mail.docx", "A 23951-2023")</f>
        <v/>
      </c>
      <c r="X76">
        <f>HYPERLINK("https://klasma.github.io/Logging_2326/tillsyn/A 23951-2023 tillsynsbegäran.docx", "A 23951-2023")</f>
        <v/>
      </c>
      <c r="Y76">
        <f>HYPERLINK("https://klasma.github.io/Logging_2326/tillsynsmail/A 23951-2023 tillsynsbegäran mail.docx", "A 23951-2023")</f>
        <v/>
      </c>
    </row>
    <row r="77" ht="15" customHeight="1">
      <c r="A77" t="inlineStr">
        <is>
          <t>A 65218-2023</t>
        </is>
      </c>
      <c r="B77" s="1" t="n">
        <v>45289</v>
      </c>
      <c r="C77" s="1" t="n">
        <v>45643</v>
      </c>
      <c r="D77" t="inlineStr">
        <is>
          <t>JÄMTLANDS LÄN</t>
        </is>
      </c>
      <c r="E77" t="inlineStr">
        <is>
          <t>BERG</t>
        </is>
      </c>
      <c r="F77" t="inlineStr">
        <is>
          <t>Kyrkan</t>
        </is>
      </c>
      <c r="G77" t="n">
        <v>9.300000000000001</v>
      </c>
      <c r="H77" t="n">
        <v>3</v>
      </c>
      <c r="I77" t="n">
        <v>2</v>
      </c>
      <c r="J77" t="n">
        <v>1</v>
      </c>
      <c r="K77" t="n">
        <v>0</v>
      </c>
      <c r="L77" t="n">
        <v>0</v>
      </c>
      <c r="M77" t="n">
        <v>0</v>
      </c>
      <c r="N77" t="n">
        <v>0</v>
      </c>
      <c r="O77" t="n">
        <v>1</v>
      </c>
      <c r="P77" t="n">
        <v>0</v>
      </c>
      <c r="Q77" t="n">
        <v>4</v>
      </c>
      <c r="R77" s="2" t="inlineStr">
        <is>
          <t>Lunglav
Plattlummer
Spindelblomster
Fläcknycklar</t>
        </is>
      </c>
      <c r="S77">
        <f>HYPERLINK("https://klasma.github.io/Logging_2326/artfynd/A 65218-2023 artfynd.xlsx", "A 65218-2023")</f>
        <v/>
      </c>
      <c r="T77">
        <f>HYPERLINK("https://klasma.github.io/Logging_2326/kartor/A 65218-2023 karta.png", "A 65218-2023")</f>
        <v/>
      </c>
      <c r="V77">
        <f>HYPERLINK("https://klasma.github.io/Logging_2326/klagomål/A 65218-2023 FSC-klagomål.docx", "A 65218-2023")</f>
        <v/>
      </c>
      <c r="W77">
        <f>HYPERLINK("https://klasma.github.io/Logging_2326/klagomålsmail/A 65218-2023 FSC-klagomål mail.docx", "A 65218-2023")</f>
        <v/>
      </c>
      <c r="X77">
        <f>HYPERLINK("https://klasma.github.io/Logging_2326/tillsyn/A 65218-2023 tillsynsbegäran.docx", "A 65218-2023")</f>
        <v/>
      </c>
      <c r="Y77">
        <f>HYPERLINK("https://klasma.github.io/Logging_2326/tillsynsmail/A 65218-2023 tillsynsbegäran mail.docx", "A 65218-2023")</f>
        <v/>
      </c>
    </row>
    <row r="78" ht="15" customHeight="1">
      <c r="A78" t="inlineStr">
        <is>
          <t>A 13487-2024</t>
        </is>
      </c>
      <c r="B78" s="1" t="n">
        <v>45387</v>
      </c>
      <c r="C78" s="1" t="n">
        <v>45643</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18303-2024</t>
        </is>
      </c>
      <c r="B79" s="1" t="n">
        <v>45422</v>
      </c>
      <c r="C79" s="1" t="n">
        <v>45643</v>
      </c>
      <c r="D79" t="inlineStr">
        <is>
          <t>JÄMTLANDS LÄN</t>
        </is>
      </c>
      <c r="E79" t="inlineStr">
        <is>
          <t>BERG</t>
        </is>
      </c>
      <c r="G79" t="n">
        <v>12.3</v>
      </c>
      <c r="H79" t="n">
        <v>0</v>
      </c>
      <c r="I79" t="n">
        <v>1</v>
      </c>
      <c r="J79" t="n">
        <v>3</v>
      </c>
      <c r="K79" t="n">
        <v>0</v>
      </c>
      <c r="L79" t="n">
        <v>0</v>
      </c>
      <c r="M79" t="n">
        <v>0</v>
      </c>
      <c r="N79" t="n">
        <v>0</v>
      </c>
      <c r="O79" t="n">
        <v>3</v>
      </c>
      <c r="P79" t="n">
        <v>0</v>
      </c>
      <c r="Q79" t="n">
        <v>4</v>
      </c>
      <c r="R79" s="2" t="inlineStr">
        <is>
          <t>Lunglav
Skrovellav
Ullticka
Mörk husmossa</t>
        </is>
      </c>
      <c r="S79">
        <f>HYPERLINK("https://klasma.github.io/Logging_2326/artfynd/A 18303-2024 artfynd.xlsx", "A 18303-2024")</f>
        <v/>
      </c>
      <c r="T79">
        <f>HYPERLINK("https://klasma.github.io/Logging_2326/kartor/A 18303-2024 karta.png", "A 18303-2024")</f>
        <v/>
      </c>
      <c r="V79">
        <f>HYPERLINK("https://klasma.github.io/Logging_2326/klagomål/A 18303-2024 FSC-klagomål.docx", "A 18303-2024")</f>
        <v/>
      </c>
      <c r="W79">
        <f>HYPERLINK("https://klasma.github.io/Logging_2326/klagomålsmail/A 18303-2024 FSC-klagomål mail.docx", "A 18303-2024")</f>
        <v/>
      </c>
      <c r="X79">
        <f>HYPERLINK("https://klasma.github.io/Logging_2326/tillsyn/A 18303-2024 tillsynsbegäran.docx", "A 18303-2024")</f>
        <v/>
      </c>
      <c r="Y79">
        <f>HYPERLINK("https://klasma.github.io/Logging_2326/tillsynsmail/A 18303-2024 tillsynsbegäran mail.docx", "A 18303-2024")</f>
        <v/>
      </c>
    </row>
    <row r="80" ht="15" customHeight="1">
      <c r="A80" t="inlineStr">
        <is>
          <t>A 21529-2024</t>
        </is>
      </c>
      <c r="B80" s="1" t="n">
        <v>45441</v>
      </c>
      <c r="C80" s="1" t="n">
        <v>45643</v>
      </c>
      <c r="D80" t="inlineStr">
        <is>
          <t>JÄMTLANDS LÄN</t>
        </is>
      </c>
      <c r="E80" t="inlineStr">
        <is>
          <t>BERG</t>
        </is>
      </c>
      <c r="G80" t="n">
        <v>2.3</v>
      </c>
      <c r="H80" t="n">
        <v>1</v>
      </c>
      <c r="I80" t="n">
        <v>1</v>
      </c>
      <c r="J80" t="n">
        <v>3</v>
      </c>
      <c r="K80" t="n">
        <v>0</v>
      </c>
      <c r="L80" t="n">
        <v>0</v>
      </c>
      <c r="M80" t="n">
        <v>0</v>
      </c>
      <c r="N80" t="n">
        <v>0</v>
      </c>
      <c r="O80" t="n">
        <v>3</v>
      </c>
      <c r="P80" t="n">
        <v>0</v>
      </c>
      <c r="Q80" t="n">
        <v>4</v>
      </c>
      <c r="R80" s="2" t="inlineStr">
        <is>
          <t>Garnlav
Lunglav
Vedtrappmossa
Spindelblomster</t>
        </is>
      </c>
      <c r="S80">
        <f>HYPERLINK("https://klasma.github.io/Logging_2326/artfynd/A 21529-2024 artfynd.xlsx", "A 21529-2024")</f>
        <v/>
      </c>
      <c r="T80">
        <f>HYPERLINK("https://klasma.github.io/Logging_2326/kartor/A 21529-2024 karta.png", "A 21529-2024")</f>
        <v/>
      </c>
      <c r="V80">
        <f>HYPERLINK("https://klasma.github.io/Logging_2326/klagomål/A 21529-2024 FSC-klagomål.docx", "A 21529-2024")</f>
        <v/>
      </c>
      <c r="W80">
        <f>HYPERLINK("https://klasma.github.io/Logging_2326/klagomålsmail/A 21529-2024 FSC-klagomål mail.docx", "A 21529-2024")</f>
        <v/>
      </c>
      <c r="X80">
        <f>HYPERLINK("https://klasma.github.io/Logging_2326/tillsyn/A 21529-2024 tillsynsbegäran.docx", "A 21529-2024")</f>
        <v/>
      </c>
      <c r="Y80">
        <f>HYPERLINK("https://klasma.github.io/Logging_2326/tillsynsmail/A 21529-2024 tillsynsbegäran mail.docx", "A 21529-2024")</f>
        <v/>
      </c>
    </row>
    <row r="81" ht="15" customHeight="1">
      <c r="A81" t="inlineStr">
        <is>
          <t>A 28911-2024</t>
        </is>
      </c>
      <c r="B81" s="1" t="n">
        <v>45480</v>
      </c>
      <c r="C81" s="1" t="n">
        <v>45643</v>
      </c>
      <c r="D81" t="inlineStr">
        <is>
          <t>JÄMTLANDS LÄN</t>
        </is>
      </c>
      <c r="E81" t="inlineStr">
        <is>
          <t>BERG</t>
        </is>
      </c>
      <c r="G81" t="n">
        <v>2.5</v>
      </c>
      <c r="H81" t="n">
        <v>2</v>
      </c>
      <c r="I81" t="n">
        <v>0</v>
      </c>
      <c r="J81" t="n">
        <v>4</v>
      </c>
      <c r="K81" t="n">
        <v>0</v>
      </c>
      <c r="L81" t="n">
        <v>0</v>
      </c>
      <c r="M81" t="n">
        <v>0</v>
      </c>
      <c r="N81" t="n">
        <v>0</v>
      </c>
      <c r="O81" t="n">
        <v>4</v>
      </c>
      <c r="P81" t="n">
        <v>0</v>
      </c>
      <c r="Q81" t="n">
        <v>4</v>
      </c>
      <c r="R81" s="2" t="inlineStr">
        <is>
          <t>Granticka
Talltita
Tretåig hackspett
Ullticka</t>
        </is>
      </c>
      <c r="S81">
        <f>HYPERLINK("https://klasma.github.io/Logging_2326/artfynd/A 28911-2024 artfynd.xlsx", "A 28911-2024")</f>
        <v/>
      </c>
      <c r="T81">
        <f>HYPERLINK("https://klasma.github.io/Logging_2326/kartor/A 28911-2024 karta.png", "A 28911-2024")</f>
        <v/>
      </c>
      <c r="V81">
        <f>HYPERLINK("https://klasma.github.io/Logging_2326/klagomål/A 28911-2024 FSC-klagomål.docx", "A 28911-2024")</f>
        <v/>
      </c>
      <c r="W81">
        <f>HYPERLINK("https://klasma.github.io/Logging_2326/klagomålsmail/A 28911-2024 FSC-klagomål mail.docx", "A 28911-2024")</f>
        <v/>
      </c>
      <c r="X81">
        <f>HYPERLINK("https://klasma.github.io/Logging_2326/tillsyn/A 28911-2024 tillsynsbegäran.docx", "A 28911-2024")</f>
        <v/>
      </c>
      <c r="Y81">
        <f>HYPERLINK("https://klasma.github.io/Logging_2326/tillsynsmail/A 28911-2024 tillsynsbegäran mail.docx", "A 28911-2024")</f>
        <v/>
      </c>
      <c r="Z81">
        <f>HYPERLINK("https://klasma.github.io/Logging_2326/fåglar/A 28911-2024 prioriterade fågelarter.docx", "A 28911-2024")</f>
        <v/>
      </c>
    </row>
    <row r="82" ht="15" customHeight="1">
      <c r="A82" t="inlineStr">
        <is>
          <t>A 30335-2024</t>
        </is>
      </c>
      <c r="B82" s="1" t="n">
        <v>45491</v>
      </c>
      <c r="C82" s="1" t="n">
        <v>45643</v>
      </c>
      <c r="D82" t="inlineStr">
        <is>
          <t>JÄMTLANDS LÄN</t>
        </is>
      </c>
      <c r="E82" t="inlineStr">
        <is>
          <t>BERG</t>
        </is>
      </c>
      <c r="F82" t="inlineStr">
        <is>
          <t>SCA</t>
        </is>
      </c>
      <c r="G82" t="n">
        <v>15.4</v>
      </c>
      <c r="H82" t="n">
        <v>0</v>
      </c>
      <c r="I82" t="n">
        <v>1</v>
      </c>
      <c r="J82" t="n">
        <v>1</v>
      </c>
      <c r="K82" t="n">
        <v>2</v>
      </c>
      <c r="L82" t="n">
        <v>0</v>
      </c>
      <c r="M82" t="n">
        <v>0</v>
      </c>
      <c r="N82" t="n">
        <v>0</v>
      </c>
      <c r="O82" t="n">
        <v>3</v>
      </c>
      <c r="P82" t="n">
        <v>2</v>
      </c>
      <c r="Q82" t="n">
        <v>4</v>
      </c>
      <c r="R82" s="2" t="inlineStr">
        <is>
          <t>Fläckporing
Gräddporing
Vaddporing
Tibast</t>
        </is>
      </c>
      <c r="S82">
        <f>HYPERLINK("https://klasma.github.io/Logging_2326/artfynd/A 30335-2024 artfynd.xlsx", "A 30335-2024")</f>
        <v/>
      </c>
      <c r="T82">
        <f>HYPERLINK("https://klasma.github.io/Logging_2326/kartor/A 30335-2024 karta.png", "A 30335-2024")</f>
        <v/>
      </c>
      <c r="V82">
        <f>HYPERLINK("https://klasma.github.io/Logging_2326/klagomål/A 30335-2024 FSC-klagomål.docx", "A 30335-2024")</f>
        <v/>
      </c>
      <c r="W82">
        <f>HYPERLINK("https://klasma.github.io/Logging_2326/klagomålsmail/A 30335-2024 FSC-klagomål mail.docx", "A 30335-2024")</f>
        <v/>
      </c>
      <c r="X82">
        <f>HYPERLINK("https://klasma.github.io/Logging_2326/tillsyn/A 30335-2024 tillsynsbegäran.docx", "A 30335-2024")</f>
        <v/>
      </c>
      <c r="Y82">
        <f>HYPERLINK("https://klasma.github.io/Logging_2326/tillsynsmail/A 30335-2024 tillsynsbegäran mail.docx", "A 30335-2024")</f>
        <v/>
      </c>
    </row>
    <row r="83" ht="15" customHeight="1">
      <c r="A83" t="inlineStr">
        <is>
          <t>A 38156-2024</t>
        </is>
      </c>
      <c r="B83" s="1" t="n">
        <v>45545</v>
      </c>
      <c r="C83" s="1" t="n">
        <v>45643</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44835-2024</t>
        </is>
      </c>
      <c r="B84" s="1" t="n">
        <v>45574</v>
      </c>
      <c r="C84" s="1" t="n">
        <v>45643</v>
      </c>
      <c r="D84" t="inlineStr">
        <is>
          <t>JÄMTLANDS LÄN</t>
        </is>
      </c>
      <c r="E84" t="inlineStr">
        <is>
          <t>BERG</t>
        </is>
      </c>
      <c r="G84" t="n">
        <v>15.6</v>
      </c>
      <c r="H84" t="n">
        <v>1</v>
      </c>
      <c r="I84" t="n">
        <v>0</v>
      </c>
      <c r="J84" t="n">
        <v>4</v>
      </c>
      <c r="K84" t="n">
        <v>0</v>
      </c>
      <c r="L84" t="n">
        <v>0</v>
      </c>
      <c r="M84" t="n">
        <v>0</v>
      </c>
      <c r="N84" t="n">
        <v>0</v>
      </c>
      <c r="O84" t="n">
        <v>4</v>
      </c>
      <c r="P84" t="n">
        <v>0</v>
      </c>
      <c r="Q84" t="n">
        <v>4</v>
      </c>
      <c r="R84" s="2" t="inlineStr">
        <is>
          <t>Granticka
Rosenticka
Tretåig hackspett
Vedtrappmossa</t>
        </is>
      </c>
      <c r="S84">
        <f>HYPERLINK("https://klasma.github.io/Logging_2326/artfynd/A 44835-2024 artfynd.xlsx", "A 44835-2024")</f>
        <v/>
      </c>
      <c r="T84">
        <f>HYPERLINK("https://klasma.github.io/Logging_2326/kartor/A 44835-2024 karta.png", "A 44835-2024")</f>
        <v/>
      </c>
      <c r="V84">
        <f>HYPERLINK("https://klasma.github.io/Logging_2326/klagomål/A 44835-2024 FSC-klagomål.docx", "A 44835-2024")</f>
        <v/>
      </c>
      <c r="W84">
        <f>HYPERLINK("https://klasma.github.io/Logging_2326/klagomålsmail/A 44835-2024 FSC-klagomål mail.docx", "A 44835-2024")</f>
        <v/>
      </c>
      <c r="X84">
        <f>HYPERLINK("https://klasma.github.io/Logging_2326/tillsyn/A 44835-2024 tillsynsbegäran.docx", "A 44835-2024")</f>
        <v/>
      </c>
      <c r="Y84">
        <f>HYPERLINK("https://klasma.github.io/Logging_2326/tillsynsmail/A 44835-2024 tillsynsbegäran mail.docx", "A 44835-2024")</f>
        <v/>
      </c>
      <c r="Z84">
        <f>HYPERLINK("https://klasma.github.io/Logging_2326/fåglar/A 44835-2024 prioriterade fågelarter.docx", "A 44835-2024")</f>
        <v/>
      </c>
    </row>
    <row r="85" ht="15" customHeight="1">
      <c r="A85" t="inlineStr">
        <is>
          <t>A 45424-2024</t>
        </is>
      </c>
      <c r="B85" s="1" t="n">
        <v>45576</v>
      </c>
      <c r="C85" s="1" t="n">
        <v>45643</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56224-2024</t>
        </is>
      </c>
      <c r="B86" s="1" t="n">
        <v>45624</v>
      </c>
      <c r="C86" s="1" t="n">
        <v>45643</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45643</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45643</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45643</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45643</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45643</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45643</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45643</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45643</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45643</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45643</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45643</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45643</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45643</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45643</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45643</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45643</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45643</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45643</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45643</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45643</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45643</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45643</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45643</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45643</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45643</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45643</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45643</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45643</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45643</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45643</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45643</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45643</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45643</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45643</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45643</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45643</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45643</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45643</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45643</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45643</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45643</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45643</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45643</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45643</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45643</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45643</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45643</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45643</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45643</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45643</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45643</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45643</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45643</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45643</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45643</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45643</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45643</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45643</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45643</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45643</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45643</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45643</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45643</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45643</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45643</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45643</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45643</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45643</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45643</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45643</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45643</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45643</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45643</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45643</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45643</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45643</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45643</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45643</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45643</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45643</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45643</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45643</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45643</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45643</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45643</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45643</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45643</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45643</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45643</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45643</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45643</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45643</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45643</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45643</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45643</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45643</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45643</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45643</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45643</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45643</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45643</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45643</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45643</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45643</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45643</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45643</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45643</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45643</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45643</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45643</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45643</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45643</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45643</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45643</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45643</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45643</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45643</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45643</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45643</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45643</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45643</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45643</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45643</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45643</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45643</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45643</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45643</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45643</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45643</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45643</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45643</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45643</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45643</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45643</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45643</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45643</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45643</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45643</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45643</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45643</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45643</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45643</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45643</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45643</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45643</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45643</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45643</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45643</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45643</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45643</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45643</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45643</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45643</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45643</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45643</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45643</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45643</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45643</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45643</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45643</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45643</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45643</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45643</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45643</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45643</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45643</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45643</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45643</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45643</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45643</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45643</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45643</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45643</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45643</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45643</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45643</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45643</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45643</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45643</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45643</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45643</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45643</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45643</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45643</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45643</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45643</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45643</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45643</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45643</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45643</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45643</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45643</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45643</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45643</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45643</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45643</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45643</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45643</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45643</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45643</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45643</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45643</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45643</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45643</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45643</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45643</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45643</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45643</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45643</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45643</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45643</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45643</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45643</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45643</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45643</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45643</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45643</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45643</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45643</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45643</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45643</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45643</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45643</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45643</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45643</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45643</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45643</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45643</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45643</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45643</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45643</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45643</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45643</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45643</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45643</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45643</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45643</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45643</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45643</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45643</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45643</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45643</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45643</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45643</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45643</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45643</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45643</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45643</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45643</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45643</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45643</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45643</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45643</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45643</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45643</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45643</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45643</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45643</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45643</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45643</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45643</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45643</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45643</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45643</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45643</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45643</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45643</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45643</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45643</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45643</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45643</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45643</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45643</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45643</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45643</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45643</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45643</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45643</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45643</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45643</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45643</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45643</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45643</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45643</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45643</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45643</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45643</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45643</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45643</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45643</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45643</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45643</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45643</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45643</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45643</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45643</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45643</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45643</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45643</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45643</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45643</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45643</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45643</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45643</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45643</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45643</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45643</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45643</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45643</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45643</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45643</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45643</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45643</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45643</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45643</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45643</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45643</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45643</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45643</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45643</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45643</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45643</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45643</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45643</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45643</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45643</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45643</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45643</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45643</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45643</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45643</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45643</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45643</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45643</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45643</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45643</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45643</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45643</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45643</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45643</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45643</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45643</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45643</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45643</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45643</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45643</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45643</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45643</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45643</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45643</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45643</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45643</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45643</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45643</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45643</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45643</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45643</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45643</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45643</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45643</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45643</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45643</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45643</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45643</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45643</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45643</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45643</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45643</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45643</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45643</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45643</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45643</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45643</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45643</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45643</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45643</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45643</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45643</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45643</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45643</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45643</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45643</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45643</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45643</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45643</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45643</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45643</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45643</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45643</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45643</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45643</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45643</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45643</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45643</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45643</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45643</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45643</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45643</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45643</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45643</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45643</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45643</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45643</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45643</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45643</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45643</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45643</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45643</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45643</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45643</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45643</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45643</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45643</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45643</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45643</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45643</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45643</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45643</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45643</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45643</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45643</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45643</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45643</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45643</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45643</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45643</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45643</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45643</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45643</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45643</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45643</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45643</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45643</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45643</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45643</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45643</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45643</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45643</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45643</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45643</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45643</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45643</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45643</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45643</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45643</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45643</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45643</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45643</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45643</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45643</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45643</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45643</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45643</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45643</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45643</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45643</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45643</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45643</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45643</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45643</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45643</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45643</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45643</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45643</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45643</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45643</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45643</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45643</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45643</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45643</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45643</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45643</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45643</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45643</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45643</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45643</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45643</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45643</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45643</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45643</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45643</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45643</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45643</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45643</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45643</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45643</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45643</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45643</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45643</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45643</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45643</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45643</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45643</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45643</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45643</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45643</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45643</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45643</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45643</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45643</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45643</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45643</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45643</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45643</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45643</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45643</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45643</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45643</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45643</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45643</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45643</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45643</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45643</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45643</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45643</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45643</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45643</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45643</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45643</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45643</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45643</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45643</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45643</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45643</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45643</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45643</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45643</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45643</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45643</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45643</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45643</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45643</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45643</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45643</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45643</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45643</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45643</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45643</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45643</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45643</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45643</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45643</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45643</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45643</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45643</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45643</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45643</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45643</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45643</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45643</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45643</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45643</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45643</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45643</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45643</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45643</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45643</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45643</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45643</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45643</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45643</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45643</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45643</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45643</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45643</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45643</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45643</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45643</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45643</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45643</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45643</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45643</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45643</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45643</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45643</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45643</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45643</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45643</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45643</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45643</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45643</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45643</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45643</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45643</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45643</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45643</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45643</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45643</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45643</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45643</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45643</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45643</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45643</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45643</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45643</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45643</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45643</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45643</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45643</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45643</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45643</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45643</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45643</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45643</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45643</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45643</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45643</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45643</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45643</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45643</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45643</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45643</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45643</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45643</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45643</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45643</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45643</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45643</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45643</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45643</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45643</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45643</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45643</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45643</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45643</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45643</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45643</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45643</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45643</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45643</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45643</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45643</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45643</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45643</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45643</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45643</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45643</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45643</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45643</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45643</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45643</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45643</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45643</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45643</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45643</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45643</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45643</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45643</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45643</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45643</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45643</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45643</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45643</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45643</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45643</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45643</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45643</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45643</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45643</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45643</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45643</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45643</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45643</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45643</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45643</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45643</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45643</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45643</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45643</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45643</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45643</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45643</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45643</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45643</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45643</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45643</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45643</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45643</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45643</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45643</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45643</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45643</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45643</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45643</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45643</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45643</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45643</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45643</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45643</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45643</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45643</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45643</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45643</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45643</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45643</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45643</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45643</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45643</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45643</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45643</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45643</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45643</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45643</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45643</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45643</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45643</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45643</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45643</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45643</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45643</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45643</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45643</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45643</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45643</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45643</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45643</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45643</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45643</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45643</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45643</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45643</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45643</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45643</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45643</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45643</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45643</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45643</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45643</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45643</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45643</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45643</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45643</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45643</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45643</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45643</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45643</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45643</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45643</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45643</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45643</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45643</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45643</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45643</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45643</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45643</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45643</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45643</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45643</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45643</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45643</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45643</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45643</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45643</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45643</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45643</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45643</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45643</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45643</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45643</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45643</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45643</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45643</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45643</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45643</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45643</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45643</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45643</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45643</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45643</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45643</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45643</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45643</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45643</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45643</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45643</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45643</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45643</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45643</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45643</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45643</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45643</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45643</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45643</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45643</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45643</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45643</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45643</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45643</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45643</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45643</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45643</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45643</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45643</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45643</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45643</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45643</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45643</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45643</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45643</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45643</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45643</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45643</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45643</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45643</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45643</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45643</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45643</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45643</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45643</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45643</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45643</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45643</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45643</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45643</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45643</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45643</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45643</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45643</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45643</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45643</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45643</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45643</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45643</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45643</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45643</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45643</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45643</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45643</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45643</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45643</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45643</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45643</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45643</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45643</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45643</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45643</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45643</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45643</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45643</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45643</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45643</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45643</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45643</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45643</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45643</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45643</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45643</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45643</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45643</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45643</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45643</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45643</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45643</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45643</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45643</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45643</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45643</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45643</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45643</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45643</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45643</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45643</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45643</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45643</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45643</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45643</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45643</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45643</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45643</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45643</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45643</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45643</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45643</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45643</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45643</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45643</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45643</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45643</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45643</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45643</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45643</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45643</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45643</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45643</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45643</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45643</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45643</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45643</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45643</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45643</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45643</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45643</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45643</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45643</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45643</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45643</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45643</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45643</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45643</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45643</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45643</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45643</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45643</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45643</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45643</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45643</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45643</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45643</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45643</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45643</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45643</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45643</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45643</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45643</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45643</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45643</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45643</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45643</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45643</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45643</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45643</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45643</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45643</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45643</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45643</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45643</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45643</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45643</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45643</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45643</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45643</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45643</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45643</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45643</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45643</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45643</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45643</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45643</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45643</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45643</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45643</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45643</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45643</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45643</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45643</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45643</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45643</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45643</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45643</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45643</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45643</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45643</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45643</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45643</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45643</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45643</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45643</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45643</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45643</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45643</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45643</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45643</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45643</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45643</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45643</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45643</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45643</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45643</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45643</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45643</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45643</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45643</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45643</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45643</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45643</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45643</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45643</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45643</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45643</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45643</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45643</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45643</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45643</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45643</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45643</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45643</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45643</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45643</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45643</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45643</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45643</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45643</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45643</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45643</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45643</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45643</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45643</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45643</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45643</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45643</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45643</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45643</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45643</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45643</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45643</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45643</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45643</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45643</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45643</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45643</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45643</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45643</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45643</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45643</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45643</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45643</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45643</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45643</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45643</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45643</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45643</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45643</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45643</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45643</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45643</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45643</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45643</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45643</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45643</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45643</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45643</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45643</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45643</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45643</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45643</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45643</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45643</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45643</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45643</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45643</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45643</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45643</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45643</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45643</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45643</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45643</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45643</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45643</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45643</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45643</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45643</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45643</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45643</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45643</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45643</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45643</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45643</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45643</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45643</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45643</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45643</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45643</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45643</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45643</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45643</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45643</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45643</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45643</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45643</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45643</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45643</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45643</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45643</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45643</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45643</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45643</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45643</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45643</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45643</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45643</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45643</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45643</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45643</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45643</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45643</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45643</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45643</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45643</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45643</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45643</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45643</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45643</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45643</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45643</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45643</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45643</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45643</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45643</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45643</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45643</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45643</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45643</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45643</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45643</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45643</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45643</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45643</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45643</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45643</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45643</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45643</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45643</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45643</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45643</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45643</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45643</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45643</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51155-2024</t>
        </is>
      </c>
      <c r="B1204" s="1" t="n">
        <v>45603</v>
      </c>
      <c r="C1204" s="1" t="n">
        <v>45643</v>
      </c>
      <c r="D1204" t="inlineStr">
        <is>
          <t>JÄMTLANDS LÄN</t>
        </is>
      </c>
      <c r="E1204" t="inlineStr">
        <is>
          <t>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51172-2024</t>
        </is>
      </c>
      <c r="B1205" s="1" t="n">
        <v>45603</v>
      </c>
      <c r="C1205" s="1" t="n">
        <v>45643</v>
      </c>
      <c r="D1205" t="inlineStr">
        <is>
          <t>JÄMTLANDS LÄN</t>
        </is>
      </c>
      <c r="E1205" t="inlineStr">
        <is>
          <t>BERG</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51039-2024</t>
        </is>
      </c>
      <c r="B1206" s="1" t="n">
        <v>45603</v>
      </c>
      <c r="C1206" s="1" t="n">
        <v>45643</v>
      </c>
      <c r="D1206" t="inlineStr">
        <is>
          <t>JÄMTLANDS LÄN</t>
        </is>
      </c>
      <c r="E1206" t="inlineStr">
        <is>
          <t>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45643</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45643</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53548-2024</t>
        </is>
      </c>
      <c r="B1209" s="1" t="n">
        <v>45614</v>
      </c>
      <c r="C1209" s="1" t="n">
        <v>45643</v>
      </c>
      <c r="D1209" t="inlineStr">
        <is>
          <t>JÄMTLANDS LÄN</t>
        </is>
      </c>
      <c r="E1209" t="inlineStr">
        <is>
          <t>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53507-2024</t>
        </is>
      </c>
      <c r="B1210" s="1" t="n">
        <v>45614</v>
      </c>
      <c r="C1210" s="1" t="n">
        <v>45643</v>
      </c>
      <c r="D1210" t="inlineStr">
        <is>
          <t>JÄMTLANDS LÄN</t>
        </is>
      </c>
      <c r="E1210" t="inlineStr">
        <is>
          <t>BERG</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53708-2024</t>
        </is>
      </c>
      <c r="B1211" s="1" t="n">
        <v>45615</v>
      </c>
      <c r="C1211" s="1" t="n">
        <v>45643</v>
      </c>
      <c r="D1211" t="inlineStr">
        <is>
          <t>JÄMTLANDS LÄN</t>
        </is>
      </c>
      <c r="E1211" t="inlineStr">
        <is>
          <t>BERG</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53707-2024</t>
        </is>
      </c>
      <c r="B1212" s="1" t="n">
        <v>45615</v>
      </c>
      <c r="C1212" s="1" t="n">
        <v>45643</v>
      </c>
      <c r="D1212" t="inlineStr">
        <is>
          <t>JÄMTLANDS LÄN</t>
        </is>
      </c>
      <c r="E1212" t="inlineStr">
        <is>
          <t>BERG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54112-2024</t>
        </is>
      </c>
      <c r="B1213" s="1" t="n">
        <v>45616</v>
      </c>
      <c r="C1213" s="1" t="n">
        <v>45643</v>
      </c>
      <c r="D1213" t="inlineStr">
        <is>
          <t>JÄMTLANDS LÄN</t>
        </is>
      </c>
      <c r="E1213" t="inlineStr">
        <is>
          <t>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54198-2024</t>
        </is>
      </c>
      <c r="B1214" s="1" t="n">
        <v>45616</v>
      </c>
      <c r="C1214" s="1" t="n">
        <v>45643</v>
      </c>
      <c r="D1214" t="inlineStr">
        <is>
          <t>JÄMTLANDS LÄN</t>
        </is>
      </c>
      <c r="E1214" t="inlineStr">
        <is>
          <t>BERG</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54595-2024</t>
        </is>
      </c>
      <c r="B1215" s="1" t="n">
        <v>45617</v>
      </c>
      <c r="C1215" s="1" t="n">
        <v>45643</v>
      </c>
      <c r="D1215" t="inlineStr">
        <is>
          <t>JÄMTLANDS LÄN</t>
        </is>
      </c>
      <c r="E1215" t="inlineStr">
        <is>
          <t>BERG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54605-2024</t>
        </is>
      </c>
      <c r="B1216" s="1" t="n">
        <v>45617</v>
      </c>
      <c r="C1216" s="1" t="n">
        <v>45643</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45643</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45643</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56226-2024</t>
        </is>
      </c>
      <c r="B1219" s="1" t="n">
        <v>45624</v>
      </c>
      <c r="C1219" s="1" t="n">
        <v>45643</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56368-2024</t>
        </is>
      </c>
      <c r="B1220" s="1" t="n">
        <v>45625</v>
      </c>
      <c r="C1220" s="1" t="n">
        <v>45643</v>
      </c>
      <c r="D1220" t="inlineStr">
        <is>
          <t>JÄMTLANDS LÄN</t>
        </is>
      </c>
      <c r="E1220" t="inlineStr">
        <is>
          <t>BERG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56420-2024</t>
        </is>
      </c>
      <c r="B1221" s="1" t="n">
        <v>45625</v>
      </c>
      <c r="C1221" s="1" t="n">
        <v>45643</v>
      </c>
      <c r="D1221" t="inlineStr">
        <is>
          <t>JÄMTLANDS LÄN</t>
        </is>
      </c>
      <c r="E1221" t="inlineStr">
        <is>
          <t>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56490-2024</t>
        </is>
      </c>
      <c r="B1222" s="1" t="n">
        <v>45625</v>
      </c>
      <c r="C1222" s="1" t="n">
        <v>45643</v>
      </c>
      <c r="D1222" t="inlineStr">
        <is>
          <t>JÄMTLANDS LÄN</t>
        </is>
      </c>
      <c r="E1222" t="inlineStr">
        <is>
          <t>BERG</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56364-2024</t>
        </is>
      </c>
      <c r="B1223" s="1" t="n">
        <v>45625</v>
      </c>
      <c r="C1223" s="1" t="n">
        <v>45643</v>
      </c>
      <c r="D1223" t="inlineStr">
        <is>
          <t>JÄMTLANDS LÄN</t>
        </is>
      </c>
      <c r="E1223" t="inlineStr">
        <is>
          <t>BERG</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57244-2024</t>
        </is>
      </c>
      <c r="B1224" s="1" t="n">
        <v>45628</v>
      </c>
      <c r="C1224" s="1" t="n">
        <v>45643</v>
      </c>
      <c r="D1224" t="inlineStr">
        <is>
          <t>JÄMTLANDS LÄN</t>
        </is>
      </c>
      <c r="E1224" t="inlineStr">
        <is>
          <t>BERG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57124-2024</t>
        </is>
      </c>
      <c r="B1225" s="1" t="n">
        <v>45629</v>
      </c>
      <c r="C1225" s="1" t="n">
        <v>45643</v>
      </c>
      <c r="D1225" t="inlineStr">
        <is>
          <t>JÄMTLANDS LÄN</t>
        </is>
      </c>
      <c r="E1225" t="inlineStr">
        <is>
          <t>BERG</t>
        </is>
      </c>
      <c r="F1225" t="inlineStr">
        <is>
          <t>Kyrkan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57127-2024</t>
        </is>
      </c>
      <c r="B1226" s="1" t="n">
        <v>45629</v>
      </c>
      <c r="C1226" s="1" t="n">
        <v>45643</v>
      </c>
      <c r="D1226" t="inlineStr">
        <is>
          <t>JÄMTLANDS LÄN</t>
        </is>
      </c>
      <c r="E1226" t="inlineStr">
        <is>
          <t>BERG</t>
        </is>
      </c>
      <c r="F1226" t="inlineStr">
        <is>
          <t>Kyrkan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57660-2024</t>
        </is>
      </c>
      <c r="B1227" s="1" t="n">
        <v>45630</v>
      </c>
      <c r="C1227" s="1" t="n">
        <v>45643</v>
      </c>
      <c r="D1227" t="inlineStr">
        <is>
          <t>JÄMTLANDS LÄN</t>
        </is>
      </c>
      <c r="E1227" t="inlineStr">
        <is>
          <t>BERG</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57661-2024</t>
        </is>
      </c>
      <c r="B1228" s="1" t="n">
        <v>45630</v>
      </c>
      <c r="C1228" s="1" t="n">
        <v>45643</v>
      </c>
      <c r="D1228" t="inlineStr">
        <is>
          <t>JÄMTLANDS LÄN</t>
        </is>
      </c>
      <c r="E1228" t="inlineStr">
        <is>
          <t>BERG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57669-2024</t>
        </is>
      </c>
      <c r="B1229" s="1" t="n">
        <v>45630</v>
      </c>
      <c r="C1229" s="1" t="n">
        <v>45643</v>
      </c>
      <c r="D1229" t="inlineStr">
        <is>
          <t>JÄMTLANDS LÄN</t>
        </is>
      </c>
      <c r="E1229" t="inlineStr">
        <is>
          <t>BERG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58073-2024</t>
        </is>
      </c>
      <c r="B1230" s="1" t="n">
        <v>45630</v>
      </c>
      <c r="C1230" s="1" t="n">
        <v>45643</v>
      </c>
      <c r="D1230" t="inlineStr">
        <is>
          <t>JÄMTLANDS LÄN</t>
        </is>
      </c>
      <c r="E1230" t="inlineStr">
        <is>
          <t>BERG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45643</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57905-2024</t>
        </is>
      </c>
      <c r="B1232" s="1" t="n">
        <v>45631</v>
      </c>
      <c r="C1232" s="1" t="n">
        <v>45643</v>
      </c>
      <c r="D1232" t="inlineStr">
        <is>
          <t>JÄMTLANDS LÄN</t>
        </is>
      </c>
      <c r="E1232" t="inlineStr">
        <is>
          <t>BERG</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58176-2024</t>
        </is>
      </c>
      <c r="B1233" s="1" t="n">
        <v>45632</v>
      </c>
      <c r="C1233" s="1" t="n">
        <v>45643</v>
      </c>
      <c r="D1233" t="inlineStr">
        <is>
          <t>JÄMTLANDS LÄN</t>
        </is>
      </c>
      <c r="E1233" t="inlineStr">
        <is>
          <t>BERG</t>
        </is>
      </c>
      <c r="G1233" t="n">
        <v>14.4</v>
      </c>
      <c r="H1233" t="n">
        <v>0</v>
      </c>
      <c r="I1233" t="n">
        <v>0</v>
      </c>
      <c r="J1233" t="n">
        <v>0</v>
      </c>
      <c r="K1233" t="n">
        <v>0</v>
      </c>
      <c r="L1233" t="n">
        <v>0</v>
      </c>
      <c r="M1233" t="n">
        <v>0</v>
      </c>
      <c r="N1233" t="n">
        <v>0</v>
      </c>
      <c r="O1233" t="n">
        <v>0</v>
      </c>
      <c r="P1233" t="n">
        <v>0</v>
      </c>
      <c r="Q1233" t="n">
        <v>0</v>
      </c>
      <c r="R1233" s="2" t="inlineStr"/>
    </row>
    <row r="1234" ht="15" customHeight="1">
      <c r="A1234" t="inlineStr">
        <is>
          <t>A 58803-2024</t>
        </is>
      </c>
      <c r="B1234" s="1" t="n">
        <v>45636</v>
      </c>
      <c r="C1234" s="1" t="n">
        <v>45643</v>
      </c>
      <c r="D1234" t="inlineStr">
        <is>
          <t>JÄMTLANDS LÄN</t>
        </is>
      </c>
      <c r="E1234" t="inlineStr">
        <is>
          <t>BERG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58817-2024</t>
        </is>
      </c>
      <c r="B1235" s="1" t="n">
        <v>45636</v>
      </c>
      <c r="C1235" s="1" t="n">
        <v>45643</v>
      </c>
      <c r="D1235" t="inlineStr">
        <is>
          <t>JÄMTLANDS LÄN</t>
        </is>
      </c>
      <c r="E1235" t="inlineStr">
        <is>
          <t>BERG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58878-2024</t>
        </is>
      </c>
      <c r="B1236" s="1" t="n">
        <v>45636</v>
      </c>
      <c r="C1236" s="1" t="n">
        <v>45643</v>
      </c>
      <c r="D1236" t="inlineStr">
        <is>
          <t>JÄMTLANDS LÄN</t>
        </is>
      </c>
      <c r="E1236" t="inlineStr">
        <is>
          <t>BERG</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59498-2024</t>
        </is>
      </c>
      <c r="B1237" s="1" t="n">
        <v>45638</v>
      </c>
      <c r="C1237" s="1" t="n">
        <v>45643</v>
      </c>
      <c r="D1237" t="inlineStr">
        <is>
          <t>JÄMTLANDS LÄN</t>
        </is>
      </c>
      <c r="E1237" t="inlineStr">
        <is>
          <t>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59526-2024</t>
        </is>
      </c>
      <c r="B1238" s="1" t="n">
        <v>45638</v>
      </c>
      <c r="C1238" s="1" t="n">
        <v>45643</v>
      </c>
      <c r="D1238" t="inlineStr">
        <is>
          <t>JÄMTLANDS LÄN</t>
        </is>
      </c>
      <c r="E1238" t="inlineStr">
        <is>
          <t>BERG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59459-2024</t>
        </is>
      </c>
      <c r="B1239" s="1" t="n">
        <v>45638</v>
      </c>
      <c r="C1239" s="1" t="n">
        <v>45643</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59524-2024</t>
        </is>
      </c>
      <c r="B1240" s="1" t="n">
        <v>45638</v>
      </c>
      <c r="C1240" s="1" t="n">
        <v>45643</v>
      </c>
      <c r="D1240" t="inlineStr">
        <is>
          <t>JÄMTLANDS LÄN</t>
        </is>
      </c>
      <c r="E1240" t="inlineStr">
        <is>
          <t>BERG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59521-2024</t>
        </is>
      </c>
      <c r="B1241" s="1" t="n">
        <v>45638</v>
      </c>
      <c r="C1241" s="1" t="n">
        <v>45643</v>
      </c>
      <c r="D1241" t="inlineStr">
        <is>
          <t>JÄMTLANDS LÄN</t>
        </is>
      </c>
      <c r="E1241" t="inlineStr">
        <is>
          <t>BERG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59968-2024</t>
        </is>
      </c>
      <c r="B1242" s="1" t="n">
        <v>45642</v>
      </c>
      <c r="C1242" s="1" t="n">
        <v>45643</v>
      </c>
      <c r="D1242" t="inlineStr">
        <is>
          <t>JÄMTLANDS LÄN</t>
        </is>
      </c>
      <c r="E1242" t="inlineStr">
        <is>
          <t>BERG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60076-2024</t>
        </is>
      </c>
      <c r="B1243" s="1" t="n">
        <v>45642</v>
      </c>
      <c r="C1243" s="1" t="n">
        <v>45643</v>
      </c>
      <c r="D1243" t="inlineStr">
        <is>
          <t>JÄMTLANDS LÄN</t>
        </is>
      </c>
      <c r="E1243" t="inlineStr">
        <is>
          <t>BERG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60075-2024</t>
        </is>
      </c>
      <c r="B1244" s="1" t="n">
        <v>45642</v>
      </c>
      <c r="C1244" s="1" t="n">
        <v>45643</v>
      </c>
      <c r="D1244" t="inlineStr">
        <is>
          <t>JÄMTLANDS LÄN</t>
        </is>
      </c>
      <c r="E1244" t="inlineStr">
        <is>
          <t>BERG</t>
        </is>
      </c>
      <c r="G1244" t="n">
        <v>3.6</v>
      </c>
      <c r="H1244" t="n">
        <v>0</v>
      </c>
      <c r="I1244" t="n">
        <v>0</v>
      </c>
      <c r="J1244" t="n">
        <v>0</v>
      </c>
      <c r="K1244" t="n">
        <v>0</v>
      </c>
      <c r="L1244" t="n">
        <v>0</v>
      </c>
      <c r="M1244" t="n">
        <v>0</v>
      </c>
      <c r="N1244" t="n">
        <v>0</v>
      </c>
      <c r="O1244" t="n">
        <v>0</v>
      </c>
      <c r="P1244" t="n">
        <v>0</v>
      </c>
      <c r="Q1244" t="n">
        <v>0</v>
      </c>
      <c r="R1244" s="2" t="inlineStr"/>
    </row>
    <row r="1245">
      <c r="A1245" t="inlineStr">
        <is>
          <t>A 60176-2024</t>
        </is>
      </c>
      <c r="B1245" s="1" t="n">
        <v>45642</v>
      </c>
      <c r="C1245" s="1" t="n">
        <v>45643</v>
      </c>
      <c r="D1245" t="inlineStr">
        <is>
          <t>JÄMTLANDS LÄN</t>
        </is>
      </c>
      <c r="E1245" t="inlineStr">
        <is>
          <t>BERG</t>
        </is>
      </c>
      <c r="G1245" t="n">
        <v>11.6</v>
      </c>
      <c r="H1245" t="n">
        <v>0</v>
      </c>
      <c r="I1245" t="n">
        <v>0</v>
      </c>
      <c r="J1245" t="n">
        <v>0</v>
      </c>
      <c r="K1245" t="n">
        <v>0</v>
      </c>
      <c r="L1245" t="n">
        <v>0</v>
      </c>
      <c r="M1245" t="n">
        <v>0</v>
      </c>
      <c r="N1245" t="n">
        <v>0</v>
      </c>
      <c r="O1245" t="n">
        <v>0</v>
      </c>
      <c r="P1245" t="n">
        <v>0</v>
      </c>
      <c r="Q1245" t="n">
        <v>0</v>
      </c>
      <c r="R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2024-12-17T15:21:09Z</dcterms:created>
  <dcterms:modified xmlns:dcterms="http://purl.org/dc/terms/" xmlns:xsi="http://www.w3.org/2001/XMLSchema-instance" xsi:type="dcterms:W3CDTF">2024-12-17T15:21:10Z</dcterms:modified>
</cp:coreProperties>
</file>