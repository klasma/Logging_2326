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46139</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46139</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46139</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46139</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46139</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46139</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46139</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46139</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46139</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46139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46139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46139</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46139</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46139</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28615-2025</t>
        </is>
      </c>
      <c r="B29" s="1" t="n">
        <v>45819.60576388889</v>
      </c>
      <c r="C29" s="1" t="n">
        <v>46139</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46139</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46139</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46139</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46139</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7473-2023</t>
        </is>
      </c>
      <c r="B34" s="1" t="n">
        <v>44966</v>
      </c>
      <c r="C34" s="1" t="n">
        <v>46139</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46139</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46139</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46139</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46139</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16246-2024</t>
        </is>
      </c>
      <c r="B39" s="1" t="n">
        <v>45407.05788194444</v>
      </c>
      <c r="C39" s="1" t="n">
        <v>46139</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46139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46139</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46139</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37406-2022</t>
        </is>
      </c>
      <c r="B43" s="1" t="n">
        <v>44806</v>
      </c>
      <c r="C43" s="1" t="n">
        <v>46139</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46139</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46139</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35538-2025</t>
        </is>
      </c>
      <c r="B46" s="1" t="n">
        <v>45856.4552662037</v>
      </c>
      <c r="C46" s="1" t="n">
        <v>46139</v>
      </c>
      <c r="D46" t="inlineStr">
        <is>
          <t>JÄMTLANDS LÄN</t>
        </is>
      </c>
      <c r="E46" t="inlineStr">
        <is>
          <t>BERG</t>
        </is>
      </c>
      <c r="F46" t="inlineStr">
        <is>
          <t>Sveaskog</t>
        </is>
      </c>
      <c r="G46" t="n">
        <v>9.6</v>
      </c>
      <c r="H46" t="n">
        <v>4</v>
      </c>
      <c r="I46" t="n">
        <v>1</v>
      </c>
      <c r="J46" t="n">
        <v>4</v>
      </c>
      <c r="K46" t="n">
        <v>1</v>
      </c>
      <c r="L46" t="n">
        <v>0</v>
      </c>
      <c r="M46" t="n">
        <v>0</v>
      </c>
      <c r="N46" t="n">
        <v>0</v>
      </c>
      <c r="O46" t="n">
        <v>5</v>
      </c>
      <c r="P46" t="n">
        <v>1</v>
      </c>
      <c r="Q46" t="n">
        <v>7</v>
      </c>
      <c r="R46" s="2" t="inlineStr">
        <is>
          <t>Knärot
Harticka
Lunglav
Talltita
Tretåig hackspett
Trådticka
Lavskrika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40860-2025</t>
        </is>
      </c>
      <c r="B47" s="1" t="n">
        <v>45897.56300925926</v>
      </c>
      <c r="C47" s="1" t="n">
        <v>46139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46139</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31719-2022</t>
        </is>
      </c>
      <c r="B49" s="1" t="n">
        <v>44776</v>
      </c>
      <c r="C49" s="1" t="n">
        <v>46139</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46139</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46139</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46139</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46139</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49626-2024</t>
        </is>
      </c>
      <c r="B54" s="1" t="n">
        <v>45596.59109953704</v>
      </c>
      <c r="C54" s="1" t="n">
        <v>46139</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46139</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46139</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46139</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19530-2025</t>
        </is>
      </c>
      <c r="B58" s="1" t="n">
        <v>45770.46903935185</v>
      </c>
      <c r="C58" s="1" t="n">
        <v>46139</v>
      </c>
      <c r="D58" t="inlineStr">
        <is>
          <t>JÄMTLANDS LÄN</t>
        </is>
      </c>
      <c r="E58" t="inlineStr">
        <is>
          <t>BERG</t>
        </is>
      </c>
      <c r="F58" t="inlineStr">
        <is>
          <t>SCA</t>
        </is>
      </c>
      <c r="G58" t="n">
        <v>3.3</v>
      </c>
      <c r="H58" t="n">
        <v>3</v>
      </c>
      <c r="I58" t="n">
        <v>1</v>
      </c>
      <c r="J58" t="n">
        <v>3</v>
      </c>
      <c r="K58" t="n">
        <v>0</v>
      </c>
      <c r="L58" t="n">
        <v>0</v>
      </c>
      <c r="M58" t="n">
        <v>0</v>
      </c>
      <c r="N58" t="n">
        <v>0</v>
      </c>
      <c r="O58" t="n">
        <v>3</v>
      </c>
      <c r="P58" t="n">
        <v>0</v>
      </c>
      <c r="Q58" t="n">
        <v>5</v>
      </c>
      <c r="R58" s="2" t="inlineStr">
        <is>
          <t>Kolflarnlav
Talltita
Tretåig hackspett
Skarp dropptaggsvamp
Lavskrika</t>
        </is>
      </c>
      <c r="S58">
        <f>HYPERLINK("https://klasma.github.io/Logging_2326/artfynd/A 19530-2025 artfynd.xlsx", "A 19530-2025")</f>
        <v/>
      </c>
      <c r="T58">
        <f>HYPERLINK("https://klasma.github.io/Logging_2326/kartor/A 19530-2025 karta.png", "A 19530-2025")</f>
        <v/>
      </c>
      <c r="V58">
        <f>HYPERLINK("https://klasma.github.io/Logging_2326/klagomål/A 19530-2025 FSC-klagomål.docx", "A 19530-2025")</f>
        <v/>
      </c>
      <c r="W58">
        <f>HYPERLINK("https://klasma.github.io/Logging_2326/klagomålsmail/A 19530-2025 FSC-klagomål mail.docx", "A 19530-2025")</f>
        <v/>
      </c>
      <c r="X58">
        <f>HYPERLINK("https://klasma.github.io/Logging_2326/tillsyn/A 19530-2025 tillsynsbegäran.docx", "A 19530-2025")</f>
        <v/>
      </c>
      <c r="Y58">
        <f>HYPERLINK("https://klasma.github.io/Logging_2326/tillsynsmail/A 19530-2025 tillsynsbegäran mail.docx", "A 19530-2025")</f>
        <v/>
      </c>
      <c r="Z58">
        <f>HYPERLINK("https://klasma.github.io/Logging_2326/fåglar/A 19530-2025 prioriterade fågelarter.docx", "A 19530-2025")</f>
        <v/>
      </c>
    </row>
    <row r="59" ht="15" customHeight="1">
      <c r="A59" t="inlineStr">
        <is>
          <t>A 54841-2022</t>
        </is>
      </c>
      <c r="B59" s="1" t="n">
        <v>44883</v>
      </c>
      <c r="C59" s="1" t="n">
        <v>46139</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24204-2024</t>
        </is>
      </c>
      <c r="B60" s="1" t="n">
        <v>45456</v>
      </c>
      <c r="C60" s="1" t="n">
        <v>46139</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46139</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46139</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46139</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46139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46139</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54979-2021</t>
        </is>
      </c>
      <c r="B66" s="1" t="n">
        <v>44474.53888888889</v>
      </c>
      <c r="C66" s="1" t="n">
        <v>46139</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46139</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46139</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46139</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59823-2022</t>
        </is>
      </c>
      <c r="B70" s="1" t="n">
        <v>44900</v>
      </c>
      <c r="C70" s="1" t="n">
        <v>46139</v>
      </c>
      <c r="D70" t="inlineStr">
        <is>
          <t>JÄMTLANDS LÄN</t>
        </is>
      </c>
      <c r="E70" t="inlineStr">
        <is>
          <t>BERG</t>
        </is>
      </c>
      <c r="G70" t="n">
        <v>14.8</v>
      </c>
      <c r="H70" t="n">
        <v>2</v>
      </c>
      <c r="I70" t="n">
        <v>0</v>
      </c>
      <c r="J70" t="n">
        <v>2</v>
      </c>
      <c r="K70" t="n">
        <v>0</v>
      </c>
      <c r="L70" t="n">
        <v>0</v>
      </c>
      <c r="M70" t="n">
        <v>0</v>
      </c>
      <c r="N70" t="n">
        <v>0</v>
      </c>
      <c r="O70" t="n">
        <v>2</v>
      </c>
      <c r="P70" t="n">
        <v>0</v>
      </c>
      <c r="Q70" t="n">
        <v>4</v>
      </c>
      <c r="R70" s="2" t="inlineStr">
        <is>
          <t>Garnlav
Granticka
Orre
Fläcknycklar</t>
        </is>
      </c>
      <c r="S70">
        <f>HYPERLINK("https://klasma.github.io/Logging_2326/artfynd/A 59823-2022 artfynd.xlsx", "A 59823-2022")</f>
        <v/>
      </c>
      <c r="T70">
        <f>HYPERLINK("https://klasma.github.io/Logging_2326/kartor/A 59823-2022 karta.png", "A 59823-2022")</f>
        <v/>
      </c>
      <c r="V70">
        <f>HYPERLINK("https://klasma.github.io/Logging_2326/klagomål/A 59823-2022 FSC-klagomål.docx", "A 59823-2022")</f>
        <v/>
      </c>
      <c r="W70">
        <f>HYPERLINK("https://klasma.github.io/Logging_2326/klagomålsmail/A 59823-2022 FSC-klagomål mail.docx", "A 59823-2022")</f>
        <v/>
      </c>
      <c r="X70">
        <f>HYPERLINK("https://klasma.github.io/Logging_2326/tillsyn/A 59823-2022 tillsynsbegäran.docx", "A 59823-2022")</f>
        <v/>
      </c>
      <c r="Y70">
        <f>HYPERLINK("https://klasma.github.io/Logging_2326/tillsynsmail/A 59823-2022 tillsynsbegäran mail.docx", "A 59823-2022")</f>
        <v/>
      </c>
      <c r="Z70">
        <f>HYPERLINK("https://klasma.github.io/Logging_2326/fåglar/A 59823-2022 prioriterade fågelarter.docx", "A 59823-2022")</f>
        <v/>
      </c>
    </row>
    <row r="71" ht="15" customHeight="1">
      <c r="A71" t="inlineStr">
        <is>
          <t>A 7891-2022</t>
        </is>
      </c>
      <c r="B71" s="1" t="n">
        <v>44607</v>
      </c>
      <c r="C71" s="1" t="n">
        <v>46139</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56224-2024</t>
        </is>
      </c>
      <c r="B72" s="1" t="n">
        <v>45624.61491898148</v>
      </c>
      <c r="C72" s="1" t="n">
        <v>46139</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46139</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46795-2025</t>
        </is>
      </c>
      <c r="B74" s="1" t="n">
        <v>45926.65668981482</v>
      </c>
      <c r="C74" s="1" t="n">
        <v>46139</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25871-2025</t>
        </is>
      </c>
      <c r="B75" s="1" t="n">
        <v>45804.4903125</v>
      </c>
      <c r="C75" s="1" t="n">
        <v>46139</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46139</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31715-2025</t>
        </is>
      </c>
      <c r="B77" s="1" t="n">
        <v>45834.45671296296</v>
      </c>
      <c r="C77" s="1" t="n">
        <v>46139</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46139</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57276-2025</t>
        </is>
      </c>
      <c r="B79" s="1" t="n">
        <v>45979.68783564815</v>
      </c>
      <c r="C79" s="1" t="n">
        <v>46139</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58238-2025</t>
        </is>
      </c>
      <c r="B80" s="1" t="n">
        <v>45985.38775462963</v>
      </c>
      <c r="C80" s="1" t="n">
        <v>46139</v>
      </c>
      <c r="D80" t="inlineStr">
        <is>
          <t>JÄMTLANDS LÄN</t>
        </is>
      </c>
      <c r="E80" t="inlineStr">
        <is>
          <t>BERG</t>
        </is>
      </c>
      <c r="F80" t="inlineStr">
        <is>
          <t>SCA</t>
        </is>
      </c>
      <c r="G80" t="n">
        <v>7.6</v>
      </c>
      <c r="H80" t="n">
        <v>2</v>
      </c>
      <c r="I80" t="n">
        <v>0</v>
      </c>
      <c r="J80" t="n">
        <v>4</v>
      </c>
      <c r="K80" t="n">
        <v>0</v>
      </c>
      <c r="L80" t="n">
        <v>0</v>
      </c>
      <c r="M80" t="n">
        <v>0</v>
      </c>
      <c r="N80" t="n">
        <v>0</v>
      </c>
      <c r="O80" t="n">
        <v>4</v>
      </c>
      <c r="P80" t="n">
        <v>0</v>
      </c>
      <c r="Q80" t="n">
        <v>4</v>
      </c>
      <c r="R80" s="2" t="inlineStr">
        <is>
          <t>Granticka
Spillkråka
Tretåig hackspett
Ullticka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13487-2024</t>
        </is>
      </c>
      <c r="B81" s="1" t="n">
        <v>45387</v>
      </c>
      <c r="C81" s="1" t="n">
        <v>46139</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46139</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46139</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v>
      </c>
      <c r="C84" s="1" t="n">
        <v>46139</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46139</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62661-2021</t>
        </is>
      </c>
      <c r="B86" s="1" t="n">
        <v>44503</v>
      </c>
      <c r="C86" s="1" t="n">
        <v>46139</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68433-2021</t>
        </is>
      </c>
      <c r="B87" s="1" t="n">
        <v>44529</v>
      </c>
      <c r="C87" s="1" t="n">
        <v>46139</v>
      </c>
      <c r="D87" t="inlineStr">
        <is>
          <t>JÄMTLANDS LÄN</t>
        </is>
      </c>
      <c r="E87" t="inlineStr">
        <is>
          <t>BERG</t>
        </is>
      </c>
      <c r="G87" t="n">
        <v>17.9</v>
      </c>
      <c r="H87" t="n">
        <v>0</v>
      </c>
      <c r="I87" t="n">
        <v>0</v>
      </c>
      <c r="J87" t="n">
        <v>3</v>
      </c>
      <c r="K87" t="n">
        <v>0</v>
      </c>
      <c r="L87" t="n">
        <v>0</v>
      </c>
      <c r="M87" t="n">
        <v>0</v>
      </c>
      <c r="N87" t="n">
        <v>0</v>
      </c>
      <c r="O87" t="n">
        <v>3</v>
      </c>
      <c r="P87" t="n">
        <v>0</v>
      </c>
      <c r="Q87" t="n">
        <v>3</v>
      </c>
      <c r="R87" s="2" t="inlineStr">
        <is>
          <t>Doftskinn
Vaddporing
Vedskivlav</t>
        </is>
      </c>
      <c r="S87">
        <f>HYPERLINK("https://klasma.github.io/Logging_2326/artfynd/A 68433-2021 artfynd.xlsx", "A 68433-2021")</f>
        <v/>
      </c>
      <c r="T87">
        <f>HYPERLINK("https://klasma.github.io/Logging_2326/kartor/A 68433-2021 karta.png", "A 68433-2021")</f>
        <v/>
      </c>
      <c r="V87">
        <f>HYPERLINK("https://klasma.github.io/Logging_2326/klagomål/A 68433-2021 FSC-klagomål.docx", "A 68433-2021")</f>
        <v/>
      </c>
      <c r="W87">
        <f>HYPERLINK("https://klasma.github.io/Logging_2326/klagomålsmail/A 68433-2021 FSC-klagomål mail.docx", "A 68433-2021")</f>
        <v/>
      </c>
      <c r="X87">
        <f>HYPERLINK("https://klasma.github.io/Logging_2326/tillsyn/A 68433-2021 tillsynsbegäran.docx", "A 68433-2021")</f>
        <v/>
      </c>
      <c r="Y87">
        <f>HYPERLINK("https://klasma.github.io/Logging_2326/tillsynsmail/A 68433-2021 tillsynsbegäran mail.docx", "A 68433-2021")</f>
        <v/>
      </c>
    </row>
    <row r="88" ht="15" customHeight="1">
      <c r="A88" t="inlineStr">
        <is>
          <t>A 19848-2025</t>
        </is>
      </c>
      <c r="B88" s="1" t="n">
        <v>45771.49020833334</v>
      </c>
      <c r="C88" s="1" t="n">
        <v>46139</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6784-2022</t>
        </is>
      </c>
      <c r="B89" s="1" t="n">
        <v>44602</v>
      </c>
      <c r="C89" s="1" t="n">
        <v>46139</v>
      </c>
      <c r="D89" t="inlineStr">
        <is>
          <t>JÄMTLANDS LÄN</t>
        </is>
      </c>
      <c r="E89" t="inlineStr">
        <is>
          <t>BERG</t>
        </is>
      </c>
      <c r="G89" t="n">
        <v>4</v>
      </c>
      <c r="H89" t="n">
        <v>2</v>
      </c>
      <c r="I89" t="n">
        <v>0</v>
      </c>
      <c r="J89" t="n">
        <v>1</v>
      </c>
      <c r="K89" t="n">
        <v>0</v>
      </c>
      <c r="L89" t="n">
        <v>0</v>
      </c>
      <c r="M89" t="n">
        <v>0</v>
      </c>
      <c r="N89" t="n">
        <v>0</v>
      </c>
      <c r="O89" t="n">
        <v>1</v>
      </c>
      <c r="P89" t="n">
        <v>0</v>
      </c>
      <c r="Q89" t="n">
        <v>3</v>
      </c>
      <c r="R89" s="2" t="inlineStr">
        <is>
          <t>Brunklöver
Jorduggla
Brudsporre</t>
        </is>
      </c>
      <c r="S89">
        <f>HYPERLINK("https://klasma.github.io/Logging_2326/artfynd/A 6784-2022 artfynd.xlsx", "A 6784-2022")</f>
        <v/>
      </c>
      <c r="T89">
        <f>HYPERLINK("https://klasma.github.io/Logging_2326/kartor/A 6784-2022 karta.png", "A 6784-2022")</f>
        <v/>
      </c>
      <c r="V89">
        <f>HYPERLINK("https://klasma.github.io/Logging_2326/klagomål/A 6784-2022 FSC-klagomål.docx", "A 6784-2022")</f>
        <v/>
      </c>
      <c r="W89">
        <f>HYPERLINK("https://klasma.github.io/Logging_2326/klagomålsmail/A 6784-2022 FSC-klagomål mail.docx", "A 6784-2022")</f>
        <v/>
      </c>
      <c r="X89">
        <f>HYPERLINK("https://klasma.github.io/Logging_2326/tillsyn/A 6784-2022 tillsynsbegäran.docx", "A 6784-2022")</f>
        <v/>
      </c>
      <c r="Y89">
        <f>HYPERLINK("https://klasma.github.io/Logging_2326/tillsynsmail/A 6784-2022 tillsynsbegäran mail.docx", "A 6784-2022")</f>
        <v/>
      </c>
      <c r="Z89">
        <f>HYPERLINK("https://klasma.github.io/Logging_2326/fåglar/A 6784-2022 prioriterade fågelarter.docx", "A 6784-2022")</f>
        <v/>
      </c>
    </row>
    <row r="90" ht="15" customHeight="1">
      <c r="A90" t="inlineStr">
        <is>
          <t>A 47122-2024</t>
        </is>
      </c>
      <c r="B90" s="1" t="n">
        <v>45586.5674074074</v>
      </c>
      <c r="C90" s="1" t="n">
        <v>46139</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3062-2025</t>
        </is>
      </c>
      <c r="B91" s="1" t="n">
        <v>45678</v>
      </c>
      <c r="C91" s="1" t="n">
        <v>46139</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49611-2025</t>
        </is>
      </c>
      <c r="B92" s="1" t="n">
        <v>45939.5735300926</v>
      </c>
      <c r="C92" s="1" t="n">
        <v>46139</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46139</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52189-2024</t>
        </is>
      </c>
      <c r="B94" s="1" t="n">
        <v>45608</v>
      </c>
      <c r="C94" s="1" t="n">
        <v>46139</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46139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59401-2025</t>
        </is>
      </c>
      <c r="B96" s="1" t="n">
        <v>45989.48791666667</v>
      </c>
      <c r="C96" s="1" t="n">
        <v>46139</v>
      </c>
      <c r="D96" t="inlineStr">
        <is>
          <t>JÄMTLANDS LÄN</t>
        </is>
      </c>
      <c r="E96" t="inlineStr">
        <is>
          <t>BERG</t>
        </is>
      </c>
      <c r="G96" t="n">
        <v>4.6</v>
      </c>
      <c r="H96" t="n">
        <v>1</v>
      </c>
      <c r="I96" t="n">
        <v>0</v>
      </c>
      <c r="J96" t="n">
        <v>3</v>
      </c>
      <c r="K96" t="n">
        <v>0</v>
      </c>
      <c r="L96" t="n">
        <v>0</v>
      </c>
      <c r="M96" t="n">
        <v>0</v>
      </c>
      <c r="N96" t="n">
        <v>0</v>
      </c>
      <c r="O96" t="n">
        <v>3</v>
      </c>
      <c r="P96" t="n">
        <v>0</v>
      </c>
      <c r="Q96" t="n">
        <v>3</v>
      </c>
      <c r="R96" s="2" t="inlineStr">
        <is>
          <t>Garnlav
Kolflarnlav
Talltita</t>
        </is>
      </c>
      <c r="S96">
        <f>HYPERLINK("https://klasma.github.io/Logging_2326/artfynd/A 59401-2025 artfynd.xlsx", "A 59401-2025")</f>
        <v/>
      </c>
      <c r="T96">
        <f>HYPERLINK("https://klasma.github.io/Logging_2326/kartor/A 59401-2025 karta.png", "A 59401-2025")</f>
        <v/>
      </c>
      <c r="V96">
        <f>HYPERLINK("https://klasma.github.io/Logging_2326/klagomål/A 59401-2025 FSC-klagomål.docx", "A 59401-2025")</f>
        <v/>
      </c>
      <c r="W96">
        <f>HYPERLINK("https://klasma.github.io/Logging_2326/klagomålsmail/A 59401-2025 FSC-klagomål mail.docx", "A 59401-2025")</f>
        <v/>
      </c>
      <c r="X96">
        <f>HYPERLINK("https://klasma.github.io/Logging_2326/tillsyn/A 59401-2025 tillsynsbegäran.docx", "A 59401-2025")</f>
        <v/>
      </c>
      <c r="Y96">
        <f>HYPERLINK("https://klasma.github.io/Logging_2326/tillsynsmail/A 59401-2025 tillsynsbegäran mail.docx", "A 59401-2025")</f>
        <v/>
      </c>
      <c r="Z96">
        <f>HYPERLINK("https://klasma.github.io/Logging_2326/fåglar/A 59401-2025 prioriterade fågelarter.docx", "A 59401-2025")</f>
        <v/>
      </c>
    </row>
    <row r="97" ht="15" customHeight="1">
      <c r="A97" t="inlineStr">
        <is>
          <t>A 56368-2024</t>
        </is>
      </c>
      <c r="B97" s="1" t="n">
        <v>45625.32978009259</v>
      </c>
      <c r="C97" s="1" t="n">
        <v>46139</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35925-2024</t>
        </is>
      </c>
      <c r="B98" s="1" t="n">
        <v>45533.43868055556</v>
      </c>
      <c r="C98" s="1" t="n">
        <v>46139</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20242-2025</t>
        </is>
      </c>
      <c r="B99" s="1" t="n">
        <v>45772</v>
      </c>
      <c r="C99" s="1" t="n">
        <v>46139</v>
      </c>
      <c r="D99" t="inlineStr">
        <is>
          <t>JÄMTLANDS LÄN</t>
        </is>
      </c>
      <c r="E99" t="inlineStr">
        <is>
          <t>BERG</t>
        </is>
      </c>
      <c r="F99" t="inlineStr">
        <is>
          <t>SCA</t>
        </is>
      </c>
      <c r="G99" t="n">
        <v>4.4</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37063-2025</t>
        </is>
      </c>
      <c r="B100" s="1" t="n">
        <v>45875.38596064815</v>
      </c>
      <c r="C100" s="1" t="n">
        <v>46139</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54999-2023</t>
        </is>
      </c>
      <c r="B101" s="1" t="n">
        <v>45236</v>
      </c>
      <c r="C101" s="1" t="n">
        <v>46139</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51950-2021</t>
        </is>
      </c>
      <c r="B102" s="1" t="n">
        <v>44462.9562037037</v>
      </c>
      <c r="C102" s="1" t="n">
        <v>46139</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46139</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26944-2024</t>
        </is>
      </c>
      <c r="B104" s="1" t="n">
        <v>45470.96880787037</v>
      </c>
      <c r="C104" s="1" t="n">
        <v>46139</v>
      </c>
      <c r="D104" t="inlineStr">
        <is>
          <t>JÄMTLANDS LÄN</t>
        </is>
      </c>
      <c r="E104" t="inlineStr">
        <is>
          <t>BERG</t>
        </is>
      </c>
      <c r="F104" t="inlineStr">
        <is>
          <t>SCA</t>
        </is>
      </c>
      <c r="G104" t="n">
        <v>5.7</v>
      </c>
      <c r="H104" t="n">
        <v>0</v>
      </c>
      <c r="I104" t="n">
        <v>0</v>
      </c>
      <c r="J104" t="n">
        <v>2</v>
      </c>
      <c r="K104" t="n">
        <v>0</v>
      </c>
      <c r="L104" t="n">
        <v>0</v>
      </c>
      <c r="M104" t="n">
        <v>0</v>
      </c>
      <c r="N104" t="n">
        <v>0</v>
      </c>
      <c r="O104" t="n">
        <v>2</v>
      </c>
      <c r="P104" t="n">
        <v>0</v>
      </c>
      <c r="Q104" t="n">
        <v>2</v>
      </c>
      <c r="R104" s="2" t="inlineStr">
        <is>
          <t>Blå taggsvamp
Gammelgransskål</t>
        </is>
      </c>
      <c r="S104">
        <f>HYPERLINK("https://klasma.github.io/Logging_2326/artfynd/A 26944-2024 artfynd.xlsx", "A 26944-2024")</f>
        <v/>
      </c>
      <c r="T104">
        <f>HYPERLINK("https://klasma.github.io/Logging_2326/kartor/A 26944-2024 karta.png", "A 26944-2024")</f>
        <v/>
      </c>
      <c r="V104">
        <f>HYPERLINK("https://klasma.github.io/Logging_2326/klagomål/A 26944-2024 FSC-klagomål.docx", "A 26944-2024")</f>
        <v/>
      </c>
      <c r="W104">
        <f>HYPERLINK("https://klasma.github.io/Logging_2326/klagomålsmail/A 26944-2024 FSC-klagomål mail.docx", "A 26944-2024")</f>
        <v/>
      </c>
      <c r="X104">
        <f>HYPERLINK("https://klasma.github.io/Logging_2326/tillsyn/A 26944-2024 tillsynsbegäran.docx", "A 26944-2024")</f>
        <v/>
      </c>
      <c r="Y104">
        <f>HYPERLINK("https://klasma.github.io/Logging_2326/tillsynsmail/A 26944-2024 tillsynsbegäran mail.docx", "A 26944-2024")</f>
        <v/>
      </c>
    </row>
    <row r="105" ht="15" customHeight="1">
      <c r="A105" t="inlineStr">
        <is>
          <t>A 33009-2024</t>
        </is>
      </c>
      <c r="B105" s="1" t="n">
        <v>45517.50332175926</v>
      </c>
      <c r="C105" s="1" t="n">
        <v>46139</v>
      </c>
      <c r="D105" t="inlineStr">
        <is>
          <t>JÄMTLANDS LÄN</t>
        </is>
      </c>
      <c r="E105" t="inlineStr">
        <is>
          <t>BERG</t>
        </is>
      </c>
      <c r="G105" t="n">
        <v>2.7</v>
      </c>
      <c r="H105" t="n">
        <v>1</v>
      </c>
      <c r="I105" t="n">
        <v>0</v>
      </c>
      <c r="J105" t="n">
        <v>2</v>
      </c>
      <c r="K105" t="n">
        <v>0</v>
      </c>
      <c r="L105" t="n">
        <v>0</v>
      </c>
      <c r="M105" t="n">
        <v>0</v>
      </c>
      <c r="N105" t="n">
        <v>0</v>
      </c>
      <c r="O105" t="n">
        <v>2</v>
      </c>
      <c r="P105" t="n">
        <v>0</v>
      </c>
      <c r="Q105" t="n">
        <v>2</v>
      </c>
      <c r="R105" s="2" t="inlineStr">
        <is>
          <t>Garnlav
Talltita</t>
        </is>
      </c>
      <c r="S105">
        <f>HYPERLINK("https://klasma.github.io/Logging_2326/artfynd/A 33009-2024 artfynd.xlsx", "A 33009-2024")</f>
        <v/>
      </c>
      <c r="T105">
        <f>HYPERLINK("https://klasma.github.io/Logging_2326/kartor/A 33009-2024 karta.png", "A 33009-2024")</f>
        <v/>
      </c>
      <c r="V105">
        <f>HYPERLINK("https://klasma.github.io/Logging_2326/klagomål/A 33009-2024 FSC-klagomål.docx", "A 33009-2024")</f>
        <v/>
      </c>
      <c r="W105">
        <f>HYPERLINK("https://klasma.github.io/Logging_2326/klagomålsmail/A 33009-2024 FSC-klagomål mail.docx", "A 33009-2024")</f>
        <v/>
      </c>
      <c r="X105">
        <f>HYPERLINK("https://klasma.github.io/Logging_2326/tillsyn/A 33009-2024 tillsynsbegäran.docx", "A 33009-2024")</f>
        <v/>
      </c>
      <c r="Y105">
        <f>HYPERLINK("https://klasma.github.io/Logging_2326/tillsynsmail/A 33009-2024 tillsynsbegäran mail.docx", "A 33009-2024")</f>
        <v/>
      </c>
      <c r="Z105">
        <f>HYPERLINK("https://klasma.github.io/Logging_2326/fåglar/A 33009-2024 prioriterade fågelarter.docx", "A 33009-2024")</f>
        <v/>
      </c>
    </row>
    <row r="106" ht="15" customHeight="1">
      <c r="A106" t="inlineStr">
        <is>
          <t>A 12734-2024</t>
        </is>
      </c>
      <c r="B106" s="1" t="n">
        <v>45384</v>
      </c>
      <c r="C106" s="1" t="n">
        <v>46139</v>
      </c>
      <c r="D106" t="inlineStr">
        <is>
          <t>JÄMTLANDS LÄN</t>
        </is>
      </c>
      <c r="E106" t="inlineStr">
        <is>
          <t>BERG</t>
        </is>
      </c>
      <c r="G106" t="n">
        <v>7.2</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12734-2024 artfynd.xlsx", "A 12734-2024")</f>
        <v/>
      </c>
      <c r="T106">
        <f>HYPERLINK("https://klasma.github.io/Logging_2326/kartor/A 12734-2024 karta.png", "A 12734-2024")</f>
        <v/>
      </c>
      <c r="V106">
        <f>HYPERLINK("https://klasma.github.io/Logging_2326/klagomål/A 12734-2024 FSC-klagomål.docx", "A 12734-2024")</f>
        <v/>
      </c>
      <c r="W106">
        <f>HYPERLINK("https://klasma.github.io/Logging_2326/klagomålsmail/A 12734-2024 FSC-klagomål mail.docx", "A 12734-2024")</f>
        <v/>
      </c>
      <c r="X106">
        <f>HYPERLINK("https://klasma.github.io/Logging_2326/tillsyn/A 12734-2024 tillsynsbegäran.docx", "A 12734-2024")</f>
        <v/>
      </c>
      <c r="Y106">
        <f>HYPERLINK("https://klasma.github.io/Logging_2326/tillsynsmail/A 12734-2024 tillsynsbegäran mail.docx", "A 12734-2024")</f>
        <v/>
      </c>
      <c r="Z106">
        <f>HYPERLINK("https://klasma.github.io/Logging_2326/fåglar/A 12734-2024 prioriterade fågelarter.docx", "A 12734-2024")</f>
        <v/>
      </c>
    </row>
    <row r="107" ht="15" customHeight="1">
      <c r="A107" t="inlineStr">
        <is>
          <t>A 55331-2023</t>
        </is>
      </c>
      <c r="B107" s="1" t="n">
        <v>45237</v>
      </c>
      <c r="C107" s="1" t="n">
        <v>46139</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10133-2023</t>
        </is>
      </c>
      <c r="B108" s="1" t="n">
        <v>44986</v>
      </c>
      <c r="C108" s="1" t="n">
        <v>46139</v>
      </c>
      <c r="D108" t="inlineStr">
        <is>
          <t>JÄMTLANDS LÄN</t>
        </is>
      </c>
      <c r="E108" t="inlineStr">
        <is>
          <t>BERG</t>
        </is>
      </c>
      <c r="F108" t="inlineStr">
        <is>
          <t>Holmen skog AB</t>
        </is>
      </c>
      <c r="G108" t="n">
        <v>3</v>
      </c>
      <c r="H108" t="n">
        <v>0</v>
      </c>
      <c r="I108" t="n">
        <v>0</v>
      </c>
      <c r="J108" t="n">
        <v>2</v>
      </c>
      <c r="K108" t="n">
        <v>0</v>
      </c>
      <c r="L108" t="n">
        <v>0</v>
      </c>
      <c r="M108" t="n">
        <v>0</v>
      </c>
      <c r="N108" t="n">
        <v>0</v>
      </c>
      <c r="O108" t="n">
        <v>2</v>
      </c>
      <c r="P108" t="n">
        <v>0</v>
      </c>
      <c r="Q108" t="n">
        <v>2</v>
      </c>
      <c r="R108" s="2" t="inlineStr">
        <is>
          <t>Garnlav
Vitgrynig nållav</t>
        </is>
      </c>
      <c r="S108">
        <f>HYPERLINK("https://klasma.github.io/Logging_2326/artfynd/A 10133-2023 artfynd.xlsx", "A 10133-2023")</f>
        <v/>
      </c>
      <c r="T108">
        <f>HYPERLINK("https://klasma.github.io/Logging_2326/kartor/A 10133-2023 karta.png", "A 10133-2023")</f>
        <v/>
      </c>
      <c r="V108">
        <f>HYPERLINK("https://klasma.github.io/Logging_2326/klagomål/A 10133-2023 FSC-klagomål.docx", "A 10133-2023")</f>
        <v/>
      </c>
      <c r="W108">
        <f>HYPERLINK("https://klasma.github.io/Logging_2326/klagomålsmail/A 10133-2023 FSC-klagomål mail.docx", "A 10133-2023")</f>
        <v/>
      </c>
      <c r="X108">
        <f>HYPERLINK("https://klasma.github.io/Logging_2326/tillsyn/A 10133-2023 tillsynsbegäran.docx", "A 10133-2023")</f>
        <v/>
      </c>
      <c r="Y108">
        <f>HYPERLINK("https://klasma.github.io/Logging_2326/tillsynsmail/A 10133-2023 tillsynsbegäran mail.docx", "A 10133-2023")</f>
        <v/>
      </c>
    </row>
    <row r="109" ht="15" customHeight="1">
      <c r="A109" t="inlineStr">
        <is>
          <t>A 28769-2024</t>
        </is>
      </c>
      <c r="B109" s="1" t="n">
        <v>45478</v>
      </c>
      <c r="C109" s="1" t="n">
        <v>46139</v>
      </c>
      <c r="D109" t="inlineStr">
        <is>
          <t>JÄMTLANDS LÄN</t>
        </is>
      </c>
      <c r="E109" t="inlineStr">
        <is>
          <t>BERG</t>
        </is>
      </c>
      <c r="F109" t="inlineStr">
        <is>
          <t>Sveaskog</t>
        </is>
      </c>
      <c r="G109" t="n">
        <v>2.2</v>
      </c>
      <c r="H109" t="n">
        <v>1</v>
      </c>
      <c r="I109" t="n">
        <v>0</v>
      </c>
      <c r="J109" t="n">
        <v>1</v>
      </c>
      <c r="K109" t="n">
        <v>0</v>
      </c>
      <c r="L109" t="n">
        <v>0</v>
      </c>
      <c r="M109" t="n">
        <v>0</v>
      </c>
      <c r="N109" t="n">
        <v>0</v>
      </c>
      <c r="O109" t="n">
        <v>1</v>
      </c>
      <c r="P109" t="n">
        <v>0</v>
      </c>
      <c r="Q109" t="n">
        <v>2</v>
      </c>
      <c r="R109" s="2" t="inlineStr">
        <is>
          <t>Lunglav
Fläcknycklar</t>
        </is>
      </c>
      <c r="S109">
        <f>HYPERLINK("https://klasma.github.io/Logging_2326/artfynd/A 28769-2024 artfynd.xlsx", "A 28769-2024")</f>
        <v/>
      </c>
      <c r="T109">
        <f>HYPERLINK("https://klasma.github.io/Logging_2326/kartor/A 28769-2024 karta.png", "A 28769-2024")</f>
        <v/>
      </c>
      <c r="V109">
        <f>HYPERLINK("https://klasma.github.io/Logging_2326/klagomål/A 28769-2024 FSC-klagomål.docx", "A 28769-2024")</f>
        <v/>
      </c>
      <c r="W109">
        <f>HYPERLINK("https://klasma.github.io/Logging_2326/klagomålsmail/A 28769-2024 FSC-klagomål mail.docx", "A 28769-2024")</f>
        <v/>
      </c>
      <c r="X109">
        <f>HYPERLINK("https://klasma.github.io/Logging_2326/tillsyn/A 28769-2024 tillsynsbegäran.docx", "A 28769-2024")</f>
        <v/>
      </c>
      <c r="Y109">
        <f>HYPERLINK("https://klasma.github.io/Logging_2326/tillsynsmail/A 28769-2024 tillsynsbegäran mail.docx", "A 28769-2024")</f>
        <v/>
      </c>
    </row>
    <row r="110" ht="15" customHeight="1">
      <c r="A110" t="inlineStr">
        <is>
          <t>A 42120-2025</t>
        </is>
      </c>
      <c r="B110" s="1" t="n">
        <v>45904.34236111111</v>
      </c>
      <c r="C110" s="1" t="n">
        <v>46139</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60333-2024</t>
        </is>
      </c>
      <c r="B111" s="1" t="n">
        <v>45643</v>
      </c>
      <c r="C111" s="1" t="n">
        <v>46139</v>
      </c>
      <c r="D111" t="inlineStr">
        <is>
          <t>JÄMTLANDS LÄN</t>
        </is>
      </c>
      <c r="E111" t="inlineStr">
        <is>
          <t>BERG</t>
        </is>
      </c>
      <c r="G111" t="n">
        <v>25.5</v>
      </c>
      <c r="H111" t="n">
        <v>0</v>
      </c>
      <c r="I111" t="n">
        <v>2</v>
      </c>
      <c r="J111" t="n">
        <v>0</v>
      </c>
      <c r="K111" t="n">
        <v>0</v>
      </c>
      <c r="L111" t="n">
        <v>0</v>
      </c>
      <c r="M111" t="n">
        <v>0</v>
      </c>
      <c r="N111" t="n">
        <v>0</v>
      </c>
      <c r="O111" t="n">
        <v>0</v>
      </c>
      <c r="P111" t="n">
        <v>0</v>
      </c>
      <c r="Q111" t="n">
        <v>2</v>
      </c>
      <c r="R111" s="2" t="inlineStr">
        <is>
          <t>Honungsvaxing
Ängsvaxing agg.</t>
        </is>
      </c>
      <c r="S111">
        <f>HYPERLINK("https://klasma.github.io/Logging_2326/artfynd/A 60333-2024 artfynd.xlsx", "A 60333-2024")</f>
        <v/>
      </c>
      <c r="T111">
        <f>HYPERLINK("https://klasma.github.io/Logging_2326/kartor/A 60333-2024 karta.png", "A 60333-2024")</f>
        <v/>
      </c>
      <c r="V111">
        <f>HYPERLINK("https://klasma.github.io/Logging_2326/klagomål/A 60333-2024 FSC-klagomål.docx", "A 60333-2024")</f>
        <v/>
      </c>
      <c r="W111">
        <f>HYPERLINK("https://klasma.github.io/Logging_2326/klagomålsmail/A 60333-2024 FSC-klagomål mail.docx", "A 60333-2024")</f>
        <v/>
      </c>
      <c r="X111">
        <f>HYPERLINK("https://klasma.github.io/Logging_2326/tillsyn/A 60333-2024 tillsynsbegäran.docx", "A 60333-2024")</f>
        <v/>
      </c>
      <c r="Y111">
        <f>HYPERLINK("https://klasma.github.io/Logging_2326/tillsynsmail/A 60333-2024 tillsynsbegäran mail.docx", "A 60333-2024")</f>
        <v/>
      </c>
    </row>
    <row r="112" ht="15" customHeight="1">
      <c r="A112" t="inlineStr">
        <is>
          <t>A 21518-2025</t>
        </is>
      </c>
      <c r="B112" s="1" t="n">
        <v>45782</v>
      </c>
      <c r="C112" s="1" t="n">
        <v>46139</v>
      </c>
      <c r="D112" t="inlineStr">
        <is>
          <t>JÄMTLANDS LÄN</t>
        </is>
      </c>
      <c r="E112" t="inlineStr">
        <is>
          <t>BERG</t>
        </is>
      </c>
      <c r="F112" t="inlineStr">
        <is>
          <t>SCA</t>
        </is>
      </c>
      <c r="G112" t="n">
        <v>3.6</v>
      </c>
      <c r="H112" t="n">
        <v>0</v>
      </c>
      <c r="I112" t="n">
        <v>1</v>
      </c>
      <c r="J112" t="n">
        <v>1</v>
      </c>
      <c r="K112" t="n">
        <v>0</v>
      </c>
      <c r="L112" t="n">
        <v>0</v>
      </c>
      <c r="M112" t="n">
        <v>0</v>
      </c>
      <c r="N112" t="n">
        <v>0</v>
      </c>
      <c r="O112" t="n">
        <v>1</v>
      </c>
      <c r="P112" t="n">
        <v>0</v>
      </c>
      <c r="Q112" t="n">
        <v>2</v>
      </c>
      <c r="R112" s="2" t="inlineStr">
        <is>
          <t>Dvärgbägarlav
Skarp dropptaggsvamp</t>
        </is>
      </c>
      <c r="S112">
        <f>HYPERLINK("https://klasma.github.io/Logging_2326/artfynd/A 21518-2025 artfynd.xlsx", "A 21518-2025")</f>
        <v/>
      </c>
      <c r="T112">
        <f>HYPERLINK("https://klasma.github.io/Logging_2326/kartor/A 21518-2025 karta.png", "A 21518-2025")</f>
        <v/>
      </c>
      <c r="V112">
        <f>HYPERLINK("https://klasma.github.io/Logging_2326/klagomål/A 21518-2025 FSC-klagomål.docx", "A 21518-2025")</f>
        <v/>
      </c>
      <c r="W112">
        <f>HYPERLINK("https://klasma.github.io/Logging_2326/klagomålsmail/A 21518-2025 FSC-klagomål mail.docx", "A 21518-2025")</f>
        <v/>
      </c>
      <c r="X112">
        <f>HYPERLINK("https://klasma.github.io/Logging_2326/tillsyn/A 21518-2025 tillsynsbegäran.docx", "A 21518-2025")</f>
        <v/>
      </c>
      <c r="Y112">
        <f>HYPERLINK("https://klasma.github.io/Logging_2326/tillsynsmail/A 21518-2025 tillsynsbegäran mail.docx", "A 21518-2025")</f>
        <v/>
      </c>
    </row>
    <row r="113" ht="15" customHeight="1">
      <c r="A113" t="inlineStr">
        <is>
          <t>A 8734-2025</t>
        </is>
      </c>
      <c r="B113" s="1" t="n">
        <v>45712.53209490741</v>
      </c>
      <c r="C113" s="1" t="n">
        <v>46139</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46139</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26748-2025</t>
        </is>
      </c>
      <c r="B115" s="1" t="n">
        <v>45810.53988425926</v>
      </c>
      <c r="C115" s="1" t="n">
        <v>46139</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50389-2025</t>
        </is>
      </c>
      <c r="B116" s="1" t="n">
        <v>45944.61539351852</v>
      </c>
      <c r="C116" s="1" t="n">
        <v>46139</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27647-2025</t>
        </is>
      </c>
      <c r="B117" s="1" t="n">
        <v>45813.59454861111</v>
      </c>
      <c r="C117" s="1" t="n">
        <v>46139</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52611-2025</t>
        </is>
      </c>
      <c r="B118" s="1" t="n">
        <v>45954.66971064815</v>
      </c>
      <c r="C118" s="1" t="n">
        <v>46139</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46139</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31709-2025</t>
        </is>
      </c>
      <c r="B120" s="1" t="n">
        <v>45834.42543981481</v>
      </c>
      <c r="C120" s="1" t="n">
        <v>46139</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30334-2024</t>
        </is>
      </c>
      <c r="B121" s="1" t="n">
        <v>45490.95396990741</v>
      </c>
      <c r="C121" s="1" t="n">
        <v>46139</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62161-2025</t>
        </is>
      </c>
      <c r="B122" s="1" t="n">
        <v>46006.49113425926</v>
      </c>
      <c r="C122" s="1" t="n">
        <v>46139</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62159-2025</t>
        </is>
      </c>
      <c r="B123" s="1" t="n">
        <v>46006.49081018518</v>
      </c>
      <c r="C123" s="1" t="n">
        <v>46139</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14344-2025</t>
        </is>
      </c>
      <c r="B124" s="1" t="n">
        <v>45741</v>
      </c>
      <c r="C124" s="1" t="n">
        <v>46139</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46139</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5122-2026</t>
        </is>
      </c>
      <c r="B126" s="1" t="n">
        <v>46049.58273148148</v>
      </c>
      <c r="C126" s="1" t="n">
        <v>46139</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37387-2022</t>
        </is>
      </c>
      <c r="B127" s="1" t="n">
        <v>44806</v>
      </c>
      <c r="C127" s="1" t="n">
        <v>46139</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48880-2023</t>
        </is>
      </c>
      <c r="B128" s="1" t="n">
        <v>45209</v>
      </c>
      <c r="C128" s="1" t="n">
        <v>46139</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19948-2025</t>
        </is>
      </c>
      <c r="B129" s="1" t="n">
        <v>45771</v>
      </c>
      <c r="C129" s="1" t="n">
        <v>46139</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18606-2026</t>
        </is>
      </c>
      <c r="B130" s="1" t="n">
        <v>46127.65828703704</v>
      </c>
      <c r="C130" s="1" t="n">
        <v>46139</v>
      </c>
      <c r="D130" t="inlineStr">
        <is>
          <t>JÄMTLANDS LÄN</t>
        </is>
      </c>
      <c r="E130" t="inlineStr">
        <is>
          <t>BERG</t>
        </is>
      </c>
      <c r="F130" t="inlineStr">
        <is>
          <t>SCA</t>
        </is>
      </c>
      <c r="G130" t="n">
        <v>7.5</v>
      </c>
      <c r="H130" t="n">
        <v>1</v>
      </c>
      <c r="I130" t="n">
        <v>0</v>
      </c>
      <c r="J130" t="n">
        <v>1</v>
      </c>
      <c r="K130" t="n">
        <v>0</v>
      </c>
      <c r="L130" t="n">
        <v>0</v>
      </c>
      <c r="M130" t="n">
        <v>0</v>
      </c>
      <c r="N130" t="n">
        <v>0</v>
      </c>
      <c r="O130" t="n">
        <v>1</v>
      </c>
      <c r="P130" t="n">
        <v>0</v>
      </c>
      <c r="Q130" t="n">
        <v>2</v>
      </c>
      <c r="R130" s="2" t="inlineStr">
        <is>
          <t>Skrovellav
Fläcknycklar</t>
        </is>
      </c>
      <c r="S130">
        <f>HYPERLINK("https://klasma.github.io/Logging_2326/artfynd/A 18606-2026 artfynd.xlsx", "A 18606-2026")</f>
        <v/>
      </c>
      <c r="T130">
        <f>HYPERLINK("https://klasma.github.io/Logging_2326/kartor/A 18606-2026 karta.png", "A 18606-2026")</f>
        <v/>
      </c>
      <c r="V130">
        <f>HYPERLINK("https://klasma.github.io/Logging_2326/klagomål/A 18606-2026 FSC-klagomål.docx", "A 18606-2026")</f>
        <v/>
      </c>
      <c r="W130">
        <f>HYPERLINK("https://klasma.github.io/Logging_2326/klagomålsmail/A 18606-2026 FSC-klagomål mail.docx", "A 18606-2026")</f>
        <v/>
      </c>
      <c r="X130">
        <f>HYPERLINK("https://klasma.github.io/Logging_2326/tillsyn/A 18606-2026 tillsynsbegäran.docx", "A 18606-2026")</f>
        <v/>
      </c>
      <c r="Y130">
        <f>HYPERLINK("https://klasma.github.io/Logging_2326/tillsynsmail/A 18606-2026 tillsynsbegäran mail.docx", "A 18606-2026")</f>
        <v/>
      </c>
    </row>
    <row r="131" ht="15" customHeight="1">
      <c r="A131" t="inlineStr">
        <is>
          <t>A 47-2023</t>
        </is>
      </c>
      <c r="B131" s="1" t="n">
        <v>44928</v>
      </c>
      <c r="C131" s="1" t="n">
        <v>46139</v>
      </c>
      <c r="D131" t="inlineStr">
        <is>
          <t>JÄMTLANDS LÄN</t>
        </is>
      </c>
      <c r="E131" t="inlineStr">
        <is>
          <t>BERG</t>
        </is>
      </c>
      <c r="F131" t="inlineStr">
        <is>
          <t>Naturvårdsverket</t>
        </is>
      </c>
      <c r="G131" t="n">
        <v>1.5</v>
      </c>
      <c r="H131" t="n">
        <v>1</v>
      </c>
      <c r="I131" t="n">
        <v>0</v>
      </c>
      <c r="J131" t="n">
        <v>1</v>
      </c>
      <c r="K131" t="n">
        <v>1</v>
      </c>
      <c r="L131" t="n">
        <v>0</v>
      </c>
      <c r="M131" t="n">
        <v>0</v>
      </c>
      <c r="N131" t="n">
        <v>0</v>
      </c>
      <c r="O131" t="n">
        <v>2</v>
      </c>
      <c r="P131" t="n">
        <v>1</v>
      </c>
      <c r="Q131" t="n">
        <v>2</v>
      </c>
      <c r="R131" s="2" t="inlineStr">
        <is>
          <t>Knärot
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40382-2024</t>
        </is>
      </c>
      <c r="B132" s="1" t="n">
        <v>45555.42225694445</v>
      </c>
      <c r="C132" s="1" t="n">
        <v>46139</v>
      </c>
      <c r="D132" t="inlineStr">
        <is>
          <t>JÄMTLANDS LÄN</t>
        </is>
      </c>
      <c r="E132" t="inlineStr">
        <is>
          <t>BERG</t>
        </is>
      </c>
      <c r="G132" t="n">
        <v>1.5</v>
      </c>
      <c r="H132" t="n">
        <v>0</v>
      </c>
      <c r="I132" t="n">
        <v>0</v>
      </c>
      <c r="J132" t="n">
        <v>1</v>
      </c>
      <c r="K132" t="n">
        <v>0</v>
      </c>
      <c r="L132" t="n">
        <v>0</v>
      </c>
      <c r="M132" t="n">
        <v>0</v>
      </c>
      <c r="N132" t="n">
        <v>0</v>
      </c>
      <c r="O132" t="n">
        <v>1</v>
      </c>
      <c r="P132" t="n">
        <v>0</v>
      </c>
      <c r="Q132" t="n">
        <v>1</v>
      </c>
      <c r="R132" s="2" t="inlineStr">
        <is>
          <t>Backruta</t>
        </is>
      </c>
      <c r="S132">
        <f>HYPERLINK("https://klasma.github.io/Logging_2326/artfynd/A 40382-2024 artfynd.xlsx", "A 40382-2024")</f>
        <v/>
      </c>
      <c r="T132">
        <f>HYPERLINK("https://klasma.github.io/Logging_2326/kartor/A 40382-2024 karta.png", "A 40382-2024")</f>
        <v/>
      </c>
      <c r="V132">
        <f>HYPERLINK("https://klasma.github.io/Logging_2326/klagomål/A 40382-2024 FSC-klagomål.docx", "A 40382-2024")</f>
        <v/>
      </c>
      <c r="W132">
        <f>HYPERLINK("https://klasma.github.io/Logging_2326/klagomålsmail/A 40382-2024 FSC-klagomål mail.docx", "A 40382-2024")</f>
        <v/>
      </c>
      <c r="X132">
        <f>HYPERLINK("https://klasma.github.io/Logging_2326/tillsyn/A 40382-2024 tillsynsbegäran.docx", "A 40382-2024")</f>
        <v/>
      </c>
      <c r="Y132">
        <f>HYPERLINK("https://klasma.github.io/Logging_2326/tillsynsmail/A 40382-2024 tillsynsbegäran mail.docx", "A 40382-2024")</f>
        <v/>
      </c>
    </row>
    <row r="133" ht="15" customHeight="1">
      <c r="A133" t="inlineStr">
        <is>
          <t>A 41317-2022</t>
        </is>
      </c>
      <c r="B133" s="1" t="n">
        <v>44826</v>
      </c>
      <c r="C133" s="1" t="n">
        <v>46139</v>
      </c>
      <c r="D133" t="inlineStr">
        <is>
          <t>JÄMTLANDS LÄN</t>
        </is>
      </c>
      <c r="E133" t="inlineStr">
        <is>
          <t>BERG</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HYPERLINK("https://klasma.github.io/Logging_2326/artfynd/A 41317-2022 artfynd.xlsx", "A 41317-2022")</f>
        <v/>
      </c>
      <c r="T133">
        <f>HYPERLINK("https://klasma.github.io/Logging_2326/kartor/A 41317-2022 karta.png", "A 41317-2022")</f>
        <v/>
      </c>
      <c r="V133">
        <f>HYPERLINK("https://klasma.github.io/Logging_2326/klagomål/A 41317-2022 FSC-klagomål.docx", "A 41317-2022")</f>
        <v/>
      </c>
      <c r="W133">
        <f>HYPERLINK("https://klasma.github.io/Logging_2326/klagomålsmail/A 41317-2022 FSC-klagomål mail.docx", "A 41317-2022")</f>
        <v/>
      </c>
      <c r="X133">
        <f>HYPERLINK("https://klasma.github.io/Logging_2326/tillsyn/A 41317-2022 tillsynsbegäran.docx", "A 41317-2022")</f>
        <v/>
      </c>
      <c r="Y133">
        <f>HYPERLINK("https://klasma.github.io/Logging_2326/tillsynsmail/A 41317-2022 tillsynsbegäran mail.docx", "A 41317-2022")</f>
        <v/>
      </c>
    </row>
    <row r="134" ht="15" customHeight="1">
      <c r="A134" t="inlineStr">
        <is>
          <t>A 20444-2025</t>
        </is>
      </c>
      <c r="B134" s="1" t="n">
        <v>45775.48989583334</v>
      </c>
      <c r="C134" s="1" t="n">
        <v>46139</v>
      </c>
      <c r="D134" t="inlineStr">
        <is>
          <t>JÄMTLANDS LÄN</t>
        </is>
      </c>
      <c r="E134" t="inlineStr">
        <is>
          <t>BERG</t>
        </is>
      </c>
      <c r="F134" t="inlineStr">
        <is>
          <t>SCA</t>
        </is>
      </c>
      <c r="G134" t="n">
        <v>2.3</v>
      </c>
      <c r="H134" t="n">
        <v>0</v>
      </c>
      <c r="I134" t="n">
        <v>0</v>
      </c>
      <c r="J134" t="n">
        <v>0</v>
      </c>
      <c r="K134" t="n">
        <v>1</v>
      </c>
      <c r="L134" t="n">
        <v>0</v>
      </c>
      <c r="M134" t="n">
        <v>0</v>
      </c>
      <c r="N134" t="n">
        <v>0</v>
      </c>
      <c r="O134" t="n">
        <v>1</v>
      </c>
      <c r="P134" t="n">
        <v>1</v>
      </c>
      <c r="Q134" t="n">
        <v>1</v>
      </c>
      <c r="R134" s="2" t="inlineStr">
        <is>
          <t>Gräddporing</t>
        </is>
      </c>
      <c r="S134">
        <f>HYPERLINK("https://klasma.github.io/Logging_2326/artfynd/A 20444-2025 artfynd.xlsx", "A 20444-2025")</f>
        <v/>
      </c>
      <c r="T134">
        <f>HYPERLINK("https://klasma.github.io/Logging_2326/kartor/A 20444-2025 karta.png", "A 20444-2025")</f>
        <v/>
      </c>
      <c r="V134">
        <f>HYPERLINK("https://klasma.github.io/Logging_2326/klagomål/A 20444-2025 FSC-klagomål.docx", "A 20444-2025")</f>
        <v/>
      </c>
      <c r="W134">
        <f>HYPERLINK("https://klasma.github.io/Logging_2326/klagomålsmail/A 20444-2025 FSC-klagomål mail.docx", "A 20444-2025")</f>
        <v/>
      </c>
      <c r="X134">
        <f>HYPERLINK("https://klasma.github.io/Logging_2326/tillsyn/A 20444-2025 tillsynsbegäran.docx", "A 20444-2025")</f>
        <v/>
      </c>
      <c r="Y134">
        <f>HYPERLINK("https://klasma.github.io/Logging_2326/tillsynsmail/A 20444-2025 tillsynsbegäran mail.docx", "A 20444-2025")</f>
        <v/>
      </c>
    </row>
    <row r="135" ht="15" customHeight="1">
      <c r="A135" t="inlineStr">
        <is>
          <t>A 48069-2023</t>
        </is>
      </c>
      <c r="B135" s="1" t="n">
        <v>45204</v>
      </c>
      <c r="C135" s="1" t="n">
        <v>46139</v>
      </c>
      <c r="D135" t="inlineStr">
        <is>
          <t>JÄMTLANDS LÄN</t>
        </is>
      </c>
      <c r="E135" t="inlineStr">
        <is>
          <t>BERG</t>
        </is>
      </c>
      <c r="F135" t="inlineStr">
        <is>
          <t>SCA</t>
        </is>
      </c>
      <c r="G135" t="n">
        <v>11.2</v>
      </c>
      <c r="H135" t="n">
        <v>1</v>
      </c>
      <c r="I135" t="n">
        <v>0</v>
      </c>
      <c r="J135" t="n">
        <v>1</v>
      </c>
      <c r="K135" t="n">
        <v>0</v>
      </c>
      <c r="L135" t="n">
        <v>0</v>
      </c>
      <c r="M135" t="n">
        <v>0</v>
      </c>
      <c r="N135" t="n">
        <v>0</v>
      </c>
      <c r="O135" t="n">
        <v>1</v>
      </c>
      <c r="P135" t="n">
        <v>0</v>
      </c>
      <c r="Q135" t="n">
        <v>1</v>
      </c>
      <c r="R135" s="2" t="inlineStr">
        <is>
          <t>Kungsörn</t>
        </is>
      </c>
      <c r="S135">
        <f>HYPERLINK("https://klasma.github.io/Logging_2326/artfynd/A 48069-2023 artfynd.xlsx", "A 48069-2023")</f>
        <v/>
      </c>
      <c r="T135">
        <f>HYPERLINK("https://klasma.github.io/Logging_2326/kartor/A 48069-2023 karta.png", "A 48069-2023")</f>
        <v/>
      </c>
      <c r="V135">
        <f>HYPERLINK("https://klasma.github.io/Logging_2326/klagomål/A 48069-2023 FSC-klagomål.docx", "A 48069-2023")</f>
        <v/>
      </c>
      <c r="W135">
        <f>HYPERLINK("https://klasma.github.io/Logging_2326/klagomålsmail/A 48069-2023 FSC-klagomål mail.docx", "A 48069-2023")</f>
        <v/>
      </c>
      <c r="X135">
        <f>HYPERLINK("https://klasma.github.io/Logging_2326/tillsyn/A 48069-2023 tillsynsbegäran.docx", "A 48069-2023")</f>
        <v/>
      </c>
      <c r="Y135">
        <f>HYPERLINK("https://klasma.github.io/Logging_2326/tillsynsmail/A 48069-2023 tillsynsbegäran mail.docx", "A 48069-2023")</f>
        <v/>
      </c>
      <c r="Z135">
        <f>HYPERLINK("https://klasma.github.io/Logging_2326/fåglar/A 48069-2023 prioriterade fågelarter.docx", "A 48069-2023")</f>
        <v/>
      </c>
    </row>
    <row r="136" ht="15" customHeight="1">
      <c r="A136" t="inlineStr">
        <is>
          <t>A 49276-2024</t>
        </is>
      </c>
      <c r="B136" s="1" t="n">
        <v>45595.50819444445</v>
      </c>
      <c r="C136" s="1" t="n">
        <v>46139</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21681-2025</t>
        </is>
      </c>
      <c r="B137" s="1" t="n">
        <v>45783.49015046296</v>
      </c>
      <c r="C137" s="1" t="n">
        <v>46139</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53708-2024</t>
        </is>
      </c>
      <c r="B138" s="1" t="n">
        <v>45615.40983796296</v>
      </c>
      <c r="C138" s="1" t="n">
        <v>46139</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56202-2021</t>
        </is>
      </c>
      <c r="B139" s="1" t="n">
        <v>44477</v>
      </c>
      <c r="C139" s="1" t="n">
        <v>46139</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33126-2024</t>
        </is>
      </c>
      <c r="B140" s="1" t="n">
        <v>45517.9575462963</v>
      </c>
      <c r="C140" s="1" t="n">
        <v>46139</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54595-2024</t>
        </is>
      </c>
      <c r="B141" s="1" t="n">
        <v>45617.67353009259</v>
      </c>
      <c r="C141" s="1" t="n">
        <v>46139</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24331-2025</t>
        </is>
      </c>
      <c r="B142" s="1" t="n">
        <v>45797</v>
      </c>
      <c r="C142" s="1" t="n">
        <v>46139</v>
      </c>
      <c r="D142" t="inlineStr">
        <is>
          <t>JÄMTLANDS LÄN</t>
        </is>
      </c>
      <c r="E142" t="inlineStr">
        <is>
          <t>BERG</t>
        </is>
      </c>
      <c r="G142" t="n">
        <v>9</v>
      </c>
      <c r="H142" t="n">
        <v>1</v>
      </c>
      <c r="I142" t="n">
        <v>0</v>
      </c>
      <c r="J142" t="n">
        <v>0</v>
      </c>
      <c r="K142" t="n">
        <v>0</v>
      </c>
      <c r="L142" t="n">
        <v>0</v>
      </c>
      <c r="M142" t="n">
        <v>0</v>
      </c>
      <c r="N142" t="n">
        <v>0</v>
      </c>
      <c r="O142" t="n">
        <v>0</v>
      </c>
      <c r="P142" t="n">
        <v>0</v>
      </c>
      <c r="Q142" t="n">
        <v>1</v>
      </c>
      <c r="R142" s="2" t="inlineStr">
        <is>
          <t>Blåsippa</t>
        </is>
      </c>
      <c r="S142">
        <f>HYPERLINK("https://klasma.github.io/Logging_2326/artfynd/A 24331-2025 artfynd.xlsx", "A 24331-2025")</f>
        <v/>
      </c>
      <c r="T142">
        <f>HYPERLINK("https://klasma.github.io/Logging_2326/kartor/A 24331-2025 karta.png", "A 24331-2025")</f>
        <v/>
      </c>
      <c r="V142">
        <f>HYPERLINK("https://klasma.github.io/Logging_2326/klagomål/A 24331-2025 FSC-klagomål.docx", "A 24331-2025")</f>
        <v/>
      </c>
      <c r="W142">
        <f>HYPERLINK("https://klasma.github.io/Logging_2326/klagomålsmail/A 24331-2025 FSC-klagomål mail.docx", "A 24331-2025")</f>
        <v/>
      </c>
      <c r="X142">
        <f>HYPERLINK("https://klasma.github.io/Logging_2326/tillsyn/A 24331-2025 tillsynsbegäran.docx", "A 24331-2025")</f>
        <v/>
      </c>
      <c r="Y142">
        <f>HYPERLINK("https://klasma.github.io/Logging_2326/tillsynsmail/A 24331-2025 tillsynsbegäran mail.docx", "A 24331-2025")</f>
        <v/>
      </c>
    </row>
    <row r="143" ht="15" customHeight="1">
      <c r="A143" t="inlineStr">
        <is>
          <t>A 47656-2025</t>
        </is>
      </c>
      <c r="B143" s="1" t="n">
        <v>45931.55247685185</v>
      </c>
      <c r="C143" s="1" t="n">
        <v>46139</v>
      </c>
      <c r="D143" t="inlineStr">
        <is>
          <t>JÄMTLANDS LÄN</t>
        </is>
      </c>
      <c r="E143" t="inlineStr">
        <is>
          <t>BERG</t>
        </is>
      </c>
      <c r="F143" t="inlineStr">
        <is>
          <t>SCA</t>
        </is>
      </c>
      <c r="G143" t="n">
        <v>1.2</v>
      </c>
      <c r="H143" t="n">
        <v>0</v>
      </c>
      <c r="I143" t="n">
        <v>0</v>
      </c>
      <c r="J143" t="n">
        <v>1</v>
      </c>
      <c r="K143" t="n">
        <v>0</v>
      </c>
      <c r="L143" t="n">
        <v>0</v>
      </c>
      <c r="M143" t="n">
        <v>0</v>
      </c>
      <c r="N143" t="n">
        <v>0</v>
      </c>
      <c r="O143" t="n">
        <v>1</v>
      </c>
      <c r="P143" t="n">
        <v>0</v>
      </c>
      <c r="Q143" t="n">
        <v>1</v>
      </c>
      <c r="R143" s="2" t="inlineStr">
        <is>
          <t>Vedflamlav</t>
        </is>
      </c>
      <c r="S143">
        <f>HYPERLINK("https://klasma.github.io/Logging_2326/artfynd/A 47656-2025 artfynd.xlsx", "A 47656-2025")</f>
        <v/>
      </c>
      <c r="T143">
        <f>HYPERLINK("https://klasma.github.io/Logging_2326/kartor/A 47656-2025 karta.png", "A 47656-2025")</f>
        <v/>
      </c>
      <c r="V143">
        <f>HYPERLINK("https://klasma.github.io/Logging_2326/klagomål/A 47656-2025 FSC-klagomål.docx", "A 47656-2025")</f>
        <v/>
      </c>
      <c r="W143">
        <f>HYPERLINK("https://klasma.github.io/Logging_2326/klagomålsmail/A 47656-2025 FSC-klagomål mail.docx", "A 47656-2025")</f>
        <v/>
      </c>
      <c r="X143">
        <f>HYPERLINK("https://klasma.github.io/Logging_2326/tillsyn/A 47656-2025 tillsynsbegäran.docx", "A 47656-2025")</f>
        <v/>
      </c>
      <c r="Y143">
        <f>HYPERLINK("https://klasma.github.io/Logging_2326/tillsynsmail/A 47656-2025 tillsynsbegäran mail.docx", "A 47656-2025")</f>
        <v/>
      </c>
    </row>
    <row r="144" ht="15" customHeight="1">
      <c r="A144" t="inlineStr">
        <is>
          <t>A 47658-2025</t>
        </is>
      </c>
      <c r="B144" s="1" t="n">
        <v>45931.55266203704</v>
      </c>
      <c r="C144" s="1" t="n">
        <v>46139</v>
      </c>
      <c r="D144" t="inlineStr">
        <is>
          <t>JÄMTLANDS LÄN</t>
        </is>
      </c>
      <c r="E144" t="inlineStr">
        <is>
          <t>BERG</t>
        </is>
      </c>
      <c r="F144" t="inlineStr">
        <is>
          <t>SCA</t>
        </is>
      </c>
      <c r="G144" t="n">
        <v>3.2</v>
      </c>
      <c r="H144" t="n">
        <v>0</v>
      </c>
      <c r="I144" t="n">
        <v>0</v>
      </c>
      <c r="J144" t="n">
        <v>1</v>
      </c>
      <c r="K144" t="n">
        <v>0</v>
      </c>
      <c r="L144" t="n">
        <v>0</v>
      </c>
      <c r="M144" t="n">
        <v>0</v>
      </c>
      <c r="N144" t="n">
        <v>0</v>
      </c>
      <c r="O144" t="n">
        <v>1</v>
      </c>
      <c r="P144" t="n">
        <v>0</v>
      </c>
      <c r="Q144" t="n">
        <v>1</v>
      </c>
      <c r="R144" s="2" t="inlineStr">
        <is>
          <t>Blågrå svartspik</t>
        </is>
      </c>
      <c r="S144">
        <f>HYPERLINK("https://klasma.github.io/Logging_2326/artfynd/A 47658-2025 artfynd.xlsx", "A 47658-2025")</f>
        <v/>
      </c>
      <c r="T144">
        <f>HYPERLINK("https://klasma.github.io/Logging_2326/kartor/A 47658-2025 karta.png", "A 47658-2025")</f>
        <v/>
      </c>
      <c r="V144">
        <f>HYPERLINK("https://klasma.github.io/Logging_2326/klagomål/A 47658-2025 FSC-klagomål.docx", "A 47658-2025")</f>
        <v/>
      </c>
      <c r="W144">
        <f>HYPERLINK("https://klasma.github.io/Logging_2326/klagomålsmail/A 47658-2025 FSC-klagomål mail.docx", "A 47658-2025")</f>
        <v/>
      </c>
      <c r="X144">
        <f>HYPERLINK("https://klasma.github.io/Logging_2326/tillsyn/A 47658-2025 tillsynsbegäran.docx", "A 47658-2025")</f>
        <v/>
      </c>
      <c r="Y144">
        <f>HYPERLINK("https://klasma.github.io/Logging_2326/tillsynsmail/A 47658-2025 tillsynsbegäran mail.docx", "A 47658-2025")</f>
        <v/>
      </c>
    </row>
    <row r="145" ht="15" customHeight="1">
      <c r="A145" t="inlineStr">
        <is>
          <t>A 20808-2024</t>
        </is>
      </c>
      <c r="B145" s="1" t="n">
        <v>45439</v>
      </c>
      <c r="C145" s="1" t="n">
        <v>46139</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47946-2025</t>
        </is>
      </c>
      <c r="B146" s="1" t="n">
        <v>45932.57346064815</v>
      </c>
      <c r="C146" s="1" t="n">
        <v>46139</v>
      </c>
      <c r="D146" t="inlineStr">
        <is>
          <t>JÄMTLANDS LÄN</t>
        </is>
      </c>
      <c r="E146" t="inlineStr">
        <is>
          <t>BERG</t>
        </is>
      </c>
      <c r="F146" t="inlineStr">
        <is>
          <t>SCA</t>
        </is>
      </c>
      <c r="G146" t="n">
        <v>7.7</v>
      </c>
      <c r="H146" t="n">
        <v>0</v>
      </c>
      <c r="I146" t="n">
        <v>0</v>
      </c>
      <c r="J146" t="n">
        <v>0</v>
      </c>
      <c r="K146" t="n">
        <v>1</v>
      </c>
      <c r="L146" t="n">
        <v>0</v>
      </c>
      <c r="M146" t="n">
        <v>0</v>
      </c>
      <c r="N146" t="n">
        <v>0</v>
      </c>
      <c r="O146" t="n">
        <v>1</v>
      </c>
      <c r="P146" t="n">
        <v>1</v>
      </c>
      <c r="Q146" t="n">
        <v>1</v>
      </c>
      <c r="R146" s="2" t="inlineStr">
        <is>
          <t>Gräddporing</t>
        </is>
      </c>
      <c r="S146">
        <f>HYPERLINK("https://klasma.github.io/Logging_2326/artfynd/A 47946-2025 artfynd.xlsx", "A 47946-2025")</f>
        <v/>
      </c>
      <c r="T146">
        <f>HYPERLINK("https://klasma.github.io/Logging_2326/kartor/A 47946-2025 karta.png", "A 47946-2025")</f>
        <v/>
      </c>
      <c r="V146">
        <f>HYPERLINK("https://klasma.github.io/Logging_2326/klagomål/A 47946-2025 FSC-klagomål.docx", "A 47946-2025")</f>
        <v/>
      </c>
      <c r="W146">
        <f>HYPERLINK("https://klasma.github.io/Logging_2326/klagomålsmail/A 47946-2025 FSC-klagomål mail.docx", "A 47946-2025")</f>
        <v/>
      </c>
      <c r="X146">
        <f>HYPERLINK("https://klasma.github.io/Logging_2326/tillsyn/A 47946-2025 tillsynsbegäran.docx", "A 47946-2025")</f>
        <v/>
      </c>
      <c r="Y146">
        <f>HYPERLINK("https://klasma.github.io/Logging_2326/tillsynsmail/A 47946-2025 tillsynsbegäran mail.docx", "A 47946-2025")</f>
        <v/>
      </c>
    </row>
    <row r="147" ht="15" customHeight="1">
      <c r="A147" t="inlineStr">
        <is>
          <t>A 25556-2025</t>
        </is>
      </c>
      <c r="B147" s="1" t="n">
        <v>45803.45106481481</v>
      </c>
      <c r="C147" s="1" t="n">
        <v>46139</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50182-2025</t>
        </is>
      </c>
      <c r="B148" s="1" t="n">
        <v>45943.61550925926</v>
      </c>
      <c r="C148" s="1" t="n">
        <v>46139</v>
      </c>
      <c r="D148" t="inlineStr">
        <is>
          <t>JÄMTLANDS LÄN</t>
        </is>
      </c>
      <c r="E148" t="inlineStr">
        <is>
          <t>BERG</t>
        </is>
      </c>
      <c r="F148" t="inlineStr">
        <is>
          <t>SCA</t>
        </is>
      </c>
      <c r="G148" t="n">
        <v>12.8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50182-2025 artfynd.xlsx", "A 50182-2025")</f>
        <v/>
      </c>
      <c r="T148">
        <f>HYPERLINK("https://klasma.github.io/Logging_2326/kartor/A 50182-2025 karta.png", "A 50182-2025")</f>
        <v/>
      </c>
      <c r="V148">
        <f>HYPERLINK("https://klasma.github.io/Logging_2326/klagomål/A 50182-2025 FSC-klagomål.docx", "A 50182-2025")</f>
        <v/>
      </c>
      <c r="W148">
        <f>HYPERLINK("https://klasma.github.io/Logging_2326/klagomålsmail/A 50182-2025 FSC-klagomål mail.docx", "A 50182-2025")</f>
        <v/>
      </c>
      <c r="X148">
        <f>HYPERLINK("https://klasma.github.io/Logging_2326/tillsyn/A 50182-2025 tillsynsbegäran.docx", "A 50182-2025")</f>
        <v/>
      </c>
      <c r="Y148">
        <f>HYPERLINK("https://klasma.github.io/Logging_2326/tillsynsmail/A 50182-2025 tillsynsbegäran mail.docx", "A 50182-2025")</f>
        <v/>
      </c>
      <c r="Z148">
        <f>HYPERLINK("https://klasma.github.io/Logging_2326/fåglar/A 50182-2025 prioriterade fågelarter.docx", "A 50182-2025")</f>
        <v/>
      </c>
    </row>
    <row r="149" ht="15" customHeight="1">
      <c r="A149" t="inlineStr">
        <is>
          <t>A 53086-2024</t>
        </is>
      </c>
      <c r="B149" s="1" t="n">
        <v>45611.51084490741</v>
      </c>
      <c r="C149" s="1" t="n">
        <v>46139</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34891-2024</t>
        </is>
      </c>
      <c r="B150" s="1" t="n">
        <v>45527.36498842593</v>
      </c>
      <c r="C150" s="1" t="n">
        <v>46139</v>
      </c>
      <c r="D150" t="inlineStr">
        <is>
          <t>JÄMTLANDS LÄN</t>
        </is>
      </c>
      <c r="E150" t="inlineStr">
        <is>
          <t>BERG</t>
        </is>
      </c>
      <c r="F150" t="inlineStr">
        <is>
          <t>SCA</t>
        </is>
      </c>
      <c r="G150" t="n">
        <v>1.5</v>
      </c>
      <c r="H150" t="n">
        <v>1</v>
      </c>
      <c r="I150" t="n">
        <v>0</v>
      </c>
      <c r="J150" t="n">
        <v>0</v>
      </c>
      <c r="K150" t="n">
        <v>1</v>
      </c>
      <c r="L150" t="n">
        <v>0</v>
      </c>
      <c r="M150" t="n">
        <v>0</v>
      </c>
      <c r="N150" t="n">
        <v>0</v>
      </c>
      <c r="O150" t="n">
        <v>1</v>
      </c>
      <c r="P150" t="n">
        <v>1</v>
      </c>
      <c r="Q150" t="n">
        <v>1</v>
      </c>
      <c r="R150" s="2" t="inlineStr">
        <is>
          <t>Knärot</t>
        </is>
      </c>
      <c r="S150">
        <f>HYPERLINK("https://klasma.github.io/Logging_2326/artfynd/A 34891-2024 artfynd.xlsx", "A 34891-2024")</f>
        <v/>
      </c>
      <c r="T150">
        <f>HYPERLINK("https://klasma.github.io/Logging_2326/kartor/A 34891-2024 karta.png", "A 34891-2024")</f>
        <v/>
      </c>
      <c r="U150">
        <f>HYPERLINK("https://klasma.github.io/Logging_2326/knärot/A 34891-2024 karta knärot.png", "A 34891-2024")</f>
        <v/>
      </c>
      <c r="V150">
        <f>HYPERLINK("https://klasma.github.io/Logging_2326/klagomål/A 34891-2024 FSC-klagomål.docx", "A 34891-2024")</f>
        <v/>
      </c>
      <c r="W150">
        <f>HYPERLINK("https://klasma.github.io/Logging_2326/klagomålsmail/A 34891-2024 FSC-klagomål mail.docx", "A 34891-2024")</f>
        <v/>
      </c>
      <c r="X150">
        <f>HYPERLINK("https://klasma.github.io/Logging_2326/tillsyn/A 34891-2024 tillsynsbegäran.docx", "A 34891-2024")</f>
        <v/>
      </c>
      <c r="Y150">
        <f>HYPERLINK("https://klasma.github.io/Logging_2326/tillsynsmail/A 34891-2024 tillsynsbegäran mail.docx", "A 34891-2024")</f>
        <v/>
      </c>
    </row>
    <row r="151" ht="15" customHeight="1">
      <c r="A151" t="inlineStr">
        <is>
          <t>A 31837-2025</t>
        </is>
      </c>
      <c r="B151" s="1" t="n">
        <v>45834.59467592592</v>
      </c>
      <c r="C151" s="1" t="n">
        <v>46139</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33501-2025</t>
        </is>
      </c>
      <c r="B152" s="1" t="n">
        <v>45841</v>
      </c>
      <c r="C152" s="1" t="n">
        <v>46139</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56198-2025</t>
        </is>
      </c>
      <c r="B153" s="1" t="n">
        <v>45974.45760416667</v>
      </c>
      <c r="C153" s="1" t="n">
        <v>46139</v>
      </c>
      <c r="D153" t="inlineStr">
        <is>
          <t>JÄMTLANDS LÄN</t>
        </is>
      </c>
      <c r="E153" t="inlineStr">
        <is>
          <t>BERG</t>
        </is>
      </c>
      <c r="G153" t="n">
        <v>8.6</v>
      </c>
      <c r="H153" t="n">
        <v>0</v>
      </c>
      <c r="I153" t="n">
        <v>0</v>
      </c>
      <c r="J153" t="n">
        <v>1</v>
      </c>
      <c r="K153" t="n">
        <v>0</v>
      </c>
      <c r="L153" t="n">
        <v>0</v>
      </c>
      <c r="M153" t="n">
        <v>0</v>
      </c>
      <c r="N153" t="n">
        <v>0</v>
      </c>
      <c r="O153" t="n">
        <v>1</v>
      </c>
      <c r="P153" t="n">
        <v>0</v>
      </c>
      <c r="Q153" t="n">
        <v>1</v>
      </c>
      <c r="R153" s="2" t="inlineStr">
        <is>
          <t>Knottrig blåslav</t>
        </is>
      </c>
      <c r="S153">
        <f>HYPERLINK("https://klasma.github.io/Logging_2326/artfynd/A 56198-2025 artfynd.xlsx", "A 56198-2025")</f>
        <v/>
      </c>
      <c r="T153">
        <f>HYPERLINK("https://klasma.github.io/Logging_2326/kartor/A 56198-2025 karta.png", "A 56198-2025")</f>
        <v/>
      </c>
      <c r="V153">
        <f>HYPERLINK("https://klasma.github.io/Logging_2326/klagomål/A 56198-2025 FSC-klagomål.docx", "A 56198-2025")</f>
        <v/>
      </c>
      <c r="W153">
        <f>HYPERLINK("https://klasma.github.io/Logging_2326/klagomålsmail/A 56198-2025 FSC-klagomål mail.docx", "A 56198-2025")</f>
        <v/>
      </c>
      <c r="X153">
        <f>HYPERLINK("https://klasma.github.io/Logging_2326/tillsyn/A 56198-2025 tillsynsbegäran.docx", "A 56198-2025")</f>
        <v/>
      </c>
      <c r="Y153">
        <f>HYPERLINK("https://klasma.github.io/Logging_2326/tillsynsmail/A 56198-2025 tillsynsbegäran mail.docx", "A 56198-2025")</f>
        <v/>
      </c>
    </row>
    <row r="154" ht="15" customHeight="1">
      <c r="A154" t="inlineStr">
        <is>
          <t>A 35211-2025</t>
        </is>
      </c>
      <c r="B154" s="1" t="n">
        <v>45853.45060185185</v>
      </c>
      <c r="C154" s="1" t="n">
        <v>46139</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46139</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9657-2023</t>
        </is>
      </c>
      <c r="B156" s="1" t="n">
        <v>44978</v>
      </c>
      <c r="C156" s="1" t="n">
        <v>46139</v>
      </c>
      <c r="D156" t="inlineStr">
        <is>
          <t>JÄMTLANDS LÄN</t>
        </is>
      </c>
      <c r="E156" t="inlineStr">
        <is>
          <t>BERG</t>
        </is>
      </c>
      <c r="G156" t="n">
        <v>2.7</v>
      </c>
      <c r="H156" t="n">
        <v>0</v>
      </c>
      <c r="I156" t="n">
        <v>0</v>
      </c>
      <c r="J156" t="n">
        <v>1</v>
      </c>
      <c r="K156" t="n">
        <v>0</v>
      </c>
      <c r="L156" t="n">
        <v>0</v>
      </c>
      <c r="M156" t="n">
        <v>0</v>
      </c>
      <c r="N156" t="n">
        <v>0</v>
      </c>
      <c r="O156" t="n">
        <v>1</v>
      </c>
      <c r="P156" t="n">
        <v>0</v>
      </c>
      <c r="Q156" t="n">
        <v>1</v>
      </c>
      <c r="R156" s="2" t="inlineStr">
        <is>
          <t>Garnlav</t>
        </is>
      </c>
      <c r="S156">
        <f>HYPERLINK("https://klasma.github.io/Logging_2326/artfynd/A 9657-2023 artfynd.xlsx", "A 9657-2023")</f>
        <v/>
      </c>
      <c r="T156">
        <f>HYPERLINK("https://klasma.github.io/Logging_2326/kartor/A 9657-2023 karta.png", "A 9657-2023")</f>
        <v/>
      </c>
      <c r="V156">
        <f>HYPERLINK("https://klasma.github.io/Logging_2326/klagomål/A 9657-2023 FSC-klagomål.docx", "A 9657-2023")</f>
        <v/>
      </c>
      <c r="W156">
        <f>HYPERLINK("https://klasma.github.io/Logging_2326/klagomålsmail/A 9657-2023 FSC-klagomål mail.docx", "A 9657-2023")</f>
        <v/>
      </c>
      <c r="X156">
        <f>HYPERLINK("https://klasma.github.io/Logging_2326/tillsyn/A 9657-2023 tillsynsbegäran.docx", "A 9657-2023")</f>
        <v/>
      </c>
      <c r="Y156">
        <f>HYPERLINK("https://klasma.github.io/Logging_2326/tillsynsmail/A 9657-2023 tillsynsbegäran mail.docx", "A 9657-2023")</f>
        <v/>
      </c>
    </row>
    <row r="157" ht="15" customHeight="1">
      <c r="A157" t="inlineStr">
        <is>
          <t>A 60150-2025</t>
        </is>
      </c>
      <c r="B157" s="1" t="n">
        <v>45994.38944444444</v>
      </c>
      <c r="C157" s="1" t="n">
        <v>46139</v>
      </c>
      <c r="D157" t="inlineStr">
        <is>
          <t>JÄMTLANDS LÄN</t>
        </is>
      </c>
      <c r="E157" t="inlineStr">
        <is>
          <t>BERG</t>
        </is>
      </c>
      <c r="G157" t="n">
        <v>17.6</v>
      </c>
      <c r="H157" t="n">
        <v>0</v>
      </c>
      <c r="I157" t="n">
        <v>0</v>
      </c>
      <c r="J157" t="n">
        <v>1</v>
      </c>
      <c r="K157" t="n">
        <v>0</v>
      </c>
      <c r="L157" t="n">
        <v>0</v>
      </c>
      <c r="M157" t="n">
        <v>0</v>
      </c>
      <c r="N157" t="n">
        <v>0</v>
      </c>
      <c r="O157" t="n">
        <v>1</v>
      </c>
      <c r="P157" t="n">
        <v>0</v>
      </c>
      <c r="Q157" t="n">
        <v>1</v>
      </c>
      <c r="R157" s="2" t="inlineStr">
        <is>
          <t>Kolflarnlav</t>
        </is>
      </c>
      <c r="S157">
        <f>HYPERLINK("https://klasma.github.io/Logging_2326/artfynd/A 60150-2025 artfynd.xlsx", "A 60150-2025")</f>
        <v/>
      </c>
      <c r="T157">
        <f>HYPERLINK("https://klasma.github.io/Logging_2326/kartor/A 60150-2025 karta.png", "A 60150-2025")</f>
        <v/>
      </c>
      <c r="V157">
        <f>HYPERLINK("https://klasma.github.io/Logging_2326/klagomål/A 60150-2025 FSC-klagomål.docx", "A 60150-2025")</f>
        <v/>
      </c>
      <c r="W157">
        <f>HYPERLINK("https://klasma.github.io/Logging_2326/klagomålsmail/A 60150-2025 FSC-klagomål mail.docx", "A 60150-2025")</f>
        <v/>
      </c>
      <c r="X157">
        <f>HYPERLINK("https://klasma.github.io/Logging_2326/tillsyn/A 60150-2025 tillsynsbegäran.docx", "A 60150-2025")</f>
        <v/>
      </c>
      <c r="Y157">
        <f>HYPERLINK("https://klasma.github.io/Logging_2326/tillsynsmail/A 60150-2025 tillsynsbegäran mail.docx", "A 60150-2025")</f>
        <v/>
      </c>
    </row>
    <row r="158" ht="15" customHeight="1">
      <c r="A158" t="inlineStr">
        <is>
          <t>A 60633-2025</t>
        </is>
      </c>
      <c r="B158" s="1" t="n">
        <v>45996.42788194444</v>
      </c>
      <c r="C158" s="1" t="n">
        <v>46139</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37513-2025</t>
        </is>
      </c>
      <c r="B159" s="1" t="n">
        <v>45877.69828703703</v>
      </c>
      <c r="C159" s="1" t="n">
        <v>46139</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49049-2024</t>
        </is>
      </c>
      <c r="B160" s="1" t="n">
        <v>45594.5742824074</v>
      </c>
      <c r="C160" s="1" t="n">
        <v>46139</v>
      </c>
      <c r="D160" t="inlineStr">
        <is>
          <t>JÄMTLANDS LÄN</t>
        </is>
      </c>
      <c r="E160" t="inlineStr">
        <is>
          <t>BERG</t>
        </is>
      </c>
      <c r="G160" t="n">
        <v>0.8</v>
      </c>
      <c r="H160" t="n">
        <v>1</v>
      </c>
      <c r="I160" t="n">
        <v>1</v>
      </c>
      <c r="J160" t="n">
        <v>0</v>
      </c>
      <c r="K160" t="n">
        <v>0</v>
      </c>
      <c r="L160" t="n">
        <v>0</v>
      </c>
      <c r="M160" t="n">
        <v>0</v>
      </c>
      <c r="N160" t="n">
        <v>0</v>
      </c>
      <c r="O160" t="n">
        <v>0</v>
      </c>
      <c r="P160" t="n">
        <v>0</v>
      </c>
      <c r="Q160" t="n">
        <v>1</v>
      </c>
      <c r="R160" s="2" t="inlineStr">
        <is>
          <t>Korallrot</t>
        </is>
      </c>
      <c r="S160">
        <f>HYPERLINK("https://klasma.github.io/Logging_2326/artfynd/A 49049-2024 artfynd.xlsx", "A 49049-2024")</f>
        <v/>
      </c>
      <c r="T160">
        <f>HYPERLINK("https://klasma.github.io/Logging_2326/kartor/A 49049-2024 karta.png", "A 49049-2024")</f>
        <v/>
      </c>
      <c r="V160">
        <f>HYPERLINK("https://klasma.github.io/Logging_2326/klagomål/A 49049-2024 FSC-klagomål.docx", "A 49049-2024")</f>
        <v/>
      </c>
      <c r="W160">
        <f>HYPERLINK("https://klasma.github.io/Logging_2326/klagomålsmail/A 49049-2024 FSC-klagomål mail.docx", "A 49049-2024")</f>
        <v/>
      </c>
      <c r="X160">
        <f>HYPERLINK("https://klasma.github.io/Logging_2326/tillsyn/A 49049-2024 tillsynsbegäran.docx", "A 49049-2024")</f>
        <v/>
      </c>
      <c r="Y160">
        <f>HYPERLINK("https://klasma.github.io/Logging_2326/tillsynsmail/A 49049-2024 tillsynsbegäran mail.docx", "A 49049-2024")</f>
        <v/>
      </c>
    </row>
    <row r="161" ht="15" customHeight="1">
      <c r="A161" t="inlineStr">
        <is>
          <t>A 32171-2024</t>
        </is>
      </c>
      <c r="B161" s="1" t="n">
        <v>45511</v>
      </c>
      <c r="C161" s="1" t="n">
        <v>46139</v>
      </c>
      <c r="D161" t="inlineStr">
        <is>
          <t>JÄMTLANDS LÄN</t>
        </is>
      </c>
      <c r="E161" t="inlineStr">
        <is>
          <t>BERG</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52193-2024</t>
        </is>
      </c>
      <c r="B162" s="1" t="n">
        <v>45608</v>
      </c>
      <c r="C162" s="1" t="n">
        <v>46139</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23177-2024</t>
        </is>
      </c>
      <c r="B163" s="1" t="n">
        <v>45450</v>
      </c>
      <c r="C163" s="1" t="n">
        <v>46139</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971-2026</t>
        </is>
      </c>
      <c r="B164" s="1" t="n">
        <v>46029</v>
      </c>
      <c r="C164" s="1" t="n">
        <v>46139</v>
      </c>
      <c r="D164" t="inlineStr">
        <is>
          <t>JÄMTLANDS LÄN</t>
        </is>
      </c>
      <c r="E164" t="inlineStr">
        <is>
          <t>BERG</t>
        </is>
      </c>
      <c r="F164" t="inlineStr">
        <is>
          <t>SCA</t>
        </is>
      </c>
      <c r="G164" t="n">
        <v>9.699999999999999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HYPERLINK("https://klasma.github.io/Logging_2326/artfynd/A 971-2026 artfynd.xlsx", "A 971-2026")</f>
        <v/>
      </c>
      <c r="T164">
        <f>HYPERLINK("https://klasma.github.io/Logging_2326/kartor/A 971-2026 karta.png", "A 971-2026")</f>
        <v/>
      </c>
      <c r="V164">
        <f>HYPERLINK("https://klasma.github.io/Logging_2326/klagomål/A 971-2026 FSC-klagomål.docx", "A 971-2026")</f>
        <v/>
      </c>
      <c r="W164">
        <f>HYPERLINK("https://klasma.github.io/Logging_2326/klagomålsmail/A 971-2026 FSC-klagomål mail.docx", "A 971-2026")</f>
        <v/>
      </c>
      <c r="X164">
        <f>HYPERLINK("https://klasma.github.io/Logging_2326/tillsyn/A 971-2026 tillsynsbegäran.docx", "A 971-2026")</f>
        <v/>
      </c>
      <c r="Y164">
        <f>HYPERLINK("https://klasma.github.io/Logging_2326/tillsynsmail/A 971-2026 tillsynsbegäran mail.docx", "A 971-2026")</f>
        <v/>
      </c>
      <c r="Z164">
        <f>HYPERLINK("https://klasma.github.io/Logging_2326/fåglar/A 971-2026 prioriterade fågelarter.docx", "A 971-2026")</f>
        <v/>
      </c>
    </row>
    <row r="165" ht="15" customHeight="1">
      <c r="A165" t="inlineStr">
        <is>
          <t>A 60833-2025</t>
        </is>
      </c>
      <c r="B165" s="1" t="n">
        <v>45999.46969907408</v>
      </c>
      <c r="C165" s="1" t="n">
        <v>46139</v>
      </c>
      <c r="D165" t="inlineStr">
        <is>
          <t>JÄMTLANDS LÄN</t>
        </is>
      </c>
      <c r="E165" t="inlineStr">
        <is>
          <t>BERG</t>
        </is>
      </c>
      <c r="F165" t="inlineStr">
        <is>
          <t>SCA</t>
        </is>
      </c>
      <c r="G165" t="n">
        <v>18.1</v>
      </c>
      <c r="H165" t="n">
        <v>1</v>
      </c>
      <c r="I165" t="n">
        <v>0</v>
      </c>
      <c r="J165" t="n">
        <v>1</v>
      </c>
      <c r="K165" t="n">
        <v>0</v>
      </c>
      <c r="L165" t="n">
        <v>0</v>
      </c>
      <c r="M165" t="n">
        <v>0</v>
      </c>
      <c r="N165" t="n">
        <v>0</v>
      </c>
      <c r="O165" t="n">
        <v>1</v>
      </c>
      <c r="P165" t="n">
        <v>0</v>
      </c>
      <c r="Q165" t="n">
        <v>1</v>
      </c>
      <c r="R165" s="2" t="inlineStr">
        <is>
          <t>Spillkråka</t>
        </is>
      </c>
      <c r="S165">
        <f>HYPERLINK("https://klasma.github.io/Logging_2326/artfynd/A 60833-2025 artfynd.xlsx", "A 60833-2025")</f>
        <v/>
      </c>
      <c r="T165">
        <f>HYPERLINK("https://klasma.github.io/Logging_2326/kartor/A 60833-2025 karta.png", "A 60833-2025")</f>
        <v/>
      </c>
      <c r="V165">
        <f>HYPERLINK("https://klasma.github.io/Logging_2326/klagomål/A 60833-2025 FSC-klagomål.docx", "A 60833-2025")</f>
        <v/>
      </c>
      <c r="W165">
        <f>HYPERLINK("https://klasma.github.io/Logging_2326/klagomålsmail/A 60833-2025 FSC-klagomål mail.docx", "A 60833-2025")</f>
        <v/>
      </c>
      <c r="X165">
        <f>HYPERLINK("https://klasma.github.io/Logging_2326/tillsyn/A 60833-2025 tillsynsbegäran.docx", "A 60833-2025")</f>
        <v/>
      </c>
      <c r="Y165">
        <f>HYPERLINK("https://klasma.github.io/Logging_2326/tillsynsmail/A 60833-2025 tillsynsbegäran mail.docx", "A 60833-2025")</f>
        <v/>
      </c>
      <c r="Z165">
        <f>HYPERLINK("https://klasma.github.io/Logging_2326/fåglar/A 60833-2025 prioriterade fågelarter.docx", "A 60833-2025")</f>
        <v/>
      </c>
    </row>
    <row r="166" ht="15" customHeight="1">
      <c r="A166" t="inlineStr">
        <is>
          <t>A 53014-2022</t>
        </is>
      </c>
      <c r="B166" s="1" t="n">
        <v>44875</v>
      </c>
      <c r="C166" s="1" t="n">
        <v>46139</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9281-2026</t>
        </is>
      </c>
      <c r="B167" s="1" t="n">
        <v>46070.57982638889</v>
      </c>
      <c r="C167" s="1" t="n">
        <v>46139</v>
      </c>
      <c r="D167" t="inlineStr">
        <is>
          <t>JÄMTLANDS LÄN</t>
        </is>
      </c>
      <c r="E167" t="inlineStr">
        <is>
          <t>BERG</t>
        </is>
      </c>
      <c r="G167" t="n">
        <v>4.4</v>
      </c>
      <c r="H167" t="n">
        <v>1</v>
      </c>
      <c r="I167" t="n">
        <v>0</v>
      </c>
      <c r="J167" t="n">
        <v>0</v>
      </c>
      <c r="K167" t="n">
        <v>1</v>
      </c>
      <c r="L167" t="n">
        <v>0</v>
      </c>
      <c r="M167" t="n">
        <v>0</v>
      </c>
      <c r="N167" t="n">
        <v>0</v>
      </c>
      <c r="O167" t="n">
        <v>1</v>
      </c>
      <c r="P167" t="n">
        <v>1</v>
      </c>
      <c r="Q167" t="n">
        <v>1</v>
      </c>
      <c r="R167" s="2" t="inlineStr">
        <is>
          <t>Knärot</t>
        </is>
      </c>
      <c r="S167">
        <f>HYPERLINK("https://klasma.github.io/Logging_2326/artfynd/A 9281-2026 artfynd.xlsx", "A 9281-2026")</f>
        <v/>
      </c>
      <c r="T167">
        <f>HYPERLINK("https://klasma.github.io/Logging_2326/kartor/A 9281-2026 karta.png", "A 9281-2026")</f>
        <v/>
      </c>
      <c r="U167">
        <f>HYPERLINK("https://klasma.github.io/Logging_2326/knärot/A 9281-2026 karta knärot.png", "A 9281-2026")</f>
        <v/>
      </c>
      <c r="V167">
        <f>HYPERLINK("https://klasma.github.io/Logging_2326/klagomål/A 9281-2026 FSC-klagomål.docx", "A 9281-2026")</f>
        <v/>
      </c>
      <c r="W167">
        <f>HYPERLINK("https://klasma.github.io/Logging_2326/klagomålsmail/A 9281-2026 FSC-klagomål mail.docx", "A 9281-2026")</f>
        <v/>
      </c>
      <c r="X167">
        <f>HYPERLINK("https://klasma.github.io/Logging_2326/tillsyn/A 9281-2026 tillsynsbegäran.docx", "A 9281-2026")</f>
        <v/>
      </c>
      <c r="Y167">
        <f>HYPERLINK("https://klasma.github.io/Logging_2326/tillsynsmail/A 9281-2026 tillsynsbegäran mail.docx", "A 9281-2026")</f>
        <v/>
      </c>
    </row>
    <row r="168" ht="15" customHeight="1">
      <c r="A168" t="inlineStr">
        <is>
          <t>A 16560-2026</t>
        </is>
      </c>
      <c r="B168" s="1" t="n">
        <v>46112.55299768518</v>
      </c>
      <c r="C168" s="1" t="n">
        <v>46139</v>
      </c>
      <c r="D168" t="inlineStr">
        <is>
          <t>JÄMTLANDS LÄN</t>
        </is>
      </c>
      <c r="E168" t="inlineStr">
        <is>
          <t>BERG</t>
        </is>
      </c>
      <c r="F168" t="inlineStr">
        <is>
          <t>SCA</t>
        </is>
      </c>
      <c r="G168" t="n">
        <v>11.2</v>
      </c>
      <c r="H168" t="n">
        <v>1</v>
      </c>
      <c r="I168" t="n">
        <v>0</v>
      </c>
      <c r="J168" t="n">
        <v>1</v>
      </c>
      <c r="K168" t="n">
        <v>0</v>
      </c>
      <c r="L168" t="n">
        <v>0</v>
      </c>
      <c r="M168" t="n">
        <v>0</v>
      </c>
      <c r="N168" t="n">
        <v>0</v>
      </c>
      <c r="O168" t="n">
        <v>1</v>
      </c>
      <c r="P168" t="n">
        <v>0</v>
      </c>
      <c r="Q168" t="n">
        <v>1</v>
      </c>
      <c r="R168" s="2" t="inlineStr">
        <is>
          <t>Järpe</t>
        </is>
      </c>
      <c r="S168">
        <f>HYPERLINK("https://klasma.github.io/Logging_2326/artfynd/A 16560-2026 artfynd.xlsx", "A 16560-2026")</f>
        <v/>
      </c>
      <c r="T168">
        <f>HYPERLINK("https://klasma.github.io/Logging_2326/kartor/A 16560-2026 karta.png", "A 16560-2026")</f>
        <v/>
      </c>
      <c r="V168">
        <f>HYPERLINK("https://klasma.github.io/Logging_2326/klagomål/A 16560-2026 FSC-klagomål.docx", "A 16560-2026")</f>
        <v/>
      </c>
      <c r="W168">
        <f>HYPERLINK("https://klasma.github.io/Logging_2326/klagomålsmail/A 16560-2026 FSC-klagomål mail.docx", "A 16560-2026")</f>
        <v/>
      </c>
      <c r="X168">
        <f>HYPERLINK("https://klasma.github.io/Logging_2326/tillsyn/A 16560-2026 tillsynsbegäran.docx", "A 16560-2026")</f>
        <v/>
      </c>
      <c r="Y168">
        <f>HYPERLINK("https://klasma.github.io/Logging_2326/tillsynsmail/A 16560-2026 tillsynsbegäran mail.docx", "A 16560-2026")</f>
        <v/>
      </c>
      <c r="Z168">
        <f>HYPERLINK("https://klasma.github.io/Logging_2326/fåglar/A 16560-2026 prioriterade fågelarter.docx", "A 16560-2026")</f>
        <v/>
      </c>
    </row>
    <row r="169" ht="15" customHeight="1">
      <c r="A169" t="inlineStr">
        <is>
          <t>A 24309-2023</t>
        </is>
      </c>
      <c r="B169" s="1" t="n">
        <v>45079</v>
      </c>
      <c r="C169" s="1" t="n">
        <v>46139</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32686-2022</t>
        </is>
      </c>
      <c r="B170" s="1" t="n">
        <v>44776</v>
      </c>
      <c r="C170" s="1" t="n">
        <v>46139</v>
      </c>
      <c r="D170" t="inlineStr">
        <is>
          <t>JÄMTLANDS LÄN</t>
        </is>
      </c>
      <c r="E170" t="inlineStr">
        <is>
          <t>BERG</t>
        </is>
      </c>
      <c r="G170" t="n">
        <v>4.8</v>
      </c>
      <c r="H170" t="n">
        <v>1</v>
      </c>
      <c r="I170" t="n">
        <v>0</v>
      </c>
      <c r="J170" t="n">
        <v>0</v>
      </c>
      <c r="K170" t="n">
        <v>1</v>
      </c>
      <c r="L170" t="n">
        <v>0</v>
      </c>
      <c r="M170" t="n">
        <v>0</v>
      </c>
      <c r="N170" t="n">
        <v>0</v>
      </c>
      <c r="O170" t="n">
        <v>1</v>
      </c>
      <c r="P170" t="n">
        <v>1</v>
      </c>
      <c r="Q170" t="n">
        <v>1</v>
      </c>
      <c r="R170" s="2" t="inlineStr">
        <is>
          <t>Knärot</t>
        </is>
      </c>
      <c r="S170">
        <f>HYPERLINK("https://klasma.github.io/Logging_2326/artfynd/A 32686-2022 artfynd.xlsx", "A 32686-2022")</f>
        <v/>
      </c>
      <c r="T170">
        <f>HYPERLINK("https://klasma.github.io/Logging_2326/kartor/A 32686-2022 karta.png", "A 32686-2022")</f>
        <v/>
      </c>
      <c r="U170">
        <f>HYPERLINK("https://klasma.github.io/Logging_2326/knärot/A 32686-2022 karta knärot.png", "A 32686-2022")</f>
        <v/>
      </c>
      <c r="V170">
        <f>HYPERLINK("https://klasma.github.io/Logging_2326/klagomål/A 32686-2022 FSC-klagomål.docx", "A 32686-2022")</f>
        <v/>
      </c>
      <c r="W170">
        <f>HYPERLINK("https://klasma.github.io/Logging_2326/klagomålsmail/A 32686-2022 FSC-klagomål mail.docx", "A 32686-2022")</f>
        <v/>
      </c>
      <c r="X170">
        <f>HYPERLINK("https://klasma.github.io/Logging_2326/tillsyn/A 32686-2022 tillsynsbegäran.docx", "A 32686-2022")</f>
        <v/>
      </c>
      <c r="Y170">
        <f>HYPERLINK("https://klasma.github.io/Logging_2326/tillsynsmail/A 32686-2022 tillsynsbegäran mail.docx", "A 32686-2022")</f>
        <v/>
      </c>
    </row>
    <row r="171" ht="15" customHeight="1">
      <c r="A171" t="inlineStr">
        <is>
          <t>A 68434-2021</t>
        </is>
      </c>
      <c r="B171" s="1" t="n">
        <v>44529</v>
      </c>
      <c r="C171" s="1" t="n">
        <v>46139</v>
      </c>
      <c r="D171" t="inlineStr">
        <is>
          <t>JÄMTLANDS LÄN</t>
        </is>
      </c>
      <c r="E171" t="inlineStr">
        <is>
          <t>BERG</t>
        </is>
      </c>
      <c r="G171" t="n">
        <v>14</v>
      </c>
      <c r="H171" t="n">
        <v>0</v>
      </c>
      <c r="I171" t="n">
        <v>0</v>
      </c>
      <c r="J171" t="n">
        <v>0</v>
      </c>
      <c r="K171" t="n">
        <v>1</v>
      </c>
      <c r="L171" t="n">
        <v>0</v>
      </c>
      <c r="M171" t="n">
        <v>0</v>
      </c>
      <c r="N171" t="n">
        <v>0</v>
      </c>
      <c r="O171" t="n">
        <v>1</v>
      </c>
      <c r="P171" t="n">
        <v>1</v>
      </c>
      <c r="Q171" t="n">
        <v>1</v>
      </c>
      <c r="R171" s="2" t="inlineStr">
        <is>
          <t>Ostticka</t>
        </is>
      </c>
      <c r="S171">
        <f>HYPERLINK("https://klasma.github.io/Logging_2326/artfynd/A 68434-2021 artfynd.xlsx", "A 68434-2021")</f>
        <v/>
      </c>
      <c r="T171">
        <f>HYPERLINK("https://klasma.github.io/Logging_2326/kartor/A 68434-2021 karta.png", "A 68434-2021")</f>
        <v/>
      </c>
      <c r="V171">
        <f>HYPERLINK("https://klasma.github.io/Logging_2326/klagomål/A 68434-2021 FSC-klagomål.docx", "A 68434-2021")</f>
        <v/>
      </c>
      <c r="W171">
        <f>HYPERLINK("https://klasma.github.io/Logging_2326/klagomålsmail/A 68434-2021 FSC-klagomål mail.docx", "A 68434-2021")</f>
        <v/>
      </c>
      <c r="X171">
        <f>HYPERLINK("https://klasma.github.io/Logging_2326/tillsyn/A 68434-2021 tillsynsbegäran.docx", "A 68434-2021")</f>
        <v/>
      </c>
      <c r="Y171">
        <f>HYPERLINK("https://klasma.github.io/Logging_2326/tillsynsmail/A 68434-2021 tillsynsbegäran mail.docx", "A 68434-2021")</f>
        <v/>
      </c>
    </row>
    <row r="172" ht="15" customHeight="1">
      <c r="A172" t="inlineStr">
        <is>
          <t>A 21370-2025</t>
        </is>
      </c>
      <c r="B172" s="1" t="n">
        <v>45782</v>
      </c>
      <c r="C172" s="1" t="n">
        <v>46139</v>
      </c>
      <c r="D172" t="inlineStr">
        <is>
          <t>JÄMTLANDS LÄN</t>
        </is>
      </c>
      <c r="E172" t="inlineStr">
        <is>
          <t>BERG</t>
        </is>
      </c>
      <c r="F172" t="inlineStr">
        <is>
          <t>SCA</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21370-2025 artfynd.xlsx", "A 21370-2025")</f>
        <v/>
      </c>
      <c r="T172">
        <f>HYPERLINK("https://klasma.github.io/Logging_2326/kartor/A 21370-2025 karta.png", "A 21370-2025")</f>
        <v/>
      </c>
      <c r="V172">
        <f>HYPERLINK("https://klasma.github.io/Logging_2326/klagomål/A 21370-2025 FSC-klagomål.docx", "A 21370-2025")</f>
        <v/>
      </c>
      <c r="W172">
        <f>HYPERLINK("https://klasma.github.io/Logging_2326/klagomålsmail/A 21370-2025 FSC-klagomål mail.docx", "A 21370-2025")</f>
        <v/>
      </c>
      <c r="X172">
        <f>HYPERLINK("https://klasma.github.io/Logging_2326/tillsyn/A 21370-2025 tillsynsbegäran.docx", "A 21370-2025")</f>
        <v/>
      </c>
      <c r="Y172">
        <f>HYPERLINK("https://klasma.github.io/Logging_2326/tillsynsmail/A 21370-2025 tillsynsbegäran mail.docx", "A 21370-2025")</f>
        <v/>
      </c>
      <c r="Z172">
        <f>HYPERLINK("https://klasma.github.io/Logging_2326/fåglar/A 21370-2025 prioriterade fågelarter.docx", "A 21370-2025")</f>
        <v/>
      </c>
    </row>
    <row r="173" ht="15" customHeight="1">
      <c r="A173" t="inlineStr">
        <is>
          <t>A 21632-2025</t>
        </is>
      </c>
      <c r="B173" s="1" t="n">
        <v>45783</v>
      </c>
      <c r="C173" s="1" t="n">
        <v>46139</v>
      </c>
      <c r="D173" t="inlineStr">
        <is>
          <t>JÄMTLANDS LÄN</t>
        </is>
      </c>
      <c r="E173" t="inlineStr">
        <is>
          <t>BERG</t>
        </is>
      </c>
      <c r="F173" t="inlineStr">
        <is>
          <t>SCA</t>
        </is>
      </c>
      <c r="G173" t="n">
        <v>2.9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21632-2025 artfynd.xlsx", "A 21632-2025")</f>
        <v/>
      </c>
      <c r="T173">
        <f>HYPERLINK("https://klasma.github.io/Logging_2326/kartor/A 21632-2025 karta.png", "A 21632-2025")</f>
        <v/>
      </c>
      <c r="V173">
        <f>HYPERLINK("https://klasma.github.io/Logging_2326/klagomål/A 21632-2025 FSC-klagomål.docx", "A 21632-2025")</f>
        <v/>
      </c>
      <c r="W173">
        <f>HYPERLINK("https://klasma.github.io/Logging_2326/klagomålsmail/A 21632-2025 FSC-klagomål mail.docx", "A 21632-2025")</f>
        <v/>
      </c>
      <c r="X173">
        <f>HYPERLINK("https://klasma.github.io/Logging_2326/tillsyn/A 21632-2025 tillsynsbegäran.docx", "A 21632-2025")</f>
        <v/>
      </c>
      <c r="Y173">
        <f>HYPERLINK("https://klasma.github.io/Logging_2326/tillsynsmail/A 21632-2025 tillsynsbegäran mail.docx", "A 21632-2025")</f>
        <v/>
      </c>
      <c r="Z173">
        <f>HYPERLINK("https://klasma.github.io/Logging_2326/fåglar/A 21632-2025 prioriterade fågelarter.docx", "A 21632-2025")</f>
        <v/>
      </c>
    </row>
    <row r="174" ht="15" customHeight="1">
      <c r="A174" t="inlineStr">
        <is>
          <t>A 33083-2024</t>
        </is>
      </c>
      <c r="B174" s="1" t="n">
        <v>45517.675</v>
      </c>
      <c r="C174" s="1" t="n">
        <v>46139</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19601-2026</t>
        </is>
      </c>
      <c r="B175" s="1" t="n">
        <v>46134.4831712963</v>
      </c>
      <c r="C175" s="1" t="n">
        <v>46139</v>
      </c>
      <c r="D175" t="inlineStr">
        <is>
          <t>JÄMTLANDS LÄN</t>
        </is>
      </c>
      <c r="E175" t="inlineStr">
        <is>
          <t>BERG</t>
        </is>
      </c>
      <c r="G175" t="n">
        <v>0.9</v>
      </c>
      <c r="H175" t="n">
        <v>0</v>
      </c>
      <c r="I175" t="n">
        <v>0</v>
      </c>
      <c r="J175" t="n">
        <v>0</v>
      </c>
      <c r="K175" t="n">
        <v>1</v>
      </c>
      <c r="L175" t="n">
        <v>0</v>
      </c>
      <c r="M175" t="n">
        <v>0</v>
      </c>
      <c r="N175" t="n">
        <v>0</v>
      </c>
      <c r="O175" t="n">
        <v>1</v>
      </c>
      <c r="P175" t="n">
        <v>1</v>
      </c>
      <c r="Q175" t="n">
        <v>1</v>
      </c>
      <c r="R175" s="2" t="inlineStr">
        <is>
          <t>Åsstarr</t>
        </is>
      </c>
      <c r="S175">
        <f>HYPERLINK("https://klasma.github.io/Logging_2326/artfynd/A 19601-2026 artfynd.xlsx", "A 19601-2026")</f>
        <v/>
      </c>
      <c r="T175">
        <f>HYPERLINK("https://klasma.github.io/Logging_2326/kartor/A 19601-2026 karta.png", "A 19601-2026")</f>
        <v/>
      </c>
      <c r="V175">
        <f>HYPERLINK("https://klasma.github.io/Logging_2326/klagomål/A 19601-2026 FSC-klagomål.docx", "A 19601-2026")</f>
        <v/>
      </c>
      <c r="W175">
        <f>HYPERLINK("https://klasma.github.io/Logging_2326/klagomålsmail/A 19601-2026 FSC-klagomål mail.docx", "A 19601-2026")</f>
        <v/>
      </c>
      <c r="X175">
        <f>HYPERLINK("https://klasma.github.io/Logging_2326/tillsyn/A 19601-2026 tillsynsbegäran.docx", "A 19601-2026")</f>
        <v/>
      </c>
      <c r="Y175">
        <f>HYPERLINK("https://klasma.github.io/Logging_2326/tillsynsmail/A 19601-2026 tillsynsbegäran mail.docx", "A 19601-2026")</f>
        <v/>
      </c>
    </row>
    <row r="176" ht="15" customHeight="1">
      <c r="A176" t="inlineStr">
        <is>
          <t>A 25853-2025</t>
        </is>
      </c>
      <c r="B176" s="1" t="n">
        <v>45804</v>
      </c>
      <c r="C176" s="1" t="n">
        <v>46139</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40440-2024</t>
        </is>
      </c>
      <c r="B177" s="1" t="n">
        <v>45555.48267361111</v>
      </c>
      <c r="C177" s="1" t="n">
        <v>46139</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46139</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39001-2025</t>
        </is>
      </c>
      <c r="B179" s="1" t="n">
        <v>45888.344375</v>
      </c>
      <c r="C179" s="1" t="n">
        <v>46139</v>
      </c>
      <c r="D179" t="inlineStr">
        <is>
          <t>JÄMTLANDS LÄN</t>
        </is>
      </c>
      <c r="E179" t="inlineStr">
        <is>
          <t>BERG</t>
        </is>
      </c>
      <c r="F179" t="inlineStr">
        <is>
          <t>SCA</t>
        </is>
      </c>
      <c r="G179" t="n">
        <v>4.4</v>
      </c>
      <c r="H179" t="n">
        <v>0</v>
      </c>
      <c r="I179" t="n">
        <v>0</v>
      </c>
      <c r="J179" t="n">
        <v>1</v>
      </c>
      <c r="K179" t="n">
        <v>0</v>
      </c>
      <c r="L179" t="n">
        <v>0</v>
      </c>
      <c r="M179" t="n">
        <v>0</v>
      </c>
      <c r="N179" t="n">
        <v>0</v>
      </c>
      <c r="O179" t="n">
        <v>1</v>
      </c>
      <c r="P179" t="n">
        <v>0</v>
      </c>
      <c r="Q179" t="n">
        <v>1</v>
      </c>
      <c r="R179" s="2" t="inlineStr">
        <is>
          <t>Vedflamlav</t>
        </is>
      </c>
      <c r="S179">
        <f>HYPERLINK("https://klasma.github.io/Logging_2326/artfynd/A 39001-2025 artfynd.xlsx", "A 39001-2025")</f>
        <v/>
      </c>
      <c r="T179">
        <f>HYPERLINK("https://klasma.github.io/Logging_2326/kartor/A 39001-2025 karta.png", "A 39001-2025")</f>
        <v/>
      </c>
      <c r="V179">
        <f>HYPERLINK("https://klasma.github.io/Logging_2326/klagomål/A 39001-2025 FSC-klagomål.docx", "A 39001-2025")</f>
        <v/>
      </c>
      <c r="W179">
        <f>HYPERLINK("https://klasma.github.io/Logging_2326/klagomålsmail/A 39001-2025 FSC-klagomål mail.docx", "A 39001-2025")</f>
        <v/>
      </c>
      <c r="X179">
        <f>HYPERLINK("https://klasma.github.io/Logging_2326/tillsyn/A 39001-2025 tillsynsbegäran.docx", "A 39001-2025")</f>
        <v/>
      </c>
      <c r="Y179">
        <f>HYPERLINK("https://klasma.github.io/Logging_2326/tillsynsmail/A 39001-2025 tillsynsbegäran mail.docx", "A 39001-2025")</f>
        <v/>
      </c>
    </row>
    <row r="180" ht="15" customHeight="1">
      <c r="A180" t="inlineStr">
        <is>
          <t>A 37651-2025</t>
        </is>
      </c>
      <c r="B180" s="1" t="n">
        <v>45880.49006944444</v>
      </c>
      <c r="C180" s="1" t="n">
        <v>46139</v>
      </c>
      <c r="D180" t="inlineStr">
        <is>
          <t>JÄMTLANDS LÄN</t>
        </is>
      </c>
      <c r="E180" t="inlineStr">
        <is>
          <t>BERG</t>
        </is>
      </c>
      <c r="F180" t="inlineStr">
        <is>
          <t>SCA</t>
        </is>
      </c>
      <c r="G180" t="n">
        <v>8.5</v>
      </c>
      <c r="H180" t="n">
        <v>0</v>
      </c>
      <c r="I180" t="n">
        <v>0</v>
      </c>
      <c r="J180" t="n">
        <v>1</v>
      </c>
      <c r="K180" t="n">
        <v>0</v>
      </c>
      <c r="L180" t="n">
        <v>0</v>
      </c>
      <c r="M180" t="n">
        <v>0</v>
      </c>
      <c r="N180" t="n">
        <v>0</v>
      </c>
      <c r="O180" t="n">
        <v>1</v>
      </c>
      <c r="P180" t="n">
        <v>0</v>
      </c>
      <c r="Q180" t="n">
        <v>1</v>
      </c>
      <c r="R180" s="2" t="inlineStr">
        <is>
          <t>Vedflamlav</t>
        </is>
      </c>
      <c r="S180">
        <f>HYPERLINK("https://klasma.github.io/Logging_2326/artfynd/A 37651-2025 artfynd.xlsx", "A 37651-2025")</f>
        <v/>
      </c>
      <c r="T180">
        <f>HYPERLINK("https://klasma.github.io/Logging_2326/kartor/A 37651-2025 karta.png", "A 37651-2025")</f>
        <v/>
      </c>
      <c r="V180">
        <f>HYPERLINK("https://klasma.github.io/Logging_2326/klagomål/A 37651-2025 FSC-klagomål.docx", "A 37651-2025")</f>
        <v/>
      </c>
      <c r="W180">
        <f>HYPERLINK("https://klasma.github.io/Logging_2326/klagomålsmail/A 37651-2025 FSC-klagomål mail.docx", "A 37651-2025")</f>
        <v/>
      </c>
      <c r="X180">
        <f>HYPERLINK("https://klasma.github.io/Logging_2326/tillsyn/A 37651-2025 tillsynsbegäran.docx", "A 37651-2025")</f>
        <v/>
      </c>
      <c r="Y180">
        <f>HYPERLINK("https://klasma.github.io/Logging_2326/tillsynsmail/A 37651-2025 tillsynsbegäran mail.docx", "A 37651-2025")</f>
        <v/>
      </c>
    </row>
    <row r="181" ht="15" customHeight="1">
      <c r="A181" t="inlineStr">
        <is>
          <t>A 50556-2024</t>
        </is>
      </c>
      <c r="B181" s="1" t="n">
        <v>45601.59604166666</v>
      </c>
      <c r="C181" s="1" t="n">
        <v>46139</v>
      </c>
      <c r="D181" t="inlineStr">
        <is>
          <t>JÄMTLANDS LÄN</t>
        </is>
      </c>
      <c r="E181" t="inlineStr">
        <is>
          <t>BERG</t>
        </is>
      </c>
      <c r="G181" t="n">
        <v>5.7</v>
      </c>
      <c r="H181" t="n">
        <v>0</v>
      </c>
      <c r="I181" t="n">
        <v>0</v>
      </c>
      <c r="J181" t="n">
        <v>1</v>
      </c>
      <c r="K181" t="n">
        <v>0</v>
      </c>
      <c r="L181" t="n">
        <v>0</v>
      </c>
      <c r="M181" t="n">
        <v>0</v>
      </c>
      <c r="N181" t="n">
        <v>0</v>
      </c>
      <c r="O181" t="n">
        <v>1</v>
      </c>
      <c r="P181" t="n">
        <v>0</v>
      </c>
      <c r="Q181" t="n">
        <v>1</v>
      </c>
      <c r="R181" s="2" t="inlineStr">
        <is>
          <t>Kalkbräken</t>
        </is>
      </c>
      <c r="S181">
        <f>HYPERLINK("https://klasma.github.io/Logging_2326/artfynd/A 50556-2024 artfynd.xlsx", "A 50556-2024")</f>
        <v/>
      </c>
      <c r="T181">
        <f>HYPERLINK("https://klasma.github.io/Logging_2326/kartor/A 50556-2024 karta.png", "A 50556-2024")</f>
        <v/>
      </c>
      <c r="V181">
        <f>HYPERLINK("https://klasma.github.io/Logging_2326/klagomål/A 50556-2024 FSC-klagomål.docx", "A 50556-2024")</f>
        <v/>
      </c>
      <c r="W181">
        <f>HYPERLINK("https://klasma.github.io/Logging_2326/klagomålsmail/A 50556-2024 FSC-klagomål mail.docx", "A 50556-2024")</f>
        <v/>
      </c>
      <c r="X181">
        <f>HYPERLINK("https://klasma.github.io/Logging_2326/tillsyn/A 50556-2024 tillsynsbegäran.docx", "A 50556-2024")</f>
        <v/>
      </c>
      <c r="Y181">
        <f>HYPERLINK("https://klasma.github.io/Logging_2326/tillsynsmail/A 50556-2024 tillsynsbegäran mail.docx", "A 50556-2024")</f>
        <v/>
      </c>
    </row>
    <row r="182" ht="15" customHeight="1">
      <c r="A182" t="inlineStr">
        <is>
          <t>A 41635-2024</t>
        </is>
      </c>
      <c r="B182" s="1" t="n">
        <v>45560.61601851852</v>
      </c>
      <c r="C182" s="1" t="n">
        <v>46139</v>
      </c>
      <c r="D182" t="inlineStr">
        <is>
          <t>JÄMTLANDS LÄN</t>
        </is>
      </c>
      <c r="E182" t="inlineStr">
        <is>
          <t>BERG</t>
        </is>
      </c>
      <c r="F182" t="inlineStr">
        <is>
          <t>SCA</t>
        </is>
      </c>
      <c r="G182" t="n">
        <v>4.2</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41635-2024 artfynd.xlsx", "A 41635-2024")</f>
        <v/>
      </c>
      <c r="T182">
        <f>HYPERLINK("https://klasma.github.io/Logging_2326/kartor/A 41635-2024 karta.png", "A 41635-2024")</f>
        <v/>
      </c>
      <c r="V182">
        <f>HYPERLINK("https://klasma.github.io/Logging_2326/klagomål/A 41635-2024 FSC-klagomål.docx", "A 41635-2024")</f>
        <v/>
      </c>
      <c r="W182">
        <f>HYPERLINK("https://klasma.github.io/Logging_2326/klagomålsmail/A 41635-2024 FSC-klagomål mail.docx", "A 41635-2024")</f>
        <v/>
      </c>
      <c r="X182">
        <f>HYPERLINK("https://klasma.github.io/Logging_2326/tillsyn/A 41635-2024 tillsynsbegäran.docx", "A 41635-2024")</f>
        <v/>
      </c>
      <c r="Y182">
        <f>HYPERLINK("https://klasma.github.io/Logging_2326/tillsynsmail/A 41635-2024 tillsynsbegäran mail.docx", "A 41635-2024")</f>
        <v/>
      </c>
    </row>
    <row r="183" ht="15" customHeight="1">
      <c r="A183" t="inlineStr">
        <is>
          <t>A 49196-2022</t>
        </is>
      </c>
      <c r="B183" s="1" t="n">
        <v>44860.95508101852</v>
      </c>
      <c r="C183" s="1" t="n">
        <v>46139</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46139</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46139</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46139</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46139</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46139</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46139</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46139</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46139</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46139</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46139</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46139</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46139</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46139</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46139</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46139</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46139</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46139</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46139</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46139</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46139</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46139</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46139</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46139</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46139</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46139</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46139</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46139</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46139</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46139</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46139</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46139</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46139</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46139</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46139</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46139</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46139</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46139</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46139</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35308-2021</t>
        </is>
      </c>
      <c r="B222" s="1" t="n">
        <v>44384</v>
      </c>
      <c r="C222" s="1" t="n">
        <v>46139</v>
      </c>
      <c r="D222" t="inlineStr">
        <is>
          <t>JÄMTLANDS LÄN</t>
        </is>
      </c>
      <c r="E222" t="inlineStr">
        <is>
          <t>BERG</t>
        </is>
      </c>
      <c r="G222" t="n">
        <v>2.9</v>
      </c>
      <c r="H222" t="n">
        <v>0</v>
      </c>
      <c r="I222" t="n">
        <v>0</v>
      </c>
      <c r="J222" t="n">
        <v>0</v>
      </c>
      <c r="K222" t="n">
        <v>0</v>
      </c>
      <c r="L222" t="n">
        <v>0</v>
      </c>
      <c r="M222" t="n">
        <v>0</v>
      </c>
      <c r="N222" t="n">
        <v>0</v>
      </c>
      <c r="O222" t="n">
        <v>0</v>
      </c>
      <c r="P222" t="n">
        <v>0</v>
      </c>
      <c r="Q222" t="n">
        <v>0</v>
      </c>
      <c r="R222" s="2" t="inlineStr"/>
      <c r="U222">
        <f>HYPERLINK("https://klasma.github.io/Logging_2326/knärot/A 35308-2021 karta knärot.png", "A 35308-2021")</f>
        <v/>
      </c>
      <c r="V222">
        <f>HYPERLINK("https://klasma.github.io/Logging_2326/klagomål/A 35308-2021 FSC-klagomål.docx", "A 35308-2021")</f>
        <v/>
      </c>
      <c r="W222">
        <f>HYPERLINK("https://klasma.github.io/Logging_2326/klagomålsmail/A 35308-2021 FSC-klagomål mail.docx", "A 35308-2021")</f>
        <v/>
      </c>
      <c r="X222">
        <f>HYPERLINK("https://klasma.github.io/Logging_2326/tillsyn/A 35308-2021 tillsynsbegäran.docx", "A 35308-2021")</f>
        <v/>
      </c>
      <c r="Y222">
        <f>HYPERLINK("https://klasma.github.io/Logging_2326/tillsynsmail/A 35308-2021 tillsynsbegäran mail.docx", "A 35308-2021")</f>
        <v/>
      </c>
    </row>
    <row r="223" ht="15" customHeight="1">
      <c r="A223" t="inlineStr">
        <is>
          <t>A 27395-2021</t>
        </is>
      </c>
      <c r="B223" s="1" t="n">
        <v>44350</v>
      </c>
      <c r="C223" s="1" t="n">
        <v>46139</v>
      </c>
      <c r="D223" t="inlineStr">
        <is>
          <t>JÄMTLANDS LÄN</t>
        </is>
      </c>
      <c r="E223" t="inlineStr">
        <is>
          <t>BERG</t>
        </is>
      </c>
      <c r="G223" t="n">
        <v>4.4</v>
      </c>
      <c r="H223" t="n">
        <v>0</v>
      </c>
      <c r="I223" t="n">
        <v>0</v>
      </c>
      <c r="J223" t="n">
        <v>0</v>
      </c>
      <c r="K223" t="n">
        <v>0</v>
      </c>
      <c r="L223" t="n">
        <v>0</v>
      </c>
      <c r="M223" t="n">
        <v>0</v>
      </c>
      <c r="N223" t="n">
        <v>0</v>
      </c>
      <c r="O223" t="n">
        <v>0</v>
      </c>
      <c r="P223" t="n">
        <v>0</v>
      </c>
      <c r="Q223" t="n">
        <v>0</v>
      </c>
      <c r="R223" s="2" t="inlineStr"/>
    </row>
    <row r="224" ht="15" customHeight="1">
      <c r="A224" t="inlineStr">
        <is>
          <t>A 21403-2022</t>
        </is>
      </c>
      <c r="B224" s="1" t="n">
        <v>44705.9403125</v>
      </c>
      <c r="C224" s="1" t="n">
        <v>46139</v>
      </c>
      <c r="D224" t="inlineStr">
        <is>
          <t>JÄMTLANDS LÄN</t>
        </is>
      </c>
      <c r="E224" t="inlineStr">
        <is>
          <t>BERG</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53085-2024</t>
        </is>
      </c>
      <c r="B225" s="1" t="n">
        <v>45611.51072916666</v>
      </c>
      <c r="C225" s="1" t="n">
        <v>46139</v>
      </c>
      <c r="D225" t="inlineStr">
        <is>
          <t>JÄMTLANDS LÄN</t>
        </is>
      </c>
      <c r="E225" t="inlineStr">
        <is>
          <t>BERG</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29019-2021</t>
        </is>
      </c>
      <c r="B226" s="1" t="n">
        <v>44358</v>
      </c>
      <c r="C226" s="1" t="n">
        <v>46139</v>
      </c>
      <c r="D226" t="inlineStr">
        <is>
          <t>JÄMTLANDS LÄN</t>
        </is>
      </c>
      <c r="E226" t="inlineStr">
        <is>
          <t>BERG</t>
        </is>
      </c>
      <c r="F226" t="inlineStr">
        <is>
          <t>Sveaskog</t>
        </is>
      </c>
      <c r="G226" t="n">
        <v>27.1</v>
      </c>
      <c r="H226" t="n">
        <v>0</v>
      </c>
      <c r="I226" t="n">
        <v>0</v>
      </c>
      <c r="J226" t="n">
        <v>0</v>
      </c>
      <c r="K226" t="n">
        <v>0</v>
      </c>
      <c r="L226" t="n">
        <v>0</v>
      </c>
      <c r="M226" t="n">
        <v>0</v>
      </c>
      <c r="N226" t="n">
        <v>0</v>
      </c>
      <c r="O226" t="n">
        <v>0</v>
      </c>
      <c r="P226" t="n">
        <v>0</v>
      </c>
      <c r="Q226" t="n">
        <v>0</v>
      </c>
      <c r="R226" s="2" t="inlineStr"/>
    </row>
    <row r="227" ht="15" customHeight="1">
      <c r="A227" t="inlineStr">
        <is>
          <t>A 37726-2022</t>
        </is>
      </c>
      <c r="B227" s="1" t="n">
        <v>44810.56636574074</v>
      </c>
      <c r="C227" s="1" t="n">
        <v>46139</v>
      </c>
      <c r="D227" t="inlineStr">
        <is>
          <t>JÄMTLANDS LÄN</t>
        </is>
      </c>
      <c r="E227" t="inlineStr">
        <is>
          <t>BERG</t>
        </is>
      </c>
      <c r="G227" t="n">
        <v>1.4</v>
      </c>
      <c r="H227" t="n">
        <v>0</v>
      </c>
      <c r="I227" t="n">
        <v>0</v>
      </c>
      <c r="J227" t="n">
        <v>0</v>
      </c>
      <c r="K227" t="n">
        <v>0</v>
      </c>
      <c r="L227" t="n">
        <v>0</v>
      </c>
      <c r="M227" t="n">
        <v>0</v>
      </c>
      <c r="N227" t="n">
        <v>0</v>
      </c>
      <c r="O227" t="n">
        <v>0</v>
      </c>
      <c r="P227" t="n">
        <v>0</v>
      </c>
      <c r="Q227" t="n">
        <v>0</v>
      </c>
      <c r="R227" s="2" t="inlineStr"/>
    </row>
    <row r="228" ht="15" customHeight="1">
      <c r="A228" t="inlineStr">
        <is>
          <t>A 5219-2022</t>
        </is>
      </c>
      <c r="B228" s="1" t="n">
        <v>44594.48569444445</v>
      </c>
      <c r="C228" s="1" t="n">
        <v>46139</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14672-2025</t>
        </is>
      </c>
      <c r="B229" s="1" t="n">
        <v>45742.55269675926</v>
      </c>
      <c r="C229" s="1" t="n">
        <v>46139</v>
      </c>
      <c r="D229" t="inlineStr">
        <is>
          <t>JÄMTLANDS LÄN</t>
        </is>
      </c>
      <c r="E229" t="inlineStr">
        <is>
          <t>BERG</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46139</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13149-2025</t>
        </is>
      </c>
      <c r="B231" s="1" t="n">
        <v>45735.34424768519</v>
      </c>
      <c r="C231" s="1" t="n">
        <v>46139</v>
      </c>
      <c r="D231" t="inlineStr">
        <is>
          <t>JÄMTLANDS LÄN</t>
        </is>
      </c>
      <c r="E231" t="inlineStr">
        <is>
          <t>BERG</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6982-2025</t>
        </is>
      </c>
      <c r="B232" s="1" t="n">
        <v>45701.55769675926</v>
      </c>
      <c r="C232" s="1" t="n">
        <v>46139</v>
      </c>
      <c r="D232" t="inlineStr">
        <is>
          <t>JÄMTLANDS LÄN</t>
        </is>
      </c>
      <c r="E232" t="inlineStr">
        <is>
          <t>BERG</t>
        </is>
      </c>
      <c r="G232" t="n">
        <v>6.8</v>
      </c>
      <c r="H232" t="n">
        <v>0</v>
      </c>
      <c r="I232" t="n">
        <v>0</v>
      </c>
      <c r="J232" t="n">
        <v>0</v>
      </c>
      <c r="K232" t="n">
        <v>0</v>
      </c>
      <c r="L232" t="n">
        <v>0</v>
      </c>
      <c r="M232" t="n">
        <v>0</v>
      </c>
      <c r="N232" t="n">
        <v>0</v>
      </c>
      <c r="O232" t="n">
        <v>0</v>
      </c>
      <c r="P232" t="n">
        <v>0</v>
      </c>
      <c r="Q232" t="n">
        <v>0</v>
      </c>
      <c r="R232" s="2" t="inlineStr"/>
    </row>
    <row r="233" ht="15" customHeight="1">
      <c r="A233" t="inlineStr">
        <is>
          <t>A 15013-2025</t>
        </is>
      </c>
      <c r="B233" s="1" t="n">
        <v>45743.62734953704</v>
      </c>
      <c r="C233" s="1" t="n">
        <v>46139</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46139</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46139</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46139</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40824-2023</t>
        </is>
      </c>
      <c r="B237" s="1" t="n">
        <v>45171</v>
      </c>
      <c r="C237" s="1" t="n">
        <v>46139</v>
      </c>
      <c r="D237" t="inlineStr">
        <is>
          <t>JÄMTLANDS LÄN</t>
        </is>
      </c>
      <c r="E237" t="inlineStr">
        <is>
          <t>BERG</t>
        </is>
      </c>
      <c r="G237" t="n">
        <v>0.5</v>
      </c>
      <c r="H237" t="n">
        <v>0</v>
      </c>
      <c r="I237" t="n">
        <v>0</v>
      </c>
      <c r="J237" t="n">
        <v>0</v>
      </c>
      <c r="K237" t="n">
        <v>0</v>
      </c>
      <c r="L237" t="n">
        <v>0</v>
      </c>
      <c r="M237" t="n">
        <v>0</v>
      </c>
      <c r="N237" t="n">
        <v>0</v>
      </c>
      <c r="O237" t="n">
        <v>0</v>
      </c>
      <c r="P237" t="n">
        <v>0</v>
      </c>
      <c r="Q237" t="n">
        <v>0</v>
      </c>
      <c r="R237" s="2" t="inlineStr"/>
    </row>
    <row r="238" ht="15" customHeight="1">
      <c r="A238" t="inlineStr">
        <is>
          <t>A 35986-2023</t>
        </is>
      </c>
      <c r="B238" s="1" t="n">
        <v>45148</v>
      </c>
      <c r="C238" s="1" t="n">
        <v>46139</v>
      </c>
      <c r="D238" t="inlineStr">
        <is>
          <t>JÄMTLANDS LÄN</t>
        </is>
      </c>
      <c r="E238" t="inlineStr">
        <is>
          <t>BERG</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171-2022</t>
        </is>
      </c>
      <c r="B239" s="1" t="n">
        <v>44564</v>
      </c>
      <c r="C239" s="1" t="n">
        <v>46139</v>
      </c>
      <c r="D239" t="inlineStr">
        <is>
          <t>JÄMTLANDS LÄN</t>
        </is>
      </c>
      <c r="E239" t="inlineStr">
        <is>
          <t>BERG</t>
        </is>
      </c>
      <c r="G239" t="n">
        <v>2.3</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46139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2002-2022</t>
        </is>
      </c>
      <c r="B241" s="1" t="n">
        <v>44575</v>
      </c>
      <c r="C241" s="1" t="n">
        <v>46139</v>
      </c>
      <c r="D241" t="inlineStr">
        <is>
          <t>JÄMTLANDS LÄN</t>
        </is>
      </c>
      <c r="E241" t="inlineStr">
        <is>
          <t>BERG</t>
        </is>
      </c>
      <c r="G241" t="n">
        <v>11.3</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46139</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46515-2021</t>
        </is>
      </c>
      <c r="B243" s="1" t="n">
        <v>44445</v>
      </c>
      <c r="C243" s="1" t="n">
        <v>46139</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53883-2023</t>
        </is>
      </c>
      <c r="B244" s="1" t="n">
        <v>45231.5221875</v>
      </c>
      <c r="C244" s="1" t="n">
        <v>46139</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34803-2022</t>
        </is>
      </c>
      <c r="B245" s="1" t="n">
        <v>44795.94754629629</v>
      </c>
      <c r="C245" s="1" t="n">
        <v>46139</v>
      </c>
      <c r="D245" t="inlineStr">
        <is>
          <t>JÄMTLANDS LÄN</t>
        </is>
      </c>
      <c r="E245" t="inlineStr">
        <is>
          <t>BERG</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41875-2024</t>
        </is>
      </c>
      <c r="B246" s="1" t="n">
        <v>45561.47431712963</v>
      </c>
      <c r="C246" s="1" t="n">
        <v>46139</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32064-2023</t>
        </is>
      </c>
      <c r="B247" s="1" t="n">
        <v>45119.57108796296</v>
      </c>
      <c r="C247" s="1" t="n">
        <v>46139</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4246-2025</t>
        </is>
      </c>
      <c r="B248" s="1" t="n">
        <v>45685.59083333334</v>
      </c>
      <c r="C248" s="1" t="n">
        <v>46139</v>
      </c>
      <c r="D248" t="inlineStr">
        <is>
          <t>JÄMTLANDS LÄN</t>
        </is>
      </c>
      <c r="E248" t="inlineStr">
        <is>
          <t>BERG</t>
        </is>
      </c>
      <c r="G248" t="n">
        <v>2.4</v>
      </c>
      <c r="H248" t="n">
        <v>0</v>
      </c>
      <c r="I248" t="n">
        <v>0</v>
      </c>
      <c r="J248" t="n">
        <v>0</v>
      </c>
      <c r="K248" t="n">
        <v>0</v>
      </c>
      <c r="L248" t="n">
        <v>0</v>
      </c>
      <c r="M248" t="n">
        <v>0</v>
      </c>
      <c r="N248" t="n">
        <v>0</v>
      </c>
      <c r="O248" t="n">
        <v>0</v>
      </c>
      <c r="P248" t="n">
        <v>0</v>
      </c>
      <c r="Q248" t="n">
        <v>0</v>
      </c>
      <c r="R248" s="2" t="inlineStr"/>
    </row>
    <row r="249" ht="15" customHeight="1">
      <c r="A249" t="inlineStr">
        <is>
          <t>A 68483-2021</t>
        </is>
      </c>
      <c r="B249" s="1" t="n">
        <v>44529</v>
      </c>
      <c r="C249" s="1" t="n">
        <v>46139</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20179-2021</t>
        </is>
      </c>
      <c r="B250" s="1" t="n">
        <v>44314.56744212963</v>
      </c>
      <c r="C250" s="1" t="n">
        <v>46139</v>
      </c>
      <c r="D250" t="inlineStr">
        <is>
          <t>JÄMTLANDS LÄN</t>
        </is>
      </c>
      <c r="E250" t="inlineStr">
        <is>
          <t>BERG</t>
        </is>
      </c>
      <c r="G250" t="n">
        <v>1.9</v>
      </c>
      <c r="H250" t="n">
        <v>0</v>
      </c>
      <c r="I250" t="n">
        <v>0</v>
      </c>
      <c r="J250" t="n">
        <v>0</v>
      </c>
      <c r="K250" t="n">
        <v>0</v>
      </c>
      <c r="L250" t="n">
        <v>0</v>
      </c>
      <c r="M250" t="n">
        <v>0</v>
      </c>
      <c r="N250" t="n">
        <v>0</v>
      </c>
      <c r="O250" t="n">
        <v>0</v>
      </c>
      <c r="P250" t="n">
        <v>0</v>
      </c>
      <c r="Q250" t="n">
        <v>0</v>
      </c>
      <c r="R250" s="2" t="inlineStr"/>
    </row>
    <row r="251" ht="15" customHeight="1">
      <c r="A251" t="inlineStr">
        <is>
          <t>A 8251-2023</t>
        </is>
      </c>
      <c r="B251" s="1" t="n">
        <v>44974</v>
      </c>
      <c r="C251" s="1" t="n">
        <v>46139</v>
      </c>
      <c r="D251" t="inlineStr">
        <is>
          <t>JÄMTLANDS LÄN</t>
        </is>
      </c>
      <c r="E251" t="inlineStr">
        <is>
          <t>BERG</t>
        </is>
      </c>
      <c r="G251" t="n">
        <v>1.7</v>
      </c>
      <c r="H251" t="n">
        <v>0</v>
      </c>
      <c r="I251" t="n">
        <v>0</v>
      </c>
      <c r="J251" t="n">
        <v>0</v>
      </c>
      <c r="K251" t="n">
        <v>0</v>
      </c>
      <c r="L251" t="n">
        <v>0</v>
      </c>
      <c r="M251" t="n">
        <v>0</v>
      </c>
      <c r="N251" t="n">
        <v>0</v>
      </c>
      <c r="O251" t="n">
        <v>0</v>
      </c>
      <c r="P251" t="n">
        <v>0</v>
      </c>
      <c r="Q251" t="n">
        <v>0</v>
      </c>
      <c r="R251" s="2" t="inlineStr"/>
    </row>
    <row r="252" ht="15" customHeight="1">
      <c r="A252" t="inlineStr">
        <is>
          <t>A 6090-2022</t>
        </is>
      </c>
      <c r="B252" s="1" t="n">
        <v>44599</v>
      </c>
      <c r="C252" s="1" t="n">
        <v>46139</v>
      </c>
      <c r="D252" t="inlineStr">
        <is>
          <t>JÄMTLANDS LÄN</t>
        </is>
      </c>
      <c r="E252" t="inlineStr">
        <is>
          <t>BERG</t>
        </is>
      </c>
      <c r="G252" t="n">
        <v>1.3</v>
      </c>
      <c r="H252" t="n">
        <v>0</v>
      </c>
      <c r="I252" t="n">
        <v>0</v>
      </c>
      <c r="J252" t="n">
        <v>0</v>
      </c>
      <c r="K252" t="n">
        <v>0</v>
      </c>
      <c r="L252" t="n">
        <v>0</v>
      </c>
      <c r="M252" t="n">
        <v>0</v>
      </c>
      <c r="N252" t="n">
        <v>0</v>
      </c>
      <c r="O252" t="n">
        <v>0</v>
      </c>
      <c r="P252" t="n">
        <v>0</v>
      </c>
      <c r="Q252" t="n">
        <v>0</v>
      </c>
      <c r="R252" s="2" t="inlineStr"/>
    </row>
    <row r="253" ht="15" customHeight="1">
      <c r="A253" t="inlineStr">
        <is>
          <t>A 16553-2025</t>
        </is>
      </c>
      <c r="B253" s="1" t="n">
        <v>45751.69967592593</v>
      </c>
      <c r="C253" s="1" t="n">
        <v>46139</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45081-2022</t>
        </is>
      </c>
      <c r="B254" s="1" t="n">
        <v>44841</v>
      </c>
      <c r="C254" s="1" t="n">
        <v>46139</v>
      </c>
      <c r="D254" t="inlineStr">
        <is>
          <t>JÄMTLANDS LÄN</t>
        </is>
      </c>
      <c r="E254" t="inlineStr">
        <is>
          <t>BERG</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68468-2021</t>
        </is>
      </c>
      <c r="B255" s="1" t="n">
        <v>44529</v>
      </c>
      <c r="C255" s="1" t="n">
        <v>46139</v>
      </c>
      <c r="D255" t="inlineStr">
        <is>
          <t>JÄMTLANDS LÄN</t>
        </is>
      </c>
      <c r="E255" t="inlineStr">
        <is>
          <t>BERG</t>
        </is>
      </c>
      <c r="G255" t="n">
        <v>4.6</v>
      </c>
      <c r="H255" t="n">
        <v>0</v>
      </c>
      <c r="I255" t="n">
        <v>0</v>
      </c>
      <c r="J255" t="n">
        <v>0</v>
      </c>
      <c r="K255" t="n">
        <v>0</v>
      </c>
      <c r="L255" t="n">
        <v>0</v>
      </c>
      <c r="M255" t="n">
        <v>0</v>
      </c>
      <c r="N255" t="n">
        <v>0</v>
      </c>
      <c r="O255" t="n">
        <v>0</v>
      </c>
      <c r="P255" t="n">
        <v>0</v>
      </c>
      <c r="Q255" t="n">
        <v>0</v>
      </c>
      <c r="R255" s="2" t="inlineStr"/>
    </row>
    <row r="256" ht="15" customHeight="1">
      <c r="A256" t="inlineStr">
        <is>
          <t>A 51951-2021</t>
        </is>
      </c>
      <c r="B256" s="1" t="n">
        <v>44462</v>
      </c>
      <c r="C256" s="1" t="n">
        <v>46139</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46139</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34819-2023</t>
        </is>
      </c>
      <c r="B258" s="1" t="n">
        <v>45140</v>
      </c>
      <c r="C258" s="1" t="n">
        <v>46139</v>
      </c>
      <c r="D258" t="inlineStr">
        <is>
          <t>JÄMTLANDS LÄN</t>
        </is>
      </c>
      <c r="E258" t="inlineStr">
        <is>
          <t>BERG</t>
        </is>
      </c>
      <c r="G258" t="n">
        <v>0.8</v>
      </c>
      <c r="H258" t="n">
        <v>0</v>
      </c>
      <c r="I258" t="n">
        <v>0</v>
      </c>
      <c r="J258" t="n">
        <v>0</v>
      </c>
      <c r="K258" t="n">
        <v>0</v>
      </c>
      <c r="L258" t="n">
        <v>0</v>
      </c>
      <c r="M258" t="n">
        <v>0</v>
      </c>
      <c r="N258" t="n">
        <v>0</v>
      </c>
      <c r="O258" t="n">
        <v>0</v>
      </c>
      <c r="P258" t="n">
        <v>0</v>
      </c>
      <c r="Q258" t="n">
        <v>0</v>
      </c>
      <c r="R258" s="2" t="inlineStr"/>
    </row>
    <row r="259" ht="15" customHeight="1">
      <c r="A259" t="inlineStr">
        <is>
          <t>A 8388-2022</t>
        </is>
      </c>
      <c r="B259" s="1" t="n">
        <v>44610</v>
      </c>
      <c r="C259" s="1" t="n">
        <v>46139</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50780-2021</t>
        </is>
      </c>
      <c r="B260" s="1" t="n">
        <v>44459</v>
      </c>
      <c r="C260" s="1" t="n">
        <v>46139</v>
      </c>
      <c r="D260" t="inlineStr">
        <is>
          <t>JÄMTLANDS LÄN</t>
        </is>
      </c>
      <c r="E260" t="inlineStr">
        <is>
          <t>BERG</t>
        </is>
      </c>
      <c r="G260" t="n">
        <v>3.5</v>
      </c>
      <c r="H260" t="n">
        <v>0</v>
      </c>
      <c r="I260" t="n">
        <v>0</v>
      </c>
      <c r="J260" t="n">
        <v>0</v>
      </c>
      <c r="K260" t="n">
        <v>0</v>
      </c>
      <c r="L260" t="n">
        <v>0</v>
      </c>
      <c r="M260" t="n">
        <v>0</v>
      </c>
      <c r="N260" t="n">
        <v>0</v>
      </c>
      <c r="O260" t="n">
        <v>0</v>
      </c>
      <c r="P260" t="n">
        <v>0</v>
      </c>
      <c r="Q260" t="n">
        <v>0</v>
      </c>
      <c r="R260" s="2" t="inlineStr"/>
    </row>
    <row r="261" ht="15" customHeight="1">
      <c r="A261" t="inlineStr">
        <is>
          <t>A 9482-2024</t>
        </is>
      </c>
      <c r="B261" s="1" t="n">
        <v>45359.57847222222</v>
      </c>
      <c r="C261" s="1" t="n">
        <v>46139</v>
      </c>
      <c r="D261" t="inlineStr">
        <is>
          <t>JÄMTLANDS LÄN</t>
        </is>
      </c>
      <c r="E261" t="inlineStr">
        <is>
          <t>BERG</t>
        </is>
      </c>
      <c r="G261" t="n">
        <v>3</v>
      </c>
      <c r="H261" t="n">
        <v>0</v>
      </c>
      <c r="I261" t="n">
        <v>0</v>
      </c>
      <c r="J261" t="n">
        <v>0</v>
      </c>
      <c r="K261" t="n">
        <v>0</v>
      </c>
      <c r="L261" t="n">
        <v>0</v>
      </c>
      <c r="M261" t="n">
        <v>0</v>
      </c>
      <c r="N261" t="n">
        <v>0</v>
      </c>
      <c r="O261" t="n">
        <v>0</v>
      </c>
      <c r="P261" t="n">
        <v>0</v>
      </c>
      <c r="Q261" t="n">
        <v>0</v>
      </c>
      <c r="R261" s="2" t="inlineStr"/>
    </row>
    <row r="262" ht="15" customHeight="1">
      <c r="A262" t="inlineStr">
        <is>
          <t>A 43279-2024</t>
        </is>
      </c>
      <c r="B262" s="1" t="n">
        <v>45568.3975462963</v>
      </c>
      <c r="C262" s="1" t="n">
        <v>46139</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18872-2023</t>
        </is>
      </c>
      <c r="B263" s="1" t="n">
        <v>45042</v>
      </c>
      <c r="C263" s="1" t="n">
        <v>46139</v>
      </c>
      <c r="D263" t="inlineStr">
        <is>
          <t>JÄMTLANDS LÄN</t>
        </is>
      </c>
      <c r="E263" t="inlineStr">
        <is>
          <t>BERG</t>
        </is>
      </c>
      <c r="G263" t="n">
        <v>13.2</v>
      </c>
      <c r="H263" t="n">
        <v>0</v>
      </c>
      <c r="I263" t="n">
        <v>0</v>
      </c>
      <c r="J263" t="n">
        <v>0</v>
      </c>
      <c r="K263" t="n">
        <v>0</v>
      </c>
      <c r="L263" t="n">
        <v>0</v>
      </c>
      <c r="M263" t="n">
        <v>0</v>
      </c>
      <c r="N263" t="n">
        <v>0</v>
      </c>
      <c r="O263" t="n">
        <v>0</v>
      </c>
      <c r="P263" t="n">
        <v>0</v>
      </c>
      <c r="Q263" t="n">
        <v>0</v>
      </c>
      <c r="R263" s="2" t="inlineStr"/>
    </row>
    <row r="264" ht="15" customHeight="1">
      <c r="A264" t="inlineStr">
        <is>
          <t>A 65209-2023</t>
        </is>
      </c>
      <c r="B264" s="1" t="n">
        <v>45289</v>
      </c>
      <c r="C264" s="1" t="n">
        <v>46139</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18685-2024</t>
        </is>
      </c>
      <c r="B265" s="1" t="n">
        <v>45426.38322916667</v>
      </c>
      <c r="C265" s="1" t="n">
        <v>46139</v>
      </c>
      <c r="D265" t="inlineStr">
        <is>
          <t>JÄMTLANDS LÄN</t>
        </is>
      </c>
      <c r="E265" t="inlineStr">
        <is>
          <t>BERG</t>
        </is>
      </c>
      <c r="G265" t="n">
        <v>5.1</v>
      </c>
      <c r="H265" t="n">
        <v>0</v>
      </c>
      <c r="I265" t="n">
        <v>0</v>
      </c>
      <c r="J265" t="n">
        <v>0</v>
      </c>
      <c r="K265" t="n">
        <v>0</v>
      </c>
      <c r="L265" t="n">
        <v>0</v>
      </c>
      <c r="M265" t="n">
        <v>0</v>
      </c>
      <c r="N265" t="n">
        <v>0</v>
      </c>
      <c r="O265" t="n">
        <v>0</v>
      </c>
      <c r="P265" t="n">
        <v>0</v>
      </c>
      <c r="Q265" t="n">
        <v>0</v>
      </c>
      <c r="R265" s="2" t="inlineStr"/>
    </row>
    <row r="266" ht="15" customHeight="1">
      <c r="A266" t="inlineStr">
        <is>
          <t>A 10230-2024</t>
        </is>
      </c>
      <c r="B266" s="1" t="n">
        <v>45365.31883101852</v>
      </c>
      <c r="C266" s="1" t="n">
        <v>46139</v>
      </c>
      <c r="D266" t="inlineStr">
        <is>
          <t>JÄMTLANDS LÄN</t>
        </is>
      </c>
      <c r="E266" t="inlineStr">
        <is>
          <t>BERG</t>
        </is>
      </c>
      <c r="G266" t="n">
        <v>6.3</v>
      </c>
      <c r="H266" t="n">
        <v>0</v>
      </c>
      <c r="I266" t="n">
        <v>0</v>
      </c>
      <c r="J266" t="n">
        <v>0</v>
      </c>
      <c r="K266" t="n">
        <v>0</v>
      </c>
      <c r="L266" t="n">
        <v>0</v>
      </c>
      <c r="M266" t="n">
        <v>0</v>
      </c>
      <c r="N266" t="n">
        <v>0</v>
      </c>
      <c r="O266" t="n">
        <v>0</v>
      </c>
      <c r="P266" t="n">
        <v>0</v>
      </c>
      <c r="Q266" t="n">
        <v>0</v>
      </c>
      <c r="R266" s="2" t="inlineStr"/>
    </row>
    <row r="267" ht="15" customHeight="1">
      <c r="A267" t="inlineStr">
        <is>
          <t>A 36079-2024</t>
        </is>
      </c>
      <c r="B267" s="1" t="n">
        <v>45533.66685185185</v>
      </c>
      <c r="C267" s="1" t="n">
        <v>46139</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37093-2024</t>
        </is>
      </c>
      <c r="B268" s="1" t="n">
        <v>45539.50018518518</v>
      </c>
      <c r="C268" s="1" t="n">
        <v>46139</v>
      </c>
      <c r="D268" t="inlineStr">
        <is>
          <t>JÄMTLANDS LÄN</t>
        </is>
      </c>
      <c r="E268" t="inlineStr">
        <is>
          <t>BERG</t>
        </is>
      </c>
      <c r="F268" t="inlineStr">
        <is>
          <t>Övriga Aktiebolag</t>
        </is>
      </c>
      <c r="G268" t="n">
        <v>15.4</v>
      </c>
      <c r="H268" t="n">
        <v>0</v>
      </c>
      <c r="I268" t="n">
        <v>0</v>
      </c>
      <c r="J268" t="n">
        <v>0</v>
      </c>
      <c r="K268" t="n">
        <v>0</v>
      </c>
      <c r="L268" t="n">
        <v>0</v>
      </c>
      <c r="M268" t="n">
        <v>0</v>
      </c>
      <c r="N268" t="n">
        <v>0</v>
      </c>
      <c r="O268" t="n">
        <v>0</v>
      </c>
      <c r="P268" t="n">
        <v>0</v>
      </c>
      <c r="Q268" t="n">
        <v>0</v>
      </c>
      <c r="R268" s="2" t="inlineStr"/>
    </row>
    <row r="269" ht="15" customHeight="1">
      <c r="A269" t="inlineStr">
        <is>
          <t>A 36287-2024</t>
        </is>
      </c>
      <c r="B269" s="1" t="n">
        <v>45534</v>
      </c>
      <c r="C269" s="1" t="n">
        <v>46139</v>
      </c>
      <c r="D269" t="inlineStr">
        <is>
          <t>JÄMTLANDS LÄN</t>
        </is>
      </c>
      <c r="E269" t="inlineStr">
        <is>
          <t>BERG</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4522-2024</t>
        </is>
      </c>
      <c r="B270" s="1" t="n">
        <v>45327</v>
      </c>
      <c r="C270" s="1" t="n">
        <v>46139</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21717-2023</t>
        </is>
      </c>
      <c r="B271" s="1" t="n">
        <v>45063</v>
      </c>
      <c r="C271" s="1" t="n">
        <v>46139</v>
      </c>
      <c r="D271" t="inlineStr">
        <is>
          <t>JÄMTLANDS LÄN</t>
        </is>
      </c>
      <c r="E271" t="inlineStr">
        <is>
          <t>BERG</t>
        </is>
      </c>
      <c r="G271" t="n">
        <v>6</v>
      </c>
      <c r="H271" t="n">
        <v>0</v>
      </c>
      <c r="I271" t="n">
        <v>0</v>
      </c>
      <c r="J271" t="n">
        <v>0</v>
      </c>
      <c r="K271" t="n">
        <v>0</v>
      </c>
      <c r="L271" t="n">
        <v>0</v>
      </c>
      <c r="M271" t="n">
        <v>0</v>
      </c>
      <c r="N271" t="n">
        <v>0</v>
      </c>
      <c r="O271" t="n">
        <v>0</v>
      </c>
      <c r="P271" t="n">
        <v>0</v>
      </c>
      <c r="Q271" t="n">
        <v>0</v>
      </c>
      <c r="R271" s="2" t="inlineStr"/>
    </row>
    <row r="272" ht="15" customHeight="1">
      <c r="A272" t="inlineStr">
        <is>
          <t>A 32654-2025</t>
        </is>
      </c>
      <c r="B272" s="1" t="n">
        <v>45838.6778587963</v>
      </c>
      <c r="C272" s="1" t="n">
        <v>46139</v>
      </c>
      <c r="D272" t="inlineStr">
        <is>
          <t>JÄMTLANDS LÄN</t>
        </is>
      </c>
      <c r="E272" t="inlineStr">
        <is>
          <t>BERG</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46139</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11599-2025</t>
        </is>
      </c>
      <c r="B274" s="1" t="n">
        <v>45727.4261574074</v>
      </c>
      <c r="C274" s="1" t="n">
        <v>46139</v>
      </c>
      <c r="D274" t="inlineStr">
        <is>
          <t>JÄMTLANDS LÄN</t>
        </is>
      </c>
      <c r="E274" t="inlineStr">
        <is>
          <t>BERG</t>
        </is>
      </c>
      <c r="G274" t="n">
        <v>1.4</v>
      </c>
      <c r="H274" t="n">
        <v>0</v>
      </c>
      <c r="I274" t="n">
        <v>0</v>
      </c>
      <c r="J274" t="n">
        <v>0</v>
      </c>
      <c r="K274" t="n">
        <v>0</v>
      </c>
      <c r="L274" t="n">
        <v>0</v>
      </c>
      <c r="M274" t="n">
        <v>0</v>
      </c>
      <c r="N274" t="n">
        <v>0</v>
      </c>
      <c r="O274" t="n">
        <v>0</v>
      </c>
      <c r="P274" t="n">
        <v>0</v>
      </c>
      <c r="Q274" t="n">
        <v>0</v>
      </c>
      <c r="R274" s="2" t="inlineStr"/>
    </row>
    <row r="275" ht="15" customHeight="1">
      <c r="A275" t="inlineStr">
        <is>
          <t>A 56490-2024</t>
        </is>
      </c>
      <c r="B275" s="1" t="n">
        <v>45625.48765046296</v>
      </c>
      <c r="C275" s="1" t="n">
        <v>46139</v>
      </c>
      <c r="D275" t="inlineStr">
        <is>
          <t>JÄMTLANDS LÄN</t>
        </is>
      </c>
      <c r="E275" t="inlineStr">
        <is>
          <t>BERG</t>
        </is>
      </c>
      <c r="G275" t="n">
        <v>5.9</v>
      </c>
      <c r="H275" t="n">
        <v>0</v>
      </c>
      <c r="I275" t="n">
        <v>0</v>
      </c>
      <c r="J275" t="n">
        <v>0</v>
      </c>
      <c r="K275" t="n">
        <v>0</v>
      </c>
      <c r="L275" t="n">
        <v>0</v>
      </c>
      <c r="M275" t="n">
        <v>0</v>
      </c>
      <c r="N275" t="n">
        <v>0</v>
      </c>
      <c r="O275" t="n">
        <v>0</v>
      </c>
      <c r="P275" t="n">
        <v>0</v>
      </c>
      <c r="Q275" t="n">
        <v>0</v>
      </c>
      <c r="R275" s="2" t="inlineStr"/>
    </row>
    <row r="276" ht="15" customHeight="1">
      <c r="A276" t="inlineStr">
        <is>
          <t>A 10861-2024</t>
        </is>
      </c>
      <c r="B276" s="1" t="n">
        <v>45370.01967592593</v>
      </c>
      <c r="C276" s="1" t="n">
        <v>46139</v>
      </c>
      <c r="D276" t="inlineStr">
        <is>
          <t>JÄMTLANDS LÄN</t>
        </is>
      </c>
      <c r="E276" t="inlineStr">
        <is>
          <t>BERG</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10974-2025</t>
        </is>
      </c>
      <c r="B277" s="1" t="n">
        <v>45723.38790509259</v>
      </c>
      <c r="C277" s="1" t="n">
        <v>46139</v>
      </c>
      <c r="D277" t="inlineStr">
        <is>
          <t>JÄMTLANDS LÄN</t>
        </is>
      </c>
      <c r="E277" t="inlineStr">
        <is>
          <t>BERG</t>
        </is>
      </c>
      <c r="G277" t="n">
        <v>6.9</v>
      </c>
      <c r="H277" t="n">
        <v>0</v>
      </c>
      <c r="I277" t="n">
        <v>0</v>
      </c>
      <c r="J277" t="n">
        <v>0</v>
      </c>
      <c r="K277" t="n">
        <v>0</v>
      </c>
      <c r="L277" t="n">
        <v>0</v>
      </c>
      <c r="M277" t="n">
        <v>0</v>
      </c>
      <c r="N277" t="n">
        <v>0</v>
      </c>
      <c r="O277" t="n">
        <v>0</v>
      </c>
      <c r="P277" t="n">
        <v>0</v>
      </c>
      <c r="Q277" t="n">
        <v>0</v>
      </c>
      <c r="R277" s="2" t="inlineStr"/>
    </row>
    <row r="278" ht="15" customHeight="1">
      <c r="A278" t="inlineStr">
        <is>
          <t>A 47674-2024</t>
        </is>
      </c>
      <c r="B278" s="1" t="n">
        <v>45588.40413194444</v>
      </c>
      <c r="C278" s="1" t="n">
        <v>46139</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46139</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62360-2023</t>
        </is>
      </c>
      <c r="B280" s="1" t="n">
        <v>45267</v>
      </c>
      <c r="C280" s="1" t="n">
        <v>46139</v>
      </c>
      <c r="D280" t="inlineStr">
        <is>
          <t>JÄMTLANDS LÄN</t>
        </is>
      </c>
      <c r="E280" t="inlineStr">
        <is>
          <t>BERG</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48307-2024</t>
        </is>
      </c>
      <c r="B281" s="1" t="n">
        <v>45590.47684027778</v>
      </c>
      <c r="C281" s="1" t="n">
        <v>46139</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61652-2024</t>
        </is>
      </c>
      <c r="B282" s="1" t="n">
        <v>45646.72293981481</v>
      </c>
      <c r="C282" s="1" t="n">
        <v>46139</v>
      </c>
      <c r="D282" t="inlineStr">
        <is>
          <t>JÄMTLANDS LÄN</t>
        </is>
      </c>
      <c r="E282" t="inlineStr">
        <is>
          <t>BERG</t>
        </is>
      </c>
      <c r="G282" t="n">
        <v>6.4</v>
      </c>
      <c r="H282" t="n">
        <v>0</v>
      </c>
      <c r="I282" t="n">
        <v>0</v>
      </c>
      <c r="J282" t="n">
        <v>0</v>
      </c>
      <c r="K282" t="n">
        <v>0</v>
      </c>
      <c r="L282" t="n">
        <v>0</v>
      </c>
      <c r="M282" t="n">
        <v>0</v>
      </c>
      <c r="N282" t="n">
        <v>0</v>
      </c>
      <c r="O282" t="n">
        <v>0</v>
      </c>
      <c r="P282" t="n">
        <v>0</v>
      </c>
      <c r="Q282" t="n">
        <v>0</v>
      </c>
      <c r="R282" s="2" t="inlineStr"/>
    </row>
    <row r="283" ht="15" customHeight="1">
      <c r="A283" t="inlineStr">
        <is>
          <t>A 48663-2023</t>
        </is>
      </c>
      <c r="B283" s="1" t="n">
        <v>45202</v>
      </c>
      <c r="C283" s="1" t="n">
        <v>46139</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21679-2023</t>
        </is>
      </c>
      <c r="B284" s="1" t="n">
        <v>45063.94199074074</v>
      </c>
      <c r="C284" s="1" t="n">
        <v>46139</v>
      </c>
      <c r="D284" t="inlineStr">
        <is>
          <t>JÄMTLANDS LÄN</t>
        </is>
      </c>
      <c r="E284" t="inlineStr">
        <is>
          <t>BERG</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1499-2025</t>
        </is>
      </c>
      <c r="B285" s="1" t="n">
        <v>45670.41112268518</v>
      </c>
      <c r="C285" s="1" t="n">
        <v>46139</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22947-2022</t>
        </is>
      </c>
      <c r="B286" s="1" t="n">
        <v>44715.92443287037</v>
      </c>
      <c r="C286" s="1" t="n">
        <v>46139</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38682-2023</t>
        </is>
      </c>
      <c r="B287" s="1" t="n">
        <v>45162</v>
      </c>
      <c r="C287" s="1" t="n">
        <v>46139</v>
      </c>
      <c r="D287" t="inlineStr">
        <is>
          <t>JÄMTLANDS LÄN</t>
        </is>
      </c>
      <c r="E287" t="inlineStr">
        <is>
          <t>BERG</t>
        </is>
      </c>
      <c r="F287" t="inlineStr">
        <is>
          <t>SCA</t>
        </is>
      </c>
      <c r="G287" t="n">
        <v>21.3</v>
      </c>
      <c r="H287" t="n">
        <v>0</v>
      </c>
      <c r="I287" t="n">
        <v>0</v>
      </c>
      <c r="J287" t="n">
        <v>0</v>
      </c>
      <c r="K287" t="n">
        <v>0</v>
      </c>
      <c r="L287" t="n">
        <v>0</v>
      </c>
      <c r="M287" t="n">
        <v>0</v>
      </c>
      <c r="N287" t="n">
        <v>0</v>
      </c>
      <c r="O287" t="n">
        <v>0</v>
      </c>
      <c r="P287" t="n">
        <v>0</v>
      </c>
      <c r="Q287" t="n">
        <v>0</v>
      </c>
      <c r="R287" s="2" t="inlineStr"/>
    </row>
    <row r="288" ht="15" customHeight="1">
      <c r="A288" t="inlineStr">
        <is>
          <t>A 20268-2024</t>
        </is>
      </c>
      <c r="B288" s="1" t="n">
        <v>45434.94887731481</v>
      </c>
      <c r="C288" s="1" t="n">
        <v>46139</v>
      </c>
      <c r="D288" t="inlineStr">
        <is>
          <t>JÄMTLANDS LÄN</t>
        </is>
      </c>
      <c r="E288" t="inlineStr">
        <is>
          <t>BERG</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46991-2024</t>
        </is>
      </c>
      <c r="B289" s="1" t="n">
        <v>45586.365625</v>
      </c>
      <c r="C289" s="1" t="n">
        <v>46139</v>
      </c>
      <c r="D289" t="inlineStr">
        <is>
          <t>JÄMTLANDS LÄN</t>
        </is>
      </c>
      <c r="E289" t="inlineStr">
        <is>
          <t>BERG</t>
        </is>
      </c>
      <c r="G289" t="n">
        <v>2.9</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46139</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53894-2023</t>
        </is>
      </c>
      <c r="B291" s="1" t="n">
        <v>45231.53321759259</v>
      </c>
      <c r="C291" s="1" t="n">
        <v>46139</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12342-2023</t>
        </is>
      </c>
      <c r="B292" s="1" t="n">
        <v>44998</v>
      </c>
      <c r="C292" s="1" t="n">
        <v>46139</v>
      </c>
      <c r="D292" t="inlineStr">
        <is>
          <t>JÄMTLANDS LÄN</t>
        </is>
      </c>
      <c r="E292" t="inlineStr">
        <is>
          <t>BERG</t>
        </is>
      </c>
      <c r="G292" t="n">
        <v>11</v>
      </c>
      <c r="H292" t="n">
        <v>0</v>
      </c>
      <c r="I292" t="n">
        <v>0</v>
      </c>
      <c r="J292" t="n">
        <v>0</v>
      </c>
      <c r="K292" t="n">
        <v>0</v>
      </c>
      <c r="L292" t="n">
        <v>0</v>
      </c>
      <c r="M292" t="n">
        <v>0</v>
      </c>
      <c r="N292" t="n">
        <v>0</v>
      </c>
      <c r="O292" t="n">
        <v>0</v>
      </c>
      <c r="P292" t="n">
        <v>0</v>
      </c>
      <c r="Q292" t="n">
        <v>0</v>
      </c>
      <c r="R292" s="2" t="inlineStr"/>
    </row>
    <row r="293" ht="15" customHeight="1">
      <c r="A293" t="inlineStr">
        <is>
          <t>A 38-2024</t>
        </is>
      </c>
      <c r="B293" s="1" t="n">
        <v>45293</v>
      </c>
      <c r="C293" s="1" t="n">
        <v>46139</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43762-2023</t>
        </is>
      </c>
      <c r="B294" s="1" t="n">
        <v>45182</v>
      </c>
      <c r="C294" s="1" t="n">
        <v>46139</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19428-2025</t>
        </is>
      </c>
      <c r="B295" s="1" t="n">
        <v>45769.79763888889</v>
      </c>
      <c r="C295" s="1" t="n">
        <v>46139</v>
      </c>
      <c r="D295" t="inlineStr">
        <is>
          <t>JÄMTLANDS LÄN</t>
        </is>
      </c>
      <c r="E295" t="inlineStr">
        <is>
          <t>BERG</t>
        </is>
      </c>
      <c r="G295" t="n">
        <v>7.1</v>
      </c>
      <c r="H295" t="n">
        <v>0</v>
      </c>
      <c r="I295" t="n">
        <v>0</v>
      </c>
      <c r="J295" t="n">
        <v>0</v>
      </c>
      <c r="K295" t="n">
        <v>0</v>
      </c>
      <c r="L295" t="n">
        <v>0</v>
      </c>
      <c r="M295" t="n">
        <v>0</v>
      </c>
      <c r="N295" t="n">
        <v>0</v>
      </c>
      <c r="O295" t="n">
        <v>0</v>
      </c>
      <c r="P295" t="n">
        <v>0</v>
      </c>
      <c r="Q295" t="n">
        <v>0</v>
      </c>
      <c r="R295" s="2" t="inlineStr"/>
    </row>
    <row r="296" ht="15" customHeight="1">
      <c r="A296" t="inlineStr">
        <is>
          <t>A 8238-2024</t>
        </is>
      </c>
      <c r="B296" s="1" t="n">
        <v>45351.98450231482</v>
      </c>
      <c r="C296" s="1" t="n">
        <v>46139</v>
      </c>
      <c r="D296" t="inlineStr">
        <is>
          <t>JÄMTLANDS LÄN</t>
        </is>
      </c>
      <c r="E296" t="inlineStr">
        <is>
          <t>BERG</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51039-2024</t>
        </is>
      </c>
      <c r="B297" s="1" t="n">
        <v>45603.43164351852</v>
      </c>
      <c r="C297" s="1" t="n">
        <v>46139</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60076-2024</t>
        </is>
      </c>
      <c r="B298" s="1" t="n">
        <v>45642.53166666667</v>
      </c>
      <c r="C298" s="1" t="n">
        <v>46139</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29581-2024</t>
        </is>
      </c>
      <c r="B299" s="1" t="n">
        <v>45484.5740162037</v>
      </c>
      <c r="C299" s="1" t="n">
        <v>46139</v>
      </c>
      <c r="D299" t="inlineStr">
        <is>
          <t>JÄMTLANDS LÄN</t>
        </is>
      </c>
      <c r="E299" t="inlineStr">
        <is>
          <t>BERG</t>
        </is>
      </c>
      <c r="G299" t="n">
        <v>16.7</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46139</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43403-2023</t>
        </is>
      </c>
      <c r="B301" s="1" t="n">
        <v>45183</v>
      </c>
      <c r="C301" s="1" t="n">
        <v>46139</v>
      </c>
      <c r="D301" t="inlineStr">
        <is>
          <t>JÄMTLANDS LÄN</t>
        </is>
      </c>
      <c r="E301" t="inlineStr">
        <is>
          <t>BERG</t>
        </is>
      </c>
      <c r="F301" t="inlineStr">
        <is>
          <t>SCA</t>
        </is>
      </c>
      <c r="G301" t="n">
        <v>0.1</v>
      </c>
      <c r="H301" t="n">
        <v>0</v>
      </c>
      <c r="I301" t="n">
        <v>0</v>
      </c>
      <c r="J301" t="n">
        <v>0</v>
      </c>
      <c r="K301" t="n">
        <v>0</v>
      </c>
      <c r="L301" t="n">
        <v>0</v>
      </c>
      <c r="M301" t="n">
        <v>0</v>
      </c>
      <c r="N301" t="n">
        <v>0</v>
      </c>
      <c r="O301" t="n">
        <v>0</v>
      </c>
      <c r="P301" t="n">
        <v>0</v>
      </c>
      <c r="Q301" t="n">
        <v>0</v>
      </c>
      <c r="R301" s="2" t="inlineStr"/>
    </row>
    <row r="302" ht="15" customHeight="1">
      <c r="A302" t="inlineStr">
        <is>
          <t>A 32711-2024</t>
        </is>
      </c>
      <c r="B302" s="1" t="n">
        <v>45516</v>
      </c>
      <c r="C302" s="1" t="n">
        <v>46139</v>
      </c>
      <c r="D302" t="inlineStr">
        <is>
          <t>JÄMTLANDS LÄN</t>
        </is>
      </c>
      <c r="E302" t="inlineStr">
        <is>
          <t>BERG</t>
        </is>
      </c>
      <c r="G302" t="n">
        <v>0</v>
      </c>
      <c r="H302" t="n">
        <v>0</v>
      </c>
      <c r="I302" t="n">
        <v>0</v>
      </c>
      <c r="J302" t="n">
        <v>0</v>
      </c>
      <c r="K302" t="n">
        <v>0</v>
      </c>
      <c r="L302" t="n">
        <v>0</v>
      </c>
      <c r="M302" t="n">
        <v>0</v>
      </c>
      <c r="N302" t="n">
        <v>0</v>
      </c>
      <c r="O302" t="n">
        <v>0</v>
      </c>
      <c r="P302" t="n">
        <v>0</v>
      </c>
      <c r="Q302" t="n">
        <v>0</v>
      </c>
      <c r="R302" s="2" t="inlineStr"/>
    </row>
    <row r="303" ht="15" customHeight="1">
      <c r="A303" t="inlineStr">
        <is>
          <t>A 39004-2025</t>
        </is>
      </c>
      <c r="B303" s="1" t="n">
        <v>45888.34472222222</v>
      </c>
      <c r="C303" s="1" t="n">
        <v>46139</v>
      </c>
      <c r="D303" t="inlineStr">
        <is>
          <t>JÄMTLANDS LÄN</t>
        </is>
      </c>
      <c r="E303" t="inlineStr">
        <is>
          <t>BERG</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15992-2025</t>
        </is>
      </c>
      <c r="B304" s="1" t="n">
        <v>45749.58319444444</v>
      </c>
      <c r="C304" s="1" t="n">
        <v>46139</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17899-2024</t>
        </is>
      </c>
      <c r="B305" s="1" t="n">
        <v>45419.49334490741</v>
      </c>
      <c r="C305" s="1" t="n">
        <v>46139</v>
      </c>
      <c r="D305" t="inlineStr">
        <is>
          <t>JÄMTLANDS LÄN</t>
        </is>
      </c>
      <c r="E305" t="inlineStr">
        <is>
          <t>BERG</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17922-2024</t>
        </is>
      </c>
      <c r="B306" s="1" t="n">
        <v>45419.5853587963</v>
      </c>
      <c r="C306" s="1" t="n">
        <v>46139</v>
      </c>
      <c r="D306" t="inlineStr">
        <is>
          <t>JÄMTLANDS LÄN</t>
        </is>
      </c>
      <c r="E306" t="inlineStr">
        <is>
          <t>BERG</t>
        </is>
      </c>
      <c r="F306" t="inlineStr">
        <is>
          <t>Holmen skog AB</t>
        </is>
      </c>
      <c r="G306" t="n">
        <v>6.8</v>
      </c>
      <c r="H306" t="n">
        <v>0</v>
      </c>
      <c r="I306" t="n">
        <v>0</v>
      </c>
      <c r="J306" t="n">
        <v>0</v>
      </c>
      <c r="K306" t="n">
        <v>0</v>
      </c>
      <c r="L306" t="n">
        <v>0</v>
      </c>
      <c r="M306" t="n">
        <v>0</v>
      </c>
      <c r="N306" t="n">
        <v>0</v>
      </c>
      <c r="O306" t="n">
        <v>0</v>
      </c>
      <c r="P306" t="n">
        <v>0</v>
      </c>
      <c r="Q306" t="n">
        <v>0</v>
      </c>
      <c r="R306" s="2" t="inlineStr"/>
    </row>
    <row r="307" ht="15" customHeight="1">
      <c r="A307" t="inlineStr">
        <is>
          <t>A 46902-2024</t>
        </is>
      </c>
      <c r="B307" s="1" t="n">
        <v>45583.69847222222</v>
      </c>
      <c r="C307" s="1" t="n">
        <v>46139</v>
      </c>
      <c r="D307" t="inlineStr">
        <is>
          <t>JÄMTLANDS LÄN</t>
        </is>
      </c>
      <c r="E307" t="inlineStr">
        <is>
          <t>BERG</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14834-2025</t>
        </is>
      </c>
      <c r="B308" s="1" t="n">
        <v>45743.38224537037</v>
      </c>
      <c r="C308" s="1" t="n">
        <v>46139</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44911-2021</t>
        </is>
      </c>
      <c r="B309" s="1" t="n">
        <v>44435</v>
      </c>
      <c r="C309" s="1" t="n">
        <v>46139</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2472-2025</t>
        </is>
      </c>
      <c r="B310" s="1" t="n">
        <v>45674.47341435185</v>
      </c>
      <c r="C310" s="1" t="n">
        <v>46139</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39601-2025</t>
        </is>
      </c>
      <c r="B311" s="1" t="n">
        <v>45890.55284722222</v>
      </c>
      <c r="C311" s="1" t="n">
        <v>46139</v>
      </c>
      <c r="D311" t="inlineStr">
        <is>
          <t>JÄMTLANDS LÄN</t>
        </is>
      </c>
      <c r="E311" t="inlineStr">
        <is>
          <t>BERG</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4476-2025</t>
        </is>
      </c>
      <c r="B312" s="1" t="n">
        <v>45686.62828703703</v>
      </c>
      <c r="C312" s="1" t="n">
        <v>46139</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39698-2025</t>
        </is>
      </c>
      <c r="B313" s="1" t="n">
        <v>45890.69837962963</v>
      </c>
      <c r="C313" s="1" t="n">
        <v>46139</v>
      </c>
      <c r="D313" t="inlineStr">
        <is>
          <t>JÄMTLANDS LÄN</t>
        </is>
      </c>
      <c r="E313" t="inlineStr">
        <is>
          <t>BERG</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8239-2024</t>
        </is>
      </c>
      <c r="B314" s="1" t="n">
        <v>45351</v>
      </c>
      <c r="C314" s="1" t="n">
        <v>46139</v>
      </c>
      <c r="D314" t="inlineStr">
        <is>
          <t>JÄMTLANDS LÄN</t>
        </is>
      </c>
      <c r="E314" t="inlineStr">
        <is>
          <t>BERG</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18217-2023</t>
        </is>
      </c>
      <c r="B315" s="1" t="n">
        <v>45040</v>
      </c>
      <c r="C315" s="1" t="n">
        <v>46139</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39544-2025</t>
        </is>
      </c>
      <c r="B316" s="1" t="n">
        <v>45890.45547453704</v>
      </c>
      <c r="C316" s="1" t="n">
        <v>46139</v>
      </c>
      <c r="D316" t="inlineStr">
        <is>
          <t>JÄMTLANDS LÄN</t>
        </is>
      </c>
      <c r="E316" t="inlineStr">
        <is>
          <t>BERG</t>
        </is>
      </c>
      <c r="G316" t="n">
        <v>7.5</v>
      </c>
      <c r="H316" t="n">
        <v>0</v>
      </c>
      <c r="I316" t="n">
        <v>0</v>
      </c>
      <c r="J316" t="n">
        <v>0</v>
      </c>
      <c r="K316" t="n">
        <v>0</v>
      </c>
      <c r="L316" t="n">
        <v>0</v>
      </c>
      <c r="M316" t="n">
        <v>0</v>
      </c>
      <c r="N316" t="n">
        <v>0</v>
      </c>
      <c r="O316" t="n">
        <v>0</v>
      </c>
      <c r="P316" t="n">
        <v>0</v>
      </c>
      <c r="Q316" t="n">
        <v>0</v>
      </c>
      <c r="R316" s="2" t="inlineStr"/>
    </row>
    <row r="317" ht="15" customHeight="1">
      <c r="A317" t="inlineStr">
        <is>
          <t>A 39539-2025</t>
        </is>
      </c>
      <c r="B317" s="1" t="n">
        <v>45890.4525</v>
      </c>
      <c r="C317" s="1" t="n">
        <v>46139</v>
      </c>
      <c r="D317" t="inlineStr">
        <is>
          <t>JÄMTLANDS LÄN</t>
        </is>
      </c>
      <c r="E317" t="inlineStr">
        <is>
          <t>BERG</t>
        </is>
      </c>
      <c r="G317" t="n">
        <v>7.7</v>
      </c>
      <c r="H317" t="n">
        <v>0</v>
      </c>
      <c r="I317" t="n">
        <v>0</v>
      </c>
      <c r="J317" t="n">
        <v>0</v>
      </c>
      <c r="K317" t="n">
        <v>0</v>
      </c>
      <c r="L317" t="n">
        <v>0</v>
      </c>
      <c r="M317" t="n">
        <v>0</v>
      </c>
      <c r="N317" t="n">
        <v>0</v>
      </c>
      <c r="O317" t="n">
        <v>0</v>
      </c>
      <c r="P317" t="n">
        <v>0</v>
      </c>
      <c r="Q317" t="n">
        <v>0</v>
      </c>
      <c r="R317" s="2" t="inlineStr"/>
    </row>
    <row r="318" ht="15" customHeight="1">
      <c r="A318" t="inlineStr">
        <is>
          <t>A 40266-2025</t>
        </is>
      </c>
      <c r="B318" s="1" t="n">
        <v>45895.34478009259</v>
      </c>
      <c r="C318" s="1" t="n">
        <v>46139</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40060-2025</t>
        </is>
      </c>
      <c r="B319" s="1" t="n">
        <v>45894.42746527777</v>
      </c>
      <c r="C319" s="1" t="n">
        <v>46139</v>
      </c>
      <c r="D319" t="inlineStr">
        <is>
          <t>JÄMTLANDS LÄN</t>
        </is>
      </c>
      <c r="E319" t="inlineStr">
        <is>
          <t>BERG</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40410-2025</t>
        </is>
      </c>
      <c r="B320" s="1" t="n">
        <v>45895.57349537037</v>
      </c>
      <c r="C320" s="1" t="n">
        <v>46139</v>
      </c>
      <c r="D320" t="inlineStr">
        <is>
          <t>JÄMTLANDS LÄN</t>
        </is>
      </c>
      <c r="E320" t="inlineStr">
        <is>
          <t>BERG</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40341-2025</t>
        </is>
      </c>
      <c r="B321" s="1" t="n">
        <v>45895</v>
      </c>
      <c r="C321" s="1" t="n">
        <v>46139</v>
      </c>
      <c r="D321" t="inlineStr">
        <is>
          <t>JÄMTLANDS LÄN</t>
        </is>
      </c>
      <c r="E321" t="inlineStr">
        <is>
          <t>BERG</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63819-2023</t>
        </is>
      </c>
      <c r="B322" s="1" t="n">
        <v>45278.44128472222</v>
      </c>
      <c r="C322" s="1" t="n">
        <v>46139</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64490-2023</t>
        </is>
      </c>
      <c r="B323" s="1" t="n">
        <v>45280</v>
      </c>
      <c r="C323" s="1" t="n">
        <v>46139</v>
      </c>
      <c r="D323" t="inlineStr">
        <is>
          <t>JÄMTLANDS LÄN</t>
        </is>
      </c>
      <c r="E323" t="inlineStr">
        <is>
          <t>BERG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65207-2023</t>
        </is>
      </c>
      <c r="B324" s="1" t="n">
        <v>45289</v>
      </c>
      <c r="C324" s="1" t="n">
        <v>46139</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44313-2023</t>
        </is>
      </c>
      <c r="B325" s="1" t="n">
        <v>45188.6505787037</v>
      </c>
      <c r="C325" s="1" t="n">
        <v>46139</v>
      </c>
      <c r="D325" t="inlineStr">
        <is>
          <t>JÄMTLANDS LÄN</t>
        </is>
      </c>
      <c r="E325" t="inlineStr">
        <is>
          <t>BERG</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40918-2025</t>
        </is>
      </c>
      <c r="B326" s="1" t="n">
        <v>45897.6292824074</v>
      </c>
      <c r="C326" s="1" t="n">
        <v>46139</v>
      </c>
      <c r="D326" t="inlineStr">
        <is>
          <t>JÄMTLANDS LÄN</t>
        </is>
      </c>
      <c r="E326" t="inlineStr">
        <is>
          <t>BERG</t>
        </is>
      </c>
      <c r="G326" t="n">
        <v>1.7</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46139</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3419-2025</t>
        </is>
      </c>
      <c r="B328" s="1" t="n">
        <v>45680.4165625</v>
      </c>
      <c r="C328" s="1" t="n">
        <v>46139</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40737-2025</t>
        </is>
      </c>
      <c r="B329" s="1" t="n">
        <v>45897.36572916667</v>
      </c>
      <c r="C329" s="1" t="n">
        <v>46139</v>
      </c>
      <c r="D329" t="inlineStr">
        <is>
          <t>JÄMTLANDS LÄN</t>
        </is>
      </c>
      <c r="E329" t="inlineStr">
        <is>
          <t>BERG</t>
        </is>
      </c>
      <c r="G329" t="n">
        <v>2.8</v>
      </c>
      <c r="H329" t="n">
        <v>0</v>
      </c>
      <c r="I329" t="n">
        <v>0</v>
      </c>
      <c r="J329" t="n">
        <v>0</v>
      </c>
      <c r="K329" t="n">
        <v>0</v>
      </c>
      <c r="L329" t="n">
        <v>0</v>
      </c>
      <c r="M329" t="n">
        <v>0</v>
      </c>
      <c r="N329" t="n">
        <v>0</v>
      </c>
      <c r="O329" t="n">
        <v>0</v>
      </c>
      <c r="P329" t="n">
        <v>0</v>
      </c>
      <c r="Q329" t="n">
        <v>0</v>
      </c>
      <c r="R329" s="2" t="inlineStr"/>
    </row>
    <row r="330" ht="15" customHeight="1">
      <c r="A330" t="inlineStr">
        <is>
          <t>A 51172-2024</t>
        </is>
      </c>
      <c r="B330" s="1" t="n">
        <v>45603.59056712963</v>
      </c>
      <c r="C330" s="1" t="n">
        <v>46139</v>
      </c>
      <c r="D330" t="inlineStr">
        <is>
          <t>JÄMTLANDS LÄN</t>
        </is>
      </c>
      <c r="E330" t="inlineStr">
        <is>
          <t>BERG</t>
        </is>
      </c>
      <c r="G330" t="n">
        <v>12.2</v>
      </c>
      <c r="H330" t="n">
        <v>0</v>
      </c>
      <c r="I330" t="n">
        <v>0</v>
      </c>
      <c r="J330" t="n">
        <v>0</v>
      </c>
      <c r="K330" t="n">
        <v>0</v>
      </c>
      <c r="L330" t="n">
        <v>0</v>
      </c>
      <c r="M330" t="n">
        <v>0</v>
      </c>
      <c r="N330" t="n">
        <v>0</v>
      </c>
      <c r="O330" t="n">
        <v>0</v>
      </c>
      <c r="P330" t="n">
        <v>0</v>
      </c>
      <c r="Q330" t="n">
        <v>0</v>
      </c>
      <c r="R330" s="2" t="inlineStr"/>
    </row>
    <row r="331" ht="15" customHeight="1">
      <c r="A331" t="inlineStr">
        <is>
          <t>A 29540-2024</t>
        </is>
      </c>
      <c r="B331" s="1" t="n">
        <v>45484</v>
      </c>
      <c r="C331" s="1" t="n">
        <v>46139</v>
      </c>
      <c r="D331" t="inlineStr">
        <is>
          <t>JÄMTLANDS LÄN</t>
        </is>
      </c>
      <c r="E331" t="inlineStr">
        <is>
          <t>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54799-2021</t>
        </is>
      </c>
      <c r="B332" s="1" t="n">
        <v>44473</v>
      </c>
      <c r="C332" s="1" t="n">
        <v>46139</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40630-2025</t>
        </is>
      </c>
      <c r="B333" s="1" t="n">
        <v>45896</v>
      </c>
      <c r="C333" s="1" t="n">
        <v>46139</v>
      </c>
      <c r="D333" t="inlineStr">
        <is>
          <t>JÄMTLANDS LÄN</t>
        </is>
      </c>
      <c r="E333" t="inlineStr">
        <is>
          <t>BERG</t>
        </is>
      </c>
      <c r="G333" t="n">
        <v>2.1</v>
      </c>
      <c r="H333" t="n">
        <v>0</v>
      </c>
      <c r="I333" t="n">
        <v>0</v>
      </c>
      <c r="J333" t="n">
        <v>0</v>
      </c>
      <c r="K333" t="n">
        <v>0</v>
      </c>
      <c r="L333" t="n">
        <v>0</v>
      </c>
      <c r="M333" t="n">
        <v>0</v>
      </c>
      <c r="N333" t="n">
        <v>0</v>
      </c>
      <c r="O333" t="n">
        <v>0</v>
      </c>
      <c r="P333" t="n">
        <v>0</v>
      </c>
      <c r="Q333" t="n">
        <v>0</v>
      </c>
      <c r="R333" s="2" t="inlineStr"/>
    </row>
    <row r="334" ht="15" customHeight="1">
      <c r="A334" t="inlineStr">
        <is>
          <t>A 40708-2025</t>
        </is>
      </c>
      <c r="B334" s="1" t="n">
        <v>45897</v>
      </c>
      <c r="C334" s="1" t="n">
        <v>46139</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40873-2025</t>
        </is>
      </c>
      <c r="B335" s="1" t="n">
        <v>45897.5744675926</v>
      </c>
      <c r="C335" s="1" t="n">
        <v>46139</v>
      </c>
      <c r="D335" t="inlineStr">
        <is>
          <t>JÄMTLANDS LÄN</t>
        </is>
      </c>
      <c r="E335" t="inlineStr">
        <is>
          <t>BERG</t>
        </is>
      </c>
      <c r="G335" t="n">
        <v>0.6</v>
      </c>
      <c r="H335" t="n">
        <v>0</v>
      </c>
      <c r="I335" t="n">
        <v>0</v>
      </c>
      <c r="J335" t="n">
        <v>0</v>
      </c>
      <c r="K335" t="n">
        <v>0</v>
      </c>
      <c r="L335" t="n">
        <v>0</v>
      </c>
      <c r="M335" t="n">
        <v>0</v>
      </c>
      <c r="N335" t="n">
        <v>0</v>
      </c>
      <c r="O335" t="n">
        <v>0</v>
      </c>
      <c r="P335" t="n">
        <v>0</v>
      </c>
      <c r="Q335" t="n">
        <v>0</v>
      </c>
      <c r="R335" s="2" t="inlineStr"/>
    </row>
    <row r="336" ht="15" customHeight="1">
      <c r="A336" t="inlineStr">
        <is>
          <t>A 40617-2025</t>
        </is>
      </c>
      <c r="B336" s="1" t="n">
        <v>45896.58326388889</v>
      </c>
      <c r="C336" s="1" t="n">
        <v>46139</v>
      </c>
      <c r="D336" t="inlineStr">
        <is>
          <t>JÄMTLANDS LÄN</t>
        </is>
      </c>
      <c r="E336" t="inlineStr">
        <is>
          <t>BERG</t>
        </is>
      </c>
      <c r="G336" t="n">
        <v>3.5</v>
      </c>
      <c r="H336" t="n">
        <v>0</v>
      </c>
      <c r="I336" t="n">
        <v>0</v>
      </c>
      <c r="J336" t="n">
        <v>0</v>
      </c>
      <c r="K336" t="n">
        <v>0</v>
      </c>
      <c r="L336" t="n">
        <v>0</v>
      </c>
      <c r="M336" t="n">
        <v>0</v>
      </c>
      <c r="N336" t="n">
        <v>0</v>
      </c>
      <c r="O336" t="n">
        <v>0</v>
      </c>
      <c r="P336" t="n">
        <v>0</v>
      </c>
      <c r="Q336" t="n">
        <v>0</v>
      </c>
      <c r="R336" s="2" t="inlineStr"/>
    </row>
    <row r="337" ht="15" customHeight="1">
      <c r="A337" t="inlineStr">
        <is>
          <t>A 65210-2023</t>
        </is>
      </c>
      <c r="B337" s="1" t="n">
        <v>45289</v>
      </c>
      <c r="C337" s="1" t="n">
        <v>46139</v>
      </c>
      <c r="D337" t="inlineStr">
        <is>
          <t>JÄMTLANDS LÄN</t>
        </is>
      </c>
      <c r="E337" t="inlineStr">
        <is>
          <t>BERG</t>
        </is>
      </c>
      <c r="G337" t="n">
        <v>0.4</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46139</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12392-2025</t>
        </is>
      </c>
      <c r="B339" s="1" t="n">
        <v>45730.40104166666</v>
      </c>
      <c r="C339" s="1" t="n">
        <v>46139</v>
      </c>
      <c r="D339" t="inlineStr">
        <is>
          <t>JÄMTLANDS LÄN</t>
        </is>
      </c>
      <c r="E339" t="inlineStr">
        <is>
          <t>BERG</t>
        </is>
      </c>
      <c r="G339" t="n">
        <v>5.1</v>
      </c>
      <c r="H339" t="n">
        <v>0</v>
      </c>
      <c r="I339" t="n">
        <v>0</v>
      </c>
      <c r="J339" t="n">
        <v>0</v>
      </c>
      <c r="K339" t="n">
        <v>0</v>
      </c>
      <c r="L339" t="n">
        <v>0</v>
      </c>
      <c r="M339" t="n">
        <v>0</v>
      </c>
      <c r="N339" t="n">
        <v>0</v>
      </c>
      <c r="O339" t="n">
        <v>0</v>
      </c>
      <c r="P339" t="n">
        <v>0</v>
      </c>
      <c r="Q339" t="n">
        <v>0</v>
      </c>
      <c r="R339" s="2" t="inlineStr"/>
    </row>
    <row r="340" ht="15" customHeight="1">
      <c r="A340" t="inlineStr">
        <is>
          <t>A 64251-2023</t>
        </is>
      </c>
      <c r="B340" s="1" t="n">
        <v>45279.92756944444</v>
      </c>
      <c r="C340" s="1" t="n">
        <v>46139</v>
      </c>
      <c r="D340" t="inlineStr">
        <is>
          <t>JÄMTLANDS LÄN</t>
        </is>
      </c>
      <c r="E340" t="inlineStr">
        <is>
          <t>BERG</t>
        </is>
      </c>
      <c r="G340" t="n">
        <v>0.4</v>
      </c>
      <c r="H340" t="n">
        <v>0</v>
      </c>
      <c r="I340" t="n">
        <v>0</v>
      </c>
      <c r="J340" t="n">
        <v>0</v>
      </c>
      <c r="K340" t="n">
        <v>0</v>
      </c>
      <c r="L340" t="n">
        <v>0</v>
      </c>
      <c r="M340" t="n">
        <v>0</v>
      </c>
      <c r="N340" t="n">
        <v>0</v>
      </c>
      <c r="O340" t="n">
        <v>0</v>
      </c>
      <c r="P340" t="n">
        <v>0</v>
      </c>
      <c r="Q340" t="n">
        <v>0</v>
      </c>
      <c r="R340" s="2" t="inlineStr"/>
    </row>
    <row r="341" ht="15" customHeight="1">
      <c r="A341" t="inlineStr">
        <is>
          <t>A 33481-2023</t>
        </is>
      </c>
      <c r="B341" s="1" t="n">
        <v>45131</v>
      </c>
      <c r="C341" s="1" t="n">
        <v>46139</v>
      </c>
      <c r="D341" t="inlineStr">
        <is>
          <t>JÄMTLANDS LÄN</t>
        </is>
      </c>
      <c r="E341" t="inlineStr">
        <is>
          <t>BERG</t>
        </is>
      </c>
      <c r="F341" t="inlineStr">
        <is>
          <t>Sveaskog</t>
        </is>
      </c>
      <c r="G341" t="n">
        <v>4</v>
      </c>
      <c r="H341" t="n">
        <v>0</v>
      </c>
      <c r="I341" t="n">
        <v>0</v>
      </c>
      <c r="J341" t="n">
        <v>0</v>
      </c>
      <c r="K341" t="n">
        <v>0</v>
      </c>
      <c r="L341" t="n">
        <v>0</v>
      </c>
      <c r="M341" t="n">
        <v>0</v>
      </c>
      <c r="N341" t="n">
        <v>0</v>
      </c>
      <c r="O341" t="n">
        <v>0</v>
      </c>
      <c r="P341" t="n">
        <v>0</v>
      </c>
      <c r="Q341" t="n">
        <v>0</v>
      </c>
      <c r="R341" s="2" t="inlineStr"/>
    </row>
    <row r="342" ht="15" customHeight="1">
      <c r="A342" t="inlineStr">
        <is>
          <t>A 19181-2025</t>
        </is>
      </c>
      <c r="B342" s="1" t="n">
        <v>45769.40174768519</v>
      </c>
      <c r="C342" s="1" t="n">
        <v>46139</v>
      </c>
      <c r="D342" t="inlineStr">
        <is>
          <t>JÄMTLANDS LÄN</t>
        </is>
      </c>
      <c r="E342" t="inlineStr">
        <is>
          <t>BERG</t>
        </is>
      </c>
      <c r="G342" t="n">
        <v>4.4</v>
      </c>
      <c r="H342" t="n">
        <v>0</v>
      </c>
      <c r="I342" t="n">
        <v>0</v>
      </c>
      <c r="J342" t="n">
        <v>0</v>
      </c>
      <c r="K342" t="n">
        <v>0</v>
      </c>
      <c r="L342" t="n">
        <v>0</v>
      </c>
      <c r="M342" t="n">
        <v>0</v>
      </c>
      <c r="N342" t="n">
        <v>0</v>
      </c>
      <c r="O342" t="n">
        <v>0</v>
      </c>
      <c r="P342" t="n">
        <v>0</v>
      </c>
      <c r="Q342" t="n">
        <v>0</v>
      </c>
      <c r="R342" s="2" t="inlineStr"/>
    </row>
    <row r="343" ht="15" customHeight="1">
      <c r="A343" t="inlineStr">
        <is>
          <t>A 19891-2025</t>
        </is>
      </c>
      <c r="B343" s="1" t="n">
        <v>45771.5743287037</v>
      </c>
      <c r="C343" s="1" t="n">
        <v>46139</v>
      </c>
      <c r="D343" t="inlineStr">
        <is>
          <t>JÄMTLANDS LÄN</t>
        </is>
      </c>
      <c r="E343" t="inlineStr">
        <is>
          <t>BERG</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41247-2025</t>
        </is>
      </c>
      <c r="B344" s="1" t="n">
        <v>45898.60109953704</v>
      </c>
      <c r="C344" s="1" t="n">
        <v>46139</v>
      </c>
      <c r="D344" t="inlineStr">
        <is>
          <t>JÄMTLANDS LÄN</t>
        </is>
      </c>
      <c r="E344" t="inlineStr">
        <is>
          <t>BERG</t>
        </is>
      </c>
      <c r="G344" t="n">
        <v>17.5</v>
      </c>
      <c r="H344" t="n">
        <v>0</v>
      </c>
      <c r="I344" t="n">
        <v>0</v>
      </c>
      <c r="J344" t="n">
        <v>0</v>
      </c>
      <c r="K344" t="n">
        <v>0</v>
      </c>
      <c r="L344" t="n">
        <v>0</v>
      </c>
      <c r="M344" t="n">
        <v>0</v>
      </c>
      <c r="N344" t="n">
        <v>0</v>
      </c>
      <c r="O344" t="n">
        <v>0</v>
      </c>
      <c r="P344" t="n">
        <v>0</v>
      </c>
      <c r="Q344" t="n">
        <v>0</v>
      </c>
      <c r="R344" s="2" t="inlineStr"/>
    </row>
    <row r="345" ht="15" customHeight="1">
      <c r="A345" t="inlineStr">
        <is>
          <t>A 41263-2025</t>
        </is>
      </c>
      <c r="B345" s="1" t="n">
        <v>45898.61517361111</v>
      </c>
      <c r="C345" s="1" t="n">
        <v>46139</v>
      </c>
      <c r="D345" t="inlineStr">
        <is>
          <t>JÄMTLANDS LÄN</t>
        </is>
      </c>
      <c r="E345" t="inlineStr">
        <is>
          <t>BERG</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46139</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14341-2025</t>
        </is>
      </c>
      <c r="B347" s="1" t="n">
        <v>45741.26008101852</v>
      </c>
      <c r="C347" s="1" t="n">
        <v>46139</v>
      </c>
      <c r="D347" t="inlineStr">
        <is>
          <t>JÄMTLANDS LÄN</t>
        </is>
      </c>
      <c r="E347" t="inlineStr">
        <is>
          <t>BERG</t>
        </is>
      </c>
      <c r="G347" t="n">
        <v>3.8</v>
      </c>
      <c r="H347" t="n">
        <v>0</v>
      </c>
      <c r="I347" t="n">
        <v>0</v>
      </c>
      <c r="J347" t="n">
        <v>0</v>
      </c>
      <c r="K347" t="n">
        <v>0</v>
      </c>
      <c r="L347" t="n">
        <v>0</v>
      </c>
      <c r="M347" t="n">
        <v>0</v>
      </c>
      <c r="N347" t="n">
        <v>0</v>
      </c>
      <c r="O347" t="n">
        <v>0</v>
      </c>
      <c r="P347" t="n">
        <v>0</v>
      </c>
      <c r="Q347" t="n">
        <v>0</v>
      </c>
      <c r="R347" s="2" t="inlineStr"/>
    </row>
    <row r="348" ht="15" customHeight="1">
      <c r="A348" t="inlineStr">
        <is>
          <t>A 41295-2025</t>
        </is>
      </c>
      <c r="B348" s="1" t="n">
        <v>45898.65660879629</v>
      </c>
      <c r="C348" s="1" t="n">
        <v>46139</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59634-2022</t>
        </is>
      </c>
      <c r="B349" s="1" t="n">
        <v>44907.9645949074</v>
      </c>
      <c r="C349" s="1" t="n">
        <v>46139</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46139</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46816-2023</t>
        </is>
      </c>
      <c r="B351" s="1" t="n">
        <v>45198</v>
      </c>
      <c r="C351" s="1" t="n">
        <v>46139</v>
      </c>
      <c r="D351" t="inlineStr">
        <is>
          <t>JÄMTLANDS LÄN</t>
        </is>
      </c>
      <c r="E351" t="inlineStr">
        <is>
          <t>BERG</t>
        </is>
      </c>
      <c r="F351" t="inlineStr">
        <is>
          <t>SCA</t>
        </is>
      </c>
      <c r="G351" t="n">
        <v>66.2</v>
      </c>
      <c r="H351" t="n">
        <v>0</v>
      </c>
      <c r="I351" t="n">
        <v>0</v>
      </c>
      <c r="J351" t="n">
        <v>0</v>
      </c>
      <c r="K351" t="n">
        <v>0</v>
      </c>
      <c r="L351" t="n">
        <v>0</v>
      </c>
      <c r="M351" t="n">
        <v>0</v>
      </c>
      <c r="N351" t="n">
        <v>0</v>
      </c>
      <c r="O351" t="n">
        <v>0</v>
      </c>
      <c r="P351" t="n">
        <v>0</v>
      </c>
      <c r="Q351" t="n">
        <v>0</v>
      </c>
      <c r="R351" s="2" t="inlineStr"/>
    </row>
    <row r="352" ht="15" customHeight="1">
      <c r="A352" t="inlineStr">
        <is>
          <t>A 41265-2025</t>
        </is>
      </c>
      <c r="B352" s="1" t="n">
        <v>45898.6153587963</v>
      </c>
      <c r="C352" s="1" t="n">
        <v>46139</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46139</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46139</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49555-2023</t>
        </is>
      </c>
      <c r="B355" s="1" t="n">
        <v>45205</v>
      </c>
      <c r="C355" s="1" t="n">
        <v>46139</v>
      </c>
      <c r="D355" t="inlineStr">
        <is>
          <t>JÄMTLANDS LÄN</t>
        </is>
      </c>
      <c r="E355" t="inlineStr">
        <is>
          <t>BERG</t>
        </is>
      </c>
      <c r="G355" t="n">
        <v>0.6</v>
      </c>
      <c r="H355" t="n">
        <v>0</v>
      </c>
      <c r="I355" t="n">
        <v>0</v>
      </c>
      <c r="J355" t="n">
        <v>0</v>
      </c>
      <c r="K355" t="n">
        <v>0</v>
      </c>
      <c r="L355" t="n">
        <v>0</v>
      </c>
      <c r="M355" t="n">
        <v>0</v>
      </c>
      <c r="N355" t="n">
        <v>0</v>
      </c>
      <c r="O355" t="n">
        <v>0</v>
      </c>
      <c r="P355" t="n">
        <v>0</v>
      </c>
      <c r="Q355" t="n">
        <v>0</v>
      </c>
      <c r="R355" s="2" t="inlineStr"/>
    </row>
    <row r="356" ht="15" customHeight="1">
      <c r="A356" t="inlineStr">
        <is>
          <t>A 18007-2024</t>
        </is>
      </c>
      <c r="B356" s="1" t="n">
        <v>45419.94912037037</v>
      </c>
      <c r="C356" s="1" t="n">
        <v>46139</v>
      </c>
      <c r="D356" t="inlineStr">
        <is>
          <t>JÄMTLANDS LÄN</t>
        </is>
      </c>
      <c r="E356" t="inlineStr">
        <is>
          <t>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42003-2025</t>
        </is>
      </c>
      <c r="B357" s="1" t="n">
        <v>45903.55403935185</v>
      </c>
      <c r="C357" s="1" t="n">
        <v>46139</v>
      </c>
      <c r="D357" t="inlineStr">
        <is>
          <t>JÄMTLANDS LÄN</t>
        </is>
      </c>
      <c r="E357" t="inlineStr">
        <is>
          <t>BERG</t>
        </is>
      </c>
      <c r="F357" t="inlineStr">
        <is>
          <t>Övriga statliga verk och myndigheter</t>
        </is>
      </c>
      <c r="G357" t="n">
        <v>10.5</v>
      </c>
      <c r="H357" t="n">
        <v>0</v>
      </c>
      <c r="I357" t="n">
        <v>0</v>
      </c>
      <c r="J357" t="n">
        <v>0</v>
      </c>
      <c r="K357" t="n">
        <v>0</v>
      </c>
      <c r="L357" t="n">
        <v>0</v>
      </c>
      <c r="M357" t="n">
        <v>0</v>
      </c>
      <c r="N357" t="n">
        <v>0</v>
      </c>
      <c r="O357" t="n">
        <v>0</v>
      </c>
      <c r="P357" t="n">
        <v>0</v>
      </c>
      <c r="Q357" t="n">
        <v>0</v>
      </c>
      <c r="R357" s="2" t="inlineStr"/>
    </row>
    <row r="358" ht="15" customHeight="1">
      <c r="A358" t="inlineStr">
        <is>
          <t>A 41930-2025</t>
        </is>
      </c>
      <c r="B358" s="1" t="n">
        <v>45903.43454861111</v>
      </c>
      <c r="C358" s="1" t="n">
        <v>46139</v>
      </c>
      <c r="D358" t="inlineStr">
        <is>
          <t>JÄMTLANDS LÄN</t>
        </is>
      </c>
      <c r="E358" t="inlineStr">
        <is>
          <t>BERG</t>
        </is>
      </c>
      <c r="F358" t="inlineStr">
        <is>
          <t>Övriga statliga verk och myndigheter</t>
        </is>
      </c>
      <c r="G358" t="n">
        <v>2.4</v>
      </c>
      <c r="H358" t="n">
        <v>0</v>
      </c>
      <c r="I358" t="n">
        <v>0</v>
      </c>
      <c r="J358" t="n">
        <v>0</v>
      </c>
      <c r="K358" t="n">
        <v>0</v>
      </c>
      <c r="L358" t="n">
        <v>0</v>
      </c>
      <c r="M358" t="n">
        <v>0</v>
      </c>
      <c r="N358" t="n">
        <v>0</v>
      </c>
      <c r="O358" t="n">
        <v>0</v>
      </c>
      <c r="P358" t="n">
        <v>0</v>
      </c>
      <c r="Q358" t="n">
        <v>0</v>
      </c>
      <c r="R358" s="2" t="inlineStr"/>
    </row>
    <row r="359" ht="15" customHeight="1">
      <c r="A359" t="inlineStr">
        <is>
          <t>A 41997-2025</t>
        </is>
      </c>
      <c r="B359" s="1" t="n">
        <v>45903.55162037037</v>
      </c>
      <c r="C359" s="1" t="n">
        <v>46139</v>
      </c>
      <c r="D359" t="inlineStr">
        <is>
          <t>JÄMTLANDS LÄN</t>
        </is>
      </c>
      <c r="E359" t="inlineStr">
        <is>
          <t>BERG</t>
        </is>
      </c>
      <c r="F359" t="inlineStr">
        <is>
          <t>Övriga statliga verk och myndigheter</t>
        </is>
      </c>
      <c r="G359" t="n">
        <v>2.2</v>
      </c>
      <c r="H359" t="n">
        <v>0</v>
      </c>
      <c r="I359" t="n">
        <v>0</v>
      </c>
      <c r="J359" t="n">
        <v>0</v>
      </c>
      <c r="K359" t="n">
        <v>0</v>
      </c>
      <c r="L359" t="n">
        <v>0</v>
      </c>
      <c r="M359" t="n">
        <v>0</v>
      </c>
      <c r="N359" t="n">
        <v>0</v>
      </c>
      <c r="O359" t="n">
        <v>0</v>
      </c>
      <c r="P359" t="n">
        <v>0</v>
      </c>
      <c r="Q359" t="n">
        <v>0</v>
      </c>
      <c r="R359" s="2" t="inlineStr"/>
    </row>
    <row r="360" ht="15" customHeight="1">
      <c r="A360" t="inlineStr">
        <is>
          <t>A 59521-2024</t>
        </is>
      </c>
      <c r="B360" s="1" t="n">
        <v>45638.57283564815</v>
      </c>
      <c r="C360" s="1" t="n">
        <v>46139</v>
      </c>
      <c r="D360" t="inlineStr">
        <is>
          <t>JÄMTLANDS LÄN</t>
        </is>
      </c>
      <c r="E360" t="inlineStr">
        <is>
          <t>BERG</t>
        </is>
      </c>
      <c r="G360" t="n">
        <v>2.1</v>
      </c>
      <c r="H360" t="n">
        <v>0</v>
      </c>
      <c r="I360" t="n">
        <v>0</v>
      </c>
      <c r="J360" t="n">
        <v>0</v>
      </c>
      <c r="K360" t="n">
        <v>0</v>
      </c>
      <c r="L360" t="n">
        <v>0</v>
      </c>
      <c r="M360" t="n">
        <v>0</v>
      </c>
      <c r="N360" t="n">
        <v>0</v>
      </c>
      <c r="O360" t="n">
        <v>0</v>
      </c>
      <c r="P360" t="n">
        <v>0</v>
      </c>
      <c r="Q360" t="n">
        <v>0</v>
      </c>
      <c r="R360" s="2" t="inlineStr"/>
    </row>
    <row r="361" ht="15" customHeight="1">
      <c r="A361" t="inlineStr">
        <is>
          <t>A 19513-2025</t>
        </is>
      </c>
      <c r="B361" s="1" t="n">
        <v>45770.42762731481</v>
      </c>
      <c r="C361" s="1" t="n">
        <v>46139</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3842-2023</t>
        </is>
      </c>
      <c r="B362" s="1" t="n">
        <v>44951</v>
      </c>
      <c r="C362" s="1" t="n">
        <v>46139</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31024-2025</t>
        </is>
      </c>
      <c r="B363" s="1" t="n">
        <v>45832.52571759259</v>
      </c>
      <c r="C363" s="1" t="n">
        <v>46139</v>
      </c>
      <c r="D363" t="inlineStr">
        <is>
          <t>JÄMTLANDS LÄN</t>
        </is>
      </c>
      <c r="E363" t="inlineStr">
        <is>
          <t>BERG</t>
        </is>
      </c>
      <c r="G363" t="n">
        <v>3.6</v>
      </c>
      <c r="H363" t="n">
        <v>0</v>
      </c>
      <c r="I363" t="n">
        <v>0</v>
      </c>
      <c r="J363" t="n">
        <v>0</v>
      </c>
      <c r="K363" t="n">
        <v>0</v>
      </c>
      <c r="L363" t="n">
        <v>0</v>
      </c>
      <c r="M363" t="n">
        <v>0</v>
      </c>
      <c r="N363" t="n">
        <v>0</v>
      </c>
      <c r="O363" t="n">
        <v>0</v>
      </c>
      <c r="P363" t="n">
        <v>0</v>
      </c>
      <c r="Q363" t="n">
        <v>0</v>
      </c>
      <c r="R363" s="2" t="inlineStr"/>
    </row>
    <row r="364" ht="15" customHeight="1">
      <c r="A364" t="inlineStr">
        <is>
          <t>A 42415-2025</t>
        </is>
      </c>
      <c r="B364" s="1" t="n">
        <v>45905.39195601852</v>
      </c>
      <c r="C364" s="1" t="n">
        <v>46139</v>
      </c>
      <c r="D364" t="inlineStr">
        <is>
          <t>JÄMTLANDS LÄN</t>
        </is>
      </c>
      <c r="E364" t="inlineStr">
        <is>
          <t>BERG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59526-2024</t>
        </is>
      </c>
      <c r="B365" s="1" t="n">
        <v>45638.58019675926</v>
      </c>
      <c r="C365" s="1" t="n">
        <v>46139</v>
      </c>
      <c r="D365" t="inlineStr">
        <is>
          <t>JÄMTLANDS LÄN</t>
        </is>
      </c>
      <c r="E365" t="inlineStr">
        <is>
          <t>BERG</t>
        </is>
      </c>
      <c r="G365" t="n">
        <v>1</v>
      </c>
      <c r="H365" t="n">
        <v>0</v>
      </c>
      <c r="I365" t="n">
        <v>0</v>
      </c>
      <c r="J365" t="n">
        <v>0</v>
      </c>
      <c r="K365" t="n">
        <v>0</v>
      </c>
      <c r="L365" t="n">
        <v>0</v>
      </c>
      <c r="M365" t="n">
        <v>0</v>
      </c>
      <c r="N365" t="n">
        <v>0</v>
      </c>
      <c r="O365" t="n">
        <v>0</v>
      </c>
      <c r="P365" t="n">
        <v>0</v>
      </c>
      <c r="Q365" t="n">
        <v>0</v>
      </c>
      <c r="R365" s="2" t="inlineStr"/>
    </row>
    <row r="366" ht="15" customHeight="1">
      <c r="A366" t="inlineStr">
        <is>
          <t>A 42378-2025</t>
        </is>
      </c>
      <c r="B366" s="1" t="n">
        <v>45905.34423611111</v>
      </c>
      <c r="C366" s="1" t="n">
        <v>46139</v>
      </c>
      <c r="D366" t="inlineStr">
        <is>
          <t>JÄMTLANDS LÄN</t>
        </is>
      </c>
      <c r="E366" t="inlineStr">
        <is>
          <t>BERG</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42439-2025</t>
        </is>
      </c>
      <c r="B367" s="1" t="n">
        <v>45905.42969907408</v>
      </c>
      <c r="C367" s="1" t="n">
        <v>46139</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29511-2021</t>
        </is>
      </c>
      <c r="B368" s="1" t="n">
        <v>44361</v>
      </c>
      <c r="C368" s="1" t="n">
        <v>46139</v>
      </c>
      <c r="D368" t="inlineStr">
        <is>
          <t>JÄMTLANDS LÄN</t>
        </is>
      </c>
      <c r="E368" t="inlineStr">
        <is>
          <t>BERG</t>
        </is>
      </c>
      <c r="G368" t="n">
        <v>5.6</v>
      </c>
      <c r="H368" t="n">
        <v>0</v>
      </c>
      <c r="I368" t="n">
        <v>0</v>
      </c>
      <c r="J368" t="n">
        <v>0</v>
      </c>
      <c r="K368" t="n">
        <v>0</v>
      </c>
      <c r="L368" t="n">
        <v>0</v>
      </c>
      <c r="M368" t="n">
        <v>0</v>
      </c>
      <c r="N368" t="n">
        <v>0</v>
      </c>
      <c r="O368" t="n">
        <v>0</v>
      </c>
      <c r="P368" t="n">
        <v>0</v>
      </c>
      <c r="Q368" t="n">
        <v>0</v>
      </c>
      <c r="R368" s="2" t="inlineStr"/>
    </row>
    <row r="369" ht="15" customHeight="1">
      <c r="A369" t="inlineStr">
        <is>
          <t>A 9478-2024</t>
        </is>
      </c>
      <c r="B369" s="1" t="n">
        <v>45359.5732175926</v>
      </c>
      <c r="C369" s="1" t="n">
        <v>46139</v>
      </c>
      <c r="D369" t="inlineStr">
        <is>
          <t>JÄMTLANDS LÄN</t>
        </is>
      </c>
      <c r="E369" t="inlineStr">
        <is>
          <t>BERG</t>
        </is>
      </c>
      <c r="G369" t="n">
        <v>6.2</v>
      </c>
      <c r="H369" t="n">
        <v>0</v>
      </c>
      <c r="I369" t="n">
        <v>0</v>
      </c>
      <c r="J369" t="n">
        <v>0</v>
      </c>
      <c r="K369" t="n">
        <v>0</v>
      </c>
      <c r="L369" t="n">
        <v>0</v>
      </c>
      <c r="M369" t="n">
        <v>0</v>
      </c>
      <c r="N369" t="n">
        <v>0</v>
      </c>
      <c r="O369" t="n">
        <v>0</v>
      </c>
      <c r="P369" t="n">
        <v>0</v>
      </c>
      <c r="Q369" t="n">
        <v>0</v>
      </c>
      <c r="R369" s="2" t="inlineStr"/>
    </row>
    <row r="370" ht="15" customHeight="1">
      <c r="A370" t="inlineStr">
        <is>
          <t>A 21156-2025</t>
        </is>
      </c>
      <c r="B370" s="1" t="n">
        <v>45779.37599537037</v>
      </c>
      <c r="C370" s="1" t="n">
        <v>46139</v>
      </c>
      <c r="D370" t="inlineStr">
        <is>
          <t>JÄMTLANDS LÄN</t>
        </is>
      </c>
      <c r="E370" t="inlineStr">
        <is>
          <t>BERG</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46139</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46139</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8711-2024</t>
        </is>
      </c>
      <c r="B373" s="1" t="n">
        <v>45356</v>
      </c>
      <c r="C373" s="1" t="n">
        <v>46139</v>
      </c>
      <c r="D373" t="inlineStr">
        <is>
          <t>JÄMTLANDS LÄN</t>
        </is>
      </c>
      <c r="E373" t="inlineStr">
        <is>
          <t>BERG</t>
        </is>
      </c>
      <c r="G373" t="n">
        <v>5.2</v>
      </c>
      <c r="H373" t="n">
        <v>0</v>
      </c>
      <c r="I373" t="n">
        <v>0</v>
      </c>
      <c r="J373" t="n">
        <v>0</v>
      </c>
      <c r="K373" t="n">
        <v>0</v>
      </c>
      <c r="L373" t="n">
        <v>0</v>
      </c>
      <c r="M373" t="n">
        <v>0</v>
      </c>
      <c r="N373" t="n">
        <v>0</v>
      </c>
      <c r="O373" t="n">
        <v>0</v>
      </c>
      <c r="P373" t="n">
        <v>0</v>
      </c>
      <c r="Q373" t="n">
        <v>0</v>
      </c>
      <c r="R373" s="2" t="inlineStr"/>
    </row>
    <row r="374" ht="15" customHeight="1">
      <c r="A374" t="inlineStr">
        <is>
          <t>A 32020-2023</t>
        </is>
      </c>
      <c r="B374" s="1" t="n">
        <v>45119.49261574074</v>
      </c>
      <c r="C374" s="1" t="n">
        <v>46139</v>
      </c>
      <c r="D374" t="inlineStr">
        <is>
          <t>JÄMTLANDS LÄN</t>
        </is>
      </c>
      <c r="E374" t="inlineStr">
        <is>
          <t>BERG</t>
        </is>
      </c>
      <c r="G374" t="n">
        <v>10.3</v>
      </c>
      <c r="H374" t="n">
        <v>0</v>
      </c>
      <c r="I374" t="n">
        <v>0</v>
      </c>
      <c r="J374" t="n">
        <v>0</v>
      </c>
      <c r="K374" t="n">
        <v>0</v>
      </c>
      <c r="L374" t="n">
        <v>0</v>
      </c>
      <c r="M374" t="n">
        <v>0</v>
      </c>
      <c r="N374" t="n">
        <v>0</v>
      </c>
      <c r="O374" t="n">
        <v>0</v>
      </c>
      <c r="P374" t="n">
        <v>0</v>
      </c>
      <c r="Q374" t="n">
        <v>0</v>
      </c>
      <c r="R374" s="2" t="inlineStr"/>
    </row>
    <row r="375" ht="15" customHeight="1">
      <c r="A375" t="inlineStr">
        <is>
          <t>A 14198-2023</t>
        </is>
      </c>
      <c r="B375" s="1" t="n">
        <v>45009.57518518518</v>
      </c>
      <c r="C375" s="1" t="n">
        <v>46139</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1596-2024</t>
        </is>
      </c>
      <c r="B376" s="1" t="n">
        <v>45306</v>
      </c>
      <c r="C376" s="1" t="n">
        <v>46139</v>
      </c>
      <c r="D376" t="inlineStr">
        <is>
          <t>JÄMTLANDS LÄN</t>
        </is>
      </c>
      <c r="E376" t="inlineStr">
        <is>
          <t>BERG</t>
        </is>
      </c>
      <c r="G376" t="n">
        <v>0.8</v>
      </c>
      <c r="H376" t="n">
        <v>0</v>
      </c>
      <c r="I376" t="n">
        <v>0</v>
      </c>
      <c r="J376" t="n">
        <v>0</v>
      </c>
      <c r="K376" t="n">
        <v>0</v>
      </c>
      <c r="L376" t="n">
        <v>0</v>
      </c>
      <c r="M376" t="n">
        <v>0</v>
      </c>
      <c r="N376" t="n">
        <v>0</v>
      </c>
      <c r="O376" t="n">
        <v>0</v>
      </c>
      <c r="P376" t="n">
        <v>0</v>
      </c>
      <c r="Q376" t="n">
        <v>0</v>
      </c>
      <c r="R376" s="2" t="inlineStr"/>
    </row>
    <row r="377" ht="15" customHeight="1">
      <c r="A377" t="inlineStr">
        <is>
          <t>A 22180-2025</t>
        </is>
      </c>
      <c r="B377" s="1" t="n">
        <v>45785</v>
      </c>
      <c r="C377" s="1" t="n">
        <v>46139</v>
      </c>
      <c r="D377" t="inlineStr">
        <is>
          <t>JÄMTLANDS LÄN</t>
        </is>
      </c>
      <c r="E377" t="inlineStr">
        <is>
          <t>BERG</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41098-2023</t>
        </is>
      </c>
      <c r="B378" s="1" t="n">
        <v>45170</v>
      </c>
      <c r="C378" s="1" t="n">
        <v>46139</v>
      </c>
      <c r="D378" t="inlineStr">
        <is>
          <t>JÄMTLANDS LÄN</t>
        </is>
      </c>
      <c r="E378" t="inlineStr">
        <is>
          <t>BERG</t>
        </is>
      </c>
      <c r="G378" t="n">
        <v>3.1</v>
      </c>
      <c r="H378" t="n">
        <v>0</v>
      </c>
      <c r="I378" t="n">
        <v>0</v>
      </c>
      <c r="J378" t="n">
        <v>0</v>
      </c>
      <c r="K378" t="n">
        <v>0</v>
      </c>
      <c r="L378" t="n">
        <v>0</v>
      </c>
      <c r="M378" t="n">
        <v>0</v>
      </c>
      <c r="N378" t="n">
        <v>0</v>
      </c>
      <c r="O378" t="n">
        <v>0</v>
      </c>
      <c r="P378" t="n">
        <v>0</v>
      </c>
      <c r="Q378" t="n">
        <v>0</v>
      </c>
      <c r="R378" s="2" t="inlineStr"/>
    </row>
    <row r="379" ht="15" customHeight="1">
      <c r="A379" t="inlineStr">
        <is>
          <t>A 433-2023</t>
        </is>
      </c>
      <c r="B379" s="1" t="n">
        <v>44923</v>
      </c>
      <c r="C379" s="1" t="n">
        <v>46139</v>
      </c>
      <c r="D379" t="inlineStr">
        <is>
          <t>JÄMTLANDS LÄN</t>
        </is>
      </c>
      <c r="E379" t="inlineStr">
        <is>
          <t>BERG</t>
        </is>
      </c>
      <c r="G379" t="n">
        <v>1.5</v>
      </c>
      <c r="H379" t="n">
        <v>0</v>
      </c>
      <c r="I379" t="n">
        <v>0</v>
      </c>
      <c r="J379" t="n">
        <v>0</v>
      </c>
      <c r="K379" t="n">
        <v>0</v>
      </c>
      <c r="L379" t="n">
        <v>0</v>
      </c>
      <c r="M379" t="n">
        <v>0</v>
      </c>
      <c r="N379" t="n">
        <v>0</v>
      </c>
      <c r="O379" t="n">
        <v>0</v>
      </c>
      <c r="P379" t="n">
        <v>0</v>
      </c>
      <c r="Q379" t="n">
        <v>0</v>
      </c>
      <c r="R379" s="2" t="inlineStr"/>
    </row>
    <row r="380" ht="15" customHeight="1">
      <c r="A380" t="inlineStr">
        <is>
          <t>A 60847-2023</t>
        </is>
      </c>
      <c r="B380" s="1" t="n">
        <v>45260</v>
      </c>
      <c r="C380" s="1" t="n">
        <v>46139</v>
      </c>
      <c r="D380" t="inlineStr">
        <is>
          <t>JÄMTLANDS LÄN</t>
        </is>
      </c>
      <c r="E380" t="inlineStr">
        <is>
          <t>BERG</t>
        </is>
      </c>
      <c r="G380" t="n">
        <v>2.5</v>
      </c>
      <c r="H380" t="n">
        <v>0</v>
      </c>
      <c r="I380" t="n">
        <v>0</v>
      </c>
      <c r="J380" t="n">
        <v>0</v>
      </c>
      <c r="K380" t="n">
        <v>0</v>
      </c>
      <c r="L380" t="n">
        <v>0</v>
      </c>
      <c r="M380" t="n">
        <v>0</v>
      </c>
      <c r="N380" t="n">
        <v>0</v>
      </c>
      <c r="O380" t="n">
        <v>0</v>
      </c>
      <c r="P380" t="n">
        <v>0</v>
      </c>
      <c r="Q380" t="n">
        <v>0</v>
      </c>
      <c r="R380" s="2" t="inlineStr"/>
    </row>
    <row r="381" ht="15" customHeight="1">
      <c r="A381" t="inlineStr">
        <is>
          <t>A 32147-2024</t>
        </is>
      </c>
      <c r="B381" s="1" t="n">
        <v>45511.55600694445</v>
      </c>
      <c r="C381" s="1" t="n">
        <v>46139</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46872-2023</t>
        </is>
      </c>
      <c r="B382" s="1" t="n">
        <v>45200</v>
      </c>
      <c r="C382" s="1" t="n">
        <v>46139</v>
      </c>
      <c r="D382" t="inlineStr">
        <is>
          <t>JÄMTLANDS LÄN</t>
        </is>
      </c>
      <c r="E382" t="inlineStr">
        <is>
          <t>BERG</t>
        </is>
      </c>
      <c r="F382" t="inlineStr">
        <is>
          <t>Naturvårdsverket</t>
        </is>
      </c>
      <c r="G382" t="n">
        <v>1.2</v>
      </c>
      <c r="H382" t="n">
        <v>0</v>
      </c>
      <c r="I382" t="n">
        <v>0</v>
      </c>
      <c r="J382" t="n">
        <v>0</v>
      </c>
      <c r="K382" t="n">
        <v>0</v>
      </c>
      <c r="L382" t="n">
        <v>0</v>
      </c>
      <c r="M382" t="n">
        <v>0</v>
      </c>
      <c r="N382" t="n">
        <v>0</v>
      </c>
      <c r="O382" t="n">
        <v>0</v>
      </c>
      <c r="P382" t="n">
        <v>0</v>
      </c>
      <c r="Q382" t="n">
        <v>0</v>
      </c>
      <c r="R382" s="2" t="inlineStr"/>
      <c r="U382">
        <f>HYPERLINK("https://klasma.github.io/Logging_2326/knärot/A 46872-2023 karta knärot.png", "A 46872-2023")</f>
        <v/>
      </c>
      <c r="V382">
        <f>HYPERLINK("https://klasma.github.io/Logging_2326/klagomål/A 46872-2023 FSC-klagomål.docx", "A 46872-2023")</f>
        <v/>
      </c>
      <c r="W382">
        <f>HYPERLINK("https://klasma.github.io/Logging_2326/klagomålsmail/A 46872-2023 FSC-klagomål mail.docx", "A 46872-2023")</f>
        <v/>
      </c>
      <c r="X382">
        <f>HYPERLINK("https://klasma.github.io/Logging_2326/tillsyn/A 46872-2023 tillsynsbegäran.docx", "A 46872-2023")</f>
        <v/>
      </c>
      <c r="Y382">
        <f>HYPERLINK("https://klasma.github.io/Logging_2326/tillsynsmail/A 46872-2023 tillsynsbegäran mail.docx", "A 46872-2023")</f>
        <v/>
      </c>
    </row>
    <row r="383" ht="15" customHeight="1">
      <c r="A383" t="inlineStr">
        <is>
          <t>A 42862-2025</t>
        </is>
      </c>
      <c r="B383" s="1" t="n">
        <v>45908.61515046296</v>
      </c>
      <c r="C383" s="1" t="n">
        <v>46139</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21851-2025</t>
        </is>
      </c>
      <c r="B384" s="1" t="n">
        <v>45784.34417824074</v>
      </c>
      <c r="C384" s="1" t="n">
        <v>46139</v>
      </c>
      <c r="D384" t="inlineStr">
        <is>
          <t>JÄMTLANDS LÄN</t>
        </is>
      </c>
      <c r="E384" t="inlineStr">
        <is>
          <t>BERG</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43015-2025</t>
        </is>
      </c>
      <c r="B385" s="1" t="n">
        <v>45909.49278935185</v>
      </c>
      <c r="C385" s="1" t="n">
        <v>46139</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1520-2022</t>
        </is>
      </c>
      <c r="B386" s="1" t="n">
        <v>44572</v>
      </c>
      <c r="C386" s="1" t="n">
        <v>46139</v>
      </c>
      <c r="D386" t="inlineStr">
        <is>
          <t>JÄMTLANDS LÄN</t>
        </is>
      </c>
      <c r="E386" t="inlineStr">
        <is>
          <t>BERG</t>
        </is>
      </c>
      <c r="G386" t="n">
        <v>7.7</v>
      </c>
      <c r="H386" t="n">
        <v>0</v>
      </c>
      <c r="I386" t="n">
        <v>0</v>
      </c>
      <c r="J386" t="n">
        <v>0</v>
      </c>
      <c r="K386" t="n">
        <v>0</v>
      </c>
      <c r="L386" t="n">
        <v>0</v>
      </c>
      <c r="M386" t="n">
        <v>0</v>
      </c>
      <c r="N386" t="n">
        <v>0</v>
      </c>
      <c r="O386" t="n">
        <v>0</v>
      </c>
      <c r="P386" t="n">
        <v>0</v>
      </c>
      <c r="Q386" t="n">
        <v>0</v>
      </c>
      <c r="R386" s="2" t="inlineStr"/>
    </row>
    <row r="387" ht="15" customHeight="1">
      <c r="A387" t="inlineStr">
        <is>
          <t>A 46366-2024</t>
        </is>
      </c>
      <c r="B387" s="1" t="n">
        <v>45582.36490740741</v>
      </c>
      <c r="C387" s="1" t="n">
        <v>46139</v>
      </c>
      <c r="D387" t="inlineStr">
        <is>
          <t>JÄMTLANDS LÄN</t>
        </is>
      </c>
      <c r="E387" t="inlineStr">
        <is>
          <t>BERG</t>
        </is>
      </c>
      <c r="G387" t="n">
        <v>5</v>
      </c>
      <c r="H387" t="n">
        <v>0</v>
      </c>
      <c r="I387" t="n">
        <v>0</v>
      </c>
      <c r="J387" t="n">
        <v>0</v>
      </c>
      <c r="K387" t="n">
        <v>0</v>
      </c>
      <c r="L387" t="n">
        <v>0</v>
      </c>
      <c r="M387" t="n">
        <v>0</v>
      </c>
      <c r="N387" t="n">
        <v>0</v>
      </c>
      <c r="O387" t="n">
        <v>0</v>
      </c>
      <c r="P387" t="n">
        <v>0</v>
      </c>
      <c r="Q387" t="n">
        <v>0</v>
      </c>
      <c r="R387" s="2" t="inlineStr"/>
    </row>
    <row r="388" ht="15" customHeight="1">
      <c r="A388" t="inlineStr">
        <is>
          <t>A 43442-2025</t>
        </is>
      </c>
      <c r="B388" s="1" t="n">
        <v>45911.44244212963</v>
      </c>
      <c r="C388" s="1" t="n">
        <v>46139</v>
      </c>
      <c r="D388" t="inlineStr">
        <is>
          <t>JÄMTLANDS LÄN</t>
        </is>
      </c>
      <c r="E388" t="inlineStr">
        <is>
          <t>BERG</t>
        </is>
      </c>
      <c r="G388" t="n">
        <v>3.8</v>
      </c>
      <c r="H388" t="n">
        <v>0</v>
      </c>
      <c r="I388" t="n">
        <v>0</v>
      </c>
      <c r="J388" t="n">
        <v>0</v>
      </c>
      <c r="K388" t="n">
        <v>0</v>
      </c>
      <c r="L388" t="n">
        <v>0</v>
      </c>
      <c r="M388" t="n">
        <v>0</v>
      </c>
      <c r="N388" t="n">
        <v>0</v>
      </c>
      <c r="O388" t="n">
        <v>0</v>
      </c>
      <c r="P388" t="n">
        <v>0</v>
      </c>
      <c r="Q388" t="n">
        <v>0</v>
      </c>
      <c r="R388" s="2" t="inlineStr"/>
    </row>
    <row r="389" ht="15" customHeight="1">
      <c r="A389" t="inlineStr">
        <is>
          <t>A 43443-2025</t>
        </is>
      </c>
      <c r="B389" s="1" t="n">
        <v>45911.44350694444</v>
      </c>
      <c r="C389" s="1" t="n">
        <v>46139</v>
      </c>
      <c r="D389" t="inlineStr">
        <is>
          <t>JÄMTLANDS LÄN</t>
        </is>
      </c>
      <c r="E389" t="inlineStr">
        <is>
          <t>BERG</t>
        </is>
      </c>
      <c r="G389" t="n">
        <v>2.7</v>
      </c>
      <c r="H389" t="n">
        <v>0</v>
      </c>
      <c r="I389" t="n">
        <v>0</v>
      </c>
      <c r="J389" t="n">
        <v>0</v>
      </c>
      <c r="K389" t="n">
        <v>0</v>
      </c>
      <c r="L389" t="n">
        <v>0</v>
      </c>
      <c r="M389" t="n">
        <v>0</v>
      </c>
      <c r="N389" t="n">
        <v>0</v>
      </c>
      <c r="O389" t="n">
        <v>0</v>
      </c>
      <c r="P389" t="n">
        <v>0</v>
      </c>
      <c r="Q389" t="n">
        <v>0</v>
      </c>
      <c r="R389" s="2" t="inlineStr"/>
    </row>
    <row r="390" ht="15" customHeight="1">
      <c r="A390" t="inlineStr">
        <is>
          <t>A 22724-2025</t>
        </is>
      </c>
      <c r="B390" s="1" t="n">
        <v>45789.57361111111</v>
      </c>
      <c r="C390" s="1" t="n">
        <v>46139</v>
      </c>
      <c r="D390" t="inlineStr">
        <is>
          <t>JÄMTLANDS LÄN</t>
        </is>
      </c>
      <c r="E390" t="inlineStr">
        <is>
          <t>BERG</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41264-2025</t>
        </is>
      </c>
      <c r="B391" s="1" t="n">
        <v>45898</v>
      </c>
      <c r="C391" s="1" t="n">
        <v>46139</v>
      </c>
      <c r="D391" t="inlineStr">
        <is>
          <t>JÄMTLANDS LÄN</t>
        </is>
      </c>
      <c r="E391" t="inlineStr">
        <is>
          <t>BERG</t>
        </is>
      </c>
      <c r="G391" t="n">
        <v>17.4</v>
      </c>
      <c r="H391" t="n">
        <v>0</v>
      </c>
      <c r="I391" t="n">
        <v>0</v>
      </c>
      <c r="J391" t="n">
        <v>0</v>
      </c>
      <c r="K391" t="n">
        <v>0</v>
      </c>
      <c r="L391" t="n">
        <v>0</v>
      </c>
      <c r="M391" t="n">
        <v>0</v>
      </c>
      <c r="N391" t="n">
        <v>0</v>
      </c>
      <c r="O391" t="n">
        <v>0</v>
      </c>
      <c r="P391" t="n">
        <v>0</v>
      </c>
      <c r="Q391" t="n">
        <v>0</v>
      </c>
      <c r="R391" s="2" t="inlineStr"/>
    </row>
    <row r="392" ht="15" customHeight="1">
      <c r="A392" t="inlineStr">
        <is>
          <t>A 22297-2022</t>
        </is>
      </c>
      <c r="B392" s="1" t="n">
        <v>44712</v>
      </c>
      <c r="C392" s="1" t="n">
        <v>46139</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43567-2025</t>
        </is>
      </c>
      <c r="B393" s="1" t="n">
        <v>45911.6327662037</v>
      </c>
      <c r="C393" s="1" t="n">
        <v>46139</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43441-2025</t>
        </is>
      </c>
      <c r="B394" s="1" t="n">
        <v>45911.44184027778</v>
      </c>
      <c r="C394" s="1" t="n">
        <v>46139</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43456-2025</t>
        </is>
      </c>
      <c r="B395" s="1" t="n">
        <v>45911.46148148148</v>
      </c>
      <c r="C395" s="1" t="n">
        <v>46139</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43560-2025</t>
        </is>
      </c>
      <c r="B396" s="1" t="n">
        <v>45911.62758101852</v>
      </c>
      <c r="C396" s="1" t="n">
        <v>46139</v>
      </c>
      <c r="D396" t="inlineStr">
        <is>
          <t>JÄMTLANDS LÄN</t>
        </is>
      </c>
      <c r="E396" t="inlineStr">
        <is>
          <t>BERG</t>
        </is>
      </c>
      <c r="G396" t="n">
        <v>10</v>
      </c>
      <c r="H396" t="n">
        <v>0</v>
      </c>
      <c r="I396" t="n">
        <v>0</v>
      </c>
      <c r="J396" t="n">
        <v>0</v>
      </c>
      <c r="K396" t="n">
        <v>0</v>
      </c>
      <c r="L396" t="n">
        <v>0</v>
      </c>
      <c r="M396" t="n">
        <v>0</v>
      </c>
      <c r="N396" t="n">
        <v>0</v>
      </c>
      <c r="O396" t="n">
        <v>0</v>
      </c>
      <c r="P396" t="n">
        <v>0</v>
      </c>
      <c r="Q396" t="n">
        <v>0</v>
      </c>
      <c r="R396" s="2" t="inlineStr"/>
    </row>
    <row r="397" ht="15" customHeight="1">
      <c r="A397" t="inlineStr">
        <is>
          <t>A 43364-2025</t>
        </is>
      </c>
      <c r="B397" s="1" t="n">
        <v>45911.34483796296</v>
      </c>
      <c r="C397" s="1" t="n">
        <v>46139</v>
      </c>
      <c r="D397" t="inlineStr">
        <is>
          <t>JÄMTLANDS LÄN</t>
        </is>
      </c>
      <c r="E397" t="inlineStr">
        <is>
          <t>BERG</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61251-2022</t>
        </is>
      </c>
      <c r="B398" s="1" t="n">
        <v>44909</v>
      </c>
      <c r="C398" s="1" t="n">
        <v>46139</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61255-2022</t>
        </is>
      </c>
      <c r="B399" s="1" t="n">
        <v>44909</v>
      </c>
      <c r="C399" s="1" t="n">
        <v>46139</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47626-2023</t>
        </is>
      </c>
      <c r="B400" s="1" t="n">
        <v>45203</v>
      </c>
      <c r="C400" s="1" t="n">
        <v>46139</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44043-2025</t>
        </is>
      </c>
      <c r="B401" s="1" t="n">
        <v>45915.49266203704</v>
      </c>
      <c r="C401" s="1" t="n">
        <v>46139</v>
      </c>
      <c r="D401" t="inlineStr">
        <is>
          <t>JÄMTLANDS LÄN</t>
        </is>
      </c>
      <c r="E401" t="inlineStr">
        <is>
          <t>BERG</t>
        </is>
      </c>
      <c r="G401" t="n">
        <v>3.4</v>
      </c>
      <c r="H401" t="n">
        <v>0</v>
      </c>
      <c r="I401" t="n">
        <v>0</v>
      </c>
      <c r="J401" t="n">
        <v>0</v>
      </c>
      <c r="K401" t="n">
        <v>0</v>
      </c>
      <c r="L401" t="n">
        <v>0</v>
      </c>
      <c r="M401" t="n">
        <v>0</v>
      </c>
      <c r="N401" t="n">
        <v>0</v>
      </c>
      <c r="O401" t="n">
        <v>0</v>
      </c>
      <c r="P401" t="n">
        <v>0</v>
      </c>
      <c r="Q401" t="n">
        <v>0</v>
      </c>
      <c r="R401" s="2" t="inlineStr"/>
    </row>
    <row r="402" ht="15" customHeight="1">
      <c r="A402" t="inlineStr">
        <is>
          <t>A 43982-2025</t>
        </is>
      </c>
      <c r="B402" s="1" t="n">
        <v>45915.42771990741</v>
      </c>
      <c r="C402" s="1" t="n">
        <v>46139</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27239-2023</t>
        </is>
      </c>
      <c r="B403" s="1" t="n">
        <v>45092</v>
      </c>
      <c r="C403" s="1" t="n">
        <v>46139</v>
      </c>
      <c r="D403" t="inlineStr">
        <is>
          <t>JÄMTLANDS LÄN</t>
        </is>
      </c>
      <c r="E403" t="inlineStr">
        <is>
          <t>BERG</t>
        </is>
      </c>
      <c r="G403" t="n">
        <v>5.3</v>
      </c>
      <c r="H403" t="n">
        <v>0</v>
      </c>
      <c r="I403" t="n">
        <v>0</v>
      </c>
      <c r="J403" t="n">
        <v>0</v>
      </c>
      <c r="K403" t="n">
        <v>0</v>
      </c>
      <c r="L403" t="n">
        <v>0</v>
      </c>
      <c r="M403" t="n">
        <v>0</v>
      </c>
      <c r="N403" t="n">
        <v>0</v>
      </c>
      <c r="O403" t="n">
        <v>0</v>
      </c>
      <c r="P403" t="n">
        <v>0</v>
      </c>
      <c r="Q403" t="n">
        <v>0</v>
      </c>
      <c r="R403" s="2" t="inlineStr"/>
    </row>
    <row r="404" ht="15" customHeight="1">
      <c r="A404" t="inlineStr">
        <is>
          <t>A 60331-2023</t>
        </is>
      </c>
      <c r="B404" s="1" t="n">
        <v>45258</v>
      </c>
      <c r="C404" s="1" t="n">
        <v>46139</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32248-2024</t>
        </is>
      </c>
      <c r="B405" s="1" t="n">
        <v>45511.95144675926</v>
      </c>
      <c r="C405" s="1" t="n">
        <v>46139</v>
      </c>
      <c r="D405" t="inlineStr">
        <is>
          <t>JÄMTLANDS LÄN</t>
        </is>
      </c>
      <c r="E405" t="inlineStr">
        <is>
          <t>BERG</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47083-2024</t>
        </is>
      </c>
      <c r="B406" s="1" t="n">
        <v>45586.50625</v>
      </c>
      <c r="C406" s="1" t="n">
        <v>46139</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39103-2024</t>
        </is>
      </c>
      <c r="B407" s="1" t="n">
        <v>45548.57025462963</v>
      </c>
      <c r="C407" s="1" t="n">
        <v>46139</v>
      </c>
      <c r="D407" t="inlineStr">
        <is>
          <t>JÄMTLANDS LÄN</t>
        </is>
      </c>
      <c r="E407" t="inlineStr">
        <is>
          <t>BERG</t>
        </is>
      </c>
      <c r="G407" t="n">
        <v>38.4</v>
      </c>
      <c r="H407" t="n">
        <v>0</v>
      </c>
      <c r="I407" t="n">
        <v>0</v>
      </c>
      <c r="J407" t="n">
        <v>0</v>
      </c>
      <c r="K407" t="n">
        <v>0</v>
      </c>
      <c r="L407" t="n">
        <v>0</v>
      </c>
      <c r="M407" t="n">
        <v>0</v>
      </c>
      <c r="N407" t="n">
        <v>0</v>
      </c>
      <c r="O407" t="n">
        <v>0</v>
      </c>
      <c r="P407" t="n">
        <v>0</v>
      </c>
      <c r="Q407" t="n">
        <v>0</v>
      </c>
      <c r="R407" s="2" t="inlineStr"/>
    </row>
    <row r="408" ht="15" customHeight="1">
      <c r="A408" t="inlineStr">
        <is>
          <t>A 44302-2025</t>
        </is>
      </c>
      <c r="B408" s="1" t="n">
        <v>45915</v>
      </c>
      <c r="C408" s="1" t="n">
        <v>46139</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8191-2025</t>
        </is>
      </c>
      <c r="B409" s="1" t="n">
        <v>45708.40821759259</v>
      </c>
      <c r="C409" s="1" t="n">
        <v>46139</v>
      </c>
      <c r="D409" t="inlineStr">
        <is>
          <t>JÄMTLANDS LÄN</t>
        </is>
      </c>
      <c r="E409" t="inlineStr">
        <is>
          <t>BERG</t>
        </is>
      </c>
      <c r="G409" t="n">
        <v>1.1</v>
      </c>
      <c r="H409" t="n">
        <v>0</v>
      </c>
      <c r="I409" t="n">
        <v>0</v>
      </c>
      <c r="J409" t="n">
        <v>0</v>
      </c>
      <c r="K409" t="n">
        <v>0</v>
      </c>
      <c r="L409" t="n">
        <v>0</v>
      </c>
      <c r="M409" t="n">
        <v>0</v>
      </c>
      <c r="N409" t="n">
        <v>0</v>
      </c>
      <c r="O409" t="n">
        <v>0</v>
      </c>
      <c r="P409" t="n">
        <v>0</v>
      </c>
      <c r="Q409" t="n">
        <v>0</v>
      </c>
      <c r="R409" s="2" t="inlineStr"/>
    </row>
    <row r="410" ht="15" customHeight="1">
      <c r="A410" t="inlineStr">
        <is>
          <t>A 44031-2025</t>
        </is>
      </c>
      <c r="B410" s="1" t="n">
        <v>45915.49019675926</v>
      </c>
      <c r="C410" s="1" t="n">
        <v>46139</v>
      </c>
      <c r="D410" t="inlineStr">
        <is>
          <t>JÄMTLANDS LÄN</t>
        </is>
      </c>
      <c r="E410" t="inlineStr">
        <is>
          <t>BERG</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22672-2025</t>
        </is>
      </c>
      <c r="B411" s="1" t="n">
        <v>45789.4903587963</v>
      </c>
      <c r="C411" s="1" t="n">
        <v>46139</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43968-2025</t>
        </is>
      </c>
      <c r="B412" s="1" t="n">
        <v>45915</v>
      </c>
      <c r="C412" s="1" t="n">
        <v>46139</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58157-2021</t>
        </is>
      </c>
      <c r="B413" s="1" t="n">
        <v>44487.60703703704</v>
      </c>
      <c r="C413" s="1" t="n">
        <v>46139</v>
      </c>
      <c r="D413" t="inlineStr">
        <is>
          <t>JÄMTLANDS LÄN</t>
        </is>
      </c>
      <c r="E413" t="inlineStr">
        <is>
          <t>BERG</t>
        </is>
      </c>
      <c r="G413" t="n">
        <v>4.5</v>
      </c>
      <c r="H413" t="n">
        <v>0</v>
      </c>
      <c r="I413" t="n">
        <v>0</v>
      </c>
      <c r="J413" t="n">
        <v>0</v>
      </c>
      <c r="K413" t="n">
        <v>0</v>
      </c>
      <c r="L413" t="n">
        <v>0</v>
      </c>
      <c r="M413" t="n">
        <v>0</v>
      </c>
      <c r="N413" t="n">
        <v>0</v>
      </c>
      <c r="O413" t="n">
        <v>0</v>
      </c>
      <c r="P413" t="n">
        <v>0</v>
      </c>
      <c r="Q413" t="n">
        <v>0</v>
      </c>
      <c r="R413" s="2" t="inlineStr"/>
    </row>
    <row r="414" ht="15" customHeight="1">
      <c r="A414" t="inlineStr">
        <is>
          <t>A 44303-2025</t>
        </is>
      </c>
      <c r="B414" s="1" t="n">
        <v>45915</v>
      </c>
      <c r="C414" s="1" t="n">
        <v>46139</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26944-2022</t>
        </is>
      </c>
      <c r="B415" s="1" t="n">
        <v>44740</v>
      </c>
      <c r="C415" s="1" t="n">
        <v>46139</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44572-2025</t>
        </is>
      </c>
      <c r="B416" s="1" t="n">
        <v>45917</v>
      </c>
      <c r="C416" s="1" t="n">
        <v>46139</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62555-2023</t>
        </is>
      </c>
      <c r="B417" s="1" t="n">
        <v>45268.9262962963</v>
      </c>
      <c r="C417" s="1" t="n">
        <v>46139</v>
      </c>
      <c r="D417" t="inlineStr">
        <is>
          <t>JÄMTLANDS LÄN</t>
        </is>
      </c>
      <c r="E417" t="inlineStr">
        <is>
          <t>BERG</t>
        </is>
      </c>
      <c r="G417" t="n">
        <v>5</v>
      </c>
      <c r="H417" t="n">
        <v>0</v>
      </c>
      <c r="I417" t="n">
        <v>0</v>
      </c>
      <c r="J417" t="n">
        <v>0</v>
      </c>
      <c r="K417" t="n">
        <v>0</v>
      </c>
      <c r="L417" t="n">
        <v>0</v>
      </c>
      <c r="M417" t="n">
        <v>0</v>
      </c>
      <c r="N417" t="n">
        <v>0</v>
      </c>
      <c r="O417" t="n">
        <v>0</v>
      </c>
      <c r="P417" t="n">
        <v>0</v>
      </c>
      <c r="Q417" t="n">
        <v>0</v>
      </c>
      <c r="R417" s="2" t="inlineStr"/>
    </row>
    <row r="418" ht="15" customHeight="1">
      <c r="A418" t="inlineStr">
        <is>
          <t>A 47407-2024</t>
        </is>
      </c>
      <c r="B418" s="1" t="n">
        <v>45587.47828703704</v>
      </c>
      <c r="C418" s="1" t="n">
        <v>46139</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13524-2024</t>
        </is>
      </c>
      <c r="B419" s="1" t="n">
        <v>45387.78174768519</v>
      </c>
      <c r="C419" s="1" t="n">
        <v>46139</v>
      </c>
      <c r="D419" t="inlineStr">
        <is>
          <t>JÄMTLANDS LÄN</t>
        </is>
      </c>
      <c r="E419" t="inlineStr">
        <is>
          <t>BERG</t>
        </is>
      </c>
      <c r="G419" t="n">
        <v>0.6</v>
      </c>
      <c r="H419" t="n">
        <v>0</v>
      </c>
      <c r="I419" t="n">
        <v>0</v>
      </c>
      <c r="J419" t="n">
        <v>0</v>
      </c>
      <c r="K419" t="n">
        <v>0</v>
      </c>
      <c r="L419" t="n">
        <v>0</v>
      </c>
      <c r="M419" t="n">
        <v>0</v>
      </c>
      <c r="N419" t="n">
        <v>0</v>
      </c>
      <c r="O419" t="n">
        <v>0</v>
      </c>
      <c r="P419" t="n">
        <v>0</v>
      </c>
      <c r="Q419" t="n">
        <v>0</v>
      </c>
      <c r="R419" s="2" t="inlineStr"/>
    </row>
    <row r="420" ht="15" customHeight="1">
      <c r="A420" t="inlineStr">
        <is>
          <t>A 22653-2025</t>
        </is>
      </c>
      <c r="B420" s="1" t="n">
        <v>45789.46931712963</v>
      </c>
      <c r="C420" s="1" t="n">
        <v>46139</v>
      </c>
      <c r="D420" t="inlineStr">
        <is>
          <t>JÄMTLANDS LÄN</t>
        </is>
      </c>
      <c r="E420" t="inlineStr">
        <is>
          <t>BERG</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22478-2025</t>
        </is>
      </c>
      <c r="B421" s="1" t="n">
        <v>45786.6349537037</v>
      </c>
      <c r="C421" s="1" t="n">
        <v>46139</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7040-2024</t>
        </is>
      </c>
      <c r="B422" s="1" t="n">
        <v>45343</v>
      </c>
      <c r="C422" s="1" t="n">
        <v>46139</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34650-2024</t>
        </is>
      </c>
      <c r="B423" s="1" t="n">
        <v>45526.48329861111</v>
      </c>
      <c r="C423" s="1" t="n">
        <v>46139</v>
      </c>
      <c r="D423" t="inlineStr">
        <is>
          <t>JÄMTLANDS LÄN</t>
        </is>
      </c>
      <c r="E423" t="inlineStr">
        <is>
          <t>BERG</t>
        </is>
      </c>
      <c r="G423" t="n">
        <v>4.9</v>
      </c>
      <c r="H423" t="n">
        <v>0</v>
      </c>
      <c r="I423" t="n">
        <v>0</v>
      </c>
      <c r="J423" t="n">
        <v>0</v>
      </c>
      <c r="K423" t="n">
        <v>0</v>
      </c>
      <c r="L423" t="n">
        <v>0</v>
      </c>
      <c r="M423" t="n">
        <v>0</v>
      </c>
      <c r="N423" t="n">
        <v>0</v>
      </c>
      <c r="O423" t="n">
        <v>0</v>
      </c>
      <c r="P423" t="n">
        <v>0</v>
      </c>
      <c r="Q423" t="n">
        <v>0</v>
      </c>
      <c r="R423" s="2" t="inlineStr"/>
    </row>
    <row r="424" ht="15" customHeight="1">
      <c r="A424" t="inlineStr">
        <is>
          <t>A 44697-2025</t>
        </is>
      </c>
      <c r="B424" s="1" t="n">
        <v>45917.59888888889</v>
      </c>
      <c r="C424" s="1" t="n">
        <v>46139</v>
      </c>
      <c r="D424" t="inlineStr">
        <is>
          <t>JÄMTLANDS LÄN</t>
        </is>
      </c>
      <c r="E424" t="inlineStr">
        <is>
          <t>BERG</t>
        </is>
      </c>
      <c r="G424" t="n">
        <v>2.6</v>
      </c>
      <c r="H424" t="n">
        <v>0</v>
      </c>
      <c r="I424" t="n">
        <v>0</v>
      </c>
      <c r="J424" t="n">
        <v>0</v>
      </c>
      <c r="K424" t="n">
        <v>0</v>
      </c>
      <c r="L424" t="n">
        <v>0</v>
      </c>
      <c r="M424" t="n">
        <v>0</v>
      </c>
      <c r="N424" t="n">
        <v>0</v>
      </c>
      <c r="O424" t="n">
        <v>0</v>
      </c>
      <c r="P424" t="n">
        <v>0</v>
      </c>
      <c r="Q424" t="n">
        <v>0</v>
      </c>
      <c r="R424" s="2" t="inlineStr"/>
    </row>
    <row r="425" ht="15" customHeight="1">
      <c r="A425" t="inlineStr">
        <is>
          <t>A 45249-2025</t>
        </is>
      </c>
      <c r="B425" s="1" t="n">
        <v>45919.61225694444</v>
      </c>
      <c r="C425" s="1" t="n">
        <v>46139</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45171-2025</t>
        </is>
      </c>
      <c r="B426" s="1" t="n">
        <v>45919.50256944444</v>
      </c>
      <c r="C426" s="1" t="n">
        <v>46139</v>
      </c>
      <c r="D426" t="inlineStr">
        <is>
          <t>JÄMTLANDS LÄN</t>
        </is>
      </c>
      <c r="E426" t="inlineStr">
        <is>
          <t>BERG</t>
        </is>
      </c>
      <c r="F426" t="inlineStr">
        <is>
          <t>Övriga Aktiebolag</t>
        </is>
      </c>
      <c r="G426" t="n">
        <v>10.7</v>
      </c>
      <c r="H426" t="n">
        <v>0</v>
      </c>
      <c r="I426" t="n">
        <v>0</v>
      </c>
      <c r="J426" t="n">
        <v>0</v>
      </c>
      <c r="K426" t="n">
        <v>0</v>
      </c>
      <c r="L426" t="n">
        <v>0</v>
      </c>
      <c r="M426" t="n">
        <v>0</v>
      </c>
      <c r="N426" t="n">
        <v>0</v>
      </c>
      <c r="O426" t="n">
        <v>0</v>
      </c>
      <c r="P426" t="n">
        <v>0</v>
      </c>
      <c r="Q426" t="n">
        <v>0</v>
      </c>
      <c r="R426" s="2" t="inlineStr"/>
    </row>
    <row r="427" ht="15" customHeight="1">
      <c r="A427" t="inlineStr">
        <is>
          <t>A 45129-2025</t>
        </is>
      </c>
      <c r="B427" s="1" t="n">
        <v>45919.43584490741</v>
      </c>
      <c r="C427" s="1" t="n">
        <v>46139</v>
      </c>
      <c r="D427" t="inlineStr">
        <is>
          <t>JÄMTLANDS LÄN</t>
        </is>
      </c>
      <c r="E427" t="inlineStr">
        <is>
          <t>BERG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45150-2025</t>
        </is>
      </c>
      <c r="B428" s="1" t="n">
        <v>45919.47131944444</v>
      </c>
      <c r="C428" s="1" t="n">
        <v>46139</v>
      </c>
      <c r="D428" t="inlineStr">
        <is>
          <t>JÄMTLANDS LÄN</t>
        </is>
      </c>
      <c r="E428" t="inlineStr">
        <is>
          <t>BERG</t>
        </is>
      </c>
      <c r="F428" t="inlineStr">
        <is>
          <t>Övriga Aktiebolag</t>
        </is>
      </c>
      <c r="G428" t="n">
        <v>9.6</v>
      </c>
      <c r="H428" t="n">
        <v>0</v>
      </c>
      <c r="I428" t="n">
        <v>0</v>
      </c>
      <c r="J428" t="n">
        <v>0</v>
      </c>
      <c r="K428" t="n">
        <v>0</v>
      </c>
      <c r="L428" t="n">
        <v>0</v>
      </c>
      <c r="M428" t="n">
        <v>0</v>
      </c>
      <c r="N428" t="n">
        <v>0</v>
      </c>
      <c r="O428" t="n">
        <v>0</v>
      </c>
      <c r="P428" t="n">
        <v>0</v>
      </c>
      <c r="Q428" t="n">
        <v>0</v>
      </c>
      <c r="R428" s="2" t="inlineStr"/>
    </row>
    <row r="429" ht="15" customHeight="1">
      <c r="A429" t="inlineStr">
        <is>
          <t>A 44811-2025</t>
        </is>
      </c>
      <c r="B429" s="1" t="n">
        <v>45918.37195601852</v>
      </c>
      <c r="C429" s="1" t="n">
        <v>46139</v>
      </c>
      <c r="D429" t="inlineStr">
        <is>
          <t>JÄMTLANDS LÄN</t>
        </is>
      </c>
      <c r="E429" t="inlineStr">
        <is>
          <t>BERG</t>
        </is>
      </c>
      <c r="G429" t="n">
        <v>1.4</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46139</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25565-2023</t>
        </is>
      </c>
      <c r="B431" s="1" t="n">
        <v>45082</v>
      </c>
      <c r="C431" s="1" t="n">
        <v>46139</v>
      </c>
      <c r="D431" t="inlineStr">
        <is>
          <t>JÄMTLANDS LÄN</t>
        </is>
      </c>
      <c r="E431" t="inlineStr">
        <is>
          <t>BERG</t>
        </is>
      </c>
      <c r="G431" t="n">
        <v>3.1</v>
      </c>
      <c r="H431" t="n">
        <v>0</v>
      </c>
      <c r="I431" t="n">
        <v>0</v>
      </c>
      <c r="J431" t="n">
        <v>0</v>
      </c>
      <c r="K431" t="n">
        <v>0</v>
      </c>
      <c r="L431" t="n">
        <v>0</v>
      </c>
      <c r="M431" t="n">
        <v>0</v>
      </c>
      <c r="N431" t="n">
        <v>0</v>
      </c>
      <c r="O431" t="n">
        <v>0</v>
      </c>
      <c r="P431" t="n">
        <v>0</v>
      </c>
      <c r="Q431" t="n">
        <v>0</v>
      </c>
      <c r="R431" s="2" t="inlineStr"/>
    </row>
    <row r="432" ht="15" customHeight="1">
      <c r="A432" t="inlineStr">
        <is>
          <t>A 22991-2025</t>
        </is>
      </c>
      <c r="B432" s="1" t="n">
        <v>45790.57836805555</v>
      </c>
      <c r="C432" s="1" t="n">
        <v>46139</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45109-2025</t>
        </is>
      </c>
      <c r="B433" s="1" t="n">
        <v>45919.41850694444</v>
      </c>
      <c r="C433" s="1" t="n">
        <v>46139</v>
      </c>
      <c r="D433" t="inlineStr">
        <is>
          <t>JÄMTLANDS LÄN</t>
        </is>
      </c>
      <c r="E433" t="inlineStr">
        <is>
          <t>BERG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57661-2024</t>
        </is>
      </c>
      <c r="B434" s="1" t="n">
        <v>45630.6140162037</v>
      </c>
      <c r="C434" s="1" t="n">
        <v>46139</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45254-2025</t>
        </is>
      </c>
      <c r="B435" s="1" t="n">
        <v>45919.61523148148</v>
      </c>
      <c r="C435" s="1" t="n">
        <v>46139</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45640-2025</t>
        </is>
      </c>
      <c r="B436" s="1" t="n">
        <v>45922.961875</v>
      </c>
      <c r="C436" s="1" t="n">
        <v>46139</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45568-2025</t>
        </is>
      </c>
      <c r="B437" s="1" t="n">
        <v>45922.65672453704</v>
      </c>
      <c r="C437" s="1" t="n">
        <v>46139</v>
      </c>
      <c r="D437" t="inlineStr">
        <is>
          <t>JÄMTLANDS LÄN</t>
        </is>
      </c>
      <c r="E437" t="inlineStr">
        <is>
          <t>BERG</t>
        </is>
      </c>
      <c r="F437" t="inlineStr">
        <is>
          <t>SCA</t>
        </is>
      </c>
      <c r="G437" t="n">
        <v>7.8</v>
      </c>
      <c r="H437" t="n">
        <v>0</v>
      </c>
      <c r="I437" t="n">
        <v>0</v>
      </c>
      <c r="J437" t="n">
        <v>0</v>
      </c>
      <c r="K437" t="n">
        <v>0</v>
      </c>
      <c r="L437" t="n">
        <v>0</v>
      </c>
      <c r="M437" t="n">
        <v>0</v>
      </c>
      <c r="N437" t="n">
        <v>0</v>
      </c>
      <c r="O437" t="n">
        <v>0</v>
      </c>
      <c r="P437" t="n">
        <v>0</v>
      </c>
      <c r="Q437" t="n">
        <v>0</v>
      </c>
      <c r="R437" s="2" t="inlineStr"/>
    </row>
    <row r="438" ht="15" customHeight="1">
      <c r="A438" t="inlineStr">
        <is>
          <t>A 23026-2025</t>
        </is>
      </c>
      <c r="B438" s="1" t="n">
        <v>45790.65690972222</v>
      </c>
      <c r="C438" s="1" t="n">
        <v>46139</v>
      </c>
      <c r="D438" t="inlineStr">
        <is>
          <t>JÄMTLANDS LÄN</t>
        </is>
      </c>
      <c r="E438" t="inlineStr">
        <is>
          <t>BERG</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22995-2025</t>
        </is>
      </c>
      <c r="B439" s="1" t="n">
        <v>45790.58265046297</v>
      </c>
      <c r="C439" s="1" t="n">
        <v>46139</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45459-2025</t>
        </is>
      </c>
      <c r="B440" s="1" t="n">
        <v>45922.49230324074</v>
      </c>
      <c r="C440" s="1" t="n">
        <v>46139</v>
      </c>
      <c r="D440" t="inlineStr">
        <is>
          <t>JÄMTLANDS LÄN</t>
        </is>
      </c>
      <c r="E440" t="inlineStr">
        <is>
          <t>BERG</t>
        </is>
      </c>
      <c r="F440" t="inlineStr">
        <is>
          <t>Kyrkan</t>
        </is>
      </c>
      <c r="G440" t="n">
        <v>8</v>
      </c>
      <c r="H440" t="n">
        <v>0</v>
      </c>
      <c r="I440" t="n">
        <v>0</v>
      </c>
      <c r="J440" t="n">
        <v>0</v>
      </c>
      <c r="K440" t="n">
        <v>0</v>
      </c>
      <c r="L440" t="n">
        <v>0</v>
      </c>
      <c r="M440" t="n">
        <v>0</v>
      </c>
      <c r="N440" t="n">
        <v>0</v>
      </c>
      <c r="O440" t="n">
        <v>0</v>
      </c>
      <c r="P440" t="n">
        <v>0</v>
      </c>
      <c r="Q440" t="n">
        <v>0</v>
      </c>
      <c r="R440" s="2" t="inlineStr"/>
    </row>
    <row r="441" ht="15" customHeight="1">
      <c r="A441" t="inlineStr">
        <is>
          <t>A 45912-2025</t>
        </is>
      </c>
      <c r="B441" s="1" t="n">
        <v>45923</v>
      </c>
      <c r="C441" s="1" t="n">
        <v>46139</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45657-2025</t>
        </is>
      </c>
      <c r="B442" s="1" t="n">
        <v>45923.34453703704</v>
      </c>
      <c r="C442" s="1" t="n">
        <v>46139</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45390-2025</t>
        </is>
      </c>
      <c r="B443" s="1" t="n">
        <v>45922.40762731482</v>
      </c>
      <c r="C443" s="1" t="n">
        <v>46139</v>
      </c>
      <c r="D443" t="inlineStr">
        <is>
          <t>JÄMTLANDS LÄN</t>
        </is>
      </c>
      <c r="E443" t="inlineStr">
        <is>
          <t>BERG</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38962-2024</t>
        </is>
      </c>
      <c r="B444" s="1" t="n">
        <v>45548.36175925926</v>
      </c>
      <c r="C444" s="1" t="n">
        <v>46139</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32879-2024</t>
        </is>
      </c>
      <c r="B445" s="1" t="n">
        <v>45516.68450231481</v>
      </c>
      <c r="C445" s="1" t="n">
        <v>46139</v>
      </c>
      <c r="D445" t="inlineStr">
        <is>
          <t>JÄMTLANDS LÄN</t>
        </is>
      </c>
      <c r="E445" t="inlineStr">
        <is>
          <t>BERG</t>
        </is>
      </c>
      <c r="G445" t="n">
        <v>2</v>
      </c>
      <c r="H445" t="n">
        <v>0</v>
      </c>
      <c r="I445" t="n">
        <v>0</v>
      </c>
      <c r="J445" t="n">
        <v>0</v>
      </c>
      <c r="K445" t="n">
        <v>0</v>
      </c>
      <c r="L445" t="n">
        <v>0</v>
      </c>
      <c r="M445" t="n">
        <v>0</v>
      </c>
      <c r="N445" t="n">
        <v>0</v>
      </c>
      <c r="O445" t="n">
        <v>0</v>
      </c>
      <c r="P445" t="n">
        <v>0</v>
      </c>
      <c r="Q445" t="n">
        <v>0</v>
      </c>
      <c r="R445" s="2" t="inlineStr"/>
    </row>
    <row r="446" ht="15" customHeight="1">
      <c r="A446" t="inlineStr">
        <is>
          <t>A 45208-2024</t>
        </is>
      </c>
      <c r="B446" s="1" t="n">
        <v>45575.7077662037</v>
      </c>
      <c r="C446" s="1" t="n">
        <v>46139</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22020-2024</t>
        </is>
      </c>
      <c r="B447" s="1" t="n">
        <v>45443.5894675926</v>
      </c>
      <c r="C447" s="1" t="n">
        <v>46139</v>
      </c>
      <c r="D447" t="inlineStr">
        <is>
          <t>JÄMTLANDS LÄN</t>
        </is>
      </c>
      <c r="E447" t="inlineStr">
        <is>
          <t>BERG</t>
        </is>
      </c>
      <c r="G447" t="n">
        <v>4.9</v>
      </c>
      <c r="H447" t="n">
        <v>0</v>
      </c>
      <c r="I447" t="n">
        <v>0</v>
      </c>
      <c r="J447" t="n">
        <v>0</v>
      </c>
      <c r="K447" t="n">
        <v>0</v>
      </c>
      <c r="L447" t="n">
        <v>0</v>
      </c>
      <c r="M447" t="n">
        <v>0</v>
      </c>
      <c r="N447" t="n">
        <v>0</v>
      </c>
      <c r="O447" t="n">
        <v>0</v>
      </c>
      <c r="P447" t="n">
        <v>0</v>
      </c>
      <c r="Q447" t="n">
        <v>0</v>
      </c>
      <c r="R447" s="2" t="inlineStr"/>
    </row>
    <row r="448" ht="15" customHeight="1">
      <c r="A448" t="inlineStr">
        <is>
          <t>A 23766-2025</t>
        </is>
      </c>
      <c r="B448" s="1" t="n">
        <v>45793.46954861111</v>
      </c>
      <c r="C448" s="1" t="n">
        <v>46139</v>
      </c>
      <c r="D448" t="inlineStr">
        <is>
          <t>JÄMTLANDS LÄN</t>
        </is>
      </c>
      <c r="E448" t="inlineStr">
        <is>
          <t>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17748-2024</t>
        </is>
      </c>
      <c r="B449" s="1" t="n">
        <v>45418</v>
      </c>
      <c r="C449" s="1" t="n">
        <v>46139</v>
      </c>
      <c r="D449" t="inlineStr">
        <is>
          <t>JÄMTLANDS LÄN</t>
        </is>
      </c>
      <c r="E449" t="inlineStr">
        <is>
          <t>BERG</t>
        </is>
      </c>
      <c r="G449" t="n">
        <v>0.9</v>
      </c>
      <c r="H449" t="n">
        <v>0</v>
      </c>
      <c r="I449" t="n">
        <v>0</v>
      </c>
      <c r="J449" t="n">
        <v>0</v>
      </c>
      <c r="K449" t="n">
        <v>0</v>
      </c>
      <c r="L449" t="n">
        <v>0</v>
      </c>
      <c r="M449" t="n">
        <v>0</v>
      </c>
      <c r="N449" t="n">
        <v>0</v>
      </c>
      <c r="O449" t="n">
        <v>0</v>
      </c>
      <c r="P449" t="n">
        <v>0</v>
      </c>
      <c r="Q449" t="n">
        <v>0</v>
      </c>
      <c r="R449" s="2" t="inlineStr"/>
    </row>
    <row r="450" ht="15" customHeight="1">
      <c r="A450" t="inlineStr">
        <is>
          <t>A 18833-2024</t>
        </is>
      </c>
      <c r="B450" s="1" t="n">
        <v>45426.65157407407</v>
      </c>
      <c r="C450" s="1" t="n">
        <v>46139</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23913-2025</t>
        </is>
      </c>
      <c r="B451" s="1" t="n">
        <v>45795.34442129629</v>
      </c>
      <c r="C451" s="1" t="n">
        <v>46139</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23919-2025</t>
        </is>
      </c>
      <c r="B452" s="1" t="n">
        <v>45795.34497685185</v>
      </c>
      <c r="C452" s="1" t="n">
        <v>46139</v>
      </c>
      <c r="D452" t="inlineStr">
        <is>
          <t>JÄMTLANDS LÄN</t>
        </is>
      </c>
      <c r="E452" t="inlineStr">
        <is>
          <t>BERG</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24324-2025</t>
        </is>
      </c>
      <c r="B453" s="1" t="n">
        <v>45797.56049768518</v>
      </c>
      <c r="C453" s="1" t="n">
        <v>46139</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46853-2025</t>
        </is>
      </c>
      <c r="B454" s="1" t="n">
        <v>45928.86563657408</v>
      </c>
      <c r="C454" s="1" t="n">
        <v>46139</v>
      </c>
      <c r="D454" t="inlineStr">
        <is>
          <t>JÄMTLANDS LÄN</t>
        </is>
      </c>
      <c r="E454" t="inlineStr">
        <is>
          <t>BERG</t>
        </is>
      </c>
      <c r="F454" t="inlineStr">
        <is>
          <t>Kyrkan</t>
        </is>
      </c>
      <c r="G454" t="n">
        <v>7.9</v>
      </c>
      <c r="H454" t="n">
        <v>0</v>
      </c>
      <c r="I454" t="n">
        <v>0</v>
      </c>
      <c r="J454" t="n">
        <v>0</v>
      </c>
      <c r="K454" t="n">
        <v>0</v>
      </c>
      <c r="L454" t="n">
        <v>0</v>
      </c>
      <c r="M454" t="n">
        <v>0</v>
      </c>
      <c r="N454" t="n">
        <v>0</v>
      </c>
      <c r="O454" t="n">
        <v>0</v>
      </c>
      <c r="P454" t="n">
        <v>0</v>
      </c>
      <c r="Q454" t="n">
        <v>0</v>
      </c>
      <c r="R454" s="2" t="inlineStr"/>
    </row>
    <row r="455" ht="15" customHeight="1">
      <c r="A455" t="inlineStr">
        <is>
          <t>A 58176-2024</t>
        </is>
      </c>
      <c r="B455" s="1" t="n">
        <v>45632.46771990741</v>
      </c>
      <c r="C455" s="1" t="n">
        <v>46139</v>
      </c>
      <c r="D455" t="inlineStr">
        <is>
          <t>JÄMTLANDS LÄN</t>
        </is>
      </c>
      <c r="E455" t="inlineStr">
        <is>
          <t>BERG</t>
        </is>
      </c>
      <c r="G455" t="n">
        <v>14.4</v>
      </c>
      <c r="H455" t="n">
        <v>0</v>
      </c>
      <c r="I455" t="n">
        <v>0</v>
      </c>
      <c r="J455" t="n">
        <v>0</v>
      </c>
      <c r="K455" t="n">
        <v>0</v>
      </c>
      <c r="L455" t="n">
        <v>0</v>
      </c>
      <c r="M455" t="n">
        <v>0</v>
      </c>
      <c r="N455" t="n">
        <v>0</v>
      </c>
      <c r="O455" t="n">
        <v>0</v>
      </c>
      <c r="P455" t="n">
        <v>0</v>
      </c>
      <c r="Q455" t="n">
        <v>0</v>
      </c>
      <c r="R455" s="2" t="inlineStr"/>
    </row>
    <row r="456" ht="15" customHeight="1">
      <c r="A456" t="inlineStr">
        <is>
          <t>A 35866-2024</t>
        </is>
      </c>
      <c r="B456" s="1" t="n">
        <v>45533.3422337963</v>
      </c>
      <c r="C456" s="1" t="n">
        <v>46139</v>
      </c>
      <c r="D456" t="inlineStr">
        <is>
          <t>JÄMTLANDS LÄN</t>
        </is>
      </c>
      <c r="E456" t="inlineStr">
        <is>
          <t>BERG</t>
        </is>
      </c>
      <c r="G456" t="n">
        <v>2.5</v>
      </c>
      <c r="H456" t="n">
        <v>0</v>
      </c>
      <c r="I456" t="n">
        <v>0</v>
      </c>
      <c r="J456" t="n">
        <v>0</v>
      </c>
      <c r="K456" t="n">
        <v>0</v>
      </c>
      <c r="L456" t="n">
        <v>0</v>
      </c>
      <c r="M456" t="n">
        <v>0</v>
      </c>
      <c r="N456" t="n">
        <v>0</v>
      </c>
      <c r="O456" t="n">
        <v>0</v>
      </c>
      <c r="P456" t="n">
        <v>0</v>
      </c>
      <c r="Q456" t="n">
        <v>0</v>
      </c>
      <c r="R456" s="2" t="inlineStr"/>
    </row>
    <row r="457" ht="15" customHeight="1">
      <c r="A457" t="inlineStr">
        <is>
          <t>A 46854-2025</t>
        </is>
      </c>
      <c r="B457" s="1" t="n">
        <v>45928.87376157408</v>
      </c>
      <c r="C457" s="1" t="n">
        <v>46139</v>
      </c>
      <c r="D457" t="inlineStr">
        <is>
          <t>JÄMTLANDS LÄN</t>
        </is>
      </c>
      <c r="E457" t="inlineStr">
        <is>
          <t>BERG</t>
        </is>
      </c>
      <c r="F457" t="inlineStr">
        <is>
          <t>Kyrkan</t>
        </is>
      </c>
      <c r="G457" t="n">
        <v>4.8</v>
      </c>
      <c r="H457" t="n">
        <v>0</v>
      </c>
      <c r="I457" t="n">
        <v>0</v>
      </c>
      <c r="J457" t="n">
        <v>0</v>
      </c>
      <c r="K457" t="n">
        <v>0</v>
      </c>
      <c r="L457" t="n">
        <v>0</v>
      </c>
      <c r="M457" t="n">
        <v>0</v>
      </c>
      <c r="N457" t="n">
        <v>0</v>
      </c>
      <c r="O457" t="n">
        <v>0</v>
      </c>
      <c r="P457" t="n">
        <v>0</v>
      </c>
      <c r="Q457" t="n">
        <v>0</v>
      </c>
      <c r="R457" s="2" t="inlineStr"/>
    </row>
    <row r="458" ht="15" customHeight="1">
      <c r="A458" t="inlineStr">
        <is>
          <t>A 23900-2025</t>
        </is>
      </c>
      <c r="B458" s="1" t="n">
        <v>45794.34425925926</v>
      </c>
      <c r="C458" s="1" t="n">
        <v>46139</v>
      </c>
      <c r="D458" t="inlineStr">
        <is>
          <t>JÄMTLANDS LÄN</t>
        </is>
      </c>
      <c r="E458" t="inlineStr">
        <is>
          <t>BERG</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23915-2025</t>
        </is>
      </c>
      <c r="B459" s="1" t="n">
        <v>45795.3446412037</v>
      </c>
      <c r="C459" s="1" t="n">
        <v>46139</v>
      </c>
      <c r="D459" t="inlineStr">
        <is>
          <t>JÄMTLANDS LÄN</t>
        </is>
      </c>
      <c r="E459" t="inlineStr">
        <is>
          <t>BERG</t>
        </is>
      </c>
      <c r="F459" t="inlineStr">
        <is>
          <t>SCA</t>
        </is>
      </c>
      <c r="G459" t="n">
        <v>16.7</v>
      </c>
      <c r="H459" t="n">
        <v>0</v>
      </c>
      <c r="I459" t="n">
        <v>0</v>
      </c>
      <c r="J459" t="n">
        <v>0</v>
      </c>
      <c r="K459" t="n">
        <v>0</v>
      </c>
      <c r="L459" t="n">
        <v>0</v>
      </c>
      <c r="M459" t="n">
        <v>0</v>
      </c>
      <c r="N459" t="n">
        <v>0</v>
      </c>
      <c r="O459" t="n">
        <v>0</v>
      </c>
      <c r="P459" t="n">
        <v>0</v>
      </c>
      <c r="Q459" t="n">
        <v>0</v>
      </c>
      <c r="R459" s="2" t="inlineStr"/>
    </row>
    <row r="460" ht="15" customHeight="1">
      <c r="A460" t="inlineStr">
        <is>
          <t>A 23916-2025</t>
        </is>
      </c>
      <c r="B460" s="1" t="n">
        <v>45795.34472222222</v>
      </c>
      <c r="C460" s="1" t="n">
        <v>46139</v>
      </c>
      <c r="D460" t="inlineStr">
        <is>
          <t>JÄMTLANDS LÄN</t>
        </is>
      </c>
      <c r="E460" t="inlineStr">
        <is>
          <t>BERG</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47137-2025</t>
        </is>
      </c>
      <c r="B461" s="1" t="n">
        <v>45929.69876157407</v>
      </c>
      <c r="C461" s="1" t="n">
        <v>46139</v>
      </c>
      <c r="D461" t="inlineStr">
        <is>
          <t>JÄMTLANDS LÄN</t>
        </is>
      </c>
      <c r="E461" t="inlineStr">
        <is>
          <t>BERG</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24360-2025</t>
        </is>
      </c>
      <c r="B462" s="1" t="n">
        <v>45797.59502314815</v>
      </c>
      <c r="C462" s="1" t="n">
        <v>46139</v>
      </c>
      <c r="D462" t="inlineStr">
        <is>
          <t>JÄMTLANDS LÄN</t>
        </is>
      </c>
      <c r="E462" t="inlineStr">
        <is>
          <t>BERG</t>
        </is>
      </c>
      <c r="F462" t="inlineStr">
        <is>
          <t>SCA</t>
        </is>
      </c>
      <c r="G462" t="n">
        <v>10.5</v>
      </c>
      <c r="H462" t="n">
        <v>0</v>
      </c>
      <c r="I462" t="n">
        <v>0</v>
      </c>
      <c r="J462" t="n">
        <v>0</v>
      </c>
      <c r="K462" t="n">
        <v>0</v>
      </c>
      <c r="L462" t="n">
        <v>0</v>
      </c>
      <c r="M462" t="n">
        <v>0</v>
      </c>
      <c r="N462" t="n">
        <v>0</v>
      </c>
      <c r="O462" t="n">
        <v>0</v>
      </c>
      <c r="P462" t="n">
        <v>0</v>
      </c>
      <c r="Q462" t="n">
        <v>0</v>
      </c>
      <c r="R462" s="2" t="inlineStr"/>
    </row>
    <row r="463" ht="15" customHeight="1">
      <c r="A463" t="inlineStr">
        <is>
          <t>A 24060-2025</t>
        </is>
      </c>
      <c r="B463" s="1" t="n">
        <v>45796.5216087963</v>
      </c>
      <c r="C463" s="1" t="n">
        <v>46139</v>
      </c>
      <c r="D463" t="inlineStr">
        <is>
          <t>JÄMTLANDS LÄN</t>
        </is>
      </c>
      <c r="E463" t="inlineStr">
        <is>
          <t>BERG</t>
        </is>
      </c>
      <c r="G463" t="n">
        <v>4.7</v>
      </c>
      <c r="H463" t="n">
        <v>0</v>
      </c>
      <c r="I463" t="n">
        <v>0</v>
      </c>
      <c r="J463" t="n">
        <v>0</v>
      </c>
      <c r="K463" t="n">
        <v>0</v>
      </c>
      <c r="L463" t="n">
        <v>0</v>
      </c>
      <c r="M463" t="n">
        <v>0</v>
      </c>
      <c r="N463" t="n">
        <v>0</v>
      </c>
      <c r="O463" t="n">
        <v>0</v>
      </c>
      <c r="P463" t="n">
        <v>0</v>
      </c>
      <c r="Q463" t="n">
        <v>0</v>
      </c>
      <c r="R463" s="2" t="inlineStr"/>
    </row>
    <row r="464" ht="15" customHeight="1">
      <c r="A464" t="inlineStr">
        <is>
          <t>A 47145-2025</t>
        </is>
      </c>
      <c r="B464" s="1" t="n">
        <v>45929.71310185185</v>
      </c>
      <c r="C464" s="1" t="n">
        <v>46139</v>
      </c>
      <c r="D464" t="inlineStr">
        <is>
          <t>JÄMTLANDS LÄN</t>
        </is>
      </c>
      <c r="E464" t="inlineStr">
        <is>
          <t>BERG</t>
        </is>
      </c>
      <c r="G464" t="n">
        <v>3.5</v>
      </c>
      <c r="H464" t="n">
        <v>0</v>
      </c>
      <c r="I464" t="n">
        <v>0</v>
      </c>
      <c r="J464" t="n">
        <v>0</v>
      </c>
      <c r="K464" t="n">
        <v>0</v>
      </c>
      <c r="L464" t="n">
        <v>0</v>
      </c>
      <c r="M464" t="n">
        <v>0</v>
      </c>
      <c r="N464" t="n">
        <v>0</v>
      </c>
      <c r="O464" t="n">
        <v>0</v>
      </c>
      <c r="P464" t="n">
        <v>0</v>
      </c>
      <c r="Q464" t="n">
        <v>0</v>
      </c>
      <c r="R464" s="2" t="inlineStr"/>
    </row>
    <row r="465" ht="15" customHeight="1">
      <c r="A465" t="inlineStr">
        <is>
          <t>A 24390-2025</t>
        </is>
      </c>
      <c r="B465" s="1" t="n">
        <v>45797.63576388889</v>
      </c>
      <c r="C465" s="1" t="n">
        <v>46139</v>
      </c>
      <c r="D465" t="inlineStr">
        <is>
          <t>JÄMTLANDS LÄN</t>
        </is>
      </c>
      <c r="E465" t="inlineStr">
        <is>
          <t>BERG</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23901-2025</t>
        </is>
      </c>
      <c r="B466" s="1" t="n">
        <v>45794.34436342592</v>
      </c>
      <c r="C466" s="1" t="n">
        <v>46139</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47135-2025</t>
        </is>
      </c>
      <c r="B467" s="1" t="n">
        <v>45929.69799768519</v>
      </c>
      <c r="C467" s="1" t="n">
        <v>46139</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46811-2025</t>
        </is>
      </c>
      <c r="B468" s="1" t="n">
        <v>45926.69831018519</v>
      </c>
      <c r="C468" s="1" t="n">
        <v>46139</v>
      </c>
      <c r="D468" t="inlineStr">
        <is>
          <t>JÄMTLANDS LÄN</t>
        </is>
      </c>
      <c r="E468" t="inlineStr">
        <is>
          <t>BERG</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23920-2025</t>
        </is>
      </c>
      <c r="B469" s="1" t="n">
        <v>45795.34505787037</v>
      </c>
      <c r="C469" s="1" t="n">
        <v>46139</v>
      </c>
      <c r="D469" t="inlineStr">
        <is>
          <t>JÄMTLANDS LÄN</t>
        </is>
      </c>
      <c r="E469" t="inlineStr">
        <is>
          <t>BERG</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47141-2025</t>
        </is>
      </c>
      <c r="B470" s="1" t="n">
        <v>45929.70355324074</v>
      </c>
      <c r="C470" s="1" t="n">
        <v>46139</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23902-2025</t>
        </is>
      </c>
      <c r="B471" s="1" t="n">
        <v>45794.34447916667</v>
      </c>
      <c r="C471" s="1" t="n">
        <v>46139</v>
      </c>
      <c r="D471" t="inlineStr">
        <is>
          <t>JÄMTLANDS LÄN</t>
        </is>
      </c>
      <c r="E471" t="inlineStr">
        <is>
          <t>BERG</t>
        </is>
      </c>
      <c r="F471" t="inlineStr">
        <is>
          <t>SCA</t>
        </is>
      </c>
      <c r="G471" t="n">
        <v>14.3</v>
      </c>
      <c r="H471" t="n">
        <v>0</v>
      </c>
      <c r="I471" t="n">
        <v>0</v>
      </c>
      <c r="J471" t="n">
        <v>0</v>
      </c>
      <c r="K471" t="n">
        <v>0</v>
      </c>
      <c r="L471" t="n">
        <v>0</v>
      </c>
      <c r="M471" t="n">
        <v>0</v>
      </c>
      <c r="N471" t="n">
        <v>0</v>
      </c>
      <c r="O471" t="n">
        <v>0</v>
      </c>
      <c r="P471" t="n">
        <v>0</v>
      </c>
      <c r="Q471" t="n">
        <v>0</v>
      </c>
      <c r="R471" s="2" t="inlineStr"/>
    </row>
    <row r="472" ht="15" customHeight="1">
      <c r="A472" t="inlineStr">
        <is>
          <t>A 46584-2025</t>
        </is>
      </c>
      <c r="B472" s="1" t="n">
        <v>45926</v>
      </c>
      <c r="C472" s="1" t="n">
        <v>46139</v>
      </c>
      <c r="D472" t="inlineStr">
        <is>
          <t>JÄMTLANDS LÄN</t>
        </is>
      </c>
      <c r="E472" t="inlineStr">
        <is>
          <t>BERG</t>
        </is>
      </c>
      <c r="G472" t="n">
        <v>17.1</v>
      </c>
      <c r="H472" t="n">
        <v>0</v>
      </c>
      <c r="I472" t="n">
        <v>0</v>
      </c>
      <c r="J472" t="n">
        <v>0</v>
      </c>
      <c r="K472" t="n">
        <v>0</v>
      </c>
      <c r="L472" t="n">
        <v>0</v>
      </c>
      <c r="M472" t="n">
        <v>0</v>
      </c>
      <c r="N472" t="n">
        <v>0</v>
      </c>
      <c r="O472" t="n">
        <v>0</v>
      </c>
      <c r="P472" t="n">
        <v>0</v>
      </c>
      <c r="Q472" t="n">
        <v>0</v>
      </c>
      <c r="R472" s="2" t="inlineStr"/>
    </row>
    <row r="473" ht="15" customHeight="1">
      <c r="A473" t="inlineStr">
        <is>
          <t>A 37101-2024</t>
        </is>
      </c>
      <c r="B473" s="1" t="n">
        <v>45539.5029050926</v>
      </c>
      <c r="C473" s="1" t="n">
        <v>46139</v>
      </c>
      <c r="D473" t="inlineStr">
        <is>
          <t>JÄMTLANDS LÄN</t>
        </is>
      </c>
      <c r="E473" t="inlineStr">
        <is>
          <t>BERG</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47428-2025</t>
        </is>
      </c>
      <c r="B474" s="1" t="n">
        <v>45930</v>
      </c>
      <c r="C474" s="1" t="n">
        <v>46139</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47193-2025</t>
        </is>
      </c>
      <c r="B475" s="1" t="n">
        <v>45930.34469907408</v>
      </c>
      <c r="C475" s="1" t="n">
        <v>46139</v>
      </c>
      <c r="D475" t="inlineStr">
        <is>
          <t>JÄMTLANDS LÄN</t>
        </is>
      </c>
      <c r="E475" t="inlineStr">
        <is>
          <t>BERG</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47533-2025</t>
        </is>
      </c>
      <c r="B476" s="1" t="n">
        <v>45931.34659722223</v>
      </c>
      <c r="C476" s="1" t="n">
        <v>46139</v>
      </c>
      <c r="D476" t="inlineStr">
        <is>
          <t>JÄMTLANDS LÄN</t>
        </is>
      </c>
      <c r="E476" t="inlineStr">
        <is>
          <t>BERG</t>
        </is>
      </c>
      <c r="G476" t="n">
        <v>3.1</v>
      </c>
      <c r="H476" t="n">
        <v>0</v>
      </c>
      <c r="I476" t="n">
        <v>0</v>
      </c>
      <c r="J476" t="n">
        <v>0</v>
      </c>
      <c r="K476" t="n">
        <v>0</v>
      </c>
      <c r="L476" t="n">
        <v>0</v>
      </c>
      <c r="M476" t="n">
        <v>0</v>
      </c>
      <c r="N476" t="n">
        <v>0</v>
      </c>
      <c r="O476" t="n">
        <v>0</v>
      </c>
      <c r="P476" t="n">
        <v>0</v>
      </c>
      <c r="Q476" t="n">
        <v>0</v>
      </c>
      <c r="R476" s="2" t="inlineStr"/>
    </row>
    <row r="477" ht="15" customHeight="1">
      <c r="A477" t="inlineStr">
        <is>
          <t>A 47430-2025</t>
        </is>
      </c>
      <c r="B477" s="1" t="n">
        <v>45930.63619212963</v>
      </c>
      <c r="C477" s="1" t="n">
        <v>46139</v>
      </c>
      <c r="D477" t="inlineStr">
        <is>
          <t>JÄMTLANDS LÄN</t>
        </is>
      </c>
      <c r="E477" t="inlineStr">
        <is>
          <t>BERG</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47431-2025</t>
        </is>
      </c>
      <c r="B478" s="1" t="n">
        <v>45930.63626157407</v>
      </c>
      <c r="C478" s="1" t="n">
        <v>46139</v>
      </c>
      <c r="D478" t="inlineStr">
        <is>
          <t>JÄMTLANDS LÄN</t>
        </is>
      </c>
      <c r="E478" t="inlineStr">
        <is>
          <t>BERG</t>
        </is>
      </c>
      <c r="F478" t="inlineStr">
        <is>
          <t>SCA</t>
        </is>
      </c>
      <c r="G478" t="n">
        <v>9.5</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46139</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47197-2025</t>
        </is>
      </c>
      <c r="B480" s="1" t="n">
        <v>45930.34533564815</v>
      </c>
      <c r="C480" s="1" t="n">
        <v>46139</v>
      </c>
      <c r="D480" t="inlineStr">
        <is>
          <t>JÄMTLANDS LÄN</t>
        </is>
      </c>
      <c r="E480" t="inlineStr">
        <is>
          <t>BERG</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24954-2025</t>
        </is>
      </c>
      <c r="B481" s="1" t="n">
        <v>45799.57385416667</v>
      </c>
      <c r="C481" s="1" t="n">
        <v>46139</v>
      </c>
      <c r="D481" t="inlineStr">
        <is>
          <t>JÄMTLANDS LÄN</t>
        </is>
      </c>
      <c r="E481" t="inlineStr">
        <is>
          <t>BERG</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47434-2025</t>
        </is>
      </c>
      <c r="B482" s="1" t="n">
        <v>45930.63659722222</v>
      </c>
      <c r="C482" s="1" t="n">
        <v>46139</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47534-2025</t>
        </is>
      </c>
      <c r="B483" s="1" t="n">
        <v>45931.3466550926</v>
      </c>
      <c r="C483" s="1" t="n">
        <v>46139</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24786-2025</t>
        </is>
      </c>
      <c r="B484" s="1" t="n">
        <v>45799.42777777778</v>
      </c>
      <c r="C484" s="1" t="n">
        <v>46139</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24869-2025</t>
        </is>
      </c>
      <c r="B485" s="1" t="n">
        <v>45799.48994212963</v>
      </c>
      <c r="C485" s="1" t="n">
        <v>46139</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24442-2025</t>
        </is>
      </c>
      <c r="B486" s="1" t="n">
        <v>45797.96236111111</v>
      </c>
      <c r="C486" s="1" t="n">
        <v>46139</v>
      </c>
      <c r="D486" t="inlineStr">
        <is>
          <t>JÄMTLANDS LÄN</t>
        </is>
      </c>
      <c r="E486" t="inlineStr">
        <is>
          <t>BERG</t>
        </is>
      </c>
      <c r="G486" t="n">
        <v>9</v>
      </c>
      <c r="H486" t="n">
        <v>0</v>
      </c>
      <c r="I486" t="n">
        <v>0</v>
      </c>
      <c r="J486" t="n">
        <v>0</v>
      </c>
      <c r="K486" t="n">
        <v>0</v>
      </c>
      <c r="L486" t="n">
        <v>0</v>
      </c>
      <c r="M486" t="n">
        <v>0</v>
      </c>
      <c r="N486" t="n">
        <v>0</v>
      </c>
      <c r="O486" t="n">
        <v>0</v>
      </c>
      <c r="P486" t="n">
        <v>0</v>
      </c>
      <c r="Q486" t="n">
        <v>0</v>
      </c>
      <c r="R486" s="2" t="inlineStr"/>
    </row>
    <row r="487" ht="15" customHeight="1">
      <c r="A487" t="inlineStr">
        <is>
          <t>A 24849-2025</t>
        </is>
      </c>
      <c r="B487" s="1" t="n">
        <v>45799.46949074074</v>
      </c>
      <c r="C487" s="1" t="n">
        <v>46139</v>
      </c>
      <c r="D487" t="inlineStr">
        <is>
          <t>JÄMTLANDS LÄN</t>
        </is>
      </c>
      <c r="E487" t="inlineStr">
        <is>
          <t>BERG</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8733-2025</t>
        </is>
      </c>
      <c r="B488" s="1" t="n">
        <v>45712.53197916667</v>
      </c>
      <c r="C488" s="1" t="n">
        <v>46139</v>
      </c>
      <c r="D488" t="inlineStr">
        <is>
          <t>JÄMTLANDS LÄN</t>
        </is>
      </c>
      <c r="E488" t="inlineStr">
        <is>
          <t>BERG</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34601-2024</t>
        </is>
      </c>
      <c r="B489" s="1" t="n">
        <v>45526.4034375</v>
      </c>
      <c r="C489" s="1" t="n">
        <v>46139</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48168-2025</t>
        </is>
      </c>
      <c r="B490" s="1" t="n">
        <v>45933.43004629629</v>
      </c>
      <c r="C490" s="1" t="n">
        <v>46139</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25452-2025</t>
        </is>
      </c>
      <c r="B491" s="1" t="n">
        <v>45802.34440972222</v>
      </c>
      <c r="C491" s="1" t="n">
        <v>46139</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60409-2023</t>
        </is>
      </c>
      <c r="B492" s="1" t="n">
        <v>45259.47972222222</v>
      </c>
      <c r="C492" s="1" t="n">
        <v>46139</v>
      </c>
      <c r="D492" t="inlineStr">
        <is>
          <t>JÄMTLANDS LÄN</t>
        </is>
      </c>
      <c r="E492" t="inlineStr">
        <is>
          <t>BERG</t>
        </is>
      </c>
      <c r="G492" t="n">
        <v>5.8</v>
      </c>
      <c r="H492" t="n">
        <v>0</v>
      </c>
      <c r="I492" t="n">
        <v>0</v>
      </c>
      <c r="J492" t="n">
        <v>0</v>
      </c>
      <c r="K492" t="n">
        <v>0</v>
      </c>
      <c r="L492" t="n">
        <v>0</v>
      </c>
      <c r="M492" t="n">
        <v>0</v>
      </c>
      <c r="N492" t="n">
        <v>0</v>
      </c>
      <c r="O492" t="n">
        <v>0</v>
      </c>
      <c r="P492" t="n">
        <v>0</v>
      </c>
      <c r="Q492" t="n">
        <v>0</v>
      </c>
      <c r="R492" s="2" t="inlineStr"/>
    </row>
    <row r="493" ht="15" customHeight="1">
      <c r="A493" t="inlineStr">
        <is>
          <t>A 29378-2024</t>
        </is>
      </c>
      <c r="B493" s="1" t="n">
        <v>45483.59328703704</v>
      </c>
      <c r="C493" s="1" t="n">
        <v>46139</v>
      </c>
      <c r="D493" t="inlineStr">
        <is>
          <t>JÄMTLANDS LÄN</t>
        </is>
      </c>
      <c r="E493" t="inlineStr">
        <is>
          <t>BERG</t>
        </is>
      </c>
      <c r="G493" t="n">
        <v>5.6</v>
      </c>
      <c r="H493" t="n">
        <v>0</v>
      </c>
      <c r="I493" t="n">
        <v>0</v>
      </c>
      <c r="J493" t="n">
        <v>0</v>
      </c>
      <c r="K493" t="n">
        <v>0</v>
      </c>
      <c r="L493" t="n">
        <v>0</v>
      </c>
      <c r="M493" t="n">
        <v>0</v>
      </c>
      <c r="N493" t="n">
        <v>0</v>
      </c>
      <c r="O493" t="n">
        <v>0</v>
      </c>
      <c r="P493" t="n">
        <v>0</v>
      </c>
      <c r="Q493" t="n">
        <v>0</v>
      </c>
      <c r="R493" s="2" t="inlineStr"/>
    </row>
    <row r="494" ht="15" customHeight="1">
      <c r="A494" t="inlineStr">
        <is>
          <t>A 48508-2025</t>
        </is>
      </c>
      <c r="B494" s="1" t="n">
        <v>45936.3859837963</v>
      </c>
      <c r="C494" s="1" t="n">
        <v>46139</v>
      </c>
      <c r="D494" t="inlineStr">
        <is>
          <t>JÄMTLANDS LÄN</t>
        </is>
      </c>
      <c r="E494" t="inlineStr">
        <is>
          <t>BERG</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21508-2024</t>
        </is>
      </c>
      <c r="B495" s="1" t="n">
        <v>45441.56905092593</v>
      </c>
      <c r="C495" s="1" t="n">
        <v>46139</v>
      </c>
      <c r="D495" t="inlineStr">
        <is>
          <t>JÄMTLANDS LÄN</t>
        </is>
      </c>
      <c r="E495" t="inlineStr">
        <is>
          <t>BERG</t>
        </is>
      </c>
      <c r="G495" t="n">
        <v>3.2</v>
      </c>
      <c r="H495" t="n">
        <v>0</v>
      </c>
      <c r="I495" t="n">
        <v>0</v>
      </c>
      <c r="J495" t="n">
        <v>0</v>
      </c>
      <c r="K495" t="n">
        <v>0</v>
      </c>
      <c r="L495" t="n">
        <v>0</v>
      </c>
      <c r="M495" t="n">
        <v>0</v>
      </c>
      <c r="N495" t="n">
        <v>0</v>
      </c>
      <c r="O495" t="n">
        <v>0</v>
      </c>
      <c r="P495" t="n">
        <v>0</v>
      </c>
      <c r="Q495" t="n">
        <v>0</v>
      </c>
      <c r="R495" s="2" t="inlineStr"/>
    </row>
    <row r="496" ht="15" customHeight="1">
      <c r="A496" t="inlineStr">
        <is>
          <t>A 25454-2025</t>
        </is>
      </c>
      <c r="B496" s="1" t="n">
        <v>45802.34460648148</v>
      </c>
      <c r="C496" s="1" t="n">
        <v>46139</v>
      </c>
      <c r="D496" t="inlineStr">
        <is>
          <t>JÄMTLANDS LÄN</t>
        </is>
      </c>
      <c r="E496" t="inlineStr">
        <is>
          <t>BERG</t>
        </is>
      </c>
      <c r="F496" t="inlineStr">
        <is>
          <t>SCA</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48511-2025</t>
        </is>
      </c>
      <c r="B497" s="1" t="n">
        <v>45936.3865162037</v>
      </c>
      <c r="C497" s="1" t="n">
        <v>46139</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48704-2025</t>
        </is>
      </c>
      <c r="B498" s="1" t="n">
        <v>45936.6222337963</v>
      </c>
      <c r="C498" s="1" t="n">
        <v>46139</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19258-2025</t>
        </is>
      </c>
      <c r="B499" s="1" t="n">
        <v>45769.49987268518</v>
      </c>
      <c r="C499" s="1" t="n">
        <v>46139</v>
      </c>
      <c r="D499" t="inlineStr">
        <is>
          <t>JÄMTLANDS LÄN</t>
        </is>
      </c>
      <c r="E499" t="inlineStr">
        <is>
          <t>BERG</t>
        </is>
      </c>
      <c r="G499" t="n">
        <v>10.9</v>
      </c>
      <c r="H499" t="n">
        <v>0</v>
      </c>
      <c r="I499" t="n">
        <v>0</v>
      </c>
      <c r="J499" t="n">
        <v>0</v>
      </c>
      <c r="K499" t="n">
        <v>0</v>
      </c>
      <c r="L499" t="n">
        <v>0</v>
      </c>
      <c r="M499" t="n">
        <v>0</v>
      </c>
      <c r="N499" t="n">
        <v>0</v>
      </c>
      <c r="O499" t="n">
        <v>0</v>
      </c>
      <c r="P499" t="n">
        <v>0</v>
      </c>
      <c r="Q499" t="n">
        <v>0</v>
      </c>
      <c r="R499" s="2" t="inlineStr"/>
    </row>
    <row r="500" ht="15" customHeight="1">
      <c r="A500" t="inlineStr">
        <is>
          <t>A 25453-2025</t>
        </is>
      </c>
      <c r="B500" s="1" t="n">
        <v>45802.34451388889</v>
      </c>
      <c r="C500" s="1" t="n">
        <v>46139</v>
      </c>
      <c r="D500" t="inlineStr">
        <is>
          <t>JÄMTLANDS LÄN</t>
        </is>
      </c>
      <c r="E500" t="inlineStr">
        <is>
          <t>BERG</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48865-2025</t>
        </is>
      </c>
      <c r="B501" s="1" t="n">
        <v>45937.44760416666</v>
      </c>
      <c r="C501" s="1" t="n">
        <v>46139</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25441-2025</t>
        </is>
      </c>
      <c r="B502" s="1" t="n">
        <v>45801.34476851852</v>
      </c>
      <c r="C502" s="1" t="n">
        <v>46139</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16022-2025</t>
        </is>
      </c>
      <c r="B503" s="1" t="n">
        <v>45749.60973379629</v>
      </c>
      <c r="C503" s="1" t="n">
        <v>46139</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28098-2024</t>
        </is>
      </c>
      <c r="B504" s="1" t="n">
        <v>45476.61347222222</v>
      </c>
      <c r="C504" s="1" t="n">
        <v>46139</v>
      </c>
      <c r="D504" t="inlineStr">
        <is>
          <t>JÄMTLANDS LÄN</t>
        </is>
      </c>
      <c r="E504" t="inlineStr">
        <is>
          <t>BERG</t>
        </is>
      </c>
      <c r="G504" t="n">
        <v>0.4</v>
      </c>
      <c r="H504" t="n">
        <v>0</v>
      </c>
      <c r="I504" t="n">
        <v>0</v>
      </c>
      <c r="J504" t="n">
        <v>0</v>
      </c>
      <c r="K504" t="n">
        <v>0</v>
      </c>
      <c r="L504" t="n">
        <v>0</v>
      </c>
      <c r="M504" t="n">
        <v>0</v>
      </c>
      <c r="N504" t="n">
        <v>0</v>
      </c>
      <c r="O504" t="n">
        <v>0</v>
      </c>
      <c r="P504" t="n">
        <v>0</v>
      </c>
      <c r="Q504" t="n">
        <v>0</v>
      </c>
      <c r="R504" s="2" t="inlineStr"/>
    </row>
    <row r="505" ht="15" customHeight="1">
      <c r="A505" t="inlineStr">
        <is>
          <t>A 48968-2025</t>
        </is>
      </c>
      <c r="B505" s="1" t="n">
        <v>45937.56285879629</v>
      </c>
      <c r="C505" s="1" t="n">
        <v>46139</v>
      </c>
      <c r="D505" t="inlineStr">
        <is>
          <t>JÄMTLANDS LÄN</t>
        </is>
      </c>
      <c r="E505" t="inlineStr">
        <is>
          <t>BERG</t>
        </is>
      </c>
      <c r="G505" t="n">
        <v>20</v>
      </c>
      <c r="H505" t="n">
        <v>0</v>
      </c>
      <c r="I505" t="n">
        <v>0</v>
      </c>
      <c r="J505" t="n">
        <v>0</v>
      </c>
      <c r="K505" t="n">
        <v>0</v>
      </c>
      <c r="L505" t="n">
        <v>0</v>
      </c>
      <c r="M505" t="n">
        <v>0</v>
      </c>
      <c r="N505" t="n">
        <v>0</v>
      </c>
      <c r="O505" t="n">
        <v>0</v>
      </c>
      <c r="P505" t="n">
        <v>0</v>
      </c>
      <c r="Q505" t="n">
        <v>0</v>
      </c>
      <c r="R505" s="2" t="inlineStr"/>
    </row>
    <row r="506" ht="15" customHeight="1">
      <c r="A506" t="inlineStr">
        <is>
          <t>A 48770-2025</t>
        </is>
      </c>
      <c r="B506" s="1" t="n">
        <v>45936.91108796297</v>
      </c>
      <c r="C506" s="1" t="n">
        <v>46139</v>
      </c>
      <c r="D506" t="inlineStr">
        <is>
          <t>JÄMTLANDS LÄN</t>
        </is>
      </c>
      <c r="E506" t="inlineStr">
        <is>
          <t>BERG</t>
        </is>
      </c>
      <c r="G506" t="n">
        <v>1.7</v>
      </c>
      <c r="H506" t="n">
        <v>0</v>
      </c>
      <c r="I506" t="n">
        <v>0</v>
      </c>
      <c r="J506" t="n">
        <v>0</v>
      </c>
      <c r="K506" t="n">
        <v>0</v>
      </c>
      <c r="L506" t="n">
        <v>0</v>
      </c>
      <c r="M506" t="n">
        <v>0</v>
      </c>
      <c r="N506" t="n">
        <v>0</v>
      </c>
      <c r="O506" t="n">
        <v>0</v>
      </c>
      <c r="P506" t="n">
        <v>0</v>
      </c>
      <c r="Q506" t="n">
        <v>0</v>
      </c>
      <c r="R506" s="2" t="inlineStr"/>
    </row>
    <row r="507" ht="15" customHeight="1">
      <c r="A507" t="inlineStr">
        <is>
          <t>A 26013-2025</t>
        </is>
      </c>
      <c r="B507" s="1" t="n">
        <v>45804.67760416667</v>
      </c>
      <c r="C507" s="1" t="n">
        <v>46139</v>
      </c>
      <c r="D507" t="inlineStr">
        <is>
          <t>JÄMTLANDS LÄN</t>
        </is>
      </c>
      <c r="E507" t="inlineStr">
        <is>
          <t>BERG</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25976-2025</t>
        </is>
      </c>
      <c r="B508" s="1" t="n">
        <v>45804.63596064815</v>
      </c>
      <c r="C508" s="1" t="n">
        <v>46139</v>
      </c>
      <c r="D508" t="inlineStr">
        <is>
          <t>JÄMTLANDS LÄN</t>
        </is>
      </c>
      <c r="E508" t="inlineStr">
        <is>
          <t>BERG</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25979-2025</t>
        </is>
      </c>
      <c r="B509" s="1" t="n">
        <v>45804.63642361111</v>
      </c>
      <c r="C509" s="1" t="n">
        <v>46139</v>
      </c>
      <c r="D509" t="inlineStr">
        <is>
          <t>JÄMTLANDS LÄN</t>
        </is>
      </c>
      <c r="E509" t="inlineStr">
        <is>
          <t>BERG</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49391-2025</t>
        </is>
      </c>
      <c r="B510" s="1" t="n">
        <v>45938.65011574074</v>
      </c>
      <c r="C510" s="1" t="n">
        <v>46139</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47099-2024</t>
        </is>
      </c>
      <c r="B511" s="1" t="n">
        <v>45586.53743055555</v>
      </c>
      <c r="C511" s="1" t="n">
        <v>46139</v>
      </c>
      <c r="D511" t="inlineStr">
        <is>
          <t>JÄMTLANDS LÄN</t>
        </is>
      </c>
      <c r="E511" t="inlineStr">
        <is>
          <t>BERG</t>
        </is>
      </c>
      <c r="G511" t="n">
        <v>5.9</v>
      </c>
      <c r="H511" t="n">
        <v>0</v>
      </c>
      <c r="I511" t="n">
        <v>0</v>
      </c>
      <c r="J511" t="n">
        <v>0</v>
      </c>
      <c r="K511" t="n">
        <v>0</v>
      </c>
      <c r="L511" t="n">
        <v>0</v>
      </c>
      <c r="M511" t="n">
        <v>0</v>
      </c>
      <c r="N511" t="n">
        <v>0</v>
      </c>
      <c r="O511" t="n">
        <v>0</v>
      </c>
      <c r="P511" t="n">
        <v>0</v>
      </c>
      <c r="Q511" t="n">
        <v>0</v>
      </c>
      <c r="R511" s="2" t="inlineStr"/>
    </row>
    <row r="512" ht="15" customHeight="1">
      <c r="A512" t="inlineStr">
        <is>
          <t>A 26053-2025</t>
        </is>
      </c>
      <c r="B512" s="1" t="n">
        <v>45804.75445601852</v>
      </c>
      <c r="C512" s="1" t="n">
        <v>46139</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49041-2025</t>
        </is>
      </c>
      <c r="B513" s="1" t="n">
        <v>45937.63592592593</v>
      </c>
      <c r="C513" s="1" t="n">
        <v>46139</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25951-2025</t>
        </is>
      </c>
      <c r="B514" s="1" t="n">
        <v>45804.5984375</v>
      </c>
      <c r="C514" s="1" t="n">
        <v>46139</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25885-2025</t>
        </is>
      </c>
      <c r="B515" s="1" t="n">
        <v>45804.51075231482</v>
      </c>
      <c r="C515" s="1" t="n">
        <v>46139</v>
      </c>
      <c r="D515" t="inlineStr">
        <is>
          <t>JÄMTLANDS LÄN</t>
        </is>
      </c>
      <c r="E515" t="inlineStr">
        <is>
          <t>BERG</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25887-2025</t>
        </is>
      </c>
      <c r="B516" s="1" t="n">
        <v>45804.51104166666</v>
      </c>
      <c r="C516" s="1" t="n">
        <v>46139</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25960-2025</t>
        </is>
      </c>
      <c r="B517" s="1" t="n">
        <v>45804.60972222222</v>
      </c>
      <c r="C517" s="1" t="n">
        <v>46139</v>
      </c>
      <c r="D517" t="inlineStr">
        <is>
          <t>JÄMTLANDS LÄN</t>
        </is>
      </c>
      <c r="E517" t="inlineStr">
        <is>
          <t>BERG</t>
        </is>
      </c>
      <c r="G517" t="n">
        <v>7.3</v>
      </c>
      <c r="H517" t="n">
        <v>0</v>
      </c>
      <c r="I517" t="n">
        <v>0</v>
      </c>
      <c r="J517" t="n">
        <v>0</v>
      </c>
      <c r="K517" t="n">
        <v>0</v>
      </c>
      <c r="L517" t="n">
        <v>0</v>
      </c>
      <c r="M517" t="n">
        <v>0</v>
      </c>
      <c r="N517" t="n">
        <v>0</v>
      </c>
      <c r="O517" t="n">
        <v>0</v>
      </c>
      <c r="P517" t="n">
        <v>0</v>
      </c>
      <c r="Q517" t="n">
        <v>0</v>
      </c>
      <c r="R517" s="2" t="inlineStr"/>
    </row>
    <row r="518" ht="15" customHeight="1">
      <c r="A518" t="inlineStr">
        <is>
          <t>A 64709-2021</t>
        </is>
      </c>
      <c r="B518" s="1" t="n">
        <v>44512</v>
      </c>
      <c r="C518" s="1" t="n">
        <v>46139</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25938-2025</t>
        </is>
      </c>
      <c r="B519" s="1" t="n">
        <v>45804.59414351852</v>
      </c>
      <c r="C519" s="1" t="n">
        <v>46139</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25886-2025</t>
        </is>
      </c>
      <c r="B520" s="1" t="n">
        <v>45804.51092592593</v>
      </c>
      <c r="C520" s="1" t="n">
        <v>46139</v>
      </c>
      <c r="D520" t="inlineStr">
        <is>
          <t>JÄMTLANDS LÄN</t>
        </is>
      </c>
      <c r="E520" t="inlineStr">
        <is>
          <t>BERG</t>
        </is>
      </c>
      <c r="F520" t="inlineStr">
        <is>
          <t>SCA</t>
        </is>
      </c>
      <c r="G520" t="n">
        <v>18.3</v>
      </c>
      <c r="H520" t="n">
        <v>0</v>
      </c>
      <c r="I520" t="n">
        <v>0</v>
      </c>
      <c r="J520" t="n">
        <v>0</v>
      </c>
      <c r="K520" t="n">
        <v>0</v>
      </c>
      <c r="L520" t="n">
        <v>0</v>
      </c>
      <c r="M520" t="n">
        <v>0</v>
      </c>
      <c r="N520" t="n">
        <v>0</v>
      </c>
      <c r="O520" t="n">
        <v>0</v>
      </c>
      <c r="P520" t="n">
        <v>0</v>
      </c>
      <c r="Q520" t="n">
        <v>0</v>
      </c>
      <c r="R520" s="2" t="inlineStr"/>
    </row>
    <row r="521" ht="15" customHeight="1">
      <c r="A521" t="inlineStr">
        <is>
          <t>A 49573-2025</t>
        </is>
      </c>
      <c r="B521" s="1" t="n">
        <v>45939.49037037037</v>
      </c>
      <c r="C521" s="1" t="n">
        <v>46139</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26186-2025</t>
        </is>
      </c>
      <c r="B522" s="1" t="n">
        <v>45805.47840277778</v>
      </c>
      <c r="C522" s="1" t="n">
        <v>46139</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26275-2025</t>
        </is>
      </c>
      <c r="B523" s="1" t="n">
        <v>45805.60230324074</v>
      </c>
      <c r="C523" s="1" t="n">
        <v>46139</v>
      </c>
      <c r="D523" t="inlineStr">
        <is>
          <t>JÄMTLANDS LÄN</t>
        </is>
      </c>
      <c r="E523" t="inlineStr">
        <is>
          <t>BERG</t>
        </is>
      </c>
      <c r="G523" t="n">
        <v>10.2</v>
      </c>
      <c r="H523" t="n">
        <v>0</v>
      </c>
      <c r="I523" t="n">
        <v>0</v>
      </c>
      <c r="J523" t="n">
        <v>0</v>
      </c>
      <c r="K523" t="n">
        <v>0</v>
      </c>
      <c r="L523" t="n">
        <v>0</v>
      </c>
      <c r="M523" t="n">
        <v>0</v>
      </c>
      <c r="N523" t="n">
        <v>0</v>
      </c>
      <c r="O523" t="n">
        <v>0</v>
      </c>
      <c r="P523" t="n">
        <v>0</v>
      </c>
      <c r="Q523" t="n">
        <v>0</v>
      </c>
      <c r="R523" s="2" t="inlineStr"/>
    </row>
    <row r="524" ht="15" customHeight="1">
      <c r="A524" t="inlineStr">
        <is>
          <t>A 25980-2025</t>
        </is>
      </c>
      <c r="B524" s="1" t="n">
        <v>45804.63658564815</v>
      </c>
      <c r="C524" s="1" t="n">
        <v>46139</v>
      </c>
      <c r="D524" t="inlineStr">
        <is>
          <t>JÄMTLANDS LÄN</t>
        </is>
      </c>
      <c r="E524" t="inlineStr">
        <is>
          <t>BERG</t>
        </is>
      </c>
      <c r="F524" t="inlineStr">
        <is>
          <t>SCA</t>
        </is>
      </c>
      <c r="G524" t="n">
        <v>8.9</v>
      </c>
      <c r="H524" t="n">
        <v>0</v>
      </c>
      <c r="I524" t="n">
        <v>0</v>
      </c>
      <c r="J524" t="n">
        <v>0</v>
      </c>
      <c r="K524" t="n">
        <v>0</v>
      </c>
      <c r="L524" t="n">
        <v>0</v>
      </c>
      <c r="M524" t="n">
        <v>0</v>
      </c>
      <c r="N524" t="n">
        <v>0</v>
      </c>
      <c r="O524" t="n">
        <v>0</v>
      </c>
      <c r="P524" t="n">
        <v>0</v>
      </c>
      <c r="Q524" t="n">
        <v>0</v>
      </c>
      <c r="R524" s="2" t="inlineStr"/>
    </row>
    <row r="525" ht="15" customHeight="1">
      <c r="A525" t="inlineStr">
        <is>
          <t>A 49349-2025</t>
        </is>
      </c>
      <c r="B525" s="1" t="n">
        <v>45938.61060185185</v>
      </c>
      <c r="C525" s="1" t="n">
        <v>46139</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49604-2025</t>
        </is>
      </c>
      <c r="B526" s="1" t="n">
        <v>45939.55241898148</v>
      </c>
      <c r="C526" s="1" t="n">
        <v>46139</v>
      </c>
      <c r="D526" t="inlineStr">
        <is>
          <t>JÄMTLANDS LÄN</t>
        </is>
      </c>
      <c r="E526" t="inlineStr">
        <is>
          <t>BERG</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49918-2025</t>
        </is>
      </c>
      <c r="B527" s="1" t="n">
        <v>45940.6290625</v>
      </c>
      <c r="C527" s="1" t="n">
        <v>46139</v>
      </c>
      <c r="D527" t="inlineStr">
        <is>
          <t>JÄMTLANDS LÄN</t>
        </is>
      </c>
      <c r="E527" t="inlineStr">
        <is>
          <t>BERG</t>
        </is>
      </c>
      <c r="G527" t="n">
        <v>0.7</v>
      </c>
      <c r="H527" t="n">
        <v>0</v>
      </c>
      <c r="I527" t="n">
        <v>0</v>
      </c>
      <c r="J527" t="n">
        <v>0</v>
      </c>
      <c r="K527" t="n">
        <v>0</v>
      </c>
      <c r="L527" t="n">
        <v>0</v>
      </c>
      <c r="M527" t="n">
        <v>0</v>
      </c>
      <c r="N527" t="n">
        <v>0</v>
      </c>
      <c r="O527" t="n">
        <v>0</v>
      </c>
      <c r="P527" t="n">
        <v>0</v>
      </c>
      <c r="Q527" t="n">
        <v>0</v>
      </c>
      <c r="R527" s="2" t="inlineStr"/>
    </row>
    <row r="528" ht="15" customHeight="1">
      <c r="A528" t="inlineStr">
        <is>
          <t>A 26378-2025</t>
        </is>
      </c>
      <c r="B528" s="1" t="n">
        <v>45806.48989583334</v>
      </c>
      <c r="C528" s="1" t="n">
        <v>46139</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50024-2025</t>
        </is>
      </c>
      <c r="B529" s="1" t="n">
        <v>45943.37563657408</v>
      </c>
      <c r="C529" s="1" t="n">
        <v>46139</v>
      </c>
      <c r="D529" t="inlineStr">
        <is>
          <t>JÄMTLANDS LÄN</t>
        </is>
      </c>
      <c r="E529" t="inlineStr">
        <is>
          <t>BERG</t>
        </is>
      </c>
      <c r="G529" t="n">
        <v>2.7</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45943.49340277778</v>
      </c>
      <c r="C530" s="1" t="n">
        <v>46139</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26374-2025</t>
        </is>
      </c>
      <c r="B531" s="1" t="n">
        <v>45806.42745370371</v>
      </c>
      <c r="C531" s="1" t="n">
        <v>46139</v>
      </c>
      <c r="D531" t="inlineStr">
        <is>
          <t>JÄMTLANDS LÄN</t>
        </is>
      </c>
      <c r="E531" t="inlineStr">
        <is>
          <t>BERG</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33962-2024</t>
        </is>
      </c>
      <c r="B532" s="1" t="n">
        <v>45523.48854166667</v>
      </c>
      <c r="C532" s="1" t="n">
        <v>46139</v>
      </c>
      <c r="D532" t="inlineStr">
        <is>
          <t>JÄMTLANDS LÄN</t>
        </is>
      </c>
      <c r="E532" t="inlineStr">
        <is>
          <t>BERG</t>
        </is>
      </c>
      <c r="G532" t="n">
        <v>2.2</v>
      </c>
      <c r="H532" t="n">
        <v>0</v>
      </c>
      <c r="I532" t="n">
        <v>0</v>
      </c>
      <c r="J532" t="n">
        <v>0</v>
      </c>
      <c r="K532" t="n">
        <v>0</v>
      </c>
      <c r="L532" t="n">
        <v>0</v>
      </c>
      <c r="M532" t="n">
        <v>0</v>
      </c>
      <c r="N532" t="n">
        <v>0</v>
      </c>
      <c r="O532" t="n">
        <v>0</v>
      </c>
      <c r="P532" t="n">
        <v>0</v>
      </c>
      <c r="Q532" t="n">
        <v>0</v>
      </c>
      <c r="R532" s="2" t="inlineStr"/>
    </row>
    <row r="533" ht="15" customHeight="1">
      <c r="A533" t="inlineStr">
        <is>
          <t>A 50020-2025</t>
        </is>
      </c>
      <c r="B533" s="1" t="n">
        <v>45943.36899305556</v>
      </c>
      <c r="C533" s="1" t="n">
        <v>46139</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50231-2025</t>
        </is>
      </c>
      <c r="B534" s="1" t="n">
        <v>45943.70643518519</v>
      </c>
      <c r="C534" s="1" t="n">
        <v>46139</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50233-2025</t>
        </is>
      </c>
      <c r="B535" s="1" t="n">
        <v>45943.71228009259</v>
      </c>
      <c r="C535" s="1" t="n">
        <v>46139</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26743-2025</t>
        </is>
      </c>
      <c r="B536" s="1" t="n">
        <v>45810.53163194445</v>
      </c>
      <c r="C536" s="1" t="n">
        <v>46139</v>
      </c>
      <c r="D536" t="inlineStr">
        <is>
          <t>JÄMTLANDS LÄN</t>
        </is>
      </c>
      <c r="E536" t="inlineStr">
        <is>
          <t>BERG</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50227-2025</t>
        </is>
      </c>
      <c r="B537" s="1" t="n">
        <v>45943.69686342592</v>
      </c>
      <c r="C537" s="1" t="n">
        <v>46139</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50230-2025</t>
        </is>
      </c>
      <c r="B538" s="1" t="n">
        <v>45943.70216435185</v>
      </c>
      <c r="C538" s="1" t="n">
        <v>46139</v>
      </c>
      <c r="D538" t="inlineStr">
        <is>
          <t>JÄMTLANDS LÄN</t>
        </is>
      </c>
      <c r="E538" t="inlineStr">
        <is>
          <t>BERG</t>
        </is>
      </c>
      <c r="G538" t="n">
        <v>6.3</v>
      </c>
      <c r="H538" t="n">
        <v>0</v>
      </c>
      <c r="I538" t="n">
        <v>0</v>
      </c>
      <c r="J538" t="n">
        <v>0</v>
      </c>
      <c r="K538" t="n">
        <v>0</v>
      </c>
      <c r="L538" t="n">
        <v>0</v>
      </c>
      <c r="M538" t="n">
        <v>0</v>
      </c>
      <c r="N538" t="n">
        <v>0</v>
      </c>
      <c r="O538" t="n">
        <v>0</v>
      </c>
      <c r="P538" t="n">
        <v>0</v>
      </c>
      <c r="Q538" t="n">
        <v>0</v>
      </c>
      <c r="R538" s="2" t="inlineStr"/>
    </row>
    <row r="539" ht="15" customHeight="1">
      <c r="A539" t="inlineStr">
        <is>
          <t>A 27044-2025</t>
        </is>
      </c>
      <c r="B539" s="1" t="n">
        <v>45811.61496527777</v>
      </c>
      <c r="C539" s="1" t="n">
        <v>46139</v>
      </c>
      <c r="D539" t="inlineStr">
        <is>
          <t>JÄMTLANDS LÄN</t>
        </is>
      </c>
      <c r="E539" t="inlineStr">
        <is>
          <t>BERG</t>
        </is>
      </c>
      <c r="F539" t="inlineStr">
        <is>
          <t>SCA</t>
        </is>
      </c>
      <c r="G539" t="n">
        <v>26.1</v>
      </c>
      <c r="H539" t="n">
        <v>0</v>
      </c>
      <c r="I539" t="n">
        <v>0</v>
      </c>
      <c r="J539" t="n">
        <v>0</v>
      </c>
      <c r="K539" t="n">
        <v>0</v>
      </c>
      <c r="L539" t="n">
        <v>0</v>
      </c>
      <c r="M539" t="n">
        <v>0</v>
      </c>
      <c r="N539" t="n">
        <v>0</v>
      </c>
      <c r="O539" t="n">
        <v>0</v>
      </c>
      <c r="P539" t="n">
        <v>0</v>
      </c>
      <c r="Q539" t="n">
        <v>0</v>
      </c>
      <c r="R539" s="2" t="inlineStr"/>
    </row>
    <row r="540" ht="15" customHeight="1">
      <c r="A540" t="inlineStr">
        <is>
          <t>A 50435-2025</t>
        </is>
      </c>
      <c r="B540" s="1" t="n">
        <v>45944.6984837963</v>
      </c>
      <c r="C540" s="1" t="n">
        <v>46139</v>
      </c>
      <c r="D540" t="inlineStr">
        <is>
          <t>JÄMTLANDS LÄN</t>
        </is>
      </c>
      <c r="E540" t="inlineStr">
        <is>
          <t>BERG</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50273-2025</t>
        </is>
      </c>
      <c r="B541" s="1" t="n">
        <v>45944.36600694444</v>
      </c>
      <c r="C541" s="1" t="n">
        <v>46139</v>
      </c>
      <c r="D541" t="inlineStr">
        <is>
          <t>JÄMTLANDS LÄN</t>
        </is>
      </c>
      <c r="E541" t="inlineStr">
        <is>
          <t>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50408-2025</t>
        </is>
      </c>
      <c r="B542" s="1" t="n">
        <v>45944.64006944445</v>
      </c>
      <c r="C542" s="1" t="n">
        <v>46139</v>
      </c>
      <c r="D542" t="inlineStr">
        <is>
          <t>JÄMTLANDS LÄN</t>
        </is>
      </c>
      <c r="E542" t="inlineStr">
        <is>
          <t>BERG</t>
        </is>
      </c>
      <c r="G542" t="n">
        <v>1.2</v>
      </c>
      <c r="H542" t="n">
        <v>0</v>
      </c>
      <c r="I542" t="n">
        <v>0</v>
      </c>
      <c r="J542" t="n">
        <v>0</v>
      </c>
      <c r="K542" t="n">
        <v>0</v>
      </c>
      <c r="L542" t="n">
        <v>0</v>
      </c>
      <c r="M542" t="n">
        <v>0</v>
      </c>
      <c r="N542" t="n">
        <v>0</v>
      </c>
      <c r="O542" t="n">
        <v>0</v>
      </c>
      <c r="P542" t="n">
        <v>0</v>
      </c>
      <c r="Q542" t="n">
        <v>0</v>
      </c>
      <c r="R542" s="2" t="inlineStr"/>
    </row>
    <row r="543" ht="15" customHeight="1">
      <c r="A543" t="inlineStr">
        <is>
          <t>A 27063-2025</t>
        </is>
      </c>
      <c r="B543" s="1" t="n">
        <v>45811.63626157407</v>
      </c>
      <c r="C543" s="1" t="n">
        <v>46139</v>
      </c>
      <c r="D543" t="inlineStr">
        <is>
          <t>JÄMTLANDS LÄN</t>
        </is>
      </c>
      <c r="E543" t="inlineStr">
        <is>
          <t>BERG</t>
        </is>
      </c>
      <c r="F543" t="inlineStr">
        <is>
          <t>SCA</t>
        </is>
      </c>
      <c r="G543" t="n">
        <v>18.9</v>
      </c>
      <c r="H543" t="n">
        <v>0</v>
      </c>
      <c r="I543" t="n">
        <v>0</v>
      </c>
      <c r="J543" t="n">
        <v>0</v>
      </c>
      <c r="K543" t="n">
        <v>0</v>
      </c>
      <c r="L543" t="n">
        <v>0</v>
      </c>
      <c r="M543" t="n">
        <v>0</v>
      </c>
      <c r="N543" t="n">
        <v>0</v>
      </c>
      <c r="O543" t="n">
        <v>0</v>
      </c>
      <c r="P543" t="n">
        <v>0</v>
      </c>
      <c r="Q543" t="n">
        <v>0</v>
      </c>
      <c r="R543" s="2" t="inlineStr"/>
    </row>
    <row r="544" ht="15" customHeight="1">
      <c r="A544" t="inlineStr">
        <is>
          <t>A 43458-2025</t>
        </is>
      </c>
      <c r="B544" s="1" t="n">
        <v>45911.46315972223</v>
      </c>
      <c r="C544" s="1" t="n">
        <v>46139</v>
      </c>
      <c r="D544" t="inlineStr">
        <is>
          <t>JÄMTLANDS LÄN</t>
        </is>
      </c>
      <c r="E544" t="inlineStr">
        <is>
          <t>BERG</t>
        </is>
      </c>
      <c r="G544" t="n">
        <v>11.2</v>
      </c>
      <c r="H544" t="n">
        <v>0</v>
      </c>
      <c r="I544" t="n">
        <v>0</v>
      </c>
      <c r="J544" t="n">
        <v>0</v>
      </c>
      <c r="K544" t="n">
        <v>0</v>
      </c>
      <c r="L544" t="n">
        <v>0</v>
      </c>
      <c r="M544" t="n">
        <v>0</v>
      </c>
      <c r="N544" t="n">
        <v>0</v>
      </c>
      <c r="O544" t="n">
        <v>0</v>
      </c>
      <c r="P544" t="n">
        <v>0</v>
      </c>
      <c r="Q544" t="n">
        <v>0</v>
      </c>
      <c r="R544" s="2" t="inlineStr"/>
    </row>
    <row r="545" ht="15" customHeight="1">
      <c r="A545" t="inlineStr">
        <is>
          <t>A 50562-2025</t>
        </is>
      </c>
      <c r="B545" s="1" t="n">
        <v>45945.55256944444</v>
      </c>
      <c r="C545" s="1" t="n">
        <v>46139</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50531-2025</t>
        </is>
      </c>
      <c r="B546" s="1" t="n">
        <v>45945.47693287037</v>
      </c>
      <c r="C546" s="1" t="n">
        <v>46139</v>
      </c>
      <c r="D546" t="inlineStr">
        <is>
          <t>JÄMTLANDS LÄN</t>
        </is>
      </c>
      <c r="E546" t="inlineStr">
        <is>
          <t>BERG</t>
        </is>
      </c>
      <c r="G546" t="n">
        <v>13.9</v>
      </c>
      <c r="H546" t="n">
        <v>0</v>
      </c>
      <c r="I546" t="n">
        <v>0</v>
      </c>
      <c r="J546" t="n">
        <v>0</v>
      </c>
      <c r="K546" t="n">
        <v>0</v>
      </c>
      <c r="L546" t="n">
        <v>0</v>
      </c>
      <c r="M546" t="n">
        <v>0</v>
      </c>
      <c r="N546" t="n">
        <v>0</v>
      </c>
      <c r="O546" t="n">
        <v>0</v>
      </c>
      <c r="P546" t="n">
        <v>0</v>
      </c>
      <c r="Q546" t="n">
        <v>0</v>
      </c>
      <c r="R546" s="2" t="inlineStr"/>
    </row>
    <row r="547" ht="15" customHeight="1">
      <c r="A547" t="inlineStr">
        <is>
          <t>A 27317-2025</t>
        </is>
      </c>
      <c r="B547" s="1" t="n">
        <v>45812.59011574074</v>
      </c>
      <c r="C547" s="1" t="n">
        <v>46139</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27459-2025</t>
        </is>
      </c>
      <c r="B548" s="1" t="n">
        <v>45813.34561342592</v>
      </c>
      <c r="C548" s="1" t="n">
        <v>46139</v>
      </c>
      <c r="D548" t="inlineStr">
        <is>
          <t>JÄMTLANDS LÄN</t>
        </is>
      </c>
      <c r="E548" t="inlineStr">
        <is>
          <t>BERG</t>
        </is>
      </c>
      <c r="F548" t="inlineStr">
        <is>
          <t>SCA</t>
        </is>
      </c>
      <c r="G548" t="n">
        <v>19.2</v>
      </c>
      <c r="H548" t="n">
        <v>0</v>
      </c>
      <c r="I548" t="n">
        <v>0</v>
      </c>
      <c r="J548" t="n">
        <v>0</v>
      </c>
      <c r="K548" t="n">
        <v>0</v>
      </c>
      <c r="L548" t="n">
        <v>0</v>
      </c>
      <c r="M548" t="n">
        <v>0</v>
      </c>
      <c r="N548" t="n">
        <v>0</v>
      </c>
      <c r="O548" t="n">
        <v>0</v>
      </c>
      <c r="P548" t="n">
        <v>0</v>
      </c>
      <c r="Q548" t="n">
        <v>0</v>
      </c>
      <c r="R548" s="2" t="inlineStr"/>
    </row>
    <row r="549" ht="15" customHeight="1">
      <c r="A549" t="inlineStr">
        <is>
          <t>A 1495-2025</t>
        </is>
      </c>
      <c r="B549" s="1" t="n">
        <v>45670.40652777778</v>
      </c>
      <c r="C549" s="1" t="n">
        <v>46139</v>
      </c>
      <c r="D549" t="inlineStr">
        <is>
          <t>JÄMTLANDS LÄN</t>
        </is>
      </c>
      <c r="E549" t="inlineStr">
        <is>
          <t>BERG</t>
        </is>
      </c>
      <c r="G549" t="n">
        <v>0.3</v>
      </c>
      <c r="H549" t="n">
        <v>0</v>
      </c>
      <c r="I549" t="n">
        <v>0</v>
      </c>
      <c r="J549" t="n">
        <v>0</v>
      </c>
      <c r="K549" t="n">
        <v>0</v>
      </c>
      <c r="L549" t="n">
        <v>0</v>
      </c>
      <c r="M549" t="n">
        <v>0</v>
      </c>
      <c r="N549" t="n">
        <v>0</v>
      </c>
      <c r="O549" t="n">
        <v>0</v>
      </c>
      <c r="P549" t="n">
        <v>0</v>
      </c>
      <c r="Q549" t="n">
        <v>0</v>
      </c>
      <c r="R549" s="2" t="inlineStr"/>
    </row>
    <row r="550" ht="15" customHeight="1">
      <c r="A550" t="inlineStr">
        <is>
          <t>A 27569-2025</t>
        </is>
      </c>
      <c r="B550" s="1" t="n">
        <v>45813.49018518518</v>
      </c>
      <c r="C550" s="1" t="n">
        <v>46139</v>
      </c>
      <c r="D550" t="inlineStr">
        <is>
          <t>JÄMTLANDS LÄN</t>
        </is>
      </c>
      <c r="E550" t="inlineStr">
        <is>
          <t>BERG</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34367-2024</t>
        </is>
      </c>
      <c r="B551" s="1" t="n">
        <v>45525.38040509259</v>
      </c>
      <c r="C551" s="1" t="n">
        <v>46139</v>
      </c>
      <c r="D551" t="inlineStr">
        <is>
          <t>JÄMTLANDS LÄN</t>
        </is>
      </c>
      <c r="E551" t="inlineStr">
        <is>
          <t>BERG</t>
        </is>
      </c>
      <c r="G551" t="n">
        <v>0.4</v>
      </c>
      <c r="H551" t="n">
        <v>0</v>
      </c>
      <c r="I551" t="n">
        <v>0</v>
      </c>
      <c r="J551" t="n">
        <v>0</v>
      </c>
      <c r="K551" t="n">
        <v>0</v>
      </c>
      <c r="L551" t="n">
        <v>0</v>
      </c>
      <c r="M551" t="n">
        <v>0</v>
      </c>
      <c r="N551" t="n">
        <v>0</v>
      </c>
      <c r="O551" t="n">
        <v>0</v>
      </c>
      <c r="P551" t="n">
        <v>0</v>
      </c>
      <c r="Q551" t="n">
        <v>0</v>
      </c>
      <c r="R551" s="2" t="inlineStr"/>
    </row>
    <row r="552" ht="15" customHeight="1">
      <c r="A552" t="inlineStr">
        <is>
          <t>A 34369-2024</t>
        </is>
      </c>
      <c r="B552" s="1" t="n">
        <v>45525.38228009259</v>
      </c>
      <c r="C552" s="1" t="n">
        <v>46139</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27312-2025</t>
        </is>
      </c>
      <c r="B553" s="1" t="n">
        <v>45812.58002314815</v>
      </c>
      <c r="C553" s="1" t="n">
        <v>46139</v>
      </c>
      <c r="D553" t="inlineStr">
        <is>
          <t>JÄMTLANDS LÄN</t>
        </is>
      </c>
      <c r="E553" t="inlineStr">
        <is>
          <t>BERG</t>
        </is>
      </c>
      <c r="G553" t="n">
        <v>6</v>
      </c>
      <c r="H553" t="n">
        <v>0</v>
      </c>
      <c r="I553" t="n">
        <v>0</v>
      </c>
      <c r="J553" t="n">
        <v>0</v>
      </c>
      <c r="K553" t="n">
        <v>0</v>
      </c>
      <c r="L553" t="n">
        <v>0</v>
      </c>
      <c r="M553" t="n">
        <v>0</v>
      </c>
      <c r="N553" t="n">
        <v>0</v>
      </c>
      <c r="O553" t="n">
        <v>0</v>
      </c>
      <c r="P553" t="n">
        <v>0</v>
      </c>
      <c r="Q553" t="n">
        <v>0</v>
      </c>
      <c r="R553" s="2" t="inlineStr"/>
    </row>
    <row r="554" ht="15" customHeight="1">
      <c r="A554" t="inlineStr">
        <is>
          <t>A 27737-2025</t>
        </is>
      </c>
      <c r="B554" s="1" t="n">
        <v>45815.34414351852</v>
      </c>
      <c r="C554" s="1" t="n">
        <v>46139</v>
      </c>
      <c r="D554" t="inlineStr">
        <is>
          <t>JÄMTLANDS LÄN</t>
        </is>
      </c>
      <c r="E554" t="inlineStr">
        <is>
          <t>BERG</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28079-2025</t>
        </is>
      </c>
      <c r="B555" s="1" t="n">
        <v>45817.69681712963</v>
      </c>
      <c r="C555" s="1" t="n">
        <v>46139</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28077-2025</t>
        </is>
      </c>
      <c r="B556" s="1" t="n">
        <v>45817.68596064814</v>
      </c>
      <c r="C556" s="1" t="n">
        <v>46139</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27716-2025</t>
        </is>
      </c>
      <c r="B557" s="1" t="n">
        <v>45813.961875</v>
      </c>
      <c r="C557" s="1" t="n">
        <v>46139</v>
      </c>
      <c r="D557" t="inlineStr">
        <is>
          <t>JÄMTLANDS LÄN</t>
        </is>
      </c>
      <c r="E557" t="inlineStr">
        <is>
          <t>BERG</t>
        </is>
      </c>
      <c r="G557" t="n">
        <v>6.7</v>
      </c>
      <c r="H557" t="n">
        <v>0</v>
      </c>
      <c r="I557" t="n">
        <v>0</v>
      </c>
      <c r="J557" t="n">
        <v>0</v>
      </c>
      <c r="K557" t="n">
        <v>0</v>
      </c>
      <c r="L557" t="n">
        <v>0</v>
      </c>
      <c r="M557" t="n">
        <v>0</v>
      </c>
      <c r="N557" t="n">
        <v>0</v>
      </c>
      <c r="O557" t="n">
        <v>0</v>
      </c>
      <c r="P557" t="n">
        <v>0</v>
      </c>
      <c r="Q557" t="n">
        <v>0</v>
      </c>
      <c r="R557" s="2" t="inlineStr"/>
    </row>
    <row r="558" ht="15" customHeight="1">
      <c r="A558" t="inlineStr">
        <is>
          <t>A 27750-2025</t>
        </is>
      </c>
      <c r="B558" s="1" t="n">
        <v>45815.68543981481</v>
      </c>
      <c r="C558" s="1" t="n">
        <v>46139</v>
      </c>
      <c r="D558" t="inlineStr">
        <is>
          <t>JÄMTLANDS LÄN</t>
        </is>
      </c>
      <c r="E558" t="inlineStr">
        <is>
          <t>BERG</t>
        </is>
      </c>
      <c r="G558" t="n">
        <v>2.4</v>
      </c>
      <c r="H558" t="n">
        <v>0</v>
      </c>
      <c r="I558" t="n">
        <v>0</v>
      </c>
      <c r="J558" t="n">
        <v>0</v>
      </c>
      <c r="K558" t="n">
        <v>0</v>
      </c>
      <c r="L558" t="n">
        <v>0</v>
      </c>
      <c r="M558" t="n">
        <v>0</v>
      </c>
      <c r="N558" t="n">
        <v>0</v>
      </c>
      <c r="O558" t="n">
        <v>0</v>
      </c>
      <c r="P558" t="n">
        <v>0</v>
      </c>
      <c r="Q558" t="n">
        <v>0</v>
      </c>
      <c r="R558" s="2" t="inlineStr"/>
    </row>
    <row r="559" ht="15" customHeight="1">
      <c r="A559" t="inlineStr">
        <is>
          <t>A 28257-2025</t>
        </is>
      </c>
      <c r="B559" s="1" t="n">
        <v>45818.55263888889</v>
      </c>
      <c r="C559" s="1" t="n">
        <v>46139</v>
      </c>
      <c r="D559" t="inlineStr">
        <is>
          <t>JÄMTLANDS LÄN</t>
        </is>
      </c>
      <c r="E559" t="inlineStr">
        <is>
          <t>BERG</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51203-2025</t>
        </is>
      </c>
      <c r="B560" s="1" t="n">
        <v>45947.63592592593</v>
      </c>
      <c r="C560" s="1" t="n">
        <v>46139</v>
      </c>
      <c r="D560" t="inlineStr">
        <is>
          <t>JÄMTLANDS LÄN</t>
        </is>
      </c>
      <c r="E560" t="inlineStr">
        <is>
          <t>BERG</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166-2024</t>
        </is>
      </c>
      <c r="B561" s="1" t="n">
        <v>45294</v>
      </c>
      <c r="C561" s="1" t="n">
        <v>46139</v>
      </c>
      <c r="D561" t="inlineStr">
        <is>
          <t>JÄMTLANDS LÄN</t>
        </is>
      </c>
      <c r="E561" t="inlineStr">
        <is>
          <t>BERG</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28657-2025</t>
        </is>
      </c>
      <c r="B562" s="1" t="n">
        <v>45819.65709490741</v>
      </c>
      <c r="C562" s="1" t="n">
        <v>46139</v>
      </c>
      <c r="D562" t="inlineStr">
        <is>
          <t>JÄMTLANDS LÄN</t>
        </is>
      </c>
      <c r="E562" t="inlineStr">
        <is>
          <t>BERG</t>
        </is>
      </c>
      <c r="G562" t="n">
        <v>2.4</v>
      </c>
      <c r="H562" t="n">
        <v>0</v>
      </c>
      <c r="I562" t="n">
        <v>0</v>
      </c>
      <c r="J562" t="n">
        <v>0</v>
      </c>
      <c r="K562" t="n">
        <v>0</v>
      </c>
      <c r="L562" t="n">
        <v>0</v>
      </c>
      <c r="M562" t="n">
        <v>0</v>
      </c>
      <c r="N562" t="n">
        <v>0</v>
      </c>
      <c r="O562" t="n">
        <v>0</v>
      </c>
      <c r="P562" t="n">
        <v>0</v>
      </c>
      <c r="Q562" t="n">
        <v>0</v>
      </c>
      <c r="R562" s="2" t="inlineStr"/>
    </row>
    <row r="563" ht="15" customHeight="1">
      <c r="A563" t="inlineStr">
        <is>
          <t>A 28196-2025</t>
        </is>
      </c>
      <c r="B563" s="1" t="n">
        <v>45818.42753472222</v>
      </c>
      <c r="C563" s="1" t="n">
        <v>46139</v>
      </c>
      <c r="D563" t="inlineStr">
        <is>
          <t>JÄMTLANDS LÄN</t>
        </is>
      </c>
      <c r="E563" t="inlineStr">
        <is>
          <t>BERG</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28401-2025</t>
        </is>
      </c>
      <c r="B564" s="1" t="n">
        <v>45819.34469907408</v>
      </c>
      <c r="C564" s="1" t="n">
        <v>46139</v>
      </c>
      <c r="D564" t="inlineStr">
        <is>
          <t>JÄMTLANDS LÄN</t>
        </is>
      </c>
      <c r="E564" t="inlineStr">
        <is>
          <t>BERG</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50698-2025</t>
        </is>
      </c>
      <c r="B565" s="1" t="n">
        <v>45945.91894675926</v>
      </c>
      <c r="C565" s="1" t="n">
        <v>46139</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28453-2025</t>
        </is>
      </c>
      <c r="B566" s="1" t="n">
        <v>45819.40668981482</v>
      </c>
      <c r="C566" s="1" t="n">
        <v>46139</v>
      </c>
      <c r="D566" t="inlineStr">
        <is>
          <t>JÄMTLANDS LÄN</t>
        </is>
      </c>
      <c r="E566" t="inlineStr">
        <is>
          <t>BERG</t>
        </is>
      </c>
      <c r="G566" t="n">
        <v>4.1</v>
      </c>
      <c r="H566" t="n">
        <v>0</v>
      </c>
      <c r="I566" t="n">
        <v>0</v>
      </c>
      <c r="J566" t="n">
        <v>0</v>
      </c>
      <c r="K566" t="n">
        <v>0</v>
      </c>
      <c r="L566" t="n">
        <v>0</v>
      </c>
      <c r="M566" t="n">
        <v>0</v>
      </c>
      <c r="N566" t="n">
        <v>0</v>
      </c>
      <c r="O566" t="n">
        <v>0</v>
      </c>
      <c r="P566" t="n">
        <v>0</v>
      </c>
      <c r="Q566" t="n">
        <v>0</v>
      </c>
      <c r="R566" s="2" t="inlineStr"/>
    </row>
    <row r="567" ht="15" customHeight="1">
      <c r="A567" t="inlineStr">
        <is>
          <t>A 3964-2025</t>
        </is>
      </c>
      <c r="B567" s="1" t="n">
        <v>45684.50761574074</v>
      </c>
      <c r="C567" s="1" t="n">
        <v>46139</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28157-2025</t>
        </is>
      </c>
      <c r="B568" s="1" t="n">
        <v>45818.36512731481</v>
      </c>
      <c r="C568" s="1" t="n">
        <v>46139</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47982-2022</t>
        </is>
      </c>
      <c r="B569" s="1" t="n">
        <v>44853</v>
      </c>
      <c r="C569" s="1" t="n">
        <v>46139</v>
      </c>
      <c r="D569" t="inlineStr">
        <is>
          <t>JÄMTLANDS LÄN</t>
        </is>
      </c>
      <c r="E569" t="inlineStr">
        <is>
          <t>BERG</t>
        </is>
      </c>
      <c r="G569" t="n">
        <v>5.1</v>
      </c>
      <c r="H569" t="n">
        <v>0</v>
      </c>
      <c r="I569" t="n">
        <v>0</v>
      </c>
      <c r="J569" t="n">
        <v>0</v>
      </c>
      <c r="K569" t="n">
        <v>0</v>
      </c>
      <c r="L569" t="n">
        <v>0</v>
      </c>
      <c r="M569" t="n">
        <v>0</v>
      </c>
      <c r="N569" t="n">
        <v>0</v>
      </c>
      <c r="O569" t="n">
        <v>0</v>
      </c>
      <c r="P569" t="n">
        <v>0</v>
      </c>
      <c r="Q569" t="n">
        <v>0</v>
      </c>
      <c r="R569" s="2" t="inlineStr"/>
    </row>
    <row r="570" ht="15" customHeight="1">
      <c r="A570" t="inlineStr">
        <is>
          <t>A 61239-2022</t>
        </is>
      </c>
      <c r="B570" s="1" t="n">
        <v>44909</v>
      </c>
      <c r="C570" s="1" t="n">
        <v>46139</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7021-2025</t>
        </is>
      </c>
      <c r="B571" s="1" t="n">
        <v>45701.61520833334</v>
      </c>
      <c r="C571" s="1" t="n">
        <v>46139</v>
      </c>
      <c r="D571" t="inlineStr">
        <is>
          <t>JÄMTLANDS LÄN</t>
        </is>
      </c>
      <c r="E571" t="inlineStr">
        <is>
          <t>BERG</t>
        </is>
      </c>
      <c r="G571" t="n">
        <v>4.2</v>
      </c>
      <c r="H571" t="n">
        <v>0</v>
      </c>
      <c r="I571" t="n">
        <v>0</v>
      </c>
      <c r="J571" t="n">
        <v>0</v>
      </c>
      <c r="K571" t="n">
        <v>0</v>
      </c>
      <c r="L571" t="n">
        <v>0</v>
      </c>
      <c r="M571" t="n">
        <v>0</v>
      </c>
      <c r="N571" t="n">
        <v>0</v>
      </c>
      <c r="O571" t="n">
        <v>0</v>
      </c>
      <c r="P571" t="n">
        <v>0</v>
      </c>
      <c r="Q571" t="n">
        <v>0</v>
      </c>
      <c r="R571" s="2" t="inlineStr"/>
    </row>
    <row r="572" ht="15" customHeight="1">
      <c r="A572" t="inlineStr">
        <is>
          <t>A 51083-2025</t>
        </is>
      </c>
      <c r="B572" s="1" t="n">
        <v>45947.4678587963</v>
      </c>
      <c r="C572" s="1" t="n">
        <v>46139</v>
      </c>
      <c r="D572" t="inlineStr">
        <is>
          <t>JÄMTLANDS LÄN</t>
        </is>
      </c>
      <c r="E572" t="inlineStr">
        <is>
          <t>BERG</t>
        </is>
      </c>
      <c r="F572" t="inlineStr">
        <is>
          <t>Övriga Aktiebolag</t>
        </is>
      </c>
      <c r="G572" t="n">
        <v>10.4</v>
      </c>
      <c r="H572" t="n">
        <v>0</v>
      </c>
      <c r="I572" t="n">
        <v>0</v>
      </c>
      <c r="J572" t="n">
        <v>0</v>
      </c>
      <c r="K572" t="n">
        <v>0</v>
      </c>
      <c r="L572" t="n">
        <v>0</v>
      </c>
      <c r="M572" t="n">
        <v>0</v>
      </c>
      <c r="N572" t="n">
        <v>0</v>
      </c>
      <c r="O572" t="n">
        <v>0</v>
      </c>
      <c r="P572" t="n">
        <v>0</v>
      </c>
      <c r="Q572" t="n">
        <v>0</v>
      </c>
      <c r="R572" s="2" t="inlineStr"/>
    </row>
    <row r="573" ht="15" customHeight="1">
      <c r="A573" t="inlineStr">
        <is>
          <t>A 51079-2025</t>
        </is>
      </c>
      <c r="B573" s="1" t="n">
        <v>45947.465</v>
      </c>
      <c r="C573" s="1" t="n">
        <v>46139</v>
      </c>
      <c r="D573" t="inlineStr">
        <is>
          <t>JÄMTLANDS LÄN</t>
        </is>
      </c>
      <c r="E573" t="inlineStr">
        <is>
          <t>BERG</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28454-2025</t>
        </is>
      </c>
      <c r="B574" s="1" t="n">
        <v>45819.40679398148</v>
      </c>
      <c r="C574" s="1" t="n">
        <v>46139</v>
      </c>
      <c r="D574" t="inlineStr">
        <is>
          <t>JÄMTLANDS LÄN</t>
        </is>
      </c>
      <c r="E574" t="inlineStr">
        <is>
          <t>BERG</t>
        </is>
      </c>
      <c r="G574" t="n">
        <v>3.8</v>
      </c>
      <c r="H574" t="n">
        <v>0</v>
      </c>
      <c r="I574" t="n">
        <v>0</v>
      </c>
      <c r="J574" t="n">
        <v>0</v>
      </c>
      <c r="K574" t="n">
        <v>0</v>
      </c>
      <c r="L574" t="n">
        <v>0</v>
      </c>
      <c r="M574" t="n">
        <v>0</v>
      </c>
      <c r="N574" t="n">
        <v>0</v>
      </c>
      <c r="O574" t="n">
        <v>0</v>
      </c>
      <c r="P574" t="n">
        <v>0</v>
      </c>
      <c r="Q574" t="n">
        <v>0</v>
      </c>
      <c r="R574" s="2" t="inlineStr"/>
    </row>
    <row r="575" ht="15" customHeight="1">
      <c r="A575" t="inlineStr">
        <is>
          <t>A 19429-2025</t>
        </is>
      </c>
      <c r="B575" s="1" t="n">
        <v>45769.8025462963</v>
      </c>
      <c r="C575" s="1" t="n">
        <v>46139</v>
      </c>
      <c r="D575" t="inlineStr">
        <is>
          <t>JÄMTLANDS LÄN</t>
        </is>
      </c>
      <c r="E575" t="inlineStr">
        <is>
          <t>BERG</t>
        </is>
      </c>
      <c r="G575" t="n">
        <v>2</v>
      </c>
      <c r="H575" t="n">
        <v>0</v>
      </c>
      <c r="I575" t="n">
        <v>0</v>
      </c>
      <c r="J575" t="n">
        <v>0</v>
      </c>
      <c r="K575" t="n">
        <v>0</v>
      </c>
      <c r="L575" t="n">
        <v>0</v>
      </c>
      <c r="M575" t="n">
        <v>0</v>
      </c>
      <c r="N575" t="n">
        <v>0</v>
      </c>
      <c r="O575" t="n">
        <v>0</v>
      </c>
      <c r="P575" t="n">
        <v>0</v>
      </c>
      <c r="Q575" t="n">
        <v>0</v>
      </c>
      <c r="R575" s="2" t="inlineStr"/>
    </row>
    <row r="576" ht="15" customHeight="1">
      <c r="A576" t="inlineStr">
        <is>
          <t>A 51080-2025</t>
        </is>
      </c>
      <c r="B576" s="1" t="n">
        <v>45947.46655092593</v>
      </c>
      <c r="C576" s="1" t="n">
        <v>46139</v>
      </c>
      <c r="D576" t="inlineStr">
        <is>
          <t>JÄMTLANDS LÄN</t>
        </is>
      </c>
      <c r="E576" t="inlineStr">
        <is>
          <t>BERG</t>
        </is>
      </c>
      <c r="F576" t="inlineStr">
        <is>
          <t>Övriga Aktiebolag</t>
        </is>
      </c>
      <c r="G576" t="n">
        <v>2</v>
      </c>
      <c r="H576" t="n">
        <v>0</v>
      </c>
      <c r="I576" t="n">
        <v>0</v>
      </c>
      <c r="J576" t="n">
        <v>0</v>
      </c>
      <c r="K576" t="n">
        <v>0</v>
      </c>
      <c r="L576" t="n">
        <v>0</v>
      </c>
      <c r="M576" t="n">
        <v>0</v>
      </c>
      <c r="N576" t="n">
        <v>0</v>
      </c>
      <c r="O576" t="n">
        <v>0</v>
      </c>
      <c r="P576" t="n">
        <v>0</v>
      </c>
      <c r="Q576" t="n">
        <v>0</v>
      </c>
      <c r="R576" s="2" t="inlineStr"/>
    </row>
    <row r="577" ht="15" customHeight="1">
      <c r="A577" t="inlineStr">
        <is>
          <t>A 51301-2025</t>
        </is>
      </c>
      <c r="B577" s="1" t="n">
        <v>45950.36480324074</v>
      </c>
      <c r="C577" s="1" t="n">
        <v>46139</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51675-2025</t>
        </is>
      </c>
      <c r="B578" s="1" t="n">
        <v>45951.50565972222</v>
      </c>
      <c r="C578" s="1" t="n">
        <v>46139</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51495-2025</t>
        </is>
      </c>
      <c r="B579" s="1" t="n">
        <v>45950.6366550926</v>
      </c>
      <c r="C579" s="1" t="n">
        <v>46139</v>
      </c>
      <c r="D579" t="inlineStr">
        <is>
          <t>JÄMTLANDS LÄN</t>
        </is>
      </c>
      <c r="E579" t="inlineStr">
        <is>
          <t>BERG</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47176-2023</t>
        </is>
      </c>
      <c r="B580" s="1" t="n">
        <v>45201.94844907407</v>
      </c>
      <c r="C580" s="1" t="n">
        <v>46139</v>
      </c>
      <c r="D580" t="inlineStr">
        <is>
          <t>JÄMTLANDS LÄN</t>
        </is>
      </c>
      <c r="E580" t="inlineStr">
        <is>
          <t>BERG</t>
        </is>
      </c>
      <c r="F580" t="inlineStr">
        <is>
          <t>SCA</t>
        </is>
      </c>
      <c r="G580" t="n">
        <v>32.3</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46139</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29199-2025</t>
        </is>
      </c>
      <c r="B582" s="1" t="n">
        <v>45823.34459490741</v>
      </c>
      <c r="C582" s="1" t="n">
        <v>46139</v>
      </c>
      <c r="D582" t="inlineStr">
        <is>
          <t>JÄMTLANDS LÄN</t>
        </is>
      </c>
      <c r="E582" t="inlineStr">
        <is>
          <t>BERG</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46139</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29197-2025</t>
        </is>
      </c>
      <c r="B584" s="1" t="n">
        <v>45823.34438657408</v>
      </c>
      <c r="C584" s="1" t="n">
        <v>46139</v>
      </c>
      <c r="D584" t="inlineStr">
        <is>
          <t>JÄMTLANDS LÄN</t>
        </is>
      </c>
      <c r="E584" t="inlineStr">
        <is>
          <t>BERG</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46139</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46139</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29310-2025</t>
        </is>
      </c>
      <c r="B587" s="1" t="n">
        <v>45824.46353009259</v>
      </c>
      <c r="C587" s="1" t="n">
        <v>46139</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13672-2024</t>
        </is>
      </c>
      <c r="B588" s="1" t="n">
        <v>45390</v>
      </c>
      <c r="C588" s="1" t="n">
        <v>46139</v>
      </c>
      <c r="D588" t="inlineStr">
        <is>
          <t>JÄMTLANDS LÄN</t>
        </is>
      </c>
      <c r="E588" t="inlineStr">
        <is>
          <t>BERG</t>
        </is>
      </c>
      <c r="G588" t="n">
        <v>0.3</v>
      </c>
      <c r="H588" t="n">
        <v>0</v>
      </c>
      <c r="I588" t="n">
        <v>0</v>
      </c>
      <c r="J588" t="n">
        <v>0</v>
      </c>
      <c r="K588" t="n">
        <v>0</v>
      </c>
      <c r="L588" t="n">
        <v>0</v>
      </c>
      <c r="M588" t="n">
        <v>0</v>
      </c>
      <c r="N588" t="n">
        <v>0</v>
      </c>
      <c r="O588" t="n">
        <v>0</v>
      </c>
      <c r="P588" t="n">
        <v>0</v>
      </c>
      <c r="Q588" t="n">
        <v>0</v>
      </c>
      <c r="R588" s="2" t="inlineStr"/>
    </row>
    <row r="589" ht="15" customHeight="1">
      <c r="A589" t="inlineStr">
        <is>
          <t>A 29538-2025</t>
        </is>
      </c>
      <c r="B589" s="1" t="n">
        <v>45825.34517361111</v>
      </c>
      <c r="C589" s="1" t="n">
        <v>46139</v>
      </c>
      <c r="D589" t="inlineStr">
        <is>
          <t>JÄMTLANDS LÄN</t>
        </is>
      </c>
      <c r="E589" t="inlineStr">
        <is>
          <t>BERG</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46139</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29533-2025</t>
        </is>
      </c>
      <c r="B591" s="1" t="n">
        <v>45825.34466435185</v>
      </c>
      <c r="C591" s="1" t="n">
        <v>46139</v>
      </c>
      <c r="D591" t="inlineStr">
        <is>
          <t>JÄMTLANDS LÄN</t>
        </is>
      </c>
      <c r="E591" t="inlineStr">
        <is>
          <t>BERG</t>
        </is>
      </c>
      <c r="F591" t="inlineStr">
        <is>
          <t>SCA</t>
        </is>
      </c>
      <c r="G591" t="n">
        <v>10</v>
      </c>
      <c r="H591" t="n">
        <v>0</v>
      </c>
      <c r="I591" t="n">
        <v>0</v>
      </c>
      <c r="J591" t="n">
        <v>0</v>
      </c>
      <c r="K591" t="n">
        <v>0</v>
      </c>
      <c r="L591" t="n">
        <v>0</v>
      </c>
      <c r="M591" t="n">
        <v>0</v>
      </c>
      <c r="N591" t="n">
        <v>0</v>
      </c>
      <c r="O591" t="n">
        <v>0</v>
      </c>
      <c r="P591" t="n">
        <v>0</v>
      </c>
      <c r="Q591" t="n">
        <v>0</v>
      </c>
      <c r="R591" s="2" t="inlineStr"/>
    </row>
    <row r="592" ht="15" customHeight="1">
      <c r="A592" t="inlineStr">
        <is>
          <t>A 52260-2025</t>
        </is>
      </c>
      <c r="B592" s="1" t="n">
        <v>45953.51113425926</v>
      </c>
      <c r="C592" s="1" t="n">
        <v>46139</v>
      </c>
      <c r="D592" t="inlineStr">
        <is>
          <t>JÄMTLANDS LÄN</t>
        </is>
      </c>
      <c r="E592" t="inlineStr">
        <is>
          <t>BERG</t>
        </is>
      </c>
      <c r="G592" t="n">
        <v>0.8</v>
      </c>
      <c r="H592" t="n">
        <v>0</v>
      </c>
      <c r="I592" t="n">
        <v>0</v>
      </c>
      <c r="J592" t="n">
        <v>0</v>
      </c>
      <c r="K592" t="n">
        <v>0</v>
      </c>
      <c r="L592" t="n">
        <v>0</v>
      </c>
      <c r="M592" t="n">
        <v>0</v>
      </c>
      <c r="N592" t="n">
        <v>0</v>
      </c>
      <c r="O592" t="n">
        <v>0</v>
      </c>
      <c r="P592" t="n">
        <v>0</v>
      </c>
      <c r="Q592" t="n">
        <v>0</v>
      </c>
      <c r="R592" s="2" t="inlineStr"/>
    </row>
    <row r="593" ht="15" customHeight="1">
      <c r="A593" t="inlineStr">
        <is>
          <t>A 51883-2025</t>
        </is>
      </c>
      <c r="B593" s="1" t="n">
        <v>45952.40701388889</v>
      </c>
      <c r="C593" s="1" t="n">
        <v>46139</v>
      </c>
      <c r="D593" t="inlineStr">
        <is>
          <t>JÄMTLANDS LÄN</t>
        </is>
      </c>
      <c r="E593" t="inlineStr">
        <is>
          <t>BERG</t>
        </is>
      </c>
      <c r="G593" t="n">
        <v>0.9</v>
      </c>
      <c r="H593" t="n">
        <v>0</v>
      </c>
      <c r="I593" t="n">
        <v>0</v>
      </c>
      <c r="J593" t="n">
        <v>0</v>
      </c>
      <c r="K593" t="n">
        <v>0</v>
      </c>
      <c r="L593" t="n">
        <v>0</v>
      </c>
      <c r="M593" t="n">
        <v>0</v>
      </c>
      <c r="N593" t="n">
        <v>0</v>
      </c>
      <c r="O593" t="n">
        <v>0</v>
      </c>
      <c r="P593" t="n">
        <v>0</v>
      </c>
      <c r="Q593" t="n">
        <v>0</v>
      </c>
      <c r="R593" s="2" t="inlineStr"/>
    </row>
    <row r="594" ht="15" customHeight="1">
      <c r="A594" t="inlineStr">
        <is>
          <t>A 52348-2025</t>
        </is>
      </c>
      <c r="B594" s="1" t="n">
        <v>45953.72064814815</v>
      </c>
      <c r="C594" s="1" t="n">
        <v>46139</v>
      </c>
      <c r="D594" t="inlineStr">
        <is>
          <t>JÄMTLANDS LÄN</t>
        </is>
      </c>
      <c r="E594" t="inlineStr">
        <is>
          <t>BERG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29279-2025</t>
        </is>
      </c>
      <c r="B595" s="1" t="n">
        <v>45824.42381944445</v>
      </c>
      <c r="C595" s="1" t="n">
        <v>46139</v>
      </c>
      <c r="D595" t="inlineStr">
        <is>
          <t>JÄMTLANDS LÄN</t>
        </is>
      </c>
      <c r="E595" t="inlineStr">
        <is>
          <t>BERG</t>
        </is>
      </c>
      <c r="G595" t="n">
        <v>3.6</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46139</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29198-2025</t>
        </is>
      </c>
      <c r="B597" s="1" t="n">
        <v>45823.34451388889</v>
      </c>
      <c r="C597" s="1" t="n">
        <v>46139</v>
      </c>
      <c r="D597" t="inlineStr">
        <is>
          <t>JÄMTLANDS LÄN</t>
        </is>
      </c>
      <c r="E597" t="inlineStr">
        <is>
          <t>BERG</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46139</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29836-2025</t>
        </is>
      </c>
      <c r="B599" s="1" t="n">
        <v>45825.9468287037</v>
      </c>
      <c r="C599" s="1" t="n">
        <v>46139</v>
      </c>
      <c r="D599" t="inlineStr">
        <is>
          <t>JÄMTLANDS LÄN</t>
        </is>
      </c>
      <c r="E599" t="inlineStr">
        <is>
          <t>BERG</t>
        </is>
      </c>
      <c r="G599" t="n">
        <v>12.7</v>
      </c>
      <c r="H599" t="n">
        <v>0</v>
      </c>
      <c r="I599" t="n">
        <v>0</v>
      </c>
      <c r="J599" t="n">
        <v>0</v>
      </c>
      <c r="K599" t="n">
        <v>0</v>
      </c>
      <c r="L599" t="n">
        <v>0</v>
      </c>
      <c r="M599" t="n">
        <v>0</v>
      </c>
      <c r="N599" t="n">
        <v>0</v>
      </c>
      <c r="O599" t="n">
        <v>0</v>
      </c>
      <c r="P599" t="n">
        <v>0</v>
      </c>
      <c r="Q599" t="n">
        <v>0</v>
      </c>
      <c r="R599" s="2" t="inlineStr"/>
    </row>
    <row r="600" ht="15" customHeight="1">
      <c r="A600" t="inlineStr">
        <is>
          <t>A 52562-2025</t>
        </is>
      </c>
      <c r="B600" s="1" t="n">
        <v>45954.57357638889</v>
      </c>
      <c r="C600" s="1" t="n">
        <v>46139</v>
      </c>
      <c r="D600" t="inlineStr">
        <is>
          <t>JÄMTLANDS LÄN</t>
        </is>
      </c>
      <c r="E600" t="inlineStr">
        <is>
          <t>BERG</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46139</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50612-2023</t>
        </is>
      </c>
      <c r="B602" s="1" t="n">
        <v>45217.444375</v>
      </c>
      <c r="C602" s="1" t="n">
        <v>46139</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30017-2025</t>
        </is>
      </c>
      <c r="B603" s="1" t="n">
        <v>45826.55306712963</v>
      </c>
      <c r="C603" s="1" t="n">
        <v>46139</v>
      </c>
      <c r="D603" t="inlineStr">
        <is>
          <t>JÄMTLANDS LÄN</t>
        </is>
      </c>
      <c r="E603" t="inlineStr">
        <is>
          <t>BERG</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52938-2025</t>
        </is>
      </c>
      <c r="B604" s="1" t="n">
        <v>45957.63680555556</v>
      </c>
      <c r="C604" s="1" t="n">
        <v>46139</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162-2024</t>
        </is>
      </c>
      <c r="B605" s="1" t="n">
        <v>45294</v>
      </c>
      <c r="C605" s="1" t="n">
        <v>46139</v>
      </c>
      <c r="D605" t="inlineStr">
        <is>
          <t>JÄMTLANDS LÄN</t>
        </is>
      </c>
      <c r="E605" t="inlineStr">
        <is>
          <t>BERG</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46298-2024</t>
        </is>
      </c>
      <c r="B606" s="1" t="n">
        <v>45581.67739583334</v>
      </c>
      <c r="C606" s="1" t="n">
        <v>46139</v>
      </c>
      <c r="D606" t="inlineStr">
        <is>
          <t>JÄMTLANDS LÄN</t>
        </is>
      </c>
      <c r="E606" t="inlineStr">
        <is>
          <t>BERG</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36-2024</t>
        </is>
      </c>
      <c r="B607" s="1" t="n">
        <v>45293</v>
      </c>
      <c r="C607" s="1" t="n">
        <v>46139</v>
      </c>
      <c r="D607" t="inlineStr">
        <is>
          <t>JÄMTLANDS LÄN</t>
        </is>
      </c>
      <c r="E607" t="inlineStr">
        <is>
          <t>BERG</t>
        </is>
      </c>
      <c r="G607" t="n">
        <v>2.6</v>
      </c>
      <c r="H607" t="n">
        <v>0</v>
      </c>
      <c r="I607" t="n">
        <v>0</v>
      </c>
      <c r="J607" t="n">
        <v>0</v>
      </c>
      <c r="K607" t="n">
        <v>0</v>
      </c>
      <c r="L607" t="n">
        <v>0</v>
      </c>
      <c r="M607" t="n">
        <v>0</v>
      </c>
      <c r="N607" t="n">
        <v>0</v>
      </c>
      <c r="O607" t="n">
        <v>0</v>
      </c>
      <c r="P607" t="n">
        <v>0</v>
      </c>
      <c r="Q607" t="n">
        <v>0</v>
      </c>
      <c r="R607" s="2" t="inlineStr"/>
    </row>
    <row r="608" ht="15" customHeight="1">
      <c r="A608" t="inlineStr">
        <is>
          <t>A 53155-2025</t>
        </is>
      </c>
      <c r="B608" s="1" t="n">
        <v>45958.49011574074</v>
      </c>
      <c r="C608" s="1" t="n">
        <v>46139</v>
      </c>
      <c r="D608" t="inlineStr">
        <is>
          <t>JÄMTLANDS LÄN</t>
        </is>
      </c>
      <c r="E608" t="inlineStr">
        <is>
          <t>BERG</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53157-2025</t>
        </is>
      </c>
      <c r="B609" s="1" t="n">
        <v>45958.49056712963</v>
      </c>
      <c r="C609" s="1" t="n">
        <v>46139</v>
      </c>
      <c r="D609" t="inlineStr">
        <is>
          <t>JÄMTLANDS LÄN</t>
        </is>
      </c>
      <c r="E609" t="inlineStr">
        <is>
          <t>BERG</t>
        </is>
      </c>
      <c r="F609" t="inlineStr">
        <is>
          <t>SCA</t>
        </is>
      </c>
      <c r="G609" t="n">
        <v>9.5</v>
      </c>
      <c r="H609" t="n">
        <v>0</v>
      </c>
      <c r="I609" t="n">
        <v>0</v>
      </c>
      <c r="J609" t="n">
        <v>0</v>
      </c>
      <c r="K609" t="n">
        <v>0</v>
      </c>
      <c r="L609" t="n">
        <v>0</v>
      </c>
      <c r="M609" t="n">
        <v>0</v>
      </c>
      <c r="N609" t="n">
        <v>0</v>
      </c>
      <c r="O609" t="n">
        <v>0</v>
      </c>
      <c r="P609" t="n">
        <v>0</v>
      </c>
      <c r="Q609" t="n">
        <v>0</v>
      </c>
      <c r="R609" s="2" t="inlineStr"/>
    </row>
    <row r="610" ht="15" customHeight="1">
      <c r="A610" t="inlineStr">
        <is>
          <t>A 30314-2025</t>
        </is>
      </c>
      <c r="B610" s="1" t="n">
        <v>45827.49047453704</v>
      </c>
      <c r="C610" s="1" t="n">
        <v>46139</v>
      </c>
      <c r="D610" t="inlineStr">
        <is>
          <t>JÄMTLANDS LÄN</t>
        </is>
      </c>
      <c r="E610" t="inlineStr">
        <is>
          <t>BERG</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45206-2024</t>
        </is>
      </c>
      <c r="B611" s="1" t="n">
        <v>45575.69966435185</v>
      </c>
      <c r="C611" s="1" t="n">
        <v>46139</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29902-2025</t>
        </is>
      </c>
      <c r="B612" s="1" t="n">
        <v>45826</v>
      </c>
      <c r="C612" s="1" t="n">
        <v>46139</v>
      </c>
      <c r="D612" t="inlineStr">
        <is>
          <t>JÄMTLANDS LÄN</t>
        </is>
      </c>
      <c r="E612" t="inlineStr">
        <is>
          <t>BERG</t>
        </is>
      </c>
      <c r="G612" t="n">
        <v>9.1</v>
      </c>
      <c r="H612" t="n">
        <v>0</v>
      </c>
      <c r="I612" t="n">
        <v>0</v>
      </c>
      <c r="J612" t="n">
        <v>0</v>
      </c>
      <c r="K612" t="n">
        <v>0</v>
      </c>
      <c r="L612" t="n">
        <v>0</v>
      </c>
      <c r="M612" t="n">
        <v>0</v>
      </c>
      <c r="N612" t="n">
        <v>0</v>
      </c>
      <c r="O612" t="n">
        <v>0</v>
      </c>
      <c r="P612" t="n">
        <v>0</v>
      </c>
      <c r="Q612" t="n">
        <v>0</v>
      </c>
      <c r="R612" s="2" t="inlineStr"/>
    </row>
    <row r="613" ht="15" customHeight="1">
      <c r="A613" t="inlineStr">
        <is>
          <t>A 29908-2025</t>
        </is>
      </c>
      <c r="B613" s="1" t="n">
        <v>45826</v>
      </c>
      <c r="C613" s="1" t="n">
        <v>46139</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53349-2025</t>
        </is>
      </c>
      <c r="B614" s="1" t="n">
        <v>45959.43579861111</v>
      </c>
      <c r="C614" s="1" t="n">
        <v>46139</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53085-2025</t>
        </is>
      </c>
      <c r="B615" s="1" t="n">
        <v>45958.40675925926</v>
      </c>
      <c r="C615" s="1" t="n">
        <v>46139</v>
      </c>
      <c r="D615" t="inlineStr">
        <is>
          <t>JÄMTLANDS LÄN</t>
        </is>
      </c>
      <c r="E615" t="inlineStr">
        <is>
          <t>BERG</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53625-2025</t>
        </is>
      </c>
      <c r="B616" s="1" t="n">
        <v>45960.49020833334</v>
      </c>
      <c r="C616" s="1" t="n">
        <v>46139</v>
      </c>
      <c r="D616" t="inlineStr">
        <is>
          <t>JÄMTLANDS LÄN</t>
        </is>
      </c>
      <c r="E616" t="inlineStr">
        <is>
          <t>BERG</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53610-2025</t>
        </is>
      </c>
      <c r="B617" s="1" t="n">
        <v>45960.46951388889</v>
      </c>
      <c r="C617" s="1" t="n">
        <v>46139</v>
      </c>
      <c r="D617" t="inlineStr">
        <is>
          <t>JÄMTLANDS LÄN</t>
        </is>
      </c>
      <c r="E617" t="inlineStr">
        <is>
          <t>BERG</t>
        </is>
      </c>
      <c r="F617" t="inlineStr">
        <is>
          <t>SCA</t>
        </is>
      </c>
      <c r="G617" t="n">
        <v>30.7</v>
      </c>
      <c r="H617" t="n">
        <v>0</v>
      </c>
      <c r="I617" t="n">
        <v>0</v>
      </c>
      <c r="J617" t="n">
        <v>0</v>
      </c>
      <c r="K617" t="n">
        <v>0</v>
      </c>
      <c r="L617" t="n">
        <v>0</v>
      </c>
      <c r="M617" t="n">
        <v>0</v>
      </c>
      <c r="N617" t="n">
        <v>0</v>
      </c>
      <c r="O617" t="n">
        <v>0</v>
      </c>
      <c r="P617" t="n">
        <v>0</v>
      </c>
      <c r="Q617" t="n">
        <v>0</v>
      </c>
      <c r="R617" s="2" t="inlineStr"/>
    </row>
    <row r="618" ht="15" customHeight="1">
      <c r="A618" t="inlineStr">
        <is>
          <t>A 53680-2025</t>
        </is>
      </c>
      <c r="B618" s="1" t="n">
        <v>45960.57361111111</v>
      </c>
      <c r="C618" s="1" t="n">
        <v>46139</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31015-2025</t>
        </is>
      </c>
      <c r="B619" s="1" t="n">
        <v>45832.51086805556</v>
      </c>
      <c r="C619" s="1" t="n">
        <v>46139</v>
      </c>
      <c r="D619" t="inlineStr">
        <is>
          <t>JÄMTLANDS LÄN</t>
        </is>
      </c>
      <c r="E619" t="inlineStr">
        <is>
          <t>BERG</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31017-2025</t>
        </is>
      </c>
      <c r="B620" s="1" t="n">
        <v>45832.51111111111</v>
      </c>
      <c r="C620" s="1" t="n">
        <v>46139</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23877-2024</t>
        </is>
      </c>
      <c r="B621" s="1" t="n">
        <v>45455.63024305556</v>
      </c>
      <c r="C621" s="1" t="n">
        <v>46139</v>
      </c>
      <c r="D621" t="inlineStr">
        <is>
          <t>JÄMTLANDS LÄN</t>
        </is>
      </c>
      <c r="E621" t="inlineStr">
        <is>
          <t>BERG</t>
        </is>
      </c>
      <c r="G621" t="n">
        <v>2</v>
      </c>
      <c r="H621" t="n">
        <v>0</v>
      </c>
      <c r="I621" t="n">
        <v>0</v>
      </c>
      <c r="J621" t="n">
        <v>0</v>
      </c>
      <c r="K621" t="n">
        <v>0</v>
      </c>
      <c r="L621" t="n">
        <v>0</v>
      </c>
      <c r="M621" t="n">
        <v>0</v>
      </c>
      <c r="N621" t="n">
        <v>0</v>
      </c>
      <c r="O621" t="n">
        <v>0</v>
      </c>
      <c r="P621" t="n">
        <v>0</v>
      </c>
      <c r="Q621" t="n">
        <v>0</v>
      </c>
      <c r="R621" s="2" t="inlineStr"/>
    </row>
    <row r="622" ht="15" customHeight="1">
      <c r="A622" t="inlineStr">
        <is>
          <t>A 23880-2024</t>
        </is>
      </c>
      <c r="B622" s="1" t="n">
        <v>45455.63731481481</v>
      </c>
      <c r="C622" s="1" t="n">
        <v>46139</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31070-2025</t>
        </is>
      </c>
      <c r="B623" s="1" t="n">
        <v>45832.57887731482</v>
      </c>
      <c r="C623" s="1" t="n">
        <v>46139</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62299-2023</t>
        </is>
      </c>
      <c r="B624" s="1" t="n">
        <v>45266</v>
      </c>
      <c r="C624" s="1" t="n">
        <v>46139</v>
      </c>
      <c r="D624" t="inlineStr">
        <is>
          <t>JÄMTLANDS LÄN</t>
        </is>
      </c>
      <c r="E624" t="inlineStr">
        <is>
          <t>BERG</t>
        </is>
      </c>
      <c r="G624" t="n">
        <v>2.6</v>
      </c>
      <c r="H624" t="n">
        <v>0</v>
      </c>
      <c r="I624" t="n">
        <v>0</v>
      </c>
      <c r="J624" t="n">
        <v>0</v>
      </c>
      <c r="K624" t="n">
        <v>0</v>
      </c>
      <c r="L624" t="n">
        <v>0</v>
      </c>
      <c r="M624" t="n">
        <v>0</v>
      </c>
      <c r="N624" t="n">
        <v>0</v>
      </c>
      <c r="O624" t="n">
        <v>0</v>
      </c>
      <c r="P624" t="n">
        <v>0</v>
      </c>
      <c r="Q624" t="n">
        <v>0</v>
      </c>
      <c r="R624" s="2" t="inlineStr"/>
    </row>
    <row r="625" ht="15" customHeight="1">
      <c r="A625" t="inlineStr">
        <is>
          <t>A 31090-2025</t>
        </is>
      </c>
      <c r="B625" s="1" t="n">
        <v>45832.59436342592</v>
      </c>
      <c r="C625" s="1" t="n">
        <v>46139</v>
      </c>
      <c r="D625" t="inlineStr">
        <is>
          <t>JÄMTLANDS LÄN</t>
        </is>
      </c>
      <c r="E625" t="inlineStr">
        <is>
          <t>BERG</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53712-2025</t>
        </is>
      </c>
      <c r="B626" s="1" t="n">
        <v>45960.61547453704</v>
      </c>
      <c r="C626" s="1" t="n">
        <v>46139</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53859-2025</t>
        </is>
      </c>
      <c r="B627" s="1" t="n">
        <v>45961</v>
      </c>
      <c r="C627" s="1" t="n">
        <v>46139</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31136-2025</t>
        </is>
      </c>
      <c r="B628" s="1" t="n">
        <v>45832.63599537037</v>
      </c>
      <c r="C628" s="1" t="n">
        <v>46139</v>
      </c>
      <c r="D628" t="inlineStr">
        <is>
          <t>JÄMTLANDS LÄN</t>
        </is>
      </c>
      <c r="E628" t="inlineStr">
        <is>
          <t>BERG</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32160-2025</t>
        </is>
      </c>
      <c r="B629" s="1" t="n">
        <v>45835.54142361111</v>
      </c>
      <c r="C629" s="1" t="n">
        <v>46139</v>
      </c>
      <c r="D629" t="inlineStr">
        <is>
          <t>JÄMTLANDS LÄN</t>
        </is>
      </c>
      <c r="E629" t="inlineStr">
        <is>
          <t>BERG</t>
        </is>
      </c>
      <c r="G629" t="n">
        <v>10.3</v>
      </c>
      <c r="H629" t="n">
        <v>0</v>
      </c>
      <c r="I629" t="n">
        <v>0</v>
      </c>
      <c r="J629" t="n">
        <v>0</v>
      </c>
      <c r="K629" t="n">
        <v>0</v>
      </c>
      <c r="L629" t="n">
        <v>0</v>
      </c>
      <c r="M629" t="n">
        <v>0</v>
      </c>
      <c r="N629" t="n">
        <v>0</v>
      </c>
      <c r="O629" t="n">
        <v>0</v>
      </c>
      <c r="P629" t="n">
        <v>0</v>
      </c>
      <c r="Q629" t="n">
        <v>0</v>
      </c>
      <c r="R629" s="2" t="inlineStr"/>
    </row>
    <row r="630" ht="15" customHeight="1">
      <c r="A630" t="inlineStr">
        <is>
          <t>A 31820-2025</t>
        </is>
      </c>
      <c r="B630" s="1" t="n">
        <v>45834.57930555556</v>
      </c>
      <c r="C630" s="1" t="n">
        <v>46139</v>
      </c>
      <c r="D630" t="inlineStr">
        <is>
          <t>JÄMTLANDS LÄN</t>
        </is>
      </c>
      <c r="E630" t="inlineStr">
        <is>
          <t>BERG</t>
        </is>
      </c>
      <c r="G630" t="n">
        <v>13.9</v>
      </c>
      <c r="H630" t="n">
        <v>0</v>
      </c>
      <c r="I630" t="n">
        <v>0</v>
      </c>
      <c r="J630" t="n">
        <v>0</v>
      </c>
      <c r="K630" t="n">
        <v>0</v>
      </c>
      <c r="L630" t="n">
        <v>0</v>
      </c>
      <c r="M630" t="n">
        <v>0</v>
      </c>
      <c r="N630" t="n">
        <v>0</v>
      </c>
      <c r="O630" t="n">
        <v>0</v>
      </c>
      <c r="P630" t="n">
        <v>0</v>
      </c>
      <c r="Q630" t="n">
        <v>0</v>
      </c>
      <c r="R630" s="2" t="inlineStr"/>
    </row>
    <row r="631" ht="15" customHeight="1">
      <c r="A631" t="inlineStr">
        <is>
          <t>A 54852-2025</t>
        </is>
      </c>
      <c r="B631" s="1" t="n">
        <v>45966.71946759259</v>
      </c>
      <c r="C631" s="1" t="n">
        <v>46139</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54720-2025</t>
        </is>
      </c>
      <c r="B632" s="1" t="n">
        <v>45966.53177083333</v>
      </c>
      <c r="C632" s="1" t="n">
        <v>46139</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54825-2025</t>
        </is>
      </c>
      <c r="B633" s="1" t="n">
        <v>45966.66768518519</v>
      </c>
      <c r="C633" s="1" t="n">
        <v>46139</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32178-2024</t>
        </is>
      </c>
      <c r="B634" s="1" t="n">
        <v>45511</v>
      </c>
      <c r="C634" s="1" t="n">
        <v>46139</v>
      </c>
      <c r="D634" t="inlineStr">
        <is>
          <t>JÄMTLANDS LÄN</t>
        </is>
      </c>
      <c r="E634" t="inlineStr">
        <is>
          <t>BERG</t>
        </is>
      </c>
      <c r="G634" t="n">
        <v>11.4</v>
      </c>
      <c r="H634" t="n">
        <v>0</v>
      </c>
      <c r="I634" t="n">
        <v>0</v>
      </c>
      <c r="J634" t="n">
        <v>0</v>
      </c>
      <c r="K634" t="n">
        <v>0</v>
      </c>
      <c r="L634" t="n">
        <v>0</v>
      </c>
      <c r="M634" t="n">
        <v>0</v>
      </c>
      <c r="N634" t="n">
        <v>0</v>
      </c>
      <c r="O634" t="n">
        <v>0</v>
      </c>
      <c r="P634" t="n">
        <v>0</v>
      </c>
      <c r="Q634" t="n">
        <v>0</v>
      </c>
      <c r="R634" s="2" t="inlineStr"/>
    </row>
    <row r="635" ht="15" customHeight="1">
      <c r="A635" t="inlineStr">
        <is>
          <t>A 55022-2025</t>
        </is>
      </c>
      <c r="B635" s="1" t="n">
        <v>45967.62862268519</v>
      </c>
      <c r="C635" s="1" t="n">
        <v>46139</v>
      </c>
      <c r="D635" t="inlineStr">
        <is>
          <t>JÄMTLANDS LÄN</t>
        </is>
      </c>
      <c r="E635" t="inlineStr">
        <is>
          <t>BERG</t>
        </is>
      </c>
      <c r="G635" t="n">
        <v>0.5</v>
      </c>
      <c r="H635" t="n">
        <v>0</v>
      </c>
      <c r="I635" t="n">
        <v>0</v>
      </c>
      <c r="J635" t="n">
        <v>0</v>
      </c>
      <c r="K635" t="n">
        <v>0</v>
      </c>
      <c r="L635" t="n">
        <v>0</v>
      </c>
      <c r="M635" t="n">
        <v>0</v>
      </c>
      <c r="N635" t="n">
        <v>0</v>
      </c>
      <c r="O635" t="n">
        <v>0</v>
      </c>
      <c r="P635" t="n">
        <v>0</v>
      </c>
      <c r="Q635" t="n">
        <v>0</v>
      </c>
      <c r="R635" s="2" t="inlineStr"/>
    </row>
    <row r="636" ht="15" customHeight="1">
      <c r="A636" t="inlineStr">
        <is>
          <t>A 55043-2025</t>
        </is>
      </c>
      <c r="B636" s="1" t="n">
        <v>45967.65983796296</v>
      </c>
      <c r="C636" s="1" t="n">
        <v>46139</v>
      </c>
      <c r="D636" t="inlineStr">
        <is>
          <t>JÄMTLANDS LÄN</t>
        </is>
      </c>
      <c r="E636" t="inlineStr">
        <is>
          <t>BERG</t>
        </is>
      </c>
      <c r="G636" t="n">
        <v>3</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46139</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32713-2025</t>
        </is>
      </c>
      <c r="B638" s="1" t="n">
        <v>45839.36935185185</v>
      </c>
      <c r="C638" s="1" t="n">
        <v>46139</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28403-2025</t>
        </is>
      </c>
      <c r="B639" s="1" t="n">
        <v>45819</v>
      </c>
      <c r="C639" s="1" t="n">
        <v>46139</v>
      </c>
      <c r="D639" t="inlineStr">
        <is>
          <t>JÄMTLANDS LÄN</t>
        </is>
      </c>
      <c r="E639" t="inlineStr">
        <is>
          <t>BERG</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55553-2025</t>
        </is>
      </c>
      <c r="B640" s="1" t="n">
        <v>45971.64445601852</v>
      </c>
      <c r="C640" s="1" t="n">
        <v>46139</v>
      </c>
      <c r="D640" t="inlineStr">
        <is>
          <t>JÄMTLANDS LÄN</t>
        </is>
      </c>
      <c r="E640" t="inlineStr">
        <is>
          <t>BERG</t>
        </is>
      </c>
      <c r="G640" t="n">
        <v>2.9</v>
      </c>
      <c r="H640" t="n">
        <v>0</v>
      </c>
      <c r="I640" t="n">
        <v>0</v>
      </c>
      <c r="J640" t="n">
        <v>0</v>
      </c>
      <c r="K640" t="n">
        <v>0</v>
      </c>
      <c r="L640" t="n">
        <v>0</v>
      </c>
      <c r="M640" t="n">
        <v>0</v>
      </c>
      <c r="N640" t="n">
        <v>0</v>
      </c>
      <c r="O640" t="n">
        <v>0</v>
      </c>
      <c r="P640" t="n">
        <v>0</v>
      </c>
      <c r="Q640" t="n">
        <v>0</v>
      </c>
      <c r="R640" s="2" t="inlineStr"/>
    </row>
    <row r="641" ht="15" customHeight="1">
      <c r="A641" t="inlineStr">
        <is>
          <t>A 55472-2025</t>
        </is>
      </c>
      <c r="B641" s="1" t="n">
        <v>45971.54526620371</v>
      </c>
      <c r="C641" s="1" t="n">
        <v>46139</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55497-2025</t>
        </is>
      </c>
      <c r="B642" s="1" t="n">
        <v>45971.58337962963</v>
      </c>
      <c r="C642" s="1" t="n">
        <v>46139</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55237-2025</t>
        </is>
      </c>
      <c r="B643" s="1" t="n">
        <v>45968</v>
      </c>
      <c r="C643" s="1" t="n">
        <v>46139</v>
      </c>
      <c r="D643" t="inlineStr">
        <is>
          <t>JÄMTLANDS LÄN</t>
        </is>
      </c>
      <c r="E643" t="inlineStr">
        <is>
          <t>BERG</t>
        </is>
      </c>
      <c r="G643" t="n">
        <v>11.9</v>
      </c>
      <c r="H643" t="n">
        <v>0</v>
      </c>
      <c r="I643" t="n">
        <v>0</v>
      </c>
      <c r="J643" t="n">
        <v>0</v>
      </c>
      <c r="K643" t="n">
        <v>0</v>
      </c>
      <c r="L643" t="n">
        <v>0</v>
      </c>
      <c r="M643" t="n">
        <v>0</v>
      </c>
      <c r="N643" t="n">
        <v>0</v>
      </c>
      <c r="O643" t="n">
        <v>0</v>
      </c>
      <c r="P643" t="n">
        <v>0</v>
      </c>
      <c r="Q643" t="n">
        <v>0</v>
      </c>
      <c r="R643" s="2" t="inlineStr"/>
    </row>
    <row r="644" ht="15" customHeight="1">
      <c r="A644" t="inlineStr">
        <is>
          <t>A 55267-2025</t>
        </is>
      </c>
      <c r="B644" s="1" t="n">
        <v>45968.66726851852</v>
      </c>
      <c r="C644" s="1" t="n">
        <v>46139</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55239-2025</t>
        </is>
      </c>
      <c r="B645" s="1" t="n">
        <v>45968</v>
      </c>
      <c r="C645" s="1" t="n">
        <v>46139</v>
      </c>
      <c r="D645" t="inlineStr">
        <is>
          <t>JÄMTLANDS LÄN</t>
        </is>
      </c>
      <c r="E645" t="inlineStr">
        <is>
          <t>BERG</t>
        </is>
      </c>
      <c r="G645" t="n">
        <v>6.3</v>
      </c>
      <c r="H645" t="n">
        <v>0</v>
      </c>
      <c r="I645" t="n">
        <v>0</v>
      </c>
      <c r="J645" t="n">
        <v>0</v>
      </c>
      <c r="K645" t="n">
        <v>0</v>
      </c>
      <c r="L645" t="n">
        <v>0</v>
      </c>
      <c r="M645" t="n">
        <v>0</v>
      </c>
      <c r="N645" t="n">
        <v>0</v>
      </c>
      <c r="O645" t="n">
        <v>0</v>
      </c>
      <c r="P645" t="n">
        <v>0</v>
      </c>
      <c r="Q645" t="n">
        <v>0</v>
      </c>
      <c r="R645" s="2" t="inlineStr"/>
    </row>
    <row r="646" ht="15" customHeight="1">
      <c r="A646" t="inlineStr">
        <is>
          <t>A 55240-2025</t>
        </is>
      </c>
      <c r="B646" s="1" t="n">
        <v>45968</v>
      </c>
      <c r="C646" s="1" t="n">
        <v>46139</v>
      </c>
      <c r="D646" t="inlineStr">
        <is>
          <t>JÄMTLANDS LÄN</t>
        </is>
      </c>
      <c r="E646" t="inlineStr">
        <is>
          <t>BERG</t>
        </is>
      </c>
      <c r="G646" t="n">
        <v>11.2</v>
      </c>
      <c r="H646" t="n">
        <v>0</v>
      </c>
      <c r="I646" t="n">
        <v>0</v>
      </c>
      <c r="J646" t="n">
        <v>0</v>
      </c>
      <c r="K646" t="n">
        <v>0</v>
      </c>
      <c r="L646" t="n">
        <v>0</v>
      </c>
      <c r="M646" t="n">
        <v>0</v>
      </c>
      <c r="N646" t="n">
        <v>0</v>
      </c>
      <c r="O646" t="n">
        <v>0</v>
      </c>
      <c r="P646" t="n">
        <v>0</v>
      </c>
      <c r="Q646" t="n">
        <v>0</v>
      </c>
      <c r="R646" s="2" t="inlineStr"/>
    </row>
    <row r="647" ht="15" customHeight="1">
      <c r="A647" t="inlineStr">
        <is>
          <t>A 32919-2025</t>
        </is>
      </c>
      <c r="B647" s="1" t="n">
        <v>45839.64721064815</v>
      </c>
      <c r="C647" s="1" t="n">
        <v>46139</v>
      </c>
      <c r="D647" t="inlineStr">
        <is>
          <t>JÄMTLANDS LÄN</t>
        </is>
      </c>
      <c r="E647" t="inlineStr">
        <is>
          <t>BERG</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55575-2025</t>
        </is>
      </c>
      <c r="B648" s="1" t="n">
        <v>45971.66145833334</v>
      </c>
      <c r="C648" s="1" t="n">
        <v>46139</v>
      </c>
      <c r="D648" t="inlineStr">
        <is>
          <t>JÄMTLANDS LÄN</t>
        </is>
      </c>
      <c r="E648" t="inlineStr">
        <is>
          <t>BERG</t>
        </is>
      </c>
      <c r="G648" t="n">
        <v>3.5</v>
      </c>
      <c r="H648" t="n">
        <v>0</v>
      </c>
      <c r="I648" t="n">
        <v>0</v>
      </c>
      <c r="J648" t="n">
        <v>0</v>
      </c>
      <c r="K648" t="n">
        <v>0</v>
      </c>
      <c r="L648" t="n">
        <v>0</v>
      </c>
      <c r="M648" t="n">
        <v>0</v>
      </c>
      <c r="N648" t="n">
        <v>0</v>
      </c>
      <c r="O648" t="n">
        <v>0</v>
      </c>
      <c r="P648" t="n">
        <v>0</v>
      </c>
      <c r="Q648" t="n">
        <v>0</v>
      </c>
      <c r="R648" s="2" t="inlineStr"/>
    </row>
    <row r="649" ht="15" customHeight="1">
      <c r="A649" t="inlineStr">
        <is>
          <t>A 5644-2025</t>
        </is>
      </c>
      <c r="B649" s="1" t="n">
        <v>45693.6833449074</v>
      </c>
      <c r="C649" s="1" t="n">
        <v>46139</v>
      </c>
      <c r="D649" t="inlineStr">
        <is>
          <t>JÄMTLANDS LÄN</t>
        </is>
      </c>
      <c r="E649" t="inlineStr">
        <is>
          <t>BERG</t>
        </is>
      </c>
      <c r="G649" t="n">
        <v>2.1</v>
      </c>
      <c r="H649" t="n">
        <v>0</v>
      </c>
      <c r="I649" t="n">
        <v>0</v>
      </c>
      <c r="J649" t="n">
        <v>0</v>
      </c>
      <c r="K649" t="n">
        <v>0</v>
      </c>
      <c r="L649" t="n">
        <v>0</v>
      </c>
      <c r="M649" t="n">
        <v>0</v>
      </c>
      <c r="N649" t="n">
        <v>0</v>
      </c>
      <c r="O649" t="n">
        <v>0</v>
      </c>
      <c r="P649" t="n">
        <v>0</v>
      </c>
      <c r="Q649" t="n">
        <v>0</v>
      </c>
      <c r="R649" s="2" t="inlineStr"/>
    </row>
    <row r="650" ht="15" customHeight="1">
      <c r="A650" t="inlineStr">
        <is>
          <t>A 29424-2024</t>
        </is>
      </c>
      <c r="B650" s="1" t="n">
        <v>45483.71451388889</v>
      </c>
      <c r="C650" s="1" t="n">
        <v>46139</v>
      </c>
      <c r="D650" t="inlineStr">
        <is>
          <t>JÄMTLANDS LÄN</t>
        </is>
      </c>
      <c r="E650" t="inlineStr">
        <is>
          <t>BERG</t>
        </is>
      </c>
      <c r="G650" t="n">
        <v>4</v>
      </c>
      <c r="H650" t="n">
        <v>0</v>
      </c>
      <c r="I650" t="n">
        <v>0</v>
      </c>
      <c r="J650" t="n">
        <v>0</v>
      </c>
      <c r="K650" t="n">
        <v>0</v>
      </c>
      <c r="L650" t="n">
        <v>0</v>
      </c>
      <c r="M650" t="n">
        <v>0</v>
      </c>
      <c r="N650" t="n">
        <v>0</v>
      </c>
      <c r="O650" t="n">
        <v>0</v>
      </c>
      <c r="P650" t="n">
        <v>0</v>
      </c>
      <c r="Q650" t="n">
        <v>0</v>
      </c>
      <c r="R650" s="2" t="inlineStr"/>
    </row>
    <row r="651" ht="15" customHeight="1">
      <c r="A651" t="inlineStr">
        <is>
          <t>A 60249-2022</t>
        </is>
      </c>
      <c r="B651" s="1" t="n">
        <v>44903</v>
      </c>
      <c r="C651" s="1" t="n">
        <v>46139</v>
      </c>
      <c r="D651" t="inlineStr">
        <is>
          <t>JÄMTLANDS LÄN</t>
        </is>
      </c>
      <c r="E651" t="inlineStr">
        <is>
          <t>BERG</t>
        </is>
      </c>
      <c r="G651" t="n">
        <v>6</v>
      </c>
      <c r="H651" t="n">
        <v>0</v>
      </c>
      <c r="I651" t="n">
        <v>0</v>
      </c>
      <c r="J651" t="n">
        <v>0</v>
      </c>
      <c r="K651" t="n">
        <v>0</v>
      </c>
      <c r="L651" t="n">
        <v>0</v>
      </c>
      <c r="M651" t="n">
        <v>0</v>
      </c>
      <c r="N651" t="n">
        <v>0</v>
      </c>
      <c r="O651" t="n">
        <v>0</v>
      </c>
      <c r="P651" t="n">
        <v>0</v>
      </c>
      <c r="Q651" t="n">
        <v>0</v>
      </c>
      <c r="R651" s="2" t="inlineStr"/>
    </row>
    <row r="652" ht="15" customHeight="1">
      <c r="A652" t="inlineStr">
        <is>
          <t>A 8065-2024</t>
        </is>
      </c>
      <c r="B652" s="1" t="n">
        <v>45351.40697916667</v>
      </c>
      <c r="C652" s="1" t="n">
        <v>46139</v>
      </c>
      <c r="D652" t="inlineStr">
        <is>
          <t>JÄMTLANDS LÄN</t>
        </is>
      </c>
      <c r="E652" t="inlineStr">
        <is>
          <t>BERG</t>
        </is>
      </c>
      <c r="G652" t="n">
        <v>6.9</v>
      </c>
      <c r="H652" t="n">
        <v>0</v>
      </c>
      <c r="I652" t="n">
        <v>0</v>
      </c>
      <c r="J652" t="n">
        <v>0</v>
      </c>
      <c r="K652" t="n">
        <v>0</v>
      </c>
      <c r="L652" t="n">
        <v>0</v>
      </c>
      <c r="M652" t="n">
        <v>0</v>
      </c>
      <c r="N652" t="n">
        <v>0</v>
      </c>
      <c r="O652" t="n">
        <v>0</v>
      </c>
      <c r="P652" t="n">
        <v>0</v>
      </c>
      <c r="Q652" t="n">
        <v>0</v>
      </c>
      <c r="R652" s="2" t="inlineStr"/>
    </row>
    <row r="653" ht="15" customHeight="1">
      <c r="A653" t="inlineStr">
        <is>
          <t>A 33054-2025</t>
        </is>
      </c>
      <c r="B653" s="1" t="n">
        <v>45840.42746527777</v>
      </c>
      <c r="C653" s="1" t="n">
        <v>46139</v>
      </c>
      <c r="D653" t="inlineStr">
        <is>
          <t>JÄMTLANDS LÄN</t>
        </is>
      </c>
      <c r="E653" t="inlineStr">
        <is>
          <t>BERG</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35911-2024</t>
        </is>
      </c>
      <c r="B654" s="1" t="n">
        <v>45533.41498842592</v>
      </c>
      <c r="C654" s="1" t="n">
        <v>46139</v>
      </c>
      <c r="D654" t="inlineStr">
        <is>
          <t>JÄMTLANDS LÄN</t>
        </is>
      </c>
      <c r="E654" t="inlineStr">
        <is>
          <t>BERG</t>
        </is>
      </c>
      <c r="G654" t="n">
        <v>4.1</v>
      </c>
      <c r="H654" t="n">
        <v>0</v>
      </c>
      <c r="I654" t="n">
        <v>0</v>
      </c>
      <c r="J654" t="n">
        <v>0</v>
      </c>
      <c r="K654" t="n">
        <v>0</v>
      </c>
      <c r="L654" t="n">
        <v>0</v>
      </c>
      <c r="M654" t="n">
        <v>0</v>
      </c>
      <c r="N654" t="n">
        <v>0</v>
      </c>
      <c r="O654" t="n">
        <v>0</v>
      </c>
      <c r="P654" t="n">
        <v>0</v>
      </c>
      <c r="Q654" t="n">
        <v>0</v>
      </c>
      <c r="R654" s="2" t="inlineStr"/>
    </row>
    <row r="655" ht="15" customHeight="1">
      <c r="A655" t="inlineStr">
        <is>
          <t>A 61837-2023</t>
        </is>
      </c>
      <c r="B655" s="1" t="n">
        <v>45264</v>
      </c>
      <c r="C655" s="1" t="n">
        <v>46139</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62104-2023</t>
        </is>
      </c>
      <c r="B656" s="1" t="n">
        <v>45266.95052083334</v>
      </c>
      <c r="C656" s="1" t="n">
        <v>46139</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62105-2023</t>
        </is>
      </c>
      <c r="B657" s="1" t="n">
        <v>45266.95074074074</v>
      </c>
      <c r="C657" s="1" t="n">
        <v>46139</v>
      </c>
      <c r="D657" t="inlineStr">
        <is>
          <t>JÄMTLANDS LÄN</t>
        </is>
      </c>
      <c r="E657" t="inlineStr">
        <is>
          <t>BERG</t>
        </is>
      </c>
      <c r="F657" t="inlineStr">
        <is>
          <t>SCA</t>
        </is>
      </c>
      <c r="G657" t="n">
        <v>13.1</v>
      </c>
      <c r="H657" t="n">
        <v>0</v>
      </c>
      <c r="I657" t="n">
        <v>0</v>
      </c>
      <c r="J657" t="n">
        <v>0</v>
      </c>
      <c r="K657" t="n">
        <v>0</v>
      </c>
      <c r="L657" t="n">
        <v>0</v>
      </c>
      <c r="M657" t="n">
        <v>0</v>
      </c>
      <c r="N657" t="n">
        <v>0</v>
      </c>
      <c r="O657" t="n">
        <v>0</v>
      </c>
      <c r="P657" t="n">
        <v>0</v>
      </c>
      <c r="Q657" t="n">
        <v>0</v>
      </c>
      <c r="R657" s="2" t="inlineStr"/>
    </row>
    <row r="658" ht="15" customHeight="1">
      <c r="A658" t="inlineStr">
        <is>
          <t>A 60028-2022</t>
        </is>
      </c>
      <c r="B658" s="1" t="n">
        <v>44902</v>
      </c>
      <c r="C658" s="1" t="n">
        <v>46139</v>
      </c>
      <c r="D658" t="inlineStr">
        <is>
          <t>JÄMTLANDS LÄN</t>
        </is>
      </c>
      <c r="E658" t="inlineStr">
        <is>
          <t>BERG</t>
        </is>
      </c>
      <c r="G658" t="n">
        <v>20</v>
      </c>
      <c r="H658" t="n">
        <v>0</v>
      </c>
      <c r="I658" t="n">
        <v>0</v>
      </c>
      <c r="J658" t="n">
        <v>0</v>
      </c>
      <c r="K658" t="n">
        <v>0</v>
      </c>
      <c r="L658" t="n">
        <v>0</v>
      </c>
      <c r="M658" t="n">
        <v>0</v>
      </c>
      <c r="N658" t="n">
        <v>0</v>
      </c>
      <c r="O658" t="n">
        <v>0</v>
      </c>
      <c r="P658" t="n">
        <v>0</v>
      </c>
      <c r="Q658" t="n">
        <v>0</v>
      </c>
      <c r="R658" s="2" t="inlineStr"/>
    </row>
    <row r="659" ht="15" customHeight="1">
      <c r="A659" t="inlineStr">
        <is>
          <t>A 56199-2025</t>
        </is>
      </c>
      <c r="B659" s="1" t="n">
        <v>45974.45790509259</v>
      </c>
      <c r="C659" s="1" t="n">
        <v>46139</v>
      </c>
      <c r="D659" t="inlineStr">
        <is>
          <t>JÄMTLANDS LÄN</t>
        </is>
      </c>
      <c r="E659" t="inlineStr">
        <is>
          <t>BERG</t>
        </is>
      </c>
      <c r="G659" t="n">
        <v>0.8</v>
      </c>
      <c r="H659" t="n">
        <v>0</v>
      </c>
      <c r="I659" t="n">
        <v>0</v>
      </c>
      <c r="J659" t="n">
        <v>0</v>
      </c>
      <c r="K659" t="n">
        <v>0</v>
      </c>
      <c r="L659" t="n">
        <v>0</v>
      </c>
      <c r="M659" t="n">
        <v>0</v>
      </c>
      <c r="N659" t="n">
        <v>0</v>
      </c>
      <c r="O659" t="n">
        <v>0</v>
      </c>
      <c r="P659" t="n">
        <v>0</v>
      </c>
      <c r="Q659" t="n">
        <v>0</v>
      </c>
      <c r="R659" s="2" t="inlineStr"/>
    </row>
    <row r="660" ht="15" customHeight="1">
      <c r="A660" t="inlineStr">
        <is>
          <t>A 33750-2025</t>
        </is>
      </c>
      <c r="B660" s="1" t="n">
        <v>45842.36243055556</v>
      </c>
      <c r="C660" s="1" t="n">
        <v>46139</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56457-2025</t>
        </is>
      </c>
      <c r="B661" s="1" t="n">
        <v>45975.36277777778</v>
      </c>
      <c r="C661" s="1" t="n">
        <v>46139</v>
      </c>
      <c r="D661" t="inlineStr">
        <is>
          <t>JÄMTLANDS LÄN</t>
        </is>
      </c>
      <c r="E661" t="inlineStr">
        <is>
          <t>BERG</t>
        </is>
      </c>
      <c r="G661" t="n">
        <v>0.8</v>
      </c>
      <c r="H661" t="n">
        <v>0</v>
      </c>
      <c r="I661" t="n">
        <v>0</v>
      </c>
      <c r="J661" t="n">
        <v>0</v>
      </c>
      <c r="K661" t="n">
        <v>0</v>
      </c>
      <c r="L661" t="n">
        <v>0</v>
      </c>
      <c r="M661" t="n">
        <v>0</v>
      </c>
      <c r="N661" t="n">
        <v>0</v>
      </c>
      <c r="O661" t="n">
        <v>0</v>
      </c>
      <c r="P661" t="n">
        <v>0</v>
      </c>
      <c r="Q661" t="n">
        <v>0</v>
      </c>
      <c r="R661" s="2" t="inlineStr"/>
    </row>
    <row r="662" ht="15" customHeight="1">
      <c r="A662" t="inlineStr">
        <is>
          <t>A 33748-2025</t>
        </is>
      </c>
      <c r="B662" s="1" t="n">
        <v>45842.35685185185</v>
      </c>
      <c r="C662" s="1" t="n">
        <v>46139</v>
      </c>
      <c r="D662" t="inlineStr">
        <is>
          <t>JÄMTLANDS LÄN</t>
        </is>
      </c>
      <c r="E662" t="inlineStr">
        <is>
          <t>BERG</t>
        </is>
      </c>
      <c r="G662" t="n">
        <v>2.1</v>
      </c>
      <c r="H662" t="n">
        <v>0</v>
      </c>
      <c r="I662" t="n">
        <v>0</v>
      </c>
      <c r="J662" t="n">
        <v>0</v>
      </c>
      <c r="K662" t="n">
        <v>0</v>
      </c>
      <c r="L662" t="n">
        <v>0</v>
      </c>
      <c r="M662" t="n">
        <v>0</v>
      </c>
      <c r="N662" t="n">
        <v>0</v>
      </c>
      <c r="O662" t="n">
        <v>0</v>
      </c>
      <c r="P662" t="n">
        <v>0</v>
      </c>
      <c r="Q662" t="n">
        <v>0</v>
      </c>
      <c r="R662" s="2" t="inlineStr"/>
    </row>
    <row r="663" ht="15" customHeight="1">
      <c r="A663" t="inlineStr">
        <is>
          <t>A 56234-2025</t>
        </is>
      </c>
      <c r="B663" s="1" t="n">
        <v>45974.53696759259</v>
      </c>
      <c r="C663" s="1" t="n">
        <v>46139</v>
      </c>
      <c r="D663" t="inlineStr">
        <is>
          <t>JÄMTLANDS LÄN</t>
        </is>
      </c>
      <c r="E663" t="inlineStr">
        <is>
          <t>BERG</t>
        </is>
      </c>
      <c r="G663" t="n">
        <v>11.7</v>
      </c>
      <c r="H663" t="n">
        <v>0</v>
      </c>
      <c r="I663" t="n">
        <v>0</v>
      </c>
      <c r="J663" t="n">
        <v>0</v>
      </c>
      <c r="K663" t="n">
        <v>0</v>
      </c>
      <c r="L663" t="n">
        <v>0</v>
      </c>
      <c r="M663" t="n">
        <v>0</v>
      </c>
      <c r="N663" t="n">
        <v>0</v>
      </c>
      <c r="O663" t="n">
        <v>0</v>
      </c>
      <c r="P663" t="n">
        <v>0</v>
      </c>
      <c r="Q663" t="n">
        <v>0</v>
      </c>
      <c r="R663" s="2" t="inlineStr"/>
    </row>
    <row r="664" ht="15" customHeight="1">
      <c r="A664" t="inlineStr">
        <is>
          <t>A 34030-2025</t>
        </is>
      </c>
      <c r="B664" s="1" t="n">
        <v>45845.3633912037</v>
      </c>
      <c r="C664" s="1" t="n">
        <v>46139</v>
      </c>
      <c r="D664" t="inlineStr">
        <is>
          <t>JÄMTLANDS LÄN</t>
        </is>
      </c>
      <c r="E664" t="inlineStr">
        <is>
          <t>BERG</t>
        </is>
      </c>
      <c r="G664" t="n">
        <v>13.5</v>
      </c>
      <c r="H664" t="n">
        <v>0</v>
      </c>
      <c r="I664" t="n">
        <v>0</v>
      </c>
      <c r="J664" t="n">
        <v>0</v>
      </c>
      <c r="K664" t="n">
        <v>0</v>
      </c>
      <c r="L664" t="n">
        <v>0</v>
      </c>
      <c r="M664" t="n">
        <v>0</v>
      </c>
      <c r="N664" t="n">
        <v>0</v>
      </c>
      <c r="O664" t="n">
        <v>0</v>
      </c>
      <c r="P664" t="n">
        <v>0</v>
      </c>
      <c r="Q664" t="n">
        <v>0</v>
      </c>
      <c r="R664" s="2" t="inlineStr"/>
    </row>
    <row r="665" ht="15" customHeight="1">
      <c r="A665" t="inlineStr">
        <is>
          <t>A 33753-2025</t>
        </is>
      </c>
      <c r="B665" s="1" t="n">
        <v>45842.37199074074</v>
      </c>
      <c r="C665" s="1" t="n">
        <v>46139</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34036-2025</t>
        </is>
      </c>
      <c r="B666" s="1" t="n">
        <v>45845.36954861111</v>
      </c>
      <c r="C666" s="1" t="n">
        <v>46139</v>
      </c>
      <c r="D666" t="inlineStr">
        <is>
          <t>JÄMTLANDS LÄN</t>
        </is>
      </c>
      <c r="E666" t="inlineStr">
        <is>
          <t>BERG</t>
        </is>
      </c>
      <c r="G666" t="n">
        <v>4.8</v>
      </c>
      <c r="H666" t="n">
        <v>0</v>
      </c>
      <c r="I666" t="n">
        <v>0</v>
      </c>
      <c r="J666" t="n">
        <v>0</v>
      </c>
      <c r="K666" t="n">
        <v>0</v>
      </c>
      <c r="L666" t="n">
        <v>0</v>
      </c>
      <c r="M666" t="n">
        <v>0</v>
      </c>
      <c r="N666" t="n">
        <v>0</v>
      </c>
      <c r="O666" t="n">
        <v>0</v>
      </c>
      <c r="P666" t="n">
        <v>0</v>
      </c>
      <c r="Q666" t="n">
        <v>0</v>
      </c>
      <c r="R666" s="2" t="inlineStr"/>
    </row>
    <row r="667" ht="15" customHeight="1">
      <c r="A667" t="inlineStr">
        <is>
          <t>A 32465-2024</t>
        </is>
      </c>
      <c r="B667" s="1" t="n">
        <v>45512.96096064815</v>
      </c>
      <c r="C667" s="1" t="n">
        <v>46139</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46139</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57039-2025</t>
        </is>
      </c>
      <c r="B669" s="1" t="n">
        <v>45979.34543981482</v>
      </c>
      <c r="C669" s="1" t="n">
        <v>46139</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51548-2023</t>
        </is>
      </c>
      <c r="B670" s="1" t="n">
        <v>45215</v>
      </c>
      <c r="C670" s="1" t="n">
        <v>46139</v>
      </c>
      <c r="D670" t="inlineStr">
        <is>
          <t>JÄMTLANDS LÄN</t>
        </is>
      </c>
      <c r="E670" t="inlineStr">
        <is>
          <t>BERG</t>
        </is>
      </c>
      <c r="G670" t="n">
        <v>4.8</v>
      </c>
      <c r="H670" t="n">
        <v>0</v>
      </c>
      <c r="I670" t="n">
        <v>0</v>
      </c>
      <c r="J670" t="n">
        <v>0</v>
      </c>
      <c r="K670" t="n">
        <v>0</v>
      </c>
      <c r="L670" t="n">
        <v>0</v>
      </c>
      <c r="M670" t="n">
        <v>0</v>
      </c>
      <c r="N670" t="n">
        <v>0</v>
      </c>
      <c r="O670" t="n">
        <v>0</v>
      </c>
      <c r="P670" t="n">
        <v>0</v>
      </c>
      <c r="Q670" t="n">
        <v>0</v>
      </c>
      <c r="R670" s="2" t="inlineStr"/>
    </row>
    <row r="671" ht="15" customHeight="1">
      <c r="A671" t="inlineStr">
        <is>
          <t>A 57192-2025</t>
        </is>
      </c>
      <c r="B671" s="1" t="n">
        <v>45979.57696759259</v>
      </c>
      <c r="C671" s="1" t="n">
        <v>46139</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57602-2025</t>
        </is>
      </c>
      <c r="B672" s="1" t="n">
        <v>45981.31667824074</v>
      </c>
      <c r="C672" s="1" t="n">
        <v>46139</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34892-2025</t>
        </is>
      </c>
      <c r="B673" s="1" t="n">
        <v>45849.49047453704</v>
      </c>
      <c r="C673" s="1" t="n">
        <v>46139</v>
      </c>
      <c r="D673" t="inlineStr">
        <is>
          <t>JÄMTLANDS LÄN</t>
        </is>
      </c>
      <c r="E673" t="inlineStr">
        <is>
          <t>BERG</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57763-2025</t>
        </is>
      </c>
      <c r="B674" s="1" t="n">
        <v>45981.55693287037</v>
      </c>
      <c r="C674" s="1" t="n">
        <v>46139</v>
      </c>
      <c r="D674" t="inlineStr">
        <is>
          <t>JÄMTLANDS LÄN</t>
        </is>
      </c>
      <c r="E674" t="inlineStr">
        <is>
          <t>BERG</t>
        </is>
      </c>
      <c r="F674" t="inlineStr">
        <is>
          <t>Övriga Aktiebolag</t>
        </is>
      </c>
      <c r="G674" t="n">
        <v>13.1</v>
      </c>
      <c r="H674" t="n">
        <v>0</v>
      </c>
      <c r="I674" t="n">
        <v>0</v>
      </c>
      <c r="J674" t="n">
        <v>0</v>
      </c>
      <c r="K674" t="n">
        <v>0</v>
      </c>
      <c r="L674" t="n">
        <v>0</v>
      </c>
      <c r="M674" t="n">
        <v>0</v>
      </c>
      <c r="N674" t="n">
        <v>0</v>
      </c>
      <c r="O674" t="n">
        <v>0</v>
      </c>
      <c r="P674" t="n">
        <v>0</v>
      </c>
      <c r="Q674" t="n">
        <v>0</v>
      </c>
      <c r="R674" s="2" t="inlineStr"/>
    </row>
    <row r="675" ht="15" customHeight="1">
      <c r="A675" t="inlineStr">
        <is>
          <t>A 60068-2022</t>
        </is>
      </c>
      <c r="B675" s="1" t="n">
        <v>44902</v>
      </c>
      <c r="C675" s="1" t="n">
        <v>46139</v>
      </c>
      <c r="D675" t="inlineStr">
        <is>
          <t>JÄMTLANDS LÄN</t>
        </is>
      </c>
      <c r="E675" t="inlineStr">
        <is>
          <t>BERG</t>
        </is>
      </c>
      <c r="G675" t="n">
        <v>5.2</v>
      </c>
      <c r="H675" t="n">
        <v>0</v>
      </c>
      <c r="I675" t="n">
        <v>0</v>
      </c>
      <c r="J675" t="n">
        <v>0</v>
      </c>
      <c r="K675" t="n">
        <v>0</v>
      </c>
      <c r="L675" t="n">
        <v>0</v>
      </c>
      <c r="M675" t="n">
        <v>0</v>
      </c>
      <c r="N675" t="n">
        <v>0</v>
      </c>
      <c r="O675" t="n">
        <v>0</v>
      </c>
      <c r="P675" t="n">
        <v>0</v>
      </c>
      <c r="Q675" t="n">
        <v>0</v>
      </c>
      <c r="R675" s="2" t="inlineStr"/>
    </row>
    <row r="676" ht="15" customHeight="1">
      <c r="A676" t="inlineStr">
        <is>
          <t>A 7482-2022</t>
        </is>
      </c>
      <c r="B676" s="1" t="n">
        <v>44606</v>
      </c>
      <c r="C676" s="1" t="n">
        <v>46139</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57861-2025</t>
        </is>
      </c>
      <c r="B677" s="1" t="n">
        <v>45981.64236111111</v>
      </c>
      <c r="C677" s="1" t="n">
        <v>46139</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57503-2025</t>
        </is>
      </c>
      <c r="B678" s="1" t="n">
        <v>45980.59431712963</v>
      </c>
      <c r="C678" s="1" t="n">
        <v>46139</v>
      </c>
      <c r="D678" t="inlineStr">
        <is>
          <t>JÄMTLANDS LÄN</t>
        </is>
      </c>
      <c r="E678" t="inlineStr">
        <is>
          <t>BERG</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57849-2025</t>
        </is>
      </c>
      <c r="B679" s="1" t="n">
        <v>45981.63472222222</v>
      </c>
      <c r="C679" s="1" t="n">
        <v>46139</v>
      </c>
      <c r="D679" t="inlineStr">
        <is>
          <t>JÄMTLANDS LÄN</t>
        </is>
      </c>
      <c r="E679" t="inlineStr">
        <is>
          <t>BERG</t>
        </is>
      </c>
      <c r="G679" t="n">
        <v>1.8</v>
      </c>
      <c r="H679" t="n">
        <v>0</v>
      </c>
      <c r="I679" t="n">
        <v>0</v>
      </c>
      <c r="J679" t="n">
        <v>0</v>
      </c>
      <c r="K679" t="n">
        <v>0</v>
      </c>
      <c r="L679" t="n">
        <v>0</v>
      </c>
      <c r="M679" t="n">
        <v>0</v>
      </c>
      <c r="N679" t="n">
        <v>0</v>
      </c>
      <c r="O679" t="n">
        <v>0</v>
      </c>
      <c r="P679" t="n">
        <v>0</v>
      </c>
      <c r="Q679" t="n">
        <v>0</v>
      </c>
      <c r="R679" s="2" t="inlineStr"/>
    </row>
    <row r="680" ht="15" customHeight="1">
      <c r="A680" t="inlineStr">
        <is>
          <t>A 35183-2025</t>
        </is>
      </c>
      <c r="B680" s="1" t="n">
        <v>45853.29931712963</v>
      </c>
      <c r="C680" s="1" t="n">
        <v>46139</v>
      </c>
      <c r="D680" t="inlineStr">
        <is>
          <t>JÄMTLANDS LÄN</t>
        </is>
      </c>
      <c r="E680" t="inlineStr">
        <is>
          <t>BERG</t>
        </is>
      </c>
      <c r="G680" t="n">
        <v>2.8</v>
      </c>
      <c r="H680" t="n">
        <v>0</v>
      </c>
      <c r="I680" t="n">
        <v>0</v>
      </c>
      <c r="J680" t="n">
        <v>0</v>
      </c>
      <c r="K680" t="n">
        <v>0</v>
      </c>
      <c r="L680" t="n">
        <v>0</v>
      </c>
      <c r="M680" t="n">
        <v>0</v>
      </c>
      <c r="N680" t="n">
        <v>0</v>
      </c>
      <c r="O680" t="n">
        <v>0</v>
      </c>
      <c r="P680" t="n">
        <v>0</v>
      </c>
      <c r="Q680" t="n">
        <v>0</v>
      </c>
      <c r="R680" s="2" t="inlineStr"/>
    </row>
    <row r="681" ht="15" customHeight="1">
      <c r="A681" t="inlineStr">
        <is>
          <t>A 35213-2025</t>
        </is>
      </c>
      <c r="B681" s="1" t="n">
        <v>45853.46494212963</v>
      </c>
      <c r="C681" s="1" t="n">
        <v>46139</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35184-2025</t>
        </is>
      </c>
      <c r="B682" s="1" t="n">
        <v>45853.30270833334</v>
      </c>
      <c r="C682" s="1" t="n">
        <v>46139</v>
      </c>
      <c r="D682" t="inlineStr">
        <is>
          <t>JÄMTLANDS LÄN</t>
        </is>
      </c>
      <c r="E682" t="inlineStr">
        <is>
          <t>BERG</t>
        </is>
      </c>
      <c r="G682" t="n">
        <v>1.4</v>
      </c>
      <c r="H682" t="n">
        <v>0</v>
      </c>
      <c r="I682" t="n">
        <v>0</v>
      </c>
      <c r="J682" t="n">
        <v>0</v>
      </c>
      <c r="K682" t="n">
        <v>0</v>
      </c>
      <c r="L682" t="n">
        <v>0</v>
      </c>
      <c r="M682" t="n">
        <v>0</v>
      </c>
      <c r="N682" t="n">
        <v>0</v>
      </c>
      <c r="O682" t="n">
        <v>0</v>
      </c>
      <c r="P682" t="n">
        <v>0</v>
      </c>
      <c r="Q682" t="n">
        <v>0</v>
      </c>
      <c r="R682" s="2" t="inlineStr"/>
    </row>
    <row r="683" ht="15" customHeight="1">
      <c r="A683" t="inlineStr">
        <is>
          <t>A 58413-2025</t>
        </is>
      </c>
      <c r="B683" s="1" t="n">
        <v>45985.57662037037</v>
      </c>
      <c r="C683" s="1" t="n">
        <v>46139</v>
      </c>
      <c r="D683" t="inlineStr">
        <is>
          <t>JÄMTLANDS LÄN</t>
        </is>
      </c>
      <c r="E683" t="inlineStr">
        <is>
          <t>BERG</t>
        </is>
      </c>
      <c r="G683" t="n">
        <v>4.2</v>
      </c>
      <c r="H683" t="n">
        <v>0</v>
      </c>
      <c r="I683" t="n">
        <v>0</v>
      </c>
      <c r="J683" t="n">
        <v>0</v>
      </c>
      <c r="K683" t="n">
        <v>0</v>
      </c>
      <c r="L683" t="n">
        <v>0</v>
      </c>
      <c r="M683" t="n">
        <v>0</v>
      </c>
      <c r="N683" t="n">
        <v>0</v>
      </c>
      <c r="O683" t="n">
        <v>0</v>
      </c>
      <c r="P683" t="n">
        <v>0</v>
      </c>
      <c r="Q683" t="n">
        <v>0</v>
      </c>
      <c r="R683" s="2" t="inlineStr"/>
    </row>
    <row r="684" ht="15" customHeight="1">
      <c r="A684" t="inlineStr">
        <is>
          <t>A 58438-2025</t>
        </is>
      </c>
      <c r="B684" s="1" t="n">
        <v>45985.61513888889</v>
      </c>
      <c r="C684" s="1" t="n">
        <v>46139</v>
      </c>
      <c r="D684" t="inlineStr">
        <is>
          <t>JÄMTLANDS LÄN</t>
        </is>
      </c>
      <c r="E684" t="inlineStr">
        <is>
          <t>BERG</t>
        </is>
      </c>
      <c r="G684" t="n">
        <v>5.1</v>
      </c>
      <c r="H684" t="n">
        <v>0</v>
      </c>
      <c r="I684" t="n">
        <v>0</v>
      </c>
      <c r="J684" t="n">
        <v>0</v>
      </c>
      <c r="K684" t="n">
        <v>0</v>
      </c>
      <c r="L684" t="n">
        <v>0</v>
      </c>
      <c r="M684" t="n">
        <v>0</v>
      </c>
      <c r="N684" t="n">
        <v>0</v>
      </c>
      <c r="O684" t="n">
        <v>0</v>
      </c>
      <c r="P684" t="n">
        <v>0</v>
      </c>
      <c r="Q684" t="n">
        <v>0</v>
      </c>
      <c r="R684" s="2" t="inlineStr"/>
    </row>
    <row r="685" ht="15" customHeight="1">
      <c r="A685" t="inlineStr">
        <is>
          <t>A 35363-2025</t>
        </is>
      </c>
      <c r="B685" s="1" t="n">
        <v>45854.67538194444</v>
      </c>
      <c r="C685" s="1" t="n">
        <v>46139</v>
      </c>
      <c r="D685" t="inlineStr">
        <is>
          <t>JÄMTLANDS LÄN</t>
        </is>
      </c>
      <c r="E685" t="inlineStr">
        <is>
          <t>BERG</t>
        </is>
      </c>
      <c r="G685" t="n">
        <v>9.5</v>
      </c>
      <c r="H685" t="n">
        <v>0</v>
      </c>
      <c r="I685" t="n">
        <v>0</v>
      </c>
      <c r="J685" t="n">
        <v>0</v>
      </c>
      <c r="K685" t="n">
        <v>0</v>
      </c>
      <c r="L685" t="n">
        <v>0</v>
      </c>
      <c r="M685" t="n">
        <v>0</v>
      </c>
      <c r="N685" t="n">
        <v>0</v>
      </c>
      <c r="O685" t="n">
        <v>0</v>
      </c>
      <c r="P685" t="n">
        <v>0</v>
      </c>
      <c r="Q685" t="n">
        <v>0</v>
      </c>
      <c r="R685" s="2" t="inlineStr"/>
    </row>
    <row r="686" ht="15" customHeight="1">
      <c r="A686" t="inlineStr">
        <is>
          <t>A 58436-2025</t>
        </is>
      </c>
      <c r="B686" s="1" t="n">
        <v>45985.61510416667</v>
      </c>
      <c r="C686" s="1" t="n">
        <v>46139</v>
      </c>
      <c r="D686" t="inlineStr">
        <is>
          <t>JÄMTLANDS LÄN</t>
        </is>
      </c>
      <c r="E686" t="inlineStr">
        <is>
          <t>BERG</t>
        </is>
      </c>
      <c r="G686" t="n">
        <v>1.7</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46139</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35360-2025</t>
        </is>
      </c>
      <c r="B688" s="1" t="n">
        <v>45854.66877314815</v>
      </c>
      <c r="C688" s="1" t="n">
        <v>46139</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58437-2025</t>
        </is>
      </c>
      <c r="B689" s="1" t="n">
        <v>45985.61512731481</v>
      </c>
      <c r="C689" s="1" t="n">
        <v>46139</v>
      </c>
      <c r="D689" t="inlineStr">
        <is>
          <t>JÄMTLANDS LÄN</t>
        </is>
      </c>
      <c r="E689" t="inlineStr">
        <is>
          <t>BERG</t>
        </is>
      </c>
      <c r="G689" t="n">
        <v>1.6</v>
      </c>
      <c r="H689" t="n">
        <v>0</v>
      </c>
      <c r="I689" t="n">
        <v>0</v>
      </c>
      <c r="J689" t="n">
        <v>0</v>
      </c>
      <c r="K689" t="n">
        <v>0</v>
      </c>
      <c r="L689" t="n">
        <v>0</v>
      </c>
      <c r="M689" t="n">
        <v>0</v>
      </c>
      <c r="N689" t="n">
        <v>0</v>
      </c>
      <c r="O689" t="n">
        <v>0</v>
      </c>
      <c r="P689" t="n">
        <v>0</v>
      </c>
      <c r="Q689" t="n">
        <v>0</v>
      </c>
      <c r="R689" s="2" t="inlineStr"/>
    </row>
    <row r="690" ht="15" customHeight="1">
      <c r="A690" t="inlineStr">
        <is>
          <t>A 35684-2025</t>
        </is>
      </c>
      <c r="B690" s="1" t="n">
        <v>45859.88079861111</v>
      </c>
      <c r="C690" s="1" t="n">
        <v>46139</v>
      </c>
      <c r="D690" t="inlineStr">
        <is>
          <t>JÄMTLANDS LÄN</t>
        </is>
      </c>
      <c r="E690" t="inlineStr">
        <is>
          <t>BERG</t>
        </is>
      </c>
      <c r="G690" t="n">
        <v>6.1</v>
      </c>
      <c r="H690" t="n">
        <v>0</v>
      </c>
      <c r="I690" t="n">
        <v>0</v>
      </c>
      <c r="J690" t="n">
        <v>0</v>
      </c>
      <c r="K690" t="n">
        <v>0</v>
      </c>
      <c r="L690" t="n">
        <v>0</v>
      </c>
      <c r="M690" t="n">
        <v>0</v>
      </c>
      <c r="N690" t="n">
        <v>0</v>
      </c>
      <c r="O690" t="n">
        <v>0</v>
      </c>
      <c r="P690" t="n">
        <v>0</v>
      </c>
      <c r="Q690" t="n">
        <v>0</v>
      </c>
      <c r="R690" s="2" t="inlineStr"/>
    </row>
    <row r="691" ht="15" customHeight="1">
      <c r="A691" t="inlineStr">
        <is>
          <t>A 58581-2025</t>
        </is>
      </c>
      <c r="B691" s="1" t="n">
        <v>45986.38626157407</v>
      </c>
      <c r="C691" s="1" t="n">
        <v>46139</v>
      </c>
      <c r="D691" t="inlineStr">
        <is>
          <t>JÄMTLANDS LÄN</t>
        </is>
      </c>
      <c r="E691" t="inlineStr">
        <is>
          <t>BERG</t>
        </is>
      </c>
      <c r="G691" t="n">
        <v>6.9</v>
      </c>
      <c r="H691" t="n">
        <v>0</v>
      </c>
      <c r="I691" t="n">
        <v>0</v>
      </c>
      <c r="J691" t="n">
        <v>0</v>
      </c>
      <c r="K691" t="n">
        <v>0</v>
      </c>
      <c r="L691" t="n">
        <v>0</v>
      </c>
      <c r="M691" t="n">
        <v>0</v>
      </c>
      <c r="N691" t="n">
        <v>0</v>
      </c>
      <c r="O691" t="n">
        <v>0</v>
      </c>
      <c r="P691" t="n">
        <v>0</v>
      </c>
      <c r="Q691" t="n">
        <v>0</v>
      </c>
      <c r="R691" s="2" t="inlineStr"/>
    </row>
    <row r="692" ht="15" customHeight="1">
      <c r="A692" t="inlineStr">
        <is>
          <t>A 59010-2025</t>
        </is>
      </c>
      <c r="B692" s="1" t="n">
        <v>45987</v>
      </c>
      <c r="C692" s="1" t="n">
        <v>46139</v>
      </c>
      <c r="D692" t="inlineStr">
        <is>
          <t>JÄMTLANDS LÄN</t>
        </is>
      </c>
      <c r="E692" t="inlineStr">
        <is>
          <t>BERG</t>
        </is>
      </c>
      <c r="G692" t="n">
        <v>0.7</v>
      </c>
      <c r="H692" t="n">
        <v>0</v>
      </c>
      <c r="I692" t="n">
        <v>0</v>
      </c>
      <c r="J692" t="n">
        <v>0</v>
      </c>
      <c r="K692" t="n">
        <v>0</v>
      </c>
      <c r="L692" t="n">
        <v>0</v>
      </c>
      <c r="M692" t="n">
        <v>0</v>
      </c>
      <c r="N692" t="n">
        <v>0</v>
      </c>
      <c r="O692" t="n">
        <v>0</v>
      </c>
      <c r="P692" t="n">
        <v>0</v>
      </c>
      <c r="Q692" t="n">
        <v>0</v>
      </c>
      <c r="R692" s="2" t="inlineStr"/>
    </row>
    <row r="693" ht="15" customHeight="1">
      <c r="A693" t="inlineStr">
        <is>
          <t>A 58861-2025</t>
        </is>
      </c>
      <c r="B693" s="1" t="n">
        <v>45987.42820601852</v>
      </c>
      <c r="C693" s="1" t="n">
        <v>46139</v>
      </c>
      <c r="D693" t="inlineStr">
        <is>
          <t>JÄMTLANDS LÄN</t>
        </is>
      </c>
      <c r="E693" t="inlineStr">
        <is>
          <t>BERG</t>
        </is>
      </c>
      <c r="G693" t="n">
        <v>29.3</v>
      </c>
      <c r="H693" t="n">
        <v>0</v>
      </c>
      <c r="I693" t="n">
        <v>0</v>
      </c>
      <c r="J693" t="n">
        <v>0</v>
      </c>
      <c r="K693" t="n">
        <v>0</v>
      </c>
      <c r="L693" t="n">
        <v>0</v>
      </c>
      <c r="M693" t="n">
        <v>0</v>
      </c>
      <c r="N693" t="n">
        <v>0</v>
      </c>
      <c r="O693" t="n">
        <v>0</v>
      </c>
      <c r="P693" t="n">
        <v>0</v>
      </c>
      <c r="Q693" t="n">
        <v>0</v>
      </c>
      <c r="R693" s="2" t="inlineStr"/>
    </row>
    <row r="694" ht="15" customHeight="1">
      <c r="A694" t="inlineStr">
        <is>
          <t>A 31641-2022</t>
        </is>
      </c>
      <c r="B694" s="1" t="n">
        <v>44775.94119212963</v>
      </c>
      <c r="C694" s="1" t="n">
        <v>46139</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35681-2025</t>
        </is>
      </c>
      <c r="B695" s="1" t="n">
        <v>45859.77703703703</v>
      </c>
      <c r="C695" s="1" t="n">
        <v>46139</v>
      </c>
      <c r="D695" t="inlineStr">
        <is>
          <t>JÄMTLANDS LÄN</t>
        </is>
      </c>
      <c r="E695" t="inlineStr">
        <is>
          <t>BERG</t>
        </is>
      </c>
      <c r="G695" t="n">
        <v>27</v>
      </c>
      <c r="H695" t="n">
        <v>0</v>
      </c>
      <c r="I695" t="n">
        <v>0</v>
      </c>
      <c r="J695" t="n">
        <v>0</v>
      </c>
      <c r="K695" t="n">
        <v>0</v>
      </c>
      <c r="L695" t="n">
        <v>0</v>
      </c>
      <c r="M695" t="n">
        <v>0</v>
      </c>
      <c r="N695" t="n">
        <v>0</v>
      </c>
      <c r="O695" t="n">
        <v>0</v>
      </c>
      <c r="P695" t="n">
        <v>0</v>
      </c>
      <c r="Q695" t="n">
        <v>0</v>
      </c>
      <c r="R695" s="2" t="inlineStr"/>
    </row>
    <row r="696" ht="15" customHeight="1">
      <c r="A696" t="inlineStr">
        <is>
          <t>A 35683-2025</t>
        </is>
      </c>
      <c r="B696" s="1" t="n">
        <v>45859</v>
      </c>
      <c r="C696" s="1" t="n">
        <v>46139</v>
      </c>
      <c r="D696" t="inlineStr">
        <is>
          <t>JÄMTLANDS LÄN</t>
        </is>
      </c>
      <c r="E696" t="inlineStr">
        <is>
          <t>BERG</t>
        </is>
      </c>
      <c r="G696" t="n">
        <v>3.4</v>
      </c>
      <c r="H696" t="n">
        <v>0</v>
      </c>
      <c r="I696" t="n">
        <v>0</v>
      </c>
      <c r="J696" t="n">
        <v>0</v>
      </c>
      <c r="K696" t="n">
        <v>0</v>
      </c>
      <c r="L696" t="n">
        <v>0</v>
      </c>
      <c r="M696" t="n">
        <v>0</v>
      </c>
      <c r="N696" t="n">
        <v>0</v>
      </c>
      <c r="O696" t="n">
        <v>0</v>
      </c>
      <c r="P696" t="n">
        <v>0</v>
      </c>
      <c r="Q696" t="n">
        <v>0</v>
      </c>
      <c r="R696" s="2" t="inlineStr"/>
    </row>
    <row r="697" ht="15" customHeight="1">
      <c r="A697" t="inlineStr">
        <is>
          <t>A 58822-2025</t>
        </is>
      </c>
      <c r="B697" s="1" t="n">
        <v>45987.34506944445</v>
      </c>
      <c r="C697" s="1" t="n">
        <v>46139</v>
      </c>
      <c r="D697" t="inlineStr">
        <is>
          <t>JÄMTLANDS LÄN</t>
        </is>
      </c>
      <c r="E697" t="inlineStr">
        <is>
          <t>BERG</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58708-2025</t>
        </is>
      </c>
      <c r="B698" s="1" t="n">
        <v>45986.60412037037</v>
      </c>
      <c r="C698" s="1" t="n">
        <v>46139</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59411-2025</t>
        </is>
      </c>
      <c r="B699" s="1" t="n">
        <v>45989.49638888889</v>
      </c>
      <c r="C699" s="1" t="n">
        <v>46139</v>
      </c>
      <c r="D699" t="inlineStr">
        <is>
          <t>JÄMTLANDS LÄN</t>
        </is>
      </c>
      <c r="E699" t="inlineStr">
        <is>
          <t>BERG</t>
        </is>
      </c>
      <c r="G699" t="n">
        <v>2.4</v>
      </c>
      <c r="H699" t="n">
        <v>0</v>
      </c>
      <c r="I699" t="n">
        <v>0</v>
      </c>
      <c r="J699" t="n">
        <v>0</v>
      </c>
      <c r="K699" t="n">
        <v>0</v>
      </c>
      <c r="L699" t="n">
        <v>0</v>
      </c>
      <c r="M699" t="n">
        <v>0</v>
      </c>
      <c r="N699" t="n">
        <v>0</v>
      </c>
      <c r="O699" t="n">
        <v>0</v>
      </c>
      <c r="P699" t="n">
        <v>0</v>
      </c>
      <c r="Q699" t="n">
        <v>0</v>
      </c>
      <c r="R699" s="2" t="inlineStr"/>
    </row>
    <row r="700" ht="15" customHeight="1">
      <c r="A700" t="inlineStr">
        <is>
          <t>A 59415-2025</t>
        </is>
      </c>
      <c r="B700" s="1" t="n">
        <v>45989.50196759259</v>
      </c>
      <c r="C700" s="1" t="n">
        <v>46139</v>
      </c>
      <c r="D700" t="inlineStr">
        <is>
          <t>JÄMTLANDS LÄN</t>
        </is>
      </c>
      <c r="E700" t="inlineStr">
        <is>
          <t>BERG</t>
        </is>
      </c>
      <c r="G700" t="n">
        <v>6.8</v>
      </c>
      <c r="H700" t="n">
        <v>0</v>
      </c>
      <c r="I700" t="n">
        <v>0</v>
      </c>
      <c r="J700" t="n">
        <v>0</v>
      </c>
      <c r="K700" t="n">
        <v>0</v>
      </c>
      <c r="L700" t="n">
        <v>0</v>
      </c>
      <c r="M700" t="n">
        <v>0</v>
      </c>
      <c r="N700" t="n">
        <v>0</v>
      </c>
      <c r="O700" t="n">
        <v>0</v>
      </c>
      <c r="P700" t="n">
        <v>0</v>
      </c>
      <c r="Q700" t="n">
        <v>0</v>
      </c>
      <c r="R700" s="2" t="inlineStr"/>
    </row>
    <row r="701" ht="15" customHeight="1">
      <c r="A701" t="inlineStr">
        <is>
          <t>A 16247-2024</t>
        </is>
      </c>
      <c r="B701" s="1" t="n">
        <v>45407.05797453703</v>
      </c>
      <c r="C701" s="1" t="n">
        <v>46139</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59404-2025</t>
        </is>
      </c>
      <c r="B702" s="1" t="n">
        <v>45989.48997685185</v>
      </c>
      <c r="C702" s="1" t="n">
        <v>46139</v>
      </c>
      <c r="D702" t="inlineStr">
        <is>
          <t>JÄMTLANDS LÄN</t>
        </is>
      </c>
      <c r="E702" t="inlineStr">
        <is>
          <t>BERG</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59447-2025</t>
        </is>
      </c>
      <c r="B703" s="1" t="n">
        <v>45989</v>
      </c>
      <c r="C703" s="1" t="n">
        <v>46139</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59210-2025</t>
        </is>
      </c>
      <c r="B704" s="1" t="n">
        <v>45988.61516203704</v>
      </c>
      <c r="C704" s="1" t="n">
        <v>46139</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59253-2025</t>
        </is>
      </c>
      <c r="B705" s="1" t="n">
        <v>45988.65121527778</v>
      </c>
      <c r="C705" s="1" t="n">
        <v>46139</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59267-2025</t>
        </is>
      </c>
      <c r="B706" s="1" t="n">
        <v>45988.66127314815</v>
      </c>
      <c r="C706" s="1" t="n">
        <v>46139</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59281-2025</t>
        </is>
      </c>
      <c r="B707" s="1" t="n">
        <v>45988.7234375</v>
      </c>
      <c r="C707" s="1" t="n">
        <v>46139</v>
      </c>
      <c r="D707" t="inlineStr">
        <is>
          <t>JÄMTLANDS LÄN</t>
        </is>
      </c>
      <c r="E707" t="inlineStr">
        <is>
          <t>BERG</t>
        </is>
      </c>
      <c r="G707" t="n">
        <v>16.7</v>
      </c>
      <c r="H707" t="n">
        <v>0</v>
      </c>
      <c r="I707" t="n">
        <v>0</v>
      </c>
      <c r="J707" t="n">
        <v>0</v>
      </c>
      <c r="K707" t="n">
        <v>0</v>
      </c>
      <c r="L707" t="n">
        <v>0</v>
      </c>
      <c r="M707" t="n">
        <v>0</v>
      </c>
      <c r="N707" t="n">
        <v>0</v>
      </c>
      <c r="O707" t="n">
        <v>0</v>
      </c>
      <c r="P707" t="n">
        <v>0</v>
      </c>
      <c r="Q707" t="n">
        <v>0</v>
      </c>
      <c r="R707" s="2" t="inlineStr"/>
    </row>
    <row r="708" ht="15" customHeight="1">
      <c r="A708" t="inlineStr">
        <is>
          <t>A 59424-2025</t>
        </is>
      </c>
      <c r="B708" s="1" t="n">
        <v>45989.53782407408</v>
      </c>
      <c r="C708" s="1" t="n">
        <v>46139</v>
      </c>
      <c r="D708" t="inlineStr">
        <is>
          <t>JÄMTLANDS LÄN</t>
        </is>
      </c>
      <c r="E708" t="inlineStr">
        <is>
          <t>BERG</t>
        </is>
      </c>
      <c r="G708" t="n">
        <v>3.9</v>
      </c>
      <c r="H708" t="n">
        <v>0</v>
      </c>
      <c r="I708" t="n">
        <v>0</v>
      </c>
      <c r="J708" t="n">
        <v>0</v>
      </c>
      <c r="K708" t="n">
        <v>0</v>
      </c>
      <c r="L708" t="n">
        <v>0</v>
      </c>
      <c r="M708" t="n">
        <v>0</v>
      </c>
      <c r="N708" t="n">
        <v>0</v>
      </c>
      <c r="O708" t="n">
        <v>0</v>
      </c>
      <c r="P708" t="n">
        <v>0</v>
      </c>
      <c r="Q708" t="n">
        <v>0</v>
      </c>
      <c r="R708" s="2" t="inlineStr"/>
    </row>
    <row r="709" ht="15" customHeight="1">
      <c r="A709" t="inlineStr">
        <is>
          <t>A 59652-2025</t>
        </is>
      </c>
      <c r="B709" s="1" t="n">
        <v>45992</v>
      </c>
      <c r="C709" s="1" t="n">
        <v>46139</v>
      </c>
      <c r="D709" t="inlineStr">
        <is>
          <t>JÄMTLANDS LÄN</t>
        </is>
      </c>
      <c r="E709" t="inlineStr">
        <is>
          <t>BERG</t>
        </is>
      </c>
      <c r="G709" t="n">
        <v>4</v>
      </c>
      <c r="H709" t="n">
        <v>0</v>
      </c>
      <c r="I709" t="n">
        <v>0</v>
      </c>
      <c r="J709" t="n">
        <v>0</v>
      </c>
      <c r="K709" t="n">
        <v>0</v>
      </c>
      <c r="L709" t="n">
        <v>0</v>
      </c>
      <c r="M709" t="n">
        <v>0</v>
      </c>
      <c r="N709" t="n">
        <v>0</v>
      </c>
      <c r="O709" t="n">
        <v>0</v>
      </c>
      <c r="P709" t="n">
        <v>0</v>
      </c>
      <c r="Q709" t="n">
        <v>0</v>
      </c>
      <c r="R709" s="2" t="inlineStr"/>
    </row>
    <row r="710" ht="15" customHeight="1">
      <c r="A710" t="inlineStr">
        <is>
          <t>A 46268-2023</t>
        </is>
      </c>
      <c r="B710" s="1" t="n">
        <v>45196</v>
      </c>
      <c r="C710" s="1" t="n">
        <v>46139</v>
      </c>
      <c r="D710" t="inlineStr">
        <is>
          <t>JÄMTLANDS LÄN</t>
        </is>
      </c>
      <c r="E710" t="inlineStr">
        <is>
          <t>BERG</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59890-2025</t>
        </is>
      </c>
      <c r="B711" s="1" t="n">
        <v>45993.33128472222</v>
      </c>
      <c r="C711" s="1" t="n">
        <v>46139</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22030-2025</t>
        </is>
      </c>
      <c r="B712" s="1" t="n">
        <v>45785.25814814815</v>
      </c>
      <c r="C712" s="1" t="n">
        <v>46139</v>
      </c>
      <c r="D712" t="inlineStr">
        <is>
          <t>JÄMTLANDS LÄN</t>
        </is>
      </c>
      <c r="E712" t="inlineStr">
        <is>
          <t>BERG</t>
        </is>
      </c>
      <c r="G712" t="n">
        <v>5</v>
      </c>
      <c r="H712" t="n">
        <v>0</v>
      </c>
      <c r="I712" t="n">
        <v>0</v>
      </c>
      <c r="J712" t="n">
        <v>0</v>
      </c>
      <c r="K712" t="n">
        <v>0</v>
      </c>
      <c r="L712" t="n">
        <v>0</v>
      </c>
      <c r="M712" t="n">
        <v>0</v>
      </c>
      <c r="N712" t="n">
        <v>0</v>
      </c>
      <c r="O712" t="n">
        <v>0</v>
      </c>
      <c r="P712" t="n">
        <v>0</v>
      </c>
      <c r="Q712" t="n">
        <v>0</v>
      </c>
      <c r="R712" s="2" t="inlineStr"/>
    </row>
    <row r="713" ht="15" customHeight="1">
      <c r="A713" t="inlineStr">
        <is>
          <t>A 36377-2025</t>
        </is>
      </c>
      <c r="B713" s="1" t="n">
        <v>45868.57342592593</v>
      </c>
      <c r="C713" s="1" t="n">
        <v>46139</v>
      </c>
      <c r="D713" t="inlineStr">
        <is>
          <t>JÄMTLANDS LÄN</t>
        </is>
      </c>
      <c r="E713" t="inlineStr">
        <is>
          <t>BERG</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8069-2024</t>
        </is>
      </c>
      <c r="B714" s="1" t="n">
        <v>45351.41600694445</v>
      </c>
      <c r="C714" s="1" t="n">
        <v>46139</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61788-2023</t>
        </is>
      </c>
      <c r="B715" s="1" t="n">
        <v>45265.9577199074</v>
      </c>
      <c r="C715" s="1" t="n">
        <v>46139</v>
      </c>
      <c r="D715" t="inlineStr">
        <is>
          <t>JÄMTLANDS LÄN</t>
        </is>
      </c>
      <c r="E715" t="inlineStr">
        <is>
          <t>BERG</t>
        </is>
      </c>
      <c r="G715" t="n">
        <v>2.6</v>
      </c>
      <c r="H715" t="n">
        <v>0</v>
      </c>
      <c r="I715" t="n">
        <v>0</v>
      </c>
      <c r="J715" t="n">
        <v>0</v>
      </c>
      <c r="K715" t="n">
        <v>0</v>
      </c>
      <c r="L715" t="n">
        <v>0</v>
      </c>
      <c r="M715" t="n">
        <v>0</v>
      </c>
      <c r="N715" t="n">
        <v>0</v>
      </c>
      <c r="O715" t="n">
        <v>0</v>
      </c>
      <c r="P715" t="n">
        <v>0</v>
      </c>
      <c r="Q715" t="n">
        <v>0</v>
      </c>
      <c r="R715" s="2" t="inlineStr"/>
    </row>
    <row r="716" ht="15" customHeight="1">
      <c r="A716" t="inlineStr">
        <is>
          <t>A 59841-2025</t>
        </is>
      </c>
      <c r="B716" s="1" t="n">
        <v>45992</v>
      </c>
      <c r="C716" s="1" t="n">
        <v>46139</v>
      </c>
      <c r="D716" t="inlineStr">
        <is>
          <t>JÄMTLANDS LÄN</t>
        </is>
      </c>
      <c r="E716" t="inlineStr">
        <is>
          <t>BERG</t>
        </is>
      </c>
      <c r="G716" t="n">
        <v>14.9</v>
      </c>
      <c r="H716" t="n">
        <v>0</v>
      </c>
      <c r="I716" t="n">
        <v>0</v>
      </c>
      <c r="J716" t="n">
        <v>0</v>
      </c>
      <c r="K716" t="n">
        <v>0</v>
      </c>
      <c r="L716" t="n">
        <v>0</v>
      </c>
      <c r="M716" t="n">
        <v>0</v>
      </c>
      <c r="N716" t="n">
        <v>0</v>
      </c>
      <c r="O716" t="n">
        <v>0</v>
      </c>
      <c r="P716" t="n">
        <v>0</v>
      </c>
      <c r="Q716" t="n">
        <v>0</v>
      </c>
      <c r="R716" s="2" t="inlineStr"/>
    </row>
    <row r="717" ht="15" customHeight="1">
      <c r="A717" t="inlineStr">
        <is>
          <t>A 60077-2025</t>
        </is>
      </c>
      <c r="B717" s="1" t="n">
        <v>45993.67987268518</v>
      </c>
      <c r="C717" s="1" t="n">
        <v>46139</v>
      </c>
      <c r="D717" t="inlineStr">
        <is>
          <t>JÄMTLANDS LÄN</t>
        </is>
      </c>
      <c r="E717" t="inlineStr">
        <is>
          <t>BERG</t>
        </is>
      </c>
      <c r="G717" t="n">
        <v>0.7</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46139</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46139</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60051-2025</t>
        </is>
      </c>
      <c r="B720" s="1" t="n">
        <v>45993.6353125</v>
      </c>
      <c r="C720" s="1" t="n">
        <v>46139</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56226-2024</t>
        </is>
      </c>
      <c r="B721" s="1" t="n">
        <v>45624.61572916667</v>
      </c>
      <c r="C721" s="1" t="n">
        <v>46139</v>
      </c>
      <c r="D721" t="inlineStr">
        <is>
          <t>JÄMTLANDS LÄN</t>
        </is>
      </c>
      <c r="E721" t="inlineStr">
        <is>
          <t>BERG</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60163-2025</t>
        </is>
      </c>
      <c r="B722" s="1" t="n">
        <v>45994.43094907407</v>
      </c>
      <c r="C722" s="1" t="n">
        <v>46139</v>
      </c>
      <c r="D722" t="inlineStr">
        <is>
          <t>JÄMTLANDS LÄN</t>
        </is>
      </c>
      <c r="E722" t="inlineStr">
        <is>
          <t>BERG</t>
        </is>
      </c>
      <c r="F722" t="inlineStr">
        <is>
          <t>Övriga Aktiebolag</t>
        </is>
      </c>
      <c r="G722" t="n">
        <v>7</v>
      </c>
      <c r="H722" t="n">
        <v>0</v>
      </c>
      <c r="I722" t="n">
        <v>0</v>
      </c>
      <c r="J722" t="n">
        <v>0</v>
      </c>
      <c r="K722" t="n">
        <v>0</v>
      </c>
      <c r="L722" t="n">
        <v>0</v>
      </c>
      <c r="M722" t="n">
        <v>0</v>
      </c>
      <c r="N722" t="n">
        <v>0</v>
      </c>
      <c r="O722" t="n">
        <v>0</v>
      </c>
      <c r="P722" t="n">
        <v>0</v>
      </c>
      <c r="Q722" t="n">
        <v>0</v>
      </c>
      <c r="R722" s="2" t="inlineStr"/>
    </row>
    <row r="723" ht="15" customHeight="1">
      <c r="A723" t="inlineStr">
        <is>
          <t>A 36668-2025</t>
        </is>
      </c>
      <c r="B723" s="1" t="n">
        <v>45873.38351851852</v>
      </c>
      <c r="C723" s="1" t="n">
        <v>46139</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60463-2025</t>
        </is>
      </c>
      <c r="B724" s="1" t="n">
        <v>45995.55276620371</v>
      </c>
      <c r="C724" s="1" t="n">
        <v>46139</v>
      </c>
      <c r="D724" t="inlineStr">
        <is>
          <t>JÄMTLANDS LÄN</t>
        </is>
      </c>
      <c r="E724" t="inlineStr">
        <is>
          <t>BERG</t>
        </is>
      </c>
      <c r="G724" t="n">
        <v>4.3</v>
      </c>
      <c r="H724" t="n">
        <v>0</v>
      </c>
      <c r="I724" t="n">
        <v>0</v>
      </c>
      <c r="J724" t="n">
        <v>0</v>
      </c>
      <c r="K724" t="n">
        <v>0</v>
      </c>
      <c r="L724" t="n">
        <v>0</v>
      </c>
      <c r="M724" t="n">
        <v>0</v>
      </c>
      <c r="N724" t="n">
        <v>0</v>
      </c>
      <c r="O724" t="n">
        <v>0</v>
      </c>
      <c r="P724" t="n">
        <v>0</v>
      </c>
      <c r="Q724" t="n">
        <v>0</v>
      </c>
      <c r="R724" s="2" t="inlineStr"/>
    </row>
    <row r="725" ht="15" customHeight="1">
      <c r="A725" t="inlineStr">
        <is>
          <t>A 41868-2024</t>
        </is>
      </c>
      <c r="B725" s="1" t="n">
        <v>45561.46900462963</v>
      </c>
      <c r="C725" s="1" t="n">
        <v>46139</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60632-2025</t>
        </is>
      </c>
      <c r="B726" s="1" t="n">
        <v>45996.42769675926</v>
      </c>
      <c r="C726" s="1" t="n">
        <v>46139</v>
      </c>
      <c r="D726" t="inlineStr">
        <is>
          <t>JÄMTLANDS LÄN</t>
        </is>
      </c>
      <c r="E726" t="inlineStr">
        <is>
          <t>BERG</t>
        </is>
      </c>
      <c r="F726" t="inlineStr">
        <is>
          <t>SCA</t>
        </is>
      </c>
      <c r="G726" t="n">
        <v>18.2</v>
      </c>
      <c r="H726" t="n">
        <v>0</v>
      </c>
      <c r="I726" t="n">
        <v>0</v>
      </c>
      <c r="J726" t="n">
        <v>0</v>
      </c>
      <c r="K726" t="n">
        <v>0</v>
      </c>
      <c r="L726" t="n">
        <v>0</v>
      </c>
      <c r="M726" t="n">
        <v>0</v>
      </c>
      <c r="N726" t="n">
        <v>0</v>
      </c>
      <c r="O726" t="n">
        <v>0</v>
      </c>
      <c r="P726" t="n">
        <v>0</v>
      </c>
      <c r="Q726" t="n">
        <v>0</v>
      </c>
      <c r="R726" s="2" t="inlineStr"/>
    </row>
    <row r="727" ht="15" customHeight="1">
      <c r="A727" t="inlineStr">
        <is>
          <t>A 60635-2025</t>
        </is>
      </c>
      <c r="B727" s="1" t="n">
        <v>45996.42826388889</v>
      </c>
      <c r="C727" s="1" t="n">
        <v>46139</v>
      </c>
      <c r="D727" t="inlineStr">
        <is>
          <t>JÄMTLANDS LÄN</t>
        </is>
      </c>
      <c r="E727" t="inlineStr">
        <is>
          <t>BERG</t>
        </is>
      </c>
      <c r="F727" t="inlineStr">
        <is>
          <t>SCA</t>
        </is>
      </c>
      <c r="G727" t="n">
        <v>7.4</v>
      </c>
      <c r="H727" t="n">
        <v>0</v>
      </c>
      <c r="I727" t="n">
        <v>0</v>
      </c>
      <c r="J727" t="n">
        <v>0</v>
      </c>
      <c r="K727" t="n">
        <v>0</v>
      </c>
      <c r="L727" t="n">
        <v>0</v>
      </c>
      <c r="M727" t="n">
        <v>0</v>
      </c>
      <c r="N727" t="n">
        <v>0</v>
      </c>
      <c r="O727" t="n">
        <v>0</v>
      </c>
      <c r="P727" t="n">
        <v>0</v>
      </c>
      <c r="Q727" t="n">
        <v>0</v>
      </c>
      <c r="R727" s="2" t="inlineStr"/>
    </row>
    <row r="728" ht="15" customHeight="1">
      <c r="A728" t="inlineStr">
        <is>
          <t>A 60634-2025</t>
        </is>
      </c>
      <c r="B728" s="1" t="n">
        <v>45996.42805555555</v>
      </c>
      <c r="C728" s="1" t="n">
        <v>46139</v>
      </c>
      <c r="D728" t="inlineStr">
        <is>
          <t>JÄMTLANDS LÄN</t>
        </is>
      </c>
      <c r="E728" t="inlineStr">
        <is>
          <t>BERG</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37201-2025</t>
        </is>
      </c>
      <c r="B729" s="1" t="n">
        <v>45875.67797453704</v>
      </c>
      <c r="C729" s="1" t="n">
        <v>46139</v>
      </c>
      <c r="D729" t="inlineStr">
        <is>
          <t>JÄMTLANDS LÄN</t>
        </is>
      </c>
      <c r="E729" t="inlineStr">
        <is>
          <t>BERG</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36896-2025</t>
        </is>
      </c>
      <c r="B730" s="1" t="n">
        <v>45874.4740625</v>
      </c>
      <c r="C730" s="1" t="n">
        <v>46139</v>
      </c>
      <c r="D730" t="inlineStr">
        <is>
          <t>JÄMTLANDS LÄN</t>
        </is>
      </c>
      <c r="E730" t="inlineStr">
        <is>
          <t>BERG</t>
        </is>
      </c>
      <c r="G730" t="n">
        <v>3.2</v>
      </c>
      <c r="H730" t="n">
        <v>0</v>
      </c>
      <c r="I730" t="n">
        <v>0</v>
      </c>
      <c r="J730" t="n">
        <v>0</v>
      </c>
      <c r="K730" t="n">
        <v>0</v>
      </c>
      <c r="L730" t="n">
        <v>0</v>
      </c>
      <c r="M730" t="n">
        <v>0</v>
      </c>
      <c r="N730" t="n">
        <v>0</v>
      </c>
      <c r="O730" t="n">
        <v>0</v>
      </c>
      <c r="P730" t="n">
        <v>0</v>
      </c>
      <c r="Q730" t="n">
        <v>0</v>
      </c>
      <c r="R730" s="2" t="inlineStr"/>
    </row>
    <row r="731" ht="15" customHeight="1">
      <c r="A731" t="inlineStr">
        <is>
          <t>A 36714-2025</t>
        </is>
      </c>
      <c r="B731" s="1" t="n">
        <v>45873.46881944445</v>
      </c>
      <c r="C731" s="1" t="n">
        <v>46139</v>
      </c>
      <c r="D731" t="inlineStr">
        <is>
          <t>JÄMTLANDS LÄN</t>
        </is>
      </c>
      <c r="E731" t="inlineStr">
        <is>
          <t>BERG</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36718-2025</t>
        </is>
      </c>
      <c r="B732" s="1" t="n">
        <v>45873.47069444445</v>
      </c>
      <c r="C732" s="1" t="n">
        <v>46139</v>
      </c>
      <c r="D732" t="inlineStr">
        <is>
          <t>JÄMTLANDS LÄN</t>
        </is>
      </c>
      <c r="E732" t="inlineStr">
        <is>
          <t>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18261-2022</t>
        </is>
      </c>
      <c r="B733" s="1" t="n">
        <v>44685.45633101852</v>
      </c>
      <c r="C733" s="1" t="n">
        <v>46139</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36341-2025</t>
        </is>
      </c>
      <c r="B734" s="1" t="n">
        <v>45868</v>
      </c>
      <c r="C734" s="1" t="n">
        <v>46139</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37488-2025</t>
        </is>
      </c>
      <c r="B735" s="1" t="n">
        <v>45877.63582175926</v>
      </c>
      <c r="C735" s="1" t="n">
        <v>46139</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61501-2025</t>
        </is>
      </c>
      <c r="B736" s="1" t="n">
        <v>46001.65951388889</v>
      </c>
      <c r="C736" s="1" t="n">
        <v>46139</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37455-2025</t>
        </is>
      </c>
      <c r="B737" s="1" t="n">
        <v>45877.56710648148</v>
      </c>
      <c r="C737" s="1" t="n">
        <v>46139</v>
      </c>
      <c r="D737" t="inlineStr">
        <is>
          <t>JÄMTLANDS LÄN</t>
        </is>
      </c>
      <c r="E737" t="inlineStr">
        <is>
          <t>BERG</t>
        </is>
      </c>
      <c r="G737" t="n">
        <v>5.6</v>
      </c>
      <c r="H737" t="n">
        <v>0</v>
      </c>
      <c r="I737" t="n">
        <v>0</v>
      </c>
      <c r="J737" t="n">
        <v>0</v>
      </c>
      <c r="K737" t="n">
        <v>0</v>
      </c>
      <c r="L737" t="n">
        <v>0</v>
      </c>
      <c r="M737" t="n">
        <v>0</v>
      </c>
      <c r="N737" t="n">
        <v>0</v>
      </c>
      <c r="O737" t="n">
        <v>0</v>
      </c>
      <c r="P737" t="n">
        <v>0</v>
      </c>
      <c r="Q737" t="n">
        <v>0</v>
      </c>
      <c r="R737" s="2" t="inlineStr"/>
    </row>
    <row r="738" ht="15" customHeight="1">
      <c r="A738" t="inlineStr">
        <is>
          <t>A 47168-2025</t>
        </is>
      </c>
      <c r="B738" s="1" t="n">
        <v>45929</v>
      </c>
      <c r="C738" s="1" t="n">
        <v>46139</v>
      </c>
      <c r="D738" t="inlineStr">
        <is>
          <t>JÄMTLANDS LÄN</t>
        </is>
      </c>
      <c r="E738" t="inlineStr">
        <is>
          <t>BERG</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37463-2025</t>
        </is>
      </c>
      <c r="B739" s="1" t="n">
        <v>45877.5738425926</v>
      </c>
      <c r="C739" s="1" t="n">
        <v>46139</v>
      </c>
      <c r="D739" t="inlineStr">
        <is>
          <t>JÄMTLANDS LÄN</t>
        </is>
      </c>
      <c r="E739" t="inlineStr">
        <is>
          <t>BERG</t>
        </is>
      </c>
      <c r="F739" t="inlineStr">
        <is>
          <t>SCA</t>
        </is>
      </c>
      <c r="G739" t="n">
        <v>13.3</v>
      </c>
      <c r="H739" t="n">
        <v>0</v>
      </c>
      <c r="I739" t="n">
        <v>0</v>
      </c>
      <c r="J739" t="n">
        <v>0</v>
      </c>
      <c r="K739" t="n">
        <v>0</v>
      </c>
      <c r="L739" t="n">
        <v>0</v>
      </c>
      <c r="M739" t="n">
        <v>0</v>
      </c>
      <c r="N739" t="n">
        <v>0</v>
      </c>
      <c r="O739" t="n">
        <v>0</v>
      </c>
      <c r="P739" t="n">
        <v>0</v>
      </c>
      <c r="Q739" t="n">
        <v>0</v>
      </c>
      <c r="R739" s="2" t="inlineStr"/>
    </row>
    <row r="740" ht="15" customHeight="1">
      <c r="A740" t="inlineStr">
        <is>
          <t>A 29087-2024</t>
        </is>
      </c>
      <c r="B740" s="1" t="n">
        <v>45481.92946759259</v>
      </c>
      <c r="C740" s="1" t="n">
        <v>46139</v>
      </c>
      <c r="D740" t="inlineStr">
        <is>
          <t>JÄMTLANDS LÄN</t>
        </is>
      </c>
      <c r="E740" t="inlineStr">
        <is>
          <t>BERG</t>
        </is>
      </c>
      <c r="G740" t="n">
        <v>10.7</v>
      </c>
      <c r="H740" t="n">
        <v>0</v>
      </c>
      <c r="I740" t="n">
        <v>0</v>
      </c>
      <c r="J740" t="n">
        <v>0</v>
      </c>
      <c r="K740" t="n">
        <v>0</v>
      </c>
      <c r="L740" t="n">
        <v>0</v>
      </c>
      <c r="M740" t="n">
        <v>0</v>
      </c>
      <c r="N740" t="n">
        <v>0</v>
      </c>
      <c r="O740" t="n">
        <v>0</v>
      </c>
      <c r="P740" t="n">
        <v>0</v>
      </c>
      <c r="Q740" t="n">
        <v>0</v>
      </c>
      <c r="R740" s="2" t="inlineStr"/>
    </row>
    <row r="741" ht="15" customHeight="1">
      <c r="A741" t="inlineStr">
        <is>
          <t>A 37431-2025</t>
        </is>
      </c>
      <c r="B741" s="1" t="n">
        <v>45877.51092592593</v>
      </c>
      <c r="C741" s="1" t="n">
        <v>46139</v>
      </c>
      <c r="D741" t="inlineStr">
        <is>
          <t>JÄMTLANDS LÄN</t>
        </is>
      </c>
      <c r="E741" t="inlineStr">
        <is>
          <t>BERG</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14431-2025</t>
        </is>
      </c>
      <c r="B742" s="1" t="n">
        <v>45741</v>
      </c>
      <c r="C742" s="1" t="n">
        <v>46139</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61459-2025</t>
        </is>
      </c>
      <c r="B743" s="1" t="n">
        <v>46001.59416666667</v>
      </c>
      <c r="C743" s="1" t="n">
        <v>46139</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61460-2025</t>
        </is>
      </c>
      <c r="B744" s="1" t="n">
        <v>46001.59425925926</v>
      </c>
      <c r="C744" s="1" t="n">
        <v>46139</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44997-2021</t>
        </is>
      </c>
      <c r="B745" s="1" t="n">
        <v>44438</v>
      </c>
      <c r="C745" s="1" t="n">
        <v>46139</v>
      </c>
      <c r="D745" t="inlineStr">
        <is>
          <t>JÄMTLANDS LÄN</t>
        </is>
      </c>
      <c r="E745" t="inlineStr">
        <is>
          <t>BERG</t>
        </is>
      </c>
      <c r="G745" t="n">
        <v>3.8</v>
      </c>
      <c r="H745" t="n">
        <v>0</v>
      </c>
      <c r="I745" t="n">
        <v>0</v>
      </c>
      <c r="J745" t="n">
        <v>0</v>
      </c>
      <c r="K745" t="n">
        <v>0</v>
      </c>
      <c r="L745" t="n">
        <v>0</v>
      </c>
      <c r="M745" t="n">
        <v>0</v>
      </c>
      <c r="N745" t="n">
        <v>0</v>
      </c>
      <c r="O745" t="n">
        <v>0</v>
      </c>
      <c r="P745" t="n">
        <v>0</v>
      </c>
      <c r="Q745" t="n">
        <v>0</v>
      </c>
      <c r="R745" s="2" t="inlineStr"/>
    </row>
    <row r="746" ht="15" customHeight="1">
      <c r="A746" t="inlineStr">
        <is>
          <t>A 31682-2022</t>
        </is>
      </c>
      <c r="B746" s="1" t="n">
        <v>44776</v>
      </c>
      <c r="C746" s="1" t="n">
        <v>46139</v>
      </c>
      <c r="D746" t="inlineStr">
        <is>
          <t>JÄMTLANDS LÄN</t>
        </is>
      </c>
      <c r="E746" t="inlineStr">
        <is>
          <t>BERG</t>
        </is>
      </c>
      <c r="G746" t="n">
        <v>8</v>
      </c>
      <c r="H746" t="n">
        <v>0</v>
      </c>
      <c r="I746" t="n">
        <v>0</v>
      </c>
      <c r="J746" t="n">
        <v>0</v>
      </c>
      <c r="K746" t="n">
        <v>0</v>
      </c>
      <c r="L746" t="n">
        <v>0</v>
      </c>
      <c r="M746" t="n">
        <v>0</v>
      </c>
      <c r="N746" t="n">
        <v>0</v>
      </c>
      <c r="O746" t="n">
        <v>0</v>
      </c>
      <c r="P746" t="n">
        <v>0</v>
      </c>
      <c r="Q746" t="n">
        <v>0</v>
      </c>
      <c r="R746" s="2" t="inlineStr"/>
    </row>
    <row r="747" ht="15" customHeight="1">
      <c r="A747" t="inlineStr">
        <is>
          <t>A 61647-2025</t>
        </is>
      </c>
      <c r="B747" s="1" t="n">
        <v>46002.4403587963</v>
      </c>
      <c r="C747" s="1" t="n">
        <v>46139</v>
      </c>
      <c r="D747" t="inlineStr">
        <is>
          <t>JÄMTLANDS LÄN</t>
        </is>
      </c>
      <c r="E747" t="inlineStr">
        <is>
          <t>BERG</t>
        </is>
      </c>
      <c r="G747" t="n">
        <v>3.2</v>
      </c>
      <c r="H747" t="n">
        <v>0</v>
      </c>
      <c r="I747" t="n">
        <v>0</v>
      </c>
      <c r="J747" t="n">
        <v>0</v>
      </c>
      <c r="K747" t="n">
        <v>0</v>
      </c>
      <c r="L747" t="n">
        <v>0</v>
      </c>
      <c r="M747" t="n">
        <v>0</v>
      </c>
      <c r="N747" t="n">
        <v>0</v>
      </c>
      <c r="O747" t="n">
        <v>0</v>
      </c>
      <c r="P747" t="n">
        <v>0</v>
      </c>
      <c r="Q747" t="n">
        <v>0</v>
      </c>
      <c r="R747" s="2" t="inlineStr"/>
    </row>
    <row r="748" ht="15" customHeight="1">
      <c r="A748" t="inlineStr">
        <is>
          <t>A 61987-2025</t>
        </is>
      </c>
      <c r="B748" s="1" t="n">
        <v>46003.62914351852</v>
      </c>
      <c r="C748" s="1" t="n">
        <v>46139</v>
      </c>
      <c r="D748" t="inlineStr">
        <is>
          <t>JÄMTLANDS LÄN</t>
        </is>
      </c>
      <c r="E748" t="inlineStr">
        <is>
          <t>BERG</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46139</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61977-2025</t>
        </is>
      </c>
      <c r="B750" s="1" t="n">
        <v>46003.61158564815</v>
      </c>
      <c r="C750" s="1" t="n">
        <v>46139</v>
      </c>
      <c r="D750" t="inlineStr">
        <is>
          <t>JÄMTLANDS LÄN</t>
        </is>
      </c>
      <c r="E750" t="inlineStr">
        <is>
          <t>BERG</t>
        </is>
      </c>
      <c r="G750" t="n">
        <v>2.7</v>
      </c>
      <c r="H750" t="n">
        <v>0</v>
      </c>
      <c r="I750" t="n">
        <v>0</v>
      </c>
      <c r="J750" t="n">
        <v>0</v>
      </c>
      <c r="K750" t="n">
        <v>0</v>
      </c>
      <c r="L750" t="n">
        <v>0</v>
      </c>
      <c r="M750" t="n">
        <v>0</v>
      </c>
      <c r="N750" t="n">
        <v>0</v>
      </c>
      <c r="O750" t="n">
        <v>0</v>
      </c>
      <c r="P750" t="n">
        <v>0</v>
      </c>
      <c r="Q750" t="n">
        <v>0</v>
      </c>
      <c r="R750" s="2" t="inlineStr"/>
    </row>
    <row r="751" ht="15" customHeight="1">
      <c r="A751" t="inlineStr">
        <is>
          <t>A 61991-2025</t>
        </is>
      </c>
      <c r="B751" s="1" t="n">
        <v>46003.62962962963</v>
      </c>
      <c r="C751" s="1" t="n">
        <v>46139</v>
      </c>
      <c r="D751" t="inlineStr">
        <is>
          <t>JÄMTLANDS LÄN</t>
        </is>
      </c>
      <c r="E751" t="inlineStr">
        <is>
          <t>BERG</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38408-2025</t>
        </is>
      </c>
      <c r="B752" s="1" t="n">
        <v>45883.59412037037</v>
      </c>
      <c r="C752" s="1" t="n">
        <v>46139</v>
      </c>
      <c r="D752" t="inlineStr">
        <is>
          <t>JÄMTLANDS LÄN</t>
        </is>
      </c>
      <c r="E752" t="inlineStr">
        <is>
          <t>BERG</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38388-2025</t>
        </is>
      </c>
      <c r="B753" s="1" t="n">
        <v>45883.57467592593</v>
      </c>
      <c r="C753" s="1" t="n">
        <v>46139</v>
      </c>
      <c r="D753" t="inlineStr">
        <is>
          <t>JÄMTLANDS LÄN</t>
        </is>
      </c>
      <c r="E753" t="inlineStr">
        <is>
          <t>BERG</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38428-2025</t>
        </is>
      </c>
      <c r="B754" s="1" t="n">
        <v>45883.63628472222</v>
      </c>
      <c r="C754" s="1" t="n">
        <v>46139</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38080-2025</t>
        </is>
      </c>
      <c r="B755" s="1" t="n">
        <v>45882</v>
      </c>
      <c r="C755" s="1" t="n">
        <v>46139</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13473-2025</t>
        </is>
      </c>
      <c r="B756" s="1" t="n">
        <v>45736.40671296296</v>
      </c>
      <c r="C756" s="1" t="n">
        <v>46139</v>
      </c>
      <c r="D756" t="inlineStr">
        <is>
          <t>JÄMTLANDS LÄN</t>
        </is>
      </c>
      <c r="E756" t="inlineStr">
        <is>
          <t>BERG</t>
        </is>
      </c>
      <c r="F756" t="inlineStr">
        <is>
          <t>SCA</t>
        </is>
      </c>
      <c r="G756" t="n">
        <v>13.7</v>
      </c>
      <c r="H756" t="n">
        <v>0</v>
      </c>
      <c r="I756" t="n">
        <v>0</v>
      </c>
      <c r="J756" t="n">
        <v>0</v>
      </c>
      <c r="K756" t="n">
        <v>0</v>
      </c>
      <c r="L756" t="n">
        <v>0</v>
      </c>
      <c r="M756" t="n">
        <v>0</v>
      </c>
      <c r="N756" t="n">
        <v>0</v>
      </c>
      <c r="O756" t="n">
        <v>0</v>
      </c>
      <c r="P756" t="n">
        <v>0</v>
      </c>
      <c r="Q756" t="n">
        <v>0</v>
      </c>
      <c r="R756" s="2" t="inlineStr"/>
    </row>
    <row r="757" ht="15" customHeight="1">
      <c r="A757" t="inlineStr">
        <is>
          <t>A 59498-2024</t>
        </is>
      </c>
      <c r="B757" s="1" t="n">
        <v>45638.54635416667</v>
      </c>
      <c r="C757" s="1" t="n">
        <v>46139</v>
      </c>
      <c r="D757" t="inlineStr">
        <is>
          <t>JÄMTLANDS LÄN</t>
        </is>
      </c>
      <c r="E757" t="inlineStr">
        <is>
          <t>BERG</t>
        </is>
      </c>
      <c r="G757" t="n">
        <v>2.4</v>
      </c>
      <c r="H757" t="n">
        <v>0</v>
      </c>
      <c r="I757" t="n">
        <v>0</v>
      </c>
      <c r="J757" t="n">
        <v>0</v>
      </c>
      <c r="K757" t="n">
        <v>0</v>
      </c>
      <c r="L757" t="n">
        <v>0</v>
      </c>
      <c r="M757" t="n">
        <v>0</v>
      </c>
      <c r="N757" t="n">
        <v>0</v>
      </c>
      <c r="O757" t="n">
        <v>0</v>
      </c>
      <c r="P757" t="n">
        <v>0</v>
      </c>
      <c r="Q757" t="n">
        <v>0</v>
      </c>
      <c r="R757" s="2" t="inlineStr"/>
    </row>
    <row r="758" ht="15" customHeight="1">
      <c r="A758" t="inlineStr">
        <is>
          <t>A 62052-2025</t>
        </is>
      </c>
      <c r="B758" s="1" t="n">
        <v>46006.32145833333</v>
      </c>
      <c r="C758" s="1" t="n">
        <v>46139</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39809-2025</t>
        </is>
      </c>
      <c r="B759" s="1" t="n">
        <v>45891</v>
      </c>
      <c r="C759" s="1" t="n">
        <v>46139</v>
      </c>
      <c r="D759" t="inlineStr">
        <is>
          <t>JÄMTLANDS LÄN</t>
        </is>
      </c>
      <c r="E759" t="inlineStr">
        <is>
          <t>BERG</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47119-2024</t>
        </is>
      </c>
      <c r="B760" s="1" t="n">
        <v>45586.56431712963</v>
      </c>
      <c r="C760" s="1" t="n">
        <v>46139</v>
      </c>
      <c r="D760" t="inlineStr">
        <is>
          <t>JÄMTLANDS LÄN</t>
        </is>
      </c>
      <c r="E760" t="inlineStr">
        <is>
          <t>BERG</t>
        </is>
      </c>
      <c r="G760" t="n">
        <v>5</v>
      </c>
      <c r="H760" t="n">
        <v>0</v>
      </c>
      <c r="I760" t="n">
        <v>0</v>
      </c>
      <c r="J760" t="n">
        <v>0</v>
      </c>
      <c r="K760" t="n">
        <v>0</v>
      </c>
      <c r="L760" t="n">
        <v>0</v>
      </c>
      <c r="M760" t="n">
        <v>0</v>
      </c>
      <c r="N760" t="n">
        <v>0</v>
      </c>
      <c r="O760" t="n">
        <v>0</v>
      </c>
      <c r="P760" t="n">
        <v>0</v>
      </c>
      <c r="Q760" t="n">
        <v>0</v>
      </c>
      <c r="R760" s="2" t="inlineStr"/>
    </row>
    <row r="761" ht="15" customHeight="1">
      <c r="A761" t="inlineStr">
        <is>
          <t>A 62826-2025</t>
        </is>
      </c>
      <c r="B761" s="1" t="n">
        <v>46008.65883101852</v>
      </c>
      <c r="C761" s="1" t="n">
        <v>46139</v>
      </c>
      <c r="D761" t="inlineStr">
        <is>
          <t>JÄMTLANDS LÄN</t>
        </is>
      </c>
      <c r="E761" t="inlineStr">
        <is>
          <t>BERG</t>
        </is>
      </c>
      <c r="G761" t="n">
        <v>4</v>
      </c>
      <c r="H761" t="n">
        <v>0</v>
      </c>
      <c r="I761" t="n">
        <v>0</v>
      </c>
      <c r="J761" t="n">
        <v>0</v>
      </c>
      <c r="K761" t="n">
        <v>0</v>
      </c>
      <c r="L761" t="n">
        <v>0</v>
      </c>
      <c r="M761" t="n">
        <v>0</v>
      </c>
      <c r="N761" t="n">
        <v>0</v>
      </c>
      <c r="O761" t="n">
        <v>0</v>
      </c>
      <c r="P761" t="n">
        <v>0</v>
      </c>
      <c r="Q761" t="n">
        <v>0</v>
      </c>
      <c r="R761" s="2" t="inlineStr"/>
    </row>
    <row r="762" ht="15" customHeight="1">
      <c r="A762" t="inlineStr">
        <is>
          <t>A 53427-2025</t>
        </is>
      </c>
      <c r="B762" s="1" t="n">
        <v>45959</v>
      </c>
      <c r="C762" s="1" t="n">
        <v>46139</v>
      </c>
      <c r="D762" t="inlineStr">
        <is>
          <t>JÄMTLANDS LÄN</t>
        </is>
      </c>
      <c r="E762" t="inlineStr">
        <is>
          <t>BERG</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62814-2025</t>
        </is>
      </c>
      <c r="B763" s="1" t="n">
        <v>46008.6502662037</v>
      </c>
      <c r="C763" s="1" t="n">
        <v>46139</v>
      </c>
      <c r="D763" t="inlineStr">
        <is>
          <t>JÄMTLANDS LÄN</t>
        </is>
      </c>
      <c r="E763" t="inlineStr">
        <is>
          <t>BERG</t>
        </is>
      </c>
      <c r="G763" t="n">
        <v>7.8</v>
      </c>
      <c r="H763" t="n">
        <v>0</v>
      </c>
      <c r="I763" t="n">
        <v>0</v>
      </c>
      <c r="J763" t="n">
        <v>0</v>
      </c>
      <c r="K763" t="n">
        <v>0</v>
      </c>
      <c r="L763" t="n">
        <v>0</v>
      </c>
      <c r="M763" t="n">
        <v>0</v>
      </c>
      <c r="N763" t="n">
        <v>0</v>
      </c>
      <c r="O763" t="n">
        <v>0</v>
      </c>
      <c r="P763" t="n">
        <v>0</v>
      </c>
      <c r="Q763" t="n">
        <v>0</v>
      </c>
      <c r="R763" s="2" t="inlineStr"/>
    </row>
    <row r="764" ht="15" customHeight="1">
      <c r="A764" t="inlineStr">
        <is>
          <t>A 50169-2023</t>
        </is>
      </c>
      <c r="B764" s="1" t="n">
        <v>45208</v>
      </c>
      <c r="C764" s="1" t="n">
        <v>46139</v>
      </c>
      <c r="D764" t="inlineStr">
        <is>
          <t>JÄMTLANDS LÄN</t>
        </is>
      </c>
      <c r="E764" t="inlineStr">
        <is>
          <t>BERG</t>
        </is>
      </c>
      <c r="G764" t="n">
        <v>3.9</v>
      </c>
      <c r="H764" t="n">
        <v>0</v>
      </c>
      <c r="I764" t="n">
        <v>0</v>
      </c>
      <c r="J764" t="n">
        <v>0</v>
      </c>
      <c r="K764" t="n">
        <v>0</v>
      </c>
      <c r="L764" t="n">
        <v>0</v>
      </c>
      <c r="M764" t="n">
        <v>0</v>
      </c>
      <c r="N764" t="n">
        <v>0</v>
      </c>
      <c r="O764" t="n">
        <v>0</v>
      </c>
      <c r="P764" t="n">
        <v>0</v>
      </c>
      <c r="Q764" t="n">
        <v>0</v>
      </c>
      <c r="R764" s="2" t="inlineStr"/>
    </row>
    <row r="765" ht="15" customHeight="1">
      <c r="A765" t="inlineStr">
        <is>
          <t>A 50172-2023</t>
        </is>
      </c>
      <c r="B765" s="1" t="n">
        <v>45208</v>
      </c>
      <c r="C765" s="1" t="n">
        <v>46139</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63345-2025</t>
        </is>
      </c>
      <c r="B766" s="1" t="n">
        <v>46010.65959490741</v>
      </c>
      <c r="C766" s="1" t="n">
        <v>46139</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2474-2025</t>
        </is>
      </c>
      <c r="B767" s="1" t="n">
        <v>45674.47496527778</v>
      </c>
      <c r="C767" s="1" t="n">
        <v>46139</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63332-2025</t>
        </is>
      </c>
      <c r="B768" s="1" t="n">
        <v>46010.64340277778</v>
      </c>
      <c r="C768" s="1" t="n">
        <v>46139</v>
      </c>
      <c r="D768" t="inlineStr">
        <is>
          <t>JÄMTLANDS LÄN</t>
        </is>
      </c>
      <c r="E768" t="inlineStr">
        <is>
          <t>BERG</t>
        </is>
      </c>
      <c r="G768" t="n">
        <v>5.4</v>
      </c>
      <c r="H768" t="n">
        <v>0</v>
      </c>
      <c r="I768" t="n">
        <v>0</v>
      </c>
      <c r="J768" t="n">
        <v>0</v>
      </c>
      <c r="K768" t="n">
        <v>0</v>
      </c>
      <c r="L768" t="n">
        <v>0</v>
      </c>
      <c r="M768" t="n">
        <v>0</v>
      </c>
      <c r="N768" t="n">
        <v>0</v>
      </c>
      <c r="O768" t="n">
        <v>0</v>
      </c>
      <c r="P768" t="n">
        <v>0</v>
      </c>
      <c r="Q768" t="n">
        <v>0</v>
      </c>
      <c r="R768" s="2" t="inlineStr"/>
    </row>
    <row r="769" ht="15" customHeight="1">
      <c r="A769" t="inlineStr">
        <is>
          <t>A 41886-2024</t>
        </is>
      </c>
      <c r="B769" s="1" t="n">
        <v>45561.48825231481</v>
      </c>
      <c r="C769" s="1" t="n">
        <v>46139</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63381-2025</t>
        </is>
      </c>
      <c r="B770" s="1" t="n">
        <v>46010.89377314815</v>
      </c>
      <c r="C770" s="1" t="n">
        <v>46139</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49277-2024</t>
        </is>
      </c>
      <c r="B771" s="1" t="n">
        <v>45595.50820601852</v>
      </c>
      <c r="C771" s="1" t="n">
        <v>46139</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34225-2024</t>
        </is>
      </c>
      <c r="B772" s="1" t="n">
        <v>45524.55398148148</v>
      </c>
      <c r="C772" s="1" t="n">
        <v>46139</v>
      </c>
      <c r="D772" t="inlineStr">
        <is>
          <t>JÄMTLANDS LÄN</t>
        </is>
      </c>
      <c r="E772" t="inlineStr">
        <is>
          <t>BERG</t>
        </is>
      </c>
      <c r="G772" t="n">
        <v>1.3</v>
      </c>
      <c r="H772" t="n">
        <v>0</v>
      </c>
      <c r="I772" t="n">
        <v>0</v>
      </c>
      <c r="J772" t="n">
        <v>0</v>
      </c>
      <c r="K772" t="n">
        <v>0</v>
      </c>
      <c r="L772" t="n">
        <v>0</v>
      </c>
      <c r="M772" t="n">
        <v>0</v>
      </c>
      <c r="N772" t="n">
        <v>0</v>
      </c>
      <c r="O772" t="n">
        <v>0</v>
      </c>
      <c r="P772" t="n">
        <v>0</v>
      </c>
      <c r="Q772" t="n">
        <v>0</v>
      </c>
      <c r="R772" s="2" t="inlineStr"/>
    </row>
    <row r="773" ht="15" customHeight="1">
      <c r="A773" t="inlineStr">
        <is>
          <t>A 19538-2023</t>
        </is>
      </c>
      <c r="B773" s="1" t="n">
        <v>45050</v>
      </c>
      <c r="C773" s="1" t="n">
        <v>46139</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46139</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63559-2025</t>
        </is>
      </c>
      <c r="B775" s="1" t="n">
        <v>46013.61951388889</v>
      </c>
      <c r="C775" s="1" t="n">
        <v>46139</v>
      </c>
      <c r="D775" t="inlineStr">
        <is>
          <t>JÄMTLANDS LÄN</t>
        </is>
      </c>
      <c r="E775" t="inlineStr">
        <is>
          <t>BERG</t>
        </is>
      </c>
      <c r="G775" t="n">
        <v>0.6</v>
      </c>
      <c r="H775" t="n">
        <v>0</v>
      </c>
      <c r="I775" t="n">
        <v>0</v>
      </c>
      <c r="J775" t="n">
        <v>0</v>
      </c>
      <c r="K775" t="n">
        <v>0</v>
      </c>
      <c r="L775" t="n">
        <v>0</v>
      </c>
      <c r="M775" t="n">
        <v>0</v>
      </c>
      <c r="N775" t="n">
        <v>0</v>
      </c>
      <c r="O775" t="n">
        <v>0</v>
      </c>
      <c r="P775" t="n">
        <v>0</v>
      </c>
      <c r="Q775" t="n">
        <v>0</v>
      </c>
      <c r="R775" s="2" t="inlineStr"/>
    </row>
    <row r="776" ht="15" customHeight="1">
      <c r="A776" t="inlineStr">
        <is>
          <t>A 63562-2025</t>
        </is>
      </c>
      <c r="B776" s="1" t="n">
        <v>46013.62353009259</v>
      </c>
      <c r="C776" s="1" t="n">
        <v>46139</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46139</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63597-2025</t>
        </is>
      </c>
      <c r="B778" s="1" t="n">
        <v>46014.28792824074</v>
      </c>
      <c r="C778" s="1" t="n">
        <v>46139</v>
      </c>
      <c r="D778" t="inlineStr">
        <is>
          <t>JÄMTLANDS LÄN</t>
        </is>
      </c>
      <c r="E778" t="inlineStr">
        <is>
          <t>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64486-2023</t>
        </is>
      </c>
      <c r="B779" s="1" t="n">
        <v>45280</v>
      </c>
      <c r="C779" s="1" t="n">
        <v>46139</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64488-2023</t>
        </is>
      </c>
      <c r="B780" s="1" t="n">
        <v>45280.92618055556</v>
      </c>
      <c r="C780" s="1" t="n">
        <v>46139</v>
      </c>
      <c r="D780" t="inlineStr">
        <is>
          <t>JÄMTLANDS LÄN</t>
        </is>
      </c>
      <c r="E780" t="inlineStr">
        <is>
          <t>BERG</t>
        </is>
      </c>
      <c r="F780" t="inlineStr">
        <is>
          <t>Övriga Aktiebolag</t>
        </is>
      </c>
      <c r="G780" t="n">
        <v>7.1</v>
      </c>
      <c r="H780" t="n">
        <v>0</v>
      </c>
      <c r="I780" t="n">
        <v>0</v>
      </c>
      <c r="J780" t="n">
        <v>0</v>
      </c>
      <c r="K780" t="n">
        <v>0</v>
      </c>
      <c r="L780" t="n">
        <v>0</v>
      </c>
      <c r="M780" t="n">
        <v>0</v>
      </c>
      <c r="N780" t="n">
        <v>0</v>
      </c>
      <c r="O780" t="n">
        <v>0</v>
      </c>
      <c r="P780" t="n">
        <v>0</v>
      </c>
      <c r="Q780" t="n">
        <v>0</v>
      </c>
      <c r="R780" s="2" t="inlineStr"/>
    </row>
    <row r="781" ht="15" customHeight="1">
      <c r="A781" t="inlineStr">
        <is>
          <t>A 58817-2024</t>
        </is>
      </c>
      <c r="B781" s="1" t="n">
        <v>45636.35909722222</v>
      </c>
      <c r="C781" s="1" t="n">
        <v>46139</v>
      </c>
      <c r="D781" t="inlineStr">
        <is>
          <t>JÄMTLANDS LÄN</t>
        </is>
      </c>
      <c r="E781" t="inlineStr">
        <is>
          <t>BERG</t>
        </is>
      </c>
      <c r="G781" t="n">
        <v>1.5</v>
      </c>
      <c r="H781" t="n">
        <v>0</v>
      </c>
      <c r="I781" t="n">
        <v>0</v>
      </c>
      <c r="J781" t="n">
        <v>0</v>
      </c>
      <c r="K781" t="n">
        <v>0</v>
      </c>
      <c r="L781" t="n">
        <v>0</v>
      </c>
      <c r="M781" t="n">
        <v>0</v>
      </c>
      <c r="N781" t="n">
        <v>0</v>
      </c>
      <c r="O781" t="n">
        <v>0</v>
      </c>
      <c r="P781" t="n">
        <v>0</v>
      </c>
      <c r="Q781" t="n">
        <v>0</v>
      </c>
      <c r="R781" s="2" t="inlineStr"/>
    </row>
    <row r="782" ht="15" customHeight="1">
      <c r="A782" t="inlineStr">
        <is>
          <t>A 36142-2025</t>
        </is>
      </c>
      <c r="B782" s="1" t="n">
        <v>45866</v>
      </c>
      <c r="C782" s="1" t="n">
        <v>46139</v>
      </c>
      <c r="D782" t="inlineStr">
        <is>
          <t>JÄMTLANDS LÄN</t>
        </is>
      </c>
      <c r="E782" t="inlineStr">
        <is>
          <t>BERG</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48209-2025</t>
        </is>
      </c>
      <c r="B783" s="1" t="n">
        <v>45933.4900462963</v>
      </c>
      <c r="C783" s="1" t="n">
        <v>46139</v>
      </c>
      <c r="D783" t="inlineStr">
        <is>
          <t>JÄMTLANDS LÄN</t>
        </is>
      </c>
      <c r="E783" t="inlineStr">
        <is>
          <t>BERG</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45570-2025</t>
        </is>
      </c>
      <c r="B784" s="1" t="n">
        <v>45922.65715277778</v>
      </c>
      <c r="C784" s="1" t="n">
        <v>46139</v>
      </c>
      <c r="D784" t="inlineStr">
        <is>
          <t>JÄMTLANDS LÄN</t>
        </is>
      </c>
      <c r="E784" t="inlineStr">
        <is>
          <t>BERG</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48190-2025</t>
        </is>
      </c>
      <c r="B785" s="1" t="n">
        <v>45933.46930555555</v>
      </c>
      <c r="C785" s="1" t="n">
        <v>46139</v>
      </c>
      <c r="D785" t="inlineStr">
        <is>
          <t>JÄMTLANDS LÄN</t>
        </is>
      </c>
      <c r="E785" t="inlineStr">
        <is>
          <t>BERG</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60831-2025</t>
        </is>
      </c>
      <c r="B786" s="1" t="n">
        <v>45999.46935185185</v>
      </c>
      <c r="C786" s="1" t="n">
        <v>46139</v>
      </c>
      <c r="D786" t="inlineStr">
        <is>
          <t>JÄMTLANDS LÄN</t>
        </is>
      </c>
      <c r="E786" t="inlineStr">
        <is>
          <t>BERG</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46908-2025</t>
        </is>
      </c>
      <c r="B787" s="1" t="n">
        <v>45929.40664351852</v>
      </c>
      <c r="C787" s="1" t="n">
        <v>46139</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55223-2025</t>
        </is>
      </c>
      <c r="B788" s="1" t="n">
        <v>45968.59439814815</v>
      </c>
      <c r="C788" s="1" t="n">
        <v>46139</v>
      </c>
      <c r="D788" t="inlineStr">
        <is>
          <t>JÄMTLANDS LÄN</t>
        </is>
      </c>
      <c r="E788" t="inlineStr">
        <is>
          <t>BERG</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57271-2025</t>
        </is>
      </c>
      <c r="B789" s="1" t="n">
        <v>45979.67789351852</v>
      </c>
      <c r="C789" s="1" t="n">
        <v>46139</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40339-2025</t>
        </is>
      </c>
      <c r="B790" s="1" t="n">
        <v>45895</v>
      </c>
      <c r="C790" s="1" t="n">
        <v>46139</v>
      </c>
      <c r="D790" t="inlineStr">
        <is>
          <t>JÄMTLANDS LÄN</t>
        </is>
      </c>
      <c r="E790" t="inlineStr">
        <is>
          <t>BERG</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40340-2025</t>
        </is>
      </c>
      <c r="B791" s="1" t="n">
        <v>45895.46922453704</v>
      </c>
      <c r="C791" s="1" t="n">
        <v>46139</v>
      </c>
      <c r="D791" t="inlineStr">
        <is>
          <t>JÄMTLANDS LÄN</t>
        </is>
      </c>
      <c r="E791" t="inlineStr">
        <is>
          <t>BERG</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48056-2025</t>
        </is>
      </c>
      <c r="B792" s="1" t="n">
        <v>45932.67946759259</v>
      </c>
      <c r="C792" s="1" t="n">
        <v>46139</v>
      </c>
      <c r="D792" t="inlineStr">
        <is>
          <t>JÄMTLANDS LÄN</t>
        </is>
      </c>
      <c r="E792" t="inlineStr">
        <is>
          <t>BERG</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55224-2025</t>
        </is>
      </c>
      <c r="B793" s="1" t="n">
        <v>45968.59447916667</v>
      </c>
      <c r="C793" s="1" t="n">
        <v>46139</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55770-2025</t>
        </is>
      </c>
      <c r="B794" s="1" t="n">
        <v>45972</v>
      </c>
      <c r="C794" s="1" t="n">
        <v>46139</v>
      </c>
      <c r="D794" t="inlineStr">
        <is>
          <t>JÄMTLANDS LÄN</t>
        </is>
      </c>
      <c r="E794" t="inlineStr">
        <is>
          <t>BERG</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44051-2025</t>
        </is>
      </c>
      <c r="B795" s="1" t="n">
        <v>45915.51079861111</v>
      </c>
      <c r="C795" s="1" t="n">
        <v>46139</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13108-2025</t>
        </is>
      </c>
      <c r="B796" s="1" t="n">
        <v>45734</v>
      </c>
      <c r="C796" s="1" t="n">
        <v>46139</v>
      </c>
      <c r="D796" t="inlineStr">
        <is>
          <t>JÄMTLANDS LÄN</t>
        </is>
      </c>
      <c r="E796" t="inlineStr">
        <is>
          <t>BERG</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5215-2024</t>
        </is>
      </c>
      <c r="B797" s="1" t="n">
        <v>45330</v>
      </c>
      <c r="C797" s="1" t="n">
        <v>46139</v>
      </c>
      <c r="D797" t="inlineStr">
        <is>
          <t>JÄMTLANDS LÄN</t>
        </is>
      </c>
      <c r="E797" t="inlineStr">
        <is>
          <t>BERG</t>
        </is>
      </c>
      <c r="G797" t="n">
        <v>0.8</v>
      </c>
      <c r="H797" t="n">
        <v>0</v>
      </c>
      <c r="I797" t="n">
        <v>0</v>
      </c>
      <c r="J797" t="n">
        <v>0</v>
      </c>
      <c r="K797" t="n">
        <v>0</v>
      </c>
      <c r="L797" t="n">
        <v>0</v>
      </c>
      <c r="M797" t="n">
        <v>0</v>
      </c>
      <c r="N797" t="n">
        <v>0</v>
      </c>
      <c r="O797" t="n">
        <v>0</v>
      </c>
      <c r="P797" t="n">
        <v>0</v>
      </c>
      <c r="Q797" t="n">
        <v>0</v>
      </c>
      <c r="R797" s="2" t="inlineStr"/>
    </row>
    <row r="798" ht="15" customHeight="1">
      <c r="A798" t="inlineStr">
        <is>
          <t>A 16002-2025</t>
        </is>
      </c>
      <c r="B798" s="1" t="n">
        <v>45749.59398148148</v>
      </c>
      <c r="C798" s="1" t="n">
        <v>46139</v>
      </c>
      <c r="D798" t="inlineStr">
        <is>
          <t>JÄMTLANDS LÄN</t>
        </is>
      </c>
      <c r="E798" t="inlineStr">
        <is>
          <t>BERG</t>
        </is>
      </c>
      <c r="G798" t="n">
        <v>0.7</v>
      </c>
      <c r="H798" t="n">
        <v>0</v>
      </c>
      <c r="I798" t="n">
        <v>0</v>
      </c>
      <c r="J798" t="n">
        <v>0</v>
      </c>
      <c r="K798" t="n">
        <v>0</v>
      </c>
      <c r="L798" t="n">
        <v>0</v>
      </c>
      <c r="M798" t="n">
        <v>0</v>
      </c>
      <c r="N798" t="n">
        <v>0</v>
      </c>
      <c r="O798" t="n">
        <v>0</v>
      </c>
      <c r="P798" t="n">
        <v>0</v>
      </c>
      <c r="Q798" t="n">
        <v>0</v>
      </c>
      <c r="R798" s="2" t="inlineStr"/>
    </row>
    <row r="799" ht="15" customHeight="1">
      <c r="A799" t="inlineStr">
        <is>
          <t>A 18032-2024</t>
        </is>
      </c>
      <c r="B799" s="1" t="n">
        <v>45420.34979166667</v>
      </c>
      <c r="C799" s="1" t="n">
        <v>46139</v>
      </c>
      <c r="D799" t="inlineStr">
        <is>
          <t>JÄMTLANDS LÄN</t>
        </is>
      </c>
      <c r="E799" t="inlineStr">
        <is>
          <t>BERG</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47821-2025</t>
        </is>
      </c>
      <c r="B800" s="1" t="n">
        <v>45932.34421296296</v>
      </c>
      <c r="C800" s="1" t="n">
        <v>46139</v>
      </c>
      <c r="D800" t="inlineStr">
        <is>
          <t>JÄMTLANDS LÄN</t>
        </is>
      </c>
      <c r="E800" t="inlineStr">
        <is>
          <t>BERG</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49749-2025</t>
        </is>
      </c>
      <c r="B801" s="1" t="n">
        <v>45940.34486111111</v>
      </c>
      <c r="C801" s="1" t="n">
        <v>46139</v>
      </c>
      <c r="D801" t="inlineStr">
        <is>
          <t>JÄMTLANDS LÄN</t>
        </is>
      </c>
      <c r="E801" t="inlineStr">
        <is>
          <t>BERG</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53778-2025</t>
        </is>
      </c>
      <c r="B802" s="1" t="n">
        <v>45960.69841435185</v>
      </c>
      <c r="C802" s="1" t="n">
        <v>46139</v>
      </c>
      <c r="D802" t="inlineStr">
        <is>
          <t>JÄMTLANDS LÄN</t>
        </is>
      </c>
      <c r="E802" t="inlineStr">
        <is>
          <t>BERG</t>
        </is>
      </c>
      <c r="F802" t="inlineStr">
        <is>
          <t>SCA</t>
        </is>
      </c>
      <c r="G802" t="n">
        <v>18.7</v>
      </c>
      <c r="H802" t="n">
        <v>0</v>
      </c>
      <c r="I802" t="n">
        <v>0</v>
      </c>
      <c r="J802" t="n">
        <v>0</v>
      </c>
      <c r="K802" t="n">
        <v>0</v>
      </c>
      <c r="L802" t="n">
        <v>0</v>
      </c>
      <c r="M802" t="n">
        <v>0</v>
      </c>
      <c r="N802" t="n">
        <v>0</v>
      </c>
      <c r="O802" t="n">
        <v>0</v>
      </c>
      <c r="P802" t="n">
        <v>0</v>
      </c>
      <c r="Q802" t="n">
        <v>0</v>
      </c>
      <c r="R802" s="2" t="inlineStr"/>
      <c r="U802">
        <f>HYPERLINK("https://klasma.github.io/Logging_2326/knärot/A 53778-2025 karta knärot.png", "A 53778-2025")</f>
        <v/>
      </c>
      <c r="V802">
        <f>HYPERLINK("https://klasma.github.io/Logging_2326/klagomål/A 53778-2025 FSC-klagomål.docx", "A 53778-2025")</f>
        <v/>
      </c>
      <c r="W802">
        <f>HYPERLINK("https://klasma.github.io/Logging_2326/klagomålsmail/A 53778-2025 FSC-klagomål mail.docx", "A 53778-2025")</f>
        <v/>
      </c>
      <c r="X802">
        <f>HYPERLINK("https://klasma.github.io/Logging_2326/tillsyn/A 53778-2025 tillsynsbegäran.docx", "A 53778-2025")</f>
        <v/>
      </c>
      <c r="Y802">
        <f>HYPERLINK("https://klasma.github.io/Logging_2326/tillsynsmail/A 53778-2025 tillsynsbegäran mail.docx", "A 53778-2025")</f>
        <v/>
      </c>
    </row>
    <row r="803" ht="15" customHeight="1">
      <c r="A803" t="inlineStr">
        <is>
          <t>A 58237-2025</t>
        </is>
      </c>
      <c r="B803" s="1" t="n">
        <v>45985.38751157407</v>
      </c>
      <c r="C803" s="1" t="n">
        <v>46139</v>
      </c>
      <c r="D803" t="inlineStr">
        <is>
          <t>JÄMTLANDS LÄN</t>
        </is>
      </c>
      <c r="E803" t="inlineStr">
        <is>
          <t>BERG</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34845-2023</t>
        </is>
      </c>
      <c r="B804" s="1" t="n">
        <v>45141.95964120371</v>
      </c>
      <c r="C804" s="1" t="n">
        <v>46139</v>
      </c>
      <c r="D804" t="inlineStr">
        <is>
          <t>JÄMTLANDS LÄN</t>
        </is>
      </c>
      <c r="E804" t="inlineStr">
        <is>
          <t>BERG</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59824-2025</t>
        </is>
      </c>
      <c r="B805" s="1" t="n">
        <v>45992.65116898148</v>
      </c>
      <c r="C805" s="1" t="n">
        <v>46139</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62158-2025</t>
        </is>
      </c>
      <c r="B806" s="1" t="n">
        <v>46006.490625</v>
      </c>
      <c r="C806" s="1" t="n">
        <v>46139</v>
      </c>
      <c r="D806" t="inlineStr">
        <is>
          <t>JÄMTLANDS LÄN</t>
        </is>
      </c>
      <c r="E806" t="inlineStr">
        <is>
          <t>BERG</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568-2026</t>
        </is>
      </c>
      <c r="B807" s="1" t="n">
        <v>46029.46987268519</v>
      </c>
      <c r="C807" s="1" t="n">
        <v>46139</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41069-2022</t>
        </is>
      </c>
      <c r="B808" s="1" t="n">
        <v>44825.60015046296</v>
      </c>
      <c r="C808" s="1" t="n">
        <v>46139</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50458-2025</t>
        </is>
      </c>
      <c r="B809" s="1" t="n">
        <v>45945</v>
      </c>
      <c r="C809" s="1" t="n">
        <v>46139</v>
      </c>
      <c r="D809" t="inlineStr">
        <is>
          <t>JÄMTLANDS LÄN</t>
        </is>
      </c>
      <c r="E809" t="inlineStr">
        <is>
          <t>BERG</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679-2026</t>
        </is>
      </c>
      <c r="B810" s="1" t="n">
        <v>46029.60032407408</v>
      </c>
      <c r="C810" s="1" t="n">
        <v>46139</v>
      </c>
      <c r="D810" t="inlineStr">
        <is>
          <t>JÄMTLANDS LÄN</t>
        </is>
      </c>
      <c r="E810" t="inlineStr">
        <is>
          <t>BERG</t>
        </is>
      </c>
      <c r="G810" t="n">
        <v>1.9</v>
      </c>
      <c r="H810" t="n">
        <v>0</v>
      </c>
      <c r="I810" t="n">
        <v>0</v>
      </c>
      <c r="J810" t="n">
        <v>0</v>
      </c>
      <c r="K810" t="n">
        <v>0</v>
      </c>
      <c r="L810" t="n">
        <v>0</v>
      </c>
      <c r="M810" t="n">
        <v>0</v>
      </c>
      <c r="N810" t="n">
        <v>0</v>
      </c>
      <c r="O810" t="n">
        <v>0</v>
      </c>
      <c r="P810" t="n">
        <v>0</v>
      </c>
      <c r="Q810" t="n">
        <v>0</v>
      </c>
      <c r="R810" s="2" t="inlineStr"/>
    </row>
    <row r="811" ht="15" customHeight="1">
      <c r="A811" t="inlineStr">
        <is>
          <t>A 1287-2026</t>
        </is>
      </c>
      <c r="B811" s="1" t="n">
        <v>46031.49944444445</v>
      </c>
      <c r="C811" s="1" t="n">
        <v>46139</v>
      </c>
      <c r="D811" t="inlineStr">
        <is>
          <t>JÄMTLANDS LÄN</t>
        </is>
      </c>
      <c r="E811" t="inlineStr">
        <is>
          <t>BERG</t>
        </is>
      </c>
      <c r="G811" t="n">
        <v>2.2</v>
      </c>
      <c r="H811" t="n">
        <v>0</v>
      </c>
      <c r="I811" t="n">
        <v>0</v>
      </c>
      <c r="J811" t="n">
        <v>0</v>
      </c>
      <c r="K811" t="n">
        <v>0</v>
      </c>
      <c r="L811" t="n">
        <v>0</v>
      </c>
      <c r="M811" t="n">
        <v>0</v>
      </c>
      <c r="N811" t="n">
        <v>0</v>
      </c>
      <c r="O811" t="n">
        <v>0</v>
      </c>
      <c r="P811" t="n">
        <v>0</v>
      </c>
      <c r="Q811" t="n">
        <v>0</v>
      </c>
      <c r="R811" s="2" t="inlineStr"/>
    </row>
    <row r="812" ht="15" customHeight="1">
      <c r="A812" t="inlineStr">
        <is>
          <t>A 1401-2026</t>
        </is>
      </c>
      <c r="B812" s="1" t="n">
        <v>46031.64333333333</v>
      </c>
      <c r="C812" s="1" t="n">
        <v>46139</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46139</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46167-2022</t>
        </is>
      </c>
      <c r="B814" s="1" t="n">
        <v>44845</v>
      </c>
      <c r="C814" s="1" t="n">
        <v>46139</v>
      </c>
      <c r="D814" t="inlineStr">
        <is>
          <t>JÄMTLANDS LÄN</t>
        </is>
      </c>
      <c r="E814" t="inlineStr">
        <is>
          <t>BERG</t>
        </is>
      </c>
      <c r="G814" t="n">
        <v>35.2</v>
      </c>
      <c r="H814" t="n">
        <v>0</v>
      </c>
      <c r="I814" t="n">
        <v>0</v>
      </c>
      <c r="J814" t="n">
        <v>0</v>
      </c>
      <c r="K814" t="n">
        <v>0</v>
      </c>
      <c r="L814" t="n">
        <v>0</v>
      </c>
      <c r="M814" t="n">
        <v>0</v>
      </c>
      <c r="N814" t="n">
        <v>0</v>
      </c>
      <c r="O814" t="n">
        <v>0</v>
      </c>
      <c r="P814" t="n">
        <v>0</v>
      </c>
      <c r="Q814" t="n">
        <v>0</v>
      </c>
      <c r="R814" s="2" t="inlineStr"/>
    </row>
    <row r="815" ht="15" customHeight="1">
      <c r="A815" t="inlineStr">
        <is>
          <t>A 1282-2026</t>
        </is>
      </c>
      <c r="B815" s="1" t="n">
        <v>46031.49096064815</v>
      </c>
      <c r="C815" s="1" t="n">
        <v>46139</v>
      </c>
      <c r="D815" t="inlineStr">
        <is>
          <t>JÄMTLANDS LÄN</t>
        </is>
      </c>
      <c r="E815" t="inlineStr">
        <is>
          <t>BERG</t>
        </is>
      </c>
      <c r="G815" t="n">
        <v>3.5</v>
      </c>
      <c r="H815" t="n">
        <v>0</v>
      </c>
      <c r="I815" t="n">
        <v>0</v>
      </c>
      <c r="J815" t="n">
        <v>0</v>
      </c>
      <c r="K815" t="n">
        <v>0</v>
      </c>
      <c r="L815" t="n">
        <v>0</v>
      </c>
      <c r="M815" t="n">
        <v>0</v>
      </c>
      <c r="N815" t="n">
        <v>0</v>
      </c>
      <c r="O815" t="n">
        <v>0</v>
      </c>
      <c r="P815" t="n">
        <v>0</v>
      </c>
      <c r="Q815" t="n">
        <v>0</v>
      </c>
      <c r="R815" s="2" t="inlineStr"/>
    </row>
    <row r="816" ht="15" customHeight="1">
      <c r="A816" t="inlineStr">
        <is>
          <t>A 1386-2026</t>
        </is>
      </c>
      <c r="B816" s="1" t="n">
        <v>46031.62633101852</v>
      </c>
      <c r="C816" s="1" t="n">
        <v>46139</v>
      </c>
      <c r="D816" t="inlineStr">
        <is>
          <t>JÄMTLANDS LÄN</t>
        </is>
      </c>
      <c r="E816" t="inlineStr">
        <is>
          <t>BERG</t>
        </is>
      </c>
      <c r="G816" t="n">
        <v>1.9</v>
      </c>
      <c r="H816" t="n">
        <v>0</v>
      </c>
      <c r="I816" t="n">
        <v>0</v>
      </c>
      <c r="J816" t="n">
        <v>0</v>
      </c>
      <c r="K816" t="n">
        <v>0</v>
      </c>
      <c r="L816" t="n">
        <v>0</v>
      </c>
      <c r="M816" t="n">
        <v>0</v>
      </c>
      <c r="N816" t="n">
        <v>0</v>
      </c>
      <c r="O816" t="n">
        <v>0</v>
      </c>
      <c r="P816" t="n">
        <v>0</v>
      </c>
      <c r="Q816" t="n">
        <v>0</v>
      </c>
      <c r="R816" s="2" t="inlineStr"/>
    </row>
    <row r="817" ht="15" customHeight="1">
      <c r="A817" t="inlineStr">
        <is>
          <t>A 1391-2026</t>
        </is>
      </c>
      <c r="B817" s="1" t="n">
        <v>46031.63359953704</v>
      </c>
      <c r="C817" s="1" t="n">
        <v>46139</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1407-2026</t>
        </is>
      </c>
      <c r="B818" s="1" t="n">
        <v>46031.64733796296</v>
      </c>
      <c r="C818" s="1" t="n">
        <v>46139</v>
      </c>
      <c r="D818" t="inlineStr">
        <is>
          <t>JÄMTLANDS LÄN</t>
        </is>
      </c>
      <c r="E818" t="inlineStr">
        <is>
          <t>BERG</t>
        </is>
      </c>
      <c r="G818" t="n">
        <v>0.9</v>
      </c>
      <c r="H818" t="n">
        <v>0</v>
      </c>
      <c r="I818" t="n">
        <v>0</v>
      </c>
      <c r="J818" t="n">
        <v>0</v>
      </c>
      <c r="K818" t="n">
        <v>0</v>
      </c>
      <c r="L818" t="n">
        <v>0</v>
      </c>
      <c r="M818" t="n">
        <v>0</v>
      </c>
      <c r="N818" t="n">
        <v>0</v>
      </c>
      <c r="O818" t="n">
        <v>0</v>
      </c>
      <c r="P818" t="n">
        <v>0</v>
      </c>
      <c r="Q818" t="n">
        <v>0</v>
      </c>
      <c r="R818" s="2" t="inlineStr"/>
    </row>
    <row r="819" ht="15" customHeight="1">
      <c r="A819" t="inlineStr">
        <is>
          <t>A 1939-2026</t>
        </is>
      </c>
      <c r="B819" s="1" t="n">
        <v>46035.58862268519</v>
      </c>
      <c r="C819" s="1" t="n">
        <v>46139</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39269-2024</t>
        </is>
      </c>
      <c r="B820" s="1" t="n">
        <v>45551.34488425926</v>
      </c>
      <c r="C820" s="1" t="n">
        <v>46139</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13805-2024</t>
        </is>
      </c>
      <c r="B821" s="1" t="n">
        <v>45390</v>
      </c>
      <c r="C821" s="1" t="n">
        <v>46139</v>
      </c>
      <c r="D821" t="inlineStr">
        <is>
          <t>JÄMTLANDS LÄN</t>
        </is>
      </c>
      <c r="E821" t="inlineStr">
        <is>
          <t>BERG</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37589-2021</t>
        </is>
      </c>
      <c r="B822" s="1" t="n">
        <v>44399</v>
      </c>
      <c r="C822" s="1" t="n">
        <v>46139</v>
      </c>
      <c r="D822" t="inlineStr">
        <is>
          <t>JÄMTLANDS LÄN</t>
        </is>
      </c>
      <c r="E822" t="inlineStr">
        <is>
          <t>BERG</t>
        </is>
      </c>
      <c r="G822" t="n">
        <v>8.6</v>
      </c>
      <c r="H822" t="n">
        <v>0</v>
      </c>
      <c r="I822" t="n">
        <v>0</v>
      </c>
      <c r="J822" t="n">
        <v>0</v>
      </c>
      <c r="K822" t="n">
        <v>0</v>
      </c>
      <c r="L822" t="n">
        <v>0</v>
      </c>
      <c r="M822" t="n">
        <v>0</v>
      </c>
      <c r="N822" t="n">
        <v>0</v>
      </c>
      <c r="O822" t="n">
        <v>0</v>
      </c>
      <c r="P822" t="n">
        <v>0</v>
      </c>
      <c r="Q822" t="n">
        <v>0</v>
      </c>
      <c r="R822" s="2" t="inlineStr"/>
    </row>
    <row r="823" ht="15" customHeight="1">
      <c r="A823" t="inlineStr">
        <is>
          <t>A 1498-2026</t>
        </is>
      </c>
      <c r="B823" s="1" t="n">
        <v>46034.331875</v>
      </c>
      <c r="C823" s="1" t="n">
        <v>46139</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16491-2023</t>
        </is>
      </c>
      <c r="B824" s="1" t="n">
        <v>45027</v>
      </c>
      <c r="C824" s="1" t="n">
        <v>46139</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57669-2024</t>
        </is>
      </c>
      <c r="B825" s="1" t="n">
        <v>45630.62520833333</v>
      </c>
      <c r="C825" s="1" t="n">
        <v>46139</v>
      </c>
      <c r="D825" t="inlineStr">
        <is>
          <t>JÄMTLANDS LÄN</t>
        </is>
      </c>
      <c r="E825" t="inlineStr">
        <is>
          <t>BERG</t>
        </is>
      </c>
      <c r="G825" t="n">
        <v>1</v>
      </c>
      <c r="H825" t="n">
        <v>0</v>
      </c>
      <c r="I825" t="n">
        <v>0</v>
      </c>
      <c r="J825" t="n">
        <v>0</v>
      </c>
      <c r="K825" t="n">
        <v>0</v>
      </c>
      <c r="L825" t="n">
        <v>0</v>
      </c>
      <c r="M825" t="n">
        <v>0</v>
      </c>
      <c r="N825" t="n">
        <v>0</v>
      </c>
      <c r="O825" t="n">
        <v>0</v>
      </c>
      <c r="P825" t="n">
        <v>0</v>
      </c>
      <c r="Q825" t="n">
        <v>0</v>
      </c>
      <c r="R825" s="2" t="inlineStr"/>
    </row>
    <row r="826" ht="15" customHeight="1">
      <c r="A826" t="inlineStr">
        <is>
          <t>A 2632-2026</t>
        </is>
      </c>
      <c r="B826" s="1" t="n">
        <v>46035</v>
      </c>
      <c r="C826" s="1" t="n">
        <v>46139</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35921-2024</t>
        </is>
      </c>
      <c r="B827" s="1" t="n">
        <v>45533.42659722222</v>
      </c>
      <c r="C827" s="1" t="n">
        <v>46139</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46139</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1495-2026</t>
        </is>
      </c>
      <c r="B829" s="1" t="n">
        <v>46034.32285879629</v>
      </c>
      <c r="C829" s="1" t="n">
        <v>46139</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1684-2026</t>
        </is>
      </c>
      <c r="B830" s="1" t="n">
        <v>46034.58386574074</v>
      </c>
      <c r="C830" s="1" t="n">
        <v>46139</v>
      </c>
      <c r="D830" t="inlineStr">
        <is>
          <t>JÄMTLANDS LÄN</t>
        </is>
      </c>
      <c r="E830" t="inlineStr">
        <is>
          <t>BERG</t>
        </is>
      </c>
      <c r="G830" t="n">
        <v>1.9</v>
      </c>
      <c r="H830" t="n">
        <v>0</v>
      </c>
      <c r="I830" t="n">
        <v>0</v>
      </c>
      <c r="J830" t="n">
        <v>0</v>
      </c>
      <c r="K830" t="n">
        <v>0</v>
      </c>
      <c r="L830" t="n">
        <v>0</v>
      </c>
      <c r="M830" t="n">
        <v>0</v>
      </c>
      <c r="N830" t="n">
        <v>0</v>
      </c>
      <c r="O830" t="n">
        <v>0</v>
      </c>
      <c r="P830" t="n">
        <v>0</v>
      </c>
      <c r="Q830" t="n">
        <v>0</v>
      </c>
      <c r="R830" s="2" t="inlineStr"/>
    </row>
    <row r="831" ht="15" customHeight="1">
      <c r="A831" t="inlineStr">
        <is>
          <t>A 2312-2026</t>
        </is>
      </c>
      <c r="B831" s="1" t="n">
        <v>46036.59519675926</v>
      </c>
      <c r="C831" s="1" t="n">
        <v>46139</v>
      </c>
      <c r="D831" t="inlineStr">
        <is>
          <t>JÄMTLANDS LÄN</t>
        </is>
      </c>
      <c r="E831" t="inlineStr">
        <is>
          <t>BERG</t>
        </is>
      </c>
      <c r="G831" t="n">
        <v>5.4</v>
      </c>
      <c r="H831" t="n">
        <v>0</v>
      </c>
      <c r="I831" t="n">
        <v>0</v>
      </c>
      <c r="J831" t="n">
        <v>0</v>
      </c>
      <c r="K831" t="n">
        <v>0</v>
      </c>
      <c r="L831" t="n">
        <v>0</v>
      </c>
      <c r="M831" t="n">
        <v>0</v>
      </c>
      <c r="N831" t="n">
        <v>0</v>
      </c>
      <c r="O831" t="n">
        <v>0</v>
      </c>
      <c r="P831" t="n">
        <v>0</v>
      </c>
      <c r="Q831" t="n">
        <v>0</v>
      </c>
      <c r="R831" s="2" t="inlineStr"/>
    </row>
    <row r="832" ht="15" customHeight="1">
      <c r="A832" t="inlineStr">
        <is>
          <t>A 14728-2025</t>
        </is>
      </c>
      <c r="B832" s="1" t="n">
        <v>45742.63574074074</v>
      </c>
      <c r="C832" s="1" t="n">
        <v>46139</v>
      </c>
      <c r="D832" t="inlineStr">
        <is>
          <t>JÄMTLANDS LÄN</t>
        </is>
      </c>
      <c r="E832" t="inlineStr">
        <is>
          <t>BERG</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31129-2024</t>
        </is>
      </c>
      <c r="B833" s="1" t="n">
        <v>45502</v>
      </c>
      <c r="C833" s="1" t="n">
        <v>46139</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2346-2026</t>
        </is>
      </c>
      <c r="B834" s="1" t="n">
        <v>46036.62737268519</v>
      </c>
      <c r="C834" s="1" t="n">
        <v>46139</v>
      </c>
      <c r="D834" t="inlineStr">
        <is>
          <t>JÄMTLANDS LÄN</t>
        </is>
      </c>
      <c r="E834" t="inlineStr">
        <is>
          <t>BERG</t>
        </is>
      </c>
      <c r="G834" t="n">
        <v>4.2</v>
      </c>
      <c r="H834" t="n">
        <v>0</v>
      </c>
      <c r="I834" t="n">
        <v>0</v>
      </c>
      <c r="J834" t="n">
        <v>0</v>
      </c>
      <c r="K834" t="n">
        <v>0</v>
      </c>
      <c r="L834" t="n">
        <v>0</v>
      </c>
      <c r="M834" t="n">
        <v>0</v>
      </c>
      <c r="N834" t="n">
        <v>0</v>
      </c>
      <c r="O834" t="n">
        <v>0</v>
      </c>
      <c r="P834" t="n">
        <v>0</v>
      </c>
      <c r="Q834" t="n">
        <v>0</v>
      </c>
      <c r="R834" s="2" t="inlineStr"/>
    </row>
    <row r="835" ht="15" customHeight="1">
      <c r="A835" t="inlineStr">
        <is>
          <t>A 3961-2025</t>
        </is>
      </c>
      <c r="B835" s="1" t="n">
        <v>45684.50217592593</v>
      </c>
      <c r="C835" s="1" t="n">
        <v>46139</v>
      </c>
      <c r="D835" t="inlineStr">
        <is>
          <t>JÄMTLANDS LÄN</t>
        </is>
      </c>
      <c r="E835" t="inlineStr">
        <is>
          <t>BERG</t>
        </is>
      </c>
      <c r="G835" t="n">
        <v>14.9</v>
      </c>
      <c r="H835" t="n">
        <v>0</v>
      </c>
      <c r="I835" t="n">
        <v>0</v>
      </c>
      <c r="J835" t="n">
        <v>0</v>
      </c>
      <c r="K835" t="n">
        <v>0</v>
      </c>
      <c r="L835" t="n">
        <v>0</v>
      </c>
      <c r="M835" t="n">
        <v>0</v>
      </c>
      <c r="N835" t="n">
        <v>0</v>
      </c>
      <c r="O835" t="n">
        <v>0</v>
      </c>
      <c r="P835" t="n">
        <v>0</v>
      </c>
      <c r="Q835" t="n">
        <v>0</v>
      </c>
      <c r="R835" s="2" t="inlineStr"/>
    </row>
    <row r="836" ht="15" customHeight="1">
      <c r="A836" t="inlineStr">
        <is>
          <t>A 35636-2023</t>
        </is>
      </c>
      <c r="B836" s="1" t="n">
        <v>45147</v>
      </c>
      <c r="C836" s="1" t="n">
        <v>46139</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45347-2023</t>
        </is>
      </c>
      <c r="B837" s="1" t="n">
        <v>45191</v>
      </c>
      <c r="C837" s="1" t="n">
        <v>46139</v>
      </c>
      <c r="D837" t="inlineStr">
        <is>
          <t>JÄMTLANDS LÄN</t>
        </is>
      </c>
      <c r="E837" t="inlineStr">
        <is>
          <t>BERG</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35691-2025</t>
        </is>
      </c>
      <c r="B838" s="1" t="n">
        <v>45860.344375</v>
      </c>
      <c r="C838" s="1" t="n">
        <v>46139</v>
      </c>
      <c r="D838" t="inlineStr">
        <is>
          <t>JÄMTLANDS LÄN</t>
        </is>
      </c>
      <c r="E838" t="inlineStr">
        <is>
          <t>BERG</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35576-2025</t>
        </is>
      </c>
      <c r="B839" s="1" t="n">
        <v>45856.63608796296</v>
      </c>
      <c r="C839" s="1" t="n">
        <v>46139</v>
      </c>
      <c r="D839" t="inlineStr">
        <is>
          <t>JÄMTLANDS LÄN</t>
        </is>
      </c>
      <c r="E839" t="inlineStr">
        <is>
          <t>BERG</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3241-2026</t>
        </is>
      </c>
      <c r="B840" s="1" t="n">
        <v>46041.56872685185</v>
      </c>
      <c r="C840" s="1" t="n">
        <v>46139</v>
      </c>
      <c r="D840" t="inlineStr">
        <is>
          <t>JÄMTLANDS LÄN</t>
        </is>
      </c>
      <c r="E840" t="inlineStr">
        <is>
          <t>BERG</t>
        </is>
      </c>
      <c r="G840" t="n">
        <v>2</v>
      </c>
      <c r="H840" t="n">
        <v>0</v>
      </c>
      <c r="I840" t="n">
        <v>0</v>
      </c>
      <c r="J840" t="n">
        <v>0</v>
      </c>
      <c r="K840" t="n">
        <v>0</v>
      </c>
      <c r="L840" t="n">
        <v>0</v>
      </c>
      <c r="M840" t="n">
        <v>0</v>
      </c>
      <c r="N840" t="n">
        <v>0</v>
      </c>
      <c r="O840" t="n">
        <v>0</v>
      </c>
      <c r="P840" t="n">
        <v>0</v>
      </c>
      <c r="Q840" t="n">
        <v>0</v>
      </c>
      <c r="R840" s="2" t="inlineStr"/>
    </row>
    <row r="841" ht="15" customHeight="1">
      <c r="A841" t="inlineStr">
        <is>
          <t>A 3810-2026</t>
        </is>
      </c>
      <c r="B841" s="1" t="n">
        <v>46043.58373842593</v>
      </c>
      <c r="C841" s="1" t="n">
        <v>46139</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3796-2026</t>
        </is>
      </c>
      <c r="B842" s="1" t="n">
        <v>46043.57982638889</v>
      </c>
      <c r="C842" s="1" t="n">
        <v>46139</v>
      </c>
      <c r="D842" t="inlineStr">
        <is>
          <t>JÄMTLANDS LÄN</t>
        </is>
      </c>
      <c r="E842" t="inlineStr">
        <is>
          <t>BERG</t>
        </is>
      </c>
      <c r="G842" t="n">
        <v>2.5</v>
      </c>
      <c r="H842" t="n">
        <v>0</v>
      </c>
      <c r="I842" t="n">
        <v>0</v>
      </c>
      <c r="J842" t="n">
        <v>0</v>
      </c>
      <c r="K842" t="n">
        <v>0</v>
      </c>
      <c r="L842" t="n">
        <v>0</v>
      </c>
      <c r="M842" t="n">
        <v>0</v>
      </c>
      <c r="N842" t="n">
        <v>0</v>
      </c>
      <c r="O842" t="n">
        <v>0</v>
      </c>
      <c r="P842" t="n">
        <v>0</v>
      </c>
      <c r="Q842" t="n">
        <v>0</v>
      </c>
      <c r="R842" s="2" t="inlineStr"/>
    </row>
    <row r="843" ht="15" customHeight="1">
      <c r="A843" t="inlineStr">
        <is>
          <t>A 4383-2026</t>
        </is>
      </c>
      <c r="B843" s="1" t="n">
        <v>46045.56296296296</v>
      </c>
      <c r="C843" s="1" t="n">
        <v>46139</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5089-2026</t>
        </is>
      </c>
      <c r="B844" s="1" t="n">
        <v>46049.55258101852</v>
      </c>
      <c r="C844" s="1" t="n">
        <v>46139</v>
      </c>
      <c r="D844" t="inlineStr">
        <is>
          <t>JÄMTLANDS LÄN</t>
        </is>
      </c>
      <c r="E844" t="inlineStr">
        <is>
          <t>BERG</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49225-2024</t>
        </is>
      </c>
      <c r="B845" s="1" t="n">
        <v>45595.4177662037</v>
      </c>
      <c r="C845" s="1" t="n">
        <v>46139</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4833-2026</t>
        </is>
      </c>
      <c r="B846" s="1" t="n">
        <v>46048.60271990741</v>
      </c>
      <c r="C846" s="1" t="n">
        <v>46139</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15624-2023</t>
        </is>
      </c>
      <c r="B847" s="1" t="n">
        <v>45020.94496527778</v>
      </c>
      <c r="C847" s="1" t="n">
        <v>46139</v>
      </c>
      <c r="D847" t="inlineStr">
        <is>
          <t>JÄMTLANDS LÄN</t>
        </is>
      </c>
      <c r="E847" t="inlineStr">
        <is>
          <t>BERG</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20882-2023</t>
        </is>
      </c>
      <c r="B848" s="1" t="n">
        <v>45058</v>
      </c>
      <c r="C848" s="1" t="n">
        <v>46139</v>
      </c>
      <c r="D848" t="inlineStr">
        <is>
          <t>JÄMTLANDS LÄN</t>
        </is>
      </c>
      <c r="E848" t="inlineStr">
        <is>
          <t>BERG</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5491-2026</t>
        </is>
      </c>
      <c r="B849" s="1" t="n">
        <v>46050.61548611111</v>
      </c>
      <c r="C849" s="1" t="n">
        <v>46139</v>
      </c>
      <c r="D849" t="inlineStr">
        <is>
          <t>JÄMTLANDS LÄN</t>
        </is>
      </c>
      <c r="E849" t="inlineStr">
        <is>
          <t>BERG</t>
        </is>
      </c>
      <c r="G849" t="n">
        <v>0.8</v>
      </c>
      <c r="H849" t="n">
        <v>0</v>
      </c>
      <c r="I849" t="n">
        <v>0</v>
      </c>
      <c r="J849" t="n">
        <v>0</v>
      </c>
      <c r="K849" t="n">
        <v>0</v>
      </c>
      <c r="L849" t="n">
        <v>0</v>
      </c>
      <c r="M849" t="n">
        <v>0</v>
      </c>
      <c r="N849" t="n">
        <v>0</v>
      </c>
      <c r="O849" t="n">
        <v>0</v>
      </c>
      <c r="P849" t="n">
        <v>0</v>
      </c>
      <c r="Q849" t="n">
        <v>0</v>
      </c>
      <c r="R849" s="2" t="inlineStr"/>
    </row>
    <row r="850" ht="15" customHeight="1">
      <c r="A850" t="inlineStr">
        <is>
          <t>A 5688-2026</t>
        </is>
      </c>
      <c r="B850" s="1" t="n">
        <v>46051.49005787037</v>
      </c>
      <c r="C850" s="1" t="n">
        <v>46139</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5816-2026</t>
        </is>
      </c>
      <c r="B851" s="1" t="n">
        <v>46051</v>
      </c>
      <c r="C851" s="1" t="n">
        <v>46139</v>
      </c>
      <c r="D851" t="inlineStr">
        <is>
          <t>JÄMTLANDS LÄN</t>
        </is>
      </c>
      <c r="E851" t="inlineStr">
        <is>
          <t>BERG</t>
        </is>
      </c>
      <c r="G851" t="n">
        <v>3.6</v>
      </c>
      <c r="H851" t="n">
        <v>0</v>
      </c>
      <c r="I851" t="n">
        <v>0</v>
      </c>
      <c r="J851" t="n">
        <v>0</v>
      </c>
      <c r="K851" t="n">
        <v>0</v>
      </c>
      <c r="L851" t="n">
        <v>0</v>
      </c>
      <c r="M851" t="n">
        <v>0</v>
      </c>
      <c r="N851" t="n">
        <v>0</v>
      </c>
      <c r="O851" t="n">
        <v>0</v>
      </c>
      <c r="P851" t="n">
        <v>0</v>
      </c>
      <c r="Q851" t="n">
        <v>0</v>
      </c>
      <c r="R851" s="2" t="inlineStr"/>
    </row>
    <row r="852" ht="15" customHeight="1">
      <c r="A852" t="inlineStr">
        <is>
          <t>A 6332-2026</t>
        </is>
      </c>
      <c r="B852" s="1" t="n">
        <v>46055.59442129629</v>
      </c>
      <c r="C852" s="1" t="n">
        <v>46139</v>
      </c>
      <c r="D852" t="inlineStr">
        <is>
          <t>JÄMTLANDS LÄN</t>
        </is>
      </c>
      <c r="E852" t="inlineStr">
        <is>
          <t>BERG</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5857-2026</t>
        </is>
      </c>
      <c r="B853" s="1" t="n">
        <v>46052.36511574074</v>
      </c>
      <c r="C853" s="1" t="n">
        <v>46139</v>
      </c>
      <c r="D853" t="inlineStr">
        <is>
          <t>JÄMTLANDS LÄN</t>
        </is>
      </c>
      <c r="E853" t="inlineStr">
        <is>
          <t>BERG</t>
        </is>
      </c>
      <c r="G853" t="n">
        <v>0.2</v>
      </c>
      <c r="H853" t="n">
        <v>0</v>
      </c>
      <c r="I853" t="n">
        <v>0</v>
      </c>
      <c r="J853" t="n">
        <v>0</v>
      </c>
      <c r="K853" t="n">
        <v>0</v>
      </c>
      <c r="L853" t="n">
        <v>0</v>
      </c>
      <c r="M853" t="n">
        <v>0</v>
      </c>
      <c r="N853" t="n">
        <v>0</v>
      </c>
      <c r="O853" t="n">
        <v>0</v>
      </c>
      <c r="P853" t="n">
        <v>0</v>
      </c>
      <c r="Q853" t="n">
        <v>0</v>
      </c>
      <c r="R853" s="2" t="inlineStr"/>
    </row>
    <row r="854" ht="15" customHeight="1">
      <c r="A854" t="inlineStr">
        <is>
          <t>A 5859-2026</t>
        </is>
      </c>
      <c r="B854" s="1" t="n">
        <v>46052.36515046296</v>
      </c>
      <c r="C854" s="1" t="n">
        <v>46139</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12774-2023</t>
        </is>
      </c>
      <c r="B855" s="1" t="n">
        <v>45001</v>
      </c>
      <c r="C855" s="1" t="n">
        <v>46139</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5832-2026</t>
        </is>
      </c>
      <c r="B856" s="1" t="n">
        <v>46052.32890046296</v>
      </c>
      <c r="C856" s="1" t="n">
        <v>46139</v>
      </c>
      <c r="D856" t="inlineStr">
        <is>
          <t>JÄMTLANDS LÄN</t>
        </is>
      </c>
      <c r="E856" t="inlineStr">
        <is>
          <t>BERG</t>
        </is>
      </c>
      <c r="G856" t="n">
        <v>5.7</v>
      </c>
      <c r="H856" t="n">
        <v>0</v>
      </c>
      <c r="I856" t="n">
        <v>0</v>
      </c>
      <c r="J856" t="n">
        <v>0</v>
      </c>
      <c r="K856" t="n">
        <v>0</v>
      </c>
      <c r="L856" t="n">
        <v>0</v>
      </c>
      <c r="M856" t="n">
        <v>0</v>
      </c>
      <c r="N856" t="n">
        <v>0</v>
      </c>
      <c r="O856" t="n">
        <v>0</v>
      </c>
      <c r="P856" t="n">
        <v>0</v>
      </c>
      <c r="Q856" t="n">
        <v>0</v>
      </c>
      <c r="R856" s="2" t="inlineStr"/>
    </row>
    <row r="857" ht="15" customHeight="1">
      <c r="A857" t="inlineStr">
        <is>
          <t>A 6333-2026</t>
        </is>
      </c>
      <c r="B857" s="1" t="n">
        <v>46055.59460648148</v>
      </c>
      <c r="C857" s="1" t="n">
        <v>46139</v>
      </c>
      <c r="D857" t="inlineStr">
        <is>
          <t>JÄMTLANDS LÄN</t>
        </is>
      </c>
      <c r="E857" t="inlineStr">
        <is>
          <t>BERG</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5858-2026</t>
        </is>
      </c>
      <c r="B858" s="1" t="n">
        <v>46052.36512731481</v>
      </c>
      <c r="C858" s="1" t="n">
        <v>46139</v>
      </c>
      <c r="D858" t="inlineStr">
        <is>
          <t>JÄMTLANDS LÄN</t>
        </is>
      </c>
      <c r="E858" t="inlineStr">
        <is>
          <t>BERG</t>
        </is>
      </c>
      <c r="G858" t="n">
        <v>1.1</v>
      </c>
      <c r="H858" t="n">
        <v>0</v>
      </c>
      <c r="I858" t="n">
        <v>0</v>
      </c>
      <c r="J858" t="n">
        <v>0</v>
      </c>
      <c r="K858" t="n">
        <v>0</v>
      </c>
      <c r="L858" t="n">
        <v>0</v>
      </c>
      <c r="M858" t="n">
        <v>0</v>
      </c>
      <c r="N858" t="n">
        <v>0</v>
      </c>
      <c r="O858" t="n">
        <v>0</v>
      </c>
      <c r="P858" t="n">
        <v>0</v>
      </c>
      <c r="Q858" t="n">
        <v>0</v>
      </c>
      <c r="R858" s="2" t="inlineStr"/>
    </row>
    <row r="859" ht="15" customHeight="1">
      <c r="A859" t="inlineStr">
        <is>
          <t>A 60587-2022</t>
        </is>
      </c>
      <c r="B859" s="1" t="n">
        <v>44911.58445601852</v>
      </c>
      <c r="C859" s="1" t="n">
        <v>46139</v>
      </c>
      <c r="D859" t="inlineStr">
        <is>
          <t>JÄMTLANDS LÄN</t>
        </is>
      </c>
      <c r="E859" t="inlineStr">
        <is>
          <t>BERG</t>
        </is>
      </c>
      <c r="G859" t="n">
        <v>4.8</v>
      </c>
      <c r="H859" t="n">
        <v>0</v>
      </c>
      <c r="I859" t="n">
        <v>0</v>
      </c>
      <c r="J859" t="n">
        <v>0</v>
      </c>
      <c r="K859" t="n">
        <v>0</v>
      </c>
      <c r="L859" t="n">
        <v>0</v>
      </c>
      <c r="M859" t="n">
        <v>0</v>
      </c>
      <c r="N859" t="n">
        <v>0</v>
      </c>
      <c r="O859" t="n">
        <v>0</v>
      </c>
      <c r="P859" t="n">
        <v>0</v>
      </c>
      <c r="Q859" t="n">
        <v>0</v>
      </c>
      <c r="R859" s="2" t="inlineStr"/>
    </row>
    <row r="860" ht="15" customHeight="1">
      <c r="A860" t="inlineStr">
        <is>
          <t>A 6645-2025</t>
        </is>
      </c>
      <c r="B860" s="1" t="n">
        <v>45700.39645833334</v>
      </c>
      <c r="C860" s="1" t="n">
        <v>46139</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12254-2025</t>
        </is>
      </c>
      <c r="B861" s="1" t="n">
        <v>45729</v>
      </c>
      <c r="C861" s="1" t="n">
        <v>46139</v>
      </c>
      <c r="D861" t="inlineStr">
        <is>
          <t>JÄMTLANDS LÄN</t>
        </is>
      </c>
      <c r="E861" t="inlineStr">
        <is>
          <t>BERG</t>
        </is>
      </c>
      <c r="G861" t="n">
        <v>26.3</v>
      </c>
      <c r="H861" t="n">
        <v>0</v>
      </c>
      <c r="I861" t="n">
        <v>0</v>
      </c>
      <c r="J861" t="n">
        <v>0</v>
      </c>
      <c r="K861" t="n">
        <v>0</v>
      </c>
      <c r="L861" t="n">
        <v>0</v>
      </c>
      <c r="M861" t="n">
        <v>0</v>
      </c>
      <c r="N861" t="n">
        <v>0</v>
      </c>
      <c r="O861" t="n">
        <v>0</v>
      </c>
      <c r="P861" t="n">
        <v>0</v>
      </c>
      <c r="Q861" t="n">
        <v>0</v>
      </c>
      <c r="R861" s="2" t="inlineStr"/>
    </row>
    <row r="862" ht="15" customHeight="1">
      <c r="A862" t="inlineStr">
        <is>
          <t>A 6872-2026</t>
        </is>
      </c>
      <c r="B862" s="1" t="n">
        <v>46057</v>
      </c>
      <c r="C862" s="1" t="n">
        <v>46139</v>
      </c>
      <c r="D862" t="inlineStr">
        <is>
          <t>JÄMTLANDS LÄN</t>
        </is>
      </c>
      <c r="E862" t="inlineStr">
        <is>
          <t>BERG</t>
        </is>
      </c>
      <c r="G862" t="n">
        <v>42.2</v>
      </c>
      <c r="H862" t="n">
        <v>0</v>
      </c>
      <c r="I862" t="n">
        <v>0</v>
      </c>
      <c r="J862" t="n">
        <v>0</v>
      </c>
      <c r="K862" t="n">
        <v>0</v>
      </c>
      <c r="L862" t="n">
        <v>0</v>
      </c>
      <c r="M862" t="n">
        <v>0</v>
      </c>
      <c r="N862" t="n">
        <v>0</v>
      </c>
      <c r="O862" t="n">
        <v>0</v>
      </c>
      <c r="P862" t="n">
        <v>0</v>
      </c>
      <c r="Q862" t="n">
        <v>0</v>
      </c>
      <c r="R862" s="2" t="inlineStr"/>
    </row>
    <row r="863" ht="15" customHeight="1">
      <c r="A863" t="inlineStr">
        <is>
          <t>A 23560-2024</t>
        </is>
      </c>
      <c r="B863" s="1" t="n">
        <v>45453.95467592592</v>
      </c>
      <c r="C863" s="1" t="n">
        <v>46139</v>
      </c>
      <c r="D863" t="inlineStr">
        <is>
          <t>JÄMTLANDS LÄN</t>
        </is>
      </c>
      <c r="E863" t="inlineStr">
        <is>
          <t>BERG</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1982-2022</t>
        </is>
      </c>
      <c r="B864" s="1" t="n">
        <v>44575</v>
      </c>
      <c r="C864" s="1" t="n">
        <v>46139</v>
      </c>
      <c r="D864" t="inlineStr">
        <is>
          <t>JÄMTLANDS LÄN</t>
        </is>
      </c>
      <c r="E864" t="inlineStr">
        <is>
          <t>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1989-2022</t>
        </is>
      </c>
      <c r="B865" s="1" t="n">
        <v>44575.55935185185</v>
      </c>
      <c r="C865" s="1" t="n">
        <v>46139</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3173-2025</t>
        </is>
      </c>
      <c r="B866" s="1" t="n">
        <v>45679.38309027778</v>
      </c>
      <c r="C866" s="1" t="n">
        <v>46139</v>
      </c>
      <c r="D866" t="inlineStr">
        <is>
          <t>JÄMTLANDS LÄN</t>
        </is>
      </c>
      <c r="E866" t="inlineStr">
        <is>
          <t>BERG</t>
        </is>
      </c>
      <c r="G866" t="n">
        <v>8.9</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46139</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15156-2024</t>
        </is>
      </c>
      <c r="B868" s="1" t="n">
        <v>45399.94496527778</v>
      </c>
      <c r="C868" s="1" t="n">
        <v>46139</v>
      </c>
      <c r="D868" t="inlineStr">
        <is>
          <t>JÄMTLANDS LÄN</t>
        </is>
      </c>
      <c r="E868" t="inlineStr">
        <is>
          <t>BERG</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13820-2026</t>
        </is>
      </c>
      <c r="B869" s="1" t="n">
        <v>46098.33131944444</v>
      </c>
      <c r="C869" s="1" t="n">
        <v>46139</v>
      </c>
      <c r="D869" t="inlineStr">
        <is>
          <t>JÄMTLANDS LÄN</t>
        </is>
      </c>
      <c r="E869" t="inlineStr">
        <is>
          <t>BERG</t>
        </is>
      </c>
      <c r="G869" t="n">
        <v>0.7</v>
      </c>
      <c r="H869" t="n">
        <v>0</v>
      </c>
      <c r="I869" t="n">
        <v>0</v>
      </c>
      <c r="J869" t="n">
        <v>0</v>
      </c>
      <c r="K869" t="n">
        <v>0</v>
      </c>
      <c r="L869" t="n">
        <v>0</v>
      </c>
      <c r="M869" t="n">
        <v>0</v>
      </c>
      <c r="N869" t="n">
        <v>0</v>
      </c>
      <c r="O869" t="n">
        <v>0</v>
      </c>
      <c r="P869" t="n">
        <v>0</v>
      </c>
      <c r="Q869" t="n">
        <v>0</v>
      </c>
      <c r="R869" s="2" t="inlineStr"/>
    </row>
    <row r="870" ht="15" customHeight="1">
      <c r="A870" t="inlineStr">
        <is>
          <t>A 6885-2026</t>
        </is>
      </c>
      <c r="B870" s="1" t="n">
        <v>46057</v>
      </c>
      <c r="C870" s="1" t="n">
        <v>46139</v>
      </c>
      <c r="D870" t="inlineStr">
        <is>
          <t>JÄMTLANDS LÄN</t>
        </is>
      </c>
      <c r="E870" t="inlineStr">
        <is>
          <t>BERG</t>
        </is>
      </c>
      <c r="G870" t="n">
        <v>4.6</v>
      </c>
      <c r="H870" t="n">
        <v>0</v>
      </c>
      <c r="I870" t="n">
        <v>0</v>
      </c>
      <c r="J870" t="n">
        <v>0</v>
      </c>
      <c r="K870" t="n">
        <v>0</v>
      </c>
      <c r="L870" t="n">
        <v>0</v>
      </c>
      <c r="M870" t="n">
        <v>0</v>
      </c>
      <c r="N870" t="n">
        <v>0</v>
      </c>
      <c r="O870" t="n">
        <v>0</v>
      </c>
      <c r="P870" t="n">
        <v>0</v>
      </c>
      <c r="Q870" t="n">
        <v>0</v>
      </c>
      <c r="R870" s="2" t="inlineStr"/>
    </row>
    <row r="871" ht="15" customHeight="1">
      <c r="A871" t="inlineStr">
        <is>
          <t>A 46858-2023</t>
        </is>
      </c>
      <c r="B871" s="1" t="n">
        <v>45199.97042824074</v>
      </c>
      <c r="C871" s="1" t="n">
        <v>46139</v>
      </c>
      <c r="D871" t="inlineStr">
        <is>
          <t>JÄMTLANDS LÄN</t>
        </is>
      </c>
      <c r="E871" t="inlineStr">
        <is>
          <t>BERG</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14251-2026</t>
        </is>
      </c>
      <c r="B872" s="1" t="n">
        <v>46099.61524305555</v>
      </c>
      <c r="C872" s="1" t="n">
        <v>46139</v>
      </c>
      <c r="D872" t="inlineStr">
        <is>
          <t>JÄMTLANDS LÄN</t>
        </is>
      </c>
      <c r="E872" t="inlineStr">
        <is>
          <t>BERG</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36192-2024</t>
        </is>
      </c>
      <c r="B873" s="1" t="n">
        <v>45534.42809027778</v>
      </c>
      <c r="C873" s="1" t="n">
        <v>46139</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14594-2025</t>
        </is>
      </c>
      <c r="B874" s="1" t="n">
        <v>45742.34414351852</v>
      </c>
      <c r="C874" s="1" t="n">
        <v>46139</v>
      </c>
      <c r="D874" t="inlineStr">
        <is>
          <t>JÄMTLANDS LÄN</t>
        </is>
      </c>
      <c r="E874" t="inlineStr">
        <is>
          <t>BERG</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14596-2025</t>
        </is>
      </c>
      <c r="B875" s="1" t="n">
        <v>45742.34449074074</v>
      </c>
      <c r="C875" s="1" t="n">
        <v>46139</v>
      </c>
      <c r="D875" t="inlineStr">
        <is>
          <t>JÄMTLANDS LÄN</t>
        </is>
      </c>
      <c r="E875" t="inlineStr">
        <is>
          <t>BERG</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3798-2022</t>
        </is>
      </c>
      <c r="B876" s="1" t="n">
        <v>44586</v>
      </c>
      <c r="C876" s="1" t="n">
        <v>46139</v>
      </c>
      <c r="D876" t="inlineStr">
        <is>
          <t>JÄMTLANDS LÄN</t>
        </is>
      </c>
      <c r="E876" t="inlineStr">
        <is>
          <t>BERG</t>
        </is>
      </c>
      <c r="G876" t="n">
        <v>0.1</v>
      </c>
      <c r="H876" t="n">
        <v>0</v>
      </c>
      <c r="I876" t="n">
        <v>0</v>
      </c>
      <c r="J876" t="n">
        <v>0</v>
      </c>
      <c r="K876" t="n">
        <v>0</v>
      </c>
      <c r="L876" t="n">
        <v>0</v>
      </c>
      <c r="M876" t="n">
        <v>0</v>
      </c>
      <c r="N876" t="n">
        <v>0</v>
      </c>
      <c r="O876" t="n">
        <v>0</v>
      </c>
      <c r="P876" t="n">
        <v>0</v>
      </c>
      <c r="Q876" t="n">
        <v>0</v>
      </c>
      <c r="R876" s="2" t="inlineStr"/>
    </row>
    <row r="877" ht="15" customHeight="1">
      <c r="A877" t="inlineStr">
        <is>
          <t>A 7515-2026</t>
        </is>
      </c>
      <c r="B877" s="1" t="n">
        <v>46059.59258101852</v>
      </c>
      <c r="C877" s="1" t="n">
        <v>46139</v>
      </c>
      <c r="D877" t="inlineStr">
        <is>
          <t>JÄMTLANDS LÄN</t>
        </is>
      </c>
      <c r="E877" t="inlineStr">
        <is>
          <t>BERG</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11274-2025</t>
        </is>
      </c>
      <c r="B878" s="1" t="n">
        <v>45726.40868055556</v>
      </c>
      <c r="C878" s="1" t="n">
        <v>46139</v>
      </c>
      <c r="D878" t="inlineStr">
        <is>
          <t>JÄMTLANDS LÄN</t>
        </is>
      </c>
      <c r="E878" t="inlineStr">
        <is>
          <t>BERG</t>
        </is>
      </c>
      <c r="G878" t="n">
        <v>3</v>
      </c>
      <c r="H878" t="n">
        <v>0</v>
      </c>
      <c r="I878" t="n">
        <v>0</v>
      </c>
      <c r="J878" t="n">
        <v>0</v>
      </c>
      <c r="K878" t="n">
        <v>0</v>
      </c>
      <c r="L878" t="n">
        <v>0</v>
      </c>
      <c r="M878" t="n">
        <v>0</v>
      </c>
      <c r="N878" t="n">
        <v>0</v>
      </c>
      <c r="O878" t="n">
        <v>0</v>
      </c>
      <c r="P878" t="n">
        <v>0</v>
      </c>
      <c r="Q878" t="n">
        <v>0</v>
      </c>
      <c r="R878" s="2" t="inlineStr"/>
    </row>
    <row r="879" ht="15" customHeight="1">
      <c r="A879" t="inlineStr">
        <is>
          <t>A 149-2024</t>
        </is>
      </c>
      <c r="B879" s="1" t="n">
        <v>45294</v>
      </c>
      <c r="C879" s="1" t="n">
        <v>46139</v>
      </c>
      <c r="D879" t="inlineStr">
        <is>
          <t>JÄMTLANDS LÄN</t>
        </is>
      </c>
      <c r="E879" t="inlineStr">
        <is>
          <t>BERG</t>
        </is>
      </c>
      <c r="F879" t="inlineStr">
        <is>
          <t>Kyrkan</t>
        </is>
      </c>
      <c r="G879" t="n">
        <v>3.7</v>
      </c>
      <c r="H879" t="n">
        <v>0</v>
      </c>
      <c r="I879" t="n">
        <v>0</v>
      </c>
      <c r="J879" t="n">
        <v>0</v>
      </c>
      <c r="K879" t="n">
        <v>0</v>
      </c>
      <c r="L879" t="n">
        <v>0</v>
      </c>
      <c r="M879" t="n">
        <v>0</v>
      </c>
      <c r="N879" t="n">
        <v>0</v>
      </c>
      <c r="O879" t="n">
        <v>0</v>
      </c>
      <c r="P879" t="n">
        <v>0</v>
      </c>
      <c r="Q879" t="n">
        <v>0</v>
      </c>
      <c r="R879" s="2" t="inlineStr"/>
    </row>
    <row r="880" ht="15" customHeight="1">
      <c r="A880" t="inlineStr">
        <is>
          <t>A 36708-2023</t>
        </is>
      </c>
      <c r="B880" s="1" t="n">
        <v>45153.65226851852</v>
      </c>
      <c r="C880" s="1" t="n">
        <v>46139</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33750-2023</t>
        </is>
      </c>
      <c r="B881" s="1" t="n">
        <v>45120</v>
      </c>
      <c r="C881" s="1" t="n">
        <v>46139</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15276-2026</t>
        </is>
      </c>
      <c r="B882" s="1" t="n">
        <v>46105.60627314815</v>
      </c>
      <c r="C882" s="1" t="n">
        <v>46139</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2270-2026</t>
        </is>
      </c>
      <c r="B883" s="1" t="n">
        <v>46029</v>
      </c>
      <c r="C883" s="1" t="n">
        <v>46139</v>
      </c>
      <c r="D883" t="inlineStr">
        <is>
          <t>JÄMTLANDS LÄN</t>
        </is>
      </c>
      <c r="E883" t="inlineStr">
        <is>
          <t>BERG</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15270-2026</t>
        </is>
      </c>
      <c r="B884" s="1" t="n">
        <v>46105.59951388889</v>
      </c>
      <c r="C884" s="1" t="n">
        <v>46139</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15292-2026</t>
        </is>
      </c>
      <c r="B885" s="1" t="n">
        <v>46105.62427083333</v>
      </c>
      <c r="C885" s="1" t="n">
        <v>46139</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8722-2024</t>
        </is>
      </c>
      <c r="B886" s="1" t="n">
        <v>45355</v>
      </c>
      <c r="C886" s="1" t="n">
        <v>46139</v>
      </c>
      <c r="D886" t="inlineStr">
        <is>
          <t>JÄMTLANDS LÄN</t>
        </is>
      </c>
      <c r="E886" t="inlineStr">
        <is>
          <t>BERG</t>
        </is>
      </c>
      <c r="G886" t="n">
        <v>2.4</v>
      </c>
      <c r="H886" t="n">
        <v>0</v>
      </c>
      <c r="I886" t="n">
        <v>0</v>
      </c>
      <c r="J886" t="n">
        <v>0</v>
      </c>
      <c r="K886" t="n">
        <v>0</v>
      </c>
      <c r="L886" t="n">
        <v>0</v>
      </c>
      <c r="M886" t="n">
        <v>0</v>
      </c>
      <c r="N886" t="n">
        <v>0</v>
      </c>
      <c r="O886" t="n">
        <v>0</v>
      </c>
      <c r="P886" t="n">
        <v>0</v>
      </c>
      <c r="Q886" t="n">
        <v>0</v>
      </c>
      <c r="R886" s="2" t="inlineStr"/>
    </row>
    <row r="887" ht="15" customHeight="1">
      <c r="A887" t="inlineStr">
        <is>
          <t>A 8726-2024</t>
        </is>
      </c>
      <c r="B887" s="1" t="n">
        <v>45355</v>
      </c>
      <c r="C887" s="1" t="n">
        <v>46139</v>
      </c>
      <c r="D887" t="inlineStr">
        <is>
          <t>JÄMTLANDS LÄN</t>
        </is>
      </c>
      <c r="E887" t="inlineStr">
        <is>
          <t>BERG</t>
        </is>
      </c>
      <c r="G887" t="n">
        <v>1.3</v>
      </c>
      <c r="H887" t="n">
        <v>0</v>
      </c>
      <c r="I887" t="n">
        <v>0</v>
      </c>
      <c r="J887" t="n">
        <v>0</v>
      </c>
      <c r="K887" t="n">
        <v>0</v>
      </c>
      <c r="L887" t="n">
        <v>0</v>
      </c>
      <c r="M887" t="n">
        <v>0</v>
      </c>
      <c r="N887" t="n">
        <v>0</v>
      </c>
      <c r="O887" t="n">
        <v>0</v>
      </c>
      <c r="P887" t="n">
        <v>0</v>
      </c>
      <c r="Q887" t="n">
        <v>0</v>
      </c>
      <c r="R887" s="2" t="inlineStr"/>
    </row>
    <row r="888" ht="15" customHeight="1">
      <c r="A888" t="inlineStr">
        <is>
          <t>A 8733-2024</t>
        </is>
      </c>
      <c r="B888" s="1" t="n">
        <v>45355</v>
      </c>
      <c r="C888" s="1" t="n">
        <v>46139</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14860-2026</t>
        </is>
      </c>
      <c r="B889" s="1" t="n">
        <v>46104.43082175926</v>
      </c>
      <c r="C889" s="1" t="n">
        <v>46139</v>
      </c>
      <c r="D889" t="inlineStr">
        <is>
          <t>JÄMTLANDS LÄN</t>
        </is>
      </c>
      <c r="E889" t="inlineStr">
        <is>
          <t>BERG</t>
        </is>
      </c>
      <c r="G889" t="n">
        <v>2.3</v>
      </c>
      <c r="H889" t="n">
        <v>0</v>
      </c>
      <c r="I889" t="n">
        <v>0</v>
      </c>
      <c r="J889" t="n">
        <v>0</v>
      </c>
      <c r="K889" t="n">
        <v>0</v>
      </c>
      <c r="L889" t="n">
        <v>0</v>
      </c>
      <c r="M889" t="n">
        <v>0</v>
      </c>
      <c r="N889" t="n">
        <v>0</v>
      </c>
      <c r="O889" t="n">
        <v>0</v>
      </c>
      <c r="P889" t="n">
        <v>0</v>
      </c>
      <c r="Q889" t="n">
        <v>0</v>
      </c>
      <c r="R889" s="2" t="inlineStr"/>
    </row>
    <row r="890" ht="15" customHeight="1">
      <c r="A890" t="inlineStr">
        <is>
          <t>A 15182-2026</t>
        </is>
      </c>
      <c r="B890" s="1" t="n">
        <v>46105.45504629629</v>
      </c>
      <c r="C890" s="1" t="n">
        <v>46139</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15242-2026</t>
        </is>
      </c>
      <c r="B891" s="1" t="n">
        <v>46105.56503472223</v>
      </c>
      <c r="C891" s="1" t="n">
        <v>46139</v>
      </c>
      <c r="D891" t="inlineStr">
        <is>
          <t>JÄMTLANDS LÄN</t>
        </is>
      </c>
      <c r="E891" t="inlineStr">
        <is>
          <t>BERG</t>
        </is>
      </c>
      <c r="G891" t="n">
        <v>2.1</v>
      </c>
      <c r="H891" t="n">
        <v>0</v>
      </c>
      <c r="I891" t="n">
        <v>0</v>
      </c>
      <c r="J891" t="n">
        <v>0</v>
      </c>
      <c r="K891" t="n">
        <v>0</v>
      </c>
      <c r="L891" t="n">
        <v>0</v>
      </c>
      <c r="M891" t="n">
        <v>0</v>
      </c>
      <c r="N891" t="n">
        <v>0</v>
      </c>
      <c r="O891" t="n">
        <v>0</v>
      </c>
      <c r="P891" t="n">
        <v>0</v>
      </c>
      <c r="Q891" t="n">
        <v>0</v>
      </c>
      <c r="R891" s="2" t="inlineStr"/>
    </row>
    <row r="892" ht="15" customHeight="1">
      <c r="A892" t="inlineStr">
        <is>
          <t>A 7759-2026</t>
        </is>
      </c>
      <c r="B892" s="1" t="n">
        <v>46062.55266203704</v>
      </c>
      <c r="C892" s="1" t="n">
        <v>46139</v>
      </c>
      <c r="D892" t="inlineStr">
        <is>
          <t>JÄMTLANDS LÄN</t>
        </is>
      </c>
      <c r="E892" t="inlineStr">
        <is>
          <t>BERG</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15079-2026</t>
        </is>
      </c>
      <c r="B893" s="1" t="n">
        <v>46105.29556712963</v>
      </c>
      <c r="C893" s="1" t="n">
        <v>46139</v>
      </c>
      <c r="D893" t="inlineStr">
        <is>
          <t>JÄMTLANDS LÄN</t>
        </is>
      </c>
      <c r="E893" t="inlineStr">
        <is>
          <t>BERG</t>
        </is>
      </c>
      <c r="G893" t="n">
        <v>0.3</v>
      </c>
      <c r="H893" t="n">
        <v>0</v>
      </c>
      <c r="I893" t="n">
        <v>0</v>
      </c>
      <c r="J893" t="n">
        <v>0</v>
      </c>
      <c r="K893" t="n">
        <v>0</v>
      </c>
      <c r="L893" t="n">
        <v>0</v>
      </c>
      <c r="M893" t="n">
        <v>0</v>
      </c>
      <c r="N893" t="n">
        <v>0</v>
      </c>
      <c r="O893" t="n">
        <v>0</v>
      </c>
      <c r="P893" t="n">
        <v>0</v>
      </c>
      <c r="Q893" t="n">
        <v>0</v>
      </c>
      <c r="R893" s="2" t="inlineStr"/>
    </row>
    <row r="894" ht="15" customHeight="1">
      <c r="A894" t="inlineStr">
        <is>
          <t>A 14901-2026</t>
        </is>
      </c>
      <c r="B894" s="1" t="n">
        <v>46104.45708333333</v>
      </c>
      <c r="C894" s="1" t="n">
        <v>46139</v>
      </c>
      <c r="D894" t="inlineStr">
        <is>
          <t>JÄMTLANDS LÄN</t>
        </is>
      </c>
      <c r="E894" t="inlineStr">
        <is>
          <t>BERG</t>
        </is>
      </c>
      <c r="G894" t="n">
        <v>1.4</v>
      </c>
      <c r="H894" t="n">
        <v>0</v>
      </c>
      <c r="I894" t="n">
        <v>0</v>
      </c>
      <c r="J894" t="n">
        <v>0</v>
      </c>
      <c r="K894" t="n">
        <v>0</v>
      </c>
      <c r="L894" t="n">
        <v>0</v>
      </c>
      <c r="M894" t="n">
        <v>0</v>
      </c>
      <c r="N894" t="n">
        <v>0</v>
      </c>
      <c r="O894" t="n">
        <v>0</v>
      </c>
      <c r="P894" t="n">
        <v>0</v>
      </c>
      <c r="Q894" t="n">
        <v>0</v>
      </c>
      <c r="R894" s="2" t="inlineStr"/>
    </row>
    <row r="895" ht="15" customHeight="1">
      <c r="A895" t="inlineStr">
        <is>
          <t>A 14914-2026</t>
        </is>
      </c>
      <c r="B895" s="1" t="n">
        <v>46104.46924768519</v>
      </c>
      <c r="C895" s="1" t="n">
        <v>46139</v>
      </c>
      <c r="D895" t="inlineStr">
        <is>
          <t>JÄMTLANDS LÄN</t>
        </is>
      </c>
      <c r="E895" t="inlineStr">
        <is>
          <t>BERG</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14917-2026</t>
        </is>
      </c>
      <c r="B896" s="1" t="n">
        <v>46104.47157407407</v>
      </c>
      <c r="C896" s="1" t="n">
        <v>46139</v>
      </c>
      <c r="D896" t="inlineStr">
        <is>
          <t>JÄMTLANDS LÄN</t>
        </is>
      </c>
      <c r="E896" t="inlineStr">
        <is>
          <t>BERG</t>
        </is>
      </c>
      <c r="G896" t="n">
        <v>2</v>
      </c>
      <c r="H896" t="n">
        <v>0</v>
      </c>
      <c r="I896" t="n">
        <v>0</v>
      </c>
      <c r="J896" t="n">
        <v>0</v>
      </c>
      <c r="K896" t="n">
        <v>0</v>
      </c>
      <c r="L896" t="n">
        <v>0</v>
      </c>
      <c r="M896" t="n">
        <v>0</v>
      </c>
      <c r="N896" t="n">
        <v>0</v>
      </c>
      <c r="O896" t="n">
        <v>0</v>
      </c>
      <c r="P896" t="n">
        <v>0</v>
      </c>
      <c r="Q896" t="n">
        <v>0</v>
      </c>
      <c r="R896" s="2" t="inlineStr"/>
    </row>
    <row r="897" ht="15" customHeight="1">
      <c r="A897" t="inlineStr">
        <is>
          <t>A 15239-2026</t>
        </is>
      </c>
      <c r="B897" s="1" t="n">
        <v>46105.56040509259</v>
      </c>
      <c r="C897" s="1" t="n">
        <v>46139</v>
      </c>
      <c r="D897" t="inlineStr">
        <is>
          <t>JÄMTLANDS LÄN</t>
        </is>
      </c>
      <c r="E897" t="inlineStr">
        <is>
          <t>BERG</t>
        </is>
      </c>
      <c r="G897" t="n">
        <v>16.1</v>
      </c>
      <c r="H897" t="n">
        <v>0</v>
      </c>
      <c r="I897" t="n">
        <v>0</v>
      </c>
      <c r="J897" t="n">
        <v>0</v>
      </c>
      <c r="K897" t="n">
        <v>0</v>
      </c>
      <c r="L897" t="n">
        <v>0</v>
      </c>
      <c r="M897" t="n">
        <v>0</v>
      </c>
      <c r="N897" t="n">
        <v>0</v>
      </c>
      <c r="O897" t="n">
        <v>0</v>
      </c>
      <c r="P897" t="n">
        <v>0</v>
      </c>
      <c r="Q897" t="n">
        <v>0</v>
      </c>
      <c r="R897" s="2" t="inlineStr"/>
    </row>
    <row r="898" ht="15" customHeight="1">
      <c r="A898" t="inlineStr">
        <is>
          <t>A 15246-2026</t>
        </is>
      </c>
      <c r="B898" s="1" t="n">
        <v>46105.56806712963</v>
      </c>
      <c r="C898" s="1" t="n">
        <v>46139</v>
      </c>
      <c r="D898" t="inlineStr">
        <is>
          <t>JÄMTLANDS LÄN</t>
        </is>
      </c>
      <c r="E898" t="inlineStr">
        <is>
          <t>BERG</t>
        </is>
      </c>
      <c r="G898" t="n">
        <v>1.3</v>
      </c>
      <c r="H898" t="n">
        <v>0</v>
      </c>
      <c r="I898" t="n">
        <v>0</v>
      </c>
      <c r="J898" t="n">
        <v>0</v>
      </c>
      <c r="K898" t="n">
        <v>0</v>
      </c>
      <c r="L898" t="n">
        <v>0</v>
      </c>
      <c r="M898" t="n">
        <v>0</v>
      </c>
      <c r="N898" t="n">
        <v>0</v>
      </c>
      <c r="O898" t="n">
        <v>0</v>
      </c>
      <c r="P898" t="n">
        <v>0</v>
      </c>
      <c r="Q898" t="n">
        <v>0</v>
      </c>
      <c r="R898" s="2" t="inlineStr"/>
    </row>
    <row r="899" ht="15" customHeight="1">
      <c r="A899" t="inlineStr">
        <is>
          <t>A 30992-2024</t>
        </is>
      </c>
      <c r="B899" s="1" t="n">
        <v>45499</v>
      </c>
      <c r="C899" s="1" t="n">
        <v>46139</v>
      </c>
      <c r="D899" t="inlineStr">
        <is>
          <t>JÄMTLANDS LÄN</t>
        </is>
      </c>
      <c r="E899" t="inlineStr">
        <is>
          <t>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7983-2026</t>
        </is>
      </c>
      <c r="B900" s="1" t="n">
        <v>46063.49013888889</v>
      </c>
      <c r="C900" s="1" t="n">
        <v>46139</v>
      </c>
      <c r="D900" t="inlineStr">
        <is>
          <t>JÄMTLANDS LÄN</t>
        </is>
      </c>
      <c r="E900" t="inlineStr">
        <is>
          <t>BERG</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8571-2026</t>
        </is>
      </c>
      <c r="B901" s="1" t="n">
        <v>46065.67915509259</v>
      </c>
      <c r="C901" s="1" t="n">
        <v>46139</v>
      </c>
      <c r="D901" t="inlineStr">
        <is>
          <t>JÄMTLANDS LÄN</t>
        </is>
      </c>
      <c r="E901" t="inlineStr">
        <is>
          <t>BERG</t>
        </is>
      </c>
      <c r="G901" t="n">
        <v>5.5</v>
      </c>
      <c r="H901" t="n">
        <v>0</v>
      </c>
      <c r="I901" t="n">
        <v>0</v>
      </c>
      <c r="J901" t="n">
        <v>0</v>
      </c>
      <c r="K901" t="n">
        <v>0</v>
      </c>
      <c r="L901" t="n">
        <v>0</v>
      </c>
      <c r="M901" t="n">
        <v>0</v>
      </c>
      <c r="N901" t="n">
        <v>0</v>
      </c>
      <c r="O901" t="n">
        <v>0</v>
      </c>
      <c r="P901" t="n">
        <v>0</v>
      </c>
      <c r="Q901" t="n">
        <v>0</v>
      </c>
      <c r="R901" s="2" t="inlineStr"/>
    </row>
    <row r="902" ht="15" customHeight="1">
      <c r="A902" t="inlineStr">
        <is>
          <t>A 59763-2025</t>
        </is>
      </c>
      <c r="B902" s="1" t="n">
        <v>45992.59430555555</v>
      </c>
      <c r="C902" s="1" t="n">
        <v>46139</v>
      </c>
      <c r="D902" t="inlineStr">
        <is>
          <t>JÄMTLANDS LÄN</t>
        </is>
      </c>
      <c r="E902" t="inlineStr">
        <is>
          <t>BERG</t>
        </is>
      </c>
      <c r="F902" t="inlineStr">
        <is>
          <t>SCA</t>
        </is>
      </c>
      <c r="G902" t="n">
        <v>16.5</v>
      </c>
      <c r="H902" t="n">
        <v>0</v>
      </c>
      <c r="I902" t="n">
        <v>0</v>
      </c>
      <c r="J902" t="n">
        <v>0</v>
      </c>
      <c r="K902" t="n">
        <v>0</v>
      </c>
      <c r="L902" t="n">
        <v>0</v>
      </c>
      <c r="M902" t="n">
        <v>0</v>
      </c>
      <c r="N902" t="n">
        <v>0</v>
      </c>
      <c r="O902" t="n">
        <v>0</v>
      </c>
      <c r="P902" t="n">
        <v>0</v>
      </c>
      <c r="Q902" t="n">
        <v>0</v>
      </c>
      <c r="R902" s="2" t="inlineStr"/>
    </row>
    <row r="903" ht="15" customHeight="1">
      <c r="A903" t="inlineStr">
        <is>
          <t>A 8171-2026</t>
        </is>
      </c>
      <c r="B903" s="1" t="n">
        <v>46064.39402777778</v>
      </c>
      <c r="C903" s="1" t="n">
        <v>46139</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8319-2026</t>
        </is>
      </c>
      <c r="B904" s="1" t="n">
        <v>46064.60849537037</v>
      </c>
      <c r="C904" s="1" t="n">
        <v>46139</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50547-2025</t>
        </is>
      </c>
      <c r="B905" s="1" t="n">
        <v>45945.51104166666</v>
      </c>
      <c r="C905" s="1" t="n">
        <v>46139</v>
      </c>
      <c r="D905" t="inlineStr">
        <is>
          <t>JÄMTLANDS LÄN</t>
        </is>
      </c>
      <c r="E905" t="inlineStr">
        <is>
          <t>BERG</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49048-2024</t>
        </is>
      </c>
      <c r="B906" s="1" t="n">
        <v>45594.57427083333</v>
      </c>
      <c r="C906" s="1" t="n">
        <v>46139</v>
      </c>
      <c r="D906" t="inlineStr">
        <is>
          <t>JÄMTLANDS LÄN</t>
        </is>
      </c>
      <c r="E906" t="inlineStr">
        <is>
          <t>BERG</t>
        </is>
      </c>
      <c r="G906" t="n">
        <v>1.3</v>
      </c>
      <c r="H906" t="n">
        <v>0</v>
      </c>
      <c r="I906" t="n">
        <v>0</v>
      </c>
      <c r="J906" t="n">
        <v>0</v>
      </c>
      <c r="K906" t="n">
        <v>0</v>
      </c>
      <c r="L906" t="n">
        <v>0</v>
      </c>
      <c r="M906" t="n">
        <v>0</v>
      </c>
      <c r="N906" t="n">
        <v>0</v>
      </c>
      <c r="O906" t="n">
        <v>0</v>
      </c>
      <c r="P906" t="n">
        <v>0</v>
      </c>
      <c r="Q906" t="n">
        <v>0</v>
      </c>
      <c r="R906" s="2" t="inlineStr"/>
    </row>
    <row r="907" ht="15" customHeight="1">
      <c r="A907" t="inlineStr">
        <is>
          <t>A 15517-2026</t>
        </is>
      </c>
      <c r="B907" s="1" t="n">
        <v>46106.47037037037</v>
      </c>
      <c r="C907" s="1" t="n">
        <v>46139</v>
      </c>
      <c r="D907" t="inlineStr">
        <is>
          <t>JÄMTLANDS LÄN</t>
        </is>
      </c>
      <c r="E907" t="inlineStr">
        <is>
          <t>BERG</t>
        </is>
      </c>
      <c r="G907" t="n">
        <v>2.2</v>
      </c>
      <c r="H907" t="n">
        <v>0</v>
      </c>
      <c r="I907" t="n">
        <v>0</v>
      </c>
      <c r="J907" t="n">
        <v>0</v>
      </c>
      <c r="K907" t="n">
        <v>0</v>
      </c>
      <c r="L907" t="n">
        <v>0</v>
      </c>
      <c r="M907" t="n">
        <v>0</v>
      </c>
      <c r="N907" t="n">
        <v>0</v>
      </c>
      <c r="O907" t="n">
        <v>0</v>
      </c>
      <c r="P907" t="n">
        <v>0</v>
      </c>
      <c r="Q907" t="n">
        <v>0</v>
      </c>
      <c r="R907" s="2" t="inlineStr"/>
    </row>
    <row r="908" ht="15" customHeight="1">
      <c r="A908" t="inlineStr">
        <is>
          <t>A 54071-2023</t>
        </is>
      </c>
      <c r="B908" s="1" t="n">
        <v>45231</v>
      </c>
      <c r="C908" s="1" t="n">
        <v>46139</v>
      </c>
      <c r="D908" t="inlineStr">
        <is>
          <t>JÄMTLANDS LÄN</t>
        </is>
      </c>
      <c r="E908" t="inlineStr">
        <is>
          <t>BERG</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15852-2026</t>
        </is>
      </c>
      <c r="B909" s="1" t="n">
        <v>46107.57366898148</v>
      </c>
      <c r="C909" s="1" t="n">
        <v>46139</v>
      </c>
      <c r="D909" t="inlineStr">
        <is>
          <t>JÄMTLANDS LÄN</t>
        </is>
      </c>
      <c r="E909" t="inlineStr">
        <is>
          <t>BERG</t>
        </is>
      </c>
      <c r="F909" t="inlineStr">
        <is>
          <t>SCA</t>
        </is>
      </c>
      <c r="G909" t="n">
        <v>16.4</v>
      </c>
      <c r="H909" t="n">
        <v>0</v>
      </c>
      <c r="I909" t="n">
        <v>0</v>
      </c>
      <c r="J909" t="n">
        <v>0</v>
      </c>
      <c r="K909" t="n">
        <v>0</v>
      </c>
      <c r="L909" t="n">
        <v>0</v>
      </c>
      <c r="M909" t="n">
        <v>0</v>
      </c>
      <c r="N909" t="n">
        <v>0</v>
      </c>
      <c r="O909" t="n">
        <v>0</v>
      </c>
      <c r="P909" t="n">
        <v>0</v>
      </c>
      <c r="Q909" t="n">
        <v>0</v>
      </c>
      <c r="R909" s="2" t="inlineStr"/>
    </row>
    <row r="910" ht="15" customHeight="1">
      <c r="A910" t="inlineStr">
        <is>
          <t>A 8572-2026</t>
        </is>
      </c>
      <c r="B910" s="1" t="n">
        <v>46065.68355324074</v>
      </c>
      <c r="C910" s="1" t="n">
        <v>46139</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9012-2026</t>
        </is>
      </c>
      <c r="B911" s="1" t="n">
        <v>46069.4900462963</v>
      </c>
      <c r="C911" s="1" t="n">
        <v>46139</v>
      </c>
      <c r="D911" t="inlineStr">
        <is>
          <t>JÄMTLANDS LÄN</t>
        </is>
      </c>
      <c r="E911" t="inlineStr">
        <is>
          <t>BERG</t>
        </is>
      </c>
      <c r="G911" t="n">
        <v>10.7</v>
      </c>
      <c r="H911" t="n">
        <v>0</v>
      </c>
      <c r="I911" t="n">
        <v>0</v>
      </c>
      <c r="J911" t="n">
        <v>0</v>
      </c>
      <c r="K911" t="n">
        <v>0</v>
      </c>
      <c r="L911" t="n">
        <v>0</v>
      </c>
      <c r="M911" t="n">
        <v>0</v>
      </c>
      <c r="N911" t="n">
        <v>0</v>
      </c>
      <c r="O911" t="n">
        <v>0</v>
      </c>
      <c r="P911" t="n">
        <v>0</v>
      </c>
      <c r="Q911" t="n">
        <v>0</v>
      </c>
      <c r="R911" s="2" t="inlineStr"/>
    </row>
    <row r="912" ht="15" customHeight="1">
      <c r="A912" t="inlineStr">
        <is>
          <t>A 8765-2026</t>
        </is>
      </c>
      <c r="B912" s="1" t="n">
        <v>46066.56057870371</v>
      </c>
      <c r="C912" s="1" t="n">
        <v>46139</v>
      </c>
      <c r="D912" t="inlineStr">
        <is>
          <t>JÄMTLANDS LÄN</t>
        </is>
      </c>
      <c r="E912" t="inlineStr">
        <is>
          <t>BERG</t>
        </is>
      </c>
      <c r="G912" t="n">
        <v>5.6</v>
      </c>
      <c r="H912" t="n">
        <v>0</v>
      </c>
      <c r="I912" t="n">
        <v>0</v>
      </c>
      <c r="J912" t="n">
        <v>0</v>
      </c>
      <c r="K912" t="n">
        <v>0</v>
      </c>
      <c r="L912" t="n">
        <v>0</v>
      </c>
      <c r="M912" t="n">
        <v>0</v>
      </c>
      <c r="N912" t="n">
        <v>0</v>
      </c>
      <c r="O912" t="n">
        <v>0</v>
      </c>
      <c r="P912" t="n">
        <v>0</v>
      </c>
      <c r="Q912" t="n">
        <v>0</v>
      </c>
      <c r="R912" s="2" t="inlineStr"/>
    </row>
    <row r="913" ht="15" customHeight="1">
      <c r="A913" t="inlineStr">
        <is>
          <t>A 8653-2026</t>
        </is>
      </c>
      <c r="B913" s="1" t="n">
        <v>46066.36811342592</v>
      </c>
      <c r="C913" s="1" t="n">
        <v>46139</v>
      </c>
      <c r="D913" t="inlineStr">
        <is>
          <t>JÄMTLANDS LÄN</t>
        </is>
      </c>
      <c r="E913" t="inlineStr">
        <is>
          <t>BERG</t>
        </is>
      </c>
      <c r="G913" t="n">
        <v>2.1</v>
      </c>
      <c r="H913" t="n">
        <v>0</v>
      </c>
      <c r="I913" t="n">
        <v>0</v>
      </c>
      <c r="J913" t="n">
        <v>0</v>
      </c>
      <c r="K913" t="n">
        <v>0</v>
      </c>
      <c r="L913" t="n">
        <v>0</v>
      </c>
      <c r="M913" t="n">
        <v>0</v>
      </c>
      <c r="N913" t="n">
        <v>0</v>
      </c>
      <c r="O913" t="n">
        <v>0</v>
      </c>
      <c r="P913" t="n">
        <v>0</v>
      </c>
      <c r="Q913" t="n">
        <v>0</v>
      </c>
      <c r="R913" s="2" t="inlineStr"/>
    </row>
    <row r="914" ht="15" customHeight="1">
      <c r="A914" t="inlineStr">
        <is>
          <t>A 14740-2026</t>
        </is>
      </c>
      <c r="B914" s="1" t="n">
        <v>46101</v>
      </c>
      <c r="C914" s="1" t="n">
        <v>46139</v>
      </c>
      <c r="D914" t="inlineStr">
        <is>
          <t>JÄMTLANDS LÄN</t>
        </is>
      </c>
      <c r="E914" t="inlineStr">
        <is>
          <t>BERG</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461-2023</t>
        </is>
      </c>
      <c r="B915" s="1" t="n">
        <v>44929</v>
      </c>
      <c r="C915" s="1" t="n">
        <v>46139</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525-2023</t>
        </is>
      </c>
      <c r="B916" s="1" t="n">
        <v>44924</v>
      </c>
      <c r="C916" s="1" t="n">
        <v>46139</v>
      </c>
      <c r="D916" t="inlineStr">
        <is>
          <t>JÄMTLANDS LÄN</t>
        </is>
      </c>
      <c r="E916" t="inlineStr">
        <is>
          <t>BERG</t>
        </is>
      </c>
      <c r="G916" t="n">
        <v>4</v>
      </c>
      <c r="H916" t="n">
        <v>0</v>
      </c>
      <c r="I916" t="n">
        <v>0</v>
      </c>
      <c r="J916" t="n">
        <v>0</v>
      </c>
      <c r="K916" t="n">
        <v>0</v>
      </c>
      <c r="L916" t="n">
        <v>0</v>
      </c>
      <c r="M916" t="n">
        <v>0</v>
      </c>
      <c r="N916" t="n">
        <v>0</v>
      </c>
      <c r="O916" t="n">
        <v>0</v>
      </c>
      <c r="P916" t="n">
        <v>0</v>
      </c>
      <c r="Q916" t="n">
        <v>0</v>
      </c>
      <c r="R916" s="2" t="inlineStr"/>
    </row>
    <row r="917" ht="15" customHeight="1">
      <c r="A917" t="inlineStr">
        <is>
          <t>A 16346-2026</t>
        </is>
      </c>
      <c r="B917" s="1" t="n">
        <v>46111.58641203704</v>
      </c>
      <c r="C917" s="1" t="n">
        <v>46139</v>
      </c>
      <c r="D917" t="inlineStr">
        <is>
          <t>JÄMTLANDS LÄN</t>
        </is>
      </c>
      <c r="E917" t="inlineStr">
        <is>
          <t>BERG</t>
        </is>
      </c>
      <c r="F917" t="inlineStr">
        <is>
          <t>Övriga Aktiebolag</t>
        </is>
      </c>
      <c r="G917" t="n">
        <v>10.3</v>
      </c>
      <c r="H917" t="n">
        <v>0</v>
      </c>
      <c r="I917" t="n">
        <v>0</v>
      </c>
      <c r="J917" t="n">
        <v>0</v>
      </c>
      <c r="K917" t="n">
        <v>0</v>
      </c>
      <c r="L917" t="n">
        <v>0</v>
      </c>
      <c r="M917" t="n">
        <v>0</v>
      </c>
      <c r="N917" t="n">
        <v>0</v>
      </c>
      <c r="O917" t="n">
        <v>0</v>
      </c>
      <c r="P917" t="n">
        <v>0</v>
      </c>
      <c r="Q917" t="n">
        <v>0</v>
      </c>
      <c r="R917" s="2" t="inlineStr"/>
    </row>
    <row r="918" ht="15" customHeight="1">
      <c r="A918" t="inlineStr">
        <is>
          <t>A 9118-2026</t>
        </is>
      </c>
      <c r="B918" s="1" t="n">
        <v>46069.67773148148</v>
      </c>
      <c r="C918" s="1" t="n">
        <v>46139</v>
      </c>
      <c r="D918" t="inlineStr">
        <is>
          <t>JÄMTLANDS LÄN</t>
        </is>
      </c>
      <c r="E918" t="inlineStr">
        <is>
          <t>BERG</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26918-2024</t>
        </is>
      </c>
      <c r="B919" s="1" t="n">
        <v>45470</v>
      </c>
      <c r="C919" s="1" t="n">
        <v>46139</v>
      </c>
      <c r="D919" t="inlineStr">
        <is>
          <t>JÄMTLANDS LÄN</t>
        </is>
      </c>
      <c r="E919" t="inlineStr">
        <is>
          <t>BERG</t>
        </is>
      </c>
      <c r="G919" t="n">
        <v>0.4</v>
      </c>
      <c r="H919" t="n">
        <v>0</v>
      </c>
      <c r="I919" t="n">
        <v>0</v>
      </c>
      <c r="J919" t="n">
        <v>0</v>
      </c>
      <c r="K919" t="n">
        <v>0</v>
      </c>
      <c r="L919" t="n">
        <v>0</v>
      </c>
      <c r="M919" t="n">
        <v>0</v>
      </c>
      <c r="N919" t="n">
        <v>0</v>
      </c>
      <c r="O919" t="n">
        <v>0</v>
      </c>
      <c r="P919" t="n">
        <v>0</v>
      </c>
      <c r="Q919" t="n">
        <v>0</v>
      </c>
      <c r="R919" s="2" t="inlineStr"/>
    </row>
    <row r="920" ht="15" customHeight="1">
      <c r="A920" t="inlineStr">
        <is>
          <t>A 27579-2024</t>
        </is>
      </c>
      <c r="B920" s="1" t="n">
        <v>45474.65244212963</v>
      </c>
      <c r="C920" s="1" t="n">
        <v>46139</v>
      </c>
      <c r="D920" t="inlineStr">
        <is>
          <t>JÄMTLANDS LÄN</t>
        </is>
      </c>
      <c r="E920" t="inlineStr">
        <is>
          <t>BERG</t>
        </is>
      </c>
      <c r="G920" t="n">
        <v>1.8</v>
      </c>
      <c r="H920" t="n">
        <v>0</v>
      </c>
      <c r="I920" t="n">
        <v>0</v>
      </c>
      <c r="J920" t="n">
        <v>0</v>
      </c>
      <c r="K920" t="n">
        <v>0</v>
      </c>
      <c r="L920" t="n">
        <v>0</v>
      </c>
      <c r="M920" t="n">
        <v>0</v>
      </c>
      <c r="N920" t="n">
        <v>0</v>
      </c>
      <c r="O920" t="n">
        <v>0</v>
      </c>
      <c r="P920" t="n">
        <v>0</v>
      </c>
      <c r="Q920" t="n">
        <v>0</v>
      </c>
      <c r="R920" s="2" t="inlineStr"/>
    </row>
    <row r="921" ht="15" customHeight="1">
      <c r="A921" t="inlineStr">
        <is>
          <t>A 9277-2026</t>
        </is>
      </c>
      <c r="B921" s="1" t="n">
        <v>46070.57337962963</v>
      </c>
      <c r="C921" s="1" t="n">
        <v>46139</v>
      </c>
      <c r="D921" t="inlineStr">
        <is>
          <t>JÄMTLANDS LÄN</t>
        </is>
      </c>
      <c r="E921" t="inlineStr">
        <is>
          <t>BERG</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54992-2023</t>
        </is>
      </c>
      <c r="B922" s="1" t="n">
        <v>45236.96789351852</v>
      </c>
      <c r="C922" s="1" t="n">
        <v>46139</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54994-2023</t>
        </is>
      </c>
      <c r="B923" s="1" t="n">
        <v>45236</v>
      </c>
      <c r="C923" s="1" t="n">
        <v>46139</v>
      </c>
      <c r="D923" t="inlineStr">
        <is>
          <t>JÄMTLANDS LÄN</t>
        </is>
      </c>
      <c r="E923" t="inlineStr">
        <is>
          <t>BERG</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9282-2026</t>
        </is>
      </c>
      <c r="B924" s="1" t="n">
        <v>46070.58050925926</v>
      </c>
      <c r="C924" s="1" t="n">
        <v>46139</v>
      </c>
      <c r="D924" t="inlineStr">
        <is>
          <t>JÄMTLANDS LÄN</t>
        </is>
      </c>
      <c r="E924" t="inlineStr">
        <is>
          <t>BERG</t>
        </is>
      </c>
      <c r="G924" t="n">
        <v>2.2</v>
      </c>
      <c r="H924" t="n">
        <v>0</v>
      </c>
      <c r="I924" t="n">
        <v>0</v>
      </c>
      <c r="J924" t="n">
        <v>0</v>
      </c>
      <c r="K924" t="n">
        <v>0</v>
      </c>
      <c r="L924" t="n">
        <v>0</v>
      </c>
      <c r="M924" t="n">
        <v>0</v>
      </c>
      <c r="N924" t="n">
        <v>0</v>
      </c>
      <c r="O924" t="n">
        <v>0</v>
      </c>
      <c r="P924" t="n">
        <v>0</v>
      </c>
      <c r="Q924" t="n">
        <v>0</v>
      </c>
      <c r="R924" s="2" t="inlineStr"/>
    </row>
    <row r="925" ht="15" customHeight="1">
      <c r="A925" t="inlineStr">
        <is>
          <t>A 57226-2022</t>
        </is>
      </c>
      <c r="B925" s="1" t="n">
        <v>44895.66629629629</v>
      </c>
      <c r="C925" s="1" t="n">
        <v>46139</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5911-2024</t>
        </is>
      </c>
      <c r="B926" s="1" t="n">
        <v>45335</v>
      </c>
      <c r="C926" s="1" t="n">
        <v>46139</v>
      </c>
      <c r="D926" t="inlineStr">
        <is>
          <t>JÄMTLANDS LÄN</t>
        </is>
      </c>
      <c r="E926" t="inlineStr">
        <is>
          <t>BERG</t>
        </is>
      </c>
      <c r="F926" t="inlineStr">
        <is>
          <t>SCA</t>
        </is>
      </c>
      <c r="G926" t="n">
        <v>28.6</v>
      </c>
      <c r="H926" t="n">
        <v>0</v>
      </c>
      <c r="I926" t="n">
        <v>0</v>
      </c>
      <c r="J926" t="n">
        <v>0</v>
      </c>
      <c r="K926" t="n">
        <v>0</v>
      </c>
      <c r="L926" t="n">
        <v>0</v>
      </c>
      <c r="M926" t="n">
        <v>0</v>
      </c>
      <c r="N926" t="n">
        <v>0</v>
      </c>
      <c r="O926" t="n">
        <v>0</v>
      </c>
      <c r="P926" t="n">
        <v>0</v>
      </c>
      <c r="Q926" t="n">
        <v>0</v>
      </c>
      <c r="R926" s="2" t="inlineStr"/>
    </row>
    <row r="927" ht="15" customHeight="1">
      <c r="A927" t="inlineStr">
        <is>
          <t>A 25306-2023</t>
        </is>
      </c>
      <c r="B927" s="1" t="n">
        <v>45086</v>
      </c>
      <c r="C927" s="1" t="n">
        <v>46139</v>
      </c>
      <c r="D927" t="inlineStr">
        <is>
          <t>JÄMTLANDS LÄN</t>
        </is>
      </c>
      <c r="E927" t="inlineStr">
        <is>
          <t>BERG</t>
        </is>
      </c>
      <c r="G927" t="n">
        <v>23.3</v>
      </c>
      <c r="H927" t="n">
        <v>0</v>
      </c>
      <c r="I927" t="n">
        <v>0</v>
      </c>
      <c r="J927" t="n">
        <v>0</v>
      </c>
      <c r="K927" t="n">
        <v>0</v>
      </c>
      <c r="L927" t="n">
        <v>0</v>
      </c>
      <c r="M927" t="n">
        <v>0</v>
      </c>
      <c r="N927" t="n">
        <v>0</v>
      </c>
      <c r="O927" t="n">
        <v>0</v>
      </c>
      <c r="P927" t="n">
        <v>0</v>
      </c>
      <c r="Q927" t="n">
        <v>0</v>
      </c>
      <c r="R927" s="2" t="inlineStr"/>
    </row>
    <row r="928" ht="15" customHeight="1">
      <c r="A928" t="inlineStr">
        <is>
          <t>A 9201-2026</t>
        </is>
      </c>
      <c r="B928" s="1" t="n">
        <v>46070.40723379629</v>
      </c>
      <c r="C928" s="1" t="n">
        <v>46139</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9223-2026</t>
        </is>
      </c>
      <c r="B929" s="1" t="n">
        <v>46070.44862268519</v>
      </c>
      <c r="C929" s="1" t="n">
        <v>46139</v>
      </c>
      <c r="D929" t="inlineStr">
        <is>
          <t>JÄMTLANDS LÄN</t>
        </is>
      </c>
      <c r="E929" t="inlineStr">
        <is>
          <t>BERG</t>
        </is>
      </c>
      <c r="F929" t="inlineStr">
        <is>
          <t>SCA</t>
        </is>
      </c>
      <c r="G929" t="n">
        <v>7.1</v>
      </c>
      <c r="H929" t="n">
        <v>0</v>
      </c>
      <c r="I929" t="n">
        <v>0</v>
      </c>
      <c r="J929" t="n">
        <v>0</v>
      </c>
      <c r="K929" t="n">
        <v>0</v>
      </c>
      <c r="L929" t="n">
        <v>0</v>
      </c>
      <c r="M929" t="n">
        <v>0</v>
      </c>
      <c r="N929" t="n">
        <v>0</v>
      </c>
      <c r="O929" t="n">
        <v>0</v>
      </c>
      <c r="P929" t="n">
        <v>0</v>
      </c>
      <c r="Q929" t="n">
        <v>0</v>
      </c>
      <c r="R929" s="2" t="inlineStr"/>
    </row>
    <row r="930" ht="15" customHeight="1">
      <c r="A930" t="inlineStr">
        <is>
          <t>A 13463-2026</t>
        </is>
      </c>
      <c r="B930" s="1" t="n">
        <v>46094</v>
      </c>
      <c r="C930" s="1" t="n">
        <v>46139</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13373-2024</t>
        </is>
      </c>
      <c r="B931" s="1" t="n">
        <v>45387.37010416666</v>
      </c>
      <c r="C931" s="1" t="n">
        <v>46139</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52774-2023</t>
        </is>
      </c>
      <c r="B932" s="1" t="n">
        <v>45219</v>
      </c>
      <c r="C932" s="1" t="n">
        <v>46139</v>
      </c>
      <c r="D932" t="inlineStr">
        <is>
          <t>JÄMTLANDS LÄN</t>
        </is>
      </c>
      <c r="E932" t="inlineStr">
        <is>
          <t>BERG</t>
        </is>
      </c>
      <c r="G932" t="n">
        <v>1.1</v>
      </c>
      <c r="H932" t="n">
        <v>0</v>
      </c>
      <c r="I932" t="n">
        <v>0</v>
      </c>
      <c r="J932" t="n">
        <v>0</v>
      </c>
      <c r="K932" t="n">
        <v>0</v>
      </c>
      <c r="L932" t="n">
        <v>0</v>
      </c>
      <c r="M932" t="n">
        <v>0</v>
      </c>
      <c r="N932" t="n">
        <v>0</v>
      </c>
      <c r="O932" t="n">
        <v>0</v>
      </c>
      <c r="P932" t="n">
        <v>0</v>
      </c>
      <c r="Q932" t="n">
        <v>0</v>
      </c>
      <c r="R932" s="2" t="inlineStr"/>
    </row>
    <row r="933" ht="15" customHeight="1">
      <c r="A933" t="inlineStr">
        <is>
          <t>A 17046-2026</t>
        </is>
      </c>
      <c r="B933" s="1" t="n">
        <v>46114.4804050926</v>
      </c>
      <c r="C933" s="1" t="n">
        <v>46139</v>
      </c>
      <c r="D933" t="inlineStr">
        <is>
          <t>JÄMTLANDS LÄN</t>
        </is>
      </c>
      <c r="E933" t="inlineStr">
        <is>
          <t>BERG</t>
        </is>
      </c>
      <c r="G933" t="n">
        <v>28.9</v>
      </c>
      <c r="H933" t="n">
        <v>0</v>
      </c>
      <c r="I933" t="n">
        <v>0</v>
      </c>
      <c r="J933" t="n">
        <v>0</v>
      </c>
      <c r="K933" t="n">
        <v>0</v>
      </c>
      <c r="L933" t="n">
        <v>0</v>
      </c>
      <c r="M933" t="n">
        <v>0</v>
      </c>
      <c r="N933" t="n">
        <v>0</v>
      </c>
      <c r="O933" t="n">
        <v>0</v>
      </c>
      <c r="P933" t="n">
        <v>0</v>
      </c>
      <c r="Q933" t="n">
        <v>0</v>
      </c>
      <c r="R933" s="2" t="inlineStr"/>
    </row>
    <row r="934" ht="15" customHeight="1">
      <c r="A934" t="inlineStr">
        <is>
          <t>A 24011-2023</t>
        </is>
      </c>
      <c r="B934" s="1" t="n">
        <v>45078</v>
      </c>
      <c r="C934" s="1" t="n">
        <v>46139</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11704-2023</t>
        </is>
      </c>
      <c r="B935" s="1" t="n">
        <v>44994.54274305556</v>
      </c>
      <c r="C935" s="1" t="n">
        <v>46139</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17420-2026</t>
        </is>
      </c>
      <c r="B936" s="1" t="n">
        <v>46120.36201388889</v>
      </c>
      <c r="C936" s="1" t="n">
        <v>46139</v>
      </c>
      <c r="D936" t="inlineStr">
        <is>
          <t>JÄMTLANDS LÄN</t>
        </is>
      </c>
      <c r="E936" t="inlineStr">
        <is>
          <t>BERG</t>
        </is>
      </c>
      <c r="G936" t="n">
        <v>5</v>
      </c>
      <c r="H936" t="n">
        <v>0</v>
      </c>
      <c r="I936" t="n">
        <v>0</v>
      </c>
      <c r="J936" t="n">
        <v>0</v>
      </c>
      <c r="K936" t="n">
        <v>0</v>
      </c>
      <c r="L936" t="n">
        <v>0</v>
      </c>
      <c r="M936" t="n">
        <v>0</v>
      </c>
      <c r="N936" t="n">
        <v>0</v>
      </c>
      <c r="O936" t="n">
        <v>0</v>
      </c>
      <c r="P936" t="n">
        <v>0</v>
      </c>
      <c r="Q936" t="n">
        <v>0</v>
      </c>
      <c r="R936" s="2" t="inlineStr"/>
    </row>
    <row r="937" ht="15" customHeight="1">
      <c r="A937" t="inlineStr">
        <is>
          <t>A 59459-2024</t>
        </is>
      </c>
      <c r="B937" s="1" t="n">
        <v>45638</v>
      </c>
      <c r="C937" s="1" t="n">
        <v>46139</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14153-2023</t>
        </is>
      </c>
      <c r="B938" s="1" t="n">
        <v>45008</v>
      </c>
      <c r="C938" s="1" t="n">
        <v>46139</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20899-2023</t>
        </is>
      </c>
      <c r="B939" s="1" t="n">
        <v>45060</v>
      </c>
      <c r="C939" s="1" t="n">
        <v>46139</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41106-2023</t>
        </is>
      </c>
      <c r="B940" s="1" t="n">
        <v>45170</v>
      </c>
      <c r="C940" s="1" t="n">
        <v>46139</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46139</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10778-2026</t>
        </is>
      </c>
      <c r="B942" s="1" t="n">
        <v>46078.5741087963</v>
      </c>
      <c r="C942" s="1" t="n">
        <v>46139</v>
      </c>
      <c r="D942" t="inlineStr">
        <is>
          <t>JÄMTLANDS LÄN</t>
        </is>
      </c>
      <c r="E942" t="inlineStr">
        <is>
          <t>BERG</t>
        </is>
      </c>
      <c r="G942" t="n">
        <v>7.1</v>
      </c>
      <c r="H942" t="n">
        <v>0</v>
      </c>
      <c r="I942" t="n">
        <v>0</v>
      </c>
      <c r="J942" t="n">
        <v>0</v>
      </c>
      <c r="K942" t="n">
        <v>0</v>
      </c>
      <c r="L942" t="n">
        <v>0</v>
      </c>
      <c r="M942" t="n">
        <v>0</v>
      </c>
      <c r="N942" t="n">
        <v>0</v>
      </c>
      <c r="O942" t="n">
        <v>0</v>
      </c>
      <c r="P942" t="n">
        <v>0</v>
      </c>
      <c r="Q942" t="n">
        <v>0</v>
      </c>
      <c r="R942" s="2" t="inlineStr"/>
    </row>
    <row r="943" ht="15" customHeight="1">
      <c r="A943" t="inlineStr">
        <is>
          <t>A 17470-2026</t>
        </is>
      </c>
      <c r="B943" s="1" t="n">
        <v>46120.51174768519</v>
      </c>
      <c r="C943" s="1" t="n">
        <v>46139</v>
      </c>
      <c r="D943" t="inlineStr">
        <is>
          <t>JÄMTLANDS LÄN</t>
        </is>
      </c>
      <c r="E943" t="inlineStr">
        <is>
          <t>BERG</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511-2025</t>
        </is>
      </c>
      <c r="B944" s="1" t="n">
        <v>45664.47284722222</v>
      </c>
      <c r="C944" s="1" t="n">
        <v>46139</v>
      </c>
      <c r="D944" t="inlineStr">
        <is>
          <t>JÄMTLANDS LÄN</t>
        </is>
      </c>
      <c r="E944" t="inlineStr">
        <is>
          <t>BERG</t>
        </is>
      </c>
      <c r="G944" t="n">
        <v>4.5</v>
      </c>
      <c r="H944" t="n">
        <v>0</v>
      </c>
      <c r="I944" t="n">
        <v>0</v>
      </c>
      <c r="J944" t="n">
        <v>0</v>
      </c>
      <c r="K944" t="n">
        <v>0</v>
      </c>
      <c r="L944" t="n">
        <v>0</v>
      </c>
      <c r="M944" t="n">
        <v>0</v>
      </c>
      <c r="N944" t="n">
        <v>0</v>
      </c>
      <c r="O944" t="n">
        <v>0</v>
      </c>
      <c r="P944" t="n">
        <v>0</v>
      </c>
      <c r="Q944" t="n">
        <v>0</v>
      </c>
      <c r="R944" s="2" t="inlineStr"/>
    </row>
    <row r="945" ht="15" customHeight="1">
      <c r="A945" t="inlineStr">
        <is>
          <t>A 11142-2026</t>
        </is>
      </c>
      <c r="B945" s="1" t="n">
        <v>46079.87018518519</v>
      </c>
      <c r="C945" s="1" t="n">
        <v>46139</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40415-2023</t>
        </is>
      </c>
      <c r="B946" s="1" t="n">
        <v>45169.93925925926</v>
      </c>
      <c r="C946" s="1" t="n">
        <v>46139</v>
      </c>
      <c r="D946" t="inlineStr">
        <is>
          <t>JÄMTLANDS LÄN</t>
        </is>
      </c>
      <c r="E946" t="inlineStr">
        <is>
          <t>BERG</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11093-2026</t>
        </is>
      </c>
      <c r="B947" s="1" t="n">
        <v>46079.64143518519</v>
      </c>
      <c r="C947" s="1" t="n">
        <v>46139</v>
      </c>
      <c r="D947" t="inlineStr">
        <is>
          <t>JÄMTLANDS LÄN</t>
        </is>
      </c>
      <c r="E947" t="inlineStr">
        <is>
          <t>BERG</t>
        </is>
      </c>
      <c r="G947" t="n">
        <v>4.5</v>
      </c>
      <c r="H947" t="n">
        <v>0</v>
      </c>
      <c r="I947" t="n">
        <v>0</v>
      </c>
      <c r="J947" t="n">
        <v>0</v>
      </c>
      <c r="K947" t="n">
        <v>0</v>
      </c>
      <c r="L947" t="n">
        <v>0</v>
      </c>
      <c r="M947" t="n">
        <v>0</v>
      </c>
      <c r="N947" t="n">
        <v>0</v>
      </c>
      <c r="O947" t="n">
        <v>0</v>
      </c>
      <c r="P947" t="n">
        <v>0</v>
      </c>
      <c r="Q947" t="n">
        <v>0</v>
      </c>
      <c r="R947" s="2" t="inlineStr"/>
    </row>
    <row r="948" ht="15" customHeight="1">
      <c r="A948" t="inlineStr">
        <is>
          <t>A 11134-2026</t>
        </is>
      </c>
      <c r="B948" s="1" t="n">
        <v>46079.74704861111</v>
      </c>
      <c r="C948" s="1" t="n">
        <v>46139</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12611-2025</t>
        </is>
      </c>
      <c r="B949" s="1" t="n">
        <v>45733.33921296296</v>
      </c>
      <c r="C949" s="1" t="n">
        <v>46139</v>
      </c>
      <c r="D949" t="inlineStr">
        <is>
          <t>JÄMTLANDS LÄN</t>
        </is>
      </c>
      <c r="E949" t="inlineStr">
        <is>
          <t>BERG</t>
        </is>
      </c>
      <c r="G949" t="n">
        <v>7.7</v>
      </c>
      <c r="H949" t="n">
        <v>0</v>
      </c>
      <c r="I949" t="n">
        <v>0</v>
      </c>
      <c r="J949" t="n">
        <v>0</v>
      </c>
      <c r="K949" t="n">
        <v>0</v>
      </c>
      <c r="L949" t="n">
        <v>0</v>
      </c>
      <c r="M949" t="n">
        <v>0</v>
      </c>
      <c r="N949" t="n">
        <v>0</v>
      </c>
      <c r="O949" t="n">
        <v>0</v>
      </c>
      <c r="P949" t="n">
        <v>0</v>
      </c>
      <c r="Q949" t="n">
        <v>0</v>
      </c>
      <c r="R949" s="2" t="inlineStr"/>
    </row>
    <row r="950" ht="15" customHeight="1">
      <c r="A950" t="inlineStr">
        <is>
          <t>A 17624-2026</t>
        </is>
      </c>
      <c r="B950" s="1" t="n">
        <v>46121.46959490741</v>
      </c>
      <c r="C950" s="1" t="n">
        <v>46139</v>
      </c>
      <c r="D950" t="inlineStr">
        <is>
          <t>JÄMTLANDS LÄN</t>
        </is>
      </c>
      <c r="E950" t="inlineStr">
        <is>
          <t>BERG</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11255-2026</t>
        </is>
      </c>
      <c r="B951" s="1" t="n">
        <v>46080</v>
      </c>
      <c r="C951" s="1" t="n">
        <v>46139</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11141-2026</t>
        </is>
      </c>
      <c r="B952" s="1" t="n">
        <v>46079.85365740741</v>
      </c>
      <c r="C952" s="1" t="n">
        <v>46139</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11143-2026</t>
        </is>
      </c>
      <c r="B953" s="1" t="n">
        <v>46079.87586805555</v>
      </c>
      <c r="C953" s="1" t="n">
        <v>46139</v>
      </c>
      <c r="D953" t="inlineStr">
        <is>
          <t>JÄMTLANDS LÄN</t>
        </is>
      </c>
      <c r="E953" t="inlineStr">
        <is>
          <t>BERG</t>
        </is>
      </c>
      <c r="G953" t="n">
        <v>4.1</v>
      </c>
      <c r="H953" t="n">
        <v>0</v>
      </c>
      <c r="I953" t="n">
        <v>0</v>
      </c>
      <c r="J953" t="n">
        <v>0</v>
      </c>
      <c r="K953" t="n">
        <v>0</v>
      </c>
      <c r="L953" t="n">
        <v>0</v>
      </c>
      <c r="M953" t="n">
        <v>0</v>
      </c>
      <c r="N953" t="n">
        <v>0</v>
      </c>
      <c r="O953" t="n">
        <v>0</v>
      </c>
      <c r="P953" t="n">
        <v>0</v>
      </c>
      <c r="Q953" t="n">
        <v>0</v>
      </c>
      <c r="R953" s="2" t="inlineStr"/>
    </row>
    <row r="954" ht="15" customHeight="1">
      <c r="A954" t="inlineStr">
        <is>
          <t>A 11322-2026</t>
        </is>
      </c>
      <c r="B954" s="1" t="n">
        <v>46080</v>
      </c>
      <c r="C954" s="1" t="n">
        <v>46139</v>
      </c>
      <c r="D954" t="inlineStr">
        <is>
          <t>JÄMTLANDS LÄN</t>
        </is>
      </c>
      <c r="E954" t="inlineStr">
        <is>
          <t>BERG</t>
        </is>
      </c>
      <c r="G954" t="n">
        <v>0.7</v>
      </c>
      <c r="H954" t="n">
        <v>0</v>
      </c>
      <c r="I954" t="n">
        <v>0</v>
      </c>
      <c r="J954" t="n">
        <v>0</v>
      </c>
      <c r="K954" t="n">
        <v>0</v>
      </c>
      <c r="L954" t="n">
        <v>0</v>
      </c>
      <c r="M954" t="n">
        <v>0</v>
      </c>
      <c r="N954" t="n">
        <v>0</v>
      </c>
      <c r="O954" t="n">
        <v>0</v>
      </c>
      <c r="P954" t="n">
        <v>0</v>
      </c>
      <c r="Q954" t="n">
        <v>0</v>
      </c>
      <c r="R954" s="2" t="inlineStr"/>
    </row>
    <row r="955" ht="15" customHeight="1">
      <c r="A955" t="inlineStr">
        <is>
          <t>A 2247-2025</t>
        </is>
      </c>
      <c r="B955" s="1" t="n">
        <v>45673.49039351852</v>
      </c>
      <c r="C955" s="1" t="n">
        <v>46139</v>
      </c>
      <c r="D955" t="inlineStr">
        <is>
          <t>JÄMTLANDS LÄN</t>
        </is>
      </c>
      <c r="E955" t="inlineStr">
        <is>
          <t>BERG</t>
        </is>
      </c>
      <c r="F955" t="inlineStr">
        <is>
          <t>SCA</t>
        </is>
      </c>
      <c r="G955" t="n">
        <v>13.3</v>
      </c>
      <c r="H955" t="n">
        <v>0</v>
      </c>
      <c r="I955" t="n">
        <v>0</v>
      </c>
      <c r="J955" t="n">
        <v>0</v>
      </c>
      <c r="K955" t="n">
        <v>0</v>
      </c>
      <c r="L955" t="n">
        <v>0</v>
      </c>
      <c r="M955" t="n">
        <v>0</v>
      </c>
      <c r="N955" t="n">
        <v>0</v>
      </c>
      <c r="O955" t="n">
        <v>0</v>
      </c>
      <c r="P955" t="n">
        <v>0</v>
      </c>
      <c r="Q955" t="n">
        <v>0</v>
      </c>
      <c r="R955" s="2" t="inlineStr"/>
    </row>
    <row r="956" ht="15" customHeight="1">
      <c r="A956" t="inlineStr">
        <is>
          <t>A 11144-2026</t>
        </is>
      </c>
      <c r="B956" s="1" t="n">
        <v>46079.88511574074</v>
      </c>
      <c r="C956" s="1" t="n">
        <v>46139</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1983-2022</t>
        </is>
      </c>
      <c r="B957" s="1" t="n">
        <v>44575</v>
      </c>
      <c r="C957" s="1" t="n">
        <v>46139</v>
      </c>
      <c r="D957" t="inlineStr">
        <is>
          <t>JÄMTLANDS LÄN</t>
        </is>
      </c>
      <c r="E957" t="inlineStr">
        <is>
          <t>BERG</t>
        </is>
      </c>
      <c r="G957" t="n">
        <v>1.8</v>
      </c>
      <c r="H957" t="n">
        <v>0</v>
      </c>
      <c r="I957" t="n">
        <v>0</v>
      </c>
      <c r="J957" t="n">
        <v>0</v>
      </c>
      <c r="K957" t="n">
        <v>0</v>
      </c>
      <c r="L957" t="n">
        <v>0</v>
      </c>
      <c r="M957" t="n">
        <v>0</v>
      </c>
      <c r="N957" t="n">
        <v>0</v>
      </c>
      <c r="O957" t="n">
        <v>0</v>
      </c>
      <c r="P957" t="n">
        <v>0</v>
      </c>
      <c r="Q957" t="n">
        <v>0</v>
      </c>
      <c r="R957" s="2" t="inlineStr"/>
    </row>
    <row r="958" ht="15" customHeight="1">
      <c r="A958" t="inlineStr">
        <is>
          <t>A 13936-2024</t>
        </is>
      </c>
      <c r="B958" s="1" t="n">
        <v>45391.9533912037</v>
      </c>
      <c r="C958" s="1" t="n">
        <v>46139</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11292-2026</t>
        </is>
      </c>
      <c r="B959" s="1" t="n">
        <v>46080.6150462963</v>
      </c>
      <c r="C959" s="1" t="n">
        <v>46139</v>
      </c>
      <c r="D959" t="inlineStr">
        <is>
          <t>JÄMTLANDS LÄN</t>
        </is>
      </c>
      <c r="E959" t="inlineStr">
        <is>
          <t>BERG</t>
        </is>
      </c>
      <c r="G959" t="n">
        <v>1.7</v>
      </c>
      <c r="H959" t="n">
        <v>0</v>
      </c>
      <c r="I959" t="n">
        <v>0</v>
      </c>
      <c r="J959" t="n">
        <v>0</v>
      </c>
      <c r="K959" t="n">
        <v>0</v>
      </c>
      <c r="L959" t="n">
        <v>0</v>
      </c>
      <c r="M959" t="n">
        <v>0</v>
      </c>
      <c r="N959" t="n">
        <v>0</v>
      </c>
      <c r="O959" t="n">
        <v>0</v>
      </c>
      <c r="P959" t="n">
        <v>0</v>
      </c>
      <c r="Q959" t="n">
        <v>0</v>
      </c>
      <c r="R959" s="2" t="inlineStr"/>
    </row>
    <row r="960" ht="15" customHeight="1">
      <c r="A960" t="inlineStr">
        <is>
          <t>A 37098-2024</t>
        </is>
      </c>
      <c r="B960" s="1" t="n">
        <v>45539.50243055556</v>
      </c>
      <c r="C960" s="1" t="n">
        <v>46139</v>
      </c>
      <c r="D960" t="inlineStr">
        <is>
          <t>JÄMTLANDS LÄN</t>
        </is>
      </c>
      <c r="E960" t="inlineStr">
        <is>
          <t>BERG</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44088-2021</t>
        </is>
      </c>
      <c r="B961" s="1" t="n">
        <v>44434</v>
      </c>
      <c r="C961" s="1" t="n">
        <v>46139</v>
      </c>
      <c r="D961" t="inlineStr">
        <is>
          <t>JÄMTLANDS LÄN</t>
        </is>
      </c>
      <c r="E961" t="inlineStr">
        <is>
          <t>BERG</t>
        </is>
      </c>
      <c r="G961" t="n">
        <v>1.1</v>
      </c>
      <c r="H961" t="n">
        <v>0</v>
      </c>
      <c r="I961" t="n">
        <v>0</v>
      </c>
      <c r="J961" t="n">
        <v>0</v>
      </c>
      <c r="K961" t="n">
        <v>0</v>
      </c>
      <c r="L961" t="n">
        <v>0</v>
      </c>
      <c r="M961" t="n">
        <v>0</v>
      </c>
      <c r="N961" t="n">
        <v>0</v>
      </c>
      <c r="O961" t="n">
        <v>0</v>
      </c>
      <c r="P961" t="n">
        <v>0</v>
      </c>
      <c r="Q961" t="n">
        <v>0</v>
      </c>
      <c r="R961" s="2" t="inlineStr"/>
    </row>
    <row r="962" ht="15" customHeight="1">
      <c r="A962" t="inlineStr">
        <is>
          <t>A 11390-2026</t>
        </is>
      </c>
      <c r="B962" s="1" t="n">
        <v>46083.42858796296</v>
      </c>
      <c r="C962" s="1" t="n">
        <v>46139</v>
      </c>
      <c r="D962" t="inlineStr">
        <is>
          <t>JÄMTLANDS LÄN</t>
        </is>
      </c>
      <c r="E962" t="inlineStr">
        <is>
          <t>BERG</t>
        </is>
      </c>
      <c r="G962" t="n">
        <v>7</v>
      </c>
      <c r="H962" t="n">
        <v>0</v>
      </c>
      <c r="I962" t="n">
        <v>0</v>
      </c>
      <c r="J962" t="n">
        <v>0</v>
      </c>
      <c r="K962" t="n">
        <v>0</v>
      </c>
      <c r="L962" t="n">
        <v>0</v>
      </c>
      <c r="M962" t="n">
        <v>0</v>
      </c>
      <c r="N962" t="n">
        <v>0</v>
      </c>
      <c r="O962" t="n">
        <v>0</v>
      </c>
      <c r="P962" t="n">
        <v>0</v>
      </c>
      <c r="Q962" t="n">
        <v>0</v>
      </c>
      <c r="R962" s="2" t="inlineStr"/>
    </row>
    <row r="963" ht="15" customHeight="1">
      <c r="A963" t="inlineStr">
        <is>
          <t>A 11400-2026</t>
        </is>
      </c>
      <c r="B963" s="1" t="n">
        <v>46083.44576388889</v>
      </c>
      <c r="C963" s="1" t="n">
        <v>46139</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11428-2026</t>
        </is>
      </c>
      <c r="B964" s="1" t="n">
        <v>46083.49012731481</v>
      </c>
      <c r="C964" s="1" t="n">
        <v>46139</v>
      </c>
      <c r="D964" t="inlineStr">
        <is>
          <t>JÄMTLANDS LÄN</t>
        </is>
      </c>
      <c r="E964" t="inlineStr">
        <is>
          <t>BERG</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18007-2026</t>
        </is>
      </c>
      <c r="B965" s="1" t="n">
        <v>46125.31802083334</v>
      </c>
      <c r="C965" s="1" t="n">
        <v>46139</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26959-2022</t>
        </is>
      </c>
      <c r="B966" s="1" t="n">
        <v>44740.66048611111</v>
      </c>
      <c r="C966" s="1" t="n">
        <v>46139</v>
      </c>
      <c r="D966" t="inlineStr">
        <is>
          <t>JÄMTLANDS LÄN</t>
        </is>
      </c>
      <c r="E966" t="inlineStr">
        <is>
          <t>BERG</t>
        </is>
      </c>
      <c r="G966" t="n">
        <v>2.8</v>
      </c>
      <c r="H966" t="n">
        <v>0</v>
      </c>
      <c r="I966" t="n">
        <v>0</v>
      </c>
      <c r="J966" t="n">
        <v>0</v>
      </c>
      <c r="K966" t="n">
        <v>0</v>
      </c>
      <c r="L966" t="n">
        <v>0</v>
      </c>
      <c r="M966" t="n">
        <v>0</v>
      </c>
      <c r="N966" t="n">
        <v>0</v>
      </c>
      <c r="O966" t="n">
        <v>0</v>
      </c>
      <c r="P966" t="n">
        <v>0</v>
      </c>
      <c r="Q966" t="n">
        <v>0</v>
      </c>
      <c r="R966" s="2" t="inlineStr"/>
    </row>
    <row r="967" ht="15" customHeight="1">
      <c r="A967" t="inlineStr">
        <is>
          <t>A 2855-2025</t>
        </is>
      </c>
      <c r="B967" s="1" t="n">
        <v>45678</v>
      </c>
      <c r="C967" s="1" t="n">
        <v>46139</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43137-2025</t>
        </is>
      </c>
      <c r="B968" s="1" t="n">
        <v>45909.85438657407</v>
      </c>
      <c r="C968" s="1" t="n">
        <v>46139</v>
      </c>
      <c r="D968" t="inlineStr">
        <is>
          <t>JÄMTLANDS LÄN</t>
        </is>
      </c>
      <c r="E968" t="inlineStr">
        <is>
          <t>BERG</t>
        </is>
      </c>
      <c r="F968" t="inlineStr">
        <is>
          <t>Övriga statliga verk och myndigheter</t>
        </is>
      </c>
      <c r="G968" t="n">
        <v>11.6</v>
      </c>
      <c r="H968" t="n">
        <v>0</v>
      </c>
      <c r="I968" t="n">
        <v>0</v>
      </c>
      <c r="J968" t="n">
        <v>0</v>
      </c>
      <c r="K968" t="n">
        <v>0</v>
      </c>
      <c r="L968" t="n">
        <v>0</v>
      </c>
      <c r="M968" t="n">
        <v>0</v>
      </c>
      <c r="N968" t="n">
        <v>0</v>
      </c>
      <c r="O968" t="n">
        <v>0</v>
      </c>
      <c r="P968" t="n">
        <v>0</v>
      </c>
      <c r="Q968" t="n">
        <v>0</v>
      </c>
      <c r="R968" s="2" t="inlineStr"/>
    </row>
    <row r="969" ht="15" customHeight="1">
      <c r="A969" t="inlineStr">
        <is>
          <t>A 11395-2026</t>
        </is>
      </c>
      <c r="B969" s="1" t="n">
        <v>46083.43694444445</v>
      </c>
      <c r="C969" s="1" t="n">
        <v>46139</v>
      </c>
      <c r="D969" t="inlineStr">
        <is>
          <t>JÄMTLANDS LÄN</t>
        </is>
      </c>
      <c r="E969" t="inlineStr">
        <is>
          <t>BERG</t>
        </is>
      </c>
      <c r="G969" t="n">
        <v>8.6</v>
      </c>
      <c r="H969" t="n">
        <v>0</v>
      </c>
      <c r="I969" t="n">
        <v>0</v>
      </c>
      <c r="J969" t="n">
        <v>0</v>
      </c>
      <c r="K969" t="n">
        <v>0</v>
      </c>
      <c r="L969" t="n">
        <v>0</v>
      </c>
      <c r="M969" t="n">
        <v>0</v>
      </c>
      <c r="N969" t="n">
        <v>0</v>
      </c>
      <c r="O969" t="n">
        <v>0</v>
      </c>
      <c r="P969" t="n">
        <v>0</v>
      </c>
      <c r="Q969" t="n">
        <v>0</v>
      </c>
      <c r="R969" s="2" t="inlineStr"/>
    </row>
    <row r="970" ht="15" customHeight="1">
      <c r="A970" t="inlineStr">
        <is>
          <t>A 11409-2026</t>
        </is>
      </c>
      <c r="B970" s="1" t="n">
        <v>46083.4584375</v>
      </c>
      <c r="C970" s="1" t="n">
        <v>46139</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11442-2026</t>
        </is>
      </c>
      <c r="B971" s="1" t="n">
        <v>46083.52256944445</v>
      </c>
      <c r="C971" s="1" t="n">
        <v>46139</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18082-2026</t>
        </is>
      </c>
      <c r="B972" s="1" t="n">
        <v>46125.53168981482</v>
      </c>
      <c r="C972" s="1" t="n">
        <v>46139</v>
      </c>
      <c r="D972" t="inlineStr">
        <is>
          <t>JÄMTLANDS LÄN</t>
        </is>
      </c>
      <c r="E972" t="inlineStr">
        <is>
          <t>BERG</t>
        </is>
      </c>
      <c r="F972" t="inlineStr">
        <is>
          <t>SCA</t>
        </is>
      </c>
      <c r="G972" t="n">
        <v>10.3</v>
      </c>
      <c r="H972" t="n">
        <v>0</v>
      </c>
      <c r="I972" t="n">
        <v>0</v>
      </c>
      <c r="J972" t="n">
        <v>0</v>
      </c>
      <c r="K972" t="n">
        <v>0</v>
      </c>
      <c r="L972" t="n">
        <v>0</v>
      </c>
      <c r="M972" t="n">
        <v>0</v>
      </c>
      <c r="N972" t="n">
        <v>0</v>
      </c>
      <c r="O972" t="n">
        <v>0</v>
      </c>
      <c r="P972" t="n">
        <v>0</v>
      </c>
      <c r="Q972" t="n">
        <v>0</v>
      </c>
      <c r="R972" s="2" t="inlineStr"/>
    </row>
    <row r="973" ht="15" customHeight="1">
      <c r="A973" t="inlineStr">
        <is>
          <t>A 18056-2026</t>
        </is>
      </c>
      <c r="B973" s="1" t="n">
        <v>46125.43604166667</v>
      </c>
      <c r="C973" s="1" t="n">
        <v>46139</v>
      </c>
      <c r="D973" t="inlineStr">
        <is>
          <t>JÄMTLANDS LÄN</t>
        </is>
      </c>
      <c r="E973" t="inlineStr">
        <is>
          <t>BERG</t>
        </is>
      </c>
      <c r="G973" t="n">
        <v>3.4</v>
      </c>
      <c r="H973" t="n">
        <v>0</v>
      </c>
      <c r="I973" t="n">
        <v>0</v>
      </c>
      <c r="J973" t="n">
        <v>0</v>
      </c>
      <c r="K973" t="n">
        <v>0</v>
      </c>
      <c r="L973" t="n">
        <v>0</v>
      </c>
      <c r="M973" t="n">
        <v>0</v>
      </c>
      <c r="N973" t="n">
        <v>0</v>
      </c>
      <c r="O973" t="n">
        <v>0</v>
      </c>
      <c r="P973" t="n">
        <v>0</v>
      </c>
      <c r="Q973" t="n">
        <v>0</v>
      </c>
      <c r="R973" s="2" t="inlineStr"/>
    </row>
    <row r="974" ht="15" customHeight="1">
      <c r="A974" t="inlineStr">
        <is>
          <t>A 11403-2026</t>
        </is>
      </c>
      <c r="B974" s="1" t="n">
        <v>46083.45075231481</v>
      </c>
      <c r="C974" s="1" t="n">
        <v>46139</v>
      </c>
      <c r="D974" t="inlineStr">
        <is>
          <t>JÄMTLANDS LÄN</t>
        </is>
      </c>
      <c r="E974" t="inlineStr">
        <is>
          <t>BERG</t>
        </is>
      </c>
      <c r="G974" t="n">
        <v>0.5</v>
      </c>
      <c r="H974" t="n">
        <v>0</v>
      </c>
      <c r="I974" t="n">
        <v>0</v>
      </c>
      <c r="J974" t="n">
        <v>0</v>
      </c>
      <c r="K974" t="n">
        <v>0</v>
      </c>
      <c r="L974" t="n">
        <v>0</v>
      </c>
      <c r="M974" t="n">
        <v>0</v>
      </c>
      <c r="N974" t="n">
        <v>0</v>
      </c>
      <c r="O974" t="n">
        <v>0</v>
      </c>
      <c r="P974" t="n">
        <v>0</v>
      </c>
      <c r="Q974" t="n">
        <v>0</v>
      </c>
      <c r="R974" s="2" t="inlineStr"/>
    </row>
    <row r="975" ht="15" customHeight="1">
      <c r="A975" t="inlineStr">
        <is>
          <t>A 11408-2026</t>
        </is>
      </c>
      <c r="B975" s="1" t="n">
        <v>46083.45653935185</v>
      </c>
      <c r="C975" s="1" t="n">
        <v>46139</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11418-2026</t>
        </is>
      </c>
      <c r="B976" s="1" t="n">
        <v>46083.47025462963</v>
      </c>
      <c r="C976" s="1" t="n">
        <v>46139</v>
      </c>
      <c r="D976" t="inlineStr">
        <is>
          <t>JÄMTLANDS LÄN</t>
        </is>
      </c>
      <c r="E976" t="inlineStr">
        <is>
          <t>BERG</t>
        </is>
      </c>
      <c r="G976" t="n">
        <v>17.8</v>
      </c>
      <c r="H976" t="n">
        <v>0</v>
      </c>
      <c r="I976" t="n">
        <v>0</v>
      </c>
      <c r="J976" t="n">
        <v>0</v>
      </c>
      <c r="K976" t="n">
        <v>0</v>
      </c>
      <c r="L976" t="n">
        <v>0</v>
      </c>
      <c r="M976" t="n">
        <v>0</v>
      </c>
      <c r="N976" t="n">
        <v>0</v>
      </c>
      <c r="O976" t="n">
        <v>0</v>
      </c>
      <c r="P976" t="n">
        <v>0</v>
      </c>
      <c r="Q976" t="n">
        <v>0</v>
      </c>
      <c r="R976" s="2" t="inlineStr"/>
    </row>
    <row r="977" ht="15" customHeight="1">
      <c r="A977" t="inlineStr">
        <is>
          <t>A 57905-2024</t>
        </is>
      </c>
      <c r="B977" s="1" t="n">
        <v>45631.48989583334</v>
      </c>
      <c r="C977" s="1" t="n">
        <v>46139</v>
      </c>
      <c r="D977" t="inlineStr">
        <is>
          <t>JÄMTLANDS LÄN</t>
        </is>
      </c>
      <c r="E977" t="inlineStr">
        <is>
          <t>BERG</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16362-2026</t>
        </is>
      </c>
      <c r="B978" s="1" t="n">
        <v>46111</v>
      </c>
      <c r="C978" s="1" t="n">
        <v>46139</v>
      </c>
      <c r="D978" t="inlineStr">
        <is>
          <t>JÄMTLANDS LÄN</t>
        </is>
      </c>
      <c r="E978" t="inlineStr">
        <is>
          <t>BERG</t>
        </is>
      </c>
      <c r="G978" t="n">
        <v>11.9</v>
      </c>
      <c r="H978" t="n">
        <v>0</v>
      </c>
      <c r="I978" t="n">
        <v>0</v>
      </c>
      <c r="J978" t="n">
        <v>0</v>
      </c>
      <c r="K978" t="n">
        <v>0</v>
      </c>
      <c r="L978" t="n">
        <v>0</v>
      </c>
      <c r="M978" t="n">
        <v>0</v>
      </c>
      <c r="N978" t="n">
        <v>0</v>
      </c>
      <c r="O978" t="n">
        <v>0</v>
      </c>
      <c r="P978" t="n">
        <v>0</v>
      </c>
      <c r="Q978" t="n">
        <v>0</v>
      </c>
      <c r="R978" s="2" t="inlineStr"/>
    </row>
    <row r="979" ht="15" customHeight="1">
      <c r="A979" t="inlineStr">
        <is>
          <t>A 11566-2026</t>
        </is>
      </c>
      <c r="B979" s="1" t="n">
        <v>46084</v>
      </c>
      <c r="C979" s="1" t="n">
        <v>46139</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11399-2026</t>
        </is>
      </c>
      <c r="B980" s="1" t="n">
        <v>46083.4437962963</v>
      </c>
      <c r="C980" s="1" t="n">
        <v>46139</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17631-2026</t>
        </is>
      </c>
      <c r="B981" s="1" t="n">
        <v>46121</v>
      </c>
      <c r="C981" s="1" t="n">
        <v>46139</v>
      </c>
      <c r="D981" t="inlineStr">
        <is>
          <t>JÄMTLANDS LÄN</t>
        </is>
      </c>
      <c r="E981" t="inlineStr">
        <is>
          <t>BERG</t>
        </is>
      </c>
      <c r="G981" t="n">
        <v>2.6</v>
      </c>
      <c r="H981" t="n">
        <v>0</v>
      </c>
      <c r="I981" t="n">
        <v>0</v>
      </c>
      <c r="J981" t="n">
        <v>0</v>
      </c>
      <c r="K981" t="n">
        <v>0</v>
      </c>
      <c r="L981" t="n">
        <v>0</v>
      </c>
      <c r="M981" t="n">
        <v>0</v>
      </c>
      <c r="N981" t="n">
        <v>0</v>
      </c>
      <c r="O981" t="n">
        <v>0</v>
      </c>
      <c r="P981" t="n">
        <v>0</v>
      </c>
      <c r="Q981" t="n">
        <v>0</v>
      </c>
      <c r="R981" s="2" t="inlineStr"/>
    </row>
    <row r="982" ht="15" customHeight="1">
      <c r="A982" t="inlineStr">
        <is>
          <t>A 11889-2026</t>
        </is>
      </c>
      <c r="B982" s="1" t="n">
        <v>46085.51912037037</v>
      </c>
      <c r="C982" s="1" t="n">
        <v>46139</v>
      </c>
      <c r="D982" t="inlineStr">
        <is>
          <t>JÄMTLANDS LÄN</t>
        </is>
      </c>
      <c r="E982" t="inlineStr">
        <is>
          <t>BERG</t>
        </is>
      </c>
      <c r="G982" t="n">
        <v>2.9</v>
      </c>
      <c r="H982" t="n">
        <v>0</v>
      </c>
      <c r="I982" t="n">
        <v>0</v>
      </c>
      <c r="J982" t="n">
        <v>0</v>
      </c>
      <c r="K982" t="n">
        <v>0</v>
      </c>
      <c r="L982" t="n">
        <v>0</v>
      </c>
      <c r="M982" t="n">
        <v>0</v>
      </c>
      <c r="N982" t="n">
        <v>0</v>
      </c>
      <c r="O982" t="n">
        <v>0</v>
      </c>
      <c r="P982" t="n">
        <v>0</v>
      </c>
      <c r="Q982" t="n">
        <v>0</v>
      </c>
      <c r="R982" s="2" t="inlineStr"/>
    </row>
    <row r="983" ht="15" customHeight="1">
      <c r="A983" t="inlineStr">
        <is>
          <t>A 11923-2026</t>
        </is>
      </c>
      <c r="B983" s="1" t="n">
        <v>46085.57335648148</v>
      </c>
      <c r="C983" s="1" t="n">
        <v>46139</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11978-2026</t>
        </is>
      </c>
      <c r="B984" s="1" t="n">
        <v>46085.63597222222</v>
      </c>
      <c r="C984" s="1" t="n">
        <v>46139</v>
      </c>
      <c r="D984" t="inlineStr">
        <is>
          <t>JÄMTLANDS LÄN</t>
        </is>
      </c>
      <c r="E984" t="inlineStr">
        <is>
          <t>BERG</t>
        </is>
      </c>
      <c r="F984" t="inlineStr">
        <is>
          <t>SCA</t>
        </is>
      </c>
      <c r="G984" t="n">
        <v>15.6</v>
      </c>
      <c r="H984" t="n">
        <v>0</v>
      </c>
      <c r="I984" t="n">
        <v>0</v>
      </c>
      <c r="J984" t="n">
        <v>0</v>
      </c>
      <c r="K984" t="n">
        <v>0</v>
      </c>
      <c r="L984" t="n">
        <v>0</v>
      </c>
      <c r="M984" t="n">
        <v>0</v>
      </c>
      <c r="N984" t="n">
        <v>0</v>
      </c>
      <c r="O984" t="n">
        <v>0</v>
      </c>
      <c r="P984" t="n">
        <v>0</v>
      </c>
      <c r="Q984" t="n">
        <v>0</v>
      </c>
      <c r="R984" s="2" t="inlineStr"/>
    </row>
    <row r="985" ht="15" customHeight="1">
      <c r="A985" t="inlineStr">
        <is>
          <t>A 18628-2026</t>
        </is>
      </c>
      <c r="B985" s="1" t="n">
        <v>46127.86283564815</v>
      </c>
      <c r="C985" s="1" t="n">
        <v>46139</v>
      </c>
      <c r="D985" t="inlineStr">
        <is>
          <t>JÄMTLANDS LÄN</t>
        </is>
      </c>
      <c r="E985" t="inlineStr">
        <is>
          <t>BERG</t>
        </is>
      </c>
      <c r="G985" t="n">
        <v>1.8</v>
      </c>
      <c r="H985" t="n">
        <v>0</v>
      </c>
      <c r="I985" t="n">
        <v>0</v>
      </c>
      <c r="J985" t="n">
        <v>0</v>
      </c>
      <c r="K985" t="n">
        <v>0</v>
      </c>
      <c r="L985" t="n">
        <v>0</v>
      </c>
      <c r="M985" t="n">
        <v>0</v>
      </c>
      <c r="N985" t="n">
        <v>0</v>
      </c>
      <c r="O985" t="n">
        <v>0</v>
      </c>
      <c r="P985" t="n">
        <v>0</v>
      </c>
      <c r="Q985" t="n">
        <v>0</v>
      </c>
      <c r="R985" s="2" t="inlineStr"/>
    </row>
    <row r="986" ht="15" customHeight="1">
      <c r="A986" t="inlineStr">
        <is>
          <t>A 17266-2025</t>
        </is>
      </c>
      <c r="B986" s="1" t="n">
        <v>45756</v>
      </c>
      <c r="C986" s="1" t="n">
        <v>46139</v>
      </c>
      <c r="D986" t="inlineStr">
        <is>
          <t>JÄMTLANDS LÄN</t>
        </is>
      </c>
      <c r="E986" t="inlineStr">
        <is>
          <t>BERG</t>
        </is>
      </c>
      <c r="G986" t="n">
        <v>20.1</v>
      </c>
      <c r="H986" t="n">
        <v>0</v>
      </c>
      <c r="I986" t="n">
        <v>0</v>
      </c>
      <c r="J986" t="n">
        <v>0</v>
      </c>
      <c r="K986" t="n">
        <v>0</v>
      </c>
      <c r="L986" t="n">
        <v>0</v>
      </c>
      <c r="M986" t="n">
        <v>0</v>
      </c>
      <c r="N986" t="n">
        <v>0</v>
      </c>
      <c r="O986" t="n">
        <v>0</v>
      </c>
      <c r="P986" t="n">
        <v>0</v>
      </c>
      <c r="Q986" t="n">
        <v>0</v>
      </c>
      <c r="R986" s="2" t="inlineStr"/>
    </row>
    <row r="987" ht="15" customHeight="1">
      <c r="A987" t="inlineStr">
        <is>
          <t>A 11933-2026</t>
        </is>
      </c>
      <c r="B987" s="1" t="n">
        <v>46085.58731481482</v>
      </c>
      <c r="C987" s="1" t="n">
        <v>46139</v>
      </c>
      <c r="D987" t="inlineStr">
        <is>
          <t>JÄMTLANDS LÄN</t>
        </is>
      </c>
      <c r="E987" t="inlineStr">
        <is>
          <t>BERG</t>
        </is>
      </c>
      <c r="G987" t="n">
        <v>5.8</v>
      </c>
      <c r="H987" t="n">
        <v>0</v>
      </c>
      <c r="I987" t="n">
        <v>0</v>
      </c>
      <c r="J987" t="n">
        <v>0</v>
      </c>
      <c r="K987" t="n">
        <v>0</v>
      </c>
      <c r="L987" t="n">
        <v>0</v>
      </c>
      <c r="M987" t="n">
        <v>0</v>
      </c>
      <c r="N987" t="n">
        <v>0</v>
      </c>
      <c r="O987" t="n">
        <v>0</v>
      </c>
      <c r="P987" t="n">
        <v>0</v>
      </c>
      <c r="Q987" t="n">
        <v>0</v>
      </c>
      <c r="R987" s="2" t="inlineStr"/>
    </row>
    <row r="988" ht="15" customHeight="1">
      <c r="A988" t="inlineStr">
        <is>
          <t>A 11950-2026</t>
        </is>
      </c>
      <c r="B988" s="1" t="n">
        <v>46085.60175925926</v>
      </c>
      <c r="C988" s="1" t="n">
        <v>46139</v>
      </c>
      <c r="D988" t="inlineStr">
        <is>
          <t>JÄMTLANDS LÄN</t>
        </is>
      </c>
      <c r="E988" t="inlineStr">
        <is>
          <t>BERG</t>
        </is>
      </c>
      <c r="G988" t="n">
        <v>2.1</v>
      </c>
      <c r="H988" t="n">
        <v>0</v>
      </c>
      <c r="I988" t="n">
        <v>0</v>
      </c>
      <c r="J988" t="n">
        <v>0</v>
      </c>
      <c r="K988" t="n">
        <v>0</v>
      </c>
      <c r="L988" t="n">
        <v>0</v>
      </c>
      <c r="M988" t="n">
        <v>0</v>
      </c>
      <c r="N988" t="n">
        <v>0</v>
      </c>
      <c r="O988" t="n">
        <v>0</v>
      </c>
      <c r="P988" t="n">
        <v>0</v>
      </c>
      <c r="Q988" t="n">
        <v>0</v>
      </c>
      <c r="R988" s="2" t="inlineStr"/>
    </row>
    <row r="989" ht="15" customHeight="1">
      <c r="A989" t="inlineStr">
        <is>
          <t>A 11872-2026</t>
        </is>
      </c>
      <c r="B989" s="1" t="n">
        <v>46085.49086805555</v>
      </c>
      <c r="C989" s="1" t="n">
        <v>46139</v>
      </c>
      <c r="D989" t="inlineStr">
        <is>
          <t>JÄMTLANDS LÄN</t>
        </is>
      </c>
      <c r="E989" t="inlineStr">
        <is>
          <t>BERG</t>
        </is>
      </c>
      <c r="G989" t="n">
        <v>23.6</v>
      </c>
      <c r="H989" t="n">
        <v>0</v>
      </c>
      <c r="I989" t="n">
        <v>0</v>
      </c>
      <c r="J989" t="n">
        <v>0</v>
      </c>
      <c r="K989" t="n">
        <v>0</v>
      </c>
      <c r="L989" t="n">
        <v>0</v>
      </c>
      <c r="M989" t="n">
        <v>0</v>
      </c>
      <c r="N989" t="n">
        <v>0</v>
      </c>
      <c r="O989" t="n">
        <v>0</v>
      </c>
      <c r="P989" t="n">
        <v>0</v>
      </c>
      <c r="Q989" t="n">
        <v>0</v>
      </c>
      <c r="R989" s="2" t="inlineStr"/>
    </row>
    <row r="990" ht="15" customHeight="1">
      <c r="A990" t="inlineStr">
        <is>
          <t>A 18526-2026</t>
        </is>
      </c>
      <c r="B990" s="1" t="n">
        <v>46127.53778935185</v>
      </c>
      <c r="C990" s="1" t="n">
        <v>46139</v>
      </c>
      <c r="D990" t="inlineStr">
        <is>
          <t>JÄMTLANDS LÄN</t>
        </is>
      </c>
      <c r="E990" t="inlineStr">
        <is>
          <t>BERG</t>
        </is>
      </c>
      <c r="G990" t="n">
        <v>5.1</v>
      </c>
      <c r="H990" t="n">
        <v>0</v>
      </c>
      <c r="I990" t="n">
        <v>0</v>
      </c>
      <c r="J990" t="n">
        <v>0</v>
      </c>
      <c r="K990" t="n">
        <v>0</v>
      </c>
      <c r="L990" t="n">
        <v>0</v>
      </c>
      <c r="M990" t="n">
        <v>0</v>
      </c>
      <c r="N990" t="n">
        <v>0</v>
      </c>
      <c r="O990" t="n">
        <v>0</v>
      </c>
      <c r="P990" t="n">
        <v>0</v>
      </c>
      <c r="Q990" t="n">
        <v>0</v>
      </c>
      <c r="R990" s="2" t="inlineStr"/>
    </row>
    <row r="991" ht="15" customHeight="1">
      <c r="A991" t="inlineStr">
        <is>
          <t>A 18597-2026</t>
        </is>
      </c>
      <c r="B991" s="1" t="n">
        <v>46127.65699074074</v>
      </c>
      <c r="C991" s="1" t="n">
        <v>46139</v>
      </c>
      <c r="D991" t="inlineStr">
        <is>
          <t>JÄMTLANDS LÄN</t>
        </is>
      </c>
      <c r="E991" t="inlineStr">
        <is>
          <t>BERG</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18600-2026</t>
        </is>
      </c>
      <c r="B992" s="1" t="n">
        <v>46127.65747685185</v>
      </c>
      <c r="C992" s="1" t="n">
        <v>46139</v>
      </c>
      <c r="D992" t="inlineStr">
        <is>
          <t>JÄMTLANDS LÄN</t>
        </is>
      </c>
      <c r="E992" t="inlineStr">
        <is>
          <t>BERG</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18601-2026</t>
        </is>
      </c>
      <c r="B993" s="1" t="n">
        <v>46127.65760416666</v>
      </c>
      <c r="C993" s="1" t="n">
        <v>46139</v>
      </c>
      <c r="D993" t="inlineStr">
        <is>
          <t>JÄMTLANDS LÄN</t>
        </is>
      </c>
      <c r="E993" t="inlineStr">
        <is>
          <t>BERG</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18728-2026</t>
        </is>
      </c>
      <c r="B994" s="1" t="n">
        <v>46128.49013888889</v>
      </c>
      <c r="C994" s="1" t="n">
        <v>46139</v>
      </c>
      <c r="D994" t="inlineStr">
        <is>
          <t>JÄMTLANDS LÄN</t>
        </is>
      </c>
      <c r="E994" t="inlineStr">
        <is>
          <t>BERG</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12043-2026</t>
        </is>
      </c>
      <c r="B995" s="1" t="n">
        <v>46086.34070601852</v>
      </c>
      <c r="C995" s="1" t="n">
        <v>46139</v>
      </c>
      <c r="D995" t="inlineStr">
        <is>
          <t>JÄMTLANDS LÄN</t>
        </is>
      </c>
      <c r="E995" t="inlineStr">
        <is>
          <t>BERG</t>
        </is>
      </c>
      <c r="G995" t="n">
        <v>2.8</v>
      </c>
      <c r="H995" t="n">
        <v>0</v>
      </c>
      <c r="I995" t="n">
        <v>0</v>
      </c>
      <c r="J995" t="n">
        <v>0</v>
      </c>
      <c r="K995" t="n">
        <v>0</v>
      </c>
      <c r="L995" t="n">
        <v>0</v>
      </c>
      <c r="M995" t="n">
        <v>0</v>
      </c>
      <c r="N995" t="n">
        <v>0</v>
      </c>
      <c r="O995" t="n">
        <v>0</v>
      </c>
      <c r="P995" t="n">
        <v>0</v>
      </c>
      <c r="Q995" t="n">
        <v>0</v>
      </c>
      <c r="R995" s="2" t="inlineStr"/>
    </row>
    <row r="996" ht="15" customHeight="1">
      <c r="A996" t="inlineStr">
        <is>
          <t>A 11971-2026</t>
        </is>
      </c>
      <c r="B996" s="1" t="n">
        <v>46085.62383101852</v>
      </c>
      <c r="C996" s="1" t="n">
        <v>46139</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11990-2026</t>
        </is>
      </c>
      <c r="B997" s="1" t="n">
        <v>46085.65671296296</v>
      </c>
      <c r="C997" s="1" t="n">
        <v>46139</v>
      </c>
      <c r="D997" t="inlineStr">
        <is>
          <t>JÄMTLANDS LÄN</t>
        </is>
      </c>
      <c r="E997" t="inlineStr">
        <is>
          <t>BERG</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12038-2026</t>
        </is>
      </c>
      <c r="B998" s="1" t="n">
        <v>46086.32611111111</v>
      </c>
      <c r="C998" s="1" t="n">
        <v>46139</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18598-2026</t>
        </is>
      </c>
      <c r="B999" s="1" t="n">
        <v>46127.65716435185</v>
      </c>
      <c r="C999" s="1" t="n">
        <v>46139</v>
      </c>
      <c r="D999" t="inlineStr">
        <is>
          <t>JÄMTLANDS LÄN</t>
        </is>
      </c>
      <c r="E999" t="inlineStr">
        <is>
          <t>BERG</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41782-2024</t>
        </is>
      </c>
      <c r="B1000" s="1" t="n">
        <v>45561</v>
      </c>
      <c r="C1000" s="1" t="n">
        <v>46139</v>
      </c>
      <c r="D1000" t="inlineStr">
        <is>
          <t>JÄMTLANDS LÄN</t>
        </is>
      </c>
      <c r="E1000" t="inlineStr">
        <is>
          <t>BERG</t>
        </is>
      </c>
      <c r="F1000" t="inlineStr">
        <is>
          <t>SCA</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18605-2026</t>
        </is>
      </c>
      <c r="B1001" s="1" t="n">
        <v>46127.65814814815</v>
      </c>
      <c r="C1001" s="1" t="n">
        <v>46139</v>
      </c>
      <c r="D1001" t="inlineStr">
        <is>
          <t>JÄMTLANDS LÄN</t>
        </is>
      </c>
      <c r="E1001" t="inlineStr">
        <is>
          <t>BERG</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12037-2026</t>
        </is>
      </c>
      <c r="B1002" s="1" t="n">
        <v>46086.32107638889</v>
      </c>
      <c r="C1002" s="1" t="n">
        <v>46139</v>
      </c>
      <c r="D1002" t="inlineStr">
        <is>
          <t>JÄMTLANDS LÄN</t>
        </is>
      </c>
      <c r="E1002" t="inlineStr">
        <is>
          <t>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10465-2023</t>
        </is>
      </c>
      <c r="B1003" s="1" t="n">
        <v>44987.60319444445</v>
      </c>
      <c r="C1003" s="1" t="n">
        <v>46139</v>
      </c>
      <c r="D1003" t="inlineStr">
        <is>
          <t>JÄMTLANDS LÄN</t>
        </is>
      </c>
      <c r="E1003" t="inlineStr">
        <is>
          <t>BERG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12562-2026</t>
        </is>
      </c>
      <c r="B1004" s="1" t="n">
        <v>46090</v>
      </c>
      <c r="C1004" s="1" t="n">
        <v>46139</v>
      </c>
      <c r="D1004" t="inlineStr">
        <is>
          <t>JÄMTLANDS LÄN</t>
        </is>
      </c>
      <c r="E1004" t="inlineStr">
        <is>
          <t>BERG</t>
        </is>
      </c>
      <c r="F1004" t="inlineStr">
        <is>
          <t>Kyrkan</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18551-2025</t>
        </is>
      </c>
      <c r="B1005" s="1" t="n">
        <v>45763.43650462963</v>
      </c>
      <c r="C1005" s="1" t="n">
        <v>46139</v>
      </c>
      <c r="D1005" t="inlineStr">
        <is>
          <t>JÄMTLANDS LÄN</t>
        </is>
      </c>
      <c r="E1005" t="inlineStr">
        <is>
          <t>BERG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31131-2024</t>
        </is>
      </c>
      <c r="B1006" s="1" t="n">
        <v>45502</v>
      </c>
      <c r="C1006" s="1" t="n">
        <v>46139</v>
      </c>
      <c r="D1006" t="inlineStr">
        <is>
          <t>JÄMTLANDS LÄN</t>
        </is>
      </c>
      <c r="E1006" t="inlineStr">
        <is>
          <t>BERG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31154-2024</t>
        </is>
      </c>
      <c r="B1007" s="1" t="n">
        <v>45503.32976851852</v>
      </c>
      <c r="C1007" s="1" t="n">
        <v>46139</v>
      </c>
      <c r="D1007" t="inlineStr">
        <is>
          <t>JÄMTLANDS LÄN</t>
        </is>
      </c>
      <c r="E1007" t="inlineStr">
        <is>
          <t>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17929-2024</t>
        </is>
      </c>
      <c r="B1008" s="1" t="n">
        <v>45419.60266203704</v>
      </c>
      <c r="C1008" s="1" t="n">
        <v>46139</v>
      </c>
      <c r="D1008" t="inlineStr">
        <is>
          <t>JÄMTLANDS LÄN</t>
        </is>
      </c>
      <c r="E1008" t="inlineStr">
        <is>
          <t>BERG</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12196-2026</t>
        </is>
      </c>
      <c r="B1009" s="1" t="n">
        <v>46086.87208333334</v>
      </c>
      <c r="C1009" s="1" t="n">
        <v>46139</v>
      </c>
      <c r="D1009" t="inlineStr">
        <is>
          <t>JÄMTLANDS LÄN</t>
        </is>
      </c>
      <c r="E1009" t="inlineStr">
        <is>
          <t>BERG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4337-2026</t>
        </is>
      </c>
      <c r="B1010" s="1" t="n">
        <v>46045</v>
      </c>
      <c r="C1010" s="1" t="n">
        <v>46139</v>
      </c>
      <c r="D1010" t="inlineStr">
        <is>
          <t>JÄMTLANDS LÄN</t>
        </is>
      </c>
      <c r="E1010" t="inlineStr">
        <is>
          <t>BERG</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12571-2026</t>
        </is>
      </c>
      <c r="B1011" s="1" t="n">
        <v>46090.65715277778</v>
      </c>
      <c r="C1011" s="1" t="n">
        <v>46139</v>
      </c>
      <c r="D1011" t="inlineStr">
        <is>
          <t>JÄMTLANDS LÄN</t>
        </is>
      </c>
      <c r="E1011" t="inlineStr">
        <is>
          <t>BERG</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7447-2022</t>
        </is>
      </c>
      <c r="B1012" s="1" t="n">
        <v>44606</v>
      </c>
      <c r="C1012" s="1" t="n">
        <v>46139</v>
      </c>
      <c r="D1012" t="inlineStr">
        <is>
          <t>JÄMTLANDS LÄN</t>
        </is>
      </c>
      <c r="E1012" t="inlineStr">
        <is>
          <t>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41105-2023</t>
        </is>
      </c>
      <c r="B1013" s="1" t="n">
        <v>45170</v>
      </c>
      <c r="C1013" s="1" t="n">
        <v>46139</v>
      </c>
      <c r="D1013" t="inlineStr">
        <is>
          <t>JÄMTLANDS LÄN</t>
        </is>
      </c>
      <c r="E1013" t="inlineStr">
        <is>
          <t>BERG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61980-2024</t>
        </is>
      </c>
      <c r="B1014" s="1" t="n">
        <v>45653.66269675926</v>
      </c>
      <c r="C1014" s="1" t="n">
        <v>46139</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19563-2026</t>
        </is>
      </c>
      <c r="B1015" s="1" t="n">
        <v>46134.42768518518</v>
      </c>
      <c r="C1015" s="1" t="n">
        <v>46139</v>
      </c>
      <c r="D1015" t="inlineStr">
        <is>
          <t>JÄMTLANDS LÄN</t>
        </is>
      </c>
      <c r="E1015" t="inlineStr">
        <is>
          <t>BERG</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18112-2024</t>
        </is>
      </c>
      <c r="B1016" s="1" t="n">
        <v>45420.49851851852</v>
      </c>
      <c r="C1016" s="1" t="n">
        <v>46139</v>
      </c>
      <c r="D1016" t="inlineStr">
        <is>
          <t>JÄMTLANDS LÄN</t>
        </is>
      </c>
      <c r="E1016" t="inlineStr">
        <is>
          <t>BERG</t>
        </is>
      </c>
      <c r="F1016" t="inlineStr">
        <is>
          <t>Holmen skog AB</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19562-2026</t>
        </is>
      </c>
      <c r="B1017" s="1" t="n">
        <v>46134.42752314815</v>
      </c>
      <c r="C1017" s="1" t="n">
        <v>46139</v>
      </c>
      <c r="D1017" t="inlineStr">
        <is>
          <t>JÄMTLANDS LÄN</t>
        </is>
      </c>
      <c r="E1017" t="inlineStr">
        <is>
          <t>BERG</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19590-2026</t>
        </is>
      </c>
      <c r="B1018" s="1" t="n">
        <v>46134.46960648148</v>
      </c>
      <c r="C1018" s="1" t="n">
        <v>46139</v>
      </c>
      <c r="D1018" t="inlineStr">
        <is>
          <t>JÄMTLANDS LÄN</t>
        </is>
      </c>
      <c r="E1018" t="inlineStr">
        <is>
          <t>BERG</t>
        </is>
      </c>
      <c r="F1018" t="inlineStr">
        <is>
          <t>SCA</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13436-2024</t>
        </is>
      </c>
      <c r="B1019" s="1" t="n">
        <v>45387.4865625</v>
      </c>
      <c r="C1019" s="1" t="n">
        <v>46139</v>
      </c>
      <c r="D1019" t="inlineStr">
        <is>
          <t>JÄMTLANDS LÄN</t>
        </is>
      </c>
      <c r="E1019" t="inlineStr">
        <is>
          <t>BERG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12979-2026</t>
        </is>
      </c>
      <c r="B1020" s="1" t="n">
        <v>46092.65782407407</v>
      </c>
      <c r="C1020" s="1" t="n">
        <v>46139</v>
      </c>
      <c r="D1020" t="inlineStr">
        <is>
          <t>JÄMTLANDS LÄN</t>
        </is>
      </c>
      <c r="E1020" t="inlineStr">
        <is>
          <t>BERG</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12671-2026</t>
        </is>
      </c>
      <c r="B1021" s="1" t="n">
        <v>46091.53453703703</v>
      </c>
      <c r="C1021" s="1" t="n">
        <v>46139</v>
      </c>
      <c r="D1021" t="inlineStr">
        <is>
          <t>JÄMTLANDS LÄN</t>
        </is>
      </c>
      <c r="E1021" t="inlineStr">
        <is>
          <t>BERG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18917-2026</t>
        </is>
      </c>
      <c r="B1022" s="1" t="n">
        <v>46129.51339120371</v>
      </c>
      <c r="C1022" s="1" t="n">
        <v>46139</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46139</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28232-2025</t>
        </is>
      </c>
      <c r="B1024" s="1" t="n">
        <v>45818.48989583334</v>
      </c>
      <c r="C1024" s="1" t="n">
        <v>46139</v>
      </c>
      <c r="D1024" t="inlineStr">
        <is>
          <t>JÄMTLANDS LÄN</t>
        </is>
      </c>
      <c r="E1024" t="inlineStr">
        <is>
          <t>BERG</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27603-2025</t>
        </is>
      </c>
      <c r="B1025" s="1" t="n">
        <v>45813.53174768519</v>
      </c>
      <c r="C1025" s="1" t="n">
        <v>46139</v>
      </c>
      <c r="D1025" t="inlineStr">
        <is>
          <t>JÄMTLANDS LÄN</t>
        </is>
      </c>
      <c r="E1025" t="inlineStr">
        <is>
          <t>BERG</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20008-2026</t>
        </is>
      </c>
      <c r="B1026" s="1" t="n">
        <v>46136.48284722222</v>
      </c>
      <c r="C1026" s="1" t="n">
        <v>46139</v>
      </c>
      <c r="D1026" t="inlineStr">
        <is>
          <t>JÄMTLANDS LÄN</t>
        </is>
      </c>
      <c r="E1026" t="inlineStr">
        <is>
          <t>BERG</t>
        </is>
      </c>
      <c r="F1026" t="inlineStr">
        <is>
          <t>Holmen skog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20011-2026</t>
        </is>
      </c>
      <c r="B1027" s="1" t="n">
        <v>46136.48600694445</v>
      </c>
      <c r="C1027" s="1" t="n">
        <v>46139</v>
      </c>
      <c r="D1027" t="inlineStr">
        <is>
          <t>JÄMTLANDS LÄN</t>
        </is>
      </c>
      <c r="E1027" t="inlineStr">
        <is>
          <t>BERG</t>
        </is>
      </c>
      <c r="F1027" t="inlineStr">
        <is>
          <t>Holmen skog AB</t>
        </is>
      </c>
      <c r="G1027" t="n">
        <v>32.3</v>
      </c>
      <c r="H1027" t="n">
        <v>0</v>
      </c>
      <c r="I1027" t="n">
        <v>0</v>
      </c>
      <c r="J1027" t="n">
        <v>0</v>
      </c>
      <c r="K1027" t="n">
        <v>0</v>
      </c>
      <c r="L1027" t="n">
        <v>0</v>
      </c>
      <c r="M1027" t="n">
        <v>0</v>
      </c>
      <c r="N1027" t="n">
        <v>0</v>
      </c>
      <c r="O1027" t="n">
        <v>0</v>
      </c>
      <c r="P1027" t="n">
        <v>0</v>
      </c>
      <c r="Q1027" t="n">
        <v>0</v>
      </c>
      <c r="R1027" s="2" t="inlineStr"/>
    </row>
    <row r="1028" ht="15" customHeight="1">
      <c r="A1028" t="inlineStr">
        <is>
          <t>A 12736-2026</t>
        </is>
      </c>
      <c r="B1028" s="1" t="n">
        <v>46091.63627314815</v>
      </c>
      <c r="C1028" s="1" t="n">
        <v>46139</v>
      </c>
      <c r="D1028" t="inlineStr">
        <is>
          <t>JÄMTLANDS LÄN</t>
        </is>
      </c>
      <c r="E1028" t="inlineStr">
        <is>
          <t>BERG</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48250-2025</t>
        </is>
      </c>
      <c r="B1029" s="1" t="n">
        <v>45933.55259259259</v>
      </c>
      <c r="C1029" s="1" t="n">
        <v>46139</v>
      </c>
      <c r="D1029" t="inlineStr">
        <is>
          <t>JÄMTLANDS LÄN</t>
        </is>
      </c>
      <c r="E1029" t="inlineStr">
        <is>
          <t>BERG</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13053-2026</t>
        </is>
      </c>
      <c r="B1030" s="1" t="n">
        <v>46093.3452662037</v>
      </c>
      <c r="C1030" s="1" t="n">
        <v>46139</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20043-2026</t>
        </is>
      </c>
      <c r="B1031" s="1" t="n">
        <v>46136.55988425926</v>
      </c>
      <c r="C1031" s="1" t="n">
        <v>46139</v>
      </c>
      <c r="D1031" t="inlineStr">
        <is>
          <t>JÄMTLANDS LÄN</t>
        </is>
      </c>
      <c r="E1031" t="inlineStr">
        <is>
          <t>BERG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20071-2026</t>
        </is>
      </c>
      <c r="B1032" s="1" t="n">
        <v>46136.59493055556</v>
      </c>
      <c r="C1032" s="1" t="n">
        <v>46139</v>
      </c>
      <c r="D1032" t="inlineStr">
        <is>
          <t>JÄMTLANDS LÄN</t>
        </is>
      </c>
      <c r="E1032" t="inlineStr">
        <is>
          <t>BERG</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19991-2026</t>
        </is>
      </c>
      <c r="B1033" s="1" t="n">
        <v>46136.45884259259</v>
      </c>
      <c r="C1033" s="1" t="n">
        <v>46139</v>
      </c>
      <c r="D1033" t="inlineStr">
        <is>
          <t>JÄMTLANDS LÄN</t>
        </is>
      </c>
      <c r="E1033" t="inlineStr">
        <is>
          <t>BERG</t>
        </is>
      </c>
      <c r="F1033" t="inlineStr">
        <is>
          <t>Holmen skog AB</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19992-2026</t>
        </is>
      </c>
      <c r="B1034" s="1" t="n">
        <v>46136.46076388889</v>
      </c>
      <c r="C1034" s="1" t="n">
        <v>46139</v>
      </c>
      <c r="D1034" t="inlineStr">
        <is>
          <t>JÄMTLANDS LÄN</t>
        </is>
      </c>
      <c r="E1034" t="inlineStr">
        <is>
          <t>BERG</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20034-2026</t>
        </is>
      </c>
      <c r="B1035" s="1" t="n">
        <v>46136.55277777778</v>
      </c>
      <c r="C1035" s="1" t="n">
        <v>46139</v>
      </c>
      <c r="D1035" t="inlineStr">
        <is>
          <t>JÄMTLANDS LÄN</t>
        </is>
      </c>
      <c r="E1035" t="inlineStr">
        <is>
          <t>BERG</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13054-2026</t>
        </is>
      </c>
      <c r="B1036" s="1" t="n">
        <v>46093.34547453704</v>
      </c>
      <c r="C1036" s="1" t="n">
        <v>46139</v>
      </c>
      <c r="D1036" t="inlineStr">
        <is>
          <t>JÄMTLANDS LÄN</t>
        </is>
      </c>
      <c r="E1036" t="inlineStr">
        <is>
          <t>BERG</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20051-2026</t>
        </is>
      </c>
      <c r="B1037" s="1" t="n">
        <v>46136.57020833333</v>
      </c>
      <c r="C1037" s="1" t="n">
        <v>46139</v>
      </c>
      <c r="D1037" t="inlineStr">
        <is>
          <t>JÄMTLANDS LÄN</t>
        </is>
      </c>
      <c r="E1037" t="inlineStr">
        <is>
          <t>BERG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37066-2025</t>
        </is>
      </c>
      <c r="B1038" s="1" t="n">
        <v>45875.3862962963</v>
      </c>
      <c r="C1038" s="1" t="n">
        <v>46139</v>
      </c>
      <c r="D1038" t="inlineStr">
        <is>
          <t>JÄMTLANDS LÄN</t>
        </is>
      </c>
      <c r="E1038" t="inlineStr">
        <is>
          <t>BERG</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20097-2026</t>
        </is>
      </c>
      <c r="B1039" s="1" t="n">
        <v>46136.63097222222</v>
      </c>
      <c r="C1039" s="1" t="n">
        <v>46139</v>
      </c>
      <c r="D1039" t="inlineStr">
        <is>
          <t>JÄMTLANDS LÄN</t>
        </is>
      </c>
      <c r="E1039" t="inlineStr">
        <is>
          <t>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13055-2026</t>
        </is>
      </c>
      <c r="B1040" s="1" t="n">
        <v>46093.34563657407</v>
      </c>
      <c r="C1040" s="1" t="n">
        <v>46139</v>
      </c>
      <c r="D1040" t="inlineStr">
        <is>
          <t>JÄMTLANDS LÄN</t>
        </is>
      </c>
      <c r="E1040" t="inlineStr">
        <is>
          <t>BERG</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13069-2026</t>
        </is>
      </c>
      <c r="B1041" s="1" t="n">
        <v>46093.36542824074</v>
      </c>
      <c r="C1041" s="1" t="n">
        <v>46139</v>
      </c>
      <c r="D1041" t="inlineStr">
        <is>
          <t>JÄMTLANDS LÄN</t>
        </is>
      </c>
      <c r="E1041" t="inlineStr">
        <is>
          <t>BERG</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4527-2025</t>
        </is>
      </c>
      <c r="B1042" s="1" t="n">
        <v>45686</v>
      </c>
      <c r="C1042" s="1" t="n">
        <v>46139</v>
      </c>
      <c r="D1042" t="inlineStr">
        <is>
          <t>JÄMTLANDS LÄN</t>
        </is>
      </c>
      <c r="E1042" t="inlineStr">
        <is>
          <t>BERG</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13145-2026</t>
        </is>
      </c>
      <c r="B1043" s="1" t="n">
        <v>46093.51172453703</v>
      </c>
      <c r="C1043" s="1" t="n">
        <v>46139</v>
      </c>
      <c r="D1043" t="inlineStr">
        <is>
          <t>JÄMTLANDS LÄN</t>
        </is>
      </c>
      <c r="E1043" t="inlineStr">
        <is>
          <t>BERG</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13067-2026</t>
        </is>
      </c>
      <c r="B1044" s="1" t="n">
        <v>46093.36510416667</v>
      </c>
      <c r="C1044" s="1" t="n">
        <v>46139</v>
      </c>
      <c r="D1044" t="inlineStr">
        <is>
          <t>JÄMTLANDS LÄN</t>
        </is>
      </c>
      <c r="E1044" t="inlineStr">
        <is>
          <t>BERG</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19998-2026</t>
        </is>
      </c>
      <c r="B1045" s="1" t="n">
        <v>46136.4703125</v>
      </c>
      <c r="C1045" s="1" t="n">
        <v>46139</v>
      </c>
      <c r="D1045" t="inlineStr">
        <is>
          <t>JÄMTLANDS LÄN</t>
        </is>
      </c>
      <c r="E1045" t="inlineStr">
        <is>
          <t>BERG</t>
        </is>
      </c>
      <c r="F1045" t="inlineStr">
        <is>
          <t>Holmen skog AB</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20013-2026</t>
        </is>
      </c>
      <c r="B1046" s="1" t="n">
        <v>46136.4875462963</v>
      </c>
      <c r="C1046" s="1" t="n">
        <v>46139</v>
      </c>
      <c r="D1046" t="inlineStr">
        <is>
          <t>JÄMTLANDS LÄN</t>
        </is>
      </c>
      <c r="E1046" t="inlineStr">
        <is>
          <t>BERG</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27575-2025</t>
        </is>
      </c>
      <c r="B1047" s="1" t="n">
        <v>45813.49083333334</v>
      </c>
      <c r="C1047" s="1" t="n">
        <v>46139</v>
      </c>
      <c r="D1047" t="inlineStr">
        <is>
          <t>JÄMTLANDS LÄN</t>
        </is>
      </c>
      <c r="E1047" t="inlineStr">
        <is>
          <t>BERG</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19799-2026</t>
        </is>
      </c>
      <c r="B1048" s="1" t="n">
        <v>46135.53207175926</v>
      </c>
      <c r="C1048" s="1" t="n">
        <v>46139</v>
      </c>
      <c r="D1048" t="inlineStr">
        <is>
          <t>JÄMTLANDS LÄN</t>
        </is>
      </c>
      <c r="E1048" t="inlineStr">
        <is>
          <t>BERG</t>
        </is>
      </c>
      <c r="F1048" t="inlineStr">
        <is>
          <t>SCA</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20078-2026</t>
        </is>
      </c>
      <c r="B1049" s="1" t="n">
        <v>46136.60954861111</v>
      </c>
      <c r="C1049" s="1" t="n">
        <v>46139</v>
      </c>
      <c r="D1049" t="inlineStr">
        <is>
          <t>JÄMTLANDS LÄN</t>
        </is>
      </c>
      <c r="E1049" t="inlineStr">
        <is>
          <t>BERG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37062-2025</t>
        </is>
      </c>
      <c r="B1050" s="1" t="n">
        <v>45875.38579861111</v>
      </c>
      <c r="C1050" s="1" t="n">
        <v>46139</v>
      </c>
      <c r="D1050" t="inlineStr">
        <is>
          <t>JÄMTLANDS LÄN</t>
        </is>
      </c>
      <c r="E1050" t="inlineStr">
        <is>
          <t>BERG</t>
        </is>
      </c>
      <c r="F1050" t="inlineStr">
        <is>
          <t>SCA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20005-2026</t>
        </is>
      </c>
      <c r="B1051" s="1" t="n">
        <v>46136.47958333333</v>
      </c>
      <c r="C1051" s="1" t="n">
        <v>46139</v>
      </c>
      <c r="D1051" t="inlineStr">
        <is>
          <t>JÄMTLANDS LÄN</t>
        </is>
      </c>
      <c r="E1051" t="inlineStr">
        <is>
          <t>BERG</t>
        </is>
      </c>
      <c r="F1051" t="inlineStr">
        <is>
          <t>Holmen skog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13068-2026</t>
        </is>
      </c>
      <c r="B1052" s="1" t="n">
        <v>46093.36528935185</v>
      </c>
      <c r="C1052" s="1" t="n">
        <v>46139</v>
      </c>
      <c r="D1052" t="inlineStr">
        <is>
          <t>JÄMTLANDS LÄN</t>
        </is>
      </c>
      <c r="E1052" t="inlineStr">
        <is>
          <t>BERG</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13152-2026</t>
        </is>
      </c>
      <c r="B1053" s="1" t="n">
        <v>46093.53184027778</v>
      </c>
      <c r="C1053" s="1" t="n">
        <v>46139</v>
      </c>
      <c r="D1053" t="inlineStr">
        <is>
          <t>JÄMTLANDS LÄN</t>
        </is>
      </c>
      <c r="E1053" t="inlineStr">
        <is>
          <t>BERG</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46874-2023</t>
        </is>
      </c>
      <c r="B1054" s="1" t="n">
        <v>45200</v>
      </c>
      <c r="C1054" s="1" t="n">
        <v>46139</v>
      </c>
      <c r="D1054" t="inlineStr">
        <is>
          <t>JÄMTLANDS LÄN</t>
        </is>
      </c>
      <c r="E1054" t="inlineStr">
        <is>
          <t>BERG</t>
        </is>
      </c>
      <c r="F1054" t="inlineStr">
        <is>
          <t>Naturvårdsverket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19905-2026</t>
        </is>
      </c>
      <c r="B1055" s="1" t="n">
        <v>46136.32715277778</v>
      </c>
      <c r="C1055" s="1" t="n">
        <v>46139</v>
      </c>
      <c r="D1055" t="inlineStr">
        <is>
          <t>JÄMTLANDS LÄN</t>
        </is>
      </c>
      <c r="E1055" t="inlineStr">
        <is>
          <t>BERG</t>
        </is>
      </c>
      <c r="F1055" t="inlineStr">
        <is>
          <t>Holmen skog AB</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19907-2026</t>
        </is>
      </c>
      <c r="B1056" s="1" t="n">
        <v>46136.3308912037</v>
      </c>
      <c r="C1056" s="1" t="n">
        <v>46139</v>
      </c>
      <c r="D1056" t="inlineStr">
        <is>
          <t>JÄMTLANDS LÄN</t>
        </is>
      </c>
      <c r="E1056" t="inlineStr">
        <is>
          <t>BERG</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20065-2026</t>
        </is>
      </c>
      <c r="B1057" s="1" t="n">
        <v>46136.59146990741</v>
      </c>
      <c r="C1057" s="1" t="n">
        <v>46139</v>
      </c>
      <c r="D1057" t="inlineStr">
        <is>
          <t>JÄMTLANDS LÄN</t>
        </is>
      </c>
      <c r="E1057" t="inlineStr">
        <is>
          <t>BERG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47304-2023</t>
        </is>
      </c>
      <c r="B1058" s="1" t="n">
        <v>45202.48180555556</v>
      </c>
      <c r="C1058" s="1" t="n">
        <v>46139</v>
      </c>
      <c r="D1058" t="inlineStr">
        <is>
          <t>JÄMTLANDS LÄN</t>
        </is>
      </c>
      <c r="E1058" t="inlineStr">
        <is>
          <t>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14697-2025</t>
        </is>
      </c>
      <c r="B1059" s="1" t="n">
        <v>45742.59415509259</v>
      </c>
      <c r="C1059" s="1" t="n">
        <v>46139</v>
      </c>
      <c r="D1059" t="inlineStr">
        <is>
          <t>JÄMTLANDS LÄN</t>
        </is>
      </c>
      <c r="E1059" t="inlineStr">
        <is>
          <t>BERG</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54415-2023</t>
        </is>
      </c>
      <c r="B1060" s="1" t="n">
        <v>45233.40039351852</v>
      </c>
      <c r="C1060" s="1" t="n">
        <v>46139</v>
      </c>
      <c r="D1060" t="inlineStr">
        <is>
          <t>JÄMTLANDS LÄN</t>
        </is>
      </c>
      <c r="E1060" t="inlineStr">
        <is>
          <t>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24307-2023</t>
        </is>
      </c>
      <c r="B1061" s="1" t="n">
        <v>45079.94229166667</v>
      </c>
      <c r="C1061" s="1" t="n">
        <v>46139</v>
      </c>
      <c r="D1061" t="inlineStr">
        <is>
          <t>JÄMTLANDS LÄN</t>
        </is>
      </c>
      <c r="E1061" t="inlineStr">
        <is>
          <t>BERG</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40990-2022</t>
        </is>
      </c>
      <c r="B1062" s="1" t="n">
        <v>44823</v>
      </c>
      <c r="C1062" s="1" t="n">
        <v>46139</v>
      </c>
      <c r="D1062" t="inlineStr">
        <is>
          <t>JÄMTLANDS LÄN</t>
        </is>
      </c>
      <c r="E1062" t="inlineStr">
        <is>
          <t>BERG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21521-2024</t>
        </is>
      </c>
      <c r="B1063" s="1" t="n">
        <v>45441.58313657407</v>
      </c>
      <c r="C1063" s="1" t="n">
        <v>46139</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54998-2023</t>
        </is>
      </c>
      <c r="B1064" s="1" t="n">
        <v>45236</v>
      </c>
      <c r="C1064" s="1" t="n">
        <v>46139</v>
      </c>
      <c r="D1064" t="inlineStr">
        <is>
          <t>JÄMTLANDS LÄN</t>
        </is>
      </c>
      <c r="E1064" t="inlineStr">
        <is>
          <t>BERG</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32156-2024</t>
        </is>
      </c>
      <c r="B1065" s="1" t="n">
        <v>45511</v>
      </c>
      <c r="C1065" s="1" t="n">
        <v>46139</v>
      </c>
      <c r="D1065" t="inlineStr">
        <is>
          <t>JÄMTLANDS LÄN</t>
        </is>
      </c>
      <c r="E1065" t="inlineStr">
        <is>
          <t>BERG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23165-2024</t>
        </is>
      </c>
      <c r="B1066" s="1" t="n">
        <v>45450</v>
      </c>
      <c r="C1066" s="1" t="n">
        <v>46139</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19345-2024</t>
        </is>
      </c>
      <c r="B1067" s="1" t="n">
        <v>45428.97185185185</v>
      </c>
      <c r="C1067" s="1" t="n">
        <v>46139</v>
      </c>
      <c r="D1067" t="inlineStr">
        <is>
          <t>JÄMTLANDS LÄN</t>
        </is>
      </c>
      <c r="E1067" t="inlineStr">
        <is>
          <t>BERG</t>
        </is>
      </c>
      <c r="F1067" t="inlineStr">
        <is>
          <t>SCA</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53456-2022</t>
        </is>
      </c>
      <c r="B1068" s="1" t="n">
        <v>44874</v>
      </c>
      <c r="C1068" s="1" t="n">
        <v>46139</v>
      </c>
      <c r="D1068" t="inlineStr">
        <is>
          <t>JÄMTLANDS LÄN</t>
        </is>
      </c>
      <c r="E1068" t="inlineStr">
        <is>
          <t>BERG</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9252-2025</t>
        </is>
      </c>
      <c r="B1069" s="1" t="n">
        <v>45714.59415509259</v>
      </c>
      <c r="C1069" s="1" t="n">
        <v>46139</v>
      </c>
      <c r="D1069" t="inlineStr">
        <is>
          <t>JÄMTLANDS LÄN</t>
        </is>
      </c>
      <c r="E1069" t="inlineStr">
        <is>
          <t>BERG</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64247-2023</t>
        </is>
      </c>
      <c r="B1070" s="1" t="n">
        <v>45279.92739583334</v>
      </c>
      <c r="C1070" s="1" t="n">
        <v>46139</v>
      </c>
      <c r="D1070" t="inlineStr">
        <is>
          <t>JÄMTLANDS LÄN</t>
        </is>
      </c>
      <c r="E1070" t="inlineStr">
        <is>
          <t>BERG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31330-2024</t>
        </is>
      </c>
      <c r="B1071" s="1" t="n">
        <v>45504</v>
      </c>
      <c r="C1071" s="1" t="n">
        <v>46139</v>
      </c>
      <c r="D1071" t="inlineStr">
        <is>
          <t>JÄMTLANDS LÄN</t>
        </is>
      </c>
      <c r="E1071" t="inlineStr">
        <is>
          <t>BERG</t>
        </is>
      </c>
      <c r="G1071" t="n">
        <v>30.5</v>
      </c>
      <c r="H1071" t="n">
        <v>0</v>
      </c>
      <c r="I1071" t="n">
        <v>0</v>
      </c>
      <c r="J1071" t="n">
        <v>0</v>
      </c>
      <c r="K1071" t="n">
        <v>0</v>
      </c>
      <c r="L1071" t="n">
        <v>0</v>
      </c>
      <c r="M1071" t="n">
        <v>0</v>
      </c>
      <c r="N1071" t="n">
        <v>0</v>
      </c>
      <c r="O1071" t="n">
        <v>0</v>
      </c>
      <c r="P1071" t="n">
        <v>0</v>
      </c>
      <c r="Q1071" t="n">
        <v>0</v>
      </c>
      <c r="R1071" s="2" t="inlineStr"/>
    </row>
    <row r="1072" ht="15" customHeight="1">
      <c r="A1072" t="inlineStr">
        <is>
          <t>A 60404-2023</t>
        </is>
      </c>
      <c r="B1072" s="1" t="n">
        <v>45259.46332175926</v>
      </c>
      <c r="C1072" s="1" t="n">
        <v>46139</v>
      </c>
      <c r="D1072" t="inlineStr">
        <is>
          <t>JÄMTLANDS LÄN</t>
        </is>
      </c>
      <c r="E1072" t="inlineStr">
        <is>
          <t>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39186-2024</t>
        </is>
      </c>
      <c r="B1073" s="1" t="n">
        <v>45548.66489583333</v>
      </c>
      <c r="C1073" s="1" t="n">
        <v>46139</v>
      </c>
      <c r="D1073" t="inlineStr">
        <is>
          <t>JÄMTLANDS LÄN</t>
        </is>
      </c>
      <c r="E1073" t="inlineStr">
        <is>
          <t>BERG</t>
        </is>
      </c>
      <c r="G1073" t="n">
        <v>38.4</v>
      </c>
      <c r="H1073" t="n">
        <v>0</v>
      </c>
      <c r="I1073" t="n">
        <v>0</v>
      </c>
      <c r="J1073" t="n">
        <v>0</v>
      </c>
      <c r="K1073" t="n">
        <v>0</v>
      </c>
      <c r="L1073" t="n">
        <v>0</v>
      </c>
      <c r="M1073" t="n">
        <v>0</v>
      </c>
      <c r="N1073" t="n">
        <v>0</v>
      </c>
      <c r="O1073" t="n">
        <v>0</v>
      </c>
      <c r="P1073" t="n">
        <v>0</v>
      </c>
      <c r="Q1073" t="n">
        <v>0</v>
      </c>
      <c r="R1073" s="2" t="inlineStr"/>
    </row>
    <row r="1074" ht="15" customHeight="1">
      <c r="A1074" t="inlineStr">
        <is>
          <t>A 50706-2023</t>
        </is>
      </c>
      <c r="B1074" s="1" t="n">
        <v>45217.55832175926</v>
      </c>
      <c r="C1074" s="1" t="n">
        <v>46139</v>
      </c>
      <c r="D1074" t="inlineStr">
        <is>
          <t>JÄMTLANDS LÄN</t>
        </is>
      </c>
      <c r="E1074" t="inlineStr">
        <is>
          <t>BERG</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3625-2024</t>
        </is>
      </c>
      <c r="B1075" s="1" t="n">
        <v>45320</v>
      </c>
      <c r="C1075" s="1" t="n">
        <v>46139</v>
      </c>
      <c r="D1075" t="inlineStr">
        <is>
          <t>JÄMTLANDS LÄN</t>
        </is>
      </c>
      <c r="E1075" t="inlineStr">
        <is>
          <t>BERG</t>
        </is>
      </c>
      <c r="F1075" t="inlineStr">
        <is>
          <t>SCA</t>
        </is>
      </c>
      <c r="G1075" t="n">
        <v>23.7</v>
      </c>
      <c r="H1075" t="n">
        <v>0</v>
      </c>
      <c r="I1075" t="n">
        <v>0</v>
      </c>
      <c r="J1075" t="n">
        <v>0</v>
      </c>
      <c r="K1075" t="n">
        <v>0</v>
      </c>
      <c r="L1075" t="n">
        <v>0</v>
      </c>
      <c r="M1075" t="n">
        <v>0</v>
      </c>
      <c r="N1075" t="n">
        <v>0</v>
      </c>
      <c r="O1075" t="n">
        <v>0</v>
      </c>
      <c r="P1075" t="n">
        <v>0</v>
      </c>
      <c r="Q1075" t="n">
        <v>0</v>
      </c>
      <c r="R1075" s="2" t="inlineStr"/>
    </row>
    <row r="1076" ht="15" customHeight="1">
      <c r="A1076" t="inlineStr">
        <is>
          <t>A 18408-2025</t>
        </is>
      </c>
      <c r="B1076" s="1" t="n">
        <v>45762.61128472222</v>
      </c>
      <c r="C1076" s="1" t="n">
        <v>46139</v>
      </c>
      <c r="D1076" t="inlineStr">
        <is>
          <t>JÄMTLANDS LÄN</t>
        </is>
      </c>
      <c r="E1076" t="inlineStr">
        <is>
          <t>BERG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37086-2024</t>
        </is>
      </c>
      <c r="B1077" s="1" t="n">
        <v>45539.49776620371</v>
      </c>
      <c r="C1077" s="1" t="n">
        <v>46139</v>
      </c>
      <c r="D1077" t="inlineStr">
        <is>
          <t>JÄMTLANDS LÄN</t>
        </is>
      </c>
      <c r="E1077" t="inlineStr">
        <is>
          <t>BERG</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59968-2024</t>
        </is>
      </c>
      <c r="B1078" s="1" t="n">
        <v>45642</v>
      </c>
      <c r="C1078" s="1" t="n">
        <v>46139</v>
      </c>
      <c r="D1078" t="inlineStr">
        <is>
          <t>JÄMTLANDS LÄN</t>
        </is>
      </c>
      <c r="E1078" t="inlineStr">
        <is>
          <t>BERG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22275-2022</t>
        </is>
      </c>
      <c r="B1079" s="1" t="n">
        <v>44712</v>
      </c>
      <c r="C1079" s="1" t="n">
        <v>46139</v>
      </c>
      <c r="D1079" t="inlineStr">
        <is>
          <t>JÄMTLANDS LÄN</t>
        </is>
      </c>
      <c r="E1079" t="inlineStr">
        <is>
          <t>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4561-2024</t>
        </is>
      </c>
      <c r="B1080" s="1" t="n">
        <v>45327</v>
      </c>
      <c r="C1080" s="1" t="n">
        <v>46139</v>
      </c>
      <c r="D1080" t="inlineStr">
        <is>
          <t>JÄMTLANDS LÄN</t>
        </is>
      </c>
      <c r="E1080" t="inlineStr">
        <is>
          <t>BERG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14190-2023</t>
        </is>
      </c>
      <c r="B1081" s="1" t="n">
        <v>45009.56106481481</v>
      </c>
      <c r="C1081" s="1" t="n">
        <v>46139</v>
      </c>
      <c r="D1081" t="inlineStr">
        <is>
          <t>JÄMTLANDS LÄN</t>
        </is>
      </c>
      <c r="E1081" t="inlineStr">
        <is>
          <t>BERG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31079-2024</t>
        </is>
      </c>
      <c r="B1082" s="1" t="n">
        <v>45502.46423611111</v>
      </c>
      <c r="C1082" s="1" t="n">
        <v>46139</v>
      </c>
      <c r="D1082" t="inlineStr">
        <is>
          <t>JÄMTLANDS LÄN</t>
        </is>
      </c>
      <c r="E1082" t="inlineStr">
        <is>
          <t>BERG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64487-2023</t>
        </is>
      </c>
      <c r="B1083" s="1" t="n">
        <v>45280.92613425926</v>
      </c>
      <c r="C1083" s="1" t="n">
        <v>46139</v>
      </c>
      <c r="D1083" t="inlineStr">
        <is>
          <t>JÄMTLANDS LÄN</t>
        </is>
      </c>
      <c r="E1083" t="inlineStr">
        <is>
          <t>BERG</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64489-2023</t>
        </is>
      </c>
      <c r="B1084" s="1" t="n">
        <v>45280</v>
      </c>
      <c r="C1084" s="1" t="n">
        <v>46139</v>
      </c>
      <c r="D1084" t="inlineStr">
        <is>
          <t>JÄMTLANDS LÄN</t>
        </is>
      </c>
      <c r="E1084" t="inlineStr">
        <is>
          <t>BERG</t>
        </is>
      </c>
      <c r="F1084" t="inlineStr">
        <is>
          <t>Övriga Aktiebolag</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39510-2023</t>
        </is>
      </c>
      <c r="B1085" s="1" t="n">
        <v>45166</v>
      </c>
      <c r="C1085" s="1" t="n">
        <v>46139</v>
      </c>
      <c r="D1085" t="inlineStr">
        <is>
          <t>JÄMTLANDS LÄN</t>
        </is>
      </c>
      <c r="E1085" t="inlineStr">
        <is>
          <t>BERG</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41636-2024</t>
        </is>
      </c>
      <c r="B1086" s="1" t="n">
        <v>45560.61606481481</v>
      </c>
      <c r="C1086" s="1" t="n">
        <v>46139</v>
      </c>
      <c r="D1086" t="inlineStr">
        <is>
          <t>JÄMTLANDS LÄN</t>
        </is>
      </c>
      <c r="E1086" t="inlineStr">
        <is>
          <t>BERG</t>
        </is>
      </c>
      <c r="F1086" t="inlineStr">
        <is>
          <t>SCA</t>
        </is>
      </c>
      <c r="G1086" t="n">
        <v>1.8</v>
      </c>
      <c r="H1086" t="n">
        <v>0</v>
      </c>
      <c r="I1086" t="n">
        <v>0</v>
      </c>
      <c r="J1086" t="n">
        <v>0</v>
      </c>
      <c r="K1086" t="n">
        <v>0</v>
      </c>
      <c r="L1086" t="n">
        <v>0</v>
      </c>
      <c r="M1086" t="n">
        <v>0</v>
      </c>
      <c r="N1086" t="n">
        <v>0</v>
      </c>
      <c r="O1086" t="n">
        <v>0</v>
      </c>
      <c r="P1086" t="n">
        <v>0</v>
      </c>
      <c r="Q1086" t="n">
        <v>0</v>
      </c>
      <c r="R1086" s="2" t="inlineStr"/>
    </row>
    <row r="1087">
      <c r="A1087" t="inlineStr">
        <is>
          <t>A 41634-2024</t>
        </is>
      </c>
      <c r="B1087" s="1" t="n">
        <v>45560.61496527777</v>
      </c>
      <c r="C1087" s="1" t="n">
        <v>46139</v>
      </c>
      <c r="D1087" t="inlineStr">
        <is>
          <t>JÄMTLANDS LÄN</t>
        </is>
      </c>
      <c r="E1087" t="inlineStr">
        <is>
          <t>BERG</t>
        </is>
      </c>
      <c r="F1087" t="inlineStr">
        <is>
          <t>SCA</t>
        </is>
      </c>
      <c r="G1087" t="n">
        <v>4.9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2026-04-27T11:30:58Z</dcterms:created>
  <dcterms:modified xmlns:dcterms="http://purl.org/dc/terms/" xmlns:xsi="http://www.w3.org/2001/XMLSchema-instance" xsi:type="dcterms:W3CDTF">2026-04-27T11:30:59Z</dcterms:modified>
</cp:coreProperties>
</file>