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45755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45755</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45755</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45755</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45755</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45755</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45755</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45755</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45755</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45755</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45755</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45755</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45755</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45755</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45755</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45755</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45755</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45755</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45755</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45755</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45755</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45755</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45755</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45755</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45755</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45755</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45755</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45755</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45755</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45755</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45755</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45755</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45755</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45755</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45755</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45755</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45755</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45755</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45755</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45755</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45755</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45755</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45755</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45755</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45755</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45755</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45755</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45755</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45755</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45755</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45755</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45755</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45755</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45755</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45755</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45755</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45755</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45755</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45755</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45755</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45755</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45755</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45755</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45755</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45755</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45755</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45755</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45755</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45755</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45755</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45755</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45755</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45755</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45755</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45755</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45755</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45755</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45755</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45755</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45755</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45755</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45755</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45755</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45755</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45755</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45755</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45755</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45755</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45755</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45755</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45755</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45755</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45755</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45755</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45755</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45755</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45755</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45755</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45755</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45755</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45755</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45755</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45755</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45755</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45755</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45755</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45755</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45755</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45755</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45755</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45755</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45755</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45755</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45755</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45755</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45755</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45755</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45755</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45755</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45755</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45755</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45755</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45755</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45755</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45755</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45755</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45755</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45755</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45755</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45755</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45755</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45755</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45755</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45755</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45755</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45755</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45755</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45755</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45755</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45755</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45755</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14344-2025</t>
        </is>
      </c>
      <c r="B143" s="1" t="n">
        <v>45741</v>
      </c>
      <c r="C143" s="1" t="n">
        <v>45755</v>
      </c>
      <c r="D143" t="inlineStr">
        <is>
          <t>JÄMTLANDS LÄN</t>
        </is>
      </c>
      <c r="E143" t="inlineStr">
        <is>
          <t>BERG</t>
        </is>
      </c>
      <c r="G143" t="n">
        <v>3.4</v>
      </c>
      <c r="H143" t="n">
        <v>1</v>
      </c>
      <c r="I143" t="n">
        <v>1</v>
      </c>
      <c r="J143" t="n">
        <v>0</v>
      </c>
      <c r="K143" t="n">
        <v>0</v>
      </c>
      <c r="L143" t="n">
        <v>0</v>
      </c>
      <c r="M143" t="n">
        <v>0</v>
      </c>
      <c r="N143" t="n">
        <v>0</v>
      </c>
      <c r="O143" t="n">
        <v>0</v>
      </c>
      <c r="P143" t="n">
        <v>0</v>
      </c>
      <c r="Q143" t="n">
        <v>2</v>
      </c>
      <c r="R143" s="2" t="inlineStr">
        <is>
          <t>Svart trolldruva
Revlummer</t>
        </is>
      </c>
      <c r="S143">
        <f>HYPERLINK("https://klasma.github.io/Logging_232326/artfynd/A 14344-2025 artfynd.xlsx", "A 14344-2025")</f>
        <v/>
      </c>
      <c r="T143">
        <f>HYPERLINK("https://klasma.github.io/Logging_232326/kartor/A 14344-2025 karta.png", "A 14344-2025")</f>
        <v/>
      </c>
      <c r="V143">
        <f>HYPERLINK("https://klasma.github.io/Logging_232326/klagomål/A 14344-2025 FSC-klagomål.docx", "A 14344-2025")</f>
        <v/>
      </c>
      <c r="W143">
        <f>HYPERLINK("https://klasma.github.io/Logging_232326/klagomålsmail/A 14344-2025 FSC-klagomål mail.docx", "A 14344-2025")</f>
        <v/>
      </c>
      <c r="X143">
        <f>HYPERLINK("https://klasma.github.io/Logging_232326/tillsyn/A 14344-2025 tillsynsbegäran.docx", "A 14344-2025")</f>
        <v/>
      </c>
      <c r="Y143">
        <f>HYPERLINK("https://klasma.github.io/Logging_232326/tillsynsmail/A 14344-2025 tillsynsbegäran mail.docx", "A 14344-2025")</f>
        <v/>
      </c>
    </row>
    <row r="144" ht="15" customHeight="1">
      <c r="A144" t="inlineStr">
        <is>
          <t>A 32121-2019</t>
        </is>
      </c>
      <c r="B144" s="1" t="n">
        <v>43643</v>
      </c>
      <c r="C144" s="1" t="n">
        <v>45755</v>
      </c>
      <c r="D144" t="inlineStr">
        <is>
          <t>JÄMTLANDS LÄN</t>
        </is>
      </c>
      <c r="E144" t="inlineStr">
        <is>
          <t>BERG</t>
        </is>
      </c>
      <c r="F144" t="inlineStr">
        <is>
          <t>Sveaskog</t>
        </is>
      </c>
      <c r="G144" t="n">
        <v>5.2</v>
      </c>
      <c r="H144" t="n">
        <v>0</v>
      </c>
      <c r="I144" t="n">
        <v>0</v>
      </c>
      <c r="J144" t="n">
        <v>1</v>
      </c>
      <c r="K144" t="n">
        <v>0</v>
      </c>
      <c r="L144" t="n">
        <v>0</v>
      </c>
      <c r="M144" t="n">
        <v>0</v>
      </c>
      <c r="N144" t="n">
        <v>0</v>
      </c>
      <c r="O144" t="n">
        <v>1</v>
      </c>
      <c r="P144" t="n">
        <v>0</v>
      </c>
      <c r="Q144" t="n">
        <v>1</v>
      </c>
      <c r="R144" s="2" t="inlineStr">
        <is>
          <t>Lunglav</t>
        </is>
      </c>
      <c r="S144">
        <f>HYPERLINK("https://klasma.github.io/Logging_2326/artfynd/A 32121-2019 artfynd.xlsx", "A 32121-2019")</f>
        <v/>
      </c>
      <c r="T144">
        <f>HYPERLINK("https://klasma.github.io/Logging_2326/kartor/A 32121-2019 karta.png", "A 32121-2019")</f>
        <v/>
      </c>
      <c r="V144">
        <f>HYPERLINK("https://klasma.github.io/Logging_2326/klagomål/A 32121-2019 FSC-klagomål.docx", "A 32121-2019")</f>
        <v/>
      </c>
      <c r="W144">
        <f>HYPERLINK("https://klasma.github.io/Logging_2326/klagomålsmail/A 32121-2019 FSC-klagomål mail.docx", "A 32121-2019")</f>
        <v/>
      </c>
      <c r="X144">
        <f>HYPERLINK("https://klasma.github.io/Logging_2326/tillsyn/A 32121-2019 tillsynsbegäran.docx", "A 32121-2019")</f>
        <v/>
      </c>
      <c r="Y144">
        <f>HYPERLINK("https://klasma.github.io/Logging_2326/tillsynsmail/A 32121-2019 tillsynsbegäran mail.docx", "A 32121-2019")</f>
        <v/>
      </c>
    </row>
    <row r="145" ht="15" customHeight="1">
      <c r="A145" t="inlineStr">
        <is>
          <t>A 43295-2019</t>
        </is>
      </c>
      <c r="B145" s="1" t="n">
        <v>43703</v>
      </c>
      <c r="C145" s="1" t="n">
        <v>45755</v>
      </c>
      <c r="D145" t="inlineStr">
        <is>
          <t>JÄMTLANDS LÄN</t>
        </is>
      </c>
      <c r="E145" t="inlineStr">
        <is>
          <t>BERG</t>
        </is>
      </c>
      <c r="G145" t="n">
        <v>0.7</v>
      </c>
      <c r="H145" t="n">
        <v>1</v>
      </c>
      <c r="I145" t="n">
        <v>0</v>
      </c>
      <c r="J145" t="n">
        <v>1</v>
      </c>
      <c r="K145" t="n">
        <v>0</v>
      </c>
      <c r="L145" t="n">
        <v>0</v>
      </c>
      <c r="M145" t="n">
        <v>0</v>
      </c>
      <c r="N145" t="n">
        <v>0</v>
      </c>
      <c r="O145" t="n">
        <v>1</v>
      </c>
      <c r="P145" t="n">
        <v>0</v>
      </c>
      <c r="Q145" t="n">
        <v>1</v>
      </c>
      <c r="R145" s="2" t="inlineStr">
        <is>
          <t>Mindre hackspett</t>
        </is>
      </c>
      <c r="S145">
        <f>HYPERLINK("https://klasma.github.io/Logging_2326/artfynd/A 43295-2019 artfynd.xlsx", "A 43295-2019")</f>
        <v/>
      </c>
      <c r="T145">
        <f>HYPERLINK("https://klasma.github.io/Logging_2326/kartor/A 43295-2019 karta.png", "A 43295-2019")</f>
        <v/>
      </c>
      <c r="V145">
        <f>HYPERLINK("https://klasma.github.io/Logging_2326/klagomål/A 43295-2019 FSC-klagomål.docx", "A 43295-2019")</f>
        <v/>
      </c>
      <c r="W145">
        <f>HYPERLINK("https://klasma.github.io/Logging_2326/klagomålsmail/A 43295-2019 FSC-klagomål mail.docx", "A 43295-2019")</f>
        <v/>
      </c>
      <c r="X145">
        <f>HYPERLINK("https://klasma.github.io/Logging_2326/tillsyn/A 43295-2019 tillsynsbegäran.docx", "A 43295-2019")</f>
        <v/>
      </c>
      <c r="Y145">
        <f>HYPERLINK("https://klasma.github.io/Logging_2326/tillsynsmail/A 43295-2019 tillsynsbegäran mail.docx", "A 43295-2019")</f>
        <v/>
      </c>
      <c r="Z145">
        <f>HYPERLINK("https://klasma.github.io/Logging_2326/fåglar/A 43295-2019 prioriterade fågelarter.docx", "A 43295-2019")</f>
        <v/>
      </c>
    </row>
    <row r="146" ht="15" customHeight="1">
      <c r="A146" t="inlineStr">
        <is>
          <t>A 43203-2019</t>
        </is>
      </c>
      <c r="B146" s="1" t="n">
        <v>43705</v>
      </c>
      <c r="C146" s="1" t="n">
        <v>45755</v>
      </c>
      <c r="D146" t="inlineStr">
        <is>
          <t>JÄMTLANDS LÄN</t>
        </is>
      </c>
      <c r="E146" t="inlineStr">
        <is>
          <t>BERG</t>
        </is>
      </c>
      <c r="F146" t="inlineStr">
        <is>
          <t>SCA</t>
        </is>
      </c>
      <c r="G146" t="n">
        <v>2.6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43203-2019 artfynd.xlsx", "A 43203-2019")</f>
        <v/>
      </c>
      <c r="T146">
        <f>HYPERLINK("https://klasma.github.io/Logging_2326/kartor/A 43203-2019 karta.png", "A 43203-2019")</f>
        <v/>
      </c>
      <c r="V146">
        <f>HYPERLINK("https://klasma.github.io/Logging_2326/klagomål/A 43203-2019 FSC-klagomål.docx", "A 43203-2019")</f>
        <v/>
      </c>
      <c r="W146">
        <f>HYPERLINK("https://klasma.github.io/Logging_2326/klagomålsmail/A 43203-2019 FSC-klagomål mail.docx", "A 43203-2019")</f>
        <v/>
      </c>
      <c r="X146">
        <f>HYPERLINK("https://klasma.github.io/Logging_2326/tillsyn/A 43203-2019 tillsynsbegäran.docx", "A 43203-2019")</f>
        <v/>
      </c>
      <c r="Y146">
        <f>HYPERLINK("https://klasma.github.io/Logging_2326/tillsynsmail/A 43203-2019 tillsynsbegäran mail.docx", "A 43203-2019")</f>
        <v/>
      </c>
    </row>
    <row r="147" ht="15" customHeight="1">
      <c r="A147" t="inlineStr">
        <is>
          <t>A 61775-2019</t>
        </is>
      </c>
      <c r="B147" s="1" t="n">
        <v>43784</v>
      </c>
      <c r="C147" s="1" t="n">
        <v>45755</v>
      </c>
      <c r="D147" t="inlineStr">
        <is>
          <t>JÄMTLANDS LÄN</t>
        </is>
      </c>
      <c r="E147" t="inlineStr">
        <is>
          <t>BERG</t>
        </is>
      </c>
      <c r="F147" t="inlineStr">
        <is>
          <t>SCA</t>
        </is>
      </c>
      <c r="G147" t="n">
        <v>5.4</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61775-2019 artfynd.xlsx", "A 61775-2019")</f>
        <v/>
      </c>
      <c r="T147">
        <f>HYPERLINK("https://klasma.github.io/Logging_2326/kartor/A 61775-2019 karta.png", "A 61775-2019")</f>
        <v/>
      </c>
      <c r="V147">
        <f>HYPERLINK("https://klasma.github.io/Logging_2326/klagomål/A 61775-2019 FSC-klagomål.docx", "A 61775-2019")</f>
        <v/>
      </c>
      <c r="W147">
        <f>HYPERLINK("https://klasma.github.io/Logging_2326/klagomålsmail/A 61775-2019 FSC-klagomål mail.docx", "A 61775-2019")</f>
        <v/>
      </c>
      <c r="X147">
        <f>HYPERLINK("https://klasma.github.io/Logging_2326/tillsyn/A 61775-2019 tillsynsbegäran.docx", "A 61775-2019")</f>
        <v/>
      </c>
      <c r="Y147">
        <f>HYPERLINK("https://klasma.github.io/Logging_2326/tillsynsmail/A 61775-2019 tillsynsbegäran mail.docx", "A 61775-2019")</f>
        <v/>
      </c>
    </row>
    <row r="148" ht="15" customHeight="1">
      <c r="A148" t="inlineStr">
        <is>
          <t>A 67342-2019</t>
        </is>
      </c>
      <c r="B148" s="1" t="n">
        <v>43812</v>
      </c>
      <c r="C148" s="1" t="n">
        <v>45755</v>
      </c>
      <c r="D148" t="inlineStr">
        <is>
          <t>JÄMTLANDS LÄN</t>
        </is>
      </c>
      <c r="E148" t="inlineStr">
        <is>
          <t>BERG</t>
        </is>
      </c>
      <c r="G148" t="n">
        <v>5</v>
      </c>
      <c r="H148" t="n">
        <v>1</v>
      </c>
      <c r="I148" t="n">
        <v>0</v>
      </c>
      <c r="J148" t="n">
        <v>0</v>
      </c>
      <c r="K148" t="n">
        <v>0</v>
      </c>
      <c r="L148" t="n">
        <v>0</v>
      </c>
      <c r="M148" t="n">
        <v>0</v>
      </c>
      <c r="N148" t="n">
        <v>0</v>
      </c>
      <c r="O148" t="n">
        <v>0</v>
      </c>
      <c r="P148" t="n">
        <v>0</v>
      </c>
      <c r="Q148" t="n">
        <v>1</v>
      </c>
      <c r="R148" s="2" t="inlineStr">
        <is>
          <t>Revlummer</t>
        </is>
      </c>
      <c r="S148">
        <f>HYPERLINK("https://klasma.github.io/Logging_2326/artfynd/A 67342-2019 artfynd.xlsx", "A 67342-2019")</f>
        <v/>
      </c>
      <c r="T148">
        <f>HYPERLINK("https://klasma.github.io/Logging_2326/kartor/A 67342-2019 karta.png", "A 67342-2019")</f>
        <v/>
      </c>
      <c r="V148">
        <f>HYPERLINK("https://klasma.github.io/Logging_2326/klagomål/A 67342-2019 FSC-klagomål.docx", "A 67342-2019")</f>
        <v/>
      </c>
      <c r="W148">
        <f>HYPERLINK("https://klasma.github.io/Logging_2326/klagomålsmail/A 67342-2019 FSC-klagomål mail.docx", "A 67342-2019")</f>
        <v/>
      </c>
      <c r="X148">
        <f>HYPERLINK("https://klasma.github.io/Logging_2326/tillsyn/A 67342-2019 tillsynsbegäran.docx", "A 67342-2019")</f>
        <v/>
      </c>
      <c r="Y148">
        <f>HYPERLINK("https://klasma.github.io/Logging_2326/tillsynsmail/A 67342-2019 tillsynsbegäran mail.docx", "A 67342-2019")</f>
        <v/>
      </c>
    </row>
    <row r="149" ht="15" customHeight="1">
      <c r="A149" t="inlineStr">
        <is>
          <t>A 34582-2020</t>
        </is>
      </c>
      <c r="B149" s="1" t="n">
        <v>44033</v>
      </c>
      <c r="C149" s="1" t="n">
        <v>45755</v>
      </c>
      <c r="D149" t="inlineStr">
        <is>
          <t>JÄMTLANDS LÄN</t>
        </is>
      </c>
      <c r="E149" t="inlineStr">
        <is>
          <t>BERG</t>
        </is>
      </c>
      <c r="F149" t="inlineStr">
        <is>
          <t>SCA</t>
        </is>
      </c>
      <c r="G149" t="n">
        <v>10.6</v>
      </c>
      <c r="H149" t="n">
        <v>0</v>
      </c>
      <c r="I149" t="n">
        <v>0</v>
      </c>
      <c r="J149" t="n">
        <v>1</v>
      </c>
      <c r="K149" t="n">
        <v>0</v>
      </c>
      <c r="L149" t="n">
        <v>0</v>
      </c>
      <c r="M149" t="n">
        <v>0</v>
      </c>
      <c r="N149" t="n">
        <v>0</v>
      </c>
      <c r="O149" t="n">
        <v>1</v>
      </c>
      <c r="P149" t="n">
        <v>0</v>
      </c>
      <c r="Q149" t="n">
        <v>1</v>
      </c>
      <c r="R149" s="2" t="inlineStr">
        <is>
          <t>Kolflarnlav</t>
        </is>
      </c>
      <c r="S149">
        <f>HYPERLINK("https://klasma.github.io/Logging_2326/artfynd/A 34582-2020 artfynd.xlsx", "A 34582-2020")</f>
        <v/>
      </c>
      <c r="T149">
        <f>HYPERLINK("https://klasma.github.io/Logging_2326/kartor/A 34582-2020 karta.png", "A 34582-2020")</f>
        <v/>
      </c>
      <c r="V149">
        <f>HYPERLINK("https://klasma.github.io/Logging_2326/klagomål/A 34582-2020 FSC-klagomål.docx", "A 34582-2020")</f>
        <v/>
      </c>
      <c r="W149">
        <f>HYPERLINK("https://klasma.github.io/Logging_2326/klagomålsmail/A 34582-2020 FSC-klagomål mail.docx", "A 34582-2020")</f>
        <v/>
      </c>
      <c r="X149">
        <f>HYPERLINK("https://klasma.github.io/Logging_2326/tillsyn/A 34582-2020 tillsynsbegäran.docx", "A 34582-2020")</f>
        <v/>
      </c>
      <c r="Y149">
        <f>HYPERLINK("https://klasma.github.io/Logging_2326/tillsynsmail/A 34582-2020 tillsynsbegäran mail.docx", "A 34582-2020")</f>
        <v/>
      </c>
    </row>
    <row r="150" ht="15" customHeight="1">
      <c r="A150" t="inlineStr">
        <is>
          <t>A 36966-2020</t>
        </is>
      </c>
      <c r="B150" s="1" t="n">
        <v>44053</v>
      </c>
      <c r="C150" s="1" t="n">
        <v>45755</v>
      </c>
      <c r="D150" t="inlineStr">
        <is>
          <t>JÄMTLANDS LÄN</t>
        </is>
      </c>
      <c r="E150" t="inlineStr">
        <is>
          <t>BERG</t>
        </is>
      </c>
      <c r="F150" t="inlineStr">
        <is>
          <t>SCA</t>
        </is>
      </c>
      <c r="G150" t="n">
        <v>2.7</v>
      </c>
      <c r="H150" t="n">
        <v>0</v>
      </c>
      <c r="I150" t="n">
        <v>0</v>
      </c>
      <c r="J150" t="n">
        <v>1</v>
      </c>
      <c r="K150" t="n">
        <v>0</v>
      </c>
      <c r="L150" t="n">
        <v>0</v>
      </c>
      <c r="M150" t="n">
        <v>0</v>
      </c>
      <c r="N150" t="n">
        <v>0</v>
      </c>
      <c r="O150" t="n">
        <v>1</v>
      </c>
      <c r="P150" t="n">
        <v>0</v>
      </c>
      <c r="Q150" t="n">
        <v>1</v>
      </c>
      <c r="R150" s="2" t="inlineStr">
        <is>
          <t>Reliktbock</t>
        </is>
      </c>
      <c r="S150">
        <f>HYPERLINK("https://klasma.github.io/Logging_2326/artfynd/A 36966-2020 artfynd.xlsx", "A 36966-2020")</f>
        <v/>
      </c>
      <c r="T150">
        <f>HYPERLINK("https://klasma.github.io/Logging_2326/kartor/A 36966-2020 karta.png", "A 36966-2020")</f>
        <v/>
      </c>
      <c r="V150">
        <f>HYPERLINK("https://klasma.github.io/Logging_2326/klagomål/A 36966-2020 FSC-klagomål.docx", "A 36966-2020")</f>
        <v/>
      </c>
      <c r="W150">
        <f>HYPERLINK("https://klasma.github.io/Logging_2326/klagomålsmail/A 36966-2020 FSC-klagomål mail.docx", "A 36966-2020")</f>
        <v/>
      </c>
      <c r="X150">
        <f>HYPERLINK("https://klasma.github.io/Logging_2326/tillsyn/A 36966-2020 tillsynsbegäran.docx", "A 36966-2020")</f>
        <v/>
      </c>
      <c r="Y150">
        <f>HYPERLINK("https://klasma.github.io/Logging_2326/tillsynsmail/A 36966-2020 tillsynsbegäran mail.docx", "A 36966-2020")</f>
        <v/>
      </c>
    </row>
    <row r="151" ht="15" customHeight="1">
      <c r="A151" t="inlineStr">
        <is>
          <t>A 16834-2021</t>
        </is>
      </c>
      <c r="B151" s="1" t="n">
        <v>44293</v>
      </c>
      <c r="C151" s="1" t="n">
        <v>45755</v>
      </c>
      <c r="D151" t="inlineStr">
        <is>
          <t>JÄMTLANDS LÄN</t>
        </is>
      </c>
      <c r="E151" t="inlineStr">
        <is>
          <t>BERG</t>
        </is>
      </c>
      <c r="G151" t="n">
        <v>18.7</v>
      </c>
      <c r="H151" t="n">
        <v>0</v>
      </c>
      <c r="I151" t="n">
        <v>0</v>
      </c>
      <c r="J151" t="n">
        <v>1</v>
      </c>
      <c r="K151" t="n">
        <v>0</v>
      </c>
      <c r="L151" t="n">
        <v>0</v>
      </c>
      <c r="M151" t="n">
        <v>0</v>
      </c>
      <c r="N151" t="n">
        <v>0</v>
      </c>
      <c r="O151" t="n">
        <v>1</v>
      </c>
      <c r="P151" t="n">
        <v>0</v>
      </c>
      <c r="Q151" t="n">
        <v>1</v>
      </c>
      <c r="R151" s="2" t="inlineStr">
        <is>
          <t>Gränsticka</t>
        </is>
      </c>
      <c r="S151">
        <f>HYPERLINK("https://klasma.github.io/Logging_2326/artfynd/A 16834-2021 artfynd.xlsx", "A 16834-2021")</f>
        <v/>
      </c>
      <c r="T151">
        <f>HYPERLINK("https://klasma.github.io/Logging_2326/kartor/A 16834-2021 karta.png", "A 16834-2021")</f>
        <v/>
      </c>
      <c r="V151">
        <f>HYPERLINK("https://klasma.github.io/Logging_2326/klagomål/A 16834-2021 FSC-klagomål.docx", "A 16834-2021")</f>
        <v/>
      </c>
      <c r="W151">
        <f>HYPERLINK("https://klasma.github.io/Logging_2326/klagomålsmail/A 16834-2021 FSC-klagomål mail.docx", "A 16834-2021")</f>
        <v/>
      </c>
      <c r="X151">
        <f>HYPERLINK("https://klasma.github.io/Logging_2326/tillsyn/A 16834-2021 tillsynsbegäran.docx", "A 16834-2021")</f>
        <v/>
      </c>
      <c r="Y151">
        <f>HYPERLINK("https://klasma.github.io/Logging_2326/tillsynsmail/A 16834-2021 tillsynsbegäran mail.docx", "A 16834-2021")</f>
        <v/>
      </c>
    </row>
    <row r="152" ht="15" customHeight="1">
      <c r="A152" t="inlineStr">
        <is>
          <t>A 33557-2021</t>
        </is>
      </c>
      <c r="B152" s="1" t="n">
        <v>44377</v>
      </c>
      <c r="C152" s="1" t="n">
        <v>45755</v>
      </c>
      <c r="D152" t="inlineStr">
        <is>
          <t>JÄMTLANDS LÄN</t>
        </is>
      </c>
      <c r="E152" t="inlineStr">
        <is>
          <t>BERG</t>
        </is>
      </c>
      <c r="F152" t="inlineStr">
        <is>
          <t>SCA</t>
        </is>
      </c>
      <c r="G152" t="n">
        <v>10</v>
      </c>
      <c r="H152" t="n">
        <v>0</v>
      </c>
      <c r="I152" t="n">
        <v>0</v>
      </c>
      <c r="J152" t="n">
        <v>0</v>
      </c>
      <c r="K152" t="n">
        <v>1</v>
      </c>
      <c r="L152" t="n">
        <v>0</v>
      </c>
      <c r="M152" t="n">
        <v>0</v>
      </c>
      <c r="N152" t="n">
        <v>0</v>
      </c>
      <c r="O152" t="n">
        <v>1</v>
      </c>
      <c r="P152" t="n">
        <v>1</v>
      </c>
      <c r="Q152" t="n">
        <v>1</v>
      </c>
      <c r="R152" s="2" t="inlineStr">
        <is>
          <t>Gräddporing</t>
        </is>
      </c>
      <c r="S152">
        <f>HYPERLINK("https://klasma.github.io/Logging_2326/artfynd/A 33557-2021 artfynd.xlsx", "A 33557-2021")</f>
        <v/>
      </c>
      <c r="T152">
        <f>HYPERLINK("https://klasma.github.io/Logging_2326/kartor/A 33557-2021 karta.png", "A 33557-2021")</f>
        <v/>
      </c>
      <c r="V152">
        <f>HYPERLINK("https://klasma.github.io/Logging_2326/klagomål/A 33557-2021 FSC-klagomål.docx", "A 33557-2021")</f>
        <v/>
      </c>
      <c r="W152">
        <f>HYPERLINK("https://klasma.github.io/Logging_2326/klagomålsmail/A 33557-2021 FSC-klagomål mail.docx", "A 33557-2021")</f>
        <v/>
      </c>
      <c r="X152">
        <f>HYPERLINK("https://klasma.github.io/Logging_2326/tillsyn/A 33557-2021 tillsynsbegäran.docx", "A 33557-2021")</f>
        <v/>
      </c>
      <c r="Y152">
        <f>HYPERLINK("https://klasma.github.io/Logging_2326/tillsynsmail/A 33557-2021 tillsynsbegäran mail.docx", "A 33557-2021")</f>
        <v/>
      </c>
    </row>
    <row r="153" ht="15" customHeight="1">
      <c r="A153" t="inlineStr">
        <is>
          <t>A 56202-2021</t>
        </is>
      </c>
      <c r="B153" s="1" t="n">
        <v>44477</v>
      </c>
      <c r="C153" s="1" t="n">
        <v>45755</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68434-2021</t>
        </is>
      </c>
      <c r="B154" s="1" t="n">
        <v>44529</v>
      </c>
      <c r="C154" s="1" t="n">
        <v>45755</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32686-2022</t>
        </is>
      </c>
      <c r="B155" s="1" t="n">
        <v>44776</v>
      </c>
      <c r="C155" s="1" t="n">
        <v>45755</v>
      </c>
      <c r="D155" t="inlineStr">
        <is>
          <t>JÄMTLANDS LÄN</t>
        </is>
      </c>
      <c r="E155" t="inlineStr">
        <is>
          <t>BERG</t>
        </is>
      </c>
      <c r="G155" t="n">
        <v>4.8</v>
      </c>
      <c r="H155" t="n">
        <v>1</v>
      </c>
      <c r="I155" t="n">
        <v>0</v>
      </c>
      <c r="J155" t="n">
        <v>0</v>
      </c>
      <c r="K155" t="n">
        <v>1</v>
      </c>
      <c r="L155" t="n">
        <v>0</v>
      </c>
      <c r="M155" t="n">
        <v>0</v>
      </c>
      <c r="N155" t="n">
        <v>0</v>
      </c>
      <c r="O155" t="n">
        <v>1</v>
      </c>
      <c r="P155" t="n">
        <v>1</v>
      </c>
      <c r="Q155" t="n">
        <v>1</v>
      </c>
      <c r="R155" s="2" t="inlineStr">
        <is>
          <t>Knärot</t>
        </is>
      </c>
      <c r="S155">
        <f>HYPERLINK("https://klasma.github.io/Logging_2326/artfynd/A 32686-2022 artfynd.xlsx", "A 32686-2022")</f>
        <v/>
      </c>
      <c r="T155">
        <f>HYPERLINK("https://klasma.github.io/Logging_2326/kartor/A 32686-2022 karta.png", "A 32686-2022")</f>
        <v/>
      </c>
      <c r="U155">
        <f>HYPERLINK("https://klasma.github.io/Logging_2326/knärot/A 32686-2022 karta knärot.png", "A 32686-2022")</f>
        <v/>
      </c>
      <c r="V155">
        <f>HYPERLINK("https://klasma.github.io/Logging_2326/klagomål/A 32686-2022 FSC-klagomål.docx", "A 32686-2022")</f>
        <v/>
      </c>
      <c r="W155">
        <f>HYPERLINK("https://klasma.github.io/Logging_2326/klagomålsmail/A 32686-2022 FSC-klagomål mail.docx", "A 32686-2022")</f>
        <v/>
      </c>
      <c r="X155">
        <f>HYPERLINK("https://klasma.github.io/Logging_2326/tillsyn/A 32686-2022 tillsynsbegäran.docx", "A 32686-2022")</f>
        <v/>
      </c>
      <c r="Y155">
        <f>HYPERLINK("https://klasma.github.io/Logging_2326/tillsynsmail/A 32686-2022 tillsynsbegäran mail.docx", "A 32686-2022")</f>
        <v/>
      </c>
    </row>
    <row r="156" ht="15" customHeight="1">
      <c r="A156" t="inlineStr">
        <is>
          <t>A 32307-2022</t>
        </is>
      </c>
      <c r="B156" s="1" t="n">
        <v>44781</v>
      </c>
      <c r="C156" s="1" t="n">
        <v>45755</v>
      </c>
      <c r="D156" t="inlineStr">
        <is>
          <t>JÄMTLANDS LÄN</t>
        </is>
      </c>
      <c r="E156" t="inlineStr">
        <is>
          <t>BERG</t>
        </is>
      </c>
      <c r="G156" t="n">
        <v>4.8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32307-2022 artfynd.xlsx", "A 32307-2022")</f>
        <v/>
      </c>
      <c r="T156">
        <f>HYPERLINK("https://klasma.github.io/Logging_2326/kartor/A 32307-2022 karta.png", "A 32307-2022")</f>
        <v/>
      </c>
      <c r="V156">
        <f>HYPERLINK("https://klasma.github.io/Logging_2326/klagomål/A 32307-2022 FSC-klagomål.docx", "A 32307-2022")</f>
        <v/>
      </c>
      <c r="W156">
        <f>HYPERLINK("https://klasma.github.io/Logging_2326/klagomålsmail/A 32307-2022 FSC-klagomål mail.docx", "A 32307-2022")</f>
        <v/>
      </c>
      <c r="X156">
        <f>HYPERLINK("https://klasma.github.io/Logging_2326/tillsyn/A 32307-2022 tillsynsbegäran.docx", "A 32307-2022")</f>
        <v/>
      </c>
      <c r="Y156">
        <f>HYPERLINK("https://klasma.github.io/Logging_2326/tillsynsmail/A 32307-2022 tillsynsbegäran mail.docx", "A 32307-2022")</f>
        <v/>
      </c>
      <c r="Z156">
        <f>HYPERLINK("https://klasma.github.io/Logging_2326/fåglar/A 32307-2022 prioriterade fågelarter.docx", "A 32307-2022")</f>
        <v/>
      </c>
    </row>
    <row r="157" ht="15" customHeight="1">
      <c r="A157" t="inlineStr">
        <is>
          <t>A 34271-2022</t>
        </is>
      </c>
      <c r="B157" s="1" t="n">
        <v>44792</v>
      </c>
      <c r="C157" s="1" t="n">
        <v>45755</v>
      </c>
      <c r="D157" t="inlineStr">
        <is>
          <t>JÄMTLANDS LÄN</t>
        </is>
      </c>
      <c r="E157" t="inlineStr">
        <is>
          <t>BERG</t>
        </is>
      </c>
      <c r="F157" t="inlineStr">
        <is>
          <t>SCA</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HYPERLINK("https://klasma.github.io/Logging_2326/artfynd/A 34271-2022 artfynd.xlsx", "A 34271-2022")</f>
        <v/>
      </c>
      <c r="T157">
        <f>HYPERLINK("https://klasma.github.io/Logging_2326/kartor/A 34271-2022 karta.png", "A 34271-2022")</f>
        <v/>
      </c>
      <c r="V157">
        <f>HYPERLINK("https://klasma.github.io/Logging_2326/klagomål/A 34271-2022 FSC-klagomål.docx", "A 34271-2022")</f>
        <v/>
      </c>
      <c r="W157">
        <f>HYPERLINK("https://klasma.github.io/Logging_2326/klagomålsmail/A 34271-2022 FSC-klagomål mail.docx", "A 34271-2022")</f>
        <v/>
      </c>
      <c r="X157">
        <f>HYPERLINK("https://klasma.github.io/Logging_2326/tillsyn/A 34271-2022 tillsynsbegäran.docx", "A 34271-2022")</f>
        <v/>
      </c>
      <c r="Y157">
        <f>HYPERLINK("https://klasma.github.io/Logging_2326/tillsynsmail/A 34271-2022 tillsynsbegäran mail.docx", "A 34271-2022")</f>
        <v/>
      </c>
      <c r="Z157">
        <f>HYPERLINK("https://klasma.github.io/Logging_2326/fåglar/A 34271-2022 prioriterade fågelarter.docx", "A 34271-2022")</f>
        <v/>
      </c>
    </row>
    <row r="158" ht="15" customHeight="1">
      <c r="A158" t="inlineStr">
        <is>
          <t>A 34274-2022</t>
        </is>
      </c>
      <c r="B158" s="1" t="n">
        <v>44791</v>
      </c>
      <c r="C158" s="1" t="n">
        <v>45755</v>
      </c>
      <c r="D158" t="inlineStr">
        <is>
          <t>JÄMTLANDS LÄN</t>
        </is>
      </c>
      <c r="E158" t="inlineStr">
        <is>
          <t>BERG</t>
        </is>
      </c>
      <c r="F158" t="inlineStr">
        <is>
          <t>SCA</t>
        </is>
      </c>
      <c r="G158" t="n">
        <v>6.1</v>
      </c>
      <c r="H158" t="n">
        <v>0</v>
      </c>
      <c r="I158" t="n">
        <v>0</v>
      </c>
      <c r="J158" t="n">
        <v>1</v>
      </c>
      <c r="K158" t="n">
        <v>0</v>
      </c>
      <c r="L158" t="n">
        <v>0</v>
      </c>
      <c r="M158" t="n">
        <v>0</v>
      </c>
      <c r="N158" t="n">
        <v>0</v>
      </c>
      <c r="O158" t="n">
        <v>1</v>
      </c>
      <c r="P158" t="n">
        <v>0</v>
      </c>
      <c r="Q158" t="n">
        <v>1</v>
      </c>
      <c r="R158" s="2" t="inlineStr">
        <is>
          <t>Rosenticka</t>
        </is>
      </c>
      <c r="S158">
        <f>HYPERLINK("https://klasma.github.io/Logging_2326/artfynd/A 34274-2022 artfynd.xlsx", "A 34274-2022")</f>
        <v/>
      </c>
      <c r="T158">
        <f>HYPERLINK("https://klasma.github.io/Logging_2326/kartor/A 34274-2022 karta.png", "A 34274-2022")</f>
        <v/>
      </c>
      <c r="V158">
        <f>HYPERLINK("https://klasma.github.io/Logging_2326/klagomål/A 34274-2022 FSC-klagomål.docx", "A 34274-2022")</f>
        <v/>
      </c>
      <c r="W158">
        <f>HYPERLINK("https://klasma.github.io/Logging_2326/klagomålsmail/A 34274-2022 FSC-klagomål mail.docx", "A 34274-2022")</f>
        <v/>
      </c>
      <c r="X158">
        <f>HYPERLINK("https://klasma.github.io/Logging_2326/tillsyn/A 34274-2022 tillsynsbegäran.docx", "A 34274-2022")</f>
        <v/>
      </c>
      <c r="Y158">
        <f>HYPERLINK("https://klasma.github.io/Logging_2326/tillsynsmail/A 34274-2022 tillsynsbegäran mail.docx", "A 34274-2022")</f>
        <v/>
      </c>
    </row>
    <row r="159" ht="15" customHeight="1">
      <c r="A159" t="inlineStr">
        <is>
          <t>A 41317-2022</t>
        </is>
      </c>
      <c r="B159" s="1" t="n">
        <v>44826</v>
      </c>
      <c r="C159" s="1" t="n">
        <v>45755</v>
      </c>
      <c r="D159" t="inlineStr">
        <is>
          <t>JÄMTLANDS LÄN</t>
        </is>
      </c>
      <c r="E159" t="inlineStr">
        <is>
          <t>BERG</t>
        </is>
      </c>
      <c r="G159" t="n">
        <v>0.5</v>
      </c>
      <c r="H159" t="n">
        <v>1</v>
      </c>
      <c r="I159" t="n">
        <v>0</v>
      </c>
      <c r="J159" t="n">
        <v>0</v>
      </c>
      <c r="K159" t="n">
        <v>0</v>
      </c>
      <c r="L159" t="n">
        <v>0</v>
      </c>
      <c r="M159" t="n">
        <v>0</v>
      </c>
      <c r="N159" t="n">
        <v>0</v>
      </c>
      <c r="O159" t="n">
        <v>0</v>
      </c>
      <c r="P159" t="n">
        <v>0</v>
      </c>
      <c r="Q159" t="n">
        <v>1</v>
      </c>
      <c r="R159" s="2" t="inlineStr">
        <is>
          <t>Fläcknycklar</t>
        </is>
      </c>
      <c r="S159">
        <f>HYPERLINK("https://klasma.github.io/Logging_2326/artfynd/A 41317-2022 artfynd.xlsx", "A 41317-2022")</f>
        <v/>
      </c>
      <c r="T159">
        <f>HYPERLINK("https://klasma.github.io/Logging_2326/kartor/A 41317-2022 karta.png", "A 41317-2022")</f>
        <v/>
      </c>
      <c r="V159">
        <f>HYPERLINK("https://klasma.github.io/Logging_2326/klagomål/A 41317-2022 FSC-klagomål.docx", "A 41317-2022")</f>
        <v/>
      </c>
      <c r="W159">
        <f>HYPERLINK("https://klasma.github.io/Logging_2326/klagomålsmail/A 41317-2022 FSC-klagomål mail.docx", "A 41317-2022")</f>
        <v/>
      </c>
      <c r="X159">
        <f>HYPERLINK("https://klasma.github.io/Logging_2326/tillsyn/A 41317-2022 tillsynsbegäran.docx", "A 41317-2022")</f>
        <v/>
      </c>
      <c r="Y159">
        <f>HYPERLINK("https://klasma.github.io/Logging_2326/tillsynsmail/A 41317-2022 tillsynsbegäran mail.docx", "A 41317-2022")</f>
        <v/>
      </c>
    </row>
    <row r="160" ht="15" customHeight="1">
      <c r="A160" t="inlineStr">
        <is>
          <t>A 43132-2022</t>
        </is>
      </c>
      <c r="B160" s="1" t="n">
        <v>44833</v>
      </c>
      <c r="C160" s="1" t="n">
        <v>45755</v>
      </c>
      <c r="D160" t="inlineStr">
        <is>
          <t>JÄMTLANDS LÄN</t>
        </is>
      </c>
      <c r="E160" t="inlineStr">
        <is>
          <t>BERG</t>
        </is>
      </c>
      <c r="F160" t="inlineStr">
        <is>
          <t>SCA</t>
        </is>
      </c>
      <c r="G160" t="n">
        <v>11.5</v>
      </c>
      <c r="H160" t="n">
        <v>0</v>
      </c>
      <c r="I160" t="n">
        <v>0</v>
      </c>
      <c r="J160" t="n">
        <v>0</v>
      </c>
      <c r="K160" t="n">
        <v>1</v>
      </c>
      <c r="L160" t="n">
        <v>0</v>
      </c>
      <c r="M160" t="n">
        <v>0</v>
      </c>
      <c r="N160" t="n">
        <v>0</v>
      </c>
      <c r="O160" t="n">
        <v>1</v>
      </c>
      <c r="P160" t="n">
        <v>1</v>
      </c>
      <c r="Q160" t="n">
        <v>1</v>
      </c>
      <c r="R160" s="2" t="inlineStr">
        <is>
          <t>Gräddporing</t>
        </is>
      </c>
      <c r="S160">
        <f>HYPERLINK("https://klasma.github.io/Logging_2326/artfynd/A 43132-2022 artfynd.xlsx", "A 43132-2022")</f>
        <v/>
      </c>
      <c r="T160">
        <f>HYPERLINK("https://klasma.github.io/Logging_2326/kartor/A 43132-2022 karta.png", "A 43132-2022")</f>
        <v/>
      </c>
      <c r="V160">
        <f>HYPERLINK("https://klasma.github.io/Logging_2326/klagomål/A 43132-2022 FSC-klagomål.docx", "A 43132-2022")</f>
        <v/>
      </c>
      <c r="W160">
        <f>HYPERLINK("https://klasma.github.io/Logging_2326/klagomålsmail/A 43132-2022 FSC-klagomål mail.docx", "A 43132-2022")</f>
        <v/>
      </c>
      <c r="X160">
        <f>HYPERLINK("https://klasma.github.io/Logging_2326/tillsyn/A 43132-2022 tillsynsbegäran.docx", "A 43132-2022")</f>
        <v/>
      </c>
      <c r="Y160">
        <f>HYPERLINK("https://klasma.github.io/Logging_2326/tillsynsmail/A 43132-2022 tillsynsbegäran mail.docx", "A 43132-2022")</f>
        <v/>
      </c>
    </row>
    <row r="161" ht="15" customHeight="1">
      <c r="A161" t="inlineStr">
        <is>
          <t>A 43166-2022</t>
        </is>
      </c>
      <c r="B161" s="1" t="n">
        <v>44833</v>
      </c>
      <c r="C161" s="1" t="n">
        <v>45755</v>
      </c>
      <c r="D161" t="inlineStr">
        <is>
          <t>JÄMTLANDS LÄN</t>
        </is>
      </c>
      <c r="E161" t="inlineStr">
        <is>
          <t>BERG</t>
        </is>
      </c>
      <c r="F161" t="inlineStr">
        <is>
          <t>SCA</t>
        </is>
      </c>
      <c r="G161" t="n">
        <v>22.3</v>
      </c>
      <c r="H161" t="n">
        <v>0</v>
      </c>
      <c r="I161" t="n">
        <v>0</v>
      </c>
      <c r="J161" t="n">
        <v>1</v>
      </c>
      <c r="K161" t="n">
        <v>0</v>
      </c>
      <c r="L161" t="n">
        <v>0</v>
      </c>
      <c r="M161" t="n">
        <v>0</v>
      </c>
      <c r="N161" t="n">
        <v>0</v>
      </c>
      <c r="O161" t="n">
        <v>1</v>
      </c>
      <c r="P161" t="n">
        <v>0</v>
      </c>
      <c r="Q161" t="n">
        <v>1</v>
      </c>
      <c r="R161" s="2" t="inlineStr">
        <is>
          <t>Skrovellav</t>
        </is>
      </c>
      <c r="S161">
        <f>HYPERLINK("https://klasma.github.io/Logging_2326/artfynd/A 43166-2022 artfynd.xlsx", "A 43166-2022")</f>
        <v/>
      </c>
      <c r="T161">
        <f>HYPERLINK("https://klasma.github.io/Logging_2326/kartor/A 43166-2022 karta.png", "A 43166-2022")</f>
        <v/>
      </c>
      <c r="V161">
        <f>HYPERLINK("https://klasma.github.io/Logging_2326/klagomål/A 43166-2022 FSC-klagomål.docx", "A 43166-2022")</f>
        <v/>
      </c>
      <c r="W161">
        <f>HYPERLINK("https://klasma.github.io/Logging_2326/klagomålsmail/A 43166-2022 FSC-klagomål mail.docx", "A 43166-2022")</f>
        <v/>
      </c>
      <c r="X161">
        <f>HYPERLINK("https://klasma.github.io/Logging_2326/tillsyn/A 43166-2022 tillsynsbegäran.docx", "A 43166-2022")</f>
        <v/>
      </c>
      <c r="Y161">
        <f>HYPERLINK("https://klasma.github.io/Logging_2326/tillsynsmail/A 43166-2022 tillsynsbegäran mail.docx", "A 43166-2022")</f>
        <v/>
      </c>
    </row>
    <row r="162" ht="15" customHeight="1">
      <c r="A162" t="inlineStr">
        <is>
          <t>A 45082-2022</t>
        </is>
      </c>
      <c r="B162" s="1" t="n">
        <v>44842</v>
      </c>
      <c r="C162" s="1" t="n">
        <v>45755</v>
      </c>
      <c r="D162" t="inlineStr">
        <is>
          <t>JÄMTLANDS LÄN</t>
        </is>
      </c>
      <c r="E162" t="inlineStr">
        <is>
          <t>BERG</t>
        </is>
      </c>
      <c r="F162" t="inlineStr">
        <is>
          <t>SCA</t>
        </is>
      </c>
      <c r="G162" t="n">
        <v>10.8</v>
      </c>
      <c r="H162" t="n">
        <v>1</v>
      </c>
      <c r="I162" t="n">
        <v>0</v>
      </c>
      <c r="J162" t="n">
        <v>1</v>
      </c>
      <c r="K162" t="n">
        <v>0</v>
      </c>
      <c r="L162" t="n">
        <v>0</v>
      </c>
      <c r="M162" t="n">
        <v>0</v>
      </c>
      <c r="N162" t="n">
        <v>0</v>
      </c>
      <c r="O162" t="n">
        <v>1</v>
      </c>
      <c r="P162" t="n">
        <v>0</v>
      </c>
      <c r="Q162" t="n">
        <v>1</v>
      </c>
      <c r="R162" s="2" t="inlineStr">
        <is>
          <t>Fjällvråk</t>
        </is>
      </c>
      <c r="S162">
        <f>HYPERLINK("https://klasma.github.io/Logging_2326/artfynd/A 45082-2022 artfynd.xlsx", "A 45082-2022")</f>
        <v/>
      </c>
      <c r="T162">
        <f>HYPERLINK("https://klasma.github.io/Logging_2326/kartor/A 45082-2022 karta.png", "A 45082-2022")</f>
        <v/>
      </c>
      <c r="V162">
        <f>HYPERLINK("https://klasma.github.io/Logging_2326/klagomål/A 45082-2022 FSC-klagomål.docx", "A 45082-2022")</f>
        <v/>
      </c>
      <c r="W162">
        <f>HYPERLINK("https://klasma.github.io/Logging_2326/klagomålsmail/A 45082-2022 FSC-klagomål mail.docx", "A 45082-2022")</f>
        <v/>
      </c>
      <c r="X162">
        <f>HYPERLINK("https://klasma.github.io/Logging_2326/tillsyn/A 45082-2022 tillsynsbegäran.docx", "A 45082-2022")</f>
        <v/>
      </c>
      <c r="Y162">
        <f>HYPERLINK("https://klasma.github.io/Logging_2326/tillsynsmail/A 45082-2022 tillsynsbegäran mail.docx", "A 45082-2022")</f>
        <v/>
      </c>
      <c r="Z162">
        <f>HYPERLINK("https://klasma.github.io/Logging_2326/fåglar/A 45082-2022 prioriterade fågelarter.docx", "A 45082-2022")</f>
        <v/>
      </c>
    </row>
    <row r="163" ht="15" customHeight="1">
      <c r="A163" t="inlineStr">
        <is>
          <t>A 49532-2022</t>
        </is>
      </c>
      <c r="B163" s="1" t="n">
        <v>44861</v>
      </c>
      <c r="C163" s="1" t="n">
        <v>45755</v>
      </c>
      <c r="D163" t="inlineStr">
        <is>
          <t>JÄMTLANDS LÄN</t>
        </is>
      </c>
      <c r="E163" t="inlineStr">
        <is>
          <t>BERG</t>
        </is>
      </c>
      <c r="F163" t="inlineStr">
        <is>
          <t>SCA</t>
        </is>
      </c>
      <c r="G163" t="n">
        <v>12.7</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49532-2022 artfynd.xlsx", "A 49532-2022")</f>
        <v/>
      </c>
      <c r="T163">
        <f>HYPERLINK("https://klasma.github.io/Logging_2326/kartor/A 49532-2022 karta.png", "A 49532-2022")</f>
        <v/>
      </c>
      <c r="V163">
        <f>HYPERLINK("https://klasma.github.io/Logging_2326/klagomål/A 49532-2022 FSC-klagomål.docx", "A 49532-2022")</f>
        <v/>
      </c>
      <c r="W163">
        <f>HYPERLINK("https://klasma.github.io/Logging_2326/klagomålsmail/A 49532-2022 FSC-klagomål mail.docx", "A 49532-2022")</f>
        <v/>
      </c>
      <c r="X163">
        <f>HYPERLINK("https://klasma.github.io/Logging_2326/tillsyn/A 49532-2022 tillsynsbegäran.docx", "A 49532-2022")</f>
        <v/>
      </c>
      <c r="Y163">
        <f>HYPERLINK("https://klasma.github.io/Logging_2326/tillsynsmail/A 49532-2022 tillsynsbegäran mail.docx", "A 49532-2022")</f>
        <v/>
      </c>
    </row>
    <row r="164" ht="15" customHeight="1">
      <c r="A164" t="inlineStr">
        <is>
          <t>A 53014-2022</t>
        </is>
      </c>
      <c r="B164" s="1" t="n">
        <v>44875</v>
      </c>
      <c r="C164" s="1" t="n">
        <v>45755</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59823-2022</t>
        </is>
      </c>
      <c r="B165" s="1" t="n">
        <v>44900</v>
      </c>
      <c r="C165" s="1" t="n">
        <v>45755</v>
      </c>
      <c r="D165" t="inlineStr">
        <is>
          <t>JÄMTLANDS LÄN</t>
        </is>
      </c>
      <c r="E165" t="inlineStr">
        <is>
          <t>BERG</t>
        </is>
      </c>
      <c r="G165" t="n">
        <v>14.8</v>
      </c>
      <c r="H165" t="n">
        <v>0</v>
      </c>
      <c r="I165" t="n">
        <v>0</v>
      </c>
      <c r="J165" t="n">
        <v>1</v>
      </c>
      <c r="K165" t="n">
        <v>0</v>
      </c>
      <c r="L165" t="n">
        <v>0</v>
      </c>
      <c r="M165" t="n">
        <v>0</v>
      </c>
      <c r="N165" t="n">
        <v>0</v>
      </c>
      <c r="O165" t="n">
        <v>1</v>
      </c>
      <c r="P165" t="n">
        <v>0</v>
      </c>
      <c r="Q165" t="n">
        <v>1</v>
      </c>
      <c r="R165" s="2" t="inlineStr">
        <is>
          <t>Granticka</t>
        </is>
      </c>
      <c r="S165">
        <f>HYPERLINK("https://klasma.github.io/Logging_2326/artfynd/A 59823-2022 artfynd.xlsx", "A 59823-2022")</f>
        <v/>
      </c>
      <c r="T165">
        <f>HYPERLINK("https://klasma.github.io/Logging_2326/kartor/A 59823-2022 karta.png", "A 59823-2022")</f>
        <v/>
      </c>
      <c r="V165">
        <f>HYPERLINK("https://klasma.github.io/Logging_2326/klagomål/A 59823-2022 FSC-klagomål.docx", "A 59823-2022")</f>
        <v/>
      </c>
      <c r="W165">
        <f>HYPERLINK("https://klasma.github.io/Logging_2326/klagomålsmail/A 59823-2022 FSC-klagomål mail.docx", "A 59823-2022")</f>
        <v/>
      </c>
      <c r="X165">
        <f>HYPERLINK("https://klasma.github.io/Logging_2326/tillsyn/A 59823-2022 tillsynsbegäran.docx", "A 59823-2022")</f>
        <v/>
      </c>
      <c r="Y165">
        <f>HYPERLINK("https://klasma.github.io/Logging_2326/tillsynsmail/A 59823-2022 tillsynsbegäran mail.docx", "A 59823-2022")</f>
        <v/>
      </c>
    </row>
    <row r="166" ht="15" customHeight="1">
      <c r="A166" t="inlineStr">
        <is>
          <t>A 47-2023</t>
        </is>
      </c>
      <c r="B166" s="1" t="n">
        <v>44928</v>
      </c>
      <c r="C166" s="1" t="n">
        <v>45755</v>
      </c>
      <c r="D166" t="inlineStr">
        <is>
          <t>JÄMTLANDS LÄN</t>
        </is>
      </c>
      <c r="E166" t="inlineStr">
        <is>
          <t>BERG</t>
        </is>
      </c>
      <c r="F166" t="inlineStr">
        <is>
          <t>Naturvårdsverket</t>
        </is>
      </c>
      <c r="G166" t="n">
        <v>1.5</v>
      </c>
      <c r="H166" t="n">
        <v>0</v>
      </c>
      <c r="I166" t="n">
        <v>0</v>
      </c>
      <c r="J166" t="n">
        <v>1</v>
      </c>
      <c r="K166" t="n">
        <v>0</v>
      </c>
      <c r="L166" t="n">
        <v>0</v>
      </c>
      <c r="M166" t="n">
        <v>0</v>
      </c>
      <c r="N166" t="n">
        <v>0</v>
      </c>
      <c r="O166" t="n">
        <v>1</v>
      </c>
      <c r="P166" t="n">
        <v>0</v>
      </c>
      <c r="Q166" t="n">
        <v>1</v>
      </c>
      <c r="R166" s="2" t="inlineStr">
        <is>
          <t>Violettgrå tagellav</t>
        </is>
      </c>
      <c r="S166">
        <f>HYPERLINK("https://klasma.github.io/Logging_2326/artfynd/A 47-2023 artfynd.xlsx", "A 47-2023")</f>
        <v/>
      </c>
      <c r="T166">
        <f>HYPERLINK("https://klasma.github.io/Logging_2326/kartor/A 47-2023 karta.png", "A 47-2023")</f>
        <v/>
      </c>
      <c r="V166">
        <f>HYPERLINK("https://klasma.github.io/Logging_2326/klagomål/A 47-2023 FSC-klagomål.docx", "A 47-2023")</f>
        <v/>
      </c>
      <c r="W166">
        <f>HYPERLINK("https://klasma.github.io/Logging_2326/klagomålsmail/A 47-2023 FSC-klagomål mail.docx", "A 47-2023")</f>
        <v/>
      </c>
      <c r="X166">
        <f>HYPERLINK("https://klasma.github.io/Logging_2326/tillsyn/A 47-2023 tillsynsbegäran.docx", "A 47-2023")</f>
        <v/>
      </c>
      <c r="Y166">
        <f>HYPERLINK("https://klasma.github.io/Logging_2326/tillsynsmail/A 47-2023 tillsynsbegäran mail.docx", "A 47-2023")</f>
        <v/>
      </c>
    </row>
    <row r="167" ht="15" customHeight="1">
      <c r="A167" t="inlineStr">
        <is>
          <t>A 9657-2023</t>
        </is>
      </c>
      <c r="B167" s="1" t="n">
        <v>44978</v>
      </c>
      <c r="C167" s="1" t="n">
        <v>45755</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9838-2023</t>
        </is>
      </c>
      <c r="B168" s="1" t="n">
        <v>44984</v>
      </c>
      <c r="C168" s="1" t="n">
        <v>45755</v>
      </c>
      <c r="D168" t="inlineStr">
        <is>
          <t>JÄMTLANDS LÄN</t>
        </is>
      </c>
      <c r="E168" t="inlineStr">
        <is>
          <t>BERG</t>
        </is>
      </c>
      <c r="F168" t="inlineStr">
        <is>
          <t>Kyrkan</t>
        </is>
      </c>
      <c r="G168" t="n">
        <v>13.7</v>
      </c>
      <c r="H168" t="n">
        <v>0</v>
      </c>
      <c r="I168" t="n">
        <v>0</v>
      </c>
      <c r="J168" t="n">
        <v>1</v>
      </c>
      <c r="K168" t="n">
        <v>0</v>
      </c>
      <c r="L168" t="n">
        <v>0</v>
      </c>
      <c r="M168" t="n">
        <v>0</v>
      </c>
      <c r="N168" t="n">
        <v>0</v>
      </c>
      <c r="O168" t="n">
        <v>1</v>
      </c>
      <c r="P168" t="n">
        <v>0</v>
      </c>
      <c r="Q168" t="n">
        <v>1</v>
      </c>
      <c r="R168" s="2" t="inlineStr">
        <is>
          <t>Motaggsvamp</t>
        </is>
      </c>
      <c r="S168">
        <f>HYPERLINK("https://klasma.github.io/Logging_2326/artfynd/A 9838-2023 artfynd.xlsx", "A 9838-2023")</f>
        <v/>
      </c>
      <c r="T168">
        <f>HYPERLINK("https://klasma.github.io/Logging_2326/kartor/A 9838-2023 karta.png", "A 9838-2023")</f>
        <v/>
      </c>
      <c r="V168">
        <f>HYPERLINK("https://klasma.github.io/Logging_2326/klagomål/A 9838-2023 FSC-klagomål.docx", "A 9838-2023")</f>
        <v/>
      </c>
      <c r="W168">
        <f>HYPERLINK("https://klasma.github.io/Logging_2326/klagomålsmail/A 9838-2023 FSC-klagomål mail.docx", "A 9838-2023")</f>
        <v/>
      </c>
      <c r="X168">
        <f>HYPERLINK("https://klasma.github.io/Logging_2326/tillsyn/A 9838-2023 tillsynsbegäran.docx", "A 9838-2023")</f>
        <v/>
      </c>
      <c r="Y168">
        <f>HYPERLINK("https://klasma.github.io/Logging_2326/tillsynsmail/A 9838-2023 tillsynsbegäran mail.docx", "A 9838-2023")</f>
        <v/>
      </c>
    </row>
    <row r="169" ht="15" customHeight="1">
      <c r="A169" t="inlineStr">
        <is>
          <t>A 24309-2023</t>
        </is>
      </c>
      <c r="B169" s="1" t="n">
        <v>45079</v>
      </c>
      <c r="C169" s="1" t="n">
        <v>45755</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29326-2023</t>
        </is>
      </c>
      <c r="B170" s="1" t="n">
        <v>45106</v>
      </c>
      <c r="C170" s="1" t="n">
        <v>45755</v>
      </c>
      <c r="D170" t="inlineStr">
        <is>
          <t>JÄMTLANDS LÄN</t>
        </is>
      </c>
      <c r="E170" t="inlineStr">
        <is>
          <t>BERG</t>
        </is>
      </c>
      <c r="F170" t="inlineStr">
        <is>
          <t>SCA</t>
        </is>
      </c>
      <c r="G170" t="n">
        <v>2</v>
      </c>
      <c r="H170" t="n">
        <v>0</v>
      </c>
      <c r="I170" t="n">
        <v>0</v>
      </c>
      <c r="J170" t="n">
        <v>1</v>
      </c>
      <c r="K170" t="n">
        <v>0</v>
      </c>
      <c r="L170" t="n">
        <v>0</v>
      </c>
      <c r="M170" t="n">
        <v>0</v>
      </c>
      <c r="N170" t="n">
        <v>0</v>
      </c>
      <c r="O170" t="n">
        <v>1</v>
      </c>
      <c r="P170" t="n">
        <v>0</v>
      </c>
      <c r="Q170" t="n">
        <v>1</v>
      </c>
      <c r="R170" s="2" t="inlineStr">
        <is>
          <t>Garnlav</t>
        </is>
      </c>
      <c r="S170">
        <f>HYPERLINK("https://klasma.github.io/Logging_2326/artfynd/A 29326-2023 artfynd.xlsx", "A 29326-2023")</f>
        <v/>
      </c>
      <c r="T170">
        <f>HYPERLINK("https://klasma.github.io/Logging_2326/kartor/A 29326-2023 karta.png", "A 29326-2023")</f>
        <v/>
      </c>
      <c r="V170">
        <f>HYPERLINK("https://klasma.github.io/Logging_2326/klagomål/A 29326-2023 FSC-klagomål.docx", "A 29326-2023")</f>
        <v/>
      </c>
      <c r="W170">
        <f>HYPERLINK("https://klasma.github.io/Logging_2326/klagomålsmail/A 29326-2023 FSC-klagomål mail.docx", "A 29326-2023")</f>
        <v/>
      </c>
      <c r="X170">
        <f>HYPERLINK("https://klasma.github.io/Logging_2326/tillsyn/A 29326-2023 tillsynsbegäran.docx", "A 29326-2023")</f>
        <v/>
      </c>
      <c r="Y170">
        <f>HYPERLINK("https://klasma.github.io/Logging_2326/tillsynsmail/A 29326-2023 tillsynsbegäran mail.docx", "A 29326-2023")</f>
        <v/>
      </c>
    </row>
    <row r="171" ht="15" customHeight="1">
      <c r="A171" t="inlineStr">
        <is>
          <t>A 33124-2023</t>
        </is>
      </c>
      <c r="B171" s="1" t="n">
        <v>45126</v>
      </c>
      <c r="C171" s="1" t="n">
        <v>45755</v>
      </c>
      <c r="D171" t="inlineStr">
        <is>
          <t>JÄMTLANDS LÄN</t>
        </is>
      </c>
      <c r="E171" t="inlineStr">
        <is>
          <t>BERG</t>
        </is>
      </c>
      <c r="F171" t="inlineStr">
        <is>
          <t>Sveaskog</t>
        </is>
      </c>
      <c r="G171" t="n">
        <v>4.2</v>
      </c>
      <c r="H171" t="n">
        <v>0</v>
      </c>
      <c r="I171" t="n">
        <v>0</v>
      </c>
      <c r="J171" t="n">
        <v>1</v>
      </c>
      <c r="K171" t="n">
        <v>0</v>
      </c>
      <c r="L171" t="n">
        <v>0</v>
      </c>
      <c r="M171" t="n">
        <v>0</v>
      </c>
      <c r="N171" t="n">
        <v>0</v>
      </c>
      <c r="O171" t="n">
        <v>1</v>
      </c>
      <c r="P171" t="n">
        <v>0</v>
      </c>
      <c r="Q171" t="n">
        <v>1</v>
      </c>
      <c r="R171" s="2" t="inlineStr">
        <is>
          <t>Lunglav</t>
        </is>
      </c>
      <c r="S171">
        <f>HYPERLINK("https://klasma.github.io/Logging_2326/artfynd/A 33124-2023 artfynd.xlsx", "A 33124-2023")</f>
        <v/>
      </c>
      <c r="T171">
        <f>HYPERLINK("https://klasma.github.io/Logging_2326/kartor/A 33124-2023 karta.png", "A 33124-2023")</f>
        <v/>
      </c>
      <c r="V171">
        <f>HYPERLINK("https://klasma.github.io/Logging_2326/klagomål/A 33124-2023 FSC-klagomål.docx", "A 33124-2023")</f>
        <v/>
      </c>
      <c r="W171">
        <f>HYPERLINK("https://klasma.github.io/Logging_2326/klagomålsmail/A 33124-2023 FSC-klagomål mail.docx", "A 33124-2023")</f>
        <v/>
      </c>
      <c r="X171">
        <f>HYPERLINK("https://klasma.github.io/Logging_2326/tillsyn/A 33124-2023 tillsynsbegäran.docx", "A 33124-2023")</f>
        <v/>
      </c>
      <c r="Y171">
        <f>HYPERLINK("https://klasma.github.io/Logging_2326/tillsynsmail/A 33124-2023 tillsynsbegäran mail.docx", "A 33124-2023")</f>
        <v/>
      </c>
    </row>
    <row r="172" ht="15" customHeight="1">
      <c r="A172" t="inlineStr">
        <is>
          <t>A 35275-2023</t>
        </is>
      </c>
      <c r="B172" s="1" t="n">
        <v>45145</v>
      </c>
      <c r="C172" s="1" t="n">
        <v>45755</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Motaggsvamp</t>
        </is>
      </c>
      <c r="S172">
        <f>HYPERLINK("https://klasma.github.io/Logging_2326/artfynd/A 35275-2023 artfynd.xlsx", "A 35275-2023")</f>
        <v/>
      </c>
      <c r="T172">
        <f>HYPERLINK("https://klasma.github.io/Logging_2326/kartor/A 35275-2023 karta.png", "A 35275-2023")</f>
        <v/>
      </c>
      <c r="V172">
        <f>HYPERLINK("https://klasma.github.io/Logging_2326/klagomål/A 35275-2023 FSC-klagomål.docx", "A 35275-2023")</f>
        <v/>
      </c>
      <c r="W172">
        <f>HYPERLINK("https://klasma.github.io/Logging_2326/klagomålsmail/A 35275-2023 FSC-klagomål mail.docx", "A 35275-2023")</f>
        <v/>
      </c>
      <c r="X172">
        <f>HYPERLINK("https://klasma.github.io/Logging_2326/tillsyn/A 35275-2023 tillsynsbegäran.docx", "A 35275-2023")</f>
        <v/>
      </c>
      <c r="Y172">
        <f>HYPERLINK("https://klasma.github.io/Logging_2326/tillsynsmail/A 35275-2023 tillsynsbegäran mail.docx", "A 35275-2023")</f>
        <v/>
      </c>
    </row>
    <row r="173" ht="15" customHeight="1">
      <c r="A173" t="inlineStr">
        <is>
          <t>A 50543-2023</t>
        </is>
      </c>
      <c r="B173" s="1" t="n">
        <v>45210</v>
      </c>
      <c r="C173" s="1" t="n">
        <v>45755</v>
      </c>
      <c r="D173" t="inlineStr">
        <is>
          <t>JÄMTLANDS LÄN</t>
        </is>
      </c>
      <c r="E173" t="inlineStr">
        <is>
          <t>BERG</t>
        </is>
      </c>
      <c r="F173" t="inlineStr">
        <is>
          <t>Övriga statliga verk och myndigheter</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50543-2023 artfynd.xlsx", "A 50543-2023")</f>
        <v/>
      </c>
      <c r="T173">
        <f>HYPERLINK("https://klasma.github.io/Logging_2326/kartor/A 50543-2023 karta.png", "A 50543-2023")</f>
        <v/>
      </c>
      <c r="V173">
        <f>HYPERLINK("https://klasma.github.io/Logging_2326/klagomål/A 50543-2023 FSC-klagomål.docx", "A 50543-2023")</f>
        <v/>
      </c>
      <c r="W173">
        <f>HYPERLINK("https://klasma.github.io/Logging_2326/klagomålsmail/A 50543-2023 FSC-klagomål mail.docx", "A 50543-2023")</f>
        <v/>
      </c>
      <c r="X173">
        <f>HYPERLINK("https://klasma.github.io/Logging_2326/tillsyn/A 50543-2023 tillsynsbegäran.docx", "A 50543-2023")</f>
        <v/>
      </c>
      <c r="Y173">
        <f>HYPERLINK("https://klasma.github.io/Logging_2326/tillsynsmail/A 50543-2023 tillsynsbegäran mail.docx", "A 50543-2023")</f>
        <v/>
      </c>
      <c r="Z173">
        <f>HYPERLINK("https://klasma.github.io/Logging_2326/fåglar/A 50543-2023 prioriterade fågelarter.docx", "A 50543-2023")</f>
        <v/>
      </c>
    </row>
    <row r="174" ht="15" customHeight="1">
      <c r="A174" t="inlineStr">
        <is>
          <t>A 50765-2023</t>
        </is>
      </c>
      <c r="B174" s="1" t="n">
        <v>45210</v>
      </c>
      <c r="C174" s="1" t="n">
        <v>45755</v>
      </c>
      <c r="D174" t="inlineStr">
        <is>
          <t>JÄMTLANDS LÄN</t>
        </is>
      </c>
      <c r="E174" t="inlineStr">
        <is>
          <t>BERG</t>
        </is>
      </c>
      <c r="G174" t="n">
        <v>9.4</v>
      </c>
      <c r="H174" t="n">
        <v>0</v>
      </c>
      <c r="I174" t="n">
        <v>0</v>
      </c>
      <c r="J174" t="n">
        <v>1</v>
      </c>
      <c r="K174" t="n">
        <v>0</v>
      </c>
      <c r="L174" t="n">
        <v>0</v>
      </c>
      <c r="M174" t="n">
        <v>0</v>
      </c>
      <c r="N174" t="n">
        <v>0</v>
      </c>
      <c r="O174" t="n">
        <v>1</v>
      </c>
      <c r="P174" t="n">
        <v>0</v>
      </c>
      <c r="Q174" t="n">
        <v>1</v>
      </c>
      <c r="R174" s="2" t="inlineStr">
        <is>
          <t>Äggvaxskivling</t>
        </is>
      </c>
      <c r="S174">
        <f>HYPERLINK("https://klasma.github.io/Logging_2326/artfynd/A 50765-2023 artfynd.xlsx", "A 50765-2023")</f>
        <v/>
      </c>
      <c r="T174">
        <f>HYPERLINK("https://klasma.github.io/Logging_2326/kartor/A 50765-2023 karta.png", "A 50765-2023")</f>
        <v/>
      </c>
      <c r="V174">
        <f>HYPERLINK("https://klasma.github.io/Logging_2326/klagomål/A 50765-2023 FSC-klagomål.docx", "A 50765-2023")</f>
        <v/>
      </c>
      <c r="W174">
        <f>HYPERLINK("https://klasma.github.io/Logging_2326/klagomålsmail/A 50765-2023 FSC-klagomål mail.docx", "A 50765-2023")</f>
        <v/>
      </c>
      <c r="X174">
        <f>HYPERLINK("https://klasma.github.io/Logging_2326/tillsyn/A 50765-2023 tillsynsbegäran.docx", "A 50765-2023")</f>
        <v/>
      </c>
      <c r="Y174">
        <f>HYPERLINK("https://klasma.github.io/Logging_2326/tillsynsmail/A 50765-2023 tillsynsbegäran mail.docx", "A 50765-2023")</f>
        <v/>
      </c>
    </row>
    <row r="175" ht="15" customHeight="1">
      <c r="A175" t="inlineStr">
        <is>
          <t>A 53443-2023</t>
        </is>
      </c>
      <c r="B175" s="1" t="n">
        <v>45210</v>
      </c>
      <c r="C175" s="1" t="n">
        <v>45755</v>
      </c>
      <c r="D175" t="inlineStr">
        <is>
          <t>JÄMTLANDS LÄN</t>
        </is>
      </c>
      <c r="E175" t="inlineStr">
        <is>
          <t>BERG</t>
        </is>
      </c>
      <c r="F175" t="inlineStr">
        <is>
          <t>Övriga statliga verk och myndigheter</t>
        </is>
      </c>
      <c r="G175" t="n">
        <v>3.4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53443-2023 artfynd.xlsx", "A 53443-2023")</f>
        <v/>
      </c>
      <c r="T175">
        <f>HYPERLINK("https://klasma.github.io/Logging_2326/kartor/A 53443-2023 karta.png", "A 53443-2023")</f>
        <v/>
      </c>
      <c r="V175">
        <f>HYPERLINK("https://klasma.github.io/Logging_2326/klagomål/A 53443-2023 FSC-klagomål.docx", "A 53443-2023")</f>
        <v/>
      </c>
      <c r="W175">
        <f>HYPERLINK("https://klasma.github.io/Logging_2326/klagomålsmail/A 53443-2023 FSC-klagomål mail.docx", "A 53443-2023")</f>
        <v/>
      </c>
      <c r="X175">
        <f>HYPERLINK("https://klasma.github.io/Logging_2326/tillsyn/A 53443-2023 tillsynsbegäran.docx", "A 53443-2023")</f>
        <v/>
      </c>
      <c r="Y175">
        <f>HYPERLINK("https://klasma.github.io/Logging_2326/tillsynsmail/A 53443-2023 tillsynsbegäran mail.docx", "A 53443-2023")</f>
        <v/>
      </c>
      <c r="Z175">
        <f>HYPERLINK("https://klasma.github.io/Logging_2326/fåglar/A 53443-2023 prioriterade fågelarter.docx", "A 53443-2023")</f>
        <v/>
      </c>
    </row>
    <row r="176" ht="15" customHeight="1">
      <c r="A176" t="inlineStr">
        <is>
          <t>A 50225-2023</t>
        </is>
      </c>
      <c r="B176" s="1" t="n">
        <v>45215</v>
      </c>
      <c r="C176" s="1" t="n">
        <v>45755</v>
      </c>
      <c r="D176" t="inlineStr">
        <is>
          <t>JÄMTLANDS LÄN</t>
        </is>
      </c>
      <c r="E176" t="inlineStr">
        <is>
          <t>BERG</t>
        </is>
      </c>
      <c r="F176" t="inlineStr">
        <is>
          <t>SCA</t>
        </is>
      </c>
      <c r="G176" t="n">
        <v>4.3</v>
      </c>
      <c r="H176" t="n">
        <v>0</v>
      </c>
      <c r="I176" t="n">
        <v>0</v>
      </c>
      <c r="J176" t="n">
        <v>0</v>
      </c>
      <c r="K176" t="n">
        <v>1</v>
      </c>
      <c r="L176" t="n">
        <v>0</v>
      </c>
      <c r="M176" t="n">
        <v>0</v>
      </c>
      <c r="N176" t="n">
        <v>0</v>
      </c>
      <c r="O176" t="n">
        <v>1</v>
      </c>
      <c r="P176" t="n">
        <v>1</v>
      </c>
      <c r="Q176" t="n">
        <v>1</v>
      </c>
      <c r="R176" s="2" t="inlineStr">
        <is>
          <t>Rynkskinn</t>
        </is>
      </c>
      <c r="S176">
        <f>HYPERLINK("https://klasma.github.io/Logging_2326/artfynd/A 50225-2023 artfynd.xlsx", "A 50225-2023")</f>
        <v/>
      </c>
      <c r="T176">
        <f>HYPERLINK("https://klasma.github.io/Logging_2326/kartor/A 50225-2023 karta.png", "A 50225-2023")</f>
        <v/>
      </c>
      <c r="V176">
        <f>HYPERLINK("https://klasma.github.io/Logging_2326/klagomål/A 50225-2023 FSC-klagomål.docx", "A 50225-2023")</f>
        <v/>
      </c>
      <c r="W176">
        <f>HYPERLINK("https://klasma.github.io/Logging_2326/klagomålsmail/A 50225-2023 FSC-klagomål mail.docx", "A 50225-2023")</f>
        <v/>
      </c>
      <c r="X176">
        <f>HYPERLINK("https://klasma.github.io/Logging_2326/tillsyn/A 50225-2023 tillsynsbegäran.docx", "A 50225-2023")</f>
        <v/>
      </c>
      <c r="Y176">
        <f>HYPERLINK("https://klasma.github.io/Logging_2326/tillsynsmail/A 50225-2023 tillsynsbegäran mail.docx", "A 50225-2023")</f>
        <v/>
      </c>
    </row>
    <row r="177" ht="15" customHeight="1">
      <c r="A177" t="inlineStr">
        <is>
          <t>A 50224-2023</t>
        </is>
      </c>
      <c r="B177" s="1" t="n">
        <v>45215</v>
      </c>
      <c r="C177" s="1" t="n">
        <v>45755</v>
      </c>
      <c r="D177" t="inlineStr">
        <is>
          <t>JÄMTLANDS LÄN</t>
        </is>
      </c>
      <c r="E177" t="inlineStr">
        <is>
          <t>BERG</t>
        </is>
      </c>
      <c r="F177" t="inlineStr">
        <is>
          <t>SCA</t>
        </is>
      </c>
      <c r="G177" t="n">
        <v>10.3</v>
      </c>
      <c r="H177" t="n">
        <v>0</v>
      </c>
      <c r="I177" t="n">
        <v>0</v>
      </c>
      <c r="J177" t="n">
        <v>1</v>
      </c>
      <c r="K177" t="n">
        <v>0</v>
      </c>
      <c r="L177" t="n">
        <v>0</v>
      </c>
      <c r="M177" t="n">
        <v>0</v>
      </c>
      <c r="N177" t="n">
        <v>0</v>
      </c>
      <c r="O177" t="n">
        <v>1</v>
      </c>
      <c r="P177" t="n">
        <v>0</v>
      </c>
      <c r="Q177" t="n">
        <v>1</v>
      </c>
      <c r="R177" s="2" t="inlineStr">
        <is>
          <t>Kolflarnlav</t>
        </is>
      </c>
      <c r="S177">
        <f>HYPERLINK("https://klasma.github.io/Logging_2326/artfynd/A 50224-2023 artfynd.xlsx", "A 50224-2023")</f>
        <v/>
      </c>
      <c r="T177">
        <f>HYPERLINK("https://klasma.github.io/Logging_2326/kartor/A 50224-2023 karta.png", "A 50224-2023")</f>
        <v/>
      </c>
      <c r="V177">
        <f>HYPERLINK("https://klasma.github.io/Logging_2326/klagomål/A 50224-2023 FSC-klagomål.docx", "A 50224-2023")</f>
        <v/>
      </c>
      <c r="W177">
        <f>HYPERLINK("https://klasma.github.io/Logging_2326/klagomålsmail/A 50224-2023 FSC-klagomål mail.docx", "A 50224-2023")</f>
        <v/>
      </c>
      <c r="X177">
        <f>HYPERLINK("https://klasma.github.io/Logging_2326/tillsyn/A 50224-2023 tillsynsbegäran.docx", "A 50224-2023")</f>
        <v/>
      </c>
      <c r="Y177">
        <f>HYPERLINK("https://klasma.github.io/Logging_2326/tillsynsmail/A 50224-2023 tillsynsbegäran mail.docx", "A 50224-2023")</f>
        <v/>
      </c>
    </row>
    <row r="178" ht="15" customHeight="1">
      <c r="A178" t="inlineStr">
        <is>
          <t>A 50519-2023</t>
        </is>
      </c>
      <c r="B178" s="1" t="n">
        <v>45217</v>
      </c>
      <c r="C178" s="1" t="n">
        <v>45755</v>
      </c>
      <c r="D178" t="inlineStr">
        <is>
          <t>JÄMTLANDS LÄN</t>
        </is>
      </c>
      <c r="E178" t="inlineStr">
        <is>
          <t>BERG</t>
        </is>
      </c>
      <c r="F178" t="inlineStr">
        <is>
          <t>SCA</t>
        </is>
      </c>
      <c r="G178" t="n">
        <v>0.8</v>
      </c>
      <c r="H178" t="n">
        <v>0</v>
      </c>
      <c r="I178" t="n">
        <v>1</v>
      </c>
      <c r="J178" t="n">
        <v>0</v>
      </c>
      <c r="K178" t="n">
        <v>0</v>
      </c>
      <c r="L178" t="n">
        <v>0</v>
      </c>
      <c r="M178" t="n">
        <v>0</v>
      </c>
      <c r="N178" t="n">
        <v>0</v>
      </c>
      <c r="O178" t="n">
        <v>0</v>
      </c>
      <c r="P178" t="n">
        <v>0</v>
      </c>
      <c r="Q178" t="n">
        <v>1</v>
      </c>
      <c r="R178" s="2" t="inlineStr">
        <is>
          <t>Norrlandslav</t>
        </is>
      </c>
      <c r="S178">
        <f>HYPERLINK("https://klasma.github.io/Logging_2326/artfynd/A 50519-2023 artfynd.xlsx", "A 50519-2023")</f>
        <v/>
      </c>
      <c r="T178">
        <f>HYPERLINK("https://klasma.github.io/Logging_2326/kartor/A 50519-2023 karta.png", "A 50519-2023")</f>
        <v/>
      </c>
      <c r="V178">
        <f>HYPERLINK("https://klasma.github.io/Logging_2326/klagomål/A 50519-2023 FSC-klagomål.docx", "A 50519-2023")</f>
        <v/>
      </c>
      <c r="W178">
        <f>HYPERLINK("https://klasma.github.io/Logging_2326/klagomålsmail/A 50519-2023 FSC-klagomål mail.docx", "A 50519-2023")</f>
        <v/>
      </c>
      <c r="X178">
        <f>HYPERLINK("https://klasma.github.io/Logging_2326/tillsyn/A 50519-2023 tillsynsbegäran.docx", "A 50519-2023")</f>
        <v/>
      </c>
      <c r="Y178">
        <f>HYPERLINK("https://klasma.github.io/Logging_2326/tillsynsmail/A 50519-2023 tillsynsbegäran mail.docx", "A 50519-2023")</f>
        <v/>
      </c>
    </row>
    <row r="179" ht="15" customHeight="1">
      <c r="A179" t="inlineStr">
        <is>
          <t>A 51811-2023</t>
        </is>
      </c>
      <c r="B179" s="1" t="n">
        <v>45222</v>
      </c>
      <c r="C179" s="1" t="n">
        <v>45755</v>
      </c>
      <c r="D179" t="inlineStr">
        <is>
          <t>JÄMTLANDS LÄN</t>
        </is>
      </c>
      <c r="E179" t="inlineStr">
        <is>
          <t>BERG</t>
        </is>
      </c>
      <c r="F179" t="inlineStr">
        <is>
          <t>SCA</t>
        </is>
      </c>
      <c r="G179" t="n">
        <v>7.9</v>
      </c>
      <c r="H179" t="n">
        <v>0</v>
      </c>
      <c r="I179" t="n">
        <v>0</v>
      </c>
      <c r="J179" t="n">
        <v>0</v>
      </c>
      <c r="K179" t="n">
        <v>1</v>
      </c>
      <c r="L179" t="n">
        <v>0</v>
      </c>
      <c r="M179" t="n">
        <v>0</v>
      </c>
      <c r="N179" t="n">
        <v>0</v>
      </c>
      <c r="O179" t="n">
        <v>1</v>
      </c>
      <c r="P179" t="n">
        <v>1</v>
      </c>
      <c r="Q179" t="n">
        <v>1</v>
      </c>
      <c r="R179" s="2" t="inlineStr">
        <is>
          <t>Gräddporing</t>
        </is>
      </c>
      <c r="S179">
        <f>HYPERLINK("https://klasma.github.io/Logging_2326/artfynd/A 51811-2023 artfynd.xlsx", "A 51811-2023")</f>
        <v/>
      </c>
      <c r="T179">
        <f>HYPERLINK("https://klasma.github.io/Logging_2326/kartor/A 51811-2023 karta.png", "A 51811-2023")</f>
        <v/>
      </c>
      <c r="V179">
        <f>HYPERLINK("https://klasma.github.io/Logging_2326/klagomål/A 51811-2023 FSC-klagomål.docx", "A 51811-2023")</f>
        <v/>
      </c>
      <c r="W179">
        <f>HYPERLINK("https://klasma.github.io/Logging_2326/klagomålsmail/A 51811-2023 FSC-klagomål mail.docx", "A 51811-2023")</f>
        <v/>
      </c>
      <c r="X179">
        <f>HYPERLINK("https://klasma.github.io/Logging_2326/tillsyn/A 51811-2023 tillsynsbegäran.docx", "A 51811-2023")</f>
        <v/>
      </c>
      <c r="Y179">
        <f>HYPERLINK("https://klasma.github.io/Logging_2326/tillsynsmail/A 51811-2023 tillsynsbegäran mail.docx", "A 51811-2023")</f>
        <v/>
      </c>
    </row>
    <row r="180" ht="15" customHeight="1">
      <c r="A180" t="inlineStr">
        <is>
          <t>A 54337-2023</t>
        </is>
      </c>
      <c r="B180" s="1" t="n">
        <v>45233</v>
      </c>
      <c r="C180" s="1" t="n">
        <v>45755</v>
      </c>
      <c r="D180" t="inlineStr">
        <is>
          <t>JÄMTLANDS LÄN</t>
        </is>
      </c>
      <c r="E180" t="inlineStr">
        <is>
          <t>BERG</t>
        </is>
      </c>
      <c r="F180" t="inlineStr">
        <is>
          <t>SCA</t>
        </is>
      </c>
      <c r="G180" t="n">
        <v>18.7</v>
      </c>
      <c r="H180" t="n">
        <v>0</v>
      </c>
      <c r="I180" t="n">
        <v>1</v>
      </c>
      <c r="J180" t="n">
        <v>0</v>
      </c>
      <c r="K180" t="n">
        <v>0</v>
      </c>
      <c r="L180" t="n">
        <v>0</v>
      </c>
      <c r="M180" t="n">
        <v>0</v>
      </c>
      <c r="N180" t="n">
        <v>0</v>
      </c>
      <c r="O180" t="n">
        <v>0</v>
      </c>
      <c r="P180" t="n">
        <v>0</v>
      </c>
      <c r="Q180" t="n">
        <v>1</v>
      </c>
      <c r="R180" s="2" t="inlineStr">
        <is>
          <t>Dropptaggsvamp</t>
        </is>
      </c>
      <c r="S180">
        <f>HYPERLINK("https://klasma.github.io/Logging_2326/artfynd/A 54337-2023 artfynd.xlsx", "A 54337-2023")</f>
        <v/>
      </c>
      <c r="T180">
        <f>HYPERLINK("https://klasma.github.io/Logging_2326/kartor/A 54337-2023 karta.png", "A 54337-2023")</f>
        <v/>
      </c>
      <c r="V180">
        <f>HYPERLINK("https://klasma.github.io/Logging_2326/klagomål/A 54337-2023 FSC-klagomål.docx", "A 54337-2023")</f>
        <v/>
      </c>
      <c r="W180">
        <f>HYPERLINK("https://klasma.github.io/Logging_2326/klagomålsmail/A 54337-2023 FSC-klagomål mail.docx", "A 54337-2023")</f>
        <v/>
      </c>
      <c r="X180">
        <f>HYPERLINK("https://klasma.github.io/Logging_2326/tillsyn/A 54337-2023 tillsynsbegäran.docx", "A 54337-2023")</f>
        <v/>
      </c>
      <c r="Y180">
        <f>HYPERLINK("https://klasma.github.io/Logging_2326/tillsynsmail/A 54337-2023 tillsynsbegäran mail.docx", "A 54337-2023")</f>
        <v/>
      </c>
    </row>
    <row r="181" ht="15" customHeight="1">
      <c r="A181" t="inlineStr">
        <is>
          <t>A 54347-2023</t>
        </is>
      </c>
      <c r="B181" s="1" t="n">
        <v>45233</v>
      </c>
      <c r="C181" s="1" t="n">
        <v>45755</v>
      </c>
      <c r="D181" t="inlineStr">
        <is>
          <t>JÄMTLANDS LÄN</t>
        </is>
      </c>
      <c r="E181" t="inlineStr">
        <is>
          <t>BERG</t>
        </is>
      </c>
      <c r="F181" t="inlineStr">
        <is>
          <t>SCA</t>
        </is>
      </c>
      <c r="G181" t="n">
        <v>13.4</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54347-2023 artfynd.xlsx", "A 54347-2023")</f>
        <v/>
      </c>
      <c r="T181">
        <f>HYPERLINK("https://klasma.github.io/Logging_2326/kartor/A 54347-2023 karta.png", "A 54347-2023")</f>
        <v/>
      </c>
      <c r="V181">
        <f>HYPERLINK("https://klasma.github.io/Logging_2326/klagomål/A 54347-2023 FSC-klagomål.docx", "A 54347-2023")</f>
        <v/>
      </c>
      <c r="W181">
        <f>HYPERLINK("https://klasma.github.io/Logging_2326/klagomålsmail/A 54347-2023 FSC-klagomål mail.docx", "A 54347-2023")</f>
        <v/>
      </c>
      <c r="X181">
        <f>HYPERLINK("https://klasma.github.io/Logging_2326/tillsyn/A 54347-2023 tillsynsbegäran.docx", "A 54347-2023")</f>
        <v/>
      </c>
      <c r="Y181">
        <f>HYPERLINK("https://klasma.github.io/Logging_2326/tillsynsmail/A 54347-2023 tillsynsbegäran mail.docx", "A 54347-2023")</f>
        <v/>
      </c>
    </row>
    <row r="182" ht="15" customHeight="1">
      <c r="A182" t="inlineStr">
        <is>
          <t>A 55000-2023</t>
        </is>
      </c>
      <c r="B182" s="1" t="n">
        <v>45237</v>
      </c>
      <c r="C182" s="1" t="n">
        <v>45755</v>
      </c>
      <c r="D182" t="inlineStr">
        <is>
          <t>JÄMTLANDS LÄN</t>
        </is>
      </c>
      <c r="E182" t="inlineStr">
        <is>
          <t>BERG</t>
        </is>
      </c>
      <c r="F182" t="inlineStr">
        <is>
          <t>SCA</t>
        </is>
      </c>
      <c r="G182" t="n">
        <v>1.2</v>
      </c>
      <c r="H182" t="n">
        <v>0</v>
      </c>
      <c r="I182" t="n">
        <v>0</v>
      </c>
      <c r="J182" t="n">
        <v>1</v>
      </c>
      <c r="K182" t="n">
        <v>0</v>
      </c>
      <c r="L182" t="n">
        <v>0</v>
      </c>
      <c r="M182" t="n">
        <v>0</v>
      </c>
      <c r="N182" t="n">
        <v>0</v>
      </c>
      <c r="O182" t="n">
        <v>1</v>
      </c>
      <c r="P182" t="n">
        <v>0</v>
      </c>
      <c r="Q182" t="n">
        <v>1</v>
      </c>
      <c r="R182" s="2" t="inlineStr">
        <is>
          <t>Blå taggsvamp</t>
        </is>
      </c>
      <c r="S182">
        <f>HYPERLINK("https://klasma.github.io/Logging_2326/artfynd/A 55000-2023 artfynd.xlsx", "A 55000-2023")</f>
        <v/>
      </c>
      <c r="T182">
        <f>HYPERLINK("https://klasma.github.io/Logging_2326/kartor/A 55000-2023 karta.png", "A 55000-2023")</f>
        <v/>
      </c>
      <c r="V182">
        <f>HYPERLINK("https://klasma.github.io/Logging_2326/klagomål/A 55000-2023 FSC-klagomål.docx", "A 55000-2023")</f>
        <v/>
      </c>
      <c r="W182">
        <f>HYPERLINK("https://klasma.github.io/Logging_2326/klagomålsmail/A 55000-2023 FSC-klagomål mail.docx", "A 55000-2023")</f>
        <v/>
      </c>
      <c r="X182">
        <f>HYPERLINK("https://klasma.github.io/Logging_2326/tillsyn/A 55000-2023 tillsynsbegäran.docx", "A 55000-2023")</f>
        <v/>
      </c>
      <c r="Y182">
        <f>HYPERLINK("https://klasma.github.io/Logging_2326/tillsynsmail/A 55000-2023 tillsynsbegäran mail.docx", "A 55000-2023")</f>
        <v/>
      </c>
    </row>
    <row r="183" ht="15" customHeight="1">
      <c r="A183" t="inlineStr">
        <is>
          <t>A 57421-2023</t>
        </is>
      </c>
      <c r="B183" s="1" t="n">
        <v>45245</v>
      </c>
      <c r="C183" s="1" t="n">
        <v>45755</v>
      </c>
      <c r="D183" t="inlineStr">
        <is>
          <t>JÄMTLANDS LÄN</t>
        </is>
      </c>
      <c r="E183" t="inlineStr">
        <is>
          <t>BERG</t>
        </is>
      </c>
      <c r="F183" t="inlineStr">
        <is>
          <t>SCA</t>
        </is>
      </c>
      <c r="G183" t="n">
        <v>5.4</v>
      </c>
      <c r="H183" t="n">
        <v>0</v>
      </c>
      <c r="I183" t="n">
        <v>0</v>
      </c>
      <c r="J183" t="n">
        <v>0</v>
      </c>
      <c r="K183" t="n">
        <v>1</v>
      </c>
      <c r="L183" t="n">
        <v>0</v>
      </c>
      <c r="M183" t="n">
        <v>0</v>
      </c>
      <c r="N183" t="n">
        <v>0</v>
      </c>
      <c r="O183" t="n">
        <v>1</v>
      </c>
      <c r="P183" t="n">
        <v>1</v>
      </c>
      <c r="Q183" t="n">
        <v>1</v>
      </c>
      <c r="R183" s="2" t="inlineStr">
        <is>
          <t>Gräddporing</t>
        </is>
      </c>
      <c r="S183">
        <f>HYPERLINK("https://klasma.github.io/Logging_2326/artfynd/A 57421-2023 artfynd.xlsx", "A 57421-2023")</f>
        <v/>
      </c>
      <c r="T183">
        <f>HYPERLINK("https://klasma.github.io/Logging_2326/kartor/A 57421-2023 karta.png", "A 57421-2023")</f>
        <v/>
      </c>
      <c r="V183">
        <f>HYPERLINK("https://klasma.github.io/Logging_2326/klagomål/A 57421-2023 FSC-klagomål.docx", "A 57421-2023")</f>
        <v/>
      </c>
      <c r="W183">
        <f>HYPERLINK("https://klasma.github.io/Logging_2326/klagomålsmail/A 57421-2023 FSC-klagomål mail.docx", "A 57421-2023")</f>
        <v/>
      </c>
      <c r="X183">
        <f>HYPERLINK("https://klasma.github.io/Logging_2326/tillsyn/A 57421-2023 tillsynsbegäran.docx", "A 57421-2023")</f>
        <v/>
      </c>
      <c r="Y183">
        <f>HYPERLINK("https://klasma.github.io/Logging_2326/tillsynsmail/A 57421-2023 tillsynsbegäran mail.docx", "A 57421-2023")</f>
        <v/>
      </c>
    </row>
    <row r="184" ht="15" customHeight="1">
      <c r="A184" t="inlineStr">
        <is>
          <t>A 7195-2024</t>
        </is>
      </c>
      <c r="B184" s="1" t="n">
        <v>45344</v>
      </c>
      <c r="C184" s="1" t="n">
        <v>45755</v>
      </c>
      <c r="D184" t="inlineStr">
        <is>
          <t>JÄMTLANDS LÄN</t>
        </is>
      </c>
      <c r="E184" t="inlineStr">
        <is>
          <t>BERG</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HYPERLINK("https://klasma.github.io/Logging_2326/artfynd/A 7195-2024 artfynd.xlsx", "A 7195-2024")</f>
        <v/>
      </c>
      <c r="T184">
        <f>HYPERLINK("https://klasma.github.io/Logging_2326/kartor/A 7195-2024 karta.png", "A 7195-2024")</f>
        <v/>
      </c>
      <c r="V184">
        <f>HYPERLINK("https://klasma.github.io/Logging_2326/klagomål/A 7195-2024 FSC-klagomål.docx", "A 7195-2024")</f>
        <v/>
      </c>
      <c r="W184">
        <f>HYPERLINK("https://klasma.github.io/Logging_2326/klagomålsmail/A 7195-2024 FSC-klagomål mail.docx", "A 7195-2024")</f>
        <v/>
      </c>
      <c r="X184">
        <f>HYPERLINK("https://klasma.github.io/Logging_2326/tillsyn/A 7195-2024 tillsynsbegäran.docx", "A 7195-2024")</f>
        <v/>
      </c>
      <c r="Y184">
        <f>HYPERLINK("https://klasma.github.io/Logging_2326/tillsynsmail/A 7195-2024 tillsynsbegäran mail.docx", "A 7195-2024")</f>
        <v/>
      </c>
    </row>
    <row r="185" ht="15" customHeight="1">
      <c r="A185" t="inlineStr">
        <is>
          <t>A 12733-2024</t>
        </is>
      </c>
      <c r="B185" s="1" t="n">
        <v>45384</v>
      </c>
      <c r="C185" s="1" t="n">
        <v>45755</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20808-2024</t>
        </is>
      </c>
      <c r="B186" s="1" t="n">
        <v>45439</v>
      </c>
      <c r="C186" s="1" t="n">
        <v>45755</v>
      </c>
      <c r="D186" t="inlineStr">
        <is>
          <t>JÄMTLANDS LÄN</t>
        </is>
      </c>
      <c r="E186" t="inlineStr">
        <is>
          <t>BERG</t>
        </is>
      </c>
      <c r="G186" t="n">
        <v>1.4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20808-2024 artfynd.xlsx", "A 20808-2024")</f>
        <v/>
      </c>
      <c r="T186">
        <f>HYPERLINK("https://klasma.github.io/Logging_2326/kartor/A 20808-2024 karta.png", "A 20808-2024")</f>
        <v/>
      </c>
      <c r="V186">
        <f>HYPERLINK("https://klasma.github.io/Logging_2326/klagomål/A 20808-2024 FSC-klagomål.docx", "A 20808-2024")</f>
        <v/>
      </c>
      <c r="W186">
        <f>HYPERLINK("https://klasma.github.io/Logging_2326/klagomålsmail/A 20808-2024 FSC-klagomål mail.docx", "A 20808-2024")</f>
        <v/>
      </c>
      <c r="X186">
        <f>HYPERLINK("https://klasma.github.io/Logging_2326/tillsyn/A 20808-2024 tillsynsbegäran.docx", "A 20808-2024")</f>
        <v/>
      </c>
      <c r="Y186">
        <f>HYPERLINK("https://klasma.github.io/Logging_2326/tillsynsmail/A 20808-2024 tillsynsbegäran mail.docx", "A 20808-2024")</f>
        <v/>
      </c>
      <c r="Z186">
        <f>HYPERLINK("https://klasma.github.io/Logging_2326/fåglar/A 20808-2024 prioriterade fågelarter.docx", "A 20808-2024")</f>
        <v/>
      </c>
    </row>
    <row r="187" ht="15" customHeight="1">
      <c r="A187" t="inlineStr">
        <is>
          <t>A 22540-2024</t>
        </is>
      </c>
      <c r="B187" s="1" t="n">
        <v>45447</v>
      </c>
      <c r="C187" s="1" t="n">
        <v>45755</v>
      </c>
      <c r="D187" t="inlineStr">
        <is>
          <t>JÄMTLANDS LÄN</t>
        </is>
      </c>
      <c r="E187" t="inlineStr">
        <is>
          <t>BERG</t>
        </is>
      </c>
      <c r="G187" t="n">
        <v>9.199999999999999</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22540-2024 artfynd.xlsx", "A 22540-2024")</f>
        <v/>
      </c>
      <c r="T187">
        <f>HYPERLINK("https://klasma.github.io/Logging_2326/kartor/A 22540-2024 karta.png", "A 22540-2024")</f>
        <v/>
      </c>
      <c r="V187">
        <f>HYPERLINK("https://klasma.github.io/Logging_2326/klagomål/A 22540-2024 FSC-klagomål.docx", "A 22540-2024")</f>
        <v/>
      </c>
      <c r="W187">
        <f>HYPERLINK("https://klasma.github.io/Logging_2326/klagomålsmail/A 22540-2024 FSC-klagomål mail.docx", "A 22540-2024")</f>
        <v/>
      </c>
      <c r="X187">
        <f>HYPERLINK("https://klasma.github.io/Logging_2326/tillsyn/A 22540-2024 tillsynsbegäran.docx", "A 22540-2024")</f>
        <v/>
      </c>
      <c r="Y187">
        <f>HYPERLINK("https://klasma.github.io/Logging_2326/tillsynsmail/A 22540-2024 tillsynsbegäran mail.docx", "A 22540-2024")</f>
        <v/>
      </c>
    </row>
    <row r="188" ht="15" customHeight="1">
      <c r="A188" t="inlineStr">
        <is>
          <t>A 23966-2024</t>
        </is>
      </c>
      <c r="B188" s="1" t="n">
        <v>45456</v>
      </c>
      <c r="C188" s="1" t="n">
        <v>45755</v>
      </c>
      <c r="D188" t="inlineStr">
        <is>
          <t>JÄMTLANDS LÄN</t>
        </is>
      </c>
      <c r="E188" t="inlineStr">
        <is>
          <t>BERG</t>
        </is>
      </c>
      <c r="F188" t="inlineStr">
        <is>
          <t>SCA</t>
        </is>
      </c>
      <c r="G188" t="n">
        <v>28.7</v>
      </c>
      <c r="H188" t="n">
        <v>0</v>
      </c>
      <c r="I188" t="n">
        <v>0</v>
      </c>
      <c r="J188" t="n">
        <v>0</v>
      </c>
      <c r="K188" t="n">
        <v>1</v>
      </c>
      <c r="L188" t="n">
        <v>0</v>
      </c>
      <c r="M188" t="n">
        <v>0</v>
      </c>
      <c r="N188" t="n">
        <v>0</v>
      </c>
      <c r="O188" t="n">
        <v>1</v>
      </c>
      <c r="P188" t="n">
        <v>1</v>
      </c>
      <c r="Q188" t="n">
        <v>1</v>
      </c>
      <c r="R188" s="2" t="inlineStr">
        <is>
          <t>Gräddporing</t>
        </is>
      </c>
      <c r="S188">
        <f>HYPERLINK("https://klasma.github.io/Logging_2326/artfynd/A 23966-2024 artfynd.xlsx", "A 23966-2024")</f>
        <v/>
      </c>
      <c r="T188">
        <f>HYPERLINK("https://klasma.github.io/Logging_2326/kartor/A 23966-2024 karta.png", "A 23966-2024")</f>
        <v/>
      </c>
      <c r="V188">
        <f>HYPERLINK("https://klasma.github.io/Logging_2326/klagomål/A 23966-2024 FSC-klagomål.docx", "A 23966-2024")</f>
        <v/>
      </c>
      <c r="W188">
        <f>HYPERLINK("https://klasma.github.io/Logging_2326/klagomålsmail/A 23966-2024 FSC-klagomål mail.docx", "A 23966-2024")</f>
        <v/>
      </c>
      <c r="X188">
        <f>HYPERLINK("https://klasma.github.io/Logging_2326/tillsyn/A 23966-2024 tillsynsbegäran.docx", "A 23966-2024")</f>
        <v/>
      </c>
      <c r="Y188">
        <f>HYPERLINK("https://klasma.github.io/Logging_2326/tillsynsmail/A 23966-2024 tillsynsbegäran mail.docx", "A 23966-2024")</f>
        <v/>
      </c>
    </row>
    <row r="189" ht="15" customHeight="1">
      <c r="A189" t="inlineStr">
        <is>
          <t>A 29746-2024</t>
        </is>
      </c>
      <c r="B189" s="1" t="n">
        <v>45485</v>
      </c>
      <c r="C189" s="1" t="n">
        <v>45755</v>
      </c>
      <c r="D189" t="inlineStr">
        <is>
          <t>JÄMTLANDS LÄN</t>
        </is>
      </c>
      <c r="E189" t="inlineStr">
        <is>
          <t>BERG</t>
        </is>
      </c>
      <c r="F189" t="inlineStr">
        <is>
          <t>Sveaskog</t>
        </is>
      </c>
      <c r="G189" t="n">
        <v>6</v>
      </c>
      <c r="H189" t="n">
        <v>0</v>
      </c>
      <c r="I189" t="n">
        <v>0</v>
      </c>
      <c r="J189" t="n">
        <v>1</v>
      </c>
      <c r="K189" t="n">
        <v>0</v>
      </c>
      <c r="L189" t="n">
        <v>0</v>
      </c>
      <c r="M189" t="n">
        <v>0</v>
      </c>
      <c r="N189" t="n">
        <v>0</v>
      </c>
      <c r="O189" t="n">
        <v>1</v>
      </c>
      <c r="P189" t="n">
        <v>0</v>
      </c>
      <c r="Q189" t="n">
        <v>1</v>
      </c>
      <c r="R189" s="2" t="inlineStr">
        <is>
          <t>Lunglav</t>
        </is>
      </c>
      <c r="S189">
        <f>HYPERLINK("https://klasma.github.io/Logging_2326/artfynd/A 29746-2024 artfynd.xlsx", "A 29746-2024")</f>
        <v/>
      </c>
      <c r="T189">
        <f>HYPERLINK("https://klasma.github.io/Logging_2326/kartor/A 29746-2024 karta.png", "A 29746-2024")</f>
        <v/>
      </c>
      <c r="V189">
        <f>HYPERLINK("https://klasma.github.io/Logging_2326/klagomål/A 29746-2024 FSC-klagomål.docx", "A 29746-2024")</f>
        <v/>
      </c>
      <c r="W189">
        <f>HYPERLINK("https://klasma.github.io/Logging_2326/klagomålsmail/A 29746-2024 FSC-klagomål mail.docx", "A 29746-2024")</f>
        <v/>
      </c>
      <c r="X189">
        <f>HYPERLINK("https://klasma.github.io/Logging_2326/tillsyn/A 29746-2024 tillsynsbegäran.docx", "A 29746-2024")</f>
        <v/>
      </c>
      <c r="Y189">
        <f>HYPERLINK("https://klasma.github.io/Logging_2326/tillsynsmail/A 29746-2024 tillsynsbegäran mail.docx", "A 29746-2024")</f>
        <v/>
      </c>
    </row>
    <row r="190" ht="15" customHeight="1">
      <c r="A190" t="inlineStr">
        <is>
          <t>A 32171-2024</t>
        </is>
      </c>
      <c r="B190" s="1" t="n">
        <v>45511</v>
      </c>
      <c r="C190" s="1" t="n">
        <v>45755</v>
      </c>
      <c r="D190" t="inlineStr">
        <is>
          <t>JÄMTLANDS LÄN</t>
        </is>
      </c>
      <c r="E190" t="inlineStr">
        <is>
          <t>BERG</t>
        </is>
      </c>
      <c r="G190" t="n">
        <v>9.699999999999999</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32171-2024 artfynd.xlsx", "A 32171-2024")</f>
        <v/>
      </c>
      <c r="T190">
        <f>HYPERLINK("https://klasma.github.io/Logging_2326/kartor/A 32171-2024 karta.png", "A 32171-2024")</f>
        <v/>
      </c>
      <c r="V190">
        <f>HYPERLINK("https://klasma.github.io/Logging_2326/klagomål/A 32171-2024 FSC-klagomål.docx", "A 32171-2024")</f>
        <v/>
      </c>
      <c r="W190">
        <f>HYPERLINK("https://klasma.github.io/Logging_2326/klagomålsmail/A 32171-2024 FSC-klagomål mail.docx", "A 32171-2024")</f>
        <v/>
      </c>
      <c r="X190">
        <f>HYPERLINK("https://klasma.github.io/Logging_2326/tillsyn/A 32171-2024 tillsynsbegäran.docx", "A 32171-2024")</f>
        <v/>
      </c>
      <c r="Y190">
        <f>HYPERLINK("https://klasma.github.io/Logging_2326/tillsynsmail/A 32171-2024 tillsynsbegäran mail.docx", "A 32171-2024")</f>
        <v/>
      </c>
      <c r="Z190">
        <f>HYPERLINK("https://klasma.github.io/Logging_2326/fåglar/A 32171-2024 prioriterade fågelarter.docx", "A 32171-2024")</f>
        <v/>
      </c>
    </row>
    <row r="191" ht="15" customHeight="1">
      <c r="A191" t="inlineStr">
        <is>
          <t>A 32246-2024</t>
        </is>
      </c>
      <c r="B191" s="1" t="n">
        <v>45512</v>
      </c>
      <c r="C191" s="1" t="n">
        <v>45755</v>
      </c>
      <c r="D191" t="inlineStr">
        <is>
          <t>JÄMTLANDS LÄN</t>
        </is>
      </c>
      <c r="E191" t="inlineStr">
        <is>
          <t>BERG</t>
        </is>
      </c>
      <c r="F191" t="inlineStr">
        <is>
          <t>SCA</t>
        </is>
      </c>
      <c r="G191" t="n">
        <v>1.7</v>
      </c>
      <c r="H191" t="n">
        <v>0</v>
      </c>
      <c r="I191" t="n">
        <v>0</v>
      </c>
      <c r="J191" t="n">
        <v>1</v>
      </c>
      <c r="K191" t="n">
        <v>0</v>
      </c>
      <c r="L191" t="n">
        <v>0</v>
      </c>
      <c r="M191" t="n">
        <v>0</v>
      </c>
      <c r="N191" t="n">
        <v>0</v>
      </c>
      <c r="O191" t="n">
        <v>1</v>
      </c>
      <c r="P191" t="n">
        <v>0</v>
      </c>
      <c r="Q191" t="n">
        <v>1</v>
      </c>
      <c r="R191" s="2" t="inlineStr">
        <is>
          <t>Brunklöver</t>
        </is>
      </c>
      <c r="S191">
        <f>HYPERLINK("https://klasma.github.io/Logging_2326/artfynd/A 32246-2024 artfynd.xlsx", "A 32246-2024")</f>
        <v/>
      </c>
      <c r="T191">
        <f>HYPERLINK("https://klasma.github.io/Logging_2326/kartor/A 32246-2024 karta.png", "A 32246-2024")</f>
        <v/>
      </c>
      <c r="V191">
        <f>HYPERLINK("https://klasma.github.io/Logging_2326/klagomål/A 32246-2024 FSC-klagomål.docx", "A 32246-2024")</f>
        <v/>
      </c>
      <c r="W191">
        <f>HYPERLINK("https://klasma.github.io/Logging_2326/klagomålsmail/A 32246-2024 FSC-klagomål mail.docx", "A 32246-2024")</f>
        <v/>
      </c>
      <c r="X191">
        <f>HYPERLINK("https://klasma.github.io/Logging_2326/tillsyn/A 32246-2024 tillsynsbegäran.docx", "A 32246-2024")</f>
        <v/>
      </c>
      <c r="Y191">
        <f>HYPERLINK("https://klasma.github.io/Logging_2326/tillsynsmail/A 32246-2024 tillsynsbegäran mail.docx", "A 32246-2024")</f>
        <v/>
      </c>
    </row>
    <row r="192" ht="15" customHeight="1">
      <c r="A192" t="inlineStr">
        <is>
          <t>A 33083-2024</t>
        </is>
      </c>
      <c r="B192" s="1" t="n">
        <v>45517</v>
      </c>
      <c r="C192" s="1" t="n">
        <v>45755</v>
      </c>
      <c r="D192" t="inlineStr">
        <is>
          <t>JÄMTLANDS LÄN</t>
        </is>
      </c>
      <c r="E192" t="inlineStr">
        <is>
          <t>BERG</t>
        </is>
      </c>
      <c r="G192" t="n">
        <v>0.2</v>
      </c>
      <c r="H192" t="n">
        <v>0</v>
      </c>
      <c r="I192" t="n">
        <v>0</v>
      </c>
      <c r="J192" t="n">
        <v>1</v>
      </c>
      <c r="K192" t="n">
        <v>0</v>
      </c>
      <c r="L192" t="n">
        <v>0</v>
      </c>
      <c r="M192" t="n">
        <v>0</v>
      </c>
      <c r="N192" t="n">
        <v>0</v>
      </c>
      <c r="O192" t="n">
        <v>1</v>
      </c>
      <c r="P192" t="n">
        <v>0</v>
      </c>
      <c r="Q192" t="n">
        <v>1</v>
      </c>
      <c r="R192" s="2" t="inlineStr">
        <is>
          <t>Garnlav</t>
        </is>
      </c>
      <c r="S192">
        <f>HYPERLINK("https://klasma.github.io/Logging_2326/artfynd/A 33083-2024 artfynd.xlsx", "A 33083-2024")</f>
        <v/>
      </c>
      <c r="T192">
        <f>HYPERLINK("https://klasma.github.io/Logging_2326/kartor/A 33083-2024 karta.png", "A 33083-2024")</f>
        <v/>
      </c>
      <c r="V192">
        <f>HYPERLINK("https://klasma.github.io/Logging_2326/klagomål/A 33083-2024 FSC-klagomål.docx", "A 33083-2024")</f>
        <v/>
      </c>
      <c r="W192">
        <f>HYPERLINK("https://klasma.github.io/Logging_2326/klagomålsmail/A 33083-2024 FSC-klagomål mail.docx", "A 33083-2024")</f>
        <v/>
      </c>
      <c r="X192">
        <f>HYPERLINK("https://klasma.github.io/Logging_2326/tillsyn/A 33083-2024 tillsynsbegäran.docx", "A 33083-2024")</f>
        <v/>
      </c>
      <c r="Y192">
        <f>HYPERLINK("https://klasma.github.io/Logging_2326/tillsynsmail/A 33083-2024 tillsynsbegäran mail.docx", "A 33083-2024")</f>
        <v/>
      </c>
    </row>
    <row r="193" ht="15" customHeight="1">
      <c r="A193" t="inlineStr">
        <is>
          <t>A 33126-2024</t>
        </is>
      </c>
      <c r="B193" s="1" t="n">
        <v>45518</v>
      </c>
      <c r="C193" s="1" t="n">
        <v>45755</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33317-2024</t>
        </is>
      </c>
      <c r="B194" s="1" t="n">
        <v>45519</v>
      </c>
      <c r="C194" s="1" t="n">
        <v>45755</v>
      </c>
      <c r="D194" t="inlineStr">
        <is>
          <t>JÄMTLANDS LÄN</t>
        </is>
      </c>
      <c r="E194" t="inlineStr">
        <is>
          <t>BERG</t>
        </is>
      </c>
      <c r="F194" t="inlineStr">
        <is>
          <t>SCA</t>
        </is>
      </c>
      <c r="G194" t="n">
        <v>12.8</v>
      </c>
      <c r="H194" t="n">
        <v>0</v>
      </c>
      <c r="I194" t="n">
        <v>0</v>
      </c>
      <c r="J194" t="n">
        <v>1</v>
      </c>
      <c r="K194" t="n">
        <v>0</v>
      </c>
      <c r="L194" t="n">
        <v>0</v>
      </c>
      <c r="M194" t="n">
        <v>0</v>
      </c>
      <c r="N194" t="n">
        <v>0</v>
      </c>
      <c r="O194" t="n">
        <v>1</v>
      </c>
      <c r="P194" t="n">
        <v>0</v>
      </c>
      <c r="Q194" t="n">
        <v>1</v>
      </c>
      <c r="R194" s="2" t="inlineStr">
        <is>
          <t>Gammelgransskål</t>
        </is>
      </c>
      <c r="S194">
        <f>HYPERLINK("https://klasma.github.io/Logging_2326/artfynd/A 33317-2024 artfynd.xlsx", "A 33317-2024")</f>
        <v/>
      </c>
      <c r="T194">
        <f>HYPERLINK("https://klasma.github.io/Logging_2326/kartor/A 33317-2024 karta.png", "A 33317-2024")</f>
        <v/>
      </c>
      <c r="V194">
        <f>HYPERLINK("https://klasma.github.io/Logging_2326/klagomål/A 33317-2024 FSC-klagomål.docx", "A 33317-2024")</f>
        <v/>
      </c>
      <c r="W194">
        <f>HYPERLINK("https://klasma.github.io/Logging_2326/klagomålsmail/A 33317-2024 FSC-klagomål mail.docx", "A 33317-2024")</f>
        <v/>
      </c>
      <c r="X194">
        <f>HYPERLINK("https://klasma.github.io/Logging_2326/tillsyn/A 33317-2024 tillsynsbegäran.docx", "A 33317-2024")</f>
        <v/>
      </c>
      <c r="Y194">
        <f>HYPERLINK("https://klasma.github.io/Logging_2326/tillsynsmail/A 33317-2024 tillsynsbegäran mail.docx", "A 33317-2024")</f>
        <v/>
      </c>
    </row>
    <row r="195" ht="15" customHeight="1">
      <c r="A195" t="inlineStr">
        <is>
          <t>A 36356-2024</t>
        </is>
      </c>
      <c r="B195" s="1" t="n">
        <v>45534</v>
      </c>
      <c r="C195" s="1" t="n">
        <v>45755</v>
      </c>
      <c r="D195" t="inlineStr">
        <is>
          <t>JÄMTLANDS LÄN</t>
        </is>
      </c>
      <c r="E195" t="inlineStr">
        <is>
          <t>BERG</t>
        </is>
      </c>
      <c r="F195" t="inlineStr">
        <is>
          <t>SCA</t>
        </is>
      </c>
      <c r="G195" t="n">
        <v>12.2</v>
      </c>
      <c r="H195" t="n">
        <v>0</v>
      </c>
      <c r="I195" t="n">
        <v>0</v>
      </c>
      <c r="J195" t="n">
        <v>0</v>
      </c>
      <c r="K195" t="n">
        <v>1</v>
      </c>
      <c r="L195" t="n">
        <v>0</v>
      </c>
      <c r="M195" t="n">
        <v>0</v>
      </c>
      <c r="N195" t="n">
        <v>0</v>
      </c>
      <c r="O195" t="n">
        <v>1</v>
      </c>
      <c r="P195" t="n">
        <v>1</v>
      </c>
      <c r="Q195" t="n">
        <v>1</v>
      </c>
      <c r="R195" s="2" t="inlineStr">
        <is>
          <t>Gräddporing</t>
        </is>
      </c>
      <c r="S195">
        <f>HYPERLINK("https://klasma.github.io/Logging_2326/artfynd/A 36356-2024 artfynd.xlsx", "A 36356-2024")</f>
        <v/>
      </c>
      <c r="T195">
        <f>HYPERLINK("https://klasma.github.io/Logging_2326/kartor/A 36356-2024 karta.png", "A 36356-2024")</f>
        <v/>
      </c>
      <c r="V195">
        <f>HYPERLINK("https://klasma.github.io/Logging_2326/klagomål/A 36356-2024 FSC-klagomål.docx", "A 36356-2024")</f>
        <v/>
      </c>
      <c r="W195">
        <f>HYPERLINK("https://klasma.github.io/Logging_2326/klagomålsmail/A 36356-2024 FSC-klagomål mail.docx", "A 36356-2024")</f>
        <v/>
      </c>
      <c r="X195">
        <f>HYPERLINK("https://klasma.github.io/Logging_2326/tillsyn/A 36356-2024 tillsynsbegäran.docx", "A 36356-2024")</f>
        <v/>
      </c>
      <c r="Y195">
        <f>HYPERLINK("https://klasma.github.io/Logging_2326/tillsynsmail/A 36356-2024 tillsynsbegäran mail.docx", "A 36356-2024")</f>
        <v/>
      </c>
    </row>
    <row r="196" ht="15" customHeight="1">
      <c r="A196" t="inlineStr">
        <is>
          <t>A 40215-2024</t>
        </is>
      </c>
      <c r="B196" s="1" t="n">
        <v>45554</v>
      </c>
      <c r="C196" s="1" t="n">
        <v>45755</v>
      </c>
      <c r="D196" t="inlineStr">
        <is>
          <t>JÄMTLANDS LÄN</t>
        </is>
      </c>
      <c r="E196" t="inlineStr">
        <is>
          <t>BERG</t>
        </is>
      </c>
      <c r="F196" t="inlineStr">
        <is>
          <t>SCA</t>
        </is>
      </c>
      <c r="G196" t="n">
        <v>18.6</v>
      </c>
      <c r="H196" t="n">
        <v>0</v>
      </c>
      <c r="I196" t="n">
        <v>1</v>
      </c>
      <c r="J196" t="n">
        <v>0</v>
      </c>
      <c r="K196" t="n">
        <v>0</v>
      </c>
      <c r="L196" t="n">
        <v>0</v>
      </c>
      <c r="M196" t="n">
        <v>0</v>
      </c>
      <c r="N196" t="n">
        <v>0</v>
      </c>
      <c r="O196" t="n">
        <v>0</v>
      </c>
      <c r="P196" t="n">
        <v>0</v>
      </c>
      <c r="Q196" t="n">
        <v>1</v>
      </c>
      <c r="R196" s="2" t="inlineStr">
        <is>
          <t>Dropptaggsvamp</t>
        </is>
      </c>
      <c r="S196">
        <f>HYPERLINK("https://klasma.github.io/Logging_2326/artfynd/A 40215-2024 artfynd.xlsx", "A 40215-2024")</f>
        <v/>
      </c>
      <c r="T196">
        <f>HYPERLINK("https://klasma.github.io/Logging_2326/kartor/A 40215-2024 karta.png", "A 40215-2024")</f>
        <v/>
      </c>
      <c r="V196">
        <f>HYPERLINK("https://klasma.github.io/Logging_2326/klagomål/A 40215-2024 FSC-klagomål.docx", "A 40215-2024")</f>
        <v/>
      </c>
      <c r="W196">
        <f>HYPERLINK("https://klasma.github.io/Logging_2326/klagomålsmail/A 40215-2024 FSC-klagomål mail.docx", "A 40215-2024")</f>
        <v/>
      </c>
      <c r="X196">
        <f>HYPERLINK("https://klasma.github.io/Logging_2326/tillsyn/A 40215-2024 tillsynsbegäran.docx", "A 40215-2024")</f>
        <v/>
      </c>
      <c r="Y196">
        <f>HYPERLINK("https://klasma.github.io/Logging_2326/tillsynsmail/A 40215-2024 tillsynsbegäran mail.docx", "A 40215-2024")</f>
        <v/>
      </c>
    </row>
    <row r="197" ht="15" customHeight="1">
      <c r="A197" t="inlineStr">
        <is>
          <t>A 40210-2024</t>
        </is>
      </c>
      <c r="B197" s="1" t="n">
        <v>45554</v>
      </c>
      <c r="C197" s="1" t="n">
        <v>45755</v>
      </c>
      <c r="D197" t="inlineStr">
        <is>
          <t>JÄMTLANDS LÄN</t>
        </is>
      </c>
      <c r="E197" t="inlineStr">
        <is>
          <t>BERG</t>
        </is>
      </c>
      <c r="F197" t="inlineStr">
        <is>
          <t>SCA</t>
        </is>
      </c>
      <c r="G197" t="n">
        <v>13.1</v>
      </c>
      <c r="H197" t="n">
        <v>0</v>
      </c>
      <c r="I197" t="n">
        <v>0</v>
      </c>
      <c r="J197" t="n">
        <v>1</v>
      </c>
      <c r="K197" t="n">
        <v>0</v>
      </c>
      <c r="L197" t="n">
        <v>0</v>
      </c>
      <c r="M197" t="n">
        <v>0</v>
      </c>
      <c r="N197" t="n">
        <v>0</v>
      </c>
      <c r="O197" t="n">
        <v>1</v>
      </c>
      <c r="P197" t="n">
        <v>0</v>
      </c>
      <c r="Q197" t="n">
        <v>1</v>
      </c>
      <c r="R197" s="2" t="inlineStr">
        <is>
          <t>Blå taggsvamp</t>
        </is>
      </c>
      <c r="S197">
        <f>HYPERLINK("https://klasma.github.io/Logging_2326/artfynd/A 40210-2024 artfynd.xlsx", "A 40210-2024")</f>
        <v/>
      </c>
      <c r="T197">
        <f>HYPERLINK("https://klasma.github.io/Logging_2326/kartor/A 40210-2024 karta.png", "A 40210-2024")</f>
        <v/>
      </c>
      <c r="V197">
        <f>HYPERLINK("https://klasma.github.io/Logging_2326/klagomål/A 40210-2024 FSC-klagomål.docx", "A 40210-2024")</f>
        <v/>
      </c>
      <c r="W197">
        <f>HYPERLINK("https://klasma.github.io/Logging_2326/klagomålsmail/A 40210-2024 FSC-klagomål mail.docx", "A 40210-2024")</f>
        <v/>
      </c>
      <c r="X197">
        <f>HYPERLINK("https://klasma.github.io/Logging_2326/tillsyn/A 40210-2024 tillsynsbegäran.docx", "A 40210-2024")</f>
        <v/>
      </c>
      <c r="Y197">
        <f>HYPERLINK("https://klasma.github.io/Logging_2326/tillsynsmail/A 40210-2024 tillsynsbegäran mail.docx", "A 40210-2024")</f>
        <v/>
      </c>
    </row>
    <row r="198" ht="15" customHeight="1">
      <c r="A198" t="inlineStr">
        <is>
          <t>A 40440-2024</t>
        </is>
      </c>
      <c r="B198" s="1" t="n">
        <v>45555</v>
      </c>
      <c r="C198" s="1" t="n">
        <v>45755</v>
      </c>
      <c r="D198" t="inlineStr">
        <is>
          <t>JÄMTLANDS LÄN</t>
        </is>
      </c>
      <c r="E198" t="inlineStr">
        <is>
          <t>BERG</t>
        </is>
      </c>
      <c r="G198" t="n">
        <v>3.6</v>
      </c>
      <c r="H198" t="n">
        <v>1</v>
      </c>
      <c r="I198" t="n">
        <v>0</v>
      </c>
      <c r="J198" t="n">
        <v>0</v>
      </c>
      <c r="K198" t="n">
        <v>0</v>
      </c>
      <c r="L198" t="n">
        <v>0</v>
      </c>
      <c r="M198" t="n">
        <v>0</v>
      </c>
      <c r="N198" t="n">
        <v>0</v>
      </c>
      <c r="O198" t="n">
        <v>0</v>
      </c>
      <c r="P198" t="n">
        <v>0</v>
      </c>
      <c r="Q198" t="n">
        <v>1</v>
      </c>
      <c r="R198" s="2" t="inlineStr">
        <is>
          <t>Fläcknycklar</t>
        </is>
      </c>
      <c r="S198">
        <f>HYPERLINK("https://klasma.github.io/Logging_2326/artfynd/A 40440-2024 artfynd.xlsx", "A 40440-2024")</f>
        <v/>
      </c>
      <c r="T198">
        <f>HYPERLINK("https://klasma.github.io/Logging_2326/kartor/A 40440-2024 karta.png", "A 40440-2024")</f>
        <v/>
      </c>
      <c r="V198">
        <f>HYPERLINK("https://klasma.github.io/Logging_2326/klagomål/A 40440-2024 FSC-klagomål.docx", "A 40440-2024")</f>
        <v/>
      </c>
      <c r="W198">
        <f>HYPERLINK("https://klasma.github.io/Logging_2326/klagomålsmail/A 40440-2024 FSC-klagomål mail.docx", "A 40440-2024")</f>
        <v/>
      </c>
      <c r="X198">
        <f>HYPERLINK("https://klasma.github.io/Logging_2326/tillsyn/A 40440-2024 tillsynsbegäran.docx", "A 40440-2024")</f>
        <v/>
      </c>
      <c r="Y198">
        <f>HYPERLINK("https://klasma.github.io/Logging_2326/tillsynsmail/A 40440-2024 tillsynsbegäran mail.docx", "A 40440-2024")</f>
        <v/>
      </c>
    </row>
    <row r="199" ht="15" customHeight="1">
      <c r="A199" t="inlineStr">
        <is>
          <t>A 41635-2024</t>
        </is>
      </c>
      <c r="B199" s="1" t="n">
        <v>45560</v>
      </c>
      <c r="C199" s="1" t="n">
        <v>45755</v>
      </c>
      <c r="D199" t="inlineStr">
        <is>
          <t>JÄMTLANDS LÄN</t>
        </is>
      </c>
      <c r="E199" t="inlineStr">
        <is>
          <t>BERG</t>
        </is>
      </c>
      <c r="F199" t="inlineStr">
        <is>
          <t>SCA</t>
        </is>
      </c>
      <c r="G199" t="n">
        <v>4.2</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41635-2024 artfynd.xlsx", "A 41635-2024")</f>
        <v/>
      </c>
      <c r="T199">
        <f>HYPERLINK("https://klasma.github.io/Logging_2326/kartor/A 41635-2024 karta.png", "A 41635-2024")</f>
        <v/>
      </c>
      <c r="V199">
        <f>HYPERLINK("https://klasma.github.io/Logging_2326/klagomål/A 41635-2024 FSC-klagomål.docx", "A 41635-2024")</f>
        <v/>
      </c>
      <c r="W199">
        <f>HYPERLINK("https://klasma.github.io/Logging_2326/klagomålsmail/A 41635-2024 FSC-klagomål mail.docx", "A 41635-2024")</f>
        <v/>
      </c>
      <c r="X199">
        <f>HYPERLINK("https://klasma.github.io/Logging_2326/tillsyn/A 41635-2024 tillsynsbegäran.docx", "A 41635-2024")</f>
        <v/>
      </c>
      <c r="Y199">
        <f>HYPERLINK("https://klasma.github.io/Logging_2326/tillsynsmail/A 41635-2024 tillsynsbegäran mail.docx", "A 41635-2024")</f>
        <v/>
      </c>
    </row>
    <row r="200" ht="15" customHeight="1">
      <c r="A200" t="inlineStr">
        <is>
          <t>A 44259-2024</t>
        </is>
      </c>
      <c r="B200" s="1" t="n">
        <v>45573</v>
      </c>
      <c r="C200" s="1" t="n">
        <v>45755</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44259-2024 artfynd.xlsx", "A 44259-2024")</f>
        <v/>
      </c>
      <c r="T200">
        <f>HYPERLINK("https://klasma.github.io/Logging_2326/kartor/A 44259-2024 karta.png", "A 44259-2024")</f>
        <v/>
      </c>
      <c r="V200">
        <f>HYPERLINK("https://klasma.github.io/Logging_2326/klagomål/A 44259-2024 FSC-klagomål.docx", "A 44259-2024")</f>
        <v/>
      </c>
      <c r="W200">
        <f>HYPERLINK("https://klasma.github.io/Logging_2326/klagomålsmail/A 44259-2024 FSC-klagomål mail.docx", "A 44259-2024")</f>
        <v/>
      </c>
      <c r="X200">
        <f>HYPERLINK("https://klasma.github.io/Logging_2326/tillsyn/A 44259-2024 tillsynsbegäran.docx", "A 44259-2024")</f>
        <v/>
      </c>
      <c r="Y200">
        <f>HYPERLINK("https://klasma.github.io/Logging_2326/tillsynsmail/A 44259-2024 tillsynsbegäran mail.docx", "A 44259-2024")</f>
        <v/>
      </c>
      <c r="Z200">
        <f>HYPERLINK("https://klasma.github.io/Logging_2326/fåglar/A 44259-2024 prioriterade fågelarter.docx", "A 44259-2024")</f>
        <v/>
      </c>
    </row>
    <row r="201" ht="15" customHeight="1">
      <c r="A201" t="inlineStr">
        <is>
          <t>A 49049-2024</t>
        </is>
      </c>
      <c r="B201" s="1" t="n">
        <v>45594</v>
      </c>
      <c r="C201" s="1" t="n">
        <v>45755</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49049-2024 artfynd.xlsx", "A 49049-2024")</f>
        <v/>
      </c>
      <c r="T201">
        <f>HYPERLINK("https://klasma.github.io/Logging_2326/kartor/A 49049-2024 karta.png", "A 49049-2024")</f>
        <v/>
      </c>
      <c r="V201">
        <f>HYPERLINK("https://klasma.github.io/Logging_2326/klagomål/A 49049-2024 FSC-klagomål.docx", "A 49049-2024")</f>
        <v/>
      </c>
      <c r="W201">
        <f>HYPERLINK("https://klasma.github.io/Logging_2326/klagomålsmail/A 49049-2024 FSC-klagomål mail.docx", "A 49049-2024")</f>
        <v/>
      </c>
      <c r="X201">
        <f>HYPERLINK("https://klasma.github.io/Logging_2326/tillsyn/A 49049-2024 tillsynsbegäran.docx", "A 49049-2024")</f>
        <v/>
      </c>
      <c r="Y201">
        <f>HYPERLINK("https://klasma.github.io/Logging_2326/tillsynsmail/A 49049-2024 tillsynsbegäran mail.docx", "A 49049-2024")</f>
        <v/>
      </c>
    </row>
    <row r="202" ht="15" customHeight="1">
      <c r="A202" t="inlineStr">
        <is>
          <t>A 49276-2024</t>
        </is>
      </c>
      <c r="B202" s="1" t="n">
        <v>45595</v>
      </c>
      <c r="C202" s="1" t="n">
        <v>45755</v>
      </c>
      <c r="D202" t="inlineStr">
        <is>
          <t>JÄMTLANDS LÄN</t>
        </is>
      </c>
      <c r="E202" t="inlineStr">
        <is>
          <t>BERG</t>
        </is>
      </c>
      <c r="G202" t="n">
        <v>0.8</v>
      </c>
      <c r="H202" t="n">
        <v>1</v>
      </c>
      <c r="I202" t="n">
        <v>1</v>
      </c>
      <c r="J202" t="n">
        <v>0</v>
      </c>
      <c r="K202" t="n">
        <v>0</v>
      </c>
      <c r="L202" t="n">
        <v>0</v>
      </c>
      <c r="M202" t="n">
        <v>0</v>
      </c>
      <c r="N202" t="n">
        <v>0</v>
      </c>
      <c r="O202" t="n">
        <v>0</v>
      </c>
      <c r="P202" t="n">
        <v>0</v>
      </c>
      <c r="Q202" t="n">
        <v>1</v>
      </c>
      <c r="R202" s="2" t="inlineStr">
        <is>
          <t>Korallrot</t>
        </is>
      </c>
      <c r="S202">
        <f>HYPERLINK("https://klasma.github.io/Logging_2326/artfynd/A 49276-2024 artfynd.xlsx", "A 49276-2024")</f>
        <v/>
      </c>
      <c r="T202">
        <f>HYPERLINK("https://klasma.github.io/Logging_2326/kartor/A 49276-2024 karta.png", "A 49276-2024")</f>
        <v/>
      </c>
      <c r="V202">
        <f>HYPERLINK("https://klasma.github.io/Logging_2326/klagomål/A 49276-2024 FSC-klagomål.docx", "A 49276-2024")</f>
        <v/>
      </c>
      <c r="W202">
        <f>HYPERLINK("https://klasma.github.io/Logging_2326/klagomålsmail/A 49276-2024 FSC-klagomål mail.docx", "A 49276-2024")</f>
        <v/>
      </c>
      <c r="X202">
        <f>HYPERLINK("https://klasma.github.io/Logging_2326/tillsyn/A 49276-2024 tillsynsbegäran.docx", "A 49276-2024")</f>
        <v/>
      </c>
      <c r="Y202">
        <f>HYPERLINK("https://klasma.github.io/Logging_2326/tillsynsmail/A 49276-2024 tillsynsbegäran mail.docx", "A 49276-2024")</f>
        <v/>
      </c>
    </row>
    <row r="203" ht="15" customHeight="1">
      <c r="A203" t="inlineStr">
        <is>
          <t>A 50556-2024</t>
        </is>
      </c>
      <c r="B203" s="1" t="n">
        <v>45601</v>
      </c>
      <c r="C203" s="1" t="n">
        <v>45755</v>
      </c>
      <c r="D203" t="inlineStr">
        <is>
          <t>JÄMTLANDS LÄN</t>
        </is>
      </c>
      <c r="E203" t="inlineStr">
        <is>
          <t>BERG</t>
        </is>
      </c>
      <c r="G203" t="n">
        <v>5.7</v>
      </c>
      <c r="H203" t="n">
        <v>0</v>
      </c>
      <c r="I203" t="n">
        <v>0</v>
      </c>
      <c r="J203" t="n">
        <v>1</v>
      </c>
      <c r="K203" t="n">
        <v>0</v>
      </c>
      <c r="L203" t="n">
        <v>0</v>
      </c>
      <c r="M203" t="n">
        <v>0</v>
      </c>
      <c r="N203" t="n">
        <v>0</v>
      </c>
      <c r="O203" t="n">
        <v>1</v>
      </c>
      <c r="P203" t="n">
        <v>0</v>
      </c>
      <c r="Q203" t="n">
        <v>1</v>
      </c>
      <c r="R203" s="2" t="inlineStr">
        <is>
          <t>Kalkbräken</t>
        </is>
      </c>
      <c r="S203">
        <f>HYPERLINK("https://klasma.github.io/Logging_2326/artfynd/A 50556-2024 artfynd.xlsx", "A 50556-2024")</f>
        <v/>
      </c>
      <c r="T203">
        <f>HYPERLINK("https://klasma.github.io/Logging_2326/kartor/A 50556-2024 karta.png", "A 50556-2024")</f>
        <v/>
      </c>
      <c r="V203">
        <f>HYPERLINK("https://klasma.github.io/Logging_2326/klagomål/A 50556-2024 FSC-klagomål.docx", "A 50556-2024")</f>
        <v/>
      </c>
      <c r="W203">
        <f>HYPERLINK("https://klasma.github.io/Logging_2326/klagomålsmail/A 50556-2024 FSC-klagomål mail.docx", "A 50556-2024")</f>
        <v/>
      </c>
      <c r="X203">
        <f>HYPERLINK("https://klasma.github.io/Logging_2326/tillsyn/A 50556-2024 tillsynsbegäran.docx", "A 50556-2024")</f>
        <v/>
      </c>
      <c r="Y203">
        <f>HYPERLINK("https://klasma.github.io/Logging_2326/tillsynsmail/A 50556-2024 tillsynsbegäran mail.docx", "A 50556-2024")</f>
        <v/>
      </c>
    </row>
    <row r="204" ht="15" customHeight="1">
      <c r="A204" t="inlineStr">
        <is>
          <t>A 52193-2024</t>
        </is>
      </c>
      <c r="B204" s="1" t="n">
        <v>45608</v>
      </c>
      <c r="C204" s="1" t="n">
        <v>45755</v>
      </c>
      <c r="D204" t="inlineStr">
        <is>
          <t>JÄMTLANDS LÄN</t>
        </is>
      </c>
      <c r="E204" t="inlineStr">
        <is>
          <t>BERG</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52193-2024 artfynd.xlsx", "A 52193-2024")</f>
        <v/>
      </c>
      <c r="T204">
        <f>HYPERLINK("https://klasma.github.io/Logging_2326/kartor/A 52193-2024 karta.png", "A 52193-2024")</f>
        <v/>
      </c>
      <c r="V204">
        <f>HYPERLINK("https://klasma.github.io/Logging_2326/klagomål/A 52193-2024 FSC-klagomål.docx", "A 52193-2024")</f>
        <v/>
      </c>
      <c r="W204">
        <f>HYPERLINK("https://klasma.github.io/Logging_2326/klagomålsmail/A 52193-2024 FSC-klagomål mail.docx", "A 52193-2024")</f>
        <v/>
      </c>
      <c r="X204">
        <f>HYPERLINK("https://klasma.github.io/Logging_2326/tillsyn/A 52193-2024 tillsynsbegäran.docx", "A 52193-2024")</f>
        <v/>
      </c>
      <c r="Y204">
        <f>HYPERLINK("https://klasma.github.io/Logging_2326/tillsynsmail/A 52193-2024 tillsynsbegäran mail.docx", "A 52193-2024")</f>
        <v/>
      </c>
      <c r="Z204">
        <f>HYPERLINK("https://klasma.github.io/Logging_2326/fåglar/A 52193-2024 prioriterade fågelarter.docx", "A 52193-2024")</f>
        <v/>
      </c>
    </row>
    <row r="205" ht="15" customHeight="1">
      <c r="A205" t="inlineStr">
        <is>
          <t>A 53086-2024</t>
        </is>
      </c>
      <c r="B205" s="1" t="n">
        <v>45611</v>
      </c>
      <c r="C205" s="1" t="n">
        <v>45755</v>
      </c>
      <c r="D205" t="inlineStr">
        <is>
          <t>JÄMTLANDS LÄN</t>
        </is>
      </c>
      <c r="E205" t="inlineStr">
        <is>
          <t>BERG</t>
        </is>
      </c>
      <c r="F205" t="inlineStr">
        <is>
          <t>SCA</t>
        </is>
      </c>
      <c r="G205" t="n">
        <v>7.7</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53086-2024 artfynd.xlsx", "A 53086-2024")</f>
        <v/>
      </c>
      <c r="T205">
        <f>HYPERLINK("https://klasma.github.io/Logging_2326/kartor/A 53086-2024 karta.png", "A 53086-2024")</f>
        <v/>
      </c>
      <c r="V205">
        <f>HYPERLINK("https://klasma.github.io/Logging_2326/klagomål/A 53086-2024 FSC-klagomål.docx", "A 53086-2024")</f>
        <v/>
      </c>
      <c r="W205">
        <f>HYPERLINK("https://klasma.github.io/Logging_2326/klagomålsmail/A 53086-2024 FSC-klagomål mail.docx", "A 53086-2024")</f>
        <v/>
      </c>
      <c r="X205">
        <f>HYPERLINK("https://klasma.github.io/Logging_2326/tillsyn/A 53086-2024 tillsynsbegäran.docx", "A 53086-2024")</f>
        <v/>
      </c>
      <c r="Y205">
        <f>HYPERLINK("https://klasma.github.io/Logging_2326/tillsynsmail/A 53086-2024 tillsynsbegäran mail.docx", "A 53086-2024")</f>
        <v/>
      </c>
    </row>
    <row r="206" ht="15" customHeight="1">
      <c r="A206" t="inlineStr">
        <is>
          <t>A 54595-2024</t>
        </is>
      </c>
      <c r="B206" s="1" t="n">
        <v>45617</v>
      </c>
      <c r="C206" s="1" t="n">
        <v>45755</v>
      </c>
      <c r="D206" t="inlineStr">
        <is>
          <t>JÄMTLANDS LÄN</t>
        </is>
      </c>
      <c r="E206" t="inlineStr">
        <is>
          <t>BERG</t>
        </is>
      </c>
      <c r="G206" t="n">
        <v>4.4</v>
      </c>
      <c r="H206" t="n">
        <v>1</v>
      </c>
      <c r="I206" t="n">
        <v>0</v>
      </c>
      <c r="J206" t="n">
        <v>0</v>
      </c>
      <c r="K206" t="n">
        <v>0</v>
      </c>
      <c r="L206" t="n">
        <v>0</v>
      </c>
      <c r="M206" t="n">
        <v>0</v>
      </c>
      <c r="N206" t="n">
        <v>0</v>
      </c>
      <c r="O206" t="n">
        <v>0</v>
      </c>
      <c r="P206" t="n">
        <v>0</v>
      </c>
      <c r="Q206" t="n">
        <v>1</v>
      </c>
      <c r="R206" s="2" t="inlineStr">
        <is>
          <t>Tjäder</t>
        </is>
      </c>
      <c r="S206">
        <f>HYPERLINK("https://klasma.github.io/Logging_2326/artfynd/A 54595-2024 artfynd.xlsx", "A 54595-2024")</f>
        <v/>
      </c>
      <c r="T206">
        <f>HYPERLINK("https://klasma.github.io/Logging_2326/kartor/A 54595-2024 karta.png", "A 54595-2024")</f>
        <v/>
      </c>
      <c r="V206">
        <f>HYPERLINK("https://klasma.github.io/Logging_2326/klagomål/A 54595-2024 FSC-klagomål.docx", "A 54595-2024")</f>
        <v/>
      </c>
      <c r="W206">
        <f>HYPERLINK("https://klasma.github.io/Logging_2326/klagomålsmail/A 54595-2024 FSC-klagomål mail.docx", "A 54595-2024")</f>
        <v/>
      </c>
      <c r="X206">
        <f>HYPERLINK("https://klasma.github.io/Logging_2326/tillsyn/A 54595-2024 tillsynsbegäran.docx", "A 54595-2024")</f>
        <v/>
      </c>
      <c r="Y206">
        <f>HYPERLINK("https://klasma.github.io/Logging_2326/tillsynsmail/A 54595-2024 tillsynsbegäran mail.docx", "A 54595-2024")</f>
        <v/>
      </c>
      <c r="Z206">
        <f>HYPERLINK("https://klasma.github.io/Logging_2326/fåglar/A 54595-2024 prioriterade fågelarter.docx", "A 54595-2024")</f>
        <v/>
      </c>
    </row>
    <row r="207" ht="15" customHeight="1">
      <c r="A207" t="inlineStr">
        <is>
          <t>A 5504-2025</t>
        </is>
      </c>
      <c r="B207" s="1" t="n">
        <v>45693</v>
      </c>
      <c r="C207" s="1" t="n">
        <v>45755</v>
      </c>
      <c r="D207" t="inlineStr">
        <is>
          <t>JÄMTLANDS LÄN</t>
        </is>
      </c>
      <c r="E207" t="inlineStr">
        <is>
          <t>BERG</t>
        </is>
      </c>
      <c r="G207" t="n">
        <v>19.1</v>
      </c>
      <c r="H207" t="n">
        <v>0</v>
      </c>
      <c r="I207" t="n">
        <v>0</v>
      </c>
      <c r="J207" t="n">
        <v>0</v>
      </c>
      <c r="K207" t="n">
        <v>1</v>
      </c>
      <c r="L207" t="n">
        <v>0</v>
      </c>
      <c r="M207" t="n">
        <v>0</v>
      </c>
      <c r="N207" t="n">
        <v>0</v>
      </c>
      <c r="O207" t="n">
        <v>1</v>
      </c>
      <c r="P207" t="n">
        <v>1</v>
      </c>
      <c r="Q207" t="n">
        <v>1</v>
      </c>
      <c r="R207" s="2" t="inlineStr">
        <is>
          <t>Gräddporing</t>
        </is>
      </c>
      <c r="S207">
        <f>HYPERLINK("https://klasma.github.io/Logging_2326/artfynd/A 5504-2025 artfynd.xlsx", "A 5504-2025")</f>
        <v/>
      </c>
      <c r="T207">
        <f>HYPERLINK("https://klasma.github.io/Logging_2326/kartor/A 5504-2025 karta.png", "A 5504-2025")</f>
        <v/>
      </c>
      <c r="V207">
        <f>HYPERLINK("https://klasma.github.io/Logging_2326/klagomål/A 5504-2025 FSC-klagomål.docx", "A 5504-2025")</f>
        <v/>
      </c>
      <c r="W207">
        <f>HYPERLINK("https://klasma.github.io/Logging_2326/klagomålsmail/A 5504-2025 FSC-klagomål mail.docx", "A 5504-2025")</f>
        <v/>
      </c>
      <c r="X207">
        <f>HYPERLINK("https://klasma.github.io/Logging_2326/tillsyn/A 5504-2025 tillsynsbegäran.docx", "A 5504-2025")</f>
        <v/>
      </c>
      <c r="Y207">
        <f>HYPERLINK("https://klasma.github.io/Logging_2326/tillsynsmail/A 5504-2025 tillsynsbegäran mail.docx", "A 5504-2025")</f>
        <v/>
      </c>
    </row>
    <row r="208" ht="15" customHeight="1">
      <c r="A208" t="inlineStr">
        <is>
          <t>A 17791-2019</t>
        </is>
      </c>
      <c r="B208" s="1" t="n">
        <v>43556</v>
      </c>
      <c r="C208" s="1" t="n">
        <v>45755</v>
      </c>
      <c r="D208" t="inlineStr">
        <is>
          <t>JÄMTLANDS LÄN</t>
        </is>
      </c>
      <c r="E208" t="inlineStr">
        <is>
          <t>BERG</t>
        </is>
      </c>
      <c r="G208" t="n">
        <v>14.3</v>
      </c>
      <c r="H208" t="n">
        <v>0</v>
      </c>
      <c r="I208" t="n">
        <v>0</v>
      </c>
      <c r="J208" t="n">
        <v>0</v>
      </c>
      <c r="K208" t="n">
        <v>0</v>
      </c>
      <c r="L208" t="n">
        <v>0</v>
      </c>
      <c r="M208" t="n">
        <v>0</v>
      </c>
      <c r="N208" t="n">
        <v>0</v>
      </c>
      <c r="O208" t="n">
        <v>0</v>
      </c>
      <c r="P208" t="n">
        <v>0</v>
      </c>
      <c r="Q208" t="n">
        <v>0</v>
      </c>
      <c r="R208" s="2" t="inlineStr"/>
    </row>
    <row r="209" ht="15" customHeight="1">
      <c r="A209" t="inlineStr">
        <is>
          <t>A 21225-2019</t>
        </is>
      </c>
      <c r="B209" s="1" t="n">
        <v>43579</v>
      </c>
      <c r="C209" s="1" t="n">
        <v>45755</v>
      </c>
      <c r="D209" t="inlineStr">
        <is>
          <t>JÄMTLANDS LÄN</t>
        </is>
      </c>
      <c r="E209" t="inlineStr">
        <is>
          <t>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24710-2019</t>
        </is>
      </c>
      <c r="B210" s="1" t="n">
        <v>43601</v>
      </c>
      <c r="C210" s="1" t="n">
        <v>45755</v>
      </c>
      <c r="D210" t="inlineStr">
        <is>
          <t>JÄMTLANDS LÄN</t>
        </is>
      </c>
      <c r="E210" t="inlineStr">
        <is>
          <t>BERG</t>
        </is>
      </c>
      <c r="G210" t="n">
        <v>3.2</v>
      </c>
      <c r="H210" t="n">
        <v>0</v>
      </c>
      <c r="I210" t="n">
        <v>0</v>
      </c>
      <c r="J210" t="n">
        <v>0</v>
      </c>
      <c r="K210" t="n">
        <v>0</v>
      </c>
      <c r="L210" t="n">
        <v>0</v>
      </c>
      <c r="M210" t="n">
        <v>0</v>
      </c>
      <c r="N210" t="n">
        <v>0</v>
      </c>
      <c r="O210" t="n">
        <v>0</v>
      </c>
      <c r="P210" t="n">
        <v>0</v>
      </c>
      <c r="Q210" t="n">
        <v>0</v>
      </c>
      <c r="R210" s="2" t="inlineStr"/>
    </row>
    <row r="211" ht="15" customHeight="1">
      <c r="A211" t="inlineStr">
        <is>
          <t>A 24839-2019</t>
        </is>
      </c>
      <c r="B211" s="1" t="n">
        <v>43602</v>
      </c>
      <c r="C211" s="1" t="n">
        <v>45755</v>
      </c>
      <c r="D211" t="inlineStr">
        <is>
          <t>JÄMTLANDS LÄN</t>
        </is>
      </c>
      <c r="E211" t="inlineStr">
        <is>
          <t>BERG</t>
        </is>
      </c>
      <c r="G211" t="n">
        <v>5.9</v>
      </c>
      <c r="H211" t="n">
        <v>0</v>
      </c>
      <c r="I211" t="n">
        <v>0</v>
      </c>
      <c r="J211" t="n">
        <v>0</v>
      </c>
      <c r="K211" t="n">
        <v>0</v>
      </c>
      <c r="L211" t="n">
        <v>0</v>
      </c>
      <c r="M211" t="n">
        <v>0</v>
      </c>
      <c r="N211" t="n">
        <v>0</v>
      </c>
      <c r="O211" t="n">
        <v>0</v>
      </c>
      <c r="P211" t="n">
        <v>0</v>
      </c>
      <c r="Q211" t="n">
        <v>0</v>
      </c>
      <c r="R211" s="2" t="inlineStr"/>
    </row>
    <row r="212" ht="15" customHeight="1">
      <c r="A212" t="inlineStr">
        <is>
          <t>A 25844-2019</t>
        </is>
      </c>
      <c r="B212" s="1" t="n">
        <v>43605</v>
      </c>
      <c r="C212" s="1" t="n">
        <v>45755</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25588-2019</t>
        </is>
      </c>
      <c r="B213" s="1" t="n">
        <v>43607</v>
      </c>
      <c r="C213" s="1" t="n">
        <v>45755</v>
      </c>
      <c r="D213" t="inlineStr">
        <is>
          <t>JÄMTLANDS LÄN</t>
        </is>
      </c>
      <c r="E213" t="inlineStr">
        <is>
          <t>BERG</t>
        </is>
      </c>
      <c r="G213" t="n">
        <v>1.8</v>
      </c>
      <c r="H213" t="n">
        <v>0</v>
      </c>
      <c r="I213" t="n">
        <v>0</v>
      </c>
      <c r="J213" t="n">
        <v>0</v>
      </c>
      <c r="K213" t="n">
        <v>0</v>
      </c>
      <c r="L213" t="n">
        <v>0</v>
      </c>
      <c r="M213" t="n">
        <v>0</v>
      </c>
      <c r="N213" t="n">
        <v>0</v>
      </c>
      <c r="O213" t="n">
        <v>0</v>
      </c>
      <c r="P213" t="n">
        <v>0</v>
      </c>
      <c r="Q213" t="n">
        <v>0</v>
      </c>
      <c r="R213" s="2" t="inlineStr"/>
    </row>
    <row r="214" ht="15" customHeight="1">
      <c r="A214" t="inlineStr">
        <is>
          <t>A 25969-2019</t>
        </is>
      </c>
      <c r="B214" s="1" t="n">
        <v>43608</v>
      </c>
      <c r="C214" s="1" t="n">
        <v>45755</v>
      </c>
      <c r="D214" t="inlineStr">
        <is>
          <t>JÄMTLANDS LÄN</t>
        </is>
      </c>
      <c r="E214" t="inlineStr">
        <is>
          <t>BERG</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28788-2019</t>
        </is>
      </c>
      <c r="B215" s="1" t="n">
        <v>43616</v>
      </c>
      <c r="C215" s="1" t="n">
        <v>45755</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27540-2019</t>
        </is>
      </c>
      <c r="B216" s="1" t="n">
        <v>43619</v>
      </c>
      <c r="C216" s="1" t="n">
        <v>45755</v>
      </c>
      <c r="D216" t="inlineStr">
        <is>
          <t>JÄMTLANDS LÄN</t>
        </is>
      </c>
      <c r="E216" t="inlineStr">
        <is>
          <t>BERG</t>
        </is>
      </c>
      <c r="G216" t="n">
        <v>2.1</v>
      </c>
      <c r="H216" t="n">
        <v>0</v>
      </c>
      <c r="I216" t="n">
        <v>0</v>
      </c>
      <c r="J216" t="n">
        <v>0</v>
      </c>
      <c r="K216" t="n">
        <v>0</v>
      </c>
      <c r="L216" t="n">
        <v>0</v>
      </c>
      <c r="M216" t="n">
        <v>0</v>
      </c>
      <c r="N216" t="n">
        <v>0</v>
      </c>
      <c r="O216" t="n">
        <v>0</v>
      </c>
      <c r="P216" t="n">
        <v>0</v>
      </c>
      <c r="Q216" t="n">
        <v>0</v>
      </c>
      <c r="R216" s="2" t="inlineStr"/>
    </row>
    <row r="217" ht="15" customHeight="1">
      <c r="A217" t="inlineStr">
        <is>
          <t>A 28250-2019</t>
        </is>
      </c>
      <c r="B217" s="1" t="n">
        <v>43622</v>
      </c>
      <c r="C217" s="1" t="n">
        <v>45755</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29339-2019</t>
        </is>
      </c>
      <c r="B218" s="1" t="n">
        <v>43626</v>
      </c>
      <c r="C218" s="1" t="n">
        <v>45755</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29202-2019</t>
        </is>
      </c>
      <c r="B219" s="1" t="n">
        <v>43629</v>
      </c>
      <c r="C219" s="1" t="n">
        <v>45755</v>
      </c>
      <c r="D219" t="inlineStr">
        <is>
          <t>JÄMTLANDS LÄN</t>
        </is>
      </c>
      <c r="E219" t="inlineStr">
        <is>
          <t>BERG</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29728-2019</t>
        </is>
      </c>
      <c r="B220" s="1" t="n">
        <v>43630</v>
      </c>
      <c r="C220" s="1" t="n">
        <v>45755</v>
      </c>
      <c r="D220" t="inlineStr">
        <is>
          <t>JÄMTLANDS LÄN</t>
        </is>
      </c>
      <c r="E220" t="inlineStr">
        <is>
          <t>BERG</t>
        </is>
      </c>
      <c r="G220" t="n">
        <v>8.1</v>
      </c>
      <c r="H220" t="n">
        <v>0</v>
      </c>
      <c r="I220" t="n">
        <v>0</v>
      </c>
      <c r="J220" t="n">
        <v>0</v>
      </c>
      <c r="K220" t="n">
        <v>0</v>
      </c>
      <c r="L220" t="n">
        <v>0</v>
      </c>
      <c r="M220" t="n">
        <v>0</v>
      </c>
      <c r="N220" t="n">
        <v>0</v>
      </c>
      <c r="O220" t="n">
        <v>0</v>
      </c>
      <c r="P220" t="n">
        <v>0</v>
      </c>
      <c r="Q220" t="n">
        <v>0</v>
      </c>
      <c r="R220" s="2" t="inlineStr"/>
    </row>
    <row r="221" ht="15" customHeight="1">
      <c r="A221" t="inlineStr">
        <is>
          <t>A 31238-2019</t>
        </is>
      </c>
      <c r="B221" s="1" t="n">
        <v>43640</v>
      </c>
      <c r="C221" s="1" t="n">
        <v>45755</v>
      </c>
      <c r="D221" t="inlineStr">
        <is>
          <t>JÄMTLANDS LÄN</t>
        </is>
      </c>
      <c r="E221" t="inlineStr">
        <is>
          <t>BERG</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31206-2019</t>
        </is>
      </c>
      <c r="B222" s="1" t="n">
        <v>43640</v>
      </c>
      <c r="C222" s="1" t="n">
        <v>45755</v>
      </c>
      <c r="D222" t="inlineStr">
        <is>
          <t>JÄMTLANDS LÄN</t>
        </is>
      </c>
      <c r="E222" t="inlineStr">
        <is>
          <t>BERG</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31568-2019</t>
        </is>
      </c>
      <c r="B223" s="1" t="n">
        <v>43641</v>
      </c>
      <c r="C223" s="1" t="n">
        <v>45755</v>
      </c>
      <c r="D223" t="inlineStr">
        <is>
          <t>JÄMTLANDS LÄN</t>
        </is>
      </c>
      <c r="E223" t="inlineStr">
        <is>
          <t>BERG</t>
        </is>
      </c>
      <c r="F223" t="inlineStr">
        <is>
          <t>SCA</t>
        </is>
      </c>
      <c r="G223" t="n">
        <v>16.4</v>
      </c>
      <c r="H223" t="n">
        <v>0</v>
      </c>
      <c r="I223" t="n">
        <v>0</v>
      </c>
      <c r="J223" t="n">
        <v>0</v>
      </c>
      <c r="K223" t="n">
        <v>0</v>
      </c>
      <c r="L223" t="n">
        <v>0</v>
      </c>
      <c r="M223" t="n">
        <v>0</v>
      </c>
      <c r="N223" t="n">
        <v>0</v>
      </c>
      <c r="O223" t="n">
        <v>0</v>
      </c>
      <c r="P223" t="n">
        <v>0</v>
      </c>
      <c r="Q223" t="n">
        <v>0</v>
      </c>
      <c r="R223" s="2" t="inlineStr"/>
    </row>
    <row r="224" ht="15" customHeight="1">
      <c r="A224" t="inlineStr">
        <is>
          <t>A 32054-2019</t>
        </is>
      </c>
      <c r="B224" s="1" t="n">
        <v>43643</v>
      </c>
      <c r="C224" s="1" t="n">
        <v>45755</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32123-2019</t>
        </is>
      </c>
      <c r="B225" s="1" t="n">
        <v>43643</v>
      </c>
      <c r="C225" s="1" t="n">
        <v>45755</v>
      </c>
      <c r="D225" t="inlineStr">
        <is>
          <t>JÄMTLANDS LÄN</t>
        </is>
      </c>
      <c r="E225" t="inlineStr">
        <is>
          <t>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32156-2019</t>
        </is>
      </c>
      <c r="B226" s="1" t="n">
        <v>43643</v>
      </c>
      <c r="C226" s="1" t="n">
        <v>45755</v>
      </c>
      <c r="D226" t="inlineStr">
        <is>
          <t>JÄMTLANDS LÄN</t>
        </is>
      </c>
      <c r="E226" t="inlineStr">
        <is>
          <t>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34469-2019</t>
        </is>
      </c>
      <c r="B227" s="1" t="n">
        <v>43656</v>
      </c>
      <c r="C227" s="1" t="n">
        <v>45755</v>
      </c>
      <c r="D227" t="inlineStr">
        <is>
          <t>JÄMTLANDS LÄN</t>
        </is>
      </c>
      <c r="E227" t="inlineStr">
        <is>
          <t>BERG</t>
        </is>
      </c>
      <c r="G227" t="n">
        <v>6.3</v>
      </c>
      <c r="H227" t="n">
        <v>0</v>
      </c>
      <c r="I227" t="n">
        <v>0</v>
      </c>
      <c r="J227" t="n">
        <v>0</v>
      </c>
      <c r="K227" t="n">
        <v>0</v>
      </c>
      <c r="L227" t="n">
        <v>0</v>
      </c>
      <c r="M227" t="n">
        <v>0</v>
      </c>
      <c r="N227" t="n">
        <v>0</v>
      </c>
      <c r="O227" t="n">
        <v>0</v>
      </c>
      <c r="P227" t="n">
        <v>0</v>
      </c>
      <c r="Q227" t="n">
        <v>0</v>
      </c>
      <c r="R227" s="2" t="inlineStr"/>
    </row>
    <row r="228" ht="15" customHeight="1">
      <c r="A228" t="inlineStr">
        <is>
          <t>A 34468-2019</t>
        </is>
      </c>
      <c r="B228" s="1" t="n">
        <v>43656</v>
      </c>
      <c r="C228" s="1" t="n">
        <v>45755</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34663-2019</t>
        </is>
      </c>
      <c r="B229" s="1" t="n">
        <v>43657</v>
      </c>
      <c r="C229" s="1" t="n">
        <v>45755</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35043-2019</t>
        </is>
      </c>
      <c r="B230" s="1" t="n">
        <v>43661</v>
      </c>
      <c r="C230" s="1" t="n">
        <v>45755</v>
      </c>
      <c r="D230" t="inlineStr">
        <is>
          <t>JÄMTLANDS LÄN</t>
        </is>
      </c>
      <c r="E230" t="inlineStr">
        <is>
          <t>BERG</t>
        </is>
      </c>
      <c r="G230" t="n">
        <v>4</v>
      </c>
      <c r="H230" t="n">
        <v>0</v>
      </c>
      <c r="I230" t="n">
        <v>0</v>
      </c>
      <c r="J230" t="n">
        <v>0</v>
      </c>
      <c r="K230" t="n">
        <v>0</v>
      </c>
      <c r="L230" t="n">
        <v>0</v>
      </c>
      <c r="M230" t="n">
        <v>0</v>
      </c>
      <c r="N230" t="n">
        <v>0</v>
      </c>
      <c r="O230" t="n">
        <v>0</v>
      </c>
      <c r="P230" t="n">
        <v>0</v>
      </c>
      <c r="Q230" t="n">
        <v>0</v>
      </c>
      <c r="R230" s="2" t="inlineStr"/>
    </row>
    <row r="231" ht="15" customHeight="1">
      <c r="A231" t="inlineStr">
        <is>
          <t>A 36375-2019</t>
        </is>
      </c>
      <c r="B231" s="1" t="n">
        <v>43662</v>
      </c>
      <c r="C231" s="1" t="n">
        <v>45755</v>
      </c>
      <c r="D231" t="inlineStr">
        <is>
          <t>JÄMTLANDS LÄN</t>
        </is>
      </c>
      <c r="E231" t="inlineStr">
        <is>
          <t>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36702-2019</t>
        </is>
      </c>
      <c r="B232" s="1" t="n">
        <v>43671</v>
      </c>
      <c r="C232" s="1" t="n">
        <v>45755</v>
      </c>
      <c r="D232" t="inlineStr">
        <is>
          <t>JÄMTLANDS LÄN</t>
        </is>
      </c>
      <c r="E232" t="inlineStr">
        <is>
          <t>BERG</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37426-2019</t>
        </is>
      </c>
      <c r="B233" s="1" t="n">
        <v>43678</v>
      </c>
      <c r="C233" s="1" t="n">
        <v>45755</v>
      </c>
      <c r="D233" t="inlineStr">
        <is>
          <t>JÄMTLANDS LÄN</t>
        </is>
      </c>
      <c r="E233" t="inlineStr">
        <is>
          <t>BERG</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37890-2019</t>
        </is>
      </c>
      <c r="B234" s="1" t="n">
        <v>43682</v>
      </c>
      <c r="C234" s="1" t="n">
        <v>45755</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38319-2019</t>
        </is>
      </c>
      <c r="B235" s="1" t="n">
        <v>43684</v>
      </c>
      <c r="C235" s="1" t="n">
        <v>45755</v>
      </c>
      <c r="D235" t="inlineStr">
        <is>
          <t>JÄMTLANDS LÄN</t>
        </is>
      </c>
      <c r="E235" t="inlineStr">
        <is>
          <t>BERG</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39128-2019</t>
        </is>
      </c>
      <c r="B236" s="1" t="n">
        <v>43689</v>
      </c>
      <c r="C236" s="1" t="n">
        <v>45755</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39127-2019</t>
        </is>
      </c>
      <c r="B237" s="1" t="n">
        <v>43689</v>
      </c>
      <c r="C237" s="1" t="n">
        <v>45755</v>
      </c>
      <c r="D237" t="inlineStr">
        <is>
          <t>JÄMTLANDS LÄN</t>
        </is>
      </c>
      <c r="E237" t="inlineStr">
        <is>
          <t>BERG</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39130-2019</t>
        </is>
      </c>
      <c r="B238" s="1" t="n">
        <v>43689</v>
      </c>
      <c r="C238" s="1" t="n">
        <v>45755</v>
      </c>
      <c r="D238" t="inlineStr">
        <is>
          <t>JÄMTLANDS LÄN</t>
        </is>
      </c>
      <c r="E238" t="inlineStr">
        <is>
          <t>BERG</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40478-2019</t>
        </is>
      </c>
      <c r="B239" s="1" t="n">
        <v>43696</v>
      </c>
      <c r="C239" s="1" t="n">
        <v>45755</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40529-2019</t>
        </is>
      </c>
      <c r="B240" s="1" t="n">
        <v>43696</v>
      </c>
      <c r="C240" s="1" t="n">
        <v>45755</v>
      </c>
      <c r="D240" t="inlineStr">
        <is>
          <t>JÄMTLANDS LÄN</t>
        </is>
      </c>
      <c r="E240" t="inlineStr">
        <is>
          <t>BERG</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40479-2019</t>
        </is>
      </c>
      <c r="B241" s="1" t="n">
        <v>43696</v>
      </c>
      <c r="C241" s="1" t="n">
        <v>45755</v>
      </c>
      <c r="D241" t="inlineStr">
        <is>
          <t>JÄMTLANDS LÄN</t>
        </is>
      </c>
      <c r="E241" t="inlineStr">
        <is>
          <t>BERG</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40584-2019</t>
        </is>
      </c>
      <c r="B242" s="1" t="n">
        <v>43696</v>
      </c>
      <c r="C242" s="1" t="n">
        <v>45755</v>
      </c>
      <c r="D242" t="inlineStr">
        <is>
          <t>JÄMTLANDS LÄN</t>
        </is>
      </c>
      <c r="E242" t="inlineStr">
        <is>
          <t>BERG</t>
        </is>
      </c>
      <c r="G242" t="n">
        <v>7.1</v>
      </c>
      <c r="H242" t="n">
        <v>0</v>
      </c>
      <c r="I242" t="n">
        <v>0</v>
      </c>
      <c r="J242" t="n">
        <v>0</v>
      </c>
      <c r="K242" t="n">
        <v>0</v>
      </c>
      <c r="L242" t="n">
        <v>0</v>
      </c>
      <c r="M242" t="n">
        <v>0</v>
      </c>
      <c r="N242" t="n">
        <v>0</v>
      </c>
      <c r="O242" t="n">
        <v>0</v>
      </c>
      <c r="P242" t="n">
        <v>0</v>
      </c>
      <c r="Q242" t="n">
        <v>0</v>
      </c>
      <c r="R242" s="2" t="inlineStr"/>
    </row>
    <row r="243" ht="15" customHeight="1">
      <c r="A243" t="inlineStr">
        <is>
          <t>A 41452-2019</t>
        </is>
      </c>
      <c r="B243" s="1" t="n">
        <v>43699</v>
      </c>
      <c r="C243" s="1" t="n">
        <v>45755</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43210-2019</t>
        </is>
      </c>
      <c r="B244" s="1" t="n">
        <v>43705</v>
      </c>
      <c r="C244" s="1" t="n">
        <v>45755</v>
      </c>
      <c r="D244" t="inlineStr">
        <is>
          <t>JÄMTLANDS LÄN</t>
        </is>
      </c>
      <c r="E244" t="inlineStr">
        <is>
          <t>BERG</t>
        </is>
      </c>
      <c r="F244" t="inlineStr">
        <is>
          <t>SCA</t>
        </is>
      </c>
      <c r="G244" t="n">
        <v>11.7</v>
      </c>
      <c r="H244" t="n">
        <v>0</v>
      </c>
      <c r="I244" t="n">
        <v>0</v>
      </c>
      <c r="J244" t="n">
        <v>0</v>
      </c>
      <c r="K244" t="n">
        <v>0</v>
      </c>
      <c r="L244" t="n">
        <v>0</v>
      </c>
      <c r="M244" t="n">
        <v>0</v>
      </c>
      <c r="N244" t="n">
        <v>0</v>
      </c>
      <c r="O244" t="n">
        <v>0</v>
      </c>
      <c r="P244" t="n">
        <v>0</v>
      </c>
      <c r="Q244" t="n">
        <v>0</v>
      </c>
      <c r="R244" s="2" t="inlineStr"/>
    </row>
    <row r="245" ht="15" customHeight="1">
      <c r="A245" t="inlineStr">
        <is>
          <t>A 43942-2019</t>
        </is>
      </c>
      <c r="B245" s="1" t="n">
        <v>43707</v>
      </c>
      <c r="C245" s="1" t="n">
        <v>45755</v>
      </c>
      <c r="D245" t="inlineStr">
        <is>
          <t>JÄMTLANDS LÄN</t>
        </is>
      </c>
      <c r="E245" t="inlineStr">
        <is>
          <t>BERG</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44810-2019</t>
        </is>
      </c>
      <c r="B246" s="1" t="n">
        <v>43712</v>
      </c>
      <c r="C246" s="1" t="n">
        <v>45755</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44631-2019</t>
        </is>
      </c>
      <c r="B247" s="1" t="n">
        <v>43712</v>
      </c>
      <c r="C247" s="1" t="n">
        <v>45755</v>
      </c>
      <c r="D247" t="inlineStr">
        <is>
          <t>JÄMTLANDS LÄN</t>
        </is>
      </c>
      <c r="E247" t="inlineStr">
        <is>
          <t>BERG</t>
        </is>
      </c>
      <c r="G247" t="n">
        <v>5.7</v>
      </c>
      <c r="H247" t="n">
        <v>0</v>
      </c>
      <c r="I247" t="n">
        <v>0</v>
      </c>
      <c r="J247" t="n">
        <v>0</v>
      </c>
      <c r="K247" t="n">
        <v>0</v>
      </c>
      <c r="L247" t="n">
        <v>0</v>
      </c>
      <c r="M247" t="n">
        <v>0</v>
      </c>
      <c r="N247" t="n">
        <v>0</v>
      </c>
      <c r="O247" t="n">
        <v>0</v>
      </c>
      <c r="P247" t="n">
        <v>0</v>
      </c>
      <c r="Q247" t="n">
        <v>0</v>
      </c>
      <c r="R247" s="2" t="inlineStr"/>
    </row>
    <row r="248" ht="15" customHeight="1">
      <c r="A248" t="inlineStr">
        <is>
          <t>A 45623-2019</t>
        </is>
      </c>
      <c r="B248" s="1" t="n">
        <v>43717</v>
      </c>
      <c r="C248" s="1" t="n">
        <v>45755</v>
      </c>
      <c r="D248" t="inlineStr">
        <is>
          <t>JÄMTLANDS LÄN</t>
        </is>
      </c>
      <c r="E248" t="inlineStr">
        <is>
          <t>BERG</t>
        </is>
      </c>
      <c r="G248" t="n">
        <v>7.5</v>
      </c>
      <c r="H248" t="n">
        <v>0</v>
      </c>
      <c r="I248" t="n">
        <v>0</v>
      </c>
      <c r="J248" t="n">
        <v>0</v>
      </c>
      <c r="K248" t="n">
        <v>0</v>
      </c>
      <c r="L248" t="n">
        <v>0</v>
      </c>
      <c r="M248" t="n">
        <v>0</v>
      </c>
      <c r="N248" t="n">
        <v>0</v>
      </c>
      <c r="O248" t="n">
        <v>0</v>
      </c>
      <c r="P248" t="n">
        <v>0</v>
      </c>
      <c r="Q248" t="n">
        <v>0</v>
      </c>
      <c r="R248" s="2" t="inlineStr"/>
    </row>
    <row r="249" ht="15" customHeight="1">
      <c r="A249" t="inlineStr">
        <is>
          <t>A 47918-2019</t>
        </is>
      </c>
      <c r="B249" s="1" t="n">
        <v>43725</v>
      </c>
      <c r="C249" s="1" t="n">
        <v>45755</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50896-2019</t>
        </is>
      </c>
      <c r="B250" s="1" t="n">
        <v>43738</v>
      </c>
      <c r="C250" s="1" t="n">
        <v>45755</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50969-2019</t>
        </is>
      </c>
      <c r="B251" s="1" t="n">
        <v>43738</v>
      </c>
      <c r="C251" s="1" t="n">
        <v>45755</v>
      </c>
      <c r="D251" t="inlineStr">
        <is>
          <t>JÄMTLANDS LÄN</t>
        </is>
      </c>
      <c r="E251" t="inlineStr">
        <is>
          <t>BERG</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51206-2019</t>
        </is>
      </c>
      <c r="B252" s="1" t="n">
        <v>43739</v>
      </c>
      <c r="C252" s="1" t="n">
        <v>45755</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53415-2019</t>
        </is>
      </c>
      <c r="B253" s="1" t="n">
        <v>43740</v>
      </c>
      <c r="C253" s="1" t="n">
        <v>45755</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52470-2019</t>
        </is>
      </c>
      <c r="B254" s="1" t="n">
        <v>43745</v>
      </c>
      <c r="C254" s="1" t="n">
        <v>45755</v>
      </c>
      <c r="D254" t="inlineStr">
        <is>
          <t>JÄMTLANDS LÄN</t>
        </is>
      </c>
      <c r="E254" t="inlineStr">
        <is>
          <t>BERG</t>
        </is>
      </c>
      <c r="G254" t="n">
        <v>5.4</v>
      </c>
      <c r="H254" t="n">
        <v>0</v>
      </c>
      <c r="I254" t="n">
        <v>0</v>
      </c>
      <c r="J254" t="n">
        <v>0</v>
      </c>
      <c r="K254" t="n">
        <v>0</v>
      </c>
      <c r="L254" t="n">
        <v>0</v>
      </c>
      <c r="M254" t="n">
        <v>0</v>
      </c>
      <c r="N254" t="n">
        <v>0</v>
      </c>
      <c r="O254" t="n">
        <v>0</v>
      </c>
      <c r="P254" t="n">
        <v>0</v>
      </c>
      <c r="Q254" t="n">
        <v>0</v>
      </c>
      <c r="R254" s="2" t="inlineStr"/>
    </row>
    <row r="255" ht="15" customHeight="1">
      <c r="A255" t="inlineStr">
        <is>
          <t>A 52985-2019</t>
        </is>
      </c>
      <c r="B255" s="1" t="n">
        <v>43747</v>
      </c>
      <c r="C255" s="1" t="n">
        <v>45755</v>
      </c>
      <c r="D255" t="inlineStr">
        <is>
          <t>JÄMTLANDS LÄN</t>
        </is>
      </c>
      <c r="E255" t="inlineStr">
        <is>
          <t>BERG</t>
        </is>
      </c>
      <c r="G255" t="n">
        <v>8.4</v>
      </c>
      <c r="H255" t="n">
        <v>0</v>
      </c>
      <c r="I255" t="n">
        <v>0</v>
      </c>
      <c r="J255" t="n">
        <v>0</v>
      </c>
      <c r="K255" t="n">
        <v>0</v>
      </c>
      <c r="L255" t="n">
        <v>0</v>
      </c>
      <c r="M255" t="n">
        <v>0</v>
      </c>
      <c r="N255" t="n">
        <v>0</v>
      </c>
      <c r="O255" t="n">
        <v>0</v>
      </c>
      <c r="P255" t="n">
        <v>0</v>
      </c>
      <c r="Q255" t="n">
        <v>0</v>
      </c>
      <c r="R255" s="2" t="inlineStr"/>
    </row>
    <row r="256" ht="15" customHeight="1">
      <c r="A256" t="inlineStr">
        <is>
          <t>A 54594-2019</t>
        </is>
      </c>
      <c r="B256" s="1" t="n">
        <v>43754</v>
      </c>
      <c r="C256" s="1" t="n">
        <v>45755</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55611-2019</t>
        </is>
      </c>
      <c r="B257" s="1" t="n">
        <v>43760</v>
      </c>
      <c r="C257" s="1" t="n">
        <v>45755</v>
      </c>
      <c r="D257" t="inlineStr">
        <is>
          <t>JÄMTLANDS LÄN</t>
        </is>
      </c>
      <c r="E257" t="inlineStr">
        <is>
          <t>BERG</t>
        </is>
      </c>
      <c r="G257" t="n">
        <v>10</v>
      </c>
      <c r="H257" t="n">
        <v>0</v>
      </c>
      <c r="I257" t="n">
        <v>0</v>
      </c>
      <c r="J257" t="n">
        <v>0</v>
      </c>
      <c r="K257" t="n">
        <v>0</v>
      </c>
      <c r="L257" t="n">
        <v>0</v>
      </c>
      <c r="M257" t="n">
        <v>0</v>
      </c>
      <c r="N257" t="n">
        <v>0</v>
      </c>
      <c r="O257" t="n">
        <v>0</v>
      </c>
      <c r="P257" t="n">
        <v>0</v>
      </c>
      <c r="Q257" t="n">
        <v>0</v>
      </c>
      <c r="R257" s="2" t="inlineStr"/>
    </row>
    <row r="258" ht="15" customHeight="1">
      <c r="A258" t="inlineStr">
        <is>
          <t>A 55678-2019</t>
        </is>
      </c>
      <c r="B258" s="1" t="n">
        <v>43760</v>
      </c>
      <c r="C258" s="1" t="n">
        <v>45755</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58364-2019</t>
        </is>
      </c>
      <c r="B259" s="1" t="n">
        <v>43770</v>
      </c>
      <c r="C259" s="1" t="n">
        <v>45755</v>
      </c>
      <c r="D259" t="inlineStr">
        <is>
          <t>JÄMTLANDS LÄN</t>
        </is>
      </c>
      <c r="E259" t="inlineStr">
        <is>
          <t>BERG</t>
        </is>
      </c>
      <c r="G259" t="n">
        <v>4.8</v>
      </c>
      <c r="H259" t="n">
        <v>0</v>
      </c>
      <c r="I259" t="n">
        <v>0</v>
      </c>
      <c r="J259" t="n">
        <v>0</v>
      </c>
      <c r="K259" t="n">
        <v>0</v>
      </c>
      <c r="L259" t="n">
        <v>0</v>
      </c>
      <c r="M259" t="n">
        <v>0</v>
      </c>
      <c r="N259" t="n">
        <v>0</v>
      </c>
      <c r="O259" t="n">
        <v>0</v>
      </c>
      <c r="P259" t="n">
        <v>0</v>
      </c>
      <c r="Q259" t="n">
        <v>0</v>
      </c>
      <c r="R259" s="2" t="inlineStr"/>
    </row>
    <row r="260" ht="15" customHeight="1">
      <c r="A260" t="inlineStr">
        <is>
          <t>A 58361-2019</t>
        </is>
      </c>
      <c r="B260" s="1" t="n">
        <v>43770</v>
      </c>
      <c r="C260" s="1" t="n">
        <v>45755</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62908-2019</t>
        </is>
      </c>
      <c r="B261" s="1" t="n">
        <v>43783</v>
      </c>
      <c r="C261" s="1" t="n">
        <v>45755</v>
      </c>
      <c r="D261" t="inlineStr">
        <is>
          <t>JÄMTLANDS LÄN</t>
        </is>
      </c>
      <c r="E261" t="inlineStr">
        <is>
          <t>BERG</t>
        </is>
      </c>
      <c r="G261" t="n">
        <v>1.7</v>
      </c>
      <c r="H261" t="n">
        <v>0</v>
      </c>
      <c r="I261" t="n">
        <v>0</v>
      </c>
      <c r="J261" t="n">
        <v>0</v>
      </c>
      <c r="K261" t="n">
        <v>0</v>
      </c>
      <c r="L261" t="n">
        <v>0</v>
      </c>
      <c r="M261" t="n">
        <v>0</v>
      </c>
      <c r="N261" t="n">
        <v>0</v>
      </c>
      <c r="O261" t="n">
        <v>0</v>
      </c>
      <c r="P261" t="n">
        <v>0</v>
      </c>
      <c r="Q261" t="n">
        <v>0</v>
      </c>
      <c r="R261" s="2" t="inlineStr"/>
    </row>
    <row r="262" ht="15" customHeight="1">
      <c r="A262" t="inlineStr">
        <is>
          <t>A 62943-2019</t>
        </is>
      </c>
      <c r="B262" s="1" t="n">
        <v>43783</v>
      </c>
      <c r="C262" s="1" t="n">
        <v>45755</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62973-2019</t>
        </is>
      </c>
      <c r="B263" s="1" t="n">
        <v>43790</v>
      </c>
      <c r="C263" s="1" t="n">
        <v>45755</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63144-2019</t>
        </is>
      </c>
      <c r="B264" s="1" t="n">
        <v>43791</v>
      </c>
      <c r="C264" s="1" t="n">
        <v>45755</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65893-2019</t>
        </is>
      </c>
      <c r="B265" s="1" t="n">
        <v>43805</v>
      </c>
      <c r="C265" s="1" t="n">
        <v>45755</v>
      </c>
      <c r="D265" t="inlineStr">
        <is>
          <t>JÄMTLANDS LÄN</t>
        </is>
      </c>
      <c r="E265" t="inlineStr">
        <is>
          <t>BERG</t>
        </is>
      </c>
      <c r="G265" t="n">
        <v>6.7</v>
      </c>
      <c r="H265" t="n">
        <v>0</v>
      </c>
      <c r="I265" t="n">
        <v>0</v>
      </c>
      <c r="J265" t="n">
        <v>0</v>
      </c>
      <c r="K265" t="n">
        <v>0</v>
      </c>
      <c r="L265" t="n">
        <v>0</v>
      </c>
      <c r="M265" t="n">
        <v>0</v>
      </c>
      <c r="N265" t="n">
        <v>0</v>
      </c>
      <c r="O265" t="n">
        <v>0</v>
      </c>
      <c r="P265" t="n">
        <v>0</v>
      </c>
      <c r="Q265" t="n">
        <v>0</v>
      </c>
      <c r="R265" s="2" t="inlineStr"/>
    </row>
    <row r="266" ht="15" customHeight="1">
      <c r="A266" t="inlineStr">
        <is>
          <t>A 66275-2019</t>
        </is>
      </c>
      <c r="B266" s="1" t="n">
        <v>43808</v>
      </c>
      <c r="C266" s="1" t="n">
        <v>45755</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67556-2019</t>
        </is>
      </c>
      <c r="B267" s="1" t="n">
        <v>43808</v>
      </c>
      <c r="C267" s="1" t="n">
        <v>45755</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67898-2019</t>
        </is>
      </c>
      <c r="B268" s="1" t="n">
        <v>43811</v>
      </c>
      <c r="C268" s="1" t="n">
        <v>45755</v>
      </c>
      <c r="D268" t="inlineStr">
        <is>
          <t>JÄMTLANDS LÄN</t>
        </is>
      </c>
      <c r="E268" t="inlineStr">
        <is>
          <t>BERG</t>
        </is>
      </c>
      <c r="G268" t="n">
        <v>3.2</v>
      </c>
      <c r="H268" t="n">
        <v>0</v>
      </c>
      <c r="I268" t="n">
        <v>0</v>
      </c>
      <c r="J268" t="n">
        <v>0</v>
      </c>
      <c r="K268" t="n">
        <v>0</v>
      </c>
      <c r="L268" t="n">
        <v>0</v>
      </c>
      <c r="M268" t="n">
        <v>0</v>
      </c>
      <c r="N268" t="n">
        <v>0</v>
      </c>
      <c r="O268" t="n">
        <v>0</v>
      </c>
      <c r="P268" t="n">
        <v>0</v>
      </c>
      <c r="Q268" t="n">
        <v>0</v>
      </c>
      <c r="R268" s="2" t="inlineStr"/>
    </row>
    <row r="269" ht="15" customHeight="1">
      <c r="A269" t="inlineStr">
        <is>
          <t>A 67225-2019</t>
        </is>
      </c>
      <c r="B269" s="1" t="n">
        <v>43811</v>
      </c>
      <c r="C269" s="1" t="n">
        <v>45755</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67255-2019</t>
        </is>
      </c>
      <c r="B270" s="1" t="n">
        <v>43812</v>
      </c>
      <c r="C270" s="1" t="n">
        <v>45755</v>
      </c>
      <c r="D270" t="inlineStr">
        <is>
          <t>JÄMTLANDS LÄN</t>
        </is>
      </c>
      <c r="E270" t="inlineStr">
        <is>
          <t>BERG</t>
        </is>
      </c>
      <c r="G270" t="n">
        <v>14.7</v>
      </c>
      <c r="H270" t="n">
        <v>0</v>
      </c>
      <c r="I270" t="n">
        <v>0</v>
      </c>
      <c r="J270" t="n">
        <v>0</v>
      </c>
      <c r="K270" t="n">
        <v>0</v>
      </c>
      <c r="L270" t="n">
        <v>0</v>
      </c>
      <c r="M270" t="n">
        <v>0</v>
      </c>
      <c r="N270" t="n">
        <v>0</v>
      </c>
      <c r="O270" t="n">
        <v>0</v>
      </c>
      <c r="P270" t="n">
        <v>0</v>
      </c>
      <c r="Q270" t="n">
        <v>0</v>
      </c>
      <c r="R270" s="2" t="inlineStr"/>
    </row>
    <row r="271" ht="15" customHeight="1">
      <c r="A271" t="inlineStr">
        <is>
          <t>A 152-2020</t>
        </is>
      </c>
      <c r="B271" s="1" t="n">
        <v>43833</v>
      </c>
      <c r="C271" s="1" t="n">
        <v>45755</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3389-2020</t>
        </is>
      </c>
      <c r="B272" s="1" t="n">
        <v>43844</v>
      </c>
      <c r="C272" s="1" t="n">
        <v>45755</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3321-2020</t>
        </is>
      </c>
      <c r="B273" s="1" t="n">
        <v>43844</v>
      </c>
      <c r="C273" s="1" t="n">
        <v>45755</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5556-2020</t>
        </is>
      </c>
      <c r="B274" s="1" t="n">
        <v>43860</v>
      </c>
      <c r="C274" s="1" t="n">
        <v>45755</v>
      </c>
      <c r="D274" t="inlineStr">
        <is>
          <t>JÄMTLANDS LÄN</t>
        </is>
      </c>
      <c r="E274" t="inlineStr">
        <is>
          <t>BERG</t>
        </is>
      </c>
      <c r="G274" t="n">
        <v>0.3</v>
      </c>
      <c r="H274" t="n">
        <v>0</v>
      </c>
      <c r="I274" t="n">
        <v>0</v>
      </c>
      <c r="J274" t="n">
        <v>0</v>
      </c>
      <c r="K274" t="n">
        <v>0</v>
      </c>
      <c r="L274" t="n">
        <v>0</v>
      </c>
      <c r="M274" t="n">
        <v>0</v>
      </c>
      <c r="N274" t="n">
        <v>0</v>
      </c>
      <c r="O274" t="n">
        <v>0</v>
      </c>
      <c r="P274" t="n">
        <v>0</v>
      </c>
      <c r="Q274" t="n">
        <v>0</v>
      </c>
      <c r="R274" s="2" t="inlineStr"/>
    </row>
    <row r="275" ht="15" customHeight="1">
      <c r="A275" t="inlineStr">
        <is>
          <t>A 6333-2020</t>
        </is>
      </c>
      <c r="B275" s="1" t="n">
        <v>43866</v>
      </c>
      <c r="C275" s="1" t="n">
        <v>45755</v>
      </c>
      <c r="D275" t="inlineStr">
        <is>
          <t>JÄMTLANDS LÄN</t>
        </is>
      </c>
      <c r="E275" t="inlineStr">
        <is>
          <t>BERG</t>
        </is>
      </c>
      <c r="G275" t="n">
        <v>7.8</v>
      </c>
      <c r="H275" t="n">
        <v>0</v>
      </c>
      <c r="I275" t="n">
        <v>0</v>
      </c>
      <c r="J275" t="n">
        <v>0</v>
      </c>
      <c r="K275" t="n">
        <v>0</v>
      </c>
      <c r="L275" t="n">
        <v>0</v>
      </c>
      <c r="M275" t="n">
        <v>0</v>
      </c>
      <c r="N275" t="n">
        <v>0</v>
      </c>
      <c r="O275" t="n">
        <v>0</v>
      </c>
      <c r="P275" t="n">
        <v>0</v>
      </c>
      <c r="Q275" t="n">
        <v>0</v>
      </c>
      <c r="R275" s="2" t="inlineStr"/>
    </row>
    <row r="276" ht="15" customHeight="1">
      <c r="A276" t="inlineStr">
        <is>
          <t>A 7228-2020</t>
        </is>
      </c>
      <c r="B276" s="1" t="n">
        <v>43871</v>
      </c>
      <c r="C276" s="1" t="n">
        <v>45755</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8715-2020</t>
        </is>
      </c>
      <c r="B277" s="1" t="n">
        <v>43878</v>
      </c>
      <c r="C277" s="1" t="n">
        <v>45755</v>
      </c>
      <c r="D277" t="inlineStr">
        <is>
          <t>JÄMTLANDS LÄN</t>
        </is>
      </c>
      <c r="E277" t="inlineStr">
        <is>
          <t>BERG</t>
        </is>
      </c>
      <c r="G277" t="n">
        <v>11.1</v>
      </c>
      <c r="H277" t="n">
        <v>0</v>
      </c>
      <c r="I277" t="n">
        <v>0</v>
      </c>
      <c r="J277" t="n">
        <v>0</v>
      </c>
      <c r="K277" t="n">
        <v>0</v>
      </c>
      <c r="L277" t="n">
        <v>0</v>
      </c>
      <c r="M277" t="n">
        <v>0</v>
      </c>
      <c r="N277" t="n">
        <v>0</v>
      </c>
      <c r="O277" t="n">
        <v>0</v>
      </c>
      <c r="P277" t="n">
        <v>0</v>
      </c>
      <c r="Q277" t="n">
        <v>0</v>
      </c>
      <c r="R277" s="2" t="inlineStr"/>
    </row>
    <row r="278" ht="15" customHeight="1">
      <c r="A278" t="inlineStr">
        <is>
          <t>A 9627-2020</t>
        </is>
      </c>
      <c r="B278" s="1" t="n">
        <v>43881</v>
      </c>
      <c r="C278" s="1" t="n">
        <v>45755</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9670-2020</t>
        </is>
      </c>
      <c r="B279" s="1" t="n">
        <v>43881</v>
      </c>
      <c r="C279" s="1" t="n">
        <v>45755</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10715-2020</t>
        </is>
      </c>
      <c r="B280" s="1" t="n">
        <v>43888</v>
      </c>
      <c r="C280" s="1" t="n">
        <v>45755</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11788-2020</t>
        </is>
      </c>
      <c r="B281" s="1" t="n">
        <v>43894</v>
      </c>
      <c r="C281" s="1" t="n">
        <v>45755</v>
      </c>
      <c r="D281" t="inlineStr">
        <is>
          <t>JÄMTLANDS LÄN</t>
        </is>
      </c>
      <c r="E281" t="inlineStr">
        <is>
          <t>BERG</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11825-2020</t>
        </is>
      </c>
      <c r="B282" s="1" t="n">
        <v>43894</v>
      </c>
      <c r="C282" s="1" t="n">
        <v>45755</v>
      </c>
      <c r="D282" t="inlineStr">
        <is>
          <t>JÄMTLANDS LÄN</t>
        </is>
      </c>
      <c r="E282" t="inlineStr">
        <is>
          <t>BERG</t>
        </is>
      </c>
      <c r="F282" t="inlineStr">
        <is>
          <t>Holmen skog AB</t>
        </is>
      </c>
      <c r="G282" t="n">
        <v>17.7</v>
      </c>
      <c r="H282" t="n">
        <v>0</v>
      </c>
      <c r="I282" t="n">
        <v>0</v>
      </c>
      <c r="J282" t="n">
        <v>0</v>
      </c>
      <c r="K282" t="n">
        <v>0</v>
      </c>
      <c r="L282" t="n">
        <v>0</v>
      </c>
      <c r="M282" t="n">
        <v>0</v>
      </c>
      <c r="N282" t="n">
        <v>0</v>
      </c>
      <c r="O282" t="n">
        <v>0</v>
      </c>
      <c r="P282" t="n">
        <v>0</v>
      </c>
      <c r="Q282" t="n">
        <v>0</v>
      </c>
      <c r="R282" s="2" t="inlineStr"/>
    </row>
    <row r="283" ht="15" customHeight="1">
      <c r="A283" t="inlineStr">
        <is>
          <t>A 11890-2020</t>
        </is>
      </c>
      <c r="B283" s="1" t="n">
        <v>43894</v>
      </c>
      <c r="C283" s="1" t="n">
        <v>45755</v>
      </c>
      <c r="D283" t="inlineStr">
        <is>
          <t>JÄMTLANDS LÄN</t>
        </is>
      </c>
      <c r="E283" t="inlineStr">
        <is>
          <t>BERG</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11785-2020</t>
        </is>
      </c>
      <c r="B284" s="1" t="n">
        <v>43894</v>
      </c>
      <c r="C284" s="1" t="n">
        <v>45755</v>
      </c>
      <c r="D284" t="inlineStr">
        <is>
          <t>JÄMTLANDS LÄN</t>
        </is>
      </c>
      <c r="E284" t="inlineStr">
        <is>
          <t>BERG</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14854-2020</t>
        </is>
      </c>
      <c r="B285" s="1" t="n">
        <v>43909</v>
      </c>
      <c r="C285" s="1" t="n">
        <v>45755</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18047-2020</t>
        </is>
      </c>
      <c r="B286" s="1" t="n">
        <v>43927</v>
      </c>
      <c r="C286" s="1" t="n">
        <v>45755</v>
      </c>
      <c r="D286" t="inlineStr">
        <is>
          <t>JÄMTLANDS LÄN</t>
        </is>
      </c>
      <c r="E286" t="inlineStr">
        <is>
          <t>BERG</t>
        </is>
      </c>
      <c r="G286" t="n">
        <v>15.8</v>
      </c>
      <c r="H286" t="n">
        <v>0</v>
      </c>
      <c r="I286" t="n">
        <v>0</v>
      </c>
      <c r="J286" t="n">
        <v>0</v>
      </c>
      <c r="K286" t="n">
        <v>0</v>
      </c>
      <c r="L286" t="n">
        <v>0</v>
      </c>
      <c r="M286" t="n">
        <v>0</v>
      </c>
      <c r="N286" t="n">
        <v>0</v>
      </c>
      <c r="O286" t="n">
        <v>0</v>
      </c>
      <c r="P286" t="n">
        <v>0</v>
      </c>
      <c r="Q286" t="n">
        <v>0</v>
      </c>
      <c r="R286" s="2" t="inlineStr"/>
    </row>
    <row r="287" ht="15" customHeight="1">
      <c r="A287" t="inlineStr">
        <is>
          <t>A 18613-2020</t>
        </is>
      </c>
      <c r="B287" s="1" t="n">
        <v>43929</v>
      </c>
      <c r="C287" s="1" t="n">
        <v>45755</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19531-2020</t>
        </is>
      </c>
      <c r="B288" s="1" t="n">
        <v>43940</v>
      </c>
      <c r="C288" s="1" t="n">
        <v>45755</v>
      </c>
      <c r="D288" t="inlineStr">
        <is>
          <t>JÄMTLANDS LÄN</t>
        </is>
      </c>
      <c r="E288" t="inlineStr">
        <is>
          <t>BERG</t>
        </is>
      </c>
      <c r="G288" t="n">
        <v>4.2</v>
      </c>
      <c r="H288" t="n">
        <v>0</v>
      </c>
      <c r="I288" t="n">
        <v>0</v>
      </c>
      <c r="J288" t="n">
        <v>0</v>
      </c>
      <c r="K288" t="n">
        <v>0</v>
      </c>
      <c r="L288" t="n">
        <v>0</v>
      </c>
      <c r="M288" t="n">
        <v>0</v>
      </c>
      <c r="N288" t="n">
        <v>0</v>
      </c>
      <c r="O288" t="n">
        <v>0</v>
      </c>
      <c r="P288" t="n">
        <v>0</v>
      </c>
      <c r="Q288" t="n">
        <v>0</v>
      </c>
      <c r="R288" s="2" t="inlineStr"/>
    </row>
    <row r="289" ht="15" customHeight="1">
      <c r="A289" t="inlineStr">
        <is>
          <t>A 19532-2020</t>
        </is>
      </c>
      <c r="B289" s="1" t="n">
        <v>43941</v>
      </c>
      <c r="C289" s="1" t="n">
        <v>45755</v>
      </c>
      <c r="D289" t="inlineStr">
        <is>
          <t>JÄMTLANDS LÄN</t>
        </is>
      </c>
      <c r="E289" t="inlineStr">
        <is>
          <t>BERG</t>
        </is>
      </c>
      <c r="F289" t="inlineStr">
        <is>
          <t>SCA</t>
        </is>
      </c>
      <c r="G289" t="n">
        <v>6.3</v>
      </c>
      <c r="H289" t="n">
        <v>0</v>
      </c>
      <c r="I289" t="n">
        <v>0</v>
      </c>
      <c r="J289" t="n">
        <v>0</v>
      </c>
      <c r="K289" t="n">
        <v>0</v>
      </c>
      <c r="L289" t="n">
        <v>0</v>
      </c>
      <c r="M289" t="n">
        <v>0</v>
      </c>
      <c r="N289" t="n">
        <v>0</v>
      </c>
      <c r="O289" t="n">
        <v>0</v>
      </c>
      <c r="P289" t="n">
        <v>0</v>
      </c>
      <c r="Q289" t="n">
        <v>0</v>
      </c>
      <c r="R289" s="2" t="inlineStr"/>
    </row>
    <row r="290" ht="15" customHeight="1">
      <c r="A290" t="inlineStr">
        <is>
          <t>A 20745-2020</t>
        </is>
      </c>
      <c r="B290" s="1" t="n">
        <v>43949</v>
      </c>
      <c r="C290" s="1" t="n">
        <v>45755</v>
      </c>
      <c r="D290" t="inlineStr">
        <is>
          <t>JÄMTLANDS LÄN</t>
        </is>
      </c>
      <c r="E290" t="inlineStr">
        <is>
          <t>BERG</t>
        </is>
      </c>
      <c r="G290" t="n">
        <v>9.1</v>
      </c>
      <c r="H290" t="n">
        <v>0</v>
      </c>
      <c r="I290" t="n">
        <v>0</v>
      </c>
      <c r="J290" t="n">
        <v>0</v>
      </c>
      <c r="K290" t="n">
        <v>0</v>
      </c>
      <c r="L290" t="n">
        <v>0</v>
      </c>
      <c r="M290" t="n">
        <v>0</v>
      </c>
      <c r="N290" t="n">
        <v>0</v>
      </c>
      <c r="O290" t="n">
        <v>0</v>
      </c>
      <c r="P290" t="n">
        <v>0</v>
      </c>
      <c r="Q290" t="n">
        <v>0</v>
      </c>
      <c r="R290" s="2" t="inlineStr"/>
    </row>
    <row r="291" ht="15" customHeight="1">
      <c r="A291" t="inlineStr">
        <is>
          <t>A 23490-2020</t>
        </is>
      </c>
      <c r="B291" s="1" t="n">
        <v>43966</v>
      </c>
      <c r="C291" s="1" t="n">
        <v>45755</v>
      </c>
      <c r="D291" t="inlineStr">
        <is>
          <t>JÄMTLANDS LÄN</t>
        </is>
      </c>
      <c r="E291" t="inlineStr">
        <is>
          <t>BERG</t>
        </is>
      </c>
      <c r="G291" t="n">
        <v>8.6</v>
      </c>
      <c r="H291" t="n">
        <v>0</v>
      </c>
      <c r="I291" t="n">
        <v>0</v>
      </c>
      <c r="J291" t="n">
        <v>0</v>
      </c>
      <c r="K291" t="n">
        <v>0</v>
      </c>
      <c r="L291" t="n">
        <v>0</v>
      </c>
      <c r="M291" t="n">
        <v>0</v>
      </c>
      <c r="N291" t="n">
        <v>0</v>
      </c>
      <c r="O291" t="n">
        <v>0</v>
      </c>
      <c r="P291" t="n">
        <v>0</v>
      </c>
      <c r="Q291" t="n">
        <v>0</v>
      </c>
      <c r="R291" s="2" t="inlineStr"/>
    </row>
    <row r="292" ht="15" customHeight="1">
      <c r="A292" t="inlineStr">
        <is>
          <t>A 24292-2020</t>
        </is>
      </c>
      <c r="B292" s="1" t="n">
        <v>43976</v>
      </c>
      <c r="C292" s="1" t="n">
        <v>45755</v>
      </c>
      <c r="D292" t="inlineStr">
        <is>
          <t>JÄMTLANDS LÄN</t>
        </is>
      </c>
      <c r="E292" t="inlineStr">
        <is>
          <t>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24932-2020</t>
        </is>
      </c>
      <c r="B293" s="1" t="n">
        <v>43979</v>
      </c>
      <c r="C293" s="1" t="n">
        <v>45755</v>
      </c>
      <c r="D293" t="inlineStr">
        <is>
          <t>JÄMTLANDS LÄN</t>
        </is>
      </c>
      <c r="E293" t="inlineStr">
        <is>
          <t>BERG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25017-2020</t>
        </is>
      </c>
      <c r="B294" s="1" t="n">
        <v>43979</v>
      </c>
      <c r="C294" s="1" t="n">
        <v>45755</v>
      </c>
      <c r="D294" t="inlineStr">
        <is>
          <t>JÄMTLANDS LÄN</t>
        </is>
      </c>
      <c r="E294" t="inlineStr">
        <is>
          <t>BERG</t>
        </is>
      </c>
      <c r="G294" t="n">
        <v>6.3</v>
      </c>
      <c r="H294" t="n">
        <v>0</v>
      </c>
      <c r="I294" t="n">
        <v>0</v>
      </c>
      <c r="J294" t="n">
        <v>0</v>
      </c>
      <c r="K294" t="n">
        <v>0</v>
      </c>
      <c r="L294" t="n">
        <v>0</v>
      </c>
      <c r="M294" t="n">
        <v>0</v>
      </c>
      <c r="N294" t="n">
        <v>0</v>
      </c>
      <c r="O294" t="n">
        <v>0</v>
      </c>
      <c r="P294" t="n">
        <v>0</v>
      </c>
      <c r="Q294" t="n">
        <v>0</v>
      </c>
      <c r="R294" s="2" t="inlineStr"/>
    </row>
    <row r="295" ht="15" customHeight="1">
      <c r="A295" t="inlineStr">
        <is>
          <t>A 25978-2020</t>
        </is>
      </c>
      <c r="B295" s="1" t="n">
        <v>43985</v>
      </c>
      <c r="C295" s="1" t="n">
        <v>45755</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25993-2020</t>
        </is>
      </c>
      <c r="B296" s="1" t="n">
        <v>43985</v>
      </c>
      <c r="C296" s="1" t="n">
        <v>45755</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25984-2020</t>
        </is>
      </c>
      <c r="B297" s="1" t="n">
        <v>43985</v>
      </c>
      <c r="C297" s="1" t="n">
        <v>45755</v>
      </c>
      <c r="D297" t="inlineStr">
        <is>
          <t>JÄMTLANDS LÄN</t>
        </is>
      </c>
      <c r="E297" t="inlineStr">
        <is>
          <t>BERG</t>
        </is>
      </c>
      <c r="G297" t="n">
        <v>3.6</v>
      </c>
      <c r="H297" t="n">
        <v>0</v>
      </c>
      <c r="I297" t="n">
        <v>0</v>
      </c>
      <c r="J297" t="n">
        <v>0</v>
      </c>
      <c r="K297" t="n">
        <v>0</v>
      </c>
      <c r="L297" t="n">
        <v>0</v>
      </c>
      <c r="M297" t="n">
        <v>0</v>
      </c>
      <c r="N297" t="n">
        <v>0</v>
      </c>
      <c r="O297" t="n">
        <v>0</v>
      </c>
      <c r="P297" t="n">
        <v>0</v>
      </c>
      <c r="Q297" t="n">
        <v>0</v>
      </c>
      <c r="R297" s="2" t="inlineStr"/>
    </row>
    <row r="298" ht="15" customHeight="1">
      <c r="A298" t="inlineStr">
        <is>
          <t>A 26175-2020</t>
        </is>
      </c>
      <c r="B298" s="1" t="n">
        <v>43985</v>
      </c>
      <c r="C298" s="1" t="n">
        <v>45755</v>
      </c>
      <c r="D298" t="inlineStr">
        <is>
          <t>JÄMTLANDS LÄN</t>
        </is>
      </c>
      <c r="E298" t="inlineStr">
        <is>
          <t>BERG</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25975-2020</t>
        </is>
      </c>
      <c r="B299" s="1" t="n">
        <v>43985</v>
      </c>
      <c r="C299" s="1" t="n">
        <v>45755</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28767-2020</t>
        </is>
      </c>
      <c r="B300" s="1" t="n">
        <v>44000</v>
      </c>
      <c r="C300" s="1" t="n">
        <v>45755</v>
      </c>
      <c r="D300" t="inlineStr">
        <is>
          <t>JÄMTLANDS LÄN</t>
        </is>
      </c>
      <c r="E300" t="inlineStr">
        <is>
          <t>BERG</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28961-2020</t>
        </is>
      </c>
      <c r="B301" s="1" t="n">
        <v>44000</v>
      </c>
      <c r="C301" s="1" t="n">
        <v>45755</v>
      </c>
      <c r="D301" t="inlineStr">
        <is>
          <t>JÄMTLANDS LÄN</t>
        </is>
      </c>
      <c r="E301" t="inlineStr">
        <is>
          <t>BERG</t>
        </is>
      </c>
      <c r="G301" t="n">
        <v>7.6</v>
      </c>
      <c r="H301" t="n">
        <v>0</v>
      </c>
      <c r="I301" t="n">
        <v>0</v>
      </c>
      <c r="J301" t="n">
        <v>0</v>
      </c>
      <c r="K301" t="n">
        <v>0</v>
      </c>
      <c r="L301" t="n">
        <v>0</v>
      </c>
      <c r="M301" t="n">
        <v>0</v>
      </c>
      <c r="N301" t="n">
        <v>0</v>
      </c>
      <c r="O301" t="n">
        <v>0</v>
      </c>
      <c r="P301" t="n">
        <v>0</v>
      </c>
      <c r="Q301" t="n">
        <v>0</v>
      </c>
      <c r="R301" s="2" t="inlineStr"/>
    </row>
    <row r="302" ht="15" customHeight="1">
      <c r="A302" t="inlineStr">
        <is>
          <t>A 29004-2020</t>
        </is>
      </c>
      <c r="B302" s="1" t="n">
        <v>44000</v>
      </c>
      <c r="C302" s="1" t="n">
        <v>45755</v>
      </c>
      <c r="D302" t="inlineStr">
        <is>
          <t>JÄMTLANDS LÄN</t>
        </is>
      </c>
      <c r="E302" t="inlineStr">
        <is>
          <t>BERG</t>
        </is>
      </c>
      <c r="G302" t="n">
        <v>6.4</v>
      </c>
      <c r="H302" t="n">
        <v>0</v>
      </c>
      <c r="I302" t="n">
        <v>0</v>
      </c>
      <c r="J302" t="n">
        <v>0</v>
      </c>
      <c r="K302" t="n">
        <v>0</v>
      </c>
      <c r="L302" t="n">
        <v>0</v>
      </c>
      <c r="M302" t="n">
        <v>0</v>
      </c>
      <c r="N302" t="n">
        <v>0</v>
      </c>
      <c r="O302" t="n">
        <v>0</v>
      </c>
      <c r="P302" t="n">
        <v>0</v>
      </c>
      <c r="Q302" t="n">
        <v>0</v>
      </c>
      <c r="R302" s="2" t="inlineStr"/>
    </row>
    <row r="303" ht="15" customHeight="1">
      <c r="A303" t="inlineStr">
        <is>
          <t>A 29052-2020</t>
        </is>
      </c>
      <c r="B303" s="1" t="n">
        <v>44000</v>
      </c>
      <c r="C303" s="1" t="n">
        <v>45755</v>
      </c>
      <c r="D303" t="inlineStr">
        <is>
          <t>JÄMTLANDS LÄN</t>
        </is>
      </c>
      <c r="E303" t="inlineStr">
        <is>
          <t>BERG</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29788-2020</t>
        </is>
      </c>
      <c r="B304" s="1" t="n">
        <v>44005</v>
      </c>
      <c r="C304" s="1" t="n">
        <v>45755</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30477-2020</t>
        </is>
      </c>
      <c r="B305" s="1" t="n">
        <v>44007</v>
      </c>
      <c r="C305" s="1" t="n">
        <v>45755</v>
      </c>
      <c r="D305" t="inlineStr">
        <is>
          <t>JÄMTLANDS LÄN</t>
        </is>
      </c>
      <c r="E305" t="inlineStr">
        <is>
          <t>BERG</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31970-2020</t>
        </is>
      </c>
      <c r="B306" s="1" t="n">
        <v>44015</v>
      </c>
      <c r="C306" s="1" t="n">
        <v>45755</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32744-2020</t>
        </is>
      </c>
      <c r="B307" s="1" t="n">
        <v>44019</v>
      </c>
      <c r="C307" s="1" t="n">
        <v>45755</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33885-2020</t>
        </is>
      </c>
      <c r="B308" s="1" t="n">
        <v>44027</v>
      </c>
      <c r="C308" s="1" t="n">
        <v>45755</v>
      </c>
      <c r="D308" t="inlineStr">
        <is>
          <t>JÄMTLANDS LÄN</t>
        </is>
      </c>
      <c r="E308" t="inlineStr">
        <is>
          <t>BERG</t>
        </is>
      </c>
      <c r="G308" t="n">
        <v>7.2</v>
      </c>
      <c r="H308" t="n">
        <v>0</v>
      </c>
      <c r="I308" t="n">
        <v>0</v>
      </c>
      <c r="J308" t="n">
        <v>0</v>
      </c>
      <c r="K308" t="n">
        <v>0</v>
      </c>
      <c r="L308" t="n">
        <v>0</v>
      </c>
      <c r="M308" t="n">
        <v>0</v>
      </c>
      <c r="N308" t="n">
        <v>0</v>
      </c>
      <c r="O308" t="n">
        <v>0</v>
      </c>
      <c r="P308" t="n">
        <v>0</v>
      </c>
      <c r="Q308" t="n">
        <v>0</v>
      </c>
      <c r="R308" s="2" t="inlineStr"/>
    </row>
    <row r="309" ht="15" customHeight="1">
      <c r="A309" t="inlineStr">
        <is>
          <t>A 34584-2020</t>
        </is>
      </c>
      <c r="B309" s="1" t="n">
        <v>44033</v>
      </c>
      <c r="C309" s="1" t="n">
        <v>45755</v>
      </c>
      <c r="D309" t="inlineStr">
        <is>
          <t>JÄMTLANDS LÄN</t>
        </is>
      </c>
      <c r="E309" t="inlineStr">
        <is>
          <t>BERG</t>
        </is>
      </c>
      <c r="F309" t="inlineStr">
        <is>
          <t>SCA</t>
        </is>
      </c>
      <c r="G309" t="n">
        <v>12.3</v>
      </c>
      <c r="H309" t="n">
        <v>0</v>
      </c>
      <c r="I309" t="n">
        <v>0</v>
      </c>
      <c r="J309" t="n">
        <v>0</v>
      </c>
      <c r="K309" t="n">
        <v>0</v>
      </c>
      <c r="L309" t="n">
        <v>0</v>
      </c>
      <c r="M309" t="n">
        <v>0</v>
      </c>
      <c r="N309" t="n">
        <v>0</v>
      </c>
      <c r="O309" t="n">
        <v>0</v>
      </c>
      <c r="P309" t="n">
        <v>0</v>
      </c>
      <c r="Q309" t="n">
        <v>0</v>
      </c>
      <c r="R309" s="2" t="inlineStr"/>
    </row>
    <row r="310" ht="15" customHeight="1">
      <c r="A310" t="inlineStr">
        <is>
          <t>A 34581-2020</t>
        </is>
      </c>
      <c r="B310" s="1" t="n">
        <v>44033</v>
      </c>
      <c r="C310" s="1" t="n">
        <v>45755</v>
      </c>
      <c r="D310" t="inlineStr">
        <is>
          <t>JÄMTLANDS LÄN</t>
        </is>
      </c>
      <c r="E310" t="inlineStr">
        <is>
          <t>BERG</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34738-2020</t>
        </is>
      </c>
      <c r="B311" s="1" t="n">
        <v>44035</v>
      </c>
      <c r="C311" s="1" t="n">
        <v>45755</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34804-2020</t>
        </is>
      </c>
      <c r="B312" s="1" t="n">
        <v>44036</v>
      </c>
      <c r="C312" s="1" t="n">
        <v>45755</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35620-2020</t>
        </is>
      </c>
      <c r="B313" s="1" t="n">
        <v>44045</v>
      </c>
      <c r="C313" s="1" t="n">
        <v>45755</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38077-2020</t>
        </is>
      </c>
      <c r="B314" s="1" t="n">
        <v>44057</v>
      </c>
      <c r="C314" s="1" t="n">
        <v>45755</v>
      </c>
      <c r="D314" t="inlineStr">
        <is>
          <t>JÄMTLANDS LÄN</t>
        </is>
      </c>
      <c r="E314" t="inlineStr">
        <is>
          <t>BERG</t>
        </is>
      </c>
      <c r="G314" t="n">
        <v>0.5</v>
      </c>
      <c r="H314" t="n">
        <v>0</v>
      </c>
      <c r="I314" t="n">
        <v>0</v>
      </c>
      <c r="J314" t="n">
        <v>0</v>
      </c>
      <c r="K314" t="n">
        <v>0</v>
      </c>
      <c r="L314" t="n">
        <v>0</v>
      </c>
      <c r="M314" t="n">
        <v>0</v>
      </c>
      <c r="N314" t="n">
        <v>0</v>
      </c>
      <c r="O314" t="n">
        <v>0</v>
      </c>
      <c r="P314" t="n">
        <v>0</v>
      </c>
      <c r="Q314" t="n">
        <v>0</v>
      </c>
      <c r="R314" s="2" t="inlineStr"/>
    </row>
    <row r="315" ht="15" customHeight="1">
      <c r="A315" t="inlineStr">
        <is>
          <t>A 39137-2020</t>
        </is>
      </c>
      <c r="B315" s="1" t="n">
        <v>44062</v>
      </c>
      <c r="C315" s="1" t="n">
        <v>45755</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39220-2020</t>
        </is>
      </c>
      <c r="B316" s="1" t="n">
        <v>44063</v>
      </c>
      <c r="C316" s="1" t="n">
        <v>45755</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39200-2020</t>
        </is>
      </c>
      <c r="B317" s="1" t="n">
        <v>44063</v>
      </c>
      <c r="C317" s="1" t="n">
        <v>45755</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39212-2020</t>
        </is>
      </c>
      <c r="B318" s="1" t="n">
        <v>44063</v>
      </c>
      <c r="C318" s="1" t="n">
        <v>45755</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39228-2020</t>
        </is>
      </c>
      <c r="B319" s="1" t="n">
        <v>44063</v>
      </c>
      <c r="C319" s="1" t="n">
        <v>45755</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39205-2020</t>
        </is>
      </c>
      <c r="B320" s="1" t="n">
        <v>44063</v>
      </c>
      <c r="C320" s="1" t="n">
        <v>45755</v>
      </c>
      <c r="D320" t="inlineStr">
        <is>
          <t>JÄMTLANDS LÄN</t>
        </is>
      </c>
      <c r="E320" t="inlineStr">
        <is>
          <t>BERG</t>
        </is>
      </c>
      <c r="G320" t="n">
        <v>5.3</v>
      </c>
      <c r="H320" t="n">
        <v>0</v>
      </c>
      <c r="I320" t="n">
        <v>0</v>
      </c>
      <c r="J320" t="n">
        <v>0</v>
      </c>
      <c r="K320" t="n">
        <v>0</v>
      </c>
      <c r="L320" t="n">
        <v>0</v>
      </c>
      <c r="M320" t="n">
        <v>0</v>
      </c>
      <c r="N320" t="n">
        <v>0</v>
      </c>
      <c r="O320" t="n">
        <v>0</v>
      </c>
      <c r="P320" t="n">
        <v>0</v>
      </c>
      <c r="Q320" t="n">
        <v>0</v>
      </c>
      <c r="R320" s="2" t="inlineStr"/>
    </row>
    <row r="321" ht="15" customHeight="1">
      <c r="A321" t="inlineStr">
        <is>
          <t>A 40333-2020</t>
        </is>
      </c>
      <c r="B321" s="1" t="n">
        <v>44068</v>
      </c>
      <c r="C321" s="1" t="n">
        <v>45755</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44003-2020</t>
        </is>
      </c>
      <c r="B322" s="1" t="n">
        <v>44083</v>
      </c>
      <c r="C322" s="1" t="n">
        <v>45755</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44422-2020</t>
        </is>
      </c>
      <c r="B323" s="1" t="n">
        <v>44084</v>
      </c>
      <c r="C323" s="1" t="n">
        <v>45755</v>
      </c>
      <c r="D323" t="inlineStr">
        <is>
          <t>JÄMTLANDS LÄN</t>
        </is>
      </c>
      <c r="E323" t="inlineStr">
        <is>
          <t>BERG</t>
        </is>
      </c>
      <c r="G323" t="n">
        <v>6.9</v>
      </c>
      <c r="H323" t="n">
        <v>0</v>
      </c>
      <c r="I323" t="n">
        <v>0</v>
      </c>
      <c r="J323" t="n">
        <v>0</v>
      </c>
      <c r="K323" t="n">
        <v>0</v>
      </c>
      <c r="L323" t="n">
        <v>0</v>
      </c>
      <c r="M323" t="n">
        <v>0</v>
      </c>
      <c r="N323" t="n">
        <v>0</v>
      </c>
      <c r="O323" t="n">
        <v>0</v>
      </c>
      <c r="P323" t="n">
        <v>0</v>
      </c>
      <c r="Q323" t="n">
        <v>0</v>
      </c>
      <c r="R323" s="2" t="inlineStr"/>
    </row>
    <row r="324" ht="15" customHeight="1">
      <c r="A324" t="inlineStr">
        <is>
          <t>A 46657-2020</t>
        </is>
      </c>
      <c r="B324" s="1" t="n">
        <v>44095</v>
      </c>
      <c r="C324" s="1" t="n">
        <v>45755</v>
      </c>
      <c r="D324" t="inlineStr">
        <is>
          <t>JÄMTLANDS LÄN</t>
        </is>
      </c>
      <c r="E324" t="inlineStr">
        <is>
          <t>BERG</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46616-2020</t>
        </is>
      </c>
      <c r="B325" s="1" t="n">
        <v>44095</v>
      </c>
      <c r="C325" s="1" t="n">
        <v>45755</v>
      </c>
      <c r="D325" t="inlineStr">
        <is>
          <t>JÄMTLANDS LÄN</t>
        </is>
      </c>
      <c r="E325" t="inlineStr">
        <is>
          <t>BERG</t>
        </is>
      </c>
      <c r="F325" t="inlineStr">
        <is>
          <t>Kommuner</t>
        </is>
      </c>
      <c r="G325" t="n">
        <v>42.8</v>
      </c>
      <c r="H325" t="n">
        <v>0</v>
      </c>
      <c r="I325" t="n">
        <v>0</v>
      </c>
      <c r="J325" t="n">
        <v>0</v>
      </c>
      <c r="K325" t="n">
        <v>0</v>
      </c>
      <c r="L325" t="n">
        <v>0</v>
      </c>
      <c r="M325" t="n">
        <v>0</v>
      </c>
      <c r="N325" t="n">
        <v>0</v>
      </c>
      <c r="O325" t="n">
        <v>0</v>
      </c>
      <c r="P325" t="n">
        <v>0</v>
      </c>
      <c r="Q325" t="n">
        <v>0</v>
      </c>
      <c r="R325" s="2" t="inlineStr"/>
    </row>
    <row r="326" ht="15" customHeight="1">
      <c r="A326" t="inlineStr">
        <is>
          <t>A 46635-2020</t>
        </is>
      </c>
      <c r="B326" s="1" t="n">
        <v>44095</v>
      </c>
      <c r="C326" s="1" t="n">
        <v>45755</v>
      </c>
      <c r="D326" t="inlineStr">
        <is>
          <t>JÄMTLANDS LÄN</t>
        </is>
      </c>
      <c r="E326" t="inlineStr">
        <is>
          <t>BERG</t>
        </is>
      </c>
      <c r="F326" t="inlineStr">
        <is>
          <t>Kommuner</t>
        </is>
      </c>
      <c r="G326" t="n">
        <v>14.5</v>
      </c>
      <c r="H326" t="n">
        <v>0</v>
      </c>
      <c r="I326" t="n">
        <v>0</v>
      </c>
      <c r="J326" t="n">
        <v>0</v>
      </c>
      <c r="K326" t="n">
        <v>0</v>
      </c>
      <c r="L326" t="n">
        <v>0</v>
      </c>
      <c r="M326" t="n">
        <v>0</v>
      </c>
      <c r="N326" t="n">
        <v>0</v>
      </c>
      <c r="O326" t="n">
        <v>0</v>
      </c>
      <c r="P326" t="n">
        <v>0</v>
      </c>
      <c r="Q326" t="n">
        <v>0</v>
      </c>
      <c r="R326" s="2" t="inlineStr"/>
    </row>
    <row r="327" ht="15" customHeight="1">
      <c r="A327" t="inlineStr">
        <is>
          <t>A 46660-2020</t>
        </is>
      </c>
      <c r="B327" s="1" t="n">
        <v>44095</v>
      </c>
      <c r="C327" s="1" t="n">
        <v>45755</v>
      </c>
      <c r="D327" t="inlineStr">
        <is>
          <t>JÄMTLANDS LÄN</t>
        </is>
      </c>
      <c r="E327" t="inlineStr">
        <is>
          <t>BERG</t>
        </is>
      </c>
      <c r="F327" t="inlineStr">
        <is>
          <t>Kommuner</t>
        </is>
      </c>
      <c r="G327" t="n">
        <v>2.1</v>
      </c>
      <c r="H327" t="n">
        <v>0</v>
      </c>
      <c r="I327" t="n">
        <v>0</v>
      </c>
      <c r="J327" t="n">
        <v>0</v>
      </c>
      <c r="K327" t="n">
        <v>0</v>
      </c>
      <c r="L327" t="n">
        <v>0</v>
      </c>
      <c r="M327" t="n">
        <v>0</v>
      </c>
      <c r="N327" t="n">
        <v>0</v>
      </c>
      <c r="O327" t="n">
        <v>0</v>
      </c>
      <c r="P327" t="n">
        <v>0</v>
      </c>
      <c r="Q327" t="n">
        <v>0</v>
      </c>
      <c r="R327" s="2" t="inlineStr"/>
    </row>
    <row r="328" ht="15" customHeight="1">
      <c r="A328" t="inlineStr">
        <is>
          <t>A 48801-2020</t>
        </is>
      </c>
      <c r="B328" s="1" t="n">
        <v>44103</v>
      </c>
      <c r="C328" s="1" t="n">
        <v>45755</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49174-2020</t>
        </is>
      </c>
      <c r="B329" s="1" t="n">
        <v>44104</v>
      </c>
      <c r="C329" s="1" t="n">
        <v>45755</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53958-2020</t>
        </is>
      </c>
      <c r="B330" s="1" t="n">
        <v>44123</v>
      </c>
      <c r="C330" s="1" t="n">
        <v>45755</v>
      </c>
      <c r="D330" t="inlineStr">
        <is>
          <t>JÄMTLANDS LÄN</t>
        </is>
      </c>
      <c r="E330" t="inlineStr">
        <is>
          <t>BERG</t>
        </is>
      </c>
      <c r="G330" t="n">
        <v>27.9</v>
      </c>
      <c r="H330" t="n">
        <v>0</v>
      </c>
      <c r="I330" t="n">
        <v>0</v>
      </c>
      <c r="J330" t="n">
        <v>0</v>
      </c>
      <c r="K330" t="n">
        <v>0</v>
      </c>
      <c r="L330" t="n">
        <v>0</v>
      </c>
      <c r="M330" t="n">
        <v>0</v>
      </c>
      <c r="N330" t="n">
        <v>0</v>
      </c>
      <c r="O330" t="n">
        <v>0</v>
      </c>
      <c r="P330" t="n">
        <v>0</v>
      </c>
      <c r="Q330" t="n">
        <v>0</v>
      </c>
      <c r="R330" s="2" t="inlineStr"/>
    </row>
    <row r="331" ht="15" customHeight="1">
      <c r="A331" t="inlineStr">
        <is>
          <t>A 53950-2020</t>
        </is>
      </c>
      <c r="B331" s="1" t="n">
        <v>44123</v>
      </c>
      <c r="C331" s="1" t="n">
        <v>45755</v>
      </c>
      <c r="D331" t="inlineStr">
        <is>
          <t>JÄMTLANDS LÄN</t>
        </is>
      </c>
      <c r="E331" t="inlineStr">
        <is>
          <t>BERG</t>
        </is>
      </c>
      <c r="G331" t="n">
        <v>11.8</v>
      </c>
      <c r="H331" t="n">
        <v>0</v>
      </c>
      <c r="I331" t="n">
        <v>0</v>
      </c>
      <c r="J331" t="n">
        <v>0</v>
      </c>
      <c r="K331" t="n">
        <v>0</v>
      </c>
      <c r="L331" t="n">
        <v>0</v>
      </c>
      <c r="M331" t="n">
        <v>0</v>
      </c>
      <c r="N331" t="n">
        <v>0</v>
      </c>
      <c r="O331" t="n">
        <v>0</v>
      </c>
      <c r="P331" t="n">
        <v>0</v>
      </c>
      <c r="Q331" t="n">
        <v>0</v>
      </c>
      <c r="R331" s="2" t="inlineStr"/>
    </row>
    <row r="332" ht="15" customHeight="1">
      <c r="A332" t="inlineStr">
        <is>
          <t>A 53877-2020</t>
        </is>
      </c>
      <c r="B332" s="1" t="n">
        <v>44123</v>
      </c>
      <c r="C332" s="1" t="n">
        <v>45755</v>
      </c>
      <c r="D332" t="inlineStr">
        <is>
          <t>JÄMTLANDS LÄN</t>
        </is>
      </c>
      <c r="E332" t="inlineStr">
        <is>
          <t>BERG</t>
        </is>
      </c>
      <c r="G332" t="n">
        <v>32.8</v>
      </c>
      <c r="H332" t="n">
        <v>0</v>
      </c>
      <c r="I332" t="n">
        <v>0</v>
      </c>
      <c r="J332" t="n">
        <v>0</v>
      </c>
      <c r="K332" t="n">
        <v>0</v>
      </c>
      <c r="L332" t="n">
        <v>0</v>
      </c>
      <c r="M332" t="n">
        <v>0</v>
      </c>
      <c r="N332" t="n">
        <v>0</v>
      </c>
      <c r="O332" t="n">
        <v>0</v>
      </c>
      <c r="P332" t="n">
        <v>0</v>
      </c>
      <c r="Q332" t="n">
        <v>0</v>
      </c>
      <c r="R332" s="2" t="inlineStr"/>
    </row>
    <row r="333" ht="15" customHeight="1">
      <c r="A333" t="inlineStr">
        <is>
          <t>A 53886-2020</t>
        </is>
      </c>
      <c r="B333" s="1" t="n">
        <v>44123</v>
      </c>
      <c r="C333" s="1" t="n">
        <v>45755</v>
      </c>
      <c r="D333" t="inlineStr">
        <is>
          <t>JÄMTLANDS LÄN</t>
        </is>
      </c>
      <c r="E333" t="inlineStr">
        <is>
          <t>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53902-2020</t>
        </is>
      </c>
      <c r="B334" s="1" t="n">
        <v>44123</v>
      </c>
      <c r="C334" s="1" t="n">
        <v>45755</v>
      </c>
      <c r="D334" t="inlineStr">
        <is>
          <t>JÄMTLANDS LÄN</t>
        </is>
      </c>
      <c r="E334" t="inlineStr">
        <is>
          <t>BERG</t>
        </is>
      </c>
      <c r="G334" t="n">
        <v>22.5</v>
      </c>
      <c r="H334" t="n">
        <v>0</v>
      </c>
      <c r="I334" t="n">
        <v>0</v>
      </c>
      <c r="J334" t="n">
        <v>0</v>
      </c>
      <c r="K334" t="n">
        <v>0</v>
      </c>
      <c r="L334" t="n">
        <v>0</v>
      </c>
      <c r="M334" t="n">
        <v>0</v>
      </c>
      <c r="N334" t="n">
        <v>0</v>
      </c>
      <c r="O334" t="n">
        <v>0</v>
      </c>
      <c r="P334" t="n">
        <v>0</v>
      </c>
      <c r="Q334" t="n">
        <v>0</v>
      </c>
      <c r="R334" s="2" t="inlineStr"/>
    </row>
    <row r="335" ht="15" customHeight="1">
      <c r="A335" t="inlineStr">
        <is>
          <t>A 54511-2020</t>
        </is>
      </c>
      <c r="B335" s="1" t="n">
        <v>44126</v>
      </c>
      <c r="C335" s="1" t="n">
        <v>45755</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55311-2020</t>
        </is>
      </c>
      <c r="B336" s="1" t="n">
        <v>44130</v>
      </c>
      <c r="C336" s="1" t="n">
        <v>45755</v>
      </c>
      <c r="D336" t="inlineStr">
        <is>
          <t>JÄMTLANDS LÄN</t>
        </is>
      </c>
      <c r="E336" t="inlineStr">
        <is>
          <t>BERG</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45755</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62490-2020</t>
        </is>
      </c>
      <c r="B338" s="1" t="n">
        <v>44160</v>
      </c>
      <c r="C338" s="1" t="n">
        <v>45755</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62494-2020</t>
        </is>
      </c>
      <c r="B339" s="1" t="n">
        <v>44160</v>
      </c>
      <c r="C339" s="1" t="n">
        <v>45755</v>
      </c>
      <c r="D339" t="inlineStr">
        <is>
          <t>JÄMTLANDS LÄN</t>
        </is>
      </c>
      <c r="E339" t="inlineStr">
        <is>
          <t>BERG</t>
        </is>
      </c>
      <c r="G339" t="n">
        <v>7.5</v>
      </c>
      <c r="H339" t="n">
        <v>0</v>
      </c>
      <c r="I339" t="n">
        <v>0</v>
      </c>
      <c r="J339" t="n">
        <v>0</v>
      </c>
      <c r="K339" t="n">
        <v>0</v>
      </c>
      <c r="L339" t="n">
        <v>0</v>
      </c>
      <c r="M339" t="n">
        <v>0</v>
      </c>
      <c r="N339" t="n">
        <v>0</v>
      </c>
      <c r="O339" t="n">
        <v>0</v>
      </c>
      <c r="P339" t="n">
        <v>0</v>
      </c>
      <c r="Q339" t="n">
        <v>0</v>
      </c>
      <c r="R339" s="2" t="inlineStr"/>
    </row>
    <row r="340" ht="15" customHeight="1">
      <c r="A340" t="inlineStr">
        <is>
          <t>A 63009-2020</t>
        </is>
      </c>
      <c r="B340" s="1" t="n">
        <v>44162</v>
      </c>
      <c r="C340" s="1" t="n">
        <v>45755</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63002-2020</t>
        </is>
      </c>
      <c r="B341" s="1" t="n">
        <v>44162</v>
      </c>
      <c r="C341" s="1" t="n">
        <v>45755</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63522-2020</t>
        </is>
      </c>
      <c r="B342" s="1" t="n">
        <v>44165</v>
      </c>
      <c r="C342" s="1" t="n">
        <v>45755</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64492-2020</t>
        </is>
      </c>
      <c r="B343" s="1" t="n">
        <v>44168</v>
      </c>
      <c r="C343" s="1" t="n">
        <v>45755</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64490-2020</t>
        </is>
      </c>
      <c r="B344" s="1" t="n">
        <v>44168</v>
      </c>
      <c r="C344" s="1" t="n">
        <v>45755</v>
      </c>
      <c r="D344" t="inlineStr">
        <is>
          <t>JÄMTLANDS LÄN</t>
        </is>
      </c>
      <c r="E344" t="inlineStr">
        <is>
          <t>BERG</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68770-2020</t>
        </is>
      </c>
      <c r="B345" s="1" t="n">
        <v>44187</v>
      </c>
      <c r="C345" s="1" t="n">
        <v>45755</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68896-2020</t>
        </is>
      </c>
      <c r="B346" s="1" t="n">
        <v>44187</v>
      </c>
      <c r="C346" s="1" t="n">
        <v>45755</v>
      </c>
      <c r="D346" t="inlineStr">
        <is>
          <t>JÄMTLANDS LÄN</t>
        </is>
      </c>
      <c r="E346" t="inlineStr">
        <is>
          <t>BERG</t>
        </is>
      </c>
      <c r="G346" t="n">
        <v>9.6</v>
      </c>
      <c r="H346" t="n">
        <v>0</v>
      </c>
      <c r="I346" t="n">
        <v>0</v>
      </c>
      <c r="J346" t="n">
        <v>0</v>
      </c>
      <c r="K346" t="n">
        <v>0</v>
      </c>
      <c r="L346" t="n">
        <v>0</v>
      </c>
      <c r="M346" t="n">
        <v>0</v>
      </c>
      <c r="N346" t="n">
        <v>0</v>
      </c>
      <c r="O346" t="n">
        <v>0</v>
      </c>
      <c r="P346" t="n">
        <v>0</v>
      </c>
      <c r="Q346" t="n">
        <v>0</v>
      </c>
      <c r="R346" s="2" t="inlineStr"/>
    </row>
    <row r="347" ht="15" customHeight="1">
      <c r="A347" t="inlineStr">
        <is>
          <t>A 592-2021</t>
        </is>
      </c>
      <c r="B347" s="1" t="n">
        <v>44201</v>
      </c>
      <c r="C347" s="1" t="n">
        <v>45755</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702-2021</t>
        </is>
      </c>
      <c r="B348" s="1" t="n">
        <v>44203</v>
      </c>
      <c r="C348" s="1" t="n">
        <v>45755</v>
      </c>
      <c r="D348" t="inlineStr">
        <is>
          <t>JÄMTLANDS LÄN</t>
        </is>
      </c>
      <c r="E348" t="inlineStr">
        <is>
          <t>BERG</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692-2021</t>
        </is>
      </c>
      <c r="B349" s="1" t="n">
        <v>44203</v>
      </c>
      <c r="C349" s="1" t="n">
        <v>45755</v>
      </c>
      <c r="D349" t="inlineStr">
        <is>
          <t>JÄMTLANDS LÄN</t>
        </is>
      </c>
      <c r="E349" t="inlineStr">
        <is>
          <t>BERG</t>
        </is>
      </c>
      <c r="G349" t="n">
        <v>0.7</v>
      </c>
      <c r="H349" t="n">
        <v>0</v>
      </c>
      <c r="I349" t="n">
        <v>0</v>
      </c>
      <c r="J349" t="n">
        <v>0</v>
      </c>
      <c r="K349" t="n">
        <v>0</v>
      </c>
      <c r="L349" t="n">
        <v>0</v>
      </c>
      <c r="M349" t="n">
        <v>0</v>
      </c>
      <c r="N349" t="n">
        <v>0</v>
      </c>
      <c r="O349" t="n">
        <v>0</v>
      </c>
      <c r="P349" t="n">
        <v>0</v>
      </c>
      <c r="Q349" t="n">
        <v>0</v>
      </c>
      <c r="R349" s="2" t="inlineStr"/>
    </row>
    <row r="350" ht="15" customHeight="1">
      <c r="A350" t="inlineStr">
        <is>
          <t>A 1032-2021</t>
        </is>
      </c>
      <c r="B350" s="1" t="n">
        <v>44207</v>
      </c>
      <c r="C350" s="1" t="n">
        <v>45755</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1640-2021</t>
        </is>
      </c>
      <c r="B351" s="1" t="n">
        <v>44209</v>
      </c>
      <c r="C351" s="1" t="n">
        <v>45755</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1651-2021</t>
        </is>
      </c>
      <c r="B352" s="1" t="n">
        <v>44209</v>
      </c>
      <c r="C352" s="1" t="n">
        <v>45755</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1646-2021</t>
        </is>
      </c>
      <c r="B353" s="1" t="n">
        <v>44209</v>
      </c>
      <c r="C353" s="1" t="n">
        <v>45755</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45755</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3511-2021</t>
        </is>
      </c>
      <c r="B355" s="1" t="n">
        <v>44218</v>
      </c>
      <c r="C355" s="1" t="n">
        <v>45755</v>
      </c>
      <c r="D355" t="inlineStr">
        <is>
          <t>JÄMTLANDS LÄN</t>
        </is>
      </c>
      <c r="E355" t="inlineStr">
        <is>
          <t>BERG</t>
        </is>
      </c>
      <c r="G355" t="n">
        <v>3.9</v>
      </c>
      <c r="H355" t="n">
        <v>0</v>
      </c>
      <c r="I355" t="n">
        <v>0</v>
      </c>
      <c r="J355" t="n">
        <v>0</v>
      </c>
      <c r="K355" t="n">
        <v>0</v>
      </c>
      <c r="L355" t="n">
        <v>0</v>
      </c>
      <c r="M355" t="n">
        <v>0</v>
      </c>
      <c r="N355" t="n">
        <v>0</v>
      </c>
      <c r="O355" t="n">
        <v>0</v>
      </c>
      <c r="P355" t="n">
        <v>0</v>
      </c>
      <c r="Q355" t="n">
        <v>0</v>
      </c>
      <c r="R355" s="2" t="inlineStr"/>
    </row>
    <row r="356" ht="15" customHeight="1">
      <c r="A356" t="inlineStr">
        <is>
          <t>A 4651-2021</t>
        </is>
      </c>
      <c r="B356" s="1" t="n">
        <v>44224</v>
      </c>
      <c r="C356" s="1" t="n">
        <v>45755</v>
      </c>
      <c r="D356" t="inlineStr">
        <is>
          <t>JÄMTLANDS LÄN</t>
        </is>
      </c>
      <c r="E356" t="inlineStr">
        <is>
          <t>BERG</t>
        </is>
      </c>
      <c r="G356" t="n">
        <v>5.2</v>
      </c>
      <c r="H356" t="n">
        <v>0</v>
      </c>
      <c r="I356" t="n">
        <v>0</v>
      </c>
      <c r="J356" t="n">
        <v>0</v>
      </c>
      <c r="K356" t="n">
        <v>0</v>
      </c>
      <c r="L356" t="n">
        <v>0</v>
      </c>
      <c r="M356" t="n">
        <v>0</v>
      </c>
      <c r="N356" t="n">
        <v>0</v>
      </c>
      <c r="O356" t="n">
        <v>0</v>
      </c>
      <c r="P356" t="n">
        <v>0</v>
      </c>
      <c r="Q356" t="n">
        <v>0</v>
      </c>
      <c r="R356" s="2" t="inlineStr"/>
    </row>
    <row r="357" ht="15" customHeight="1">
      <c r="A357" t="inlineStr">
        <is>
          <t>A 8639-2021</t>
        </is>
      </c>
      <c r="B357" s="1" t="n">
        <v>44245</v>
      </c>
      <c r="C357" s="1" t="n">
        <v>45755</v>
      </c>
      <c r="D357" t="inlineStr">
        <is>
          <t>JÄMTLANDS LÄN</t>
        </is>
      </c>
      <c r="E357" t="inlineStr">
        <is>
          <t>BERG</t>
        </is>
      </c>
      <c r="F357" t="inlineStr">
        <is>
          <t>Naturvårdsverket</t>
        </is>
      </c>
      <c r="G357" t="n">
        <v>1.5</v>
      </c>
      <c r="H357" t="n">
        <v>0</v>
      </c>
      <c r="I357" t="n">
        <v>0</v>
      </c>
      <c r="J357" t="n">
        <v>0</v>
      </c>
      <c r="K357" t="n">
        <v>0</v>
      </c>
      <c r="L357" t="n">
        <v>0</v>
      </c>
      <c r="M357" t="n">
        <v>0</v>
      </c>
      <c r="N357" t="n">
        <v>0</v>
      </c>
      <c r="O357" t="n">
        <v>0</v>
      </c>
      <c r="P357" t="n">
        <v>0</v>
      </c>
      <c r="Q357" t="n">
        <v>0</v>
      </c>
      <c r="R357" s="2" t="inlineStr"/>
    </row>
    <row r="358" ht="15" customHeight="1">
      <c r="A358" t="inlineStr">
        <is>
          <t>A 9629-2021</t>
        </is>
      </c>
      <c r="B358" s="1" t="n">
        <v>44251</v>
      </c>
      <c r="C358" s="1" t="n">
        <v>45755</v>
      </c>
      <c r="D358" t="inlineStr">
        <is>
          <t>JÄMTLANDS LÄN</t>
        </is>
      </c>
      <c r="E358" t="inlineStr">
        <is>
          <t>BERG</t>
        </is>
      </c>
      <c r="F358" t="inlineStr">
        <is>
          <t>SCA</t>
        </is>
      </c>
      <c r="G358" t="n">
        <v>6.4</v>
      </c>
      <c r="H358" t="n">
        <v>0</v>
      </c>
      <c r="I358" t="n">
        <v>0</v>
      </c>
      <c r="J358" t="n">
        <v>0</v>
      </c>
      <c r="K358" t="n">
        <v>0</v>
      </c>
      <c r="L358" t="n">
        <v>0</v>
      </c>
      <c r="M358" t="n">
        <v>0</v>
      </c>
      <c r="N358" t="n">
        <v>0</v>
      </c>
      <c r="O358" t="n">
        <v>0</v>
      </c>
      <c r="P358" t="n">
        <v>0</v>
      </c>
      <c r="Q358" t="n">
        <v>0</v>
      </c>
      <c r="R358" s="2" t="inlineStr"/>
    </row>
    <row r="359" ht="15" customHeight="1">
      <c r="A359" t="inlineStr">
        <is>
          <t>A 9920-2021</t>
        </is>
      </c>
      <c r="B359" s="1" t="n">
        <v>44253</v>
      </c>
      <c r="C359" s="1" t="n">
        <v>45755</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12499-2021</t>
        </is>
      </c>
      <c r="B360" s="1" t="n">
        <v>44267</v>
      </c>
      <c r="C360" s="1" t="n">
        <v>45755</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14226-2021</t>
        </is>
      </c>
      <c r="B361" s="1" t="n">
        <v>44277</v>
      </c>
      <c r="C361" s="1" t="n">
        <v>45755</v>
      </c>
      <c r="D361" t="inlineStr">
        <is>
          <t>JÄMTLANDS LÄN</t>
        </is>
      </c>
      <c r="E361" t="inlineStr">
        <is>
          <t>BERG</t>
        </is>
      </c>
      <c r="G361" t="n">
        <v>23.7</v>
      </c>
      <c r="H361" t="n">
        <v>0</v>
      </c>
      <c r="I361" t="n">
        <v>0</v>
      </c>
      <c r="J361" t="n">
        <v>0</v>
      </c>
      <c r="K361" t="n">
        <v>0</v>
      </c>
      <c r="L361" t="n">
        <v>0</v>
      </c>
      <c r="M361" t="n">
        <v>0</v>
      </c>
      <c r="N361" t="n">
        <v>0</v>
      </c>
      <c r="O361" t="n">
        <v>0</v>
      </c>
      <c r="P361" t="n">
        <v>0</v>
      </c>
      <c r="Q361" t="n">
        <v>0</v>
      </c>
      <c r="R361" s="2" t="inlineStr"/>
    </row>
    <row r="362" ht="15" customHeight="1">
      <c r="A362" t="inlineStr">
        <is>
          <t>A 14218-2021</t>
        </is>
      </c>
      <c r="B362" s="1" t="n">
        <v>44277</v>
      </c>
      <c r="C362" s="1" t="n">
        <v>45755</v>
      </c>
      <c r="D362" t="inlineStr">
        <is>
          <t>JÄMTLANDS LÄN</t>
        </is>
      </c>
      <c r="E362" t="inlineStr">
        <is>
          <t>BERG</t>
        </is>
      </c>
      <c r="G362" t="n">
        <v>19.9</v>
      </c>
      <c r="H362" t="n">
        <v>0</v>
      </c>
      <c r="I362" t="n">
        <v>0</v>
      </c>
      <c r="J362" t="n">
        <v>0</v>
      </c>
      <c r="K362" t="n">
        <v>0</v>
      </c>
      <c r="L362" t="n">
        <v>0</v>
      </c>
      <c r="M362" t="n">
        <v>0</v>
      </c>
      <c r="N362" t="n">
        <v>0</v>
      </c>
      <c r="O362" t="n">
        <v>0</v>
      </c>
      <c r="P362" t="n">
        <v>0</v>
      </c>
      <c r="Q362" t="n">
        <v>0</v>
      </c>
      <c r="R362" s="2" t="inlineStr"/>
    </row>
    <row r="363" ht="15" customHeight="1">
      <c r="A363" t="inlineStr">
        <is>
          <t>A 14163-2021</t>
        </is>
      </c>
      <c r="B363" s="1" t="n">
        <v>44277</v>
      </c>
      <c r="C363" s="1" t="n">
        <v>45755</v>
      </c>
      <c r="D363" t="inlineStr">
        <is>
          <t>JÄMTLANDS LÄN</t>
        </is>
      </c>
      <c r="E363" t="inlineStr">
        <is>
          <t>BERG</t>
        </is>
      </c>
      <c r="G363" t="n">
        <v>8.1</v>
      </c>
      <c r="H363" t="n">
        <v>0</v>
      </c>
      <c r="I363" t="n">
        <v>0</v>
      </c>
      <c r="J363" t="n">
        <v>0</v>
      </c>
      <c r="K363" t="n">
        <v>0</v>
      </c>
      <c r="L363" t="n">
        <v>0</v>
      </c>
      <c r="M363" t="n">
        <v>0</v>
      </c>
      <c r="N363" t="n">
        <v>0</v>
      </c>
      <c r="O363" t="n">
        <v>0</v>
      </c>
      <c r="P363" t="n">
        <v>0</v>
      </c>
      <c r="Q363" t="n">
        <v>0</v>
      </c>
      <c r="R363" s="2" t="inlineStr"/>
    </row>
    <row r="364" ht="15" customHeight="1">
      <c r="A364" t="inlineStr">
        <is>
          <t>A 14224-2021</t>
        </is>
      </c>
      <c r="B364" s="1" t="n">
        <v>44277</v>
      </c>
      <c r="C364" s="1" t="n">
        <v>45755</v>
      </c>
      <c r="D364" t="inlineStr">
        <is>
          <t>JÄMTLANDS LÄN</t>
        </is>
      </c>
      <c r="E364" t="inlineStr">
        <is>
          <t>BERG</t>
        </is>
      </c>
      <c r="G364" t="n">
        <v>24.9</v>
      </c>
      <c r="H364" t="n">
        <v>0</v>
      </c>
      <c r="I364" t="n">
        <v>0</v>
      </c>
      <c r="J364" t="n">
        <v>0</v>
      </c>
      <c r="K364" t="n">
        <v>0</v>
      </c>
      <c r="L364" t="n">
        <v>0</v>
      </c>
      <c r="M364" t="n">
        <v>0</v>
      </c>
      <c r="N364" t="n">
        <v>0</v>
      </c>
      <c r="O364" t="n">
        <v>0</v>
      </c>
      <c r="P364" t="n">
        <v>0</v>
      </c>
      <c r="Q364" t="n">
        <v>0</v>
      </c>
      <c r="R364" s="2" t="inlineStr"/>
    </row>
    <row r="365" ht="15" customHeight="1">
      <c r="A365" t="inlineStr">
        <is>
          <t>A 14325-2021</t>
        </is>
      </c>
      <c r="B365" s="1" t="n">
        <v>44278</v>
      </c>
      <c r="C365" s="1" t="n">
        <v>45755</v>
      </c>
      <c r="D365" t="inlineStr">
        <is>
          <t>JÄMTLANDS LÄN</t>
        </is>
      </c>
      <c r="E365" t="inlineStr">
        <is>
          <t>BERG</t>
        </is>
      </c>
      <c r="G365" t="n">
        <v>27.3</v>
      </c>
      <c r="H365" t="n">
        <v>0</v>
      </c>
      <c r="I365" t="n">
        <v>0</v>
      </c>
      <c r="J365" t="n">
        <v>0</v>
      </c>
      <c r="K365" t="n">
        <v>0</v>
      </c>
      <c r="L365" t="n">
        <v>0</v>
      </c>
      <c r="M365" t="n">
        <v>0</v>
      </c>
      <c r="N365" t="n">
        <v>0</v>
      </c>
      <c r="O365" t="n">
        <v>0</v>
      </c>
      <c r="P365" t="n">
        <v>0</v>
      </c>
      <c r="Q365" t="n">
        <v>0</v>
      </c>
      <c r="R365" s="2" t="inlineStr"/>
    </row>
    <row r="366" ht="15" customHeight="1">
      <c r="A366" t="inlineStr">
        <is>
          <t>A 14772-2021</t>
        </is>
      </c>
      <c r="B366" s="1" t="n">
        <v>44280</v>
      </c>
      <c r="C366" s="1" t="n">
        <v>45755</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15277-2021</t>
        </is>
      </c>
      <c r="B367" s="1" t="n">
        <v>44284</v>
      </c>
      <c r="C367" s="1" t="n">
        <v>45755</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v>
      </c>
      <c r="C368" s="1" t="n">
        <v>45755</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16819-2021</t>
        </is>
      </c>
      <c r="B369" s="1" t="n">
        <v>44293</v>
      </c>
      <c r="C369" s="1" t="n">
        <v>45755</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16822-2021</t>
        </is>
      </c>
      <c r="B370" s="1" t="n">
        <v>44293</v>
      </c>
      <c r="C370" s="1" t="n">
        <v>45755</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16831-2021</t>
        </is>
      </c>
      <c r="B371" s="1" t="n">
        <v>44293</v>
      </c>
      <c r="C371" s="1" t="n">
        <v>45755</v>
      </c>
      <c r="D371" t="inlineStr">
        <is>
          <t>JÄMTLANDS LÄN</t>
        </is>
      </c>
      <c r="E371" t="inlineStr">
        <is>
          <t>BERG</t>
        </is>
      </c>
      <c r="G371" t="n">
        <v>13.7</v>
      </c>
      <c r="H371" t="n">
        <v>0</v>
      </c>
      <c r="I371" t="n">
        <v>0</v>
      </c>
      <c r="J371" t="n">
        <v>0</v>
      </c>
      <c r="K371" t="n">
        <v>0</v>
      </c>
      <c r="L371" t="n">
        <v>0</v>
      </c>
      <c r="M371" t="n">
        <v>0</v>
      </c>
      <c r="N371" t="n">
        <v>0</v>
      </c>
      <c r="O371" t="n">
        <v>0</v>
      </c>
      <c r="P371" t="n">
        <v>0</v>
      </c>
      <c r="Q371" t="n">
        <v>0</v>
      </c>
      <c r="R371" s="2" t="inlineStr"/>
    </row>
    <row r="372" ht="15" customHeight="1">
      <c r="A372" t="inlineStr">
        <is>
          <t>A 16828-2021</t>
        </is>
      </c>
      <c r="B372" s="1" t="n">
        <v>44293</v>
      </c>
      <c r="C372" s="1" t="n">
        <v>45755</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16825-2021</t>
        </is>
      </c>
      <c r="B373" s="1" t="n">
        <v>44293</v>
      </c>
      <c r="C373" s="1" t="n">
        <v>45755</v>
      </c>
      <c r="D373" t="inlineStr">
        <is>
          <t>JÄMTLANDS LÄN</t>
        </is>
      </c>
      <c r="E373" t="inlineStr">
        <is>
          <t>BERG</t>
        </is>
      </c>
      <c r="G373" t="n">
        <v>20</v>
      </c>
      <c r="H373" t="n">
        <v>0</v>
      </c>
      <c r="I373" t="n">
        <v>0</v>
      </c>
      <c r="J373" t="n">
        <v>0</v>
      </c>
      <c r="K373" t="n">
        <v>0</v>
      </c>
      <c r="L373" t="n">
        <v>0</v>
      </c>
      <c r="M373" t="n">
        <v>0</v>
      </c>
      <c r="N373" t="n">
        <v>0</v>
      </c>
      <c r="O373" t="n">
        <v>0</v>
      </c>
      <c r="P373" t="n">
        <v>0</v>
      </c>
      <c r="Q373" t="n">
        <v>0</v>
      </c>
      <c r="R373" s="2" t="inlineStr"/>
    </row>
    <row r="374" ht="15" customHeight="1">
      <c r="A374" t="inlineStr">
        <is>
          <t>A 18569-2021</t>
        </is>
      </c>
      <c r="B374" s="1" t="n">
        <v>44306</v>
      </c>
      <c r="C374" s="1" t="n">
        <v>45755</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18567-2021</t>
        </is>
      </c>
      <c r="B375" s="1" t="n">
        <v>44306</v>
      </c>
      <c r="C375" s="1" t="n">
        <v>45755</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20179-2021</t>
        </is>
      </c>
      <c r="B376" s="1" t="n">
        <v>44314</v>
      </c>
      <c r="C376" s="1" t="n">
        <v>45755</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21629-2021</t>
        </is>
      </c>
      <c r="B377" s="1" t="n">
        <v>44321</v>
      </c>
      <c r="C377" s="1" t="n">
        <v>45755</v>
      </c>
      <c r="D377" t="inlineStr">
        <is>
          <t>JÄMTLANDS LÄN</t>
        </is>
      </c>
      <c r="E377" t="inlineStr">
        <is>
          <t>BERG</t>
        </is>
      </c>
      <c r="G377" t="n">
        <v>15.9</v>
      </c>
      <c r="H377" t="n">
        <v>0</v>
      </c>
      <c r="I377" t="n">
        <v>0</v>
      </c>
      <c r="J377" t="n">
        <v>0</v>
      </c>
      <c r="K377" t="n">
        <v>0</v>
      </c>
      <c r="L377" t="n">
        <v>0</v>
      </c>
      <c r="M377" t="n">
        <v>0</v>
      </c>
      <c r="N377" t="n">
        <v>0</v>
      </c>
      <c r="O377" t="n">
        <v>0</v>
      </c>
      <c r="P377" t="n">
        <v>0</v>
      </c>
      <c r="Q377" t="n">
        <v>0</v>
      </c>
      <c r="R377" s="2" t="inlineStr"/>
    </row>
    <row r="378" ht="15" customHeight="1">
      <c r="A378" t="inlineStr">
        <is>
          <t>A 21841-2021</t>
        </is>
      </c>
      <c r="B378" s="1" t="n">
        <v>44322</v>
      </c>
      <c r="C378" s="1" t="n">
        <v>45755</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21836-2021</t>
        </is>
      </c>
      <c r="B379" s="1" t="n">
        <v>44322</v>
      </c>
      <c r="C379" s="1" t="n">
        <v>45755</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24136-2021</t>
        </is>
      </c>
      <c r="B380" s="1" t="n">
        <v>44336</v>
      </c>
      <c r="C380" s="1" t="n">
        <v>45755</v>
      </c>
      <c r="D380" t="inlineStr">
        <is>
          <t>JÄMTLANDS LÄN</t>
        </is>
      </c>
      <c r="E380" t="inlineStr">
        <is>
          <t>BERG</t>
        </is>
      </c>
      <c r="G380" t="n">
        <v>12.6</v>
      </c>
      <c r="H380" t="n">
        <v>0</v>
      </c>
      <c r="I380" t="n">
        <v>0</v>
      </c>
      <c r="J380" t="n">
        <v>0</v>
      </c>
      <c r="K380" t="n">
        <v>0</v>
      </c>
      <c r="L380" t="n">
        <v>0</v>
      </c>
      <c r="M380" t="n">
        <v>0</v>
      </c>
      <c r="N380" t="n">
        <v>0</v>
      </c>
      <c r="O380" t="n">
        <v>0</v>
      </c>
      <c r="P380" t="n">
        <v>0</v>
      </c>
      <c r="Q380" t="n">
        <v>0</v>
      </c>
      <c r="R380" s="2" t="inlineStr"/>
    </row>
    <row r="381" ht="15" customHeight="1">
      <c r="A381" t="inlineStr">
        <is>
          <t>A 24843-2021</t>
        </is>
      </c>
      <c r="B381" s="1" t="n">
        <v>44340</v>
      </c>
      <c r="C381" s="1" t="n">
        <v>45755</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26721-2021</t>
        </is>
      </c>
      <c r="B382" s="1" t="n">
        <v>44349</v>
      </c>
      <c r="C382" s="1" t="n">
        <v>45755</v>
      </c>
      <c r="D382" t="inlineStr">
        <is>
          <t>JÄMTLANDS LÄN</t>
        </is>
      </c>
      <c r="E382" t="inlineStr">
        <is>
          <t>BERG</t>
        </is>
      </c>
      <c r="G382" t="n">
        <v>10.7</v>
      </c>
      <c r="H382" t="n">
        <v>0</v>
      </c>
      <c r="I382" t="n">
        <v>0</v>
      </c>
      <c r="J382" t="n">
        <v>0</v>
      </c>
      <c r="K382" t="n">
        <v>0</v>
      </c>
      <c r="L382" t="n">
        <v>0</v>
      </c>
      <c r="M382" t="n">
        <v>0</v>
      </c>
      <c r="N382" t="n">
        <v>0</v>
      </c>
      <c r="O382" t="n">
        <v>0</v>
      </c>
      <c r="P382" t="n">
        <v>0</v>
      </c>
      <c r="Q382" t="n">
        <v>0</v>
      </c>
      <c r="R382" s="2" t="inlineStr"/>
    </row>
    <row r="383" ht="15" customHeight="1">
      <c r="A383" t="inlineStr">
        <is>
          <t>A 26973-2021</t>
        </is>
      </c>
      <c r="B383" s="1" t="n">
        <v>44349</v>
      </c>
      <c r="C383" s="1" t="n">
        <v>45755</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27144-2021</t>
        </is>
      </c>
      <c r="B384" s="1" t="n">
        <v>44350</v>
      </c>
      <c r="C384" s="1" t="n">
        <v>45755</v>
      </c>
      <c r="D384" t="inlineStr">
        <is>
          <t>JÄMTLANDS LÄN</t>
        </is>
      </c>
      <c r="E384" t="inlineStr">
        <is>
          <t>BERG</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27395-2021</t>
        </is>
      </c>
      <c r="B385" s="1" t="n">
        <v>44350</v>
      </c>
      <c r="C385" s="1" t="n">
        <v>45755</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27772-2021</t>
        </is>
      </c>
      <c r="B386" s="1" t="n">
        <v>44354</v>
      </c>
      <c r="C386" s="1" t="n">
        <v>45755</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28883-2021</t>
        </is>
      </c>
      <c r="B387" s="1" t="n">
        <v>44357</v>
      </c>
      <c r="C387" s="1" t="n">
        <v>45755</v>
      </c>
      <c r="D387" t="inlineStr">
        <is>
          <t>JÄMTLANDS LÄN</t>
        </is>
      </c>
      <c r="E387" t="inlineStr">
        <is>
          <t>BERG</t>
        </is>
      </c>
      <c r="F387" t="inlineStr">
        <is>
          <t>Kyrkan</t>
        </is>
      </c>
      <c r="G387" t="n">
        <v>7.3</v>
      </c>
      <c r="H387" t="n">
        <v>0</v>
      </c>
      <c r="I387" t="n">
        <v>0</v>
      </c>
      <c r="J387" t="n">
        <v>0</v>
      </c>
      <c r="K387" t="n">
        <v>0</v>
      </c>
      <c r="L387" t="n">
        <v>0</v>
      </c>
      <c r="M387" t="n">
        <v>0</v>
      </c>
      <c r="N387" t="n">
        <v>0</v>
      </c>
      <c r="O387" t="n">
        <v>0</v>
      </c>
      <c r="P387" t="n">
        <v>0</v>
      </c>
      <c r="Q387" t="n">
        <v>0</v>
      </c>
      <c r="R387" s="2" t="inlineStr"/>
    </row>
    <row r="388" ht="15" customHeight="1">
      <c r="A388" t="inlineStr">
        <is>
          <t>A 29019-2021</t>
        </is>
      </c>
      <c r="B388" s="1" t="n">
        <v>44358</v>
      </c>
      <c r="C388" s="1" t="n">
        <v>45755</v>
      </c>
      <c r="D388" t="inlineStr">
        <is>
          <t>JÄMTLANDS LÄN</t>
        </is>
      </c>
      <c r="E388" t="inlineStr">
        <is>
          <t>BERG</t>
        </is>
      </c>
      <c r="F388" t="inlineStr">
        <is>
          <t>Sveaskog</t>
        </is>
      </c>
      <c r="G388" t="n">
        <v>27.1</v>
      </c>
      <c r="H388" t="n">
        <v>0</v>
      </c>
      <c r="I388" t="n">
        <v>0</v>
      </c>
      <c r="J388" t="n">
        <v>0</v>
      </c>
      <c r="K388" t="n">
        <v>0</v>
      </c>
      <c r="L388" t="n">
        <v>0</v>
      </c>
      <c r="M388" t="n">
        <v>0</v>
      </c>
      <c r="N388" t="n">
        <v>0</v>
      </c>
      <c r="O388" t="n">
        <v>0</v>
      </c>
      <c r="P388" t="n">
        <v>0</v>
      </c>
      <c r="Q388" t="n">
        <v>0</v>
      </c>
      <c r="R388" s="2" t="inlineStr"/>
    </row>
    <row r="389" ht="15" customHeight="1">
      <c r="A389" t="inlineStr">
        <is>
          <t>A 29511-2021</t>
        </is>
      </c>
      <c r="B389" s="1" t="n">
        <v>44361</v>
      </c>
      <c r="C389" s="1" t="n">
        <v>45755</v>
      </c>
      <c r="D389" t="inlineStr">
        <is>
          <t>JÄMTLANDS LÄN</t>
        </is>
      </c>
      <c r="E389" t="inlineStr">
        <is>
          <t>BERG</t>
        </is>
      </c>
      <c r="G389" t="n">
        <v>5.6</v>
      </c>
      <c r="H389" t="n">
        <v>0</v>
      </c>
      <c r="I389" t="n">
        <v>0</v>
      </c>
      <c r="J389" t="n">
        <v>0</v>
      </c>
      <c r="K389" t="n">
        <v>0</v>
      </c>
      <c r="L389" t="n">
        <v>0</v>
      </c>
      <c r="M389" t="n">
        <v>0</v>
      </c>
      <c r="N389" t="n">
        <v>0</v>
      </c>
      <c r="O389" t="n">
        <v>0</v>
      </c>
      <c r="P389" t="n">
        <v>0</v>
      </c>
      <c r="Q389" t="n">
        <v>0</v>
      </c>
      <c r="R389" s="2" t="inlineStr"/>
    </row>
    <row r="390" ht="15" customHeight="1">
      <c r="A390" t="inlineStr">
        <is>
          <t>A 33878-2021</t>
        </is>
      </c>
      <c r="B390" s="1" t="n">
        <v>44378</v>
      </c>
      <c r="C390" s="1" t="n">
        <v>45755</v>
      </c>
      <c r="D390" t="inlineStr">
        <is>
          <t>JÄMTLANDS LÄN</t>
        </is>
      </c>
      <c r="E390" t="inlineStr">
        <is>
          <t>BERG</t>
        </is>
      </c>
      <c r="G390" t="n">
        <v>6.6</v>
      </c>
      <c r="H390" t="n">
        <v>0</v>
      </c>
      <c r="I390" t="n">
        <v>0</v>
      </c>
      <c r="J390" t="n">
        <v>0</v>
      </c>
      <c r="K390" t="n">
        <v>0</v>
      </c>
      <c r="L390" t="n">
        <v>0</v>
      </c>
      <c r="M390" t="n">
        <v>0</v>
      </c>
      <c r="N390" t="n">
        <v>0</v>
      </c>
      <c r="O390" t="n">
        <v>0</v>
      </c>
      <c r="P390" t="n">
        <v>0</v>
      </c>
      <c r="Q390" t="n">
        <v>0</v>
      </c>
      <c r="R390" s="2" t="inlineStr"/>
    </row>
    <row r="391" ht="15" customHeight="1">
      <c r="A391" t="inlineStr">
        <is>
          <t>A 35308-2021</t>
        </is>
      </c>
      <c r="B391" s="1" t="n">
        <v>44384</v>
      </c>
      <c r="C391" s="1" t="n">
        <v>45755</v>
      </c>
      <c r="D391" t="inlineStr">
        <is>
          <t>JÄMTLANDS LÄN</t>
        </is>
      </c>
      <c r="E391" t="inlineStr">
        <is>
          <t>BERG</t>
        </is>
      </c>
      <c r="G391" t="n">
        <v>2.9</v>
      </c>
      <c r="H391" t="n">
        <v>0</v>
      </c>
      <c r="I391" t="n">
        <v>0</v>
      </c>
      <c r="J391" t="n">
        <v>0</v>
      </c>
      <c r="K391" t="n">
        <v>0</v>
      </c>
      <c r="L391" t="n">
        <v>0</v>
      </c>
      <c r="M391" t="n">
        <v>0</v>
      </c>
      <c r="N391" t="n">
        <v>0</v>
      </c>
      <c r="O391" t="n">
        <v>0</v>
      </c>
      <c r="P391" t="n">
        <v>0</v>
      </c>
      <c r="Q391" t="n">
        <v>0</v>
      </c>
      <c r="R391" s="2" t="inlineStr"/>
      <c r="U391">
        <f>HYPERLINK("https://klasma.github.io/Logging_2326/knärot/A 35308-2021 karta knärot.png", "A 35308-2021")</f>
        <v/>
      </c>
      <c r="V391">
        <f>HYPERLINK("https://klasma.github.io/Logging_2326/klagomål/A 35308-2021 FSC-klagomål.docx", "A 35308-2021")</f>
        <v/>
      </c>
      <c r="W391">
        <f>HYPERLINK("https://klasma.github.io/Logging_2326/klagomålsmail/A 35308-2021 FSC-klagomål mail.docx", "A 35308-2021")</f>
        <v/>
      </c>
      <c r="X391">
        <f>HYPERLINK("https://klasma.github.io/Logging_2326/tillsyn/A 35308-2021 tillsynsbegäran.docx", "A 35308-2021")</f>
        <v/>
      </c>
      <c r="Y391">
        <f>HYPERLINK("https://klasma.github.io/Logging_2326/tillsynsmail/A 35308-2021 tillsynsbegäran mail.docx", "A 35308-2021")</f>
        <v/>
      </c>
    </row>
    <row r="392" ht="15" customHeight="1">
      <c r="A392" t="inlineStr">
        <is>
          <t>A 35867-2021</t>
        </is>
      </c>
      <c r="B392" s="1" t="n">
        <v>44387</v>
      </c>
      <c r="C392" s="1" t="n">
        <v>45755</v>
      </c>
      <c r="D392" t="inlineStr">
        <is>
          <t>JÄMTLANDS LÄN</t>
        </is>
      </c>
      <c r="E392" t="inlineStr">
        <is>
          <t>BERG</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36031-2021</t>
        </is>
      </c>
      <c r="B393" s="1" t="n">
        <v>44389</v>
      </c>
      <c r="C393" s="1" t="n">
        <v>45755</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36033-2021</t>
        </is>
      </c>
      <c r="B394" s="1" t="n">
        <v>44389</v>
      </c>
      <c r="C394" s="1" t="n">
        <v>45755</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36720-2021</t>
        </is>
      </c>
      <c r="B395" s="1" t="n">
        <v>44392</v>
      </c>
      <c r="C395" s="1" t="n">
        <v>45755</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37591-2021</t>
        </is>
      </c>
      <c r="B396" s="1" t="n">
        <v>44399</v>
      </c>
      <c r="C396" s="1" t="n">
        <v>45755</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37586-2021</t>
        </is>
      </c>
      <c r="B397" s="1" t="n">
        <v>44399</v>
      </c>
      <c r="C397" s="1" t="n">
        <v>45755</v>
      </c>
      <c r="D397" t="inlineStr">
        <is>
          <t>JÄMTLANDS LÄN</t>
        </is>
      </c>
      <c r="E397" t="inlineStr">
        <is>
          <t>BERG</t>
        </is>
      </c>
      <c r="G397" t="n">
        <v>15.4</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45755</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37588-2021</t>
        </is>
      </c>
      <c r="B399" s="1" t="n">
        <v>44399</v>
      </c>
      <c r="C399" s="1" t="n">
        <v>45755</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37687-2021</t>
        </is>
      </c>
      <c r="B400" s="1" t="n">
        <v>44400</v>
      </c>
      <c r="C400" s="1" t="n">
        <v>45755</v>
      </c>
      <c r="D400" t="inlineStr">
        <is>
          <t>JÄMTLANDS LÄN</t>
        </is>
      </c>
      <c r="E400" t="inlineStr">
        <is>
          <t>BERG</t>
        </is>
      </c>
      <c r="F400" t="inlineStr">
        <is>
          <t>Sveaskog</t>
        </is>
      </c>
      <c r="G400" t="n">
        <v>15.7</v>
      </c>
      <c r="H400" t="n">
        <v>0</v>
      </c>
      <c r="I400" t="n">
        <v>0</v>
      </c>
      <c r="J400" t="n">
        <v>0</v>
      </c>
      <c r="K400" t="n">
        <v>0</v>
      </c>
      <c r="L400" t="n">
        <v>0</v>
      </c>
      <c r="M400" t="n">
        <v>0</v>
      </c>
      <c r="N400" t="n">
        <v>0</v>
      </c>
      <c r="O400" t="n">
        <v>0</v>
      </c>
      <c r="P400" t="n">
        <v>0</v>
      </c>
      <c r="Q400" t="n">
        <v>0</v>
      </c>
      <c r="R400" s="2" t="inlineStr"/>
    </row>
    <row r="401" ht="15" customHeight="1">
      <c r="A401" t="inlineStr">
        <is>
          <t>A 39943-2021</t>
        </is>
      </c>
      <c r="B401" s="1" t="n">
        <v>44417</v>
      </c>
      <c r="C401" s="1" t="n">
        <v>45755</v>
      </c>
      <c r="D401" t="inlineStr">
        <is>
          <t>JÄMTLANDS LÄN</t>
        </is>
      </c>
      <c r="E401" t="inlineStr">
        <is>
          <t>BERG</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44088-2021</t>
        </is>
      </c>
      <c r="B402" s="1" t="n">
        <v>44434</v>
      </c>
      <c r="C402" s="1" t="n">
        <v>45755</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44911-2021</t>
        </is>
      </c>
      <c r="B403" s="1" t="n">
        <v>44435</v>
      </c>
      <c r="C403" s="1" t="n">
        <v>45755</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44997-2021</t>
        </is>
      </c>
      <c r="B404" s="1" t="n">
        <v>44438</v>
      </c>
      <c r="C404" s="1" t="n">
        <v>45755</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45349-2021</t>
        </is>
      </c>
      <c r="B405" s="1" t="n">
        <v>44440</v>
      </c>
      <c r="C405" s="1" t="n">
        <v>45755</v>
      </c>
      <c r="D405" t="inlineStr">
        <is>
          <t>JÄMTLANDS LÄN</t>
        </is>
      </c>
      <c r="E405" t="inlineStr">
        <is>
          <t>BERG</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46115-2021</t>
        </is>
      </c>
      <c r="B406" s="1" t="n">
        <v>44441</v>
      </c>
      <c r="C406" s="1" t="n">
        <v>45755</v>
      </c>
      <c r="D406" t="inlineStr">
        <is>
          <t>JÄMTLANDS LÄN</t>
        </is>
      </c>
      <c r="E406" t="inlineStr">
        <is>
          <t>BERG</t>
        </is>
      </c>
      <c r="G406" t="n">
        <v>15.1</v>
      </c>
      <c r="H406" t="n">
        <v>0</v>
      </c>
      <c r="I406" t="n">
        <v>0</v>
      </c>
      <c r="J406" t="n">
        <v>0</v>
      </c>
      <c r="K406" t="n">
        <v>0</v>
      </c>
      <c r="L406" t="n">
        <v>0</v>
      </c>
      <c r="M406" t="n">
        <v>0</v>
      </c>
      <c r="N406" t="n">
        <v>0</v>
      </c>
      <c r="O406" t="n">
        <v>0</v>
      </c>
      <c r="P406" t="n">
        <v>0</v>
      </c>
      <c r="Q406" t="n">
        <v>0</v>
      </c>
      <c r="R406" s="2" t="inlineStr"/>
    </row>
    <row r="407" ht="15" customHeight="1">
      <c r="A407" t="inlineStr">
        <is>
          <t>A 46515-2021</t>
        </is>
      </c>
      <c r="B407" s="1" t="n">
        <v>44445</v>
      </c>
      <c r="C407" s="1" t="n">
        <v>45755</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46853-2021</t>
        </is>
      </c>
      <c r="B408" s="1" t="n">
        <v>44446</v>
      </c>
      <c r="C408" s="1" t="n">
        <v>45755</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46937-2021</t>
        </is>
      </c>
      <c r="B409" s="1" t="n">
        <v>44446</v>
      </c>
      <c r="C409" s="1" t="n">
        <v>45755</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50453-2021</t>
        </is>
      </c>
      <c r="B410" s="1" t="n">
        <v>44455</v>
      </c>
      <c r="C410" s="1" t="n">
        <v>45755</v>
      </c>
      <c r="D410" t="inlineStr">
        <is>
          <t>JÄMTLANDS LÄN</t>
        </is>
      </c>
      <c r="E410" t="inlineStr">
        <is>
          <t>BERG</t>
        </is>
      </c>
      <c r="G410" t="n">
        <v>3.9</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45755</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51951-2021</t>
        </is>
      </c>
      <c r="B412" s="1" t="n">
        <v>44462</v>
      </c>
      <c r="C412" s="1" t="n">
        <v>45755</v>
      </c>
      <c r="D412" t="inlineStr">
        <is>
          <t>JÄMTLANDS LÄN</t>
        </is>
      </c>
      <c r="E412" t="inlineStr">
        <is>
          <t>BERG</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54766-2021</t>
        </is>
      </c>
      <c r="B413" s="1" t="n">
        <v>44473</v>
      </c>
      <c r="C413" s="1" t="n">
        <v>45755</v>
      </c>
      <c r="D413" t="inlineStr">
        <is>
          <t>JÄMTLANDS LÄN</t>
        </is>
      </c>
      <c r="E413" t="inlineStr">
        <is>
          <t>BERG</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54799-2021</t>
        </is>
      </c>
      <c r="B414" s="1" t="n">
        <v>44473</v>
      </c>
      <c r="C414" s="1" t="n">
        <v>45755</v>
      </c>
      <c r="D414" t="inlineStr">
        <is>
          <t>JÄMTLANDS LÄN</t>
        </is>
      </c>
      <c r="E414" t="inlineStr">
        <is>
          <t>BERG</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56220-2021</t>
        </is>
      </c>
      <c r="B415" s="1" t="n">
        <v>44477</v>
      </c>
      <c r="C415" s="1" t="n">
        <v>45755</v>
      </c>
      <c r="D415" t="inlineStr">
        <is>
          <t>JÄMTLANDS LÄN</t>
        </is>
      </c>
      <c r="E415" t="inlineStr">
        <is>
          <t>BERG</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57949-2021</t>
        </is>
      </c>
      <c r="B416" s="1" t="n">
        <v>44487</v>
      </c>
      <c r="C416" s="1" t="n">
        <v>45755</v>
      </c>
      <c r="D416" t="inlineStr">
        <is>
          <t>JÄMTLANDS LÄN</t>
        </is>
      </c>
      <c r="E416" t="inlineStr">
        <is>
          <t>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58088-2021</t>
        </is>
      </c>
      <c r="B417" s="1" t="n">
        <v>44487</v>
      </c>
      <c r="C417" s="1" t="n">
        <v>45755</v>
      </c>
      <c r="D417" t="inlineStr">
        <is>
          <t>JÄMTLANDS LÄN</t>
        </is>
      </c>
      <c r="E417" t="inlineStr">
        <is>
          <t>BERG</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v>
      </c>
      <c r="C418" s="1" t="n">
        <v>45755</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58151-2021</t>
        </is>
      </c>
      <c r="B419" s="1" t="n">
        <v>44487</v>
      </c>
      <c r="C419" s="1" t="n">
        <v>45755</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59245-2021</t>
        </is>
      </c>
      <c r="B420" s="1" t="n">
        <v>44490</v>
      </c>
      <c r="C420" s="1" t="n">
        <v>45755</v>
      </c>
      <c r="D420" t="inlineStr">
        <is>
          <t>JÄMTLANDS LÄN</t>
        </is>
      </c>
      <c r="E420" t="inlineStr">
        <is>
          <t>BERG</t>
        </is>
      </c>
      <c r="G420" t="n">
        <v>15.8</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45755</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68441-2021</t>
        </is>
      </c>
      <c r="B422" s="1" t="n">
        <v>44529</v>
      </c>
      <c r="C422" s="1" t="n">
        <v>45755</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68450-2021</t>
        </is>
      </c>
      <c r="B423" s="1" t="n">
        <v>44529</v>
      </c>
      <c r="C423" s="1" t="n">
        <v>45755</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68468-2021</t>
        </is>
      </c>
      <c r="B424" s="1" t="n">
        <v>44529</v>
      </c>
      <c r="C424" s="1" t="n">
        <v>45755</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68483-2021</t>
        </is>
      </c>
      <c r="B425" s="1" t="n">
        <v>44529</v>
      </c>
      <c r="C425" s="1" t="n">
        <v>45755</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68854-2021</t>
        </is>
      </c>
      <c r="B426" s="1" t="n">
        <v>44530</v>
      </c>
      <c r="C426" s="1" t="n">
        <v>45755</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70463-2021</t>
        </is>
      </c>
      <c r="B427" s="1" t="n">
        <v>44536</v>
      </c>
      <c r="C427" s="1" t="n">
        <v>45755</v>
      </c>
      <c r="D427" t="inlineStr">
        <is>
          <t>JÄMTLANDS LÄN</t>
        </is>
      </c>
      <c r="E427" t="inlineStr">
        <is>
          <t>BERG</t>
        </is>
      </c>
      <c r="G427" t="n">
        <v>10.8</v>
      </c>
      <c r="H427" t="n">
        <v>0</v>
      </c>
      <c r="I427" t="n">
        <v>0</v>
      </c>
      <c r="J427" t="n">
        <v>0</v>
      </c>
      <c r="K427" t="n">
        <v>0</v>
      </c>
      <c r="L427" t="n">
        <v>0</v>
      </c>
      <c r="M427" t="n">
        <v>0</v>
      </c>
      <c r="N427" t="n">
        <v>0</v>
      </c>
      <c r="O427" t="n">
        <v>0</v>
      </c>
      <c r="P427" t="n">
        <v>0</v>
      </c>
      <c r="Q427" t="n">
        <v>0</v>
      </c>
      <c r="R427" s="2" t="inlineStr"/>
    </row>
    <row r="428" ht="15" customHeight="1">
      <c r="A428" t="inlineStr">
        <is>
          <t>A 70570-2021</t>
        </is>
      </c>
      <c r="B428" s="1" t="n">
        <v>44536</v>
      </c>
      <c r="C428" s="1" t="n">
        <v>45755</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70468-2021</t>
        </is>
      </c>
      <c r="B429" s="1" t="n">
        <v>44536</v>
      </c>
      <c r="C429" s="1" t="n">
        <v>45755</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71525-2021</t>
        </is>
      </c>
      <c r="B430" s="1" t="n">
        <v>44540</v>
      </c>
      <c r="C430" s="1" t="n">
        <v>45755</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72265-2021</t>
        </is>
      </c>
      <c r="B431" s="1" t="n">
        <v>44543</v>
      </c>
      <c r="C431" s="1" t="n">
        <v>45755</v>
      </c>
      <c r="D431" t="inlineStr">
        <is>
          <t>JÄMTLANDS LÄN</t>
        </is>
      </c>
      <c r="E431" t="inlineStr">
        <is>
          <t>BERG</t>
        </is>
      </c>
      <c r="G431" t="n">
        <v>9.9</v>
      </c>
      <c r="H431" t="n">
        <v>0</v>
      </c>
      <c r="I431" t="n">
        <v>0</v>
      </c>
      <c r="J431" t="n">
        <v>0</v>
      </c>
      <c r="K431" t="n">
        <v>0</v>
      </c>
      <c r="L431" t="n">
        <v>0</v>
      </c>
      <c r="M431" t="n">
        <v>0</v>
      </c>
      <c r="N431" t="n">
        <v>0</v>
      </c>
      <c r="O431" t="n">
        <v>0</v>
      </c>
      <c r="P431" t="n">
        <v>0</v>
      </c>
      <c r="Q431" t="n">
        <v>0</v>
      </c>
      <c r="R431" s="2" t="inlineStr"/>
    </row>
    <row r="432" ht="15" customHeight="1">
      <c r="A432" t="inlineStr">
        <is>
          <t>A 72264-2021</t>
        </is>
      </c>
      <c r="B432" s="1" t="n">
        <v>44543</v>
      </c>
      <c r="C432" s="1" t="n">
        <v>45755</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72498-2021</t>
        </is>
      </c>
      <c r="B433" s="1" t="n">
        <v>44545</v>
      </c>
      <c r="C433" s="1" t="n">
        <v>45755</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72926-2021</t>
        </is>
      </c>
      <c r="B434" s="1" t="n">
        <v>44546</v>
      </c>
      <c r="C434" s="1" t="n">
        <v>45755</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73586-2021</t>
        </is>
      </c>
      <c r="B435" s="1" t="n">
        <v>44551</v>
      </c>
      <c r="C435" s="1" t="n">
        <v>45755</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164-2022</t>
        </is>
      </c>
      <c r="B436" s="1" t="n">
        <v>44564</v>
      </c>
      <c r="C436" s="1" t="n">
        <v>45755</v>
      </c>
      <c r="D436" t="inlineStr">
        <is>
          <t>JÄMTLANDS LÄN</t>
        </is>
      </c>
      <c r="E436" t="inlineStr">
        <is>
          <t>BERG</t>
        </is>
      </c>
      <c r="G436" t="n">
        <v>12.4</v>
      </c>
      <c r="H436" t="n">
        <v>0</v>
      </c>
      <c r="I436" t="n">
        <v>0</v>
      </c>
      <c r="J436" t="n">
        <v>0</v>
      </c>
      <c r="K436" t="n">
        <v>0</v>
      </c>
      <c r="L436" t="n">
        <v>0</v>
      </c>
      <c r="M436" t="n">
        <v>0</v>
      </c>
      <c r="N436" t="n">
        <v>0</v>
      </c>
      <c r="O436" t="n">
        <v>0</v>
      </c>
      <c r="P436" t="n">
        <v>0</v>
      </c>
      <c r="Q436" t="n">
        <v>0</v>
      </c>
      <c r="R436" s="2" t="inlineStr"/>
    </row>
    <row r="437" ht="15" customHeight="1">
      <c r="A437" t="inlineStr">
        <is>
          <t>A 171-2022</t>
        </is>
      </c>
      <c r="B437" s="1" t="n">
        <v>44564</v>
      </c>
      <c r="C437" s="1" t="n">
        <v>45755</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1344-2022</t>
        </is>
      </c>
      <c r="B438" s="1" t="n">
        <v>44572</v>
      </c>
      <c r="C438" s="1" t="n">
        <v>45755</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1520-2022</t>
        </is>
      </c>
      <c r="B439" s="1" t="n">
        <v>44572</v>
      </c>
      <c r="C439" s="1" t="n">
        <v>45755</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1559-2022</t>
        </is>
      </c>
      <c r="B440" s="1" t="n">
        <v>44573</v>
      </c>
      <c r="C440" s="1" t="n">
        <v>45755</v>
      </c>
      <c r="D440" t="inlineStr">
        <is>
          <t>JÄMTLANDS LÄN</t>
        </is>
      </c>
      <c r="E440" t="inlineStr">
        <is>
          <t>BERG</t>
        </is>
      </c>
      <c r="G440" t="n">
        <v>0.7</v>
      </c>
      <c r="H440" t="n">
        <v>0</v>
      </c>
      <c r="I440" t="n">
        <v>0</v>
      </c>
      <c r="J440" t="n">
        <v>0</v>
      </c>
      <c r="K440" t="n">
        <v>0</v>
      </c>
      <c r="L440" t="n">
        <v>0</v>
      </c>
      <c r="M440" t="n">
        <v>0</v>
      </c>
      <c r="N440" t="n">
        <v>0</v>
      </c>
      <c r="O440" t="n">
        <v>0</v>
      </c>
      <c r="P440" t="n">
        <v>0</v>
      </c>
      <c r="Q440" t="n">
        <v>0</v>
      </c>
      <c r="R440" s="2" t="inlineStr"/>
    </row>
    <row r="441" ht="15" customHeight="1">
      <c r="A441" t="inlineStr">
        <is>
          <t>A 1983-2022</t>
        </is>
      </c>
      <c r="B441" s="1" t="n">
        <v>44575</v>
      </c>
      <c r="C441" s="1" t="n">
        <v>45755</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2002-2022</t>
        </is>
      </c>
      <c r="B442" s="1" t="n">
        <v>44575</v>
      </c>
      <c r="C442" s="1" t="n">
        <v>45755</v>
      </c>
      <c r="D442" t="inlineStr">
        <is>
          <t>JÄMTLANDS LÄN</t>
        </is>
      </c>
      <c r="E442" t="inlineStr">
        <is>
          <t>BERG</t>
        </is>
      </c>
      <c r="G442" t="n">
        <v>11.3</v>
      </c>
      <c r="H442" t="n">
        <v>0</v>
      </c>
      <c r="I442" t="n">
        <v>0</v>
      </c>
      <c r="J442" t="n">
        <v>0</v>
      </c>
      <c r="K442" t="n">
        <v>0</v>
      </c>
      <c r="L442" t="n">
        <v>0</v>
      </c>
      <c r="M442" t="n">
        <v>0</v>
      </c>
      <c r="N442" t="n">
        <v>0</v>
      </c>
      <c r="O442" t="n">
        <v>0</v>
      </c>
      <c r="P442" t="n">
        <v>0</v>
      </c>
      <c r="Q442" t="n">
        <v>0</v>
      </c>
      <c r="R442" s="2" t="inlineStr"/>
    </row>
    <row r="443" ht="15" customHeight="1">
      <c r="A443" t="inlineStr">
        <is>
          <t>A 2009-2022</t>
        </is>
      </c>
      <c r="B443" s="1" t="n">
        <v>44575</v>
      </c>
      <c r="C443" s="1" t="n">
        <v>45755</v>
      </c>
      <c r="D443" t="inlineStr">
        <is>
          <t>JÄMTLANDS LÄN</t>
        </is>
      </c>
      <c r="E443" t="inlineStr">
        <is>
          <t>BERG</t>
        </is>
      </c>
      <c r="G443" t="n">
        <v>11.9</v>
      </c>
      <c r="H443" t="n">
        <v>0</v>
      </c>
      <c r="I443" t="n">
        <v>0</v>
      </c>
      <c r="J443" t="n">
        <v>0</v>
      </c>
      <c r="K443" t="n">
        <v>0</v>
      </c>
      <c r="L443" t="n">
        <v>0</v>
      </c>
      <c r="M443" t="n">
        <v>0</v>
      </c>
      <c r="N443" t="n">
        <v>0</v>
      </c>
      <c r="O443" t="n">
        <v>0</v>
      </c>
      <c r="P443" t="n">
        <v>0</v>
      </c>
      <c r="Q443" t="n">
        <v>0</v>
      </c>
      <c r="R443" s="2" t="inlineStr"/>
    </row>
    <row r="444" ht="15" customHeight="1">
      <c r="A444" t="inlineStr">
        <is>
          <t>A 2010-2022</t>
        </is>
      </c>
      <c r="B444" s="1" t="n">
        <v>44575</v>
      </c>
      <c r="C444" s="1" t="n">
        <v>45755</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1982-2022</t>
        </is>
      </c>
      <c r="B445" s="1" t="n">
        <v>44575</v>
      </c>
      <c r="C445" s="1" t="n">
        <v>45755</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2076-2022</t>
        </is>
      </c>
      <c r="B446" s="1" t="n">
        <v>44575</v>
      </c>
      <c r="C446" s="1" t="n">
        <v>45755</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2539-2022</t>
        </is>
      </c>
      <c r="B447" s="1" t="n">
        <v>44580</v>
      </c>
      <c r="C447" s="1" t="n">
        <v>45755</v>
      </c>
      <c r="D447" t="inlineStr">
        <is>
          <t>JÄMTLANDS LÄN</t>
        </is>
      </c>
      <c r="E447" t="inlineStr">
        <is>
          <t>BERG</t>
        </is>
      </c>
      <c r="G447" t="n">
        <v>6.3</v>
      </c>
      <c r="H447" t="n">
        <v>0</v>
      </c>
      <c r="I447" t="n">
        <v>0</v>
      </c>
      <c r="J447" t="n">
        <v>0</v>
      </c>
      <c r="K447" t="n">
        <v>0</v>
      </c>
      <c r="L447" t="n">
        <v>0</v>
      </c>
      <c r="M447" t="n">
        <v>0</v>
      </c>
      <c r="N447" t="n">
        <v>0</v>
      </c>
      <c r="O447" t="n">
        <v>0</v>
      </c>
      <c r="P447" t="n">
        <v>0</v>
      </c>
      <c r="Q447" t="n">
        <v>0</v>
      </c>
      <c r="R447" s="2" t="inlineStr"/>
    </row>
    <row r="448" ht="15" customHeight="1">
      <c r="A448" t="inlineStr">
        <is>
          <t>A 2544-2022</t>
        </is>
      </c>
      <c r="B448" s="1" t="n">
        <v>44580</v>
      </c>
      <c r="C448" s="1" t="n">
        <v>45755</v>
      </c>
      <c r="D448" t="inlineStr">
        <is>
          <t>JÄMTLANDS LÄN</t>
        </is>
      </c>
      <c r="E448" t="inlineStr">
        <is>
          <t>BERG</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3543-2022</t>
        </is>
      </c>
      <c r="B449" s="1" t="n">
        <v>44585</v>
      </c>
      <c r="C449" s="1" t="n">
        <v>45755</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3801-2022</t>
        </is>
      </c>
      <c r="B450" s="1" t="n">
        <v>44586</v>
      </c>
      <c r="C450" s="1" t="n">
        <v>45755</v>
      </c>
      <c r="D450" t="inlineStr">
        <is>
          <t>JÄMTLANDS LÄN</t>
        </is>
      </c>
      <c r="E450" t="inlineStr">
        <is>
          <t>BERG</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3798-2022</t>
        </is>
      </c>
      <c r="B451" s="1" t="n">
        <v>44586</v>
      </c>
      <c r="C451" s="1" t="n">
        <v>45755</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3891-2022</t>
        </is>
      </c>
      <c r="B452" s="1" t="n">
        <v>44587</v>
      </c>
      <c r="C452" s="1" t="n">
        <v>45755</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3870-2022</t>
        </is>
      </c>
      <c r="B453" s="1" t="n">
        <v>44587</v>
      </c>
      <c r="C453" s="1" t="n">
        <v>45755</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3983-2022</t>
        </is>
      </c>
      <c r="B454" s="1" t="n">
        <v>44587</v>
      </c>
      <c r="C454" s="1" t="n">
        <v>45755</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5221-2022</t>
        </is>
      </c>
      <c r="B455" s="1" t="n">
        <v>44594</v>
      </c>
      <c r="C455" s="1" t="n">
        <v>45755</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5219-2022</t>
        </is>
      </c>
      <c r="B456" s="1" t="n">
        <v>44594</v>
      </c>
      <c r="C456" s="1" t="n">
        <v>45755</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5222-2022</t>
        </is>
      </c>
      <c r="B457" s="1" t="n">
        <v>44594</v>
      </c>
      <c r="C457" s="1" t="n">
        <v>45755</v>
      </c>
      <c r="D457" t="inlineStr">
        <is>
          <t>JÄMTLANDS LÄN</t>
        </is>
      </c>
      <c r="E457" t="inlineStr">
        <is>
          <t>BERG</t>
        </is>
      </c>
      <c r="G457" t="n">
        <v>12.3</v>
      </c>
      <c r="H457" t="n">
        <v>0</v>
      </c>
      <c r="I457" t="n">
        <v>0</v>
      </c>
      <c r="J457" t="n">
        <v>0</v>
      </c>
      <c r="K457" t="n">
        <v>0</v>
      </c>
      <c r="L457" t="n">
        <v>0</v>
      </c>
      <c r="M457" t="n">
        <v>0</v>
      </c>
      <c r="N457" t="n">
        <v>0</v>
      </c>
      <c r="O457" t="n">
        <v>0</v>
      </c>
      <c r="P457" t="n">
        <v>0</v>
      </c>
      <c r="Q457" t="n">
        <v>0</v>
      </c>
      <c r="R457" s="2" t="inlineStr"/>
    </row>
    <row r="458" ht="15" customHeight="1">
      <c r="A458" t="inlineStr">
        <is>
          <t>A 5218-2022</t>
        </is>
      </c>
      <c r="B458" s="1" t="n">
        <v>44594</v>
      </c>
      <c r="C458" s="1" t="n">
        <v>45755</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6090-2022</t>
        </is>
      </c>
      <c r="B459" s="1" t="n">
        <v>44599</v>
      </c>
      <c r="C459" s="1" t="n">
        <v>45755</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6919-2022</t>
        </is>
      </c>
      <c r="B460" s="1" t="n">
        <v>44602</v>
      </c>
      <c r="C460" s="1" t="n">
        <v>45755</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6943-2022</t>
        </is>
      </c>
      <c r="B461" s="1" t="n">
        <v>44603</v>
      </c>
      <c r="C461" s="1" t="n">
        <v>45755</v>
      </c>
      <c r="D461" t="inlineStr">
        <is>
          <t>JÄMTLANDS LÄN</t>
        </is>
      </c>
      <c r="E461" t="inlineStr">
        <is>
          <t>BERG</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7482-2022</t>
        </is>
      </c>
      <c r="B462" s="1" t="n">
        <v>44606</v>
      </c>
      <c r="C462" s="1" t="n">
        <v>45755</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7447-2022</t>
        </is>
      </c>
      <c r="B463" s="1" t="n">
        <v>44606</v>
      </c>
      <c r="C463" s="1" t="n">
        <v>45755</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8388-2022</t>
        </is>
      </c>
      <c r="B464" s="1" t="n">
        <v>44610</v>
      </c>
      <c r="C464" s="1" t="n">
        <v>45755</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8594-2022</t>
        </is>
      </c>
      <c r="B465" s="1" t="n">
        <v>44613</v>
      </c>
      <c r="C465" s="1" t="n">
        <v>45755</v>
      </c>
      <c r="D465" t="inlineStr">
        <is>
          <t>JÄMTLANDS LÄN</t>
        </is>
      </c>
      <c r="E465" t="inlineStr">
        <is>
          <t>BERG</t>
        </is>
      </c>
      <c r="G465" t="n">
        <v>4.2</v>
      </c>
      <c r="H465" t="n">
        <v>0</v>
      </c>
      <c r="I465" t="n">
        <v>0</v>
      </c>
      <c r="J465" t="n">
        <v>0</v>
      </c>
      <c r="K465" t="n">
        <v>0</v>
      </c>
      <c r="L465" t="n">
        <v>0</v>
      </c>
      <c r="M465" t="n">
        <v>0</v>
      </c>
      <c r="N465" t="n">
        <v>0</v>
      </c>
      <c r="O465" t="n">
        <v>0</v>
      </c>
      <c r="P465" t="n">
        <v>0</v>
      </c>
      <c r="Q465" t="n">
        <v>0</v>
      </c>
      <c r="R465" s="2" t="inlineStr"/>
    </row>
    <row r="466" ht="15" customHeight="1">
      <c r="A466" t="inlineStr">
        <is>
          <t>A 9114-2022</t>
        </is>
      </c>
      <c r="B466" s="1" t="n">
        <v>44615</v>
      </c>
      <c r="C466" s="1" t="n">
        <v>45755</v>
      </c>
      <c r="D466" t="inlineStr">
        <is>
          <t>JÄMTLANDS LÄN</t>
        </is>
      </c>
      <c r="E466" t="inlineStr">
        <is>
          <t>BERG</t>
        </is>
      </c>
      <c r="G466" t="n">
        <v>2.9</v>
      </c>
      <c r="H466" t="n">
        <v>0</v>
      </c>
      <c r="I466" t="n">
        <v>0</v>
      </c>
      <c r="J466" t="n">
        <v>0</v>
      </c>
      <c r="K466" t="n">
        <v>0</v>
      </c>
      <c r="L466" t="n">
        <v>0</v>
      </c>
      <c r="M466" t="n">
        <v>0</v>
      </c>
      <c r="N466" t="n">
        <v>0</v>
      </c>
      <c r="O466" t="n">
        <v>0</v>
      </c>
      <c r="P466" t="n">
        <v>0</v>
      </c>
      <c r="Q466" t="n">
        <v>0</v>
      </c>
      <c r="R466" s="2" t="inlineStr"/>
    </row>
    <row r="467" ht="15" customHeight="1">
      <c r="A467" t="inlineStr">
        <is>
          <t>A 12457-2022</t>
        </is>
      </c>
      <c r="B467" s="1" t="n">
        <v>44638</v>
      </c>
      <c r="C467" s="1" t="n">
        <v>45755</v>
      </c>
      <c r="D467" t="inlineStr">
        <is>
          <t>JÄMTLANDS LÄN</t>
        </is>
      </c>
      <c r="E467" t="inlineStr">
        <is>
          <t>BERG</t>
        </is>
      </c>
      <c r="G467" t="n">
        <v>11.7</v>
      </c>
      <c r="H467" t="n">
        <v>0</v>
      </c>
      <c r="I467" t="n">
        <v>0</v>
      </c>
      <c r="J467" t="n">
        <v>0</v>
      </c>
      <c r="K467" t="n">
        <v>0</v>
      </c>
      <c r="L467" t="n">
        <v>0</v>
      </c>
      <c r="M467" t="n">
        <v>0</v>
      </c>
      <c r="N467" t="n">
        <v>0</v>
      </c>
      <c r="O467" t="n">
        <v>0</v>
      </c>
      <c r="P467" t="n">
        <v>0</v>
      </c>
      <c r="Q467" t="n">
        <v>0</v>
      </c>
      <c r="R467" s="2" t="inlineStr"/>
    </row>
    <row r="468" ht="15" customHeight="1">
      <c r="A468" t="inlineStr">
        <is>
          <t>A 13634-2022</t>
        </is>
      </c>
      <c r="B468" s="1" t="n">
        <v>44648</v>
      </c>
      <c r="C468" s="1" t="n">
        <v>45755</v>
      </c>
      <c r="D468" t="inlineStr">
        <is>
          <t>JÄMTLANDS LÄN</t>
        </is>
      </c>
      <c r="E468" t="inlineStr">
        <is>
          <t>BERG</t>
        </is>
      </c>
      <c r="G468" t="n">
        <v>3.8</v>
      </c>
      <c r="H468" t="n">
        <v>0</v>
      </c>
      <c r="I468" t="n">
        <v>0</v>
      </c>
      <c r="J468" t="n">
        <v>0</v>
      </c>
      <c r="K468" t="n">
        <v>0</v>
      </c>
      <c r="L468" t="n">
        <v>0</v>
      </c>
      <c r="M468" t="n">
        <v>0</v>
      </c>
      <c r="N468" t="n">
        <v>0</v>
      </c>
      <c r="O468" t="n">
        <v>0</v>
      </c>
      <c r="P468" t="n">
        <v>0</v>
      </c>
      <c r="Q468" t="n">
        <v>0</v>
      </c>
      <c r="R468" s="2" t="inlineStr"/>
    </row>
    <row r="469" ht="15" customHeight="1">
      <c r="A469" t="inlineStr">
        <is>
          <t>A 13636-2022</t>
        </is>
      </c>
      <c r="B469" s="1" t="n">
        <v>44648</v>
      </c>
      <c r="C469" s="1" t="n">
        <v>45755</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14506-2022</t>
        </is>
      </c>
      <c r="B470" s="1" t="n">
        <v>44655</v>
      </c>
      <c r="C470" s="1" t="n">
        <v>45755</v>
      </c>
      <c r="D470" t="inlineStr">
        <is>
          <t>JÄMTLANDS LÄN</t>
        </is>
      </c>
      <c r="E470" t="inlineStr">
        <is>
          <t>BERG</t>
        </is>
      </c>
      <c r="G470" t="n">
        <v>16.9</v>
      </c>
      <c r="H470" t="n">
        <v>0</v>
      </c>
      <c r="I470" t="n">
        <v>0</v>
      </c>
      <c r="J470" t="n">
        <v>0</v>
      </c>
      <c r="K470" t="n">
        <v>0</v>
      </c>
      <c r="L470" t="n">
        <v>0</v>
      </c>
      <c r="M470" t="n">
        <v>0</v>
      </c>
      <c r="N470" t="n">
        <v>0</v>
      </c>
      <c r="O470" t="n">
        <v>0</v>
      </c>
      <c r="P470" t="n">
        <v>0</v>
      </c>
      <c r="Q470" t="n">
        <v>0</v>
      </c>
      <c r="R470" s="2" t="inlineStr"/>
    </row>
    <row r="471" ht="15" customHeight="1">
      <c r="A471" t="inlineStr">
        <is>
          <t>A 17750-2022</t>
        </is>
      </c>
      <c r="B471" s="1" t="n">
        <v>44680</v>
      </c>
      <c r="C471" s="1" t="n">
        <v>45755</v>
      </c>
      <c r="D471" t="inlineStr">
        <is>
          <t>JÄMTLANDS LÄN</t>
        </is>
      </c>
      <c r="E471" t="inlineStr">
        <is>
          <t>BERG</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17746-2022</t>
        </is>
      </c>
      <c r="B472" s="1" t="n">
        <v>44681</v>
      </c>
      <c r="C472" s="1" t="n">
        <v>45755</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18261-2022</t>
        </is>
      </c>
      <c r="B473" s="1" t="n">
        <v>44685</v>
      </c>
      <c r="C473" s="1" t="n">
        <v>45755</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18629-2022</t>
        </is>
      </c>
      <c r="B474" s="1" t="n">
        <v>44687</v>
      </c>
      <c r="C474" s="1" t="n">
        <v>45755</v>
      </c>
      <c r="D474" t="inlineStr">
        <is>
          <t>JÄMTLANDS LÄN</t>
        </is>
      </c>
      <c r="E474" t="inlineStr">
        <is>
          <t>BERG</t>
        </is>
      </c>
      <c r="G474" t="n">
        <v>5.8</v>
      </c>
      <c r="H474" t="n">
        <v>0</v>
      </c>
      <c r="I474" t="n">
        <v>0</v>
      </c>
      <c r="J474" t="n">
        <v>0</v>
      </c>
      <c r="K474" t="n">
        <v>0</v>
      </c>
      <c r="L474" t="n">
        <v>0</v>
      </c>
      <c r="M474" t="n">
        <v>0</v>
      </c>
      <c r="N474" t="n">
        <v>0</v>
      </c>
      <c r="O474" t="n">
        <v>0</v>
      </c>
      <c r="P474" t="n">
        <v>0</v>
      </c>
      <c r="Q474" t="n">
        <v>0</v>
      </c>
      <c r="R474" s="2" t="inlineStr"/>
    </row>
    <row r="475" ht="15" customHeight="1">
      <c r="A475" t="inlineStr">
        <is>
          <t>A 19004-2022</t>
        </is>
      </c>
      <c r="B475" s="1" t="n">
        <v>44691</v>
      </c>
      <c r="C475" s="1" t="n">
        <v>45755</v>
      </c>
      <c r="D475" t="inlineStr">
        <is>
          <t>JÄMTLANDS LÄN</t>
        </is>
      </c>
      <c r="E475" t="inlineStr">
        <is>
          <t>BERG</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19807-2022</t>
        </is>
      </c>
      <c r="B476" s="1" t="n">
        <v>44694</v>
      </c>
      <c r="C476" s="1" t="n">
        <v>45755</v>
      </c>
      <c r="D476" t="inlineStr">
        <is>
          <t>JÄMTLANDS LÄN</t>
        </is>
      </c>
      <c r="E476" t="inlineStr">
        <is>
          <t>BERG</t>
        </is>
      </c>
      <c r="G476" t="n">
        <v>14.9</v>
      </c>
      <c r="H476" t="n">
        <v>0</v>
      </c>
      <c r="I476" t="n">
        <v>0</v>
      </c>
      <c r="J476" t="n">
        <v>0</v>
      </c>
      <c r="K476" t="n">
        <v>0</v>
      </c>
      <c r="L476" t="n">
        <v>0</v>
      </c>
      <c r="M476" t="n">
        <v>0</v>
      </c>
      <c r="N476" t="n">
        <v>0</v>
      </c>
      <c r="O476" t="n">
        <v>0</v>
      </c>
      <c r="P476" t="n">
        <v>0</v>
      </c>
      <c r="Q476" t="n">
        <v>0</v>
      </c>
      <c r="R476" s="2" t="inlineStr"/>
    </row>
    <row r="477" ht="15" customHeight="1">
      <c r="A477" t="inlineStr">
        <is>
          <t>A 19809-2022</t>
        </is>
      </c>
      <c r="B477" s="1" t="n">
        <v>44694</v>
      </c>
      <c r="C477" s="1" t="n">
        <v>45755</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19818-2022</t>
        </is>
      </c>
      <c r="B478" s="1" t="n">
        <v>44695</v>
      </c>
      <c r="C478" s="1" t="n">
        <v>45755</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20304-2022</t>
        </is>
      </c>
      <c r="B479" s="1" t="n">
        <v>44699</v>
      </c>
      <c r="C479" s="1" t="n">
        <v>45755</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21064-2022</t>
        </is>
      </c>
      <c r="B480" s="1" t="n">
        <v>44704</v>
      </c>
      <c r="C480" s="1" t="n">
        <v>45755</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21080-2022</t>
        </is>
      </c>
      <c r="B481" s="1" t="n">
        <v>44704</v>
      </c>
      <c r="C481" s="1" t="n">
        <v>45755</v>
      </c>
      <c r="D481" t="inlineStr">
        <is>
          <t>JÄMTLANDS LÄN</t>
        </is>
      </c>
      <c r="E481" t="inlineStr">
        <is>
          <t>BERG</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21203-2022</t>
        </is>
      </c>
      <c r="B482" s="1" t="n">
        <v>44705</v>
      </c>
      <c r="C482" s="1" t="n">
        <v>45755</v>
      </c>
      <c r="D482" t="inlineStr">
        <is>
          <t>JÄMTLANDS LÄN</t>
        </is>
      </c>
      <c r="E482" t="inlineStr">
        <is>
          <t>BERG</t>
        </is>
      </c>
      <c r="G482" t="n">
        <v>7.3</v>
      </c>
      <c r="H482" t="n">
        <v>0</v>
      </c>
      <c r="I482" t="n">
        <v>0</v>
      </c>
      <c r="J482" t="n">
        <v>0</v>
      </c>
      <c r="K482" t="n">
        <v>0</v>
      </c>
      <c r="L482" t="n">
        <v>0</v>
      </c>
      <c r="M482" t="n">
        <v>0</v>
      </c>
      <c r="N482" t="n">
        <v>0</v>
      </c>
      <c r="O482" t="n">
        <v>0</v>
      </c>
      <c r="P482" t="n">
        <v>0</v>
      </c>
      <c r="Q482" t="n">
        <v>0</v>
      </c>
      <c r="R482" s="2" t="inlineStr"/>
    </row>
    <row r="483" ht="15" customHeight="1">
      <c r="A483" t="inlineStr">
        <is>
          <t>A 21201-2022</t>
        </is>
      </c>
      <c r="B483" s="1" t="n">
        <v>44705</v>
      </c>
      <c r="C483" s="1" t="n">
        <v>45755</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21202-2022</t>
        </is>
      </c>
      <c r="B484" s="1" t="n">
        <v>44705</v>
      </c>
      <c r="C484" s="1" t="n">
        <v>45755</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21200-2022</t>
        </is>
      </c>
      <c r="B485" s="1" t="n">
        <v>44705</v>
      </c>
      <c r="C485" s="1" t="n">
        <v>45755</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21403-2022</t>
        </is>
      </c>
      <c r="B486" s="1" t="n">
        <v>44706</v>
      </c>
      <c r="C486" s="1" t="n">
        <v>45755</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21400-2022</t>
        </is>
      </c>
      <c r="B487" s="1" t="n">
        <v>44706</v>
      </c>
      <c r="C487" s="1" t="n">
        <v>45755</v>
      </c>
      <c r="D487" t="inlineStr">
        <is>
          <t>JÄMTLANDS LÄN</t>
        </is>
      </c>
      <c r="E487" t="inlineStr">
        <is>
          <t>BERG</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21401-2022</t>
        </is>
      </c>
      <c r="B488" s="1" t="n">
        <v>44706</v>
      </c>
      <c r="C488" s="1" t="n">
        <v>45755</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45755</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22297-2022</t>
        </is>
      </c>
      <c r="B490" s="1" t="n">
        <v>44712</v>
      </c>
      <c r="C490" s="1" t="n">
        <v>45755</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22680-2022</t>
        </is>
      </c>
      <c r="B491" s="1" t="n">
        <v>44714</v>
      </c>
      <c r="C491" s="1" t="n">
        <v>45755</v>
      </c>
      <c r="D491" t="inlineStr">
        <is>
          <t>JÄMTLANDS LÄN</t>
        </is>
      </c>
      <c r="E491" t="inlineStr">
        <is>
          <t>BERG</t>
        </is>
      </c>
      <c r="G491" t="n">
        <v>15.4</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44716</v>
      </c>
      <c r="C492" s="1" t="n">
        <v>45755</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23451-2022</t>
        </is>
      </c>
      <c r="B493" s="1" t="n">
        <v>44721</v>
      </c>
      <c r="C493" s="1" t="n">
        <v>45755</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24119-2022</t>
        </is>
      </c>
      <c r="B494" s="1" t="n">
        <v>44725</v>
      </c>
      <c r="C494" s="1" t="n">
        <v>45755</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24378-2022</t>
        </is>
      </c>
      <c r="B495" s="1" t="n">
        <v>44726</v>
      </c>
      <c r="C495" s="1" t="n">
        <v>45755</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24661-2022</t>
        </is>
      </c>
      <c r="B496" s="1" t="n">
        <v>44727</v>
      </c>
      <c r="C496" s="1" t="n">
        <v>45755</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25265-2022</t>
        </is>
      </c>
      <c r="B497" s="1" t="n">
        <v>44730</v>
      </c>
      <c r="C497" s="1" t="n">
        <v>45755</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25264-2022</t>
        </is>
      </c>
      <c r="B498" s="1" t="n">
        <v>44730</v>
      </c>
      <c r="C498" s="1" t="n">
        <v>45755</v>
      </c>
      <c r="D498" t="inlineStr">
        <is>
          <t>JÄMTLANDS LÄN</t>
        </is>
      </c>
      <c r="E498" t="inlineStr">
        <is>
          <t>BERG</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25266-2022</t>
        </is>
      </c>
      <c r="B499" s="1" t="n">
        <v>44729</v>
      </c>
      <c r="C499" s="1" t="n">
        <v>45755</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25657-2022</t>
        </is>
      </c>
      <c r="B500" s="1" t="n">
        <v>44733</v>
      </c>
      <c r="C500" s="1" t="n">
        <v>45755</v>
      </c>
      <c r="D500" t="inlineStr">
        <is>
          <t>JÄMTLANDS LÄN</t>
        </is>
      </c>
      <c r="E500" t="inlineStr">
        <is>
          <t>BERG</t>
        </is>
      </c>
      <c r="F500" t="inlineStr">
        <is>
          <t>SCA</t>
        </is>
      </c>
      <c r="G500" t="n">
        <v>10.5</v>
      </c>
      <c r="H500" t="n">
        <v>0</v>
      </c>
      <c r="I500" t="n">
        <v>0</v>
      </c>
      <c r="J500" t="n">
        <v>0</v>
      </c>
      <c r="K500" t="n">
        <v>0</v>
      </c>
      <c r="L500" t="n">
        <v>0</v>
      </c>
      <c r="M500" t="n">
        <v>0</v>
      </c>
      <c r="N500" t="n">
        <v>0</v>
      </c>
      <c r="O500" t="n">
        <v>0</v>
      </c>
      <c r="P500" t="n">
        <v>0</v>
      </c>
      <c r="Q500" t="n">
        <v>0</v>
      </c>
      <c r="R500" s="2" t="inlineStr"/>
    </row>
    <row r="501" ht="15" customHeight="1">
      <c r="A501" t="inlineStr">
        <is>
          <t>A 26062-2022</t>
        </is>
      </c>
      <c r="B501" s="1" t="n">
        <v>44734</v>
      </c>
      <c r="C501" s="1" t="n">
        <v>45755</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26405-2022</t>
        </is>
      </c>
      <c r="B502" s="1" t="n">
        <v>44735</v>
      </c>
      <c r="C502" s="1" t="n">
        <v>45755</v>
      </c>
      <c r="D502" t="inlineStr">
        <is>
          <t>JÄMTLANDS LÄN</t>
        </is>
      </c>
      <c r="E502" t="inlineStr">
        <is>
          <t>BERG</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26739-2022</t>
        </is>
      </c>
      <c r="B503" s="1" t="n">
        <v>44740</v>
      </c>
      <c r="C503" s="1" t="n">
        <v>45755</v>
      </c>
      <c r="D503" t="inlineStr">
        <is>
          <t>JÄMTLANDS LÄN</t>
        </is>
      </c>
      <c r="E503" t="inlineStr">
        <is>
          <t>BERG</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26738-2022</t>
        </is>
      </c>
      <c r="B504" s="1" t="n">
        <v>44739</v>
      </c>
      <c r="C504" s="1" t="n">
        <v>45755</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45755</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26959-2022</t>
        </is>
      </c>
      <c r="B506" s="1" t="n">
        <v>44740</v>
      </c>
      <c r="C506" s="1" t="n">
        <v>45755</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27599-2022</t>
        </is>
      </c>
      <c r="B507" s="1" t="n">
        <v>44742</v>
      </c>
      <c r="C507" s="1" t="n">
        <v>45755</v>
      </c>
      <c r="D507" t="inlineStr">
        <is>
          <t>JÄMTLANDS LÄN</t>
        </is>
      </c>
      <c r="E507" t="inlineStr">
        <is>
          <t>BERG</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27598-2022</t>
        </is>
      </c>
      <c r="B508" s="1" t="n">
        <v>44743</v>
      </c>
      <c r="C508" s="1" t="n">
        <v>45755</v>
      </c>
      <c r="D508" t="inlineStr">
        <is>
          <t>JÄMTLANDS LÄN</t>
        </is>
      </c>
      <c r="E508" t="inlineStr">
        <is>
          <t>BERG</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28500-2022</t>
        </is>
      </c>
      <c r="B509" s="1" t="n">
        <v>44747</v>
      </c>
      <c r="C509" s="1" t="n">
        <v>45755</v>
      </c>
      <c r="D509" t="inlineStr">
        <is>
          <t>JÄMTLANDS LÄN</t>
        </is>
      </c>
      <c r="E509" t="inlineStr">
        <is>
          <t>BERG</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28501-2022</t>
        </is>
      </c>
      <c r="B510" s="1" t="n">
        <v>44748</v>
      </c>
      <c r="C510" s="1" t="n">
        <v>45755</v>
      </c>
      <c r="D510" t="inlineStr">
        <is>
          <t>JÄMTLANDS LÄN</t>
        </is>
      </c>
      <c r="E510" t="inlineStr">
        <is>
          <t>BERG</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29498-2022</t>
        </is>
      </c>
      <c r="B511" s="1" t="n">
        <v>44753</v>
      </c>
      <c r="C511" s="1" t="n">
        <v>45755</v>
      </c>
      <c r="D511" t="inlineStr">
        <is>
          <t>JÄMTLANDS LÄN</t>
        </is>
      </c>
      <c r="E511" t="inlineStr">
        <is>
          <t>BERG</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30187-2022</t>
        </is>
      </c>
      <c r="B512" s="1" t="n">
        <v>44757</v>
      </c>
      <c r="C512" s="1" t="n">
        <v>45755</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30765-2022</t>
        </is>
      </c>
      <c r="B513" s="1" t="n">
        <v>44764</v>
      </c>
      <c r="C513" s="1" t="n">
        <v>45755</v>
      </c>
      <c r="D513" t="inlineStr">
        <is>
          <t>JÄMTLANDS LÄN</t>
        </is>
      </c>
      <c r="E513" t="inlineStr">
        <is>
          <t>BERG</t>
        </is>
      </c>
      <c r="F513" t="inlineStr">
        <is>
          <t>Sveaskog</t>
        </is>
      </c>
      <c r="G513" t="n">
        <v>5.8</v>
      </c>
      <c r="H513" t="n">
        <v>0</v>
      </c>
      <c r="I513" t="n">
        <v>0</v>
      </c>
      <c r="J513" t="n">
        <v>0</v>
      </c>
      <c r="K513" t="n">
        <v>0</v>
      </c>
      <c r="L513" t="n">
        <v>0</v>
      </c>
      <c r="M513" t="n">
        <v>0</v>
      </c>
      <c r="N513" t="n">
        <v>0</v>
      </c>
      <c r="O513" t="n">
        <v>0</v>
      </c>
      <c r="P513" t="n">
        <v>0</v>
      </c>
      <c r="Q513" t="n">
        <v>0</v>
      </c>
      <c r="R513" s="2" t="inlineStr"/>
    </row>
    <row r="514" ht="15" customHeight="1">
      <c r="A514" t="inlineStr">
        <is>
          <t>A 31371-2022</t>
        </is>
      </c>
      <c r="B514" s="1" t="n">
        <v>44774</v>
      </c>
      <c r="C514" s="1" t="n">
        <v>45755</v>
      </c>
      <c r="D514" t="inlineStr">
        <is>
          <t>JÄMTLANDS LÄN</t>
        </is>
      </c>
      <c r="E514" t="inlineStr">
        <is>
          <t>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31375-2022</t>
        </is>
      </c>
      <c r="B515" s="1" t="n">
        <v>44774</v>
      </c>
      <c r="C515" s="1" t="n">
        <v>45755</v>
      </c>
      <c r="D515" t="inlineStr">
        <is>
          <t>JÄMTLANDS LÄN</t>
        </is>
      </c>
      <c r="E515" t="inlineStr">
        <is>
          <t>BERG</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31564-2022</t>
        </is>
      </c>
      <c r="B516" s="1" t="n">
        <v>44775</v>
      </c>
      <c r="C516" s="1" t="n">
        <v>45755</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31641-2022</t>
        </is>
      </c>
      <c r="B517" s="1" t="n">
        <v>44776</v>
      </c>
      <c r="C517" s="1" t="n">
        <v>45755</v>
      </c>
      <c r="D517" t="inlineStr">
        <is>
          <t>JÄMTLANDS LÄN</t>
        </is>
      </c>
      <c r="E517" t="inlineStr">
        <is>
          <t>BERG</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31638-2022</t>
        </is>
      </c>
      <c r="B518" s="1" t="n">
        <v>44775</v>
      </c>
      <c r="C518" s="1" t="n">
        <v>45755</v>
      </c>
      <c r="D518" t="inlineStr">
        <is>
          <t>JÄMTLANDS LÄN</t>
        </is>
      </c>
      <c r="E518" t="inlineStr">
        <is>
          <t>BERG</t>
        </is>
      </c>
      <c r="F518" t="inlineStr">
        <is>
          <t>SCA</t>
        </is>
      </c>
      <c r="G518" t="n">
        <v>15.3</v>
      </c>
      <c r="H518" t="n">
        <v>0</v>
      </c>
      <c r="I518" t="n">
        <v>0</v>
      </c>
      <c r="J518" t="n">
        <v>0</v>
      </c>
      <c r="K518" t="n">
        <v>0</v>
      </c>
      <c r="L518" t="n">
        <v>0</v>
      </c>
      <c r="M518" t="n">
        <v>0</v>
      </c>
      <c r="N518" t="n">
        <v>0</v>
      </c>
      <c r="O518" t="n">
        <v>0</v>
      </c>
      <c r="P518" t="n">
        <v>0</v>
      </c>
      <c r="Q518" t="n">
        <v>0</v>
      </c>
      <c r="R518" s="2" t="inlineStr"/>
    </row>
    <row r="519" ht="15" customHeight="1">
      <c r="A519" t="inlineStr">
        <is>
          <t>A 31682-2022</t>
        </is>
      </c>
      <c r="B519" s="1" t="n">
        <v>44776</v>
      </c>
      <c r="C519" s="1" t="n">
        <v>45755</v>
      </c>
      <c r="D519" t="inlineStr">
        <is>
          <t>JÄMTLANDS LÄN</t>
        </is>
      </c>
      <c r="E519" t="inlineStr">
        <is>
          <t>BERG</t>
        </is>
      </c>
      <c r="G519" t="n">
        <v>8</v>
      </c>
      <c r="H519" t="n">
        <v>0</v>
      </c>
      <c r="I519" t="n">
        <v>0</v>
      </c>
      <c r="J519" t="n">
        <v>0</v>
      </c>
      <c r="K519" t="n">
        <v>0</v>
      </c>
      <c r="L519" t="n">
        <v>0</v>
      </c>
      <c r="M519" t="n">
        <v>0</v>
      </c>
      <c r="N519" t="n">
        <v>0</v>
      </c>
      <c r="O519" t="n">
        <v>0</v>
      </c>
      <c r="P519" t="n">
        <v>0</v>
      </c>
      <c r="Q519" t="n">
        <v>0</v>
      </c>
      <c r="R519" s="2" t="inlineStr"/>
    </row>
    <row r="520" ht="15" customHeight="1">
      <c r="A520" t="inlineStr">
        <is>
          <t>A 32703-2022</t>
        </is>
      </c>
      <c r="B520" s="1" t="n">
        <v>44776</v>
      </c>
      <c r="C520" s="1" t="n">
        <v>45755</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32133-2022</t>
        </is>
      </c>
      <c r="B521" s="1" t="n">
        <v>44779</v>
      </c>
      <c r="C521" s="1" t="n">
        <v>45755</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32707-2022</t>
        </is>
      </c>
      <c r="B522" s="1" t="n">
        <v>44783</v>
      </c>
      <c r="C522" s="1" t="n">
        <v>45755</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33068-2022</t>
        </is>
      </c>
      <c r="B523" s="1" t="n">
        <v>44785</v>
      </c>
      <c r="C523" s="1" t="n">
        <v>45755</v>
      </c>
      <c r="D523" t="inlineStr">
        <is>
          <t>JÄMTLANDS LÄN</t>
        </is>
      </c>
      <c r="E523" t="inlineStr">
        <is>
          <t>BERG</t>
        </is>
      </c>
      <c r="G523" t="n">
        <v>6</v>
      </c>
      <c r="H523" t="n">
        <v>0</v>
      </c>
      <c r="I523" t="n">
        <v>0</v>
      </c>
      <c r="J523" t="n">
        <v>0</v>
      </c>
      <c r="K523" t="n">
        <v>0</v>
      </c>
      <c r="L523" t="n">
        <v>0</v>
      </c>
      <c r="M523" t="n">
        <v>0</v>
      </c>
      <c r="N523" t="n">
        <v>0</v>
      </c>
      <c r="O523" t="n">
        <v>0</v>
      </c>
      <c r="P523" t="n">
        <v>0</v>
      </c>
      <c r="Q523" t="n">
        <v>0</v>
      </c>
      <c r="R523" s="2" t="inlineStr"/>
    </row>
    <row r="524" ht="15" customHeight="1">
      <c r="A524" t="inlineStr">
        <is>
          <t>A 33232-2022</t>
        </is>
      </c>
      <c r="B524" s="1" t="n">
        <v>44786</v>
      </c>
      <c r="C524" s="1" t="n">
        <v>45755</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34260-2022</t>
        </is>
      </c>
      <c r="B525" s="1" t="n">
        <v>44791</v>
      </c>
      <c r="C525" s="1" t="n">
        <v>45755</v>
      </c>
      <c r="D525" t="inlineStr">
        <is>
          <t>JÄMTLANDS LÄN</t>
        </is>
      </c>
      <c r="E525" t="inlineStr">
        <is>
          <t>BERG</t>
        </is>
      </c>
      <c r="F525" t="inlineStr">
        <is>
          <t>Övriga Aktiebolag</t>
        </is>
      </c>
      <c r="G525" t="n">
        <v>32.2</v>
      </c>
      <c r="H525" t="n">
        <v>0</v>
      </c>
      <c r="I525" t="n">
        <v>0</v>
      </c>
      <c r="J525" t="n">
        <v>0</v>
      </c>
      <c r="K525" t="n">
        <v>0</v>
      </c>
      <c r="L525" t="n">
        <v>0</v>
      </c>
      <c r="M525" t="n">
        <v>0</v>
      </c>
      <c r="N525" t="n">
        <v>0</v>
      </c>
      <c r="O525" t="n">
        <v>0</v>
      </c>
      <c r="P525" t="n">
        <v>0</v>
      </c>
      <c r="Q525" t="n">
        <v>0</v>
      </c>
      <c r="R525" s="2" t="inlineStr"/>
    </row>
    <row r="526" ht="15" customHeight="1">
      <c r="A526" t="inlineStr">
        <is>
          <t>A 34273-2022</t>
        </is>
      </c>
      <c r="B526" s="1" t="n">
        <v>44792</v>
      </c>
      <c r="C526" s="1" t="n">
        <v>45755</v>
      </c>
      <c r="D526" t="inlineStr">
        <is>
          <t>JÄMTLANDS LÄN</t>
        </is>
      </c>
      <c r="E526" t="inlineStr">
        <is>
          <t>BERG</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34272-2022</t>
        </is>
      </c>
      <c r="B527" s="1" t="n">
        <v>44791</v>
      </c>
      <c r="C527" s="1" t="n">
        <v>45755</v>
      </c>
      <c r="D527" t="inlineStr">
        <is>
          <t>JÄMTLANDS LÄN</t>
        </is>
      </c>
      <c r="E527" t="inlineStr">
        <is>
          <t>BERG</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34803-2022</t>
        </is>
      </c>
      <c r="B528" s="1" t="n">
        <v>44796</v>
      </c>
      <c r="C528" s="1" t="n">
        <v>45755</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35126-2022</t>
        </is>
      </c>
      <c r="B529" s="1" t="n">
        <v>44797</v>
      </c>
      <c r="C529" s="1" t="n">
        <v>45755</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35740-2022</t>
        </is>
      </c>
      <c r="B530" s="1" t="n">
        <v>44800</v>
      </c>
      <c r="C530" s="1" t="n">
        <v>45755</v>
      </c>
      <c r="D530" t="inlineStr">
        <is>
          <t>JÄMTLANDS LÄN</t>
        </is>
      </c>
      <c r="E530" t="inlineStr">
        <is>
          <t>BERG</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36071-2022</t>
        </is>
      </c>
      <c r="B531" s="1" t="n">
        <v>44802</v>
      </c>
      <c r="C531" s="1" t="n">
        <v>45755</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36373-2022</t>
        </is>
      </c>
      <c r="B532" s="1" t="n">
        <v>44803</v>
      </c>
      <c r="C532" s="1" t="n">
        <v>45755</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37333-2022</t>
        </is>
      </c>
      <c r="B533" s="1" t="n">
        <v>44806</v>
      </c>
      <c r="C533" s="1" t="n">
        <v>45755</v>
      </c>
      <c r="D533" t="inlineStr">
        <is>
          <t>JÄMTLANDS LÄN</t>
        </is>
      </c>
      <c r="E533" t="inlineStr">
        <is>
          <t>BERG</t>
        </is>
      </c>
      <c r="G533" t="n">
        <v>5.5</v>
      </c>
      <c r="H533" t="n">
        <v>0</v>
      </c>
      <c r="I533" t="n">
        <v>0</v>
      </c>
      <c r="J533" t="n">
        <v>0</v>
      </c>
      <c r="K533" t="n">
        <v>0</v>
      </c>
      <c r="L533" t="n">
        <v>0</v>
      </c>
      <c r="M533" t="n">
        <v>0</v>
      </c>
      <c r="N533" t="n">
        <v>0</v>
      </c>
      <c r="O533" t="n">
        <v>0</v>
      </c>
      <c r="P533" t="n">
        <v>0</v>
      </c>
      <c r="Q533" t="n">
        <v>0</v>
      </c>
      <c r="R533" s="2" t="inlineStr"/>
    </row>
    <row r="534" ht="15" customHeight="1">
      <c r="A534" t="inlineStr">
        <is>
          <t>A 37711-2022</t>
        </is>
      </c>
      <c r="B534" s="1" t="n">
        <v>44810</v>
      </c>
      <c r="C534" s="1" t="n">
        <v>45755</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37726-2022</t>
        </is>
      </c>
      <c r="B535" s="1" t="n">
        <v>44810</v>
      </c>
      <c r="C535" s="1" t="n">
        <v>45755</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40601-2022</t>
        </is>
      </c>
      <c r="B536" s="1" t="n">
        <v>44823</v>
      </c>
      <c r="C536" s="1" t="n">
        <v>45755</v>
      </c>
      <c r="D536" t="inlineStr">
        <is>
          <t>JÄMTLANDS LÄN</t>
        </is>
      </c>
      <c r="E536" t="inlineStr">
        <is>
          <t>BERG</t>
        </is>
      </c>
      <c r="G536" t="n">
        <v>4</v>
      </c>
      <c r="H536" t="n">
        <v>0</v>
      </c>
      <c r="I536" t="n">
        <v>0</v>
      </c>
      <c r="J536" t="n">
        <v>0</v>
      </c>
      <c r="K536" t="n">
        <v>0</v>
      </c>
      <c r="L536" t="n">
        <v>0</v>
      </c>
      <c r="M536" t="n">
        <v>0</v>
      </c>
      <c r="N536" t="n">
        <v>0</v>
      </c>
      <c r="O536" t="n">
        <v>0</v>
      </c>
      <c r="P536" t="n">
        <v>0</v>
      </c>
      <c r="Q536" t="n">
        <v>0</v>
      </c>
      <c r="R536" s="2" t="inlineStr"/>
    </row>
    <row r="537" ht="15" customHeight="1">
      <c r="A537" t="inlineStr">
        <is>
          <t>A 40990-2022</t>
        </is>
      </c>
      <c r="B537" s="1" t="n">
        <v>44823</v>
      </c>
      <c r="C537" s="1" t="n">
        <v>45755</v>
      </c>
      <c r="D537" t="inlineStr">
        <is>
          <t>JÄMTLANDS LÄN</t>
        </is>
      </c>
      <c r="E537" t="inlineStr">
        <is>
          <t>BERG</t>
        </is>
      </c>
      <c r="G537" t="n">
        <v>11.7</v>
      </c>
      <c r="H537" t="n">
        <v>0</v>
      </c>
      <c r="I537" t="n">
        <v>0</v>
      </c>
      <c r="J537" t="n">
        <v>0</v>
      </c>
      <c r="K537" t="n">
        <v>0</v>
      </c>
      <c r="L537" t="n">
        <v>0</v>
      </c>
      <c r="M537" t="n">
        <v>0</v>
      </c>
      <c r="N537" t="n">
        <v>0</v>
      </c>
      <c r="O537" t="n">
        <v>0</v>
      </c>
      <c r="P537" t="n">
        <v>0</v>
      </c>
      <c r="Q537" t="n">
        <v>0</v>
      </c>
      <c r="R537" s="2" t="inlineStr"/>
    </row>
    <row r="538" ht="15" customHeight="1">
      <c r="A538" t="inlineStr">
        <is>
          <t>A 40847-2022</t>
        </is>
      </c>
      <c r="B538" s="1" t="n">
        <v>44824</v>
      </c>
      <c r="C538" s="1" t="n">
        <v>45755</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41063-2022</t>
        </is>
      </c>
      <c r="B539" s="1" t="n">
        <v>44824</v>
      </c>
      <c r="C539" s="1" t="n">
        <v>45755</v>
      </c>
      <c r="D539" t="inlineStr">
        <is>
          <t>JÄMTLANDS LÄN</t>
        </is>
      </c>
      <c r="E539" t="inlineStr">
        <is>
          <t>BERG</t>
        </is>
      </c>
      <c r="G539" t="n">
        <v>13.6</v>
      </c>
      <c r="H539" t="n">
        <v>0</v>
      </c>
      <c r="I539" t="n">
        <v>0</v>
      </c>
      <c r="J539" t="n">
        <v>0</v>
      </c>
      <c r="K539" t="n">
        <v>0</v>
      </c>
      <c r="L539" t="n">
        <v>0</v>
      </c>
      <c r="M539" t="n">
        <v>0</v>
      </c>
      <c r="N539" t="n">
        <v>0</v>
      </c>
      <c r="O539" t="n">
        <v>0</v>
      </c>
      <c r="P539" t="n">
        <v>0</v>
      </c>
      <c r="Q539" t="n">
        <v>0</v>
      </c>
      <c r="R539" s="2" t="inlineStr"/>
    </row>
    <row r="540" ht="15" customHeight="1">
      <c r="A540" t="inlineStr">
        <is>
          <t>A 41069-2022</t>
        </is>
      </c>
      <c r="B540" s="1" t="n">
        <v>44825</v>
      </c>
      <c r="C540" s="1" t="n">
        <v>45755</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43168-2022</t>
        </is>
      </c>
      <c r="B541" s="1" t="n">
        <v>44834</v>
      </c>
      <c r="C541" s="1" t="n">
        <v>45755</v>
      </c>
      <c r="D541" t="inlineStr">
        <is>
          <t>JÄMTLANDS LÄN</t>
        </is>
      </c>
      <c r="E541" t="inlineStr">
        <is>
          <t>BERG</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43296-2022</t>
        </is>
      </c>
      <c r="B542" s="1" t="n">
        <v>44834</v>
      </c>
      <c r="C542" s="1" t="n">
        <v>45755</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43298-2022</t>
        </is>
      </c>
      <c r="B543" s="1" t="n">
        <v>44834</v>
      </c>
      <c r="C543" s="1" t="n">
        <v>45755</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44110-2022</t>
        </is>
      </c>
      <c r="B544" s="1" t="n">
        <v>44837</v>
      </c>
      <c r="C544" s="1" t="n">
        <v>45755</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44443-2022</t>
        </is>
      </c>
      <c r="B545" s="1" t="n">
        <v>44840</v>
      </c>
      <c r="C545" s="1" t="n">
        <v>45755</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44442-2022</t>
        </is>
      </c>
      <c r="B546" s="1" t="n">
        <v>44839</v>
      </c>
      <c r="C546" s="1" t="n">
        <v>45755</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45081-2022</t>
        </is>
      </c>
      <c r="B547" s="1" t="n">
        <v>44841</v>
      </c>
      <c r="C547" s="1" t="n">
        <v>45755</v>
      </c>
      <c r="D547" t="inlineStr">
        <is>
          <t>JÄMTLANDS LÄN</t>
        </is>
      </c>
      <c r="E547" t="inlineStr">
        <is>
          <t>BERG</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45487-2022</t>
        </is>
      </c>
      <c r="B548" s="1" t="n">
        <v>44845</v>
      </c>
      <c r="C548" s="1" t="n">
        <v>45755</v>
      </c>
      <c r="D548" t="inlineStr">
        <is>
          <t>JÄMTLANDS LÄN</t>
        </is>
      </c>
      <c r="E548" t="inlineStr">
        <is>
          <t>BERG</t>
        </is>
      </c>
      <c r="G548" t="n">
        <v>5.4</v>
      </c>
      <c r="H548" t="n">
        <v>0</v>
      </c>
      <c r="I548" t="n">
        <v>0</v>
      </c>
      <c r="J548" t="n">
        <v>0</v>
      </c>
      <c r="K548" t="n">
        <v>0</v>
      </c>
      <c r="L548" t="n">
        <v>0</v>
      </c>
      <c r="M548" t="n">
        <v>0</v>
      </c>
      <c r="N548" t="n">
        <v>0</v>
      </c>
      <c r="O548" t="n">
        <v>0</v>
      </c>
      <c r="P548" t="n">
        <v>0</v>
      </c>
      <c r="Q548" t="n">
        <v>0</v>
      </c>
      <c r="R548" s="2" t="inlineStr"/>
    </row>
    <row r="549" ht="15" customHeight="1">
      <c r="A549" t="inlineStr">
        <is>
          <t>A 46167-2022</t>
        </is>
      </c>
      <c r="B549" s="1" t="n">
        <v>44845</v>
      </c>
      <c r="C549" s="1" t="n">
        <v>45755</v>
      </c>
      <c r="D549" t="inlineStr">
        <is>
          <t>JÄMTLANDS LÄN</t>
        </is>
      </c>
      <c r="E549" t="inlineStr">
        <is>
          <t>BERG</t>
        </is>
      </c>
      <c r="G549" t="n">
        <v>35.2</v>
      </c>
      <c r="H549" t="n">
        <v>0</v>
      </c>
      <c r="I549" t="n">
        <v>0</v>
      </c>
      <c r="J549" t="n">
        <v>0</v>
      </c>
      <c r="K549" t="n">
        <v>0</v>
      </c>
      <c r="L549" t="n">
        <v>0</v>
      </c>
      <c r="M549" t="n">
        <v>0</v>
      </c>
      <c r="N549" t="n">
        <v>0</v>
      </c>
      <c r="O549" t="n">
        <v>0</v>
      </c>
      <c r="P549" t="n">
        <v>0</v>
      </c>
      <c r="Q549" t="n">
        <v>0</v>
      </c>
      <c r="R549" s="2" t="inlineStr"/>
    </row>
    <row r="550" ht="15" customHeight="1">
      <c r="A550" t="inlineStr">
        <is>
          <t>A 46151-2022</t>
        </is>
      </c>
      <c r="B550" s="1" t="n">
        <v>44845</v>
      </c>
      <c r="C550" s="1" t="n">
        <v>45755</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45972-2022</t>
        </is>
      </c>
      <c r="B551" s="1" t="n">
        <v>44846</v>
      </c>
      <c r="C551" s="1" t="n">
        <v>45755</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45967-2022</t>
        </is>
      </c>
      <c r="B552" s="1" t="n">
        <v>44846</v>
      </c>
      <c r="C552" s="1" t="n">
        <v>45755</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46199-2022</t>
        </is>
      </c>
      <c r="B553" s="1" t="n">
        <v>44847</v>
      </c>
      <c r="C553" s="1" t="n">
        <v>45755</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46278-2022</t>
        </is>
      </c>
      <c r="B554" s="1" t="n">
        <v>44847</v>
      </c>
      <c r="C554" s="1" t="n">
        <v>45755</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46907-2022</t>
        </is>
      </c>
      <c r="B555" s="1" t="n">
        <v>44851</v>
      </c>
      <c r="C555" s="1" t="n">
        <v>45755</v>
      </c>
      <c r="D555" t="inlineStr">
        <is>
          <t>JÄMTLANDS LÄN</t>
        </is>
      </c>
      <c r="E555" t="inlineStr">
        <is>
          <t>BERG</t>
        </is>
      </c>
      <c r="G555" t="n">
        <v>15.1</v>
      </c>
      <c r="H555" t="n">
        <v>0</v>
      </c>
      <c r="I555" t="n">
        <v>0</v>
      </c>
      <c r="J555" t="n">
        <v>0</v>
      </c>
      <c r="K555" t="n">
        <v>0</v>
      </c>
      <c r="L555" t="n">
        <v>0</v>
      </c>
      <c r="M555" t="n">
        <v>0</v>
      </c>
      <c r="N555" t="n">
        <v>0</v>
      </c>
      <c r="O555" t="n">
        <v>0</v>
      </c>
      <c r="P555" t="n">
        <v>0</v>
      </c>
      <c r="Q555" t="n">
        <v>0</v>
      </c>
      <c r="R555" s="2" t="inlineStr"/>
    </row>
    <row r="556" ht="15" customHeight="1">
      <c r="A556" t="inlineStr">
        <is>
          <t>A 47432-2022</t>
        </is>
      </c>
      <c r="B556" s="1" t="n">
        <v>44853</v>
      </c>
      <c r="C556" s="1" t="n">
        <v>45755</v>
      </c>
      <c r="D556" t="inlineStr">
        <is>
          <t>JÄMTLANDS LÄN</t>
        </is>
      </c>
      <c r="E556" t="inlineStr">
        <is>
          <t>BERG</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47982-2022</t>
        </is>
      </c>
      <c r="B557" s="1" t="n">
        <v>44853</v>
      </c>
      <c r="C557" s="1" t="n">
        <v>45755</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47967-2022</t>
        </is>
      </c>
      <c r="B558" s="1" t="n">
        <v>44853</v>
      </c>
      <c r="C558" s="1" t="n">
        <v>45755</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47978-2022</t>
        </is>
      </c>
      <c r="B559" s="1" t="n">
        <v>44853</v>
      </c>
      <c r="C559" s="1" t="n">
        <v>45755</v>
      </c>
      <c r="D559" t="inlineStr">
        <is>
          <t>JÄMTLANDS LÄN</t>
        </is>
      </c>
      <c r="E559" t="inlineStr">
        <is>
          <t>BERG</t>
        </is>
      </c>
      <c r="G559" t="n">
        <v>7.1</v>
      </c>
      <c r="H559" t="n">
        <v>0</v>
      </c>
      <c r="I559" t="n">
        <v>0</v>
      </c>
      <c r="J559" t="n">
        <v>0</v>
      </c>
      <c r="K559" t="n">
        <v>0</v>
      </c>
      <c r="L559" t="n">
        <v>0</v>
      </c>
      <c r="M559" t="n">
        <v>0</v>
      </c>
      <c r="N559" t="n">
        <v>0</v>
      </c>
      <c r="O559" t="n">
        <v>0</v>
      </c>
      <c r="P559" t="n">
        <v>0</v>
      </c>
      <c r="Q559" t="n">
        <v>0</v>
      </c>
      <c r="R559" s="2" t="inlineStr"/>
    </row>
    <row r="560" ht="15" customHeight="1">
      <c r="A560" t="inlineStr">
        <is>
          <t>A 48729-2022</t>
        </is>
      </c>
      <c r="B560" s="1" t="n">
        <v>44855</v>
      </c>
      <c r="C560" s="1" t="n">
        <v>45755</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49035-2022</t>
        </is>
      </c>
      <c r="B561" s="1" t="n">
        <v>44855</v>
      </c>
      <c r="C561" s="1" t="n">
        <v>45755</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49104-2022</t>
        </is>
      </c>
      <c r="B562" s="1" t="n">
        <v>44855</v>
      </c>
      <c r="C562" s="1" t="n">
        <v>45755</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48756-2022</t>
        </is>
      </c>
      <c r="B563" s="1" t="n">
        <v>44859</v>
      </c>
      <c r="C563" s="1" t="n">
        <v>45755</v>
      </c>
      <c r="D563" t="inlineStr">
        <is>
          <t>JÄMTLANDS LÄN</t>
        </is>
      </c>
      <c r="E563" t="inlineStr">
        <is>
          <t>BERG</t>
        </is>
      </c>
      <c r="G563" t="n">
        <v>10.8</v>
      </c>
      <c r="H563" t="n">
        <v>0</v>
      </c>
      <c r="I563" t="n">
        <v>0</v>
      </c>
      <c r="J563" t="n">
        <v>0</v>
      </c>
      <c r="K563" t="n">
        <v>0</v>
      </c>
      <c r="L563" t="n">
        <v>0</v>
      </c>
      <c r="M563" t="n">
        <v>0</v>
      </c>
      <c r="N563" t="n">
        <v>0</v>
      </c>
      <c r="O563" t="n">
        <v>0</v>
      </c>
      <c r="P563" t="n">
        <v>0</v>
      </c>
      <c r="Q563" t="n">
        <v>0</v>
      </c>
      <c r="R563" s="2" t="inlineStr"/>
    </row>
    <row r="564" ht="15" customHeight="1">
      <c r="A564" t="inlineStr">
        <is>
          <t>A 49196-2022</t>
        </is>
      </c>
      <c r="B564" s="1" t="n">
        <v>44861</v>
      </c>
      <c r="C564" s="1" t="n">
        <v>45755</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50024-2022</t>
        </is>
      </c>
      <c r="B565" s="1" t="n">
        <v>44860</v>
      </c>
      <c r="C565" s="1" t="n">
        <v>45755</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49643-2022</t>
        </is>
      </c>
      <c r="B566" s="1" t="n">
        <v>44862</v>
      </c>
      <c r="C566" s="1" t="n">
        <v>45755</v>
      </c>
      <c r="D566" t="inlineStr">
        <is>
          <t>JÄMTLANDS LÄN</t>
        </is>
      </c>
      <c r="E566" t="inlineStr">
        <is>
          <t>BERG</t>
        </is>
      </c>
      <c r="G566" t="n">
        <v>2.8</v>
      </c>
      <c r="H566" t="n">
        <v>0</v>
      </c>
      <c r="I566" t="n">
        <v>0</v>
      </c>
      <c r="J566" t="n">
        <v>0</v>
      </c>
      <c r="K566" t="n">
        <v>0</v>
      </c>
      <c r="L566" t="n">
        <v>0</v>
      </c>
      <c r="M566" t="n">
        <v>0</v>
      </c>
      <c r="N566" t="n">
        <v>0</v>
      </c>
      <c r="O566" t="n">
        <v>0</v>
      </c>
      <c r="P566" t="n">
        <v>0</v>
      </c>
      <c r="Q566" t="n">
        <v>0</v>
      </c>
      <c r="R566" s="2" t="inlineStr"/>
    </row>
    <row r="567" ht="15" customHeight="1">
      <c r="A567" t="inlineStr">
        <is>
          <t>A 49851-2022</t>
        </is>
      </c>
      <c r="B567" s="1" t="n">
        <v>44863</v>
      </c>
      <c r="C567" s="1" t="n">
        <v>45755</v>
      </c>
      <c r="D567" t="inlineStr">
        <is>
          <t>JÄMTLANDS LÄN</t>
        </is>
      </c>
      <c r="E567" t="inlineStr">
        <is>
          <t>BERG</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50679-2022</t>
        </is>
      </c>
      <c r="B568" s="1" t="n">
        <v>44866</v>
      </c>
      <c r="C568" s="1" t="n">
        <v>45755</v>
      </c>
      <c r="D568" t="inlineStr">
        <is>
          <t>JÄMTLANDS LÄN</t>
        </is>
      </c>
      <c r="E568" t="inlineStr">
        <is>
          <t>BERG</t>
        </is>
      </c>
      <c r="F568" t="inlineStr">
        <is>
          <t>SCA</t>
        </is>
      </c>
      <c r="G568" t="n">
        <v>18.6</v>
      </c>
      <c r="H568" t="n">
        <v>0</v>
      </c>
      <c r="I568" t="n">
        <v>0</v>
      </c>
      <c r="J568" t="n">
        <v>0</v>
      </c>
      <c r="K568" t="n">
        <v>0</v>
      </c>
      <c r="L568" t="n">
        <v>0</v>
      </c>
      <c r="M568" t="n">
        <v>0</v>
      </c>
      <c r="N568" t="n">
        <v>0</v>
      </c>
      <c r="O568" t="n">
        <v>0</v>
      </c>
      <c r="P568" t="n">
        <v>0</v>
      </c>
      <c r="Q568" t="n">
        <v>0</v>
      </c>
      <c r="R568" s="2" t="inlineStr"/>
    </row>
    <row r="569" ht="15" customHeight="1">
      <c r="A569" t="inlineStr">
        <is>
          <t>A 50678-2022</t>
        </is>
      </c>
      <c r="B569" s="1" t="n">
        <v>44866</v>
      </c>
      <c r="C569" s="1" t="n">
        <v>45755</v>
      </c>
      <c r="D569" t="inlineStr">
        <is>
          <t>JÄMTLANDS LÄN</t>
        </is>
      </c>
      <c r="E569" t="inlineStr">
        <is>
          <t>BERG</t>
        </is>
      </c>
      <c r="F569" t="inlineStr">
        <is>
          <t>SCA</t>
        </is>
      </c>
      <c r="G569" t="n">
        <v>18.5</v>
      </c>
      <c r="H569" t="n">
        <v>0</v>
      </c>
      <c r="I569" t="n">
        <v>0</v>
      </c>
      <c r="J569" t="n">
        <v>0</v>
      </c>
      <c r="K569" t="n">
        <v>0</v>
      </c>
      <c r="L569" t="n">
        <v>0</v>
      </c>
      <c r="M569" t="n">
        <v>0</v>
      </c>
      <c r="N569" t="n">
        <v>0</v>
      </c>
      <c r="O569" t="n">
        <v>0</v>
      </c>
      <c r="P569" t="n">
        <v>0</v>
      </c>
      <c r="Q569" t="n">
        <v>0</v>
      </c>
      <c r="R569" s="2" t="inlineStr"/>
    </row>
    <row r="570" ht="15" customHeight="1">
      <c r="A570" t="inlineStr">
        <is>
          <t>A 52927-2022</t>
        </is>
      </c>
      <c r="B570" s="1" t="n">
        <v>44872</v>
      </c>
      <c r="C570" s="1" t="n">
        <v>45755</v>
      </c>
      <c r="D570" t="inlineStr">
        <is>
          <t>JÄMTLANDS LÄN</t>
        </is>
      </c>
      <c r="E570" t="inlineStr">
        <is>
          <t>BERG</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53456-2022</t>
        </is>
      </c>
      <c r="B571" s="1" t="n">
        <v>44874</v>
      </c>
      <c r="C571" s="1" t="n">
        <v>45755</v>
      </c>
      <c r="D571" t="inlineStr">
        <is>
          <t>JÄMTLANDS LÄN</t>
        </is>
      </c>
      <c r="E571" t="inlineStr">
        <is>
          <t>BERG</t>
        </is>
      </c>
      <c r="G571" t="n">
        <v>13.3</v>
      </c>
      <c r="H571" t="n">
        <v>0</v>
      </c>
      <c r="I571" t="n">
        <v>0</v>
      </c>
      <c r="J571" t="n">
        <v>0</v>
      </c>
      <c r="K571" t="n">
        <v>0</v>
      </c>
      <c r="L571" t="n">
        <v>0</v>
      </c>
      <c r="M571" t="n">
        <v>0</v>
      </c>
      <c r="N571" t="n">
        <v>0</v>
      </c>
      <c r="O571" t="n">
        <v>0</v>
      </c>
      <c r="P571" t="n">
        <v>0</v>
      </c>
      <c r="Q571" t="n">
        <v>0</v>
      </c>
      <c r="R571" s="2" t="inlineStr"/>
    </row>
    <row r="572" ht="15" customHeight="1">
      <c r="A572" t="inlineStr">
        <is>
          <t>A 53015-2022</t>
        </is>
      </c>
      <c r="B572" s="1" t="n">
        <v>44875</v>
      </c>
      <c r="C572" s="1" t="n">
        <v>45755</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53521-2022</t>
        </is>
      </c>
      <c r="B573" s="1" t="n">
        <v>44875</v>
      </c>
      <c r="C573" s="1" t="n">
        <v>45755</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54410-2022</t>
        </is>
      </c>
      <c r="B574" s="1" t="n">
        <v>44879</v>
      </c>
      <c r="C574" s="1" t="n">
        <v>45755</v>
      </c>
      <c r="D574" t="inlineStr">
        <is>
          <t>JÄMTLANDS LÄN</t>
        </is>
      </c>
      <c r="E574" t="inlineStr">
        <is>
          <t>BERG</t>
        </is>
      </c>
      <c r="G574" t="n">
        <v>8.5</v>
      </c>
      <c r="H574" t="n">
        <v>0</v>
      </c>
      <c r="I574" t="n">
        <v>0</v>
      </c>
      <c r="J574" t="n">
        <v>0</v>
      </c>
      <c r="K574" t="n">
        <v>0</v>
      </c>
      <c r="L574" t="n">
        <v>0</v>
      </c>
      <c r="M574" t="n">
        <v>0</v>
      </c>
      <c r="N574" t="n">
        <v>0</v>
      </c>
      <c r="O574" t="n">
        <v>0</v>
      </c>
      <c r="P574" t="n">
        <v>0</v>
      </c>
      <c r="Q574" t="n">
        <v>0</v>
      </c>
      <c r="R574" s="2" t="inlineStr"/>
    </row>
    <row r="575" ht="15" customHeight="1">
      <c r="A575" t="inlineStr">
        <is>
          <t>A 55518-2022</t>
        </is>
      </c>
      <c r="B575" s="1" t="n">
        <v>44887</v>
      </c>
      <c r="C575" s="1" t="n">
        <v>45755</v>
      </c>
      <c r="D575" t="inlineStr">
        <is>
          <t>JÄMTLANDS LÄN</t>
        </is>
      </c>
      <c r="E575" t="inlineStr">
        <is>
          <t>BERG</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57183-2022</t>
        </is>
      </c>
      <c r="B576" s="1" t="n">
        <v>44895</v>
      </c>
      <c r="C576" s="1" t="n">
        <v>45755</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57226-2022</t>
        </is>
      </c>
      <c r="B577" s="1" t="n">
        <v>44895</v>
      </c>
      <c r="C577" s="1" t="n">
        <v>45755</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57842-2022</t>
        </is>
      </c>
      <c r="B578" s="1" t="n">
        <v>44897</v>
      </c>
      <c r="C578" s="1" t="n">
        <v>45755</v>
      </c>
      <c r="D578" t="inlineStr">
        <is>
          <t>JÄMTLANDS LÄN</t>
        </is>
      </c>
      <c r="E578" t="inlineStr">
        <is>
          <t>BERG</t>
        </is>
      </c>
      <c r="G578" t="n">
        <v>9.9</v>
      </c>
      <c r="H578" t="n">
        <v>0</v>
      </c>
      <c r="I578" t="n">
        <v>0</v>
      </c>
      <c r="J578" t="n">
        <v>0</v>
      </c>
      <c r="K578" t="n">
        <v>0</v>
      </c>
      <c r="L578" t="n">
        <v>0</v>
      </c>
      <c r="M578" t="n">
        <v>0</v>
      </c>
      <c r="N578" t="n">
        <v>0</v>
      </c>
      <c r="O578" t="n">
        <v>0</v>
      </c>
      <c r="P578" t="n">
        <v>0</v>
      </c>
      <c r="Q578" t="n">
        <v>0</v>
      </c>
      <c r="R578" s="2" t="inlineStr"/>
    </row>
    <row r="579" ht="15" customHeight="1">
      <c r="A579" t="inlineStr">
        <is>
          <t>A 58180-2022</t>
        </is>
      </c>
      <c r="B579" s="1" t="n">
        <v>44900</v>
      </c>
      <c r="C579" s="1" t="n">
        <v>45755</v>
      </c>
      <c r="D579" t="inlineStr">
        <is>
          <t>JÄMTLANDS LÄN</t>
        </is>
      </c>
      <c r="E579" t="inlineStr">
        <is>
          <t>BERG</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58431-2022</t>
        </is>
      </c>
      <c r="B580" s="1" t="n">
        <v>44901</v>
      </c>
      <c r="C580" s="1" t="n">
        <v>45755</v>
      </c>
      <c r="D580" t="inlineStr">
        <is>
          <t>JÄMTLANDS LÄN</t>
        </is>
      </c>
      <c r="E580" t="inlineStr">
        <is>
          <t>BERG</t>
        </is>
      </c>
      <c r="F580" t="inlineStr">
        <is>
          <t>SCA</t>
        </is>
      </c>
      <c r="G580" t="n">
        <v>8.1</v>
      </c>
      <c r="H580" t="n">
        <v>0</v>
      </c>
      <c r="I580" t="n">
        <v>0</v>
      </c>
      <c r="J580" t="n">
        <v>0</v>
      </c>
      <c r="K580" t="n">
        <v>0</v>
      </c>
      <c r="L580" t="n">
        <v>0</v>
      </c>
      <c r="M580" t="n">
        <v>0</v>
      </c>
      <c r="N580" t="n">
        <v>0</v>
      </c>
      <c r="O580" t="n">
        <v>0</v>
      </c>
      <c r="P580" t="n">
        <v>0</v>
      </c>
      <c r="Q580" t="n">
        <v>0</v>
      </c>
      <c r="R580" s="2" t="inlineStr"/>
    </row>
    <row r="581" ht="15" customHeight="1">
      <c r="A581" t="inlineStr">
        <is>
          <t>A 58432-2022</t>
        </is>
      </c>
      <c r="B581" s="1" t="n">
        <v>44901</v>
      </c>
      <c r="C581" s="1" t="n">
        <v>45755</v>
      </c>
      <c r="D581" t="inlineStr">
        <is>
          <t>JÄMTLANDS LÄN</t>
        </is>
      </c>
      <c r="E581" t="inlineStr">
        <is>
          <t>BERG</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60068-2022</t>
        </is>
      </c>
      <c r="B582" s="1" t="n">
        <v>44902</v>
      </c>
      <c r="C582" s="1" t="n">
        <v>45755</v>
      </c>
      <c r="D582" t="inlineStr">
        <is>
          <t>JÄMTLANDS LÄN</t>
        </is>
      </c>
      <c r="E582" t="inlineStr">
        <is>
          <t>BERG</t>
        </is>
      </c>
      <c r="G582" t="n">
        <v>5.2</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45755</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60024-2022</t>
        </is>
      </c>
      <c r="B584" s="1" t="n">
        <v>44902</v>
      </c>
      <c r="C584" s="1" t="n">
        <v>45755</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58910-2022</t>
        </is>
      </c>
      <c r="B585" s="1" t="n">
        <v>44903</v>
      </c>
      <c r="C585" s="1" t="n">
        <v>45755</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60274-2022</t>
        </is>
      </c>
      <c r="B586" s="1" t="n">
        <v>44903</v>
      </c>
      <c r="C586" s="1" t="n">
        <v>45755</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60249-2022</t>
        </is>
      </c>
      <c r="B587" s="1" t="n">
        <v>44903</v>
      </c>
      <c r="C587" s="1" t="n">
        <v>45755</v>
      </c>
      <c r="D587" t="inlineStr">
        <is>
          <t>JÄMTLANDS LÄN</t>
        </is>
      </c>
      <c r="E587" t="inlineStr">
        <is>
          <t>BERG</t>
        </is>
      </c>
      <c r="G587" t="n">
        <v>6</v>
      </c>
      <c r="H587" t="n">
        <v>0</v>
      </c>
      <c r="I587" t="n">
        <v>0</v>
      </c>
      <c r="J587" t="n">
        <v>0</v>
      </c>
      <c r="K587" t="n">
        <v>0</v>
      </c>
      <c r="L587" t="n">
        <v>0</v>
      </c>
      <c r="M587" t="n">
        <v>0</v>
      </c>
      <c r="N587" t="n">
        <v>0</v>
      </c>
      <c r="O587" t="n">
        <v>0</v>
      </c>
      <c r="P587" t="n">
        <v>0</v>
      </c>
      <c r="Q587" t="n">
        <v>0</v>
      </c>
      <c r="R587" s="2" t="inlineStr"/>
    </row>
    <row r="588" ht="15" customHeight="1">
      <c r="A588" t="inlineStr">
        <is>
          <t>A 60280-2022</t>
        </is>
      </c>
      <c r="B588" s="1" t="n">
        <v>44903</v>
      </c>
      <c r="C588" s="1" t="n">
        <v>45755</v>
      </c>
      <c r="D588" t="inlineStr">
        <is>
          <t>JÄMTLANDS LÄN</t>
        </is>
      </c>
      <c r="E588" t="inlineStr">
        <is>
          <t>BERG</t>
        </is>
      </c>
      <c r="G588" t="n">
        <v>1.6</v>
      </c>
      <c r="H588" t="n">
        <v>0</v>
      </c>
      <c r="I588" t="n">
        <v>0</v>
      </c>
      <c r="J588" t="n">
        <v>0</v>
      </c>
      <c r="K588" t="n">
        <v>0</v>
      </c>
      <c r="L588" t="n">
        <v>0</v>
      </c>
      <c r="M588" t="n">
        <v>0</v>
      </c>
      <c r="N588" t="n">
        <v>0</v>
      </c>
      <c r="O588" t="n">
        <v>0</v>
      </c>
      <c r="P588" t="n">
        <v>0</v>
      </c>
      <c r="Q588" t="n">
        <v>0</v>
      </c>
      <c r="R588" s="2" t="inlineStr"/>
    </row>
    <row r="589" ht="15" customHeight="1">
      <c r="A589" t="inlineStr">
        <is>
          <t>A 60271-2022</t>
        </is>
      </c>
      <c r="B589" s="1" t="n">
        <v>44903</v>
      </c>
      <c r="C589" s="1" t="n">
        <v>45755</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59634-2022</t>
        </is>
      </c>
      <c r="B590" s="1" t="n">
        <v>44908</v>
      </c>
      <c r="C590" s="1" t="n">
        <v>45755</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59652-2022</t>
        </is>
      </c>
      <c r="B591" s="1" t="n">
        <v>44908</v>
      </c>
      <c r="C591" s="1" t="n">
        <v>45755</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59635-2022</t>
        </is>
      </c>
      <c r="B592" s="1" t="n">
        <v>44907</v>
      </c>
      <c r="C592" s="1" t="n">
        <v>45755</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60845-2022</t>
        </is>
      </c>
      <c r="B593" s="1" t="n">
        <v>44907</v>
      </c>
      <c r="C593" s="1" t="n">
        <v>45755</v>
      </c>
      <c r="D593" t="inlineStr">
        <is>
          <t>JÄMTLANDS LÄN</t>
        </is>
      </c>
      <c r="E593" t="inlineStr">
        <is>
          <t>BERG</t>
        </is>
      </c>
      <c r="G593" t="n">
        <v>14.6</v>
      </c>
      <c r="H593" t="n">
        <v>0</v>
      </c>
      <c r="I593" t="n">
        <v>0</v>
      </c>
      <c r="J593" t="n">
        <v>0</v>
      </c>
      <c r="K593" t="n">
        <v>0</v>
      </c>
      <c r="L593" t="n">
        <v>0</v>
      </c>
      <c r="M593" t="n">
        <v>0</v>
      </c>
      <c r="N593" t="n">
        <v>0</v>
      </c>
      <c r="O593" t="n">
        <v>0</v>
      </c>
      <c r="P593" t="n">
        <v>0</v>
      </c>
      <c r="Q593" t="n">
        <v>0</v>
      </c>
      <c r="R593" s="2" t="inlineStr"/>
    </row>
    <row r="594" ht="15" customHeight="1">
      <c r="A594" t="inlineStr">
        <is>
          <t>A 59650-2022</t>
        </is>
      </c>
      <c r="B594" s="1" t="n">
        <v>44907</v>
      </c>
      <c r="C594" s="1" t="n">
        <v>45755</v>
      </c>
      <c r="D594" t="inlineStr">
        <is>
          <t>JÄMTLANDS LÄN</t>
        </is>
      </c>
      <c r="E594" t="inlineStr">
        <is>
          <t>BERG</t>
        </is>
      </c>
      <c r="G594" t="n">
        <v>3.3</v>
      </c>
      <c r="H594" t="n">
        <v>0</v>
      </c>
      <c r="I594" t="n">
        <v>0</v>
      </c>
      <c r="J594" t="n">
        <v>0</v>
      </c>
      <c r="K594" t="n">
        <v>0</v>
      </c>
      <c r="L594" t="n">
        <v>0</v>
      </c>
      <c r="M594" t="n">
        <v>0</v>
      </c>
      <c r="N594" t="n">
        <v>0</v>
      </c>
      <c r="O594" t="n">
        <v>0</v>
      </c>
      <c r="P594" t="n">
        <v>0</v>
      </c>
      <c r="Q594" t="n">
        <v>0</v>
      </c>
      <c r="R594" s="2" t="inlineStr"/>
    </row>
    <row r="595" ht="15" customHeight="1">
      <c r="A595" t="inlineStr">
        <is>
          <t>A 59651-2022</t>
        </is>
      </c>
      <c r="B595" s="1" t="n">
        <v>44908</v>
      </c>
      <c r="C595" s="1" t="n">
        <v>45755</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60852-2022</t>
        </is>
      </c>
      <c r="B596" s="1" t="n">
        <v>44908</v>
      </c>
      <c r="C596" s="1" t="n">
        <v>45755</v>
      </c>
      <c r="D596" t="inlineStr">
        <is>
          <t>JÄMTLANDS LÄN</t>
        </is>
      </c>
      <c r="E596" t="inlineStr">
        <is>
          <t>BERG</t>
        </is>
      </c>
      <c r="G596" t="n">
        <v>17.3</v>
      </c>
      <c r="H596" t="n">
        <v>0</v>
      </c>
      <c r="I596" t="n">
        <v>0</v>
      </c>
      <c r="J596" t="n">
        <v>0</v>
      </c>
      <c r="K596" t="n">
        <v>0</v>
      </c>
      <c r="L596" t="n">
        <v>0</v>
      </c>
      <c r="M596" t="n">
        <v>0</v>
      </c>
      <c r="N596" t="n">
        <v>0</v>
      </c>
      <c r="O596" t="n">
        <v>0</v>
      </c>
      <c r="P596" t="n">
        <v>0</v>
      </c>
      <c r="Q596" t="n">
        <v>0</v>
      </c>
      <c r="R596" s="2" t="inlineStr"/>
    </row>
    <row r="597" ht="15" customHeight="1">
      <c r="A597" t="inlineStr">
        <is>
          <t>A 60854-2022</t>
        </is>
      </c>
      <c r="B597" s="1" t="n">
        <v>44908</v>
      </c>
      <c r="C597" s="1" t="n">
        <v>45755</v>
      </c>
      <c r="D597" t="inlineStr">
        <is>
          <t>JÄMTLANDS LÄN</t>
        </is>
      </c>
      <c r="E597" t="inlineStr">
        <is>
          <t>BERG</t>
        </is>
      </c>
      <c r="G597" t="n">
        <v>26.9</v>
      </c>
      <c r="H597" t="n">
        <v>0</v>
      </c>
      <c r="I597" t="n">
        <v>0</v>
      </c>
      <c r="J597" t="n">
        <v>0</v>
      </c>
      <c r="K597" t="n">
        <v>0</v>
      </c>
      <c r="L597" t="n">
        <v>0</v>
      </c>
      <c r="M597" t="n">
        <v>0</v>
      </c>
      <c r="N597" t="n">
        <v>0</v>
      </c>
      <c r="O597" t="n">
        <v>0</v>
      </c>
      <c r="P597" t="n">
        <v>0</v>
      </c>
      <c r="Q597" t="n">
        <v>0</v>
      </c>
      <c r="R597" s="2" t="inlineStr"/>
    </row>
    <row r="598" ht="15" customHeight="1">
      <c r="A598" t="inlineStr">
        <is>
          <t>A 61248-2022</t>
        </is>
      </c>
      <c r="B598" s="1" t="n">
        <v>44909</v>
      </c>
      <c r="C598" s="1" t="n">
        <v>45755</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61251-2022</t>
        </is>
      </c>
      <c r="B599" s="1" t="n">
        <v>44909</v>
      </c>
      <c r="C599" s="1" t="n">
        <v>45755</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61239-2022</t>
        </is>
      </c>
      <c r="B600" s="1" t="n">
        <v>44909</v>
      </c>
      <c r="C600" s="1" t="n">
        <v>45755</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61255-2022</t>
        </is>
      </c>
      <c r="B601" s="1" t="n">
        <v>44909</v>
      </c>
      <c r="C601" s="1" t="n">
        <v>45755</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60587-2022</t>
        </is>
      </c>
      <c r="B602" s="1" t="n">
        <v>44911</v>
      </c>
      <c r="C602" s="1" t="n">
        <v>45755</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60668-2022</t>
        </is>
      </c>
      <c r="B603" s="1" t="n">
        <v>44911</v>
      </c>
      <c r="C603" s="1" t="n">
        <v>45755</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60657-2022</t>
        </is>
      </c>
      <c r="B604" s="1" t="n">
        <v>44911</v>
      </c>
      <c r="C604" s="1" t="n">
        <v>45755</v>
      </c>
      <c r="D604" t="inlineStr">
        <is>
          <t>JÄMTLANDS LÄN</t>
        </is>
      </c>
      <c r="E604" t="inlineStr">
        <is>
          <t>BERG</t>
        </is>
      </c>
      <c r="G604" t="n">
        <v>11.7</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45755</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62147-2022</t>
        </is>
      </c>
      <c r="B606" s="1" t="n">
        <v>44914</v>
      </c>
      <c r="C606" s="1" t="n">
        <v>45755</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62205-2022</t>
        </is>
      </c>
      <c r="B607" s="1" t="n">
        <v>44915</v>
      </c>
      <c r="C607" s="1" t="n">
        <v>45755</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61472-2022</t>
        </is>
      </c>
      <c r="B608" s="1" t="n">
        <v>44916</v>
      </c>
      <c r="C608" s="1" t="n">
        <v>45755</v>
      </c>
      <c r="D608" t="inlineStr">
        <is>
          <t>JÄMTLANDS LÄN</t>
        </is>
      </c>
      <c r="E608" t="inlineStr">
        <is>
          <t>BERG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61917-2022</t>
        </is>
      </c>
      <c r="B609" s="1" t="n">
        <v>44917</v>
      </c>
      <c r="C609" s="1" t="n">
        <v>45755</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62659-2022</t>
        </is>
      </c>
      <c r="B610" s="1" t="n">
        <v>44917</v>
      </c>
      <c r="C610" s="1" t="n">
        <v>45755</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62029-2022</t>
        </is>
      </c>
      <c r="B611" s="1" t="n">
        <v>44918</v>
      </c>
      <c r="C611" s="1" t="n">
        <v>45755</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441-2023</t>
        </is>
      </c>
      <c r="B612" s="1" t="n">
        <v>44923</v>
      </c>
      <c r="C612" s="1" t="n">
        <v>45755</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433-2023</t>
        </is>
      </c>
      <c r="B613" s="1" t="n">
        <v>44923</v>
      </c>
      <c r="C613" s="1" t="n">
        <v>45755</v>
      </c>
      <c r="D613" t="inlineStr">
        <is>
          <t>JÄMTLANDS LÄN</t>
        </is>
      </c>
      <c r="E613" t="inlineStr">
        <is>
          <t>BERG</t>
        </is>
      </c>
      <c r="G613" t="n">
        <v>1.5</v>
      </c>
      <c r="H613" t="n">
        <v>0</v>
      </c>
      <c r="I613" t="n">
        <v>0</v>
      </c>
      <c r="J613" t="n">
        <v>0</v>
      </c>
      <c r="K613" t="n">
        <v>0</v>
      </c>
      <c r="L613" t="n">
        <v>0</v>
      </c>
      <c r="M613" t="n">
        <v>0</v>
      </c>
      <c r="N613" t="n">
        <v>0</v>
      </c>
      <c r="O613" t="n">
        <v>0</v>
      </c>
      <c r="P613" t="n">
        <v>0</v>
      </c>
      <c r="Q613" t="n">
        <v>0</v>
      </c>
      <c r="R613" s="2" t="inlineStr"/>
    </row>
    <row r="614" ht="15" customHeight="1">
      <c r="A614" t="inlineStr">
        <is>
          <t>A 442-2023</t>
        </is>
      </c>
      <c r="B614" s="1" t="n">
        <v>44923</v>
      </c>
      <c r="C614" s="1" t="n">
        <v>45755</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525-2023</t>
        </is>
      </c>
      <c r="B615" s="1" t="n">
        <v>44924</v>
      </c>
      <c r="C615" s="1" t="n">
        <v>45755</v>
      </c>
      <c r="D615" t="inlineStr">
        <is>
          <t>JÄMTLANDS LÄN</t>
        </is>
      </c>
      <c r="E615" t="inlineStr">
        <is>
          <t>BERG</t>
        </is>
      </c>
      <c r="G615" t="n">
        <v>4</v>
      </c>
      <c r="H615" t="n">
        <v>0</v>
      </c>
      <c r="I615" t="n">
        <v>0</v>
      </c>
      <c r="J615" t="n">
        <v>0</v>
      </c>
      <c r="K615" t="n">
        <v>0</v>
      </c>
      <c r="L615" t="n">
        <v>0</v>
      </c>
      <c r="M615" t="n">
        <v>0</v>
      </c>
      <c r="N615" t="n">
        <v>0</v>
      </c>
      <c r="O615" t="n">
        <v>0</v>
      </c>
      <c r="P615" t="n">
        <v>0</v>
      </c>
      <c r="Q615" t="n">
        <v>0</v>
      </c>
      <c r="R615" s="2" t="inlineStr"/>
    </row>
    <row r="616" ht="15" customHeight="1">
      <c r="A616" t="inlineStr">
        <is>
          <t>A 613-2023</t>
        </is>
      </c>
      <c r="B616" s="1" t="n">
        <v>44924</v>
      </c>
      <c r="C616" s="1" t="n">
        <v>45755</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45755</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2267-2023</t>
        </is>
      </c>
      <c r="B618" s="1" t="n">
        <v>44942</v>
      </c>
      <c r="C618" s="1" t="n">
        <v>45755</v>
      </c>
      <c r="D618" t="inlineStr">
        <is>
          <t>JÄMTLANDS LÄN</t>
        </is>
      </c>
      <c r="E618" t="inlineStr">
        <is>
          <t>BERG</t>
        </is>
      </c>
      <c r="G618" t="n">
        <v>4.6</v>
      </c>
      <c r="H618" t="n">
        <v>0</v>
      </c>
      <c r="I618" t="n">
        <v>0</v>
      </c>
      <c r="J618" t="n">
        <v>0</v>
      </c>
      <c r="K618" t="n">
        <v>0</v>
      </c>
      <c r="L618" t="n">
        <v>0</v>
      </c>
      <c r="M618" t="n">
        <v>0</v>
      </c>
      <c r="N618" t="n">
        <v>0</v>
      </c>
      <c r="O618" t="n">
        <v>0</v>
      </c>
      <c r="P618" t="n">
        <v>0</v>
      </c>
      <c r="Q618" t="n">
        <v>0</v>
      </c>
      <c r="R618" s="2" t="inlineStr"/>
    </row>
    <row r="619" ht="15" customHeight="1">
      <c r="A619" t="inlineStr">
        <is>
          <t>A 3842-2023</t>
        </is>
      </c>
      <c r="B619" s="1" t="n">
        <v>44951</v>
      </c>
      <c r="C619" s="1" t="n">
        <v>45755</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7099-2023</t>
        </is>
      </c>
      <c r="B620" s="1" t="n">
        <v>44965</v>
      </c>
      <c r="C620" s="1" t="n">
        <v>45755</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7105-2023</t>
        </is>
      </c>
      <c r="B621" s="1" t="n">
        <v>44965</v>
      </c>
      <c r="C621" s="1" t="n">
        <v>45755</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7488-2023</t>
        </is>
      </c>
      <c r="B622" s="1" t="n">
        <v>44966</v>
      </c>
      <c r="C622" s="1" t="n">
        <v>45755</v>
      </c>
      <c r="D622" t="inlineStr">
        <is>
          <t>JÄMTLANDS LÄN</t>
        </is>
      </c>
      <c r="E622" t="inlineStr">
        <is>
          <t>BERG</t>
        </is>
      </c>
      <c r="G622" t="n">
        <v>19.5</v>
      </c>
      <c r="H622" t="n">
        <v>0</v>
      </c>
      <c r="I622" t="n">
        <v>0</v>
      </c>
      <c r="J622" t="n">
        <v>0</v>
      </c>
      <c r="K622" t="n">
        <v>0</v>
      </c>
      <c r="L622" t="n">
        <v>0</v>
      </c>
      <c r="M622" t="n">
        <v>0</v>
      </c>
      <c r="N622" t="n">
        <v>0</v>
      </c>
      <c r="O622" t="n">
        <v>0</v>
      </c>
      <c r="P622" t="n">
        <v>0</v>
      </c>
      <c r="Q622" t="n">
        <v>0</v>
      </c>
      <c r="R622" s="2" t="inlineStr"/>
    </row>
    <row r="623" ht="15" customHeight="1">
      <c r="A623" t="inlineStr">
        <is>
          <t>A 7463-2023</t>
        </is>
      </c>
      <c r="B623" s="1" t="n">
        <v>44966</v>
      </c>
      <c r="C623" s="1" t="n">
        <v>45755</v>
      </c>
      <c r="D623" t="inlineStr">
        <is>
          <t>JÄMTLANDS LÄN</t>
        </is>
      </c>
      <c r="E623" t="inlineStr">
        <is>
          <t>BERG</t>
        </is>
      </c>
      <c r="G623" t="n">
        <v>13.1</v>
      </c>
      <c r="H623" t="n">
        <v>0</v>
      </c>
      <c r="I623" t="n">
        <v>0</v>
      </c>
      <c r="J623" t="n">
        <v>0</v>
      </c>
      <c r="K623" t="n">
        <v>0</v>
      </c>
      <c r="L623" t="n">
        <v>0</v>
      </c>
      <c r="M623" t="n">
        <v>0</v>
      </c>
      <c r="N623" t="n">
        <v>0</v>
      </c>
      <c r="O623" t="n">
        <v>0</v>
      </c>
      <c r="P623" t="n">
        <v>0</v>
      </c>
      <c r="Q623" t="n">
        <v>0</v>
      </c>
      <c r="R623" s="2" t="inlineStr"/>
    </row>
    <row r="624" ht="15" customHeight="1">
      <c r="A624" t="inlineStr">
        <is>
          <t>A 7483-2023</t>
        </is>
      </c>
      <c r="B624" s="1" t="n">
        <v>44966</v>
      </c>
      <c r="C624" s="1" t="n">
        <v>45755</v>
      </c>
      <c r="D624" t="inlineStr">
        <is>
          <t>JÄMTLANDS LÄN</t>
        </is>
      </c>
      <c r="E624" t="inlineStr">
        <is>
          <t>BERG</t>
        </is>
      </c>
      <c r="G624" t="n">
        <v>20.1</v>
      </c>
      <c r="H624" t="n">
        <v>0</v>
      </c>
      <c r="I624" t="n">
        <v>0</v>
      </c>
      <c r="J624" t="n">
        <v>0</v>
      </c>
      <c r="K624" t="n">
        <v>0</v>
      </c>
      <c r="L624" t="n">
        <v>0</v>
      </c>
      <c r="M624" t="n">
        <v>0</v>
      </c>
      <c r="N624" t="n">
        <v>0</v>
      </c>
      <c r="O624" t="n">
        <v>0</v>
      </c>
      <c r="P624" t="n">
        <v>0</v>
      </c>
      <c r="Q624" t="n">
        <v>0</v>
      </c>
      <c r="R624" s="2" t="inlineStr"/>
    </row>
    <row r="625" ht="15" customHeight="1">
      <c r="A625" t="inlineStr">
        <is>
          <t>A 7802-2023</t>
        </is>
      </c>
      <c r="B625" s="1" t="n">
        <v>44973</v>
      </c>
      <c r="C625" s="1" t="n">
        <v>45755</v>
      </c>
      <c r="D625" t="inlineStr">
        <is>
          <t>JÄMTLANDS LÄN</t>
        </is>
      </c>
      <c r="E625" t="inlineStr">
        <is>
          <t>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8251-2023</t>
        </is>
      </c>
      <c r="B626" s="1" t="n">
        <v>44974</v>
      </c>
      <c r="C626" s="1" t="n">
        <v>45755</v>
      </c>
      <c r="D626" t="inlineStr">
        <is>
          <t>JÄMTLANDS LÄN</t>
        </is>
      </c>
      <c r="E626" t="inlineStr">
        <is>
          <t>BERG</t>
        </is>
      </c>
      <c r="G626" t="n">
        <v>1.7</v>
      </c>
      <c r="H626" t="n">
        <v>0</v>
      </c>
      <c r="I626" t="n">
        <v>0</v>
      </c>
      <c r="J626" t="n">
        <v>0</v>
      </c>
      <c r="K626" t="n">
        <v>0</v>
      </c>
      <c r="L626" t="n">
        <v>0</v>
      </c>
      <c r="M626" t="n">
        <v>0</v>
      </c>
      <c r="N626" t="n">
        <v>0</v>
      </c>
      <c r="O626" t="n">
        <v>0</v>
      </c>
      <c r="P626" t="n">
        <v>0</v>
      </c>
      <c r="Q626" t="n">
        <v>0</v>
      </c>
      <c r="R626" s="2" t="inlineStr"/>
    </row>
    <row r="627" ht="15" customHeight="1">
      <c r="A627" t="inlineStr">
        <is>
          <t>A 8413-2023</t>
        </is>
      </c>
      <c r="B627" s="1" t="n">
        <v>44977</v>
      </c>
      <c r="C627" s="1" t="n">
        <v>45755</v>
      </c>
      <c r="D627" t="inlineStr">
        <is>
          <t>JÄMTLANDS LÄN</t>
        </is>
      </c>
      <c r="E627" t="inlineStr">
        <is>
          <t>BERG</t>
        </is>
      </c>
      <c r="F627" t="inlineStr">
        <is>
          <t>Kyrkan</t>
        </is>
      </c>
      <c r="G627" t="n">
        <v>10.1</v>
      </c>
      <c r="H627" t="n">
        <v>0</v>
      </c>
      <c r="I627" t="n">
        <v>0</v>
      </c>
      <c r="J627" t="n">
        <v>0</v>
      </c>
      <c r="K627" t="n">
        <v>0</v>
      </c>
      <c r="L627" t="n">
        <v>0</v>
      </c>
      <c r="M627" t="n">
        <v>0</v>
      </c>
      <c r="N627" t="n">
        <v>0</v>
      </c>
      <c r="O627" t="n">
        <v>0</v>
      </c>
      <c r="P627" t="n">
        <v>0</v>
      </c>
      <c r="Q627" t="n">
        <v>0</v>
      </c>
      <c r="R627" s="2" t="inlineStr"/>
    </row>
    <row r="628" ht="15" customHeight="1">
      <c r="A628" t="inlineStr">
        <is>
          <t>A 8624-2023</t>
        </is>
      </c>
      <c r="B628" s="1" t="n">
        <v>44977</v>
      </c>
      <c r="C628" s="1" t="n">
        <v>45755</v>
      </c>
      <c r="D628" t="inlineStr">
        <is>
          <t>JÄMTLANDS LÄN</t>
        </is>
      </c>
      <c r="E628" t="inlineStr">
        <is>
          <t>BERG</t>
        </is>
      </c>
      <c r="F628" t="inlineStr">
        <is>
          <t>Kyrkan</t>
        </is>
      </c>
      <c r="G628" t="n">
        <v>7</v>
      </c>
      <c r="H628" t="n">
        <v>0</v>
      </c>
      <c r="I628" t="n">
        <v>0</v>
      </c>
      <c r="J628" t="n">
        <v>0</v>
      </c>
      <c r="K628" t="n">
        <v>0</v>
      </c>
      <c r="L628" t="n">
        <v>0</v>
      </c>
      <c r="M628" t="n">
        <v>0</v>
      </c>
      <c r="N628" t="n">
        <v>0</v>
      </c>
      <c r="O628" t="n">
        <v>0</v>
      </c>
      <c r="P628" t="n">
        <v>0</v>
      </c>
      <c r="Q628" t="n">
        <v>0</v>
      </c>
      <c r="R628" s="2" t="inlineStr"/>
    </row>
    <row r="629" ht="15" customHeight="1">
      <c r="A629" t="inlineStr">
        <is>
          <t>A 9077-2023</t>
        </is>
      </c>
      <c r="B629" s="1" t="n">
        <v>44979</v>
      </c>
      <c r="C629" s="1" t="n">
        <v>45755</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10254-2023</t>
        </is>
      </c>
      <c r="B630" s="1" t="n">
        <v>44980</v>
      </c>
      <c r="C630" s="1" t="n">
        <v>45755</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10255-2023</t>
        </is>
      </c>
      <c r="B631" s="1" t="n">
        <v>44980</v>
      </c>
      <c r="C631" s="1" t="n">
        <v>45755</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10125-2023</t>
        </is>
      </c>
      <c r="B632" s="1" t="n">
        <v>44986</v>
      </c>
      <c r="C632" s="1" t="n">
        <v>45755</v>
      </c>
      <c r="D632" t="inlineStr">
        <is>
          <t>JÄMTLANDS LÄN</t>
        </is>
      </c>
      <c r="E632" t="inlineStr">
        <is>
          <t>BERG</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10138-2023</t>
        </is>
      </c>
      <c r="B633" s="1" t="n">
        <v>44986</v>
      </c>
      <c r="C633" s="1" t="n">
        <v>45755</v>
      </c>
      <c r="D633" t="inlineStr">
        <is>
          <t>JÄMTLANDS LÄN</t>
        </is>
      </c>
      <c r="E633" t="inlineStr">
        <is>
          <t>BERG</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10465-2023</t>
        </is>
      </c>
      <c r="B634" s="1" t="n">
        <v>44987</v>
      </c>
      <c r="C634" s="1" t="n">
        <v>45755</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10495-2023</t>
        </is>
      </c>
      <c r="B635" s="1" t="n">
        <v>44987</v>
      </c>
      <c r="C635" s="1" t="n">
        <v>45755</v>
      </c>
      <c r="D635" t="inlineStr">
        <is>
          <t>JÄMTLANDS LÄN</t>
        </is>
      </c>
      <c r="E635" t="inlineStr">
        <is>
          <t>BERG</t>
        </is>
      </c>
      <c r="G635" t="n">
        <v>12.8</v>
      </c>
      <c r="H635" t="n">
        <v>0</v>
      </c>
      <c r="I635" t="n">
        <v>0</v>
      </c>
      <c r="J635" t="n">
        <v>0</v>
      </c>
      <c r="K635" t="n">
        <v>0</v>
      </c>
      <c r="L635" t="n">
        <v>0</v>
      </c>
      <c r="M635" t="n">
        <v>0</v>
      </c>
      <c r="N635" t="n">
        <v>0</v>
      </c>
      <c r="O635" t="n">
        <v>0</v>
      </c>
      <c r="P635" t="n">
        <v>0</v>
      </c>
      <c r="Q635" t="n">
        <v>0</v>
      </c>
      <c r="R635" s="2" t="inlineStr"/>
    </row>
    <row r="636" ht="15" customHeight="1">
      <c r="A636" t="inlineStr">
        <is>
          <t>A 10478-2023</t>
        </is>
      </c>
      <c r="B636" s="1" t="n">
        <v>44987</v>
      </c>
      <c r="C636" s="1" t="n">
        <v>45755</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11185-2023</t>
        </is>
      </c>
      <c r="B637" s="1" t="n">
        <v>44987</v>
      </c>
      <c r="C637" s="1" t="n">
        <v>45755</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11702-2023</t>
        </is>
      </c>
      <c r="B638" s="1" t="n">
        <v>44994</v>
      </c>
      <c r="C638" s="1" t="n">
        <v>45755</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11697-2023</t>
        </is>
      </c>
      <c r="B639" s="1" t="n">
        <v>44994</v>
      </c>
      <c r="C639" s="1" t="n">
        <v>45755</v>
      </c>
      <c r="D639" t="inlineStr">
        <is>
          <t>JÄMTLANDS LÄN</t>
        </is>
      </c>
      <c r="E639" t="inlineStr">
        <is>
          <t>BERG</t>
        </is>
      </c>
      <c r="G639" t="n">
        <v>8.9</v>
      </c>
      <c r="H639" t="n">
        <v>0</v>
      </c>
      <c r="I639" t="n">
        <v>0</v>
      </c>
      <c r="J639" t="n">
        <v>0</v>
      </c>
      <c r="K639" t="n">
        <v>0</v>
      </c>
      <c r="L639" t="n">
        <v>0</v>
      </c>
      <c r="M639" t="n">
        <v>0</v>
      </c>
      <c r="N639" t="n">
        <v>0</v>
      </c>
      <c r="O639" t="n">
        <v>0</v>
      </c>
      <c r="P639" t="n">
        <v>0</v>
      </c>
      <c r="Q639" t="n">
        <v>0</v>
      </c>
      <c r="R639" s="2" t="inlineStr"/>
    </row>
    <row r="640" ht="15" customHeight="1">
      <c r="A640" t="inlineStr">
        <is>
          <t>A 11704-2023</t>
        </is>
      </c>
      <c r="B640" s="1" t="n">
        <v>44994</v>
      </c>
      <c r="C640" s="1" t="n">
        <v>45755</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11948-2023</t>
        </is>
      </c>
      <c r="B641" s="1" t="n">
        <v>44994</v>
      </c>
      <c r="C641" s="1" t="n">
        <v>45755</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12342-2023</t>
        </is>
      </c>
      <c r="B642" s="1" t="n">
        <v>44998</v>
      </c>
      <c r="C642" s="1" t="n">
        <v>45755</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12636-2023</t>
        </is>
      </c>
      <c r="B643" s="1" t="n">
        <v>44999</v>
      </c>
      <c r="C643" s="1" t="n">
        <v>45755</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12774-2023</t>
        </is>
      </c>
      <c r="B644" s="1" t="n">
        <v>45001</v>
      </c>
      <c r="C644" s="1" t="n">
        <v>45755</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14160-2023</t>
        </is>
      </c>
      <c r="B645" s="1" t="n">
        <v>45008</v>
      </c>
      <c r="C645" s="1" t="n">
        <v>45755</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14153-2023</t>
        </is>
      </c>
      <c r="B646" s="1" t="n">
        <v>45008</v>
      </c>
      <c r="C646" s="1" t="n">
        <v>45755</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14192-2023</t>
        </is>
      </c>
      <c r="B647" s="1" t="n">
        <v>45009</v>
      </c>
      <c r="C647" s="1" t="n">
        <v>45755</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14190-2023</t>
        </is>
      </c>
      <c r="B648" s="1" t="n">
        <v>45009</v>
      </c>
      <c r="C648" s="1" t="n">
        <v>45755</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14198-2023</t>
        </is>
      </c>
      <c r="B649" s="1" t="n">
        <v>45009</v>
      </c>
      <c r="C649" s="1" t="n">
        <v>45755</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14663-2023</t>
        </is>
      </c>
      <c r="B650" s="1" t="n">
        <v>45014</v>
      </c>
      <c r="C650" s="1" t="n">
        <v>45755</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15409-2023</t>
        </is>
      </c>
      <c r="B651" s="1" t="n">
        <v>45016</v>
      </c>
      <c r="C651" s="1" t="n">
        <v>45755</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15624-2023</t>
        </is>
      </c>
      <c r="B652" s="1" t="n">
        <v>45021</v>
      </c>
      <c r="C652" s="1" t="n">
        <v>45755</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16491-2023</t>
        </is>
      </c>
      <c r="B653" s="1" t="n">
        <v>45027</v>
      </c>
      <c r="C653" s="1" t="n">
        <v>45755</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16245-2023</t>
        </is>
      </c>
      <c r="B654" s="1" t="n">
        <v>45028</v>
      </c>
      <c r="C654" s="1" t="n">
        <v>45755</v>
      </c>
      <c r="D654" t="inlineStr">
        <is>
          <t>JÄMTLANDS LÄN</t>
        </is>
      </c>
      <c r="E654" t="inlineStr">
        <is>
          <t>BERG</t>
        </is>
      </c>
      <c r="G654" t="n">
        <v>16.2</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45755</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18497-2023</t>
        </is>
      </c>
      <c r="B656" s="1" t="n">
        <v>45042</v>
      </c>
      <c r="C656" s="1" t="n">
        <v>45755</v>
      </c>
      <c r="D656" t="inlineStr">
        <is>
          <t>JÄMTLANDS LÄN</t>
        </is>
      </c>
      <c r="E656" t="inlineStr">
        <is>
          <t>BERG</t>
        </is>
      </c>
      <c r="G656" t="n">
        <v>2.4</v>
      </c>
      <c r="H656" t="n">
        <v>0</v>
      </c>
      <c r="I656" t="n">
        <v>0</v>
      </c>
      <c r="J656" t="n">
        <v>0</v>
      </c>
      <c r="K656" t="n">
        <v>0</v>
      </c>
      <c r="L656" t="n">
        <v>0</v>
      </c>
      <c r="M656" t="n">
        <v>0</v>
      </c>
      <c r="N656" t="n">
        <v>0</v>
      </c>
      <c r="O656" t="n">
        <v>0</v>
      </c>
      <c r="P656" t="n">
        <v>0</v>
      </c>
      <c r="Q656" t="n">
        <v>0</v>
      </c>
      <c r="R656" s="2" t="inlineStr"/>
    </row>
    <row r="657" ht="15" customHeight="1">
      <c r="A657" t="inlineStr">
        <is>
          <t>A 18872-2023</t>
        </is>
      </c>
      <c r="B657" s="1" t="n">
        <v>45042</v>
      </c>
      <c r="C657" s="1" t="n">
        <v>45755</v>
      </c>
      <c r="D657" t="inlineStr">
        <is>
          <t>JÄMTLANDS LÄN</t>
        </is>
      </c>
      <c r="E657" t="inlineStr">
        <is>
          <t>BERG</t>
        </is>
      </c>
      <c r="G657" t="n">
        <v>13.2</v>
      </c>
      <c r="H657" t="n">
        <v>0</v>
      </c>
      <c r="I657" t="n">
        <v>0</v>
      </c>
      <c r="J657" t="n">
        <v>0</v>
      </c>
      <c r="K657" t="n">
        <v>0</v>
      </c>
      <c r="L657" t="n">
        <v>0</v>
      </c>
      <c r="M657" t="n">
        <v>0</v>
      </c>
      <c r="N657" t="n">
        <v>0</v>
      </c>
      <c r="O657" t="n">
        <v>0</v>
      </c>
      <c r="P657" t="n">
        <v>0</v>
      </c>
      <c r="Q657" t="n">
        <v>0</v>
      </c>
      <c r="R657" s="2" t="inlineStr"/>
    </row>
    <row r="658" ht="15" customHeight="1">
      <c r="A658" t="inlineStr">
        <is>
          <t>A 19325-2023</t>
        </is>
      </c>
      <c r="B658" s="1" t="n">
        <v>45048</v>
      </c>
      <c r="C658" s="1" t="n">
        <v>45755</v>
      </c>
      <c r="D658" t="inlineStr">
        <is>
          <t>JÄMTLANDS LÄN</t>
        </is>
      </c>
      <c r="E658" t="inlineStr">
        <is>
          <t>BERG</t>
        </is>
      </c>
      <c r="G658" t="n">
        <v>2.9</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45755</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19529-2023</t>
        </is>
      </c>
      <c r="B660" s="1" t="n">
        <v>45050</v>
      </c>
      <c r="C660" s="1" t="n">
        <v>45755</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19535-2023</t>
        </is>
      </c>
      <c r="B661" s="1" t="n">
        <v>45050</v>
      </c>
      <c r="C661" s="1" t="n">
        <v>45755</v>
      </c>
      <c r="D661" t="inlineStr">
        <is>
          <t>JÄMTLANDS LÄN</t>
        </is>
      </c>
      <c r="E661" t="inlineStr">
        <is>
          <t>BERG</t>
        </is>
      </c>
      <c r="G661" t="n">
        <v>10</v>
      </c>
      <c r="H661" t="n">
        <v>0</v>
      </c>
      <c r="I661" t="n">
        <v>0</v>
      </c>
      <c r="J661" t="n">
        <v>0</v>
      </c>
      <c r="K661" t="n">
        <v>0</v>
      </c>
      <c r="L661" t="n">
        <v>0</v>
      </c>
      <c r="M661" t="n">
        <v>0</v>
      </c>
      <c r="N661" t="n">
        <v>0</v>
      </c>
      <c r="O661" t="n">
        <v>0</v>
      </c>
      <c r="P661" t="n">
        <v>0</v>
      </c>
      <c r="Q661" t="n">
        <v>0</v>
      </c>
      <c r="R661" s="2" t="inlineStr"/>
    </row>
    <row r="662" ht="15" customHeight="1">
      <c r="A662" t="inlineStr">
        <is>
          <t>A 20882-2023</t>
        </is>
      </c>
      <c r="B662" s="1" t="n">
        <v>45058</v>
      </c>
      <c r="C662" s="1" t="n">
        <v>45755</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45755</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21679-2023</t>
        </is>
      </c>
      <c r="B664" s="1" t="n">
        <v>45064</v>
      </c>
      <c r="C664" s="1" t="n">
        <v>45755</v>
      </c>
      <c r="D664" t="inlineStr">
        <is>
          <t>JÄMTLANDS LÄN</t>
        </is>
      </c>
      <c r="E664" t="inlineStr">
        <is>
          <t>BERG</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21717-2023</t>
        </is>
      </c>
      <c r="B665" s="1" t="n">
        <v>45063</v>
      </c>
      <c r="C665" s="1" t="n">
        <v>45755</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22950-2023</t>
        </is>
      </c>
      <c r="B666" s="1" t="n">
        <v>45072</v>
      </c>
      <c r="C666" s="1" t="n">
        <v>45755</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22991-2023</t>
        </is>
      </c>
      <c r="B667" s="1" t="n">
        <v>45073</v>
      </c>
      <c r="C667" s="1" t="n">
        <v>45755</v>
      </c>
      <c r="D667" t="inlineStr">
        <is>
          <t>JÄMTLANDS LÄN</t>
        </is>
      </c>
      <c r="E667" t="inlineStr">
        <is>
          <t>BERG</t>
        </is>
      </c>
      <c r="G667" t="n">
        <v>4.1</v>
      </c>
      <c r="H667" t="n">
        <v>0</v>
      </c>
      <c r="I667" t="n">
        <v>0</v>
      </c>
      <c r="J667" t="n">
        <v>0</v>
      </c>
      <c r="K667" t="n">
        <v>0</v>
      </c>
      <c r="L667" t="n">
        <v>0</v>
      </c>
      <c r="M667" t="n">
        <v>0</v>
      </c>
      <c r="N667" t="n">
        <v>0</v>
      </c>
      <c r="O667" t="n">
        <v>0</v>
      </c>
      <c r="P667" t="n">
        <v>0</v>
      </c>
      <c r="Q667" t="n">
        <v>0</v>
      </c>
      <c r="R667" s="2" t="inlineStr"/>
    </row>
    <row r="668" ht="15" customHeight="1">
      <c r="A668" t="inlineStr">
        <is>
          <t>A 24011-2023</t>
        </is>
      </c>
      <c r="B668" s="1" t="n">
        <v>45078</v>
      </c>
      <c r="C668" s="1" t="n">
        <v>45755</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24310-2023</t>
        </is>
      </c>
      <c r="B669" s="1" t="n">
        <v>45079</v>
      </c>
      <c r="C669" s="1" t="n">
        <v>45755</v>
      </c>
      <c r="D669" t="inlineStr">
        <is>
          <t>JÄMTLANDS LÄN</t>
        </is>
      </c>
      <c r="E669" t="inlineStr">
        <is>
          <t>BERG</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45080</v>
      </c>
      <c r="C670" s="1" t="n">
        <v>45755</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25507-2023</t>
        </is>
      </c>
      <c r="B671" s="1" t="n">
        <v>45082</v>
      </c>
      <c r="C671" s="1" t="n">
        <v>45755</v>
      </c>
      <c r="D671" t="inlineStr">
        <is>
          <t>JÄMTLANDS LÄN</t>
        </is>
      </c>
      <c r="E671" t="inlineStr">
        <is>
          <t>BERG</t>
        </is>
      </c>
      <c r="G671" t="n">
        <v>7</v>
      </c>
      <c r="H671" t="n">
        <v>0</v>
      </c>
      <c r="I671" t="n">
        <v>0</v>
      </c>
      <c r="J671" t="n">
        <v>0</v>
      </c>
      <c r="K671" t="n">
        <v>0</v>
      </c>
      <c r="L671" t="n">
        <v>0</v>
      </c>
      <c r="M671" t="n">
        <v>0</v>
      </c>
      <c r="N671" t="n">
        <v>0</v>
      </c>
      <c r="O671" t="n">
        <v>0</v>
      </c>
      <c r="P671" t="n">
        <v>0</v>
      </c>
      <c r="Q671" t="n">
        <v>0</v>
      </c>
      <c r="R671" s="2" t="inlineStr"/>
    </row>
    <row r="672" ht="15" customHeight="1">
      <c r="A672" t="inlineStr">
        <is>
          <t>A 24542-2023</t>
        </is>
      </c>
      <c r="B672" s="1" t="n">
        <v>45082</v>
      </c>
      <c r="C672" s="1" t="n">
        <v>45755</v>
      </c>
      <c r="D672" t="inlineStr">
        <is>
          <t>JÄMTLANDS LÄN</t>
        </is>
      </c>
      <c r="E672" t="inlineStr">
        <is>
          <t>BERG</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25565-2023</t>
        </is>
      </c>
      <c r="B673" s="1" t="n">
        <v>45082</v>
      </c>
      <c r="C673" s="1" t="n">
        <v>45755</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25306-2023</t>
        </is>
      </c>
      <c r="B674" s="1" t="n">
        <v>45086</v>
      </c>
      <c r="C674" s="1" t="n">
        <v>45755</v>
      </c>
      <c r="D674" t="inlineStr">
        <is>
          <t>JÄMTLANDS LÄN</t>
        </is>
      </c>
      <c r="E674" t="inlineStr">
        <is>
          <t>BERG</t>
        </is>
      </c>
      <c r="G674" t="n">
        <v>23.3</v>
      </c>
      <c r="H674" t="n">
        <v>0</v>
      </c>
      <c r="I674" t="n">
        <v>0</v>
      </c>
      <c r="J674" t="n">
        <v>0</v>
      </c>
      <c r="K674" t="n">
        <v>0</v>
      </c>
      <c r="L674" t="n">
        <v>0</v>
      </c>
      <c r="M674" t="n">
        <v>0</v>
      </c>
      <c r="N674" t="n">
        <v>0</v>
      </c>
      <c r="O674" t="n">
        <v>0</v>
      </c>
      <c r="P674" t="n">
        <v>0</v>
      </c>
      <c r="Q674" t="n">
        <v>0</v>
      </c>
      <c r="R674" s="2" t="inlineStr"/>
    </row>
    <row r="675" ht="15" customHeight="1">
      <c r="A675" t="inlineStr">
        <is>
          <t>A 26011-2023</t>
        </is>
      </c>
      <c r="B675" s="1" t="n">
        <v>45091</v>
      </c>
      <c r="C675" s="1" t="n">
        <v>45755</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26009-2023</t>
        </is>
      </c>
      <c r="B676" s="1" t="n">
        <v>45091</v>
      </c>
      <c r="C676" s="1" t="n">
        <v>45755</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25990-2023</t>
        </is>
      </c>
      <c r="B677" s="1" t="n">
        <v>45091</v>
      </c>
      <c r="C677" s="1" t="n">
        <v>45755</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26010-2023</t>
        </is>
      </c>
      <c r="B678" s="1" t="n">
        <v>45091</v>
      </c>
      <c r="C678" s="1" t="n">
        <v>45755</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26008-2023</t>
        </is>
      </c>
      <c r="B679" s="1" t="n">
        <v>45091</v>
      </c>
      <c r="C679" s="1" t="n">
        <v>45755</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26652-2023</t>
        </is>
      </c>
      <c r="B680" s="1" t="n">
        <v>45093</v>
      </c>
      <c r="C680" s="1" t="n">
        <v>45755</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27239-2023</t>
        </is>
      </c>
      <c r="B681" s="1" t="n">
        <v>45092</v>
      </c>
      <c r="C681" s="1" t="n">
        <v>45755</v>
      </c>
      <c r="D681" t="inlineStr">
        <is>
          <t>JÄMTLANDS LÄN</t>
        </is>
      </c>
      <c r="E681" t="inlineStr">
        <is>
          <t>BERG</t>
        </is>
      </c>
      <c r="G681" t="n">
        <v>5.3</v>
      </c>
      <c r="H681" t="n">
        <v>0</v>
      </c>
      <c r="I681" t="n">
        <v>0</v>
      </c>
      <c r="J681" t="n">
        <v>0</v>
      </c>
      <c r="K681" t="n">
        <v>0</v>
      </c>
      <c r="L681" t="n">
        <v>0</v>
      </c>
      <c r="M681" t="n">
        <v>0</v>
      </c>
      <c r="N681" t="n">
        <v>0</v>
      </c>
      <c r="O681" t="n">
        <v>0</v>
      </c>
      <c r="P681" t="n">
        <v>0</v>
      </c>
      <c r="Q681" t="n">
        <v>0</v>
      </c>
      <c r="R681" s="2" t="inlineStr"/>
    </row>
    <row r="682" ht="15" customHeight="1">
      <c r="A682" t="inlineStr">
        <is>
          <t>A 27377-2023</t>
        </is>
      </c>
      <c r="B682" s="1" t="n">
        <v>45096</v>
      </c>
      <c r="C682" s="1" t="n">
        <v>45755</v>
      </c>
      <c r="D682" t="inlineStr">
        <is>
          <t>JÄMTLANDS LÄN</t>
        </is>
      </c>
      <c r="E682" t="inlineStr">
        <is>
          <t>BERG</t>
        </is>
      </c>
      <c r="F682" t="inlineStr">
        <is>
          <t>SCA</t>
        </is>
      </c>
      <c r="G682" t="n">
        <v>25.3</v>
      </c>
      <c r="H682" t="n">
        <v>0</v>
      </c>
      <c r="I682" t="n">
        <v>0</v>
      </c>
      <c r="J682" t="n">
        <v>0</v>
      </c>
      <c r="K682" t="n">
        <v>0</v>
      </c>
      <c r="L682" t="n">
        <v>0</v>
      </c>
      <c r="M682" t="n">
        <v>0</v>
      </c>
      <c r="N682" t="n">
        <v>0</v>
      </c>
      <c r="O682" t="n">
        <v>0</v>
      </c>
      <c r="P682" t="n">
        <v>0</v>
      </c>
      <c r="Q682" t="n">
        <v>0</v>
      </c>
      <c r="R682" s="2" t="inlineStr"/>
    </row>
    <row r="683" ht="15" customHeight="1">
      <c r="A683" t="inlineStr">
        <is>
          <t>A 27376-2023</t>
        </is>
      </c>
      <c r="B683" s="1" t="n">
        <v>45097</v>
      </c>
      <c r="C683" s="1" t="n">
        <v>45755</v>
      </c>
      <c r="D683" t="inlineStr">
        <is>
          <t>JÄMTLANDS LÄN</t>
        </is>
      </c>
      <c r="E683" t="inlineStr">
        <is>
          <t>BERG</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29143-2023</t>
        </is>
      </c>
      <c r="B684" s="1" t="n">
        <v>45097</v>
      </c>
      <c r="C684" s="1" t="n">
        <v>45755</v>
      </c>
      <c r="D684" t="inlineStr">
        <is>
          <t>JÄMTLANDS LÄN</t>
        </is>
      </c>
      <c r="E684" t="inlineStr">
        <is>
          <t>BERG</t>
        </is>
      </c>
      <c r="G684" t="n">
        <v>3.1</v>
      </c>
      <c r="H684" t="n">
        <v>0</v>
      </c>
      <c r="I684" t="n">
        <v>0</v>
      </c>
      <c r="J684" t="n">
        <v>0</v>
      </c>
      <c r="K684" t="n">
        <v>0</v>
      </c>
      <c r="L684" t="n">
        <v>0</v>
      </c>
      <c r="M684" t="n">
        <v>0</v>
      </c>
      <c r="N684" t="n">
        <v>0</v>
      </c>
      <c r="O684" t="n">
        <v>0</v>
      </c>
      <c r="P684" t="n">
        <v>0</v>
      </c>
      <c r="Q684" t="n">
        <v>0</v>
      </c>
      <c r="R684" s="2" t="inlineStr"/>
    </row>
    <row r="685" ht="15" customHeight="1">
      <c r="A685" t="inlineStr">
        <is>
          <t>A 29078-2023</t>
        </is>
      </c>
      <c r="B685" s="1" t="n">
        <v>45097</v>
      </c>
      <c r="C685" s="1" t="n">
        <v>45755</v>
      </c>
      <c r="D685" t="inlineStr">
        <is>
          <t>JÄMTLANDS LÄN</t>
        </is>
      </c>
      <c r="E685" t="inlineStr">
        <is>
          <t>BERG</t>
        </is>
      </c>
      <c r="G685" t="n">
        <v>5.9</v>
      </c>
      <c r="H685" t="n">
        <v>0</v>
      </c>
      <c r="I685" t="n">
        <v>0</v>
      </c>
      <c r="J685" t="n">
        <v>0</v>
      </c>
      <c r="K685" t="n">
        <v>0</v>
      </c>
      <c r="L685" t="n">
        <v>0</v>
      </c>
      <c r="M685" t="n">
        <v>0</v>
      </c>
      <c r="N685" t="n">
        <v>0</v>
      </c>
      <c r="O685" t="n">
        <v>0</v>
      </c>
      <c r="P685" t="n">
        <v>0</v>
      </c>
      <c r="Q685" t="n">
        <v>0</v>
      </c>
      <c r="R685" s="2" t="inlineStr"/>
    </row>
    <row r="686" ht="15" customHeight="1">
      <c r="A686" t="inlineStr">
        <is>
          <t>A 28009-2023</t>
        </is>
      </c>
      <c r="B686" s="1" t="n">
        <v>45098</v>
      </c>
      <c r="C686" s="1" t="n">
        <v>45755</v>
      </c>
      <c r="D686" t="inlineStr">
        <is>
          <t>JÄMTLANDS LÄN</t>
        </is>
      </c>
      <c r="E686" t="inlineStr">
        <is>
          <t>BERG</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28363-2023</t>
        </is>
      </c>
      <c r="B687" s="1" t="n">
        <v>45100</v>
      </c>
      <c r="C687" s="1" t="n">
        <v>45755</v>
      </c>
      <c r="D687" t="inlineStr">
        <is>
          <t>JÄMTLANDS LÄN</t>
        </is>
      </c>
      <c r="E687" t="inlineStr">
        <is>
          <t>BERG</t>
        </is>
      </c>
      <c r="G687" t="n">
        <v>18.1</v>
      </c>
      <c r="H687" t="n">
        <v>0</v>
      </c>
      <c r="I687" t="n">
        <v>0</v>
      </c>
      <c r="J687" t="n">
        <v>0</v>
      </c>
      <c r="K687" t="n">
        <v>0</v>
      </c>
      <c r="L687" t="n">
        <v>0</v>
      </c>
      <c r="M687" t="n">
        <v>0</v>
      </c>
      <c r="N687" t="n">
        <v>0</v>
      </c>
      <c r="O687" t="n">
        <v>0</v>
      </c>
      <c r="P687" t="n">
        <v>0</v>
      </c>
      <c r="Q687" t="n">
        <v>0</v>
      </c>
      <c r="R687" s="2" t="inlineStr"/>
    </row>
    <row r="688" ht="15" customHeight="1">
      <c r="A688" t="inlineStr">
        <is>
          <t>A 30191-2023</t>
        </is>
      </c>
      <c r="B688" s="1" t="n">
        <v>45099</v>
      </c>
      <c r="C688" s="1" t="n">
        <v>45755</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30391-2023</t>
        </is>
      </c>
      <c r="B689" s="1" t="n">
        <v>45111</v>
      </c>
      <c r="C689" s="1" t="n">
        <v>45755</v>
      </c>
      <c r="D689" t="inlineStr">
        <is>
          <t>JÄMTLANDS LÄN</t>
        </is>
      </c>
      <c r="E689" t="inlineStr">
        <is>
          <t>BERG</t>
        </is>
      </c>
      <c r="G689" t="n">
        <v>5.3</v>
      </c>
      <c r="H689" t="n">
        <v>0</v>
      </c>
      <c r="I689" t="n">
        <v>0</v>
      </c>
      <c r="J689" t="n">
        <v>0</v>
      </c>
      <c r="K689" t="n">
        <v>0</v>
      </c>
      <c r="L689" t="n">
        <v>0</v>
      </c>
      <c r="M689" t="n">
        <v>0</v>
      </c>
      <c r="N689" t="n">
        <v>0</v>
      </c>
      <c r="O689" t="n">
        <v>0</v>
      </c>
      <c r="P689" t="n">
        <v>0</v>
      </c>
      <c r="Q689" t="n">
        <v>0</v>
      </c>
      <c r="R689" s="2" t="inlineStr"/>
    </row>
    <row r="690" ht="15" customHeight="1">
      <c r="A690" t="inlineStr">
        <is>
          <t>A 31442-2023</t>
        </is>
      </c>
      <c r="B690" s="1" t="n">
        <v>45114</v>
      </c>
      <c r="C690" s="1" t="n">
        <v>45755</v>
      </c>
      <c r="D690" t="inlineStr">
        <is>
          <t>JÄMTLANDS LÄN</t>
        </is>
      </c>
      <c r="E690" t="inlineStr">
        <is>
          <t>BERG</t>
        </is>
      </c>
      <c r="G690" t="n">
        <v>5.2</v>
      </c>
      <c r="H690" t="n">
        <v>0</v>
      </c>
      <c r="I690" t="n">
        <v>0</v>
      </c>
      <c r="J690" t="n">
        <v>0</v>
      </c>
      <c r="K690" t="n">
        <v>0</v>
      </c>
      <c r="L690" t="n">
        <v>0</v>
      </c>
      <c r="M690" t="n">
        <v>0</v>
      </c>
      <c r="N690" t="n">
        <v>0</v>
      </c>
      <c r="O690" t="n">
        <v>0</v>
      </c>
      <c r="P690" t="n">
        <v>0</v>
      </c>
      <c r="Q690" t="n">
        <v>0</v>
      </c>
      <c r="R690" s="2" t="inlineStr"/>
    </row>
    <row r="691" ht="15" customHeight="1">
      <c r="A691" t="inlineStr">
        <is>
          <t>A 32020-2023</t>
        </is>
      </c>
      <c r="B691" s="1" t="n">
        <v>45119</v>
      </c>
      <c r="C691" s="1" t="n">
        <v>45755</v>
      </c>
      <c r="D691" t="inlineStr">
        <is>
          <t>JÄMTLANDS LÄN</t>
        </is>
      </c>
      <c r="E691" t="inlineStr">
        <is>
          <t>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32214-2023</t>
        </is>
      </c>
      <c r="B692" s="1" t="n">
        <v>45119</v>
      </c>
      <c r="C692" s="1" t="n">
        <v>45755</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32215-2023</t>
        </is>
      </c>
      <c r="B693" s="1" t="n">
        <v>45119</v>
      </c>
      <c r="C693" s="1" t="n">
        <v>45755</v>
      </c>
      <c r="D693" t="inlineStr">
        <is>
          <t>JÄMTLANDS LÄN</t>
        </is>
      </c>
      <c r="E693" t="inlineStr">
        <is>
          <t>BERG</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32064-2023</t>
        </is>
      </c>
      <c r="B694" s="1" t="n">
        <v>45119</v>
      </c>
      <c r="C694" s="1" t="n">
        <v>45755</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33654-2023</t>
        </is>
      </c>
      <c r="B695" s="1" t="n">
        <v>45119</v>
      </c>
      <c r="C695" s="1" t="n">
        <v>45755</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33750-2023</t>
        </is>
      </c>
      <c r="B696" s="1" t="n">
        <v>45120</v>
      </c>
      <c r="C696" s="1" t="n">
        <v>45755</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33042-2023</t>
        </is>
      </c>
      <c r="B697" s="1" t="n">
        <v>45125</v>
      </c>
      <c r="C697" s="1" t="n">
        <v>45755</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33173-2023</t>
        </is>
      </c>
      <c r="B698" s="1" t="n">
        <v>45127</v>
      </c>
      <c r="C698" s="1" t="n">
        <v>45755</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33304-2023</t>
        </is>
      </c>
      <c r="B699" s="1" t="n">
        <v>45127</v>
      </c>
      <c r="C699" s="1" t="n">
        <v>45755</v>
      </c>
      <c r="D699" t="inlineStr">
        <is>
          <t>JÄMTLANDS LÄN</t>
        </is>
      </c>
      <c r="E699" t="inlineStr">
        <is>
          <t>BERG</t>
        </is>
      </c>
      <c r="G699" t="n">
        <v>3.5</v>
      </c>
      <c r="H699" t="n">
        <v>0</v>
      </c>
      <c r="I699" t="n">
        <v>0</v>
      </c>
      <c r="J699" t="n">
        <v>0</v>
      </c>
      <c r="K699" t="n">
        <v>0</v>
      </c>
      <c r="L699" t="n">
        <v>0</v>
      </c>
      <c r="M699" t="n">
        <v>0</v>
      </c>
      <c r="N699" t="n">
        <v>0</v>
      </c>
      <c r="O699" t="n">
        <v>0</v>
      </c>
      <c r="P699" t="n">
        <v>0</v>
      </c>
      <c r="Q699" t="n">
        <v>0</v>
      </c>
      <c r="R699" s="2" t="inlineStr"/>
    </row>
    <row r="700" ht="15" customHeight="1">
      <c r="A700" t="inlineStr">
        <is>
          <t>A 33476-2023</t>
        </is>
      </c>
      <c r="B700" s="1" t="n">
        <v>45131</v>
      </c>
      <c r="C700" s="1" t="n">
        <v>45755</v>
      </c>
      <c r="D700" t="inlineStr">
        <is>
          <t>JÄMTLANDS LÄN</t>
        </is>
      </c>
      <c r="E700" t="inlineStr">
        <is>
          <t>BERG</t>
        </is>
      </c>
      <c r="F700" t="inlineStr">
        <is>
          <t>Sveaskog</t>
        </is>
      </c>
      <c r="G700" t="n">
        <v>7.7</v>
      </c>
      <c r="H700" t="n">
        <v>0</v>
      </c>
      <c r="I700" t="n">
        <v>0</v>
      </c>
      <c r="J700" t="n">
        <v>0</v>
      </c>
      <c r="K700" t="n">
        <v>0</v>
      </c>
      <c r="L700" t="n">
        <v>0</v>
      </c>
      <c r="M700" t="n">
        <v>0</v>
      </c>
      <c r="N700" t="n">
        <v>0</v>
      </c>
      <c r="O700" t="n">
        <v>0</v>
      </c>
      <c r="P700" t="n">
        <v>0</v>
      </c>
      <c r="Q700" t="n">
        <v>0</v>
      </c>
      <c r="R700" s="2" t="inlineStr"/>
    </row>
    <row r="701" ht="15" customHeight="1">
      <c r="A701" t="inlineStr">
        <is>
          <t>A 33481-2023</t>
        </is>
      </c>
      <c r="B701" s="1" t="n">
        <v>45131</v>
      </c>
      <c r="C701" s="1" t="n">
        <v>45755</v>
      </c>
      <c r="D701" t="inlineStr">
        <is>
          <t>JÄMTLANDS LÄN</t>
        </is>
      </c>
      <c r="E701" t="inlineStr">
        <is>
          <t>BERG</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45755</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34845-2023</t>
        </is>
      </c>
      <c r="B703" s="1" t="n">
        <v>45142</v>
      </c>
      <c r="C703" s="1" t="n">
        <v>45755</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35636-2023</t>
        </is>
      </c>
      <c r="B704" s="1" t="n">
        <v>45147</v>
      </c>
      <c r="C704" s="1" t="n">
        <v>45755</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35986-2023</t>
        </is>
      </c>
      <c r="B705" s="1" t="n">
        <v>45148</v>
      </c>
      <c r="C705" s="1" t="n">
        <v>45755</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36351-2023</t>
        </is>
      </c>
      <c r="B706" s="1" t="n">
        <v>45149</v>
      </c>
      <c r="C706" s="1" t="n">
        <v>45755</v>
      </c>
      <c r="D706" t="inlineStr">
        <is>
          <t>JÄMTLANDS LÄN</t>
        </is>
      </c>
      <c r="E706" t="inlineStr">
        <is>
          <t>BERG</t>
        </is>
      </c>
      <c r="G706" t="n">
        <v>11.7</v>
      </c>
      <c r="H706" t="n">
        <v>0</v>
      </c>
      <c r="I706" t="n">
        <v>0</v>
      </c>
      <c r="J706" t="n">
        <v>0</v>
      </c>
      <c r="K706" t="n">
        <v>0</v>
      </c>
      <c r="L706" t="n">
        <v>0</v>
      </c>
      <c r="M706" t="n">
        <v>0</v>
      </c>
      <c r="N706" t="n">
        <v>0</v>
      </c>
      <c r="O706" t="n">
        <v>0</v>
      </c>
      <c r="P706" t="n">
        <v>0</v>
      </c>
      <c r="Q706" t="n">
        <v>0</v>
      </c>
      <c r="R706" s="2" t="inlineStr"/>
    </row>
    <row r="707" ht="15" customHeight="1">
      <c r="A707" t="inlineStr">
        <is>
          <t>A 36708-2023</t>
        </is>
      </c>
      <c r="B707" s="1" t="n">
        <v>45153</v>
      </c>
      <c r="C707" s="1" t="n">
        <v>45755</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37067-2023</t>
        </is>
      </c>
      <c r="B708" s="1" t="n">
        <v>45154</v>
      </c>
      <c r="C708" s="1" t="n">
        <v>45755</v>
      </c>
      <c r="D708" t="inlineStr">
        <is>
          <t>JÄMTLANDS LÄN</t>
        </is>
      </c>
      <c r="E708" t="inlineStr">
        <is>
          <t>BERG</t>
        </is>
      </c>
      <c r="G708" t="n">
        <v>7.4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45156</v>
      </c>
      <c r="C709" s="1" t="n">
        <v>45755</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37246-2023</t>
        </is>
      </c>
      <c r="B710" s="1" t="n">
        <v>45155</v>
      </c>
      <c r="C710" s="1" t="n">
        <v>45755</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37521-2023</t>
        </is>
      </c>
      <c r="B711" s="1" t="n">
        <v>45158</v>
      </c>
      <c r="C711" s="1" t="n">
        <v>45755</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37969-2023</t>
        </is>
      </c>
      <c r="B712" s="1" t="n">
        <v>45160</v>
      </c>
      <c r="C712" s="1" t="n">
        <v>45755</v>
      </c>
      <c r="D712" t="inlineStr">
        <is>
          <t>JÄMTLANDS LÄN</t>
        </is>
      </c>
      <c r="E712" t="inlineStr">
        <is>
          <t>BERG</t>
        </is>
      </c>
      <c r="G712" t="n">
        <v>4.7</v>
      </c>
      <c r="H712" t="n">
        <v>0</v>
      </c>
      <c r="I712" t="n">
        <v>0</v>
      </c>
      <c r="J712" t="n">
        <v>0</v>
      </c>
      <c r="K712" t="n">
        <v>0</v>
      </c>
      <c r="L712" t="n">
        <v>0</v>
      </c>
      <c r="M712" t="n">
        <v>0</v>
      </c>
      <c r="N712" t="n">
        <v>0</v>
      </c>
      <c r="O712" t="n">
        <v>0</v>
      </c>
      <c r="P712" t="n">
        <v>0</v>
      </c>
      <c r="Q712" t="n">
        <v>0</v>
      </c>
      <c r="R712" s="2" t="inlineStr"/>
    </row>
    <row r="713" ht="15" customHeight="1">
      <c r="A713" t="inlineStr">
        <is>
          <t>A 38381-2023</t>
        </is>
      </c>
      <c r="B713" s="1" t="n">
        <v>45161</v>
      </c>
      <c r="C713" s="1" t="n">
        <v>45755</v>
      </c>
      <c r="D713" t="inlineStr">
        <is>
          <t>JÄMTLANDS LÄN</t>
        </is>
      </c>
      <c r="E713" t="inlineStr">
        <is>
          <t>BERG</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38679-2023</t>
        </is>
      </c>
      <c r="B714" s="1" t="n">
        <v>45163</v>
      </c>
      <c r="C714" s="1" t="n">
        <v>45755</v>
      </c>
      <c r="D714" t="inlineStr">
        <is>
          <t>JÄMTLANDS LÄN</t>
        </is>
      </c>
      <c r="E714" t="inlineStr">
        <is>
          <t>BERG</t>
        </is>
      </c>
      <c r="F714" t="inlineStr">
        <is>
          <t>SCA</t>
        </is>
      </c>
      <c r="G714" t="n">
        <v>14.1</v>
      </c>
      <c r="H714" t="n">
        <v>0</v>
      </c>
      <c r="I714" t="n">
        <v>0</v>
      </c>
      <c r="J714" t="n">
        <v>0</v>
      </c>
      <c r="K714" t="n">
        <v>0</v>
      </c>
      <c r="L714" t="n">
        <v>0</v>
      </c>
      <c r="M714" t="n">
        <v>0</v>
      </c>
      <c r="N714" t="n">
        <v>0</v>
      </c>
      <c r="O714" t="n">
        <v>0</v>
      </c>
      <c r="P714" t="n">
        <v>0</v>
      </c>
      <c r="Q714" t="n">
        <v>0</v>
      </c>
      <c r="R714" s="2" t="inlineStr"/>
    </row>
    <row r="715" ht="15" customHeight="1">
      <c r="A715" t="inlineStr">
        <is>
          <t>A 38678-2023</t>
        </is>
      </c>
      <c r="B715" s="1" t="n">
        <v>45163</v>
      </c>
      <c r="C715" s="1" t="n">
        <v>45755</v>
      </c>
      <c r="D715" t="inlineStr">
        <is>
          <t>JÄMTLANDS LÄN</t>
        </is>
      </c>
      <c r="E715" t="inlineStr">
        <is>
          <t>BERG</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38682-2023</t>
        </is>
      </c>
      <c r="B716" s="1" t="n">
        <v>45162</v>
      </c>
      <c r="C716" s="1" t="n">
        <v>45755</v>
      </c>
      <c r="D716" t="inlineStr">
        <is>
          <t>JÄMTLANDS LÄN</t>
        </is>
      </c>
      <c r="E716" t="inlineStr">
        <is>
          <t>BERG</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38686-2023</t>
        </is>
      </c>
      <c r="B717" s="1" t="n">
        <v>45163</v>
      </c>
      <c r="C717" s="1" t="n">
        <v>45755</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39144-2023</t>
        </is>
      </c>
      <c r="B718" s="1" t="n">
        <v>45165</v>
      </c>
      <c r="C718" s="1" t="n">
        <v>45755</v>
      </c>
      <c r="D718" t="inlineStr">
        <is>
          <t>JÄMTLANDS LÄN</t>
        </is>
      </c>
      <c r="E718" t="inlineStr">
        <is>
          <t>BERG</t>
        </is>
      </c>
      <c r="F718" t="inlineStr">
        <is>
          <t>SCA</t>
        </is>
      </c>
      <c r="G718" t="n">
        <v>31.9</v>
      </c>
      <c r="H718" t="n">
        <v>0</v>
      </c>
      <c r="I718" t="n">
        <v>0</v>
      </c>
      <c r="J718" t="n">
        <v>0</v>
      </c>
      <c r="K718" t="n">
        <v>0</v>
      </c>
      <c r="L718" t="n">
        <v>0</v>
      </c>
      <c r="M718" t="n">
        <v>0</v>
      </c>
      <c r="N718" t="n">
        <v>0</v>
      </c>
      <c r="O718" t="n">
        <v>0</v>
      </c>
      <c r="P718" t="n">
        <v>0</v>
      </c>
      <c r="Q718" t="n">
        <v>0</v>
      </c>
      <c r="R718" s="2" t="inlineStr"/>
    </row>
    <row r="719" ht="15" customHeight="1">
      <c r="A719" t="inlineStr">
        <is>
          <t>A 39510-2023</t>
        </is>
      </c>
      <c r="B719" s="1" t="n">
        <v>45166</v>
      </c>
      <c r="C719" s="1" t="n">
        <v>45755</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39806-2023</t>
        </is>
      </c>
      <c r="B720" s="1" t="n">
        <v>45167</v>
      </c>
      <c r="C720" s="1" t="n">
        <v>45755</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40415-2023</t>
        </is>
      </c>
      <c r="B721" s="1" t="n">
        <v>45170</v>
      </c>
      <c r="C721" s="1" t="n">
        <v>45755</v>
      </c>
      <c r="D721" t="inlineStr">
        <is>
          <t>JÄMTLANDS LÄN</t>
        </is>
      </c>
      <c r="E721" t="inlineStr">
        <is>
          <t>BERG</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40414-2023</t>
        </is>
      </c>
      <c r="B722" s="1" t="n">
        <v>45169</v>
      </c>
      <c r="C722" s="1" t="n">
        <v>45755</v>
      </c>
      <c r="D722" t="inlineStr">
        <is>
          <t>JÄMTLANDS LÄN</t>
        </is>
      </c>
      <c r="E722" t="inlineStr">
        <is>
          <t>BERG</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40416-2023</t>
        </is>
      </c>
      <c r="B723" s="1" t="n">
        <v>45169</v>
      </c>
      <c r="C723" s="1" t="n">
        <v>45755</v>
      </c>
      <c r="D723" t="inlineStr">
        <is>
          <t>JÄMTLANDS LÄN</t>
        </is>
      </c>
      <c r="E723" t="inlineStr">
        <is>
          <t>BERG</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40797-2023</t>
        </is>
      </c>
      <c r="B724" s="1" t="n">
        <v>45171</v>
      </c>
      <c r="C724" s="1" t="n">
        <v>45755</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41091-2023</t>
        </is>
      </c>
      <c r="B725" s="1" t="n">
        <v>45170</v>
      </c>
      <c r="C725" s="1" t="n">
        <v>45755</v>
      </c>
      <c r="D725" t="inlineStr">
        <is>
          <t>JÄMTLANDS LÄN</t>
        </is>
      </c>
      <c r="E725" t="inlineStr">
        <is>
          <t>BERG</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41106-2023</t>
        </is>
      </c>
      <c r="B726" s="1" t="n">
        <v>45170</v>
      </c>
      <c r="C726" s="1" t="n">
        <v>45755</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41098-2023</t>
        </is>
      </c>
      <c r="B727" s="1" t="n">
        <v>45170</v>
      </c>
      <c r="C727" s="1" t="n">
        <v>45755</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40795-2023</t>
        </is>
      </c>
      <c r="B728" s="1" t="n">
        <v>45171</v>
      </c>
      <c r="C728" s="1" t="n">
        <v>45755</v>
      </c>
      <c r="D728" t="inlineStr">
        <is>
          <t>JÄMTLANDS LÄN</t>
        </is>
      </c>
      <c r="E728" t="inlineStr">
        <is>
          <t>BERG</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40799-2023</t>
        </is>
      </c>
      <c r="B729" s="1" t="n">
        <v>45170</v>
      </c>
      <c r="C729" s="1" t="n">
        <v>45755</v>
      </c>
      <c r="D729" t="inlineStr">
        <is>
          <t>JÄMTLANDS LÄN</t>
        </is>
      </c>
      <c r="E729" t="inlineStr">
        <is>
          <t>BERG</t>
        </is>
      </c>
      <c r="F729" t="inlineStr">
        <is>
          <t>SCA</t>
        </is>
      </c>
      <c r="G729" t="n">
        <v>17.2</v>
      </c>
      <c r="H729" t="n">
        <v>0</v>
      </c>
      <c r="I729" t="n">
        <v>0</v>
      </c>
      <c r="J729" t="n">
        <v>0</v>
      </c>
      <c r="K729" t="n">
        <v>0</v>
      </c>
      <c r="L729" t="n">
        <v>0</v>
      </c>
      <c r="M729" t="n">
        <v>0</v>
      </c>
      <c r="N729" t="n">
        <v>0</v>
      </c>
      <c r="O729" t="n">
        <v>0</v>
      </c>
      <c r="P729" t="n">
        <v>0</v>
      </c>
      <c r="Q729" t="n">
        <v>0</v>
      </c>
      <c r="R729" s="2" t="inlineStr"/>
    </row>
    <row r="730" ht="15" customHeight="1">
      <c r="A730" t="inlineStr">
        <is>
          <t>A 40796-2023</t>
        </is>
      </c>
      <c r="B730" s="1" t="n">
        <v>45170</v>
      </c>
      <c r="C730" s="1" t="n">
        <v>45755</v>
      </c>
      <c r="D730" t="inlineStr">
        <is>
          <t>JÄMTLANDS LÄN</t>
        </is>
      </c>
      <c r="E730" t="inlineStr">
        <is>
          <t>BERG</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41105-2023</t>
        </is>
      </c>
      <c r="B731" s="1" t="n">
        <v>45170</v>
      </c>
      <c r="C731" s="1" t="n">
        <v>45755</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40824-2023</t>
        </is>
      </c>
      <c r="B732" s="1" t="n">
        <v>45171</v>
      </c>
      <c r="C732" s="1" t="n">
        <v>45755</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41927-2023</t>
        </is>
      </c>
      <c r="B733" s="1" t="n">
        <v>45176</v>
      </c>
      <c r="C733" s="1" t="n">
        <v>45755</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41926-2023</t>
        </is>
      </c>
      <c r="B734" s="1" t="n">
        <v>45176</v>
      </c>
      <c r="C734" s="1" t="n">
        <v>45755</v>
      </c>
      <c r="D734" t="inlineStr">
        <is>
          <t>JÄMTLANDS LÄN</t>
        </is>
      </c>
      <c r="E734" t="inlineStr">
        <is>
          <t>BERG</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41925-2023</t>
        </is>
      </c>
      <c r="B735" s="1" t="n">
        <v>45176</v>
      </c>
      <c r="C735" s="1" t="n">
        <v>45755</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41920-2023</t>
        </is>
      </c>
      <c r="B736" s="1" t="n">
        <v>45176</v>
      </c>
      <c r="C736" s="1" t="n">
        <v>45755</v>
      </c>
      <c r="D736" t="inlineStr">
        <is>
          <t>JÄMTLANDS LÄN</t>
        </is>
      </c>
      <c r="E736" t="inlineStr">
        <is>
          <t>BERG</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42929-2023</t>
        </is>
      </c>
      <c r="B737" s="1" t="n">
        <v>45177</v>
      </c>
      <c r="C737" s="1" t="n">
        <v>45755</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42504-2023</t>
        </is>
      </c>
      <c r="B738" s="1" t="n">
        <v>45181</v>
      </c>
      <c r="C738" s="1" t="n">
        <v>45755</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42672-2023</t>
        </is>
      </c>
      <c r="B739" s="1" t="n">
        <v>45181</v>
      </c>
      <c r="C739" s="1" t="n">
        <v>45755</v>
      </c>
      <c r="D739" t="inlineStr">
        <is>
          <t>JÄMTLANDS LÄN</t>
        </is>
      </c>
      <c r="E739" t="inlineStr">
        <is>
          <t>BERG</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42676-2023</t>
        </is>
      </c>
      <c r="B740" s="1" t="n">
        <v>45181</v>
      </c>
      <c r="C740" s="1" t="n">
        <v>45755</v>
      </c>
      <c r="D740" t="inlineStr">
        <is>
          <t>JÄMTLANDS LÄN</t>
        </is>
      </c>
      <c r="E740" t="inlineStr">
        <is>
          <t>BERG</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42870-2023</t>
        </is>
      </c>
      <c r="B741" s="1" t="n">
        <v>45182</v>
      </c>
      <c r="C741" s="1" t="n">
        <v>45755</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42827-2023</t>
        </is>
      </c>
      <c r="B742" s="1" t="n">
        <v>45182</v>
      </c>
      <c r="C742" s="1" t="n">
        <v>45755</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42859-2023</t>
        </is>
      </c>
      <c r="B743" s="1" t="n">
        <v>45182</v>
      </c>
      <c r="C743" s="1" t="n">
        <v>45755</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42864-2023</t>
        </is>
      </c>
      <c r="B744" s="1" t="n">
        <v>45182</v>
      </c>
      <c r="C744" s="1" t="n">
        <v>45755</v>
      </c>
      <c r="D744" t="inlineStr">
        <is>
          <t>JÄMTLANDS LÄN</t>
        </is>
      </c>
      <c r="E744" t="inlineStr">
        <is>
          <t>BERG</t>
        </is>
      </c>
      <c r="G744" t="n">
        <v>4.3</v>
      </c>
      <c r="H744" t="n">
        <v>0</v>
      </c>
      <c r="I744" t="n">
        <v>0</v>
      </c>
      <c r="J744" t="n">
        <v>0</v>
      </c>
      <c r="K744" t="n">
        <v>0</v>
      </c>
      <c r="L744" t="n">
        <v>0</v>
      </c>
      <c r="M744" t="n">
        <v>0</v>
      </c>
      <c r="N744" t="n">
        <v>0</v>
      </c>
      <c r="O744" t="n">
        <v>0</v>
      </c>
      <c r="P744" t="n">
        <v>0</v>
      </c>
      <c r="Q744" t="n">
        <v>0</v>
      </c>
      <c r="R744" s="2" t="inlineStr"/>
    </row>
    <row r="745" ht="15" customHeight="1">
      <c r="A745" t="inlineStr">
        <is>
          <t>A 42840-2023</t>
        </is>
      </c>
      <c r="B745" s="1" t="n">
        <v>45182</v>
      </c>
      <c r="C745" s="1" t="n">
        <v>45755</v>
      </c>
      <c r="D745" t="inlineStr">
        <is>
          <t>JÄMTLANDS LÄN</t>
        </is>
      </c>
      <c r="E745" t="inlineStr">
        <is>
          <t>BERG</t>
        </is>
      </c>
      <c r="G745" t="n">
        <v>2.2</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45755</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43403-2023</t>
        </is>
      </c>
      <c r="B747" s="1" t="n">
        <v>45183</v>
      </c>
      <c r="C747" s="1" t="n">
        <v>45755</v>
      </c>
      <c r="D747" t="inlineStr">
        <is>
          <t>JÄMTLANDS LÄN</t>
        </is>
      </c>
      <c r="E747" t="inlineStr">
        <is>
          <t>BERG</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43410-2023</t>
        </is>
      </c>
      <c r="B748" s="1" t="n">
        <v>45184</v>
      </c>
      <c r="C748" s="1" t="n">
        <v>45755</v>
      </c>
      <c r="D748" t="inlineStr">
        <is>
          <t>JÄMTLANDS LÄN</t>
        </is>
      </c>
      <c r="E748" t="inlineStr">
        <is>
          <t>BERG</t>
        </is>
      </c>
      <c r="F748" t="inlineStr">
        <is>
          <t>SCA</t>
        </is>
      </c>
      <c r="G748" t="n">
        <v>24.9</v>
      </c>
      <c r="H748" t="n">
        <v>0</v>
      </c>
      <c r="I748" t="n">
        <v>0</v>
      </c>
      <c r="J748" t="n">
        <v>0</v>
      </c>
      <c r="K748" t="n">
        <v>0</v>
      </c>
      <c r="L748" t="n">
        <v>0</v>
      </c>
      <c r="M748" t="n">
        <v>0</v>
      </c>
      <c r="N748" t="n">
        <v>0</v>
      </c>
      <c r="O748" t="n">
        <v>0</v>
      </c>
      <c r="P748" t="n">
        <v>0</v>
      </c>
      <c r="Q748" t="n">
        <v>0</v>
      </c>
      <c r="R748" s="2" t="inlineStr"/>
    </row>
    <row r="749" ht="15" customHeight="1">
      <c r="A749" t="inlineStr">
        <is>
          <t>A 43744-2023</t>
        </is>
      </c>
      <c r="B749" s="1" t="n">
        <v>45187</v>
      </c>
      <c r="C749" s="1" t="n">
        <v>45755</v>
      </c>
      <c r="D749" t="inlineStr">
        <is>
          <t>JÄMTLANDS LÄN</t>
        </is>
      </c>
      <c r="E749" t="inlineStr">
        <is>
          <t>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44937-2023</t>
        </is>
      </c>
      <c r="B750" s="1" t="n">
        <v>45187</v>
      </c>
      <c r="C750" s="1" t="n">
        <v>45755</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44309-2023</t>
        </is>
      </c>
      <c r="B751" s="1" t="n">
        <v>45188</v>
      </c>
      <c r="C751" s="1" t="n">
        <v>45755</v>
      </c>
      <c r="D751" t="inlineStr">
        <is>
          <t>JÄMTLANDS LÄN</t>
        </is>
      </c>
      <c r="E751" t="inlineStr">
        <is>
          <t>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44314-2023</t>
        </is>
      </c>
      <c r="B752" s="1" t="n">
        <v>45188</v>
      </c>
      <c r="C752" s="1" t="n">
        <v>45755</v>
      </c>
      <c r="D752" t="inlineStr">
        <is>
          <t>JÄMTLANDS LÄN</t>
        </is>
      </c>
      <c r="E752" t="inlineStr">
        <is>
          <t>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44313-2023</t>
        </is>
      </c>
      <c r="B753" s="1" t="n">
        <v>45188</v>
      </c>
      <c r="C753" s="1" t="n">
        <v>45755</v>
      </c>
      <c r="D753" t="inlineStr">
        <is>
          <t>JÄMTLANDS LÄN</t>
        </is>
      </c>
      <c r="E753" t="inlineStr">
        <is>
          <t>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45993-2023</t>
        </is>
      </c>
      <c r="B754" s="1" t="n">
        <v>45189</v>
      </c>
      <c r="C754" s="1" t="n">
        <v>45755</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45347-2023</t>
        </is>
      </c>
      <c r="B755" s="1" t="n">
        <v>45191</v>
      </c>
      <c r="C755" s="1" t="n">
        <v>45755</v>
      </c>
      <c r="D755" t="inlineStr">
        <is>
          <t>JÄMTLANDS LÄN</t>
        </is>
      </c>
      <c r="E755" t="inlineStr">
        <is>
          <t>BERG</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45755</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46270-2023</t>
        </is>
      </c>
      <c r="B757" s="1" t="n">
        <v>45196</v>
      </c>
      <c r="C757" s="1" t="n">
        <v>45755</v>
      </c>
      <c r="D757" t="inlineStr">
        <is>
          <t>JÄMTLANDS LÄN</t>
        </is>
      </c>
      <c r="E757" t="inlineStr">
        <is>
          <t>BERG</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46269-2023</t>
        </is>
      </c>
      <c r="B758" s="1" t="n">
        <v>45196</v>
      </c>
      <c r="C758" s="1" t="n">
        <v>45755</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46275-2023</t>
        </is>
      </c>
      <c r="B759" s="1" t="n">
        <v>45196</v>
      </c>
      <c r="C759" s="1" t="n">
        <v>45755</v>
      </c>
      <c r="D759" t="inlineStr">
        <is>
          <t>JÄMTLANDS LÄN</t>
        </is>
      </c>
      <c r="E759" t="inlineStr">
        <is>
          <t>BERG</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47340-2023</t>
        </is>
      </c>
      <c r="B760" s="1" t="n">
        <v>45196</v>
      </c>
      <c r="C760" s="1" t="n">
        <v>45755</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46268-2023</t>
        </is>
      </c>
      <c r="B761" s="1" t="n">
        <v>45196</v>
      </c>
      <c r="C761" s="1" t="n">
        <v>45755</v>
      </c>
      <c r="D761" t="inlineStr">
        <is>
          <t>JÄMTLANDS LÄN</t>
        </is>
      </c>
      <c r="E761" t="inlineStr">
        <is>
          <t>BERG</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47337-2023</t>
        </is>
      </c>
      <c r="B762" s="1" t="n">
        <v>45196</v>
      </c>
      <c r="C762" s="1" t="n">
        <v>45755</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46797-2023</t>
        </is>
      </c>
      <c r="B763" s="1" t="n">
        <v>45198</v>
      </c>
      <c r="C763" s="1" t="n">
        <v>45755</v>
      </c>
      <c r="D763" t="inlineStr">
        <is>
          <t>JÄMTLANDS LÄN</t>
        </is>
      </c>
      <c r="E763" t="inlineStr">
        <is>
          <t>BERG</t>
        </is>
      </c>
      <c r="G763" t="n">
        <v>4.5</v>
      </c>
      <c r="H763" t="n">
        <v>0</v>
      </c>
      <c r="I763" t="n">
        <v>0</v>
      </c>
      <c r="J763" t="n">
        <v>0</v>
      </c>
      <c r="K763" t="n">
        <v>0</v>
      </c>
      <c r="L763" t="n">
        <v>0</v>
      </c>
      <c r="M763" t="n">
        <v>0</v>
      </c>
      <c r="N763" t="n">
        <v>0</v>
      </c>
      <c r="O763" t="n">
        <v>0</v>
      </c>
      <c r="P763" t="n">
        <v>0</v>
      </c>
      <c r="Q763" t="n">
        <v>0</v>
      </c>
      <c r="R763" s="2" t="inlineStr"/>
    </row>
    <row r="764" ht="15" customHeight="1">
      <c r="A764" t="inlineStr">
        <is>
          <t>A 46816-2023</t>
        </is>
      </c>
      <c r="B764" s="1" t="n">
        <v>45198</v>
      </c>
      <c r="C764" s="1" t="n">
        <v>45755</v>
      </c>
      <c r="D764" t="inlineStr">
        <is>
          <t>JÄMTLANDS LÄN</t>
        </is>
      </c>
      <c r="E764" t="inlineStr">
        <is>
          <t>BERG</t>
        </is>
      </c>
      <c r="F764" t="inlineStr">
        <is>
          <t>SCA</t>
        </is>
      </c>
      <c r="G764" t="n">
        <v>66.2</v>
      </c>
      <c r="H764" t="n">
        <v>0</v>
      </c>
      <c r="I764" t="n">
        <v>0</v>
      </c>
      <c r="J764" t="n">
        <v>0</v>
      </c>
      <c r="K764" t="n">
        <v>0</v>
      </c>
      <c r="L764" t="n">
        <v>0</v>
      </c>
      <c r="M764" t="n">
        <v>0</v>
      </c>
      <c r="N764" t="n">
        <v>0</v>
      </c>
      <c r="O764" t="n">
        <v>0</v>
      </c>
      <c r="P764" t="n">
        <v>0</v>
      </c>
      <c r="Q764" t="n">
        <v>0</v>
      </c>
      <c r="R764" s="2" t="inlineStr"/>
    </row>
    <row r="765" ht="15" customHeight="1">
      <c r="A765" t="inlineStr">
        <is>
          <t>A 46859-2023</t>
        </is>
      </c>
      <c r="B765" s="1" t="n">
        <v>45200</v>
      </c>
      <c r="C765" s="1" t="n">
        <v>45755</v>
      </c>
      <c r="D765" t="inlineStr">
        <is>
          <t>JÄMTLANDS LÄN</t>
        </is>
      </c>
      <c r="E765" t="inlineStr">
        <is>
          <t>BERG</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45200</v>
      </c>
      <c r="C766" s="1" t="n">
        <v>45755</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45755</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46874-2023</t>
        </is>
      </c>
      <c r="B768" s="1" t="n">
        <v>45200</v>
      </c>
      <c r="C768" s="1" t="n">
        <v>45755</v>
      </c>
      <c r="D768" t="inlineStr">
        <is>
          <t>JÄMTLANDS LÄN</t>
        </is>
      </c>
      <c r="E768" t="inlineStr">
        <is>
          <t>BERG</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45202</v>
      </c>
      <c r="C769" s="1" t="n">
        <v>45755</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47289-2023</t>
        </is>
      </c>
      <c r="B770" s="1" t="n">
        <v>45202</v>
      </c>
      <c r="C770" s="1" t="n">
        <v>45755</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47304-2023</t>
        </is>
      </c>
      <c r="B771" s="1" t="n">
        <v>45202</v>
      </c>
      <c r="C771" s="1" t="n">
        <v>45755</v>
      </c>
      <c r="D771" t="inlineStr">
        <is>
          <t>JÄMTLANDS LÄN</t>
        </is>
      </c>
      <c r="E771" t="inlineStr">
        <is>
          <t>BERG</t>
        </is>
      </c>
      <c r="G771" t="n">
        <v>3.4</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45755</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48649-2023</t>
        </is>
      </c>
      <c r="B773" s="1" t="n">
        <v>45202</v>
      </c>
      <c r="C773" s="1" t="n">
        <v>45755</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48671-2023</t>
        </is>
      </c>
      <c r="B774" s="1" t="n">
        <v>45202</v>
      </c>
      <c r="C774" s="1" t="n">
        <v>45755</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47626-2023</t>
        </is>
      </c>
      <c r="B775" s="1" t="n">
        <v>45203</v>
      </c>
      <c r="C775" s="1" t="n">
        <v>45755</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48069-2023</t>
        </is>
      </c>
      <c r="B776" s="1" t="n">
        <v>45204</v>
      </c>
      <c r="C776" s="1" t="n">
        <v>45755</v>
      </c>
      <c r="D776" t="inlineStr">
        <is>
          <t>JÄMTLANDS LÄN</t>
        </is>
      </c>
      <c r="E776" t="inlineStr">
        <is>
          <t>BERG</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48164-2023</t>
        </is>
      </c>
      <c r="B777" s="1" t="n">
        <v>45205</v>
      </c>
      <c r="C777" s="1" t="n">
        <v>45755</v>
      </c>
      <c r="D777" t="inlineStr">
        <is>
          <t>JÄMTLANDS LÄN</t>
        </is>
      </c>
      <c r="E777" t="inlineStr">
        <is>
          <t>BERG</t>
        </is>
      </c>
      <c r="G777" t="n">
        <v>5.9</v>
      </c>
      <c r="H777" t="n">
        <v>0</v>
      </c>
      <c r="I777" t="n">
        <v>0</v>
      </c>
      <c r="J777" t="n">
        <v>0</v>
      </c>
      <c r="K777" t="n">
        <v>0</v>
      </c>
      <c r="L777" t="n">
        <v>0</v>
      </c>
      <c r="M777" t="n">
        <v>0</v>
      </c>
      <c r="N777" t="n">
        <v>0</v>
      </c>
      <c r="O777" t="n">
        <v>0</v>
      </c>
      <c r="P777" t="n">
        <v>0</v>
      </c>
      <c r="Q777" t="n">
        <v>0</v>
      </c>
      <c r="R777" s="2" t="inlineStr"/>
    </row>
    <row r="778" ht="15" customHeight="1">
      <c r="A778" t="inlineStr">
        <is>
          <t>A 48428-2023</t>
        </is>
      </c>
      <c r="B778" s="1" t="n">
        <v>45205</v>
      </c>
      <c r="C778" s="1" t="n">
        <v>45755</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49555-2023</t>
        </is>
      </c>
      <c r="B779" s="1" t="n">
        <v>45205</v>
      </c>
      <c r="C779" s="1" t="n">
        <v>45755</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48478-2023</t>
        </is>
      </c>
      <c r="B780" s="1" t="n">
        <v>45206</v>
      </c>
      <c r="C780" s="1" t="n">
        <v>45755</v>
      </c>
      <c r="D780" t="inlineStr">
        <is>
          <t>JÄMTLANDS LÄN</t>
        </is>
      </c>
      <c r="E780" t="inlineStr">
        <is>
          <t>BERG</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48533-2023</t>
        </is>
      </c>
      <c r="B781" s="1" t="n">
        <v>45208</v>
      </c>
      <c r="C781" s="1" t="n">
        <v>45755</v>
      </c>
      <c r="D781" t="inlineStr">
        <is>
          <t>JÄMTLANDS LÄN</t>
        </is>
      </c>
      <c r="E781" t="inlineStr">
        <is>
          <t>BERG</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48550-2023</t>
        </is>
      </c>
      <c r="B782" s="1" t="n">
        <v>45208</v>
      </c>
      <c r="C782" s="1" t="n">
        <v>45755</v>
      </c>
      <c r="D782" t="inlineStr">
        <is>
          <t>JÄMTLANDS LÄN</t>
        </is>
      </c>
      <c r="E782" t="inlineStr">
        <is>
          <t>BERG</t>
        </is>
      </c>
      <c r="G782" t="n">
        <v>2.2</v>
      </c>
      <c r="H782" t="n">
        <v>0</v>
      </c>
      <c r="I782" t="n">
        <v>0</v>
      </c>
      <c r="J782" t="n">
        <v>0</v>
      </c>
      <c r="K782" t="n">
        <v>0</v>
      </c>
      <c r="L782" t="n">
        <v>0</v>
      </c>
      <c r="M782" t="n">
        <v>0</v>
      </c>
      <c r="N782" t="n">
        <v>0</v>
      </c>
      <c r="O782" t="n">
        <v>0</v>
      </c>
      <c r="P782" t="n">
        <v>0</v>
      </c>
      <c r="Q782" t="n">
        <v>0</v>
      </c>
      <c r="R782" s="2" t="inlineStr"/>
    </row>
    <row r="783" ht="15" customHeight="1">
      <c r="A783" t="inlineStr">
        <is>
          <t>A 48764-2023</t>
        </is>
      </c>
      <c r="B783" s="1" t="n">
        <v>45209</v>
      </c>
      <c r="C783" s="1" t="n">
        <v>45755</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49715-2023</t>
        </is>
      </c>
      <c r="B784" s="1" t="n">
        <v>45208</v>
      </c>
      <c r="C784" s="1" t="n">
        <v>45755</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50169-2023</t>
        </is>
      </c>
      <c r="B785" s="1" t="n">
        <v>45208</v>
      </c>
      <c r="C785" s="1" t="n">
        <v>45755</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49721-2023</t>
        </is>
      </c>
      <c r="B786" s="1" t="n">
        <v>45208</v>
      </c>
      <c r="C786" s="1" t="n">
        <v>45755</v>
      </c>
      <c r="D786" t="inlineStr">
        <is>
          <t>JÄMTLANDS LÄN</t>
        </is>
      </c>
      <c r="E786" t="inlineStr">
        <is>
          <t>BERG</t>
        </is>
      </c>
      <c r="G786" t="n">
        <v>25.4</v>
      </c>
      <c r="H786" t="n">
        <v>0</v>
      </c>
      <c r="I786" t="n">
        <v>0</v>
      </c>
      <c r="J786" t="n">
        <v>0</v>
      </c>
      <c r="K786" t="n">
        <v>0</v>
      </c>
      <c r="L786" t="n">
        <v>0</v>
      </c>
      <c r="M786" t="n">
        <v>0</v>
      </c>
      <c r="N786" t="n">
        <v>0</v>
      </c>
      <c r="O786" t="n">
        <v>0</v>
      </c>
      <c r="P786" t="n">
        <v>0</v>
      </c>
      <c r="Q786" t="n">
        <v>0</v>
      </c>
      <c r="R786" s="2" t="inlineStr"/>
    </row>
    <row r="787" ht="15" customHeight="1">
      <c r="A787" t="inlineStr">
        <is>
          <t>A 50172-2023</t>
        </is>
      </c>
      <c r="B787" s="1" t="n">
        <v>45208</v>
      </c>
      <c r="C787" s="1" t="n">
        <v>45755</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48868-2023</t>
        </is>
      </c>
      <c r="B788" s="1" t="n">
        <v>45209</v>
      </c>
      <c r="C788" s="1" t="n">
        <v>45755</v>
      </c>
      <c r="D788" t="inlineStr">
        <is>
          <t>JÄMTLANDS LÄN</t>
        </is>
      </c>
      <c r="E788" t="inlineStr">
        <is>
          <t>BERG</t>
        </is>
      </c>
      <c r="F788" t="inlineStr">
        <is>
          <t>Naturvårdsverket</t>
        </is>
      </c>
      <c r="G788" t="n">
        <v>6.4</v>
      </c>
      <c r="H788" t="n">
        <v>0</v>
      </c>
      <c r="I788" t="n">
        <v>0</v>
      </c>
      <c r="J788" t="n">
        <v>0</v>
      </c>
      <c r="K788" t="n">
        <v>0</v>
      </c>
      <c r="L788" t="n">
        <v>0</v>
      </c>
      <c r="M788" t="n">
        <v>0</v>
      </c>
      <c r="N788" t="n">
        <v>0</v>
      </c>
      <c r="O788" t="n">
        <v>0</v>
      </c>
      <c r="P788" t="n">
        <v>0</v>
      </c>
      <c r="Q788" t="n">
        <v>0</v>
      </c>
      <c r="R788" s="2" t="inlineStr"/>
      <c r="U788">
        <f>HYPERLINK("https://klasma.github.io/Logging_2326/knärot/A 48868-2023 karta knärot.png", "A 48868-2023")</f>
        <v/>
      </c>
      <c r="V788">
        <f>HYPERLINK("https://klasma.github.io/Logging_2326/klagomål/A 48868-2023 FSC-klagomål.docx", "A 48868-2023")</f>
        <v/>
      </c>
      <c r="W788">
        <f>HYPERLINK("https://klasma.github.io/Logging_2326/klagomålsmail/A 48868-2023 FSC-klagomål mail.docx", "A 48868-2023")</f>
        <v/>
      </c>
      <c r="X788">
        <f>HYPERLINK("https://klasma.github.io/Logging_2326/tillsyn/A 48868-2023 tillsynsbegäran.docx", "A 48868-2023")</f>
        <v/>
      </c>
      <c r="Y788">
        <f>HYPERLINK("https://klasma.github.io/Logging_2326/tillsynsmail/A 48868-2023 tillsynsbegäran mail.docx", "A 48868-2023")</f>
        <v/>
      </c>
    </row>
    <row r="789" ht="15" customHeight="1">
      <c r="A789" t="inlineStr">
        <is>
          <t>A 53444-2023</t>
        </is>
      </c>
      <c r="B789" s="1" t="n">
        <v>45210</v>
      </c>
      <c r="C789" s="1" t="n">
        <v>45755</v>
      </c>
      <c r="D789" t="inlineStr">
        <is>
          <t>JÄMTLANDS LÄN</t>
        </is>
      </c>
      <c r="E789" t="inlineStr">
        <is>
          <t>BERG</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50632-2023</t>
        </is>
      </c>
      <c r="B790" s="1" t="n">
        <v>45210</v>
      </c>
      <c r="C790" s="1" t="n">
        <v>45755</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53442-2023</t>
        </is>
      </c>
      <c r="B791" s="1" t="n">
        <v>45210</v>
      </c>
      <c r="C791" s="1" t="n">
        <v>45755</v>
      </c>
      <c r="D791" t="inlineStr">
        <is>
          <t>JÄMTLANDS LÄN</t>
        </is>
      </c>
      <c r="E791" t="inlineStr">
        <is>
          <t>BERG</t>
        </is>
      </c>
      <c r="F791" t="inlineStr">
        <is>
          <t>Övriga statliga verk och myndigheter</t>
        </is>
      </c>
      <c r="G791" t="n">
        <v>0.9</v>
      </c>
      <c r="H791" t="n">
        <v>0</v>
      </c>
      <c r="I791" t="n">
        <v>0</v>
      </c>
      <c r="J791" t="n">
        <v>0</v>
      </c>
      <c r="K791" t="n">
        <v>0</v>
      </c>
      <c r="L791" t="n">
        <v>0</v>
      </c>
      <c r="M791" t="n">
        <v>0</v>
      </c>
      <c r="N791" t="n">
        <v>0</v>
      </c>
      <c r="O791" t="n">
        <v>0</v>
      </c>
      <c r="P791" t="n">
        <v>0</v>
      </c>
      <c r="Q791" t="n">
        <v>0</v>
      </c>
      <c r="R791" s="2" t="inlineStr"/>
    </row>
    <row r="792" ht="15" customHeight="1">
      <c r="A792" t="inlineStr">
        <is>
          <t>A 50778-2023</t>
        </is>
      </c>
      <c r="B792" s="1" t="n">
        <v>45210</v>
      </c>
      <c r="C792" s="1" t="n">
        <v>45755</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53441-2023</t>
        </is>
      </c>
      <c r="B793" s="1" t="n">
        <v>45210</v>
      </c>
      <c r="C793" s="1" t="n">
        <v>45755</v>
      </c>
      <c r="D793" t="inlineStr">
        <is>
          <t>JÄMTLANDS LÄN</t>
        </is>
      </c>
      <c r="E793" t="inlineStr">
        <is>
          <t>BERG</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53445-2023</t>
        </is>
      </c>
      <c r="B794" s="1" t="n">
        <v>45210</v>
      </c>
      <c r="C794" s="1" t="n">
        <v>45755</v>
      </c>
      <c r="D794" t="inlineStr">
        <is>
          <t>JÄMTLANDS LÄN</t>
        </is>
      </c>
      <c r="E794" t="inlineStr">
        <is>
          <t>BERG</t>
        </is>
      </c>
      <c r="F794" t="inlineStr">
        <is>
          <t>Övriga statliga verk och myndigheter</t>
        </is>
      </c>
      <c r="G794" t="n">
        <v>3</v>
      </c>
      <c r="H794" t="n">
        <v>0</v>
      </c>
      <c r="I794" t="n">
        <v>0</v>
      </c>
      <c r="J794" t="n">
        <v>0</v>
      </c>
      <c r="K794" t="n">
        <v>0</v>
      </c>
      <c r="L794" t="n">
        <v>0</v>
      </c>
      <c r="M794" t="n">
        <v>0</v>
      </c>
      <c r="N794" t="n">
        <v>0</v>
      </c>
      <c r="O794" t="n">
        <v>0</v>
      </c>
      <c r="P794" t="n">
        <v>0</v>
      </c>
      <c r="Q794" t="n">
        <v>0</v>
      </c>
      <c r="R794" s="2" t="inlineStr"/>
    </row>
    <row r="795" ht="15" customHeight="1">
      <c r="A795" t="inlineStr">
        <is>
          <t>A 50773-2023</t>
        </is>
      </c>
      <c r="B795" s="1" t="n">
        <v>45210</v>
      </c>
      <c r="C795" s="1" t="n">
        <v>45755</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52154-2023</t>
        </is>
      </c>
      <c r="B796" s="1" t="n">
        <v>45212</v>
      </c>
      <c r="C796" s="1" t="n">
        <v>45755</v>
      </c>
      <c r="D796" t="inlineStr">
        <is>
          <t>JÄMTLANDS LÄN</t>
        </is>
      </c>
      <c r="E796" t="inlineStr">
        <is>
          <t>BERG</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51548-2023</t>
        </is>
      </c>
      <c r="B797" s="1" t="n">
        <v>45215</v>
      </c>
      <c r="C797" s="1" t="n">
        <v>45755</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50572-2023</t>
        </is>
      </c>
      <c r="B798" s="1" t="n">
        <v>45217</v>
      </c>
      <c r="C798" s="1" t="n">
        <v>45755</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50591-2023</t>
        </is>
      </c>
      <c r="B799" s="1" t="n">
        <v>45217</v>
      </c>
      <c r="C799" s="1" t="n">
        <v>45755</v>
      </c>
      <c r="D799" t="inlineStr">
        <is>
          <t>JÄMTLANDS LÄN</t>
        </is>
      </c>
      <c r="E799" t="inlineStr">
        <is>
          <t>BERG</t>
        </is>
      </c>
      <c r="G799" t="n">
        <v>4.8</v>
      </c>
      <c r="H799" t="n">
        <v>0</v>
      </c>
      <c r="I799" t="n">
        <v>0</v>
      </c>
      <c r="J799" t="n">
        <v>0</v>
      </c>
      <c r="K799" t="n">
        <v>0</v>
      </c>
      <c r="L799" t="n">
        <v>0</v>
      </c>
      <c r="M799" t="n">
        <v>0</v>
      </c>
      <c r="N799" t="n">
        <v>0</v>
      </c>
      <c r="O799" t="n">
        <v>0</v>
      </c>
      <c r="P799" t="n">
        <v>0</v>
      </c>
      <c r="Q799" t="n">
        <v>0</v>
      </c>
      <c r="R799" s="2" t="inlineStr"/>
    </row>
    <row r="800" ht="15" customHeight="1">
      <c r="A800" t="inlineStr">
        <is>
          <t>A 50706-2023</t>
        </is>
      </c>
      <c r="B800" s="1" t="n">
        <v>45217</v>
      </c>
      <c r="C800" s="1" t="n">
        <v>45755</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50612-2023</t>
        </is>
      </c>
      <c r="B801" s="1" t="n">
        <v>45217</v>
      </c>
      <c r="C801" s="1" t="n">
        <v>45755</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50737-2023</t>
        </is>
      </c>
      <c r="B802" s="1" t="n">
        <v>45217</v>
      </c>
      <c r="C802" s="1" t="n">
        <v>45755</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51201-2023</t>
        </is>
      </c>
      <c r="B803" s="1" t="n">
        <v>45219</v>
      </c>
      <c r="C803" s="1" t="n">
        <v>45755</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52778-2023</t>
        </is>
      </c>
      <c r="B804" s="1" t="n">
        <v>45219</v>
      </c>
      <c r="C804" s="1" t="n">
        <v>45755</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52774-2023</t>
        </is>
      </c>
      <c r="B805" s="1" t="n">
        <v>45219</v>
      </c>
      <c r="C805" s="1" t="n">
        <v>45755</v>
      </c>
      <c r="D805" t="inlineStr">
        <is>
          <t>JÄMTLANDS LÄN</t>
        </is>
      </c>
      <c r="E805" t="inlineStr">
        <is>
          <t>BERG</t>
        </is>
      </c>
      <c r="G805" t="n">
        <v>1.1</v>
      </c>
      <c r="H805" t="n">
        <v>0</v>
      </c>
      <c r="I805" t="n">
        <v>0</v>
      </c>
      <c r="J805" t="n">
        <v>0</v>
      </c>
      <c r="K805" t="n">
        <v>0</v>
      </c>
      <c r="L805" t="n">
        <v>0</v>
      </c>
      <c r="M805" t="n">
        <v>0</v>
      </c>
      <c r="N805" t="n">
        <v>0</v>
      </c>
      <c r="O805" t="n">
        <v>0</v>
      </c>
      <c r="P805" t="n">
        <v>0</v>
      </c>
      <c r="Q805" t="n">
        <v>0</v>
      </c>
      <c r="R805" s="2" t="inlineStr"/>
    </row>
    <row r="806" ht="15" customHeight="1">
      <c r="A806" t="inlineStr">
        <is>
          <t>A 51462-2023</t>
        </is>
      </c>
      <c r="B806" s="1" t="n">
        <v>45221</v>
      </c>
      <c r="C806" s="1" t="n">
        <v>45755</v>
      </c>
      <c r="D806" t="inlineStr">
        <is>
          <t>JÄMTLANDS LÄN</t>
        </is>
      </c>
      <c r="E806" t="inlineStr">
        <is>
          <t>BERG</t>
        </is>
      </c>
      <c r="F806" t="inlineStr">
        <is>
          <t>Naturvårdsverket</t>
        </is>
      </c>
      <c r="G806" t="n">
        <v>5.4</v>
      </c>
      <c r="H806" t="n">
        <v>0</v>
      </c>
      <c r="I806" t="n">
        <v>0</v>
      </c>
      <c r="J806" t="n">
        <v>0</v>
      </c>
      <c r="K806" t="n">
        <v>0</v>
      </c>
      <c r="L806" t="n">
        <v>0</v>
      </c>
      <c r="M806" t="n">
        <v>0</v>
      </c>
      <c r="N806" t="n">
        <v>0</v>
      </c>
      <c r="O806" t="n">
        <v>0</v>
      </c>
      <c r="P806" t="n">
        <v>0</v>
      </c>
      <c r="Q806" t="n">
        <v>0</v>
      </c>
      <c r="R806" s="2" t="inlineStr"/>
    </row>
    <row r="807" ht="15" customHeight="1">
      <c r="A807" t="inlineStr">
        <is>
          <t>A 51461-2023</t>
        </is>
      </c>
      <c r="B807" s="1" t="n">
        <v>45221</v>
      </c>
      <c r="C807" s="1" t="n">
        <v>45755</v>
      </c>
      <c r="D807" t="inlineStr">
        <is>
          <t>JÄMTLANDS LÄN</t>
        </is>
      </c>
      <c r="E807" t="inlineStr">
        <is>
          <t>BERG</t>
        </is>
      </c>
      <c r="F807" t="inlineStr">
        <is>
          <t>Naturvårdsverket</t>
        </is>
      </c>
      <c r="G807" t="n">
        <v>0.9</v>
      </c>
      <c r="H807" t="n">
        <v>0</v>
      </c>
      <c r="I807" t="n">
        <v>0</v>
      </c>
      <c r="J807" t="n">
        <v>0</v>
      </c>
      <c r="K807" t="n">
        <v>0</v>
      </c>
      <c r="L807" t="n">
        <v>0</v>
      </c>
      <c r="M807" t="n">
        <v>0</v>
      </c>
      <c r="N807" t="n">
        <v>0</v>
      </c>
      <c r="O807" t="n">
        <v>0</v>
      </c>
      <c r="P807" t="n">
        <v>0</v>
      </c>
      <c r="Q807" t="n">
        <v>0</v>
      </c>
      <c r="R807" s="2" t="inlineStr"/>
    </row>
    <row r="808" ht="15" customHeight="1">
      <c r="A808" t="inlineStr">
        <is>
          <t>A 51813-2023</t>
        </is>
      </c>
      <c r="B808" s="1" t="n">
        <v>45222</v>
      </c>
      <c r="C808" s="1" t="n">
        <v>45755</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51815-2023</t>
        </is>
      </c>
      <c r="B809" s="1" t="n">
        <v>45222</v>
      </c>
      <c r="C809" s="1" t="n">
        <v>45755</v>
      </c>
      <c r="D809" t="inlineStr">
        <is>
          <t>JÄMTLANDS LÄN</t>
        </is>
      </c>
      <c r="E809" t="inlineStr">
        <is>
          <t>BERG</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53326-2023</t>
        </is>
      </c>
      <c r="B810" s="1" t="n">
        <v>45222</v>
      </c>
      <c r="C810" s="1" t="n">
        <v>45755</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51814-2023</t>
        </is>
      </c>
      <c r="B811" s="1" t="n">
        <v>45222</v>
      </c>
      <c r="C811" s="1" t="n">
        <v>45755</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51988-2023</t>
        </is>
      </c>
      <c r="B812" s="1" t="n">
        <v>45223</v>
      </c>
      <c r="C812" s="1" t="n">
        <v>45755</v>
      </c>
      <c r="D812" t="inlineStr">
        <is>
          <t>JÄMTLANDS LÄN</t>
        </is>
      </c>
      <c r="E812" t="inlineStr">
        <is>
          <t>BERG</t>
        </is>
      </c>
      <c r="F812" t="inlineStr">
        <is>
          <t>Kyrkan</t>
        </is>
      </c>
      <c r="G812" t="n">
        <v>0.4</v>
      </c>
      <c r="H812" t="n">
        <v>0</v>
      </c>
      <c r="I812" t="n">
        <v>0</v>
      </c>
      <c r="J812" t="n">
        <v>0</v>
      </c>
      <c r="K812" t="n">
        <v>0</v>
      </c>
      <c r="L812" t="n">
        <v>0</v>
      </c>
      <c r="M812" t="n">
        <v>0</v>
      </c>
      <c r="N812" t="n">
        <v>0</v>
      </c>
      <c r="O812" t="n">
        <v>0</v>
      </c>
      <c r="P812" t="n">
        <v>0</v>
      </c>
      <c r="Q812" t="n">
        <v>0</v>
      </c>
      <c r="R812" s="2" t="inlineStr"/>
    </row>
    <row r="813" ht="15" customHeight="1">
      <c r="A813" t="inlineStr">
        <is>
          <t>A 52318-2023</t>
        </is>
      </c>
      <c r="B813" s="1" t="n">
        <v>45224</v>
      </c>
      <c r="C813" s="1" t="n">
        <v>45755</v>
      </c>
      <c r="D813" t="inlineStr">
        <is>
          <t>JÄMTLANDS LÄN</t>
        </is>
      </c>
      <c r="E813" t="inlineStr">
        <is>
          <t>BERG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52311-2023</t>
        </is>
      </c>
      <c r="B814" s="1" t="n">
        <v>45224</v>
      </c>
      <c r="C814" s="1" t="n">
        <v>45755</v>
      </c>
      <c r="D814" t="inlineStr">
        <is>
          <t>JÄMTLANDS LÄN</t>
        </is>
      </c>
      <c r="E814" t="inlineStr">
        <is>
          <t>BERG</t>
        </is>
      </c>
      <c r="F814" t="inlineStr">
        <is>
          <t>Kyrkan</t>
        </is>
      </c>
      <c r="G814" t="n">
        <v>3.5</v>
      </c>
      <c r="H814" t="n">
        <v>0</v>
      </c>
      <c r="I814" t="n">
        <v>0</v>
      </c>
      <c r="J814" t="n">
        <v>0</v>
      </c>
      <c r="K814" t="n">
        <v>0</v>
      </c>
      <c r="L814" t="n">
        <v>0</v>
      </c>
      <c r="M814" t="n">
        <v>0</v>
      </c>
      <c r="N814" t="n">
        <v>0</v>
      </c>
      <c r="O814" t="n">
        <v>0</v>
      </c>
      <c r="P814" t="n">
        <v>0</v>
      </c>
      <c r="Q814" t="n">
        <v>0</v>
      </c>
      <c r="R814" s="2" t="inlineStr"/>
    </row>
    <row r="815" ht="15" customHeight="1">
      <c r="A815" t="inlineStr">
        <is>
          <t>A 53834-2023</t>
        </is>
      </c>
      <c r="B815" s="1" t="n">
        <v>45224</v>
      </c>
      <c r="C815" s="1" t="n">
        <v>45755</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52770-2023</t>
        </is>
      </c>
      <c r="B816" s="1" t="n">
        <v>45226</v>
      </c>
      <c r="C816" s="1" t="n">
        <v>45755</v>
      </c>
      <c r="D816" t="inlineStr">
        <is>
          <t>JÄMTLANDS LÄN</t>
        </is>
      </c>
      <c r="E816" t="inlineStr">
        <is>
          <t>BERG</t>
        </is>
      </c>
      <c r="G816" t="n">
        <v>12.8</v>
      </c>
      <c r="H816" t="n">
        <v>0</v>
      </c>
      <c r="I816" t="n">
        <v>0</v>
      </c>
      <c r="J816" t="n">
        <v>0</v>
      </c>
      <c r="K816" t="n">
        <v>0</v>
      </c>
      <c r="L816" t="n">
        <v>0</v>
      </c>
      <c r="M816" t="n">
        <v>0</v>
      </c>
      <c r="N816" t="n">
        <v>0</v>
      </c>
      <c r="O816" t="n">
        <v>0</v>
      </c>
      <c r="P816" t="n">
        <v>0</v>
      </c>
      <c r="Q816" t="n">
        <v>0</v>
      </c>
      <c r="R816" s="2" t="inlineStr"/>
    </row>
    <row r="817" ht="15" customHeight="1">
      <c r="A817" t="inlineStr">
        <is>
          <t>A 53151-2023</t>
        </is>
      </c>
      <c r="B817" s="1" t="n">
        <v>45229</v>
      </c>
      <c r="C817" s="1" t="n">
        <v>45755</v>
      </c>
      <c r="D817" t="inlineStr">
        <is>
          <t>JÄMTLANDS LÄN</t>
        </is>
      </c>
      <c r="E817" t="inlineStr">
        <is>
          <t>BERG</t>
        </is>
      </c>
      <c r="G817" t="n">
        <v>14.1</v>
      </c>
      <c r="H817" t="n">
        <v>0</v>
      </c>
      <c r="I817" t="n">
        <v>0</v>
      </c>
      <c r="J817" t="n">
        <v>0</v>
      </c>
      <c r="K817" t="n">
        <v>0</v>
      </c>
      <c r="L817" t="n">
        <v>0</v>
      </c>
      <c r="M817" t="n">
        <v>0</v>
      </c>
      <c r="N817" t="n">
        <v>0</v>
      </c>
      <c r="O817" t="n">
        <v>0</v>
      </c>
      <c r="P817" t="n">
        <v>0</v>
      </c>
      <c r="Q817" t="n">
        <v>0</v>
      </c>
      <c r="R817" s="2" t="inlineStr"/>
    </row>
    <row r="818" ht="15" customHeight="1">
      <c r="A818" t="inlineStr">
        <is>
          <t>A 54880-2023</t>
        </is>
      </c>
      <c r="B818" s="1" t="n">
        <v>45229</v>
      </c>
      <c r="C818" s="1" t="n">
        <v>45755</v>
      </c>
      <c r="D818" t="inlineStr">
        <is>
          <t>JÄMTLANDS LÄN</t>
        </is>
      </c>
      <c r="E818" t="inlineStr">
        <is>
          <t>BERG</t>
        </is>
      </c>
      <c r="G818" t="n">
        <v>16.8</v>
      </c>
      <c r="H818" t="n">
        <v>0</v>
      </c>
      <c r="I818" t="n">
        <v>0</v>
      </c>
      <c r="J818" t="n">
        <v>0</v>
      </c>
      <c r="K818" t="n">
        <v>0</v>
      </c>
      <c r="L818" t="n">
        <v>0</v>
      </c>
      <c r="M818" t="n">
        <v>0</v>
      </c>
      <c r="N818" t="n">
        <v>0</v>
      </c>
      <c r="O818" t="n">
        <v>0</v>
      </c>
      <c r="P818" t="n">
        <v>0</v>
      </c>
      <c r="Q818" t="n">
        <v>0</v>
      </c>
      <c r="R818" s="2" t="inlineStr"/>
    </row>
    <row r="819" ht="15" customHeight="1">
      <c r="A819" t="inlineStr">
        <is>
          <t>A 53688-2023</t>
        </is>
      </c>
      <c r="B819" s="1" t="n">
        <v>45230</v>
      </c>
      <c r="C819" s="1" t="n">
        <v>45755</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53885-2023</t>
        </is>
      </c>
      <c r="B820" s="1" t="n">
        <v>45231</v>
      </c>
      <c r="C820" s="1" t="n">
        <v>45755</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53894-2023</t>
        </is>
      </c>
      <c r="B821" s="1" t="n">
        <v>45231</v>
      </c>
      <c r="C821" s="1" t="n">
        <v>45755</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54071-2023</t>
        </is>
      </c>
      <c r="B822" s="1" t="n">
        <v>45231</v>
      </c>
      <c r="C822" s="1" t="n">
        <v>45755</v>
      </c>
      <c r="D822" t="inlineStr">
        <is>
          <t>JÄMTLANDS LÄN</t>
        </is>
      </c>
      <c r="E822" t="inlineStr">
        <is>
          <t>BERG</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53883-2023</t>
        </is>
      </c>
      <c r="B823" s="1" t="n">
        <v>45231</v>
      </c>
      <c r="C823" s="1" t="n">
        <v>45755</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54069-2023</t>
        </is>
      </c>
      <c r="B824" s="1" t="n">
        <v>45231</v>
      </c>
      <c r="C824" s="1" t="n">
        <v>45755</v>
      </c>
      <c r="D824" t="inlineStr">
        <is>
          <t>JÄMTLANDS LÄN</t>
        </is>
      </c>
      <c r="E824" t="inlineStr">
        <is>
          <t>BERG</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54343-2023</t>
        </is>
      </c>
      <c r="B825" s="1" t="n">
        <v>45233</v>
      </c>
      <c r="C825" s="1" t="n">
        <v>45755</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54333-2023</t>
        </is>
      </c>
      <c r="B826" s="1" t="n">
        <v>45232</v>
      </c>
      <c r="C826" s="1" t="n">
        <v>45755</v>
      </c>
      <c r="D826" t="inlineStr">
        <is>
          <t>JÄMTLANDS LÄN</t>
        </is>
      </c>
      <c r="E826" t="inlineStr">
        <is>
          <t>BERG</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54344-2023</t>
        </is>
      </c>
      <c r="B827" s="1" t="n">
        <v>45233</v>
      </c>
      <c r="C827" s="1" t="n">
        <v>45755</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54415-2023</t>
        </is>
      </c>
      <c r="B828" s="1" t="n">
        <v>45233</v>
      </c>
      <c r="C828" s="1" t="n">
        <v>45755</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54412-2023</t>
        </is>
      </c>
      <c r="B829" s="1" t="n">
        <v>45233</v>
      </c>
      <c r="C829" s="1" t="n">
        <v>45755</v>
      </c>
      <c r="D829" t="inlineStr">
        <is>
          <t>JÄMTLANDS LÄN</t>
        </is>
      </c>
      <c r="E829" t="inlineStr">
        <is>
          <t>BERG</t>
        </is>
      </c>
      <c r="G829" t="n">
        <v>10.7</v>
      </c>
      <c r="H829" t="n">
        <v>0</v>
      </c>
      <c r="I829" t="n">
        <v>0</v>
      </c>
      <c r="J829" t="n">
        <v>0</v>
      </c>
      <c r="K829" t="n">
        <v>0</v>
      </c>
      <c r="L829" t="n">
        <v>0</v>
      </c>
      <c r="M829" t="n">
        <v>0</v>
      </c>
      <c r="N829" t="n">
        <v>0</v>
      </c>
      <c r="O829" t="n">
        <v>0</v>
      </c>
      <c r="P829" t="n">
        <v>0</v>
      </c>
      <c r="Q829" t="n">
        <v>0</v>
      </c>
      <c r="R829" s="2" t="inlineStr"/>
    </row>
    <row r="830" ht="15" customHeight="1">
      <c r="A830" t="inlineStr">
        <is>
          <t>A 54751-2023</t>
        </is>
      </c>
      <c r="B830" s="1" t="n">
        <v>45236</v>
      </c>
      <c r="C830" s="1" t="n">
        <v>45755</v>
      </c>
      <c r="D830" t="inlineStr">
        <is>
          <t>JÄMTLANDS LÄN</t>
        </is>
      </c>
      <c r="E830" t="inlineStr">
        <is>
          <t>BERG</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54743-2023</t>
        </is>
      </c>
      <c r="B831" s="1" t="n">
        <v>45236</v>
      </c>
      <c r="C831" s="1" t="n">
        <v>45755</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54863-2023</t>
        </is>
      </c>
      <c r="B832" s="1" t="n">
        <v>45236</v>
      </c>
      <c r="C832" s="1" t="n">
        <v>45755</v>
      </c>
      <c r="D832" t="inlineStr">
        <is>
          <t>JÄMTLANDS LÄN</t>
        </is>
      </c>
      <c r="E832" t="inlineStr">
        <is>
          <t>BERG</t>
        </is>
      </c>
      <c r="G832" t="n">
        <v>3.3</v>
      </c>
      <c r="H832" t="n">
        <v>0</v>
      </c>
      <c r="I832" t="n">
        <v>0</v>
      </c>
      <c r="J832" t="n">
        <v>0</v>
      </c>
      <c r="K832" t="n">
        <v>0</v>
      </c>
      <c r="L832" t="n">
        <v>0</v>
      </c>
      <c r="M832" t="n">
        <v>0</v>
      </c>
      <c r="N832" t="n">
        <v>0</v>
      </c>
      <c r="O832" t="n">
        <v>0</v>
      </c>
      <c r="P832" t="n">
        <v>0</v>
      </c>
      <c r="Q832" t="n">
        <v>0</v>
      </c>
      <c r="R832" s="2" t="inlineStr"/>
    </row>
    <row r="833" ht="15" customHeight="1">
      <c r="A833" t="inlineStr">
        <is>
          <t>A 54991-2023</t>
        </is>
      </c>
      <c r="B833" s="1" t="n">
        <v>45237</v>
      </c>
      <c r="C833" s="1" t="n">
        <v>45755</v>
      </c>
      <c r="D833" t="inlineStr">
        <is>
          <t>JÄMTLANDS LÄN</t>
        </is>
      </c>
      <c r="E833" t="inlineStr">
        <is>
          <t>BERG</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54995-2023</t>
        </is>
      </c>
      <c r="B834" s="1" t="n">
        <v>45237</v>
      </c>
      <c r="C834" s="1" t="n">
        <v>45755</v>
      </c>
      <c r="D834" t="inlineStr">
        <is>
          <t>JÄMTLANDS LÄN</t>
        </is>
      </c>
      <c r="E834" t="inlineStr">
        <is>
          <t>BERG</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54834-2023</t>
        </is>
      </c>
      <c r="B835" s="1" t="n">
        <v>45236</v>
      </c>
      <c r="C835" s="1" t="n">
        <v>45755</v>
      </c>
      <c r="D835" t="inlineStr">
        <is>
          <t>JÄMTLANDS LÄN</t>
        </is>
      </c>
      <c r="E835" t="inlineStr">
        <is>
          <t>BERG</t>
        </is>
      </c>
      <c r="F835" t="inlineStr">
        <is>
          <t>Övriga Aktiebolag</t>
        </is>
      </c>
      <c r="G835" t="n">
        <v>2.5</v>
      </c>
      <c r="H835" t="n">
        <v>0</v>
      </c>
      <c r="I835" t="n">
        <v>0</v>
      </c>
      <c r="J835" t="n">
        <v>0</v>
      </c>
      <c r="K835" t="n">
        <v>0</v>
      </c>
      <c r="L835" t="n">
        <v>0</v>
      </c>
      <c r="M835" t="n">
        <v>0</v>
      </c>
      <c r="N835" t="n">
        <v>0</v>
      </c>
      <c r="O835" t="n">
        <v>0</v>
      </c>
      <c r="P835" t="n">
        <v>0</v>
      </c>
      <c r="Q835" t="n">
        <v>0</v>
      </c>
      <c r="R835" s="2" t="inlineStr"/>
    </row>
    <row r="836" ht="15" customHeight="1">
      <c r="A836" t="inlineStr">
        <is>
          <t>A 54992-2023</t>
        </is>
      </c>
      <c r="B836" s="1" t="n">
        <v>45237</v>
      </c>
      <c r="C836" s="1" t="n">
        <v>45755</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54994-2023</t>
        </is>
      </c>
      <c r="B837" s="1" t="n">
        <v>45237</v>
      </c>
      <c r="C837" s="1" t="n">
        <v>45755</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54998-2023</t>
        </is>
      </c>
      <c r="B838" s="1" t="n">
        <v>45237</v>
      </c>
      <c r="C838" s="1" t="n">
        <v>45755</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54997-2023</t>
        </is>
      </c>
      <c r="B839" s="1" t="n">
        <v>45237</v>
      </c>
      <c r="C839" s="1" t="n">
        <v>45755</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55001-2023</t>
        </is>
      </c>
      <c r="B840" s="1" t="n">
        <v>45237</v>
      </c>
      <c r="C840" s="1" t="n">
        <v>45755</v>
      </c>
      <c r="D840" t="inlineStr">
        <is>
          <t>JÄMTLANDS LÄN</t>
        </is>
      </c>
      <c r="E840" t="inlineStr">
        <is>
          <t>BERG</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55333-2023</t>
        </is>
      </c>
      <c r="B841" s="1" t="n">
        <v>45238</v>
      </c>
      <c r="C841" s="1" t="n">
        <v>45755</v>
      </c>
      <c r="D841" t="inlineStr">
        <is>
          <t>JÄMTLANDS LÄN</t>
        </is>
      </c>
      <c r="E841" t="inlineStr">
        <is>
          <t>BERG</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55334-2023</t>
        </is>
      </c>
      <c r="B842" s="1" t="n">
        <v>45238</v>
      </c>
      <c r="C842" s="1" t="n">
        <v>45755</v>
      </c>
      <c r="D842" t="inlineStr">
        <is>
          <t>JÄMTLANDS LÄN</t>
        </is>
      </c>
      <c r="E842" t="inlineStr">
        <is>
          <t>BERG</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55336-2023</t>
        </is>
      </c>
      <c r="B843" s="1" t="n">
        <v>45237</v>
      </c>
      <c r="C843" s="1" t="n">
        <v>45755</v>
      </c>
      <c r="D843" t="inlineStr">
        <is>
          <t>JÄMTLANDS LÄN</t>
        </is>
      </c>
      <c r="E843" t="inlineStr">
        <is>
          <t>BERG</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55594-2023</t>
        </is>
      </c>
      <c r="B844" s="1" t="n">
        <v>45238</v>
      </c>
      <c r="C844" s="1" t="n">
        <v>45755</v>
      </c>
      <c r="D844" t="inlineStr">
        <is>
          <t>JÄMTLANDS LÄN</t>
        </is>
      </c>
      <c r="E844" t="inlineStr">
        <is>
          <t>BERG</t>
        </is>
      </c>
      <c r="G844" t="n">
        <v>9.4</v>
      </c>
      <c r="H844" t="n">
        <v>0</v>
      </c>
      <c r="I844" t="n">
        <v>0</v>
      </c>
      <c r="J844" t="n">
        <v>0</v>
      </c>
      <c r="K844" t="n">
        <v>0</v>
      </c>
      <c r="L844" t="n">
        <v>0</v>
      </c>
      <c r="M844" t="n">
        <v>0</v>
      </c>
      <c r="N844" t="n">
        <v>0</v>
      </c>
      <c r="O844" t="n">
        <v>0</v>
      </c>
      <c r="P844" t="n">
        <v>0</v>
      </c>
      <c r="Q844" t="n">
        <v>0</v>
      </c>
      <c r="R844" s="2" t="inlineStr"/>
    </row>
    <row r="845" ht="15" customHeight="1">
      <c r="A845" t="inlineStr">
        <is>
          <t>A 56570-2023</t>
        </is>
      </c>
      <c r="B845" s="1" t="n">
        <v>45238</v>
      </c>
      <c r="C845" s="1" t="n">
        <v>45755</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57438-2023</t>
        </is>
      </c>
      <c r="B846" s="1" t="n">
        <v>45240</v>
      </c>
      <c r="C846" s="1" t="n">
        <v>45755</v>
      </c>
      <c r="D846" t="inlineStr">
        <is>
          <t>JÄMTLANDS LÄN</t>
        </is>
      </c>
      <c r="E846" t="inlineStr">
        <is>
          <t>BERG</t>
        </is>
      </c>
      <c r="G846" t="n">
        <v>5</v>
      </c>
      <c r="H846" t="n">
        <v>0</v>
      </c>
      <c r="I846" t="n">
        <v>0</v>
      </c>
      <c r="J846" t="n">
        <v>0</v>
      </c>
      <c r="K846" t="n">
        <v>0</v>
      </c>
      <c r="L846" t="n">
        <v>0</v>
      </c>
      <c r="M846" t="n">
        <v>0</v>
      </c>
      <c r="N846" t="n">
        <v>0</v>
      </c>
      <c r="O846" t="n">
        <v>0</v>
      </c>
      <c r="P846" t="n">
        <v>0</v>
      </c>
      <c r="Q846" t="n">
        <v>0</v>
      </c>
      <c r="R846" s="2" t="inlineStr"/>
    </row>
    <row r="847" ht="15" customHeight="1">
      <c r="A847" t="inlineStr">
        <is>
          <t>A 56255-2023</t>
        </is>
      </c>
      <c r="B847" s="1" t="n">
        <v>45240</v>
      </c>
      <c r="C847" s="1" t="n">
        <v>45755</v>
      </c>
      <c r="D847" t="inlineStr">
        <is>
          <t>JÄMTLANDS LÄN</t>
        </is>
      </c>
      <c r="E847" t="inlineStr">
        <is>
          <t>BERG</t>
        </is>
      </c>
      <c r="G847" t="n">
        <v>5.2</v>
      </c>
      <c r="H847" t="n">
        <v>0</v>
      </c>
      <c r="I847" t="n">
        <v>0</v>
      </c>
      <c r="J847" t="n">
        <v>0</v>
      </c>
      <c r="K847" t="n">
        <v>0</v>
      </c>
      <c r="L847" t="n">
        <v>0</v>
      </c>
      <c r="M847" t="n">
        <v>0</v>
      </c>
      <c r="N847" t="n">
        <v>0</v>
      </c>
      <c r="O847" t="n">
        <v>0</v>
      </c>
      <c r="P847" t="n">
        <v>0</v>
      </c>
      <c r="Q847" t="n">
        <v>0</v>
      </c>
      <c r="R847" s="2" t="inlineStr"/>
    </row>
    <row r="848" ht="15" customHeight="1">
      <c r="A848" t="inlineStr">
        <is>
          <t>A 56141-2023</t>
        </is>
      </c>
      <c r="B848" s="1" t="n">
        <v>45240</v>
      </c>
      <c r="C848" s="1" t="n">
        <v>45755</v>
      </c>
      <c r="D848" t="inlineStr">
        <is>
          <t>JÄMTLANDS LÄN</t>
        </is>
      </c>
      <c r="E848" t="inlineStr">
        <is>
          <t>BERG</t>
        </is>
      </c>
      <c r="G848" t="n">
        <v>1.6</v>
      </c>
      <c r="H848" t="n">
        <v>0</v>
      </c>
      <c r="I848" t="n">
        <v>0</v>
      </c>
      <c r="J848" t="n">
        <v>0</v>
      </c>
      <c r="K848" t="n">
        <v>0</v>
      </c>
      <c r="L848" t="n">
        <v>0</v>
      </c>
      <c r="M848" t="n">
        <v>0</v>
      </c>
      <c r="N848" t="n">
        <v>0</v>
      </c>
      <c r="O848" t="n">
        <v>0</v>
      </c>
      <c r="P848" t="n">
        <v>0</v>
      </c>
      <c r="Q848" t="n">
        <v>0</v>
      </c>
      <c r="R848" s="2" t="inlineStr"/>
    </row>
    <row r="849" ht="15" customHeight="1">
      <c r="A849" t="inlineStr">
        <is>
          <t>A 56125-2023</t>
        </is>
      </c>
      <c r="B849" s="1" t="n">
        <v>45240</v>
      </c>
      <c r="C849" s="1" t="n">
        <v>45755</v>
      </c>
      <c r="D849" t="inlineStr">
        <is>
          <t>JÄMTLANDS LÄN</t>
        </is>
      </c>
      <c r="E849" t="inlineStr">
        <is>
          <t>BERG</t>
        </is>
      </c>
      <c r="G849" t="n">
        <v>6.4</v>
      </c>
      <c r="H849" t="n">
        <v>0</v>
      </c>
      <c r="I849" t="n">
        <v>0</v>
      </c>
      <c r="J849" t="n">
        <v>0</v>
      </c>
      <c r="K849" t="n">
        <v>0</v>
      </c>
      <c r="L849" t="n">
        <v>0</v>
      </c>
      <c r="M849" t="n">
        <v>0</v>
      </c>
      <c r="N849" t="n">
        <v>0</v>
      </c>
      <c r="O849" t="n">
        <v>0</v>
      </c>
      <c r="P849" t="n">
        <v>0</v>
      </c>
      <c r="Q849" t="n">
        <v>0</v>
      </c>
      <c r="R849" s="2" t="inlineStr"/>
    </row>
    <row r="850" ht="15" customHeight="1">
      <c r="A850" t="inlineStr">
        <is>
          <t>A 57418-2023</t>
        </is>
      </c>
      <c r="B850" s="1" t="n">
        <v>45246</v>
      </c>
      <c r="C850" s="1" t="n">
        <v>45755</v>
      </c>
      <c r="D850" t="inlineStr">
        <is>
          <t>JÄMTLANDS LÄN</t>
        </is>
      </c>
      <c r="E850" t="inlineStr">
        <is>
          <t>BERG</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57790-2023</t>
        </is>
      </c>
      <c r="B851" s="1" t="n">
        <v>45247</v>
      </c>
      <c r="C851" s="1" t="n">
        <v>45755</v>
      </c>
      <c r="D851" t="inlineStr">
        <is>
          <t>JÄMTLANDS LÄN</t>
        </is>
      </c>
      <c r="E851" t="inlineStr">
        <is>
          <t>BERG</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58459-2023</t>
        </is>
      </c>
      <c r="B852" s="1" t="n">
        <v>45251</v>
      </c>
      <c r="C852" s="1" t="n">
        <v>45755</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58458-2023</t>
        </is>
      </c>
      <c r="B853" s="1" t="n">
        <v>45251</v>
      </c>
      <c r="C853" s="1" t="n">
        <v>45755</v>
      </c>
      <c r="D853" t="inlineStr">
        <is>
          <t>JÄMTLANDS LÄN</t>
        </is>
      </c>
      <c r="E853" t="inlineStr">
        <is>
          <t>BERG</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58770-2023</t>
        </is>
      </c>
      <c r="B854" s="1" t="n">
        <v>45252</v>
      </c>
      <c r="C854" s="1" t="n">
        <v>45755</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59080-2023</t>
        </is>
      </c>
      <c r="B855" s="1" t="n">
        <v>45252</v>
      </c>
      <c r="C855" s="1" t="n">
        <v>45755</v>
      </c>
      <c r="D855" t="inlineStr">
        <is>
          <t>JÄMTLANDS LÄN</t>
        </is>
      </c>
      <c r="E855" t="inlineStr">
        <is>
          <t>BERG</t>
        </is>
      </c>
      <c r="G855" t="n">
        <v>4.3</v>
      </c>
      <c r="H855" t="n">
        <v>0</v>
      </c>
      <c r="I855" t="n">
        <v>0</v>
      </c>
      <c r="J855" t="n">
        <v>0</v>
      </c>
      <c r="K855" t="n">
        <v>0</v>
      </c>
      <c r="L855" t="n">
        <v>0</v>
      </c>
      <c r="M855" t="n">
        <v>0</v>
      </c>
      <c r="N855" t="n">
        <v>0</v>
      </c>
      <c r="O855" t="n">
        <v>0</v>
      </c>
      <c r="P855" t="n">
        <v>0</v>
      </c>
      <c r="Q855" t="n">
        <v>0</v>
      </c>
      <c r="R855" s="2" t="inlineStr"/>
    </row>
    <row r="856" ht="15" customHeight="1">
      <c r="A856" t="inlineStr">
        <is>
          <t>A 59082-2023</t>
        </is>
      </c>
      <c r="B856" s="1" t="n">
        <v>45252</v>
      </c>
      <c r="C856" s="1" t="n">
        <v>45755</v>
      </c>
      <c r="D856" t="inlineStr">
        <is>
          <t>JÄMTLANDS LÄN</t>
        </is>
      </c>
      <c r="E856" t="inlineStr">
        <is>
          <t>BERG</t>
        </is>
      </c>
      <c r="G856" t="n">
        <v>2.5</v>
      </c>
      <c r="H856" t="n">
        <v>0</v>
      </c>
      <c r="I856" t="n">
        <v>0</v>
      </c>
      <c r="J856" t="n">
        <v>0</v>
      </c>
      <c r="K856" t="n">
        <v>0</v>
      </c>
      <c r="L856" t="n">
        <v>0</v>
      </c>
      <c r="M856" t="n">
        <v>0</v>
      </c>
      <c r="N856" t="n">
        <v>0</v>
      </c>
      <c r="O856" t="n">
        <v>0</v>
      </c>
      <c r="P856" t="n">
        <v>0</v>
      </c>
      <c r="Q856" t="n">
        <v>0</v>
      </c>
      <c r="R856" s="2" t="inlineStr"/>
    </row>
    <row r="857" ht="15" customHeight="1">
      <c r="A857" t="inlineStr">
        <is>
          <t>A 59086-2023</t>
        </is>
      </c>
      <c r="B857" s="1" t="n">
        <v>45252</v>
      </c>
      <c r="C857" s="1" t="n">
        <v>45755</v>
      </c>
      <c r="D857" t="inlineStr">
        <is>
          <t>JÄMTLANDS LÄN</t>
        </is>
      </c>
      <c r="E857" t="inlineStr">
        <is>
          <t>BERG</t>
        </is>
      </c>
      <c r="G857" t="n">
        <v>14.6</v>
      </c>
      <c r="H857" t="n">
        <v>0</v>
      </c>
      <c r="I857" t="n">
        <v>0</v>
      </c>
      <c r="J857" t="n">
        <v>0</v>
      </c>
      <c r="K857" t="n">
        <v>0</v>
      </c>
      <c r="L857" t="n">
        <v>0</v>
      </c>
      <c r="M857" t="n">
        <v>0</v>
      </c>
      <c r="N857" t="n">
        <v>0</v>
      </c>
      <c r="O857" t="n">
        <v>0</v>
      </c>
      <c r="P857" t="n">
        <v>0</v>
      </c>
      <c r="Q857" t="n">
        <v>0</v>
      </c>
      <c r="R857" s="2" t="inlineStr"/>
    </row>
    <row r="858" ht="15" customHeight="1">
      <c r="A858" t="inlineStr">
        <is>
          <t>A 59085-2023</t>
        </is>
      </c>
      <c r="B858" s="1" t="n">
        <v>45252</v>
      </c>
      <c r="C858" s="1" t="n">
        <v>45755</v>
      </c>
      <c r="D858" t="inlineStr">
        <is>
          <t>JÄMTLANDS LÄN</t>
        </is>
      </c>
      <c r="E858" t="inlineStr">
        <is>
          <t>BERG</t>
        </is>
      </c>
      <c r="G858" t="n">
        <v>6.3</v>
      </c>
      <c r="H858" t="n">
        <v>0</v>
      </c>
      <c r="I858" t="n">
        <v>0</v>
      </c>
      <c r="J858" t="n">
        <v>0</v>
      </c>
      <c r="K858" t="n">
        <v>0</v>
      </c>
      <c r="L858" t="n">
        <v>0</v>
      </c>
      <c r="M858" t="n">
        <v>0</v>
      </c>
      <c r="N858" t="n">
        <v>0</v>
      </c>
      <c r="O858" t="n">
        <v>0</v>
      </c>
      <c r="P858" t="n">
        <v>0</v>
      </c>
      <c r="Q858" t="n">
        <v>0</v>
      </c>
      <c r="R858" s="2" t="inlineStr"/>
    </row>
    <row r="859" ht="15" customHeight="1">
      <c r="A859" t="inlineStr">
        <is>
          <t>A 59087-2023</t>
        </is>
      </c>
      <c r="B859" s="1" t="n">
        <v>45252</v>
      </c>
      <c r="C859" s="1" t="n">
        <v>45755</v>
      </c>
      <c r="D859" t="inlineStr">
        <is>
          <t>JÄMTLANDS LÄN</t>
        </is>
      </c>
      <c r="E859" t="inlineStr">
        <is>
          <t>BERG</t>
        </is>
      </c>
      <c r="G859" t="n">
        <v>2.3</v>
      </c>
      <c r="H859" t="n">
        <v>0</v>
      </c>
      <c r="I859" t="n">
        <v>0</v>
      </c>
      <c r="J859" t="n">
        <v>0</v>
      </c>
      <c r="K859" t="n">
        <v>0</v>
      </c>
      <c r="L859" t="n">
        <v>0</v>
      </c>
      <c r="M859" t="n">
        <v>0</v>
      </c>
      <c r="N859" t="n">
        <v>0</v>
      </c>
      <c r="O859" t="n">
        <v>0</v>
      </c>
      <c r="P859" t="n">
        <v>0</v>
      </c>
      <c r="Q859" t="n">
        <v>0</v>
      </c>
      <c r="R859" s="2" t="inlineStr"/>
    </row>
    <row r="860" ht="15" customHeight="1">
      <c r="A860" t="inlineStr">
        <is>
          <t>A 59091-2023</t>
        </is>
      </c>
      <c r="B860" s="1" t="n">
        <v>45253</v>
      </c>
      <c r="C860" s="1" t="n">
        <v>45755</v>
      </c>
      <c r="D860" t="inlineStr">
        <is>
          <t>JÄMTLANDS LÄN</t>
        </is>
      </c>
      <c r="E860" t="inlineStr">
        <is>
          <t>BERG</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59407-2023</t>
        </is>
      </c>
      <c r="B861" s="1" t="n">
        <v>45253</v>
      </c>
      <c r="C861" s="1" t="n">
        <v>45755</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59415-2023</t>
        </is>
      </c>
      <c r="B862" s="1" t="n">
        <v>45254</v>
      </c>
      <c r="C862" s="1" t="n">
        <v>45755</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59656-2023</t>
        </is>
      </c>
      <c r="B863" s="1" t="n">
        <v>45255</v>
      </c>
      <c r="C863" s="1" t="n">
        <v>45755</v>
      </c>
      <c r="D863" t="inlineStr">
        <is>
          <t>JÄMTLANDS LÄN</t>
        </is>
      </c>
      <c r="E863" t="inlineStr">
        <is>
          <t>BERG</t>
        </is>
      </c>
      <c r="G863" t="n">
        <v>6.5</v>
      </c>
      <c r="H863" t="n">
        <v>0</v>
      </c>
      <c r="I863" t="n">
        <v>0</v>
      </c>
      <c r="J863" t="n">
        <v>0</v>
      </c>
      <c r="K863" t="n">
        <v>0</v>
      </c>
      <c r="L863" t="n">
        <v>0</v>
      </c>
      <c r="M863" t="n">
        <v>0</v>
      </c>
      <c r="N863" t="n">
        <v>0</v>
      </c>
      <c r="O863" t="n">
        <v>0</v>
      </c>
      <c r="P863" t="n">
        <v>0</v>
      </c>
      <c r="Q863" t="n">
        <v>0</v>
      </c>
      <c r="R863" s="2" t="inlineStr"/>
    </row>
    <row r="864" ht="15" customHeight="1">
      <c r="A864" t="inlineStr">
        <is>
          <t>A 60065-2023</t>
        </is>
      </c>
      <c r="B864" s="1" t="n">
        <v>45258</v>
      </c>
      <c r="C864" s="1" t="n">
        <v>45755</v>
      </c>
      <c r="D864" t="inlineStr">
        <is>
          <t>JÄMTLANDS LÄN</t>
        </is>
      </c>
      <c r="E864" t="inlineStr">
        <is>
          <t>BERG</t>
        </is>
      </c>
      <c r="G864" t="n">
        <v>4.2</v>
      </c>
      <c r="H864" t="n">
        <v>0</v>
      </c>
      <c r="I864" t="n">
        <v>0</v>
      </c>
      <c r="J864" t="n">
        <v>0</v>
      </c>
      <c r="K864" t="n">
        <v>0</v>
      </c>
      <c r="L864" t="n">
        <v>0</v>
      </c>
      <c r="M864" t="n">
        <v>0</v>
      </c>
      <c r="N864" t="n">
        <v>0</v>
      </c>
      <c r="O864" t="n">
        <v>0</v>
      </c>
      <c r="P864" t="n">
        <v>0</v>
      </c>
      <c r="Q864" t="n">
        <v>0</v>
      </c>
      <c r="R864" s="2" t="inlineStr"/>
    </row>
    <row r="865" ht="15" customHeight="1">
      <c r="A865" t="inlineStr">
        <is>
          <t>A 60337-2023</t>
        </is>
      </c>
      <c r="B865" s="1" t="n">
        <v>45258</v>
      </c>
      <c r="C865" s="1" t="n">
        <v>45755</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60331-2023</t>
        </is>
      </c>
      <c r="B866" s="1" t="n">
        <v>45258</v>
      </c>
      <c r="C866" s="1" t="n">
        <v>45755</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60407-2023</t>
        </is>
      </c>
      <c r="B867" s="1" t="n">
        <v>45259</v>
      </c>
      <c r="C867" s="1" t="n">
        <v>45755</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60404-2023</t>
        </is>
      </c>
      <c r="B868" s="1" t="n">
        <v>45259</v>
      </c>
      <c r="C868" s="1" t="n">
        <v>45755</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60405-2023</t>
        </is>
      </c>
      <c r="B869" s="1" t="n">
        <v>45259</v>
      </c>
      <c r="C869" s="1" t="n">
        <v>45755</v>
      </c>
      <c r="D869" t="inlineStr">
        <is>
          <t>JÄMTLANDS LÄN</t>
        </is>
      </c>
      <c r="E869" t="inlineStr">
        <is>
          <t>BERG</t>
        </is>
      </c>
      <c r="G869" t="n">
        <v>0.5</v>
      </c>
      <c r="H869" t="n">
        <v>0</v>
      </c>
      <c r="I869" t="n">
        <v>0</v>
      </c>
      <c r="J869" t="n">
        <v>0</v>
      </c>
      <c r="K869" t="n">
        <v>0</v>
      </c>
      <c r="L869" t="n">
        <v>0</v>
      </c>
      <c r="M869" t="n">
        <v>0</v>
      </c>
      <c r="N869" t="n">
        <v>0</v>
      </c>
      <c r="O869" t="n">
        <v>0</v>
      </c>
      <c r="P869" t="n">
        <v>0</v>
      </c>
      <c r="Q869" t="n">
        <v>0</v>
      </c>
      <c r="R869" s="2" t="inlineStr"/>
    </row>
    <row r="870" ht="15" customHeight="1">
      <c r="A870" t="inlineStr">
        <is>
          <t>A 60409-2023</t>
        </is>
      </c>
      <c r="B870" s="1" t="n">
        <v>45259</v>
      </c>
      <c r="C870" s="1" t="n">
        <v>45755</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60422-2023</t>
        </is>
      </c>
      <c r="B871" s="1" t="n">
        <v>45259</v>
      </c>
      <c r="C871" s="1" t="n">
        <v>45755</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61019-2023</t>
        </is>
      </c>
      <c r="B872" s="1" t="n">
        <v>45259</v>
      </c>
      <c r="C872" s="1" t="n">
        <v>45755</v>
      </c>
      <c r="D872" t="inlineStr">
        <is>
          <t>JÄMTLANDS LÄN</t>
        </is>
      </c>
      <c r="E872" t="inlineStr">
        <is>
          <t>BERG</t>
        </is>
      </c>
      <c r="G872" t="n">
        <v>6</v>
      </c>
      <c r="H872" t="n">
        <v>0</v>
      </c>
      <c r="I872" t="n">
        <v>0</v>
      </c>
      <c r="J872" t="n">
        <v>0</v>
      </c>
      <c r="K872" t="n">
        <v>0</v>
      </c>
      <c r="L872" t="n">
        <v>0</v>
      </c>
      <c r="M872" t="n">
        <v>0</v>
      </c>
      <c r="N872" t="n">
        <v>0</v>
      </c>
      <c r="O872" t="n">
        <v>0</v>
      </c>
      <c r="P872" t="n">
        <v>0</v>
      </c>
      <c r="Q872" t="n">
        <v>0</v>
      </c>
      <c r="R872" s="2" t="inlineStr"/>
    </row>
    <row r="873" ht="15" customHeight="1">
      <c r="A873" t="inlineStr">
        <is>
          <t>A 60956-2023</t>
        </is>
      </c>
      <c r="B873" s="1" t="n">
        <v>45259</v>
      </c>
      <c r="C873" s="1" t="n">
        <v>45755</v>
      </c>
      <c r="D873" t="inlineStr">
        <is>
          <t>JÄMTLANDS LÄN</t>
        </is>
      </c>
      <c r="E873" t="inlineStr">
        <is>
          <t>BERG</t>
        </is>
      </c>
      <c r="G873" t="n">
        <v>2.6</v>
      </c>
      <c r="H873" t="n">
        <v>0</v>
      </c>
      <c r="I873" t="n">
        <v>0</v>
      </c>
      <c r="J873" t="n">
        <v>0</v>
      </c>
      <c r="K873" t="n">
        <v>0</v>
      </c>
      <c r="L873" t="n">
        <v>0</v>
      </c>
      <c r="M873" t="n">
        <v>0</v>
      </c>
      <c r="N873" t="n">
        <v>0</v>
      </c>
      <c r="O873" t="n">
        <v>0</v>
      </c>
      <c r="P873" t="n">
        <v>0</v>
      </c>
      <c r="Q873" t="n">
        <v>0</v>
      </c>
      <c r="R873" s="2" t="inlineStr"/>
    </row>
    <row r="874" ht="15" customHeight="1">
      <c r="A874" t="inlineStr">
        <is>
          <t>A 61026-2023</t>
        </is>
      </c>
      <c r="B874" s="1" t="n">
        <v>45259</v>
      </c>
      <c r="C874" s="1" t="n">
        <v>45755</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60847-2023</t>
        </is>
      </c>
      <c r="B875" s="1" t="n">
        <v>45260</v>
      </c>
      <c r="C875" s="1" t="n">
        <v>45755</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61015-2023</t>
        </is>
      </c>
      <c r="B876" s="1" t="n">
        <v>45260</v>
      </c>
      <c r="C876" s="1" t="n">
        <v>45755</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61493-2023</t>
        </is>
      </c>
      <c r="B877" s="1" t="n">
        <v>45264</v>
      </c>
      <c r="C877" s="1" t="n">
        <v>45755</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61887-2023</t>
        </is>
      </c>
      <c r="B878" s="1" t="n">
        <v>45264</v>
      </c>
      <c r="C878" s="1" t="n">
        <v>45755</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61839-2023</t>
        </is>
      </c>
      <c r="B879" s="1" t="n">
        <v>45264</v>
      </c>
      <c r="C879" s="1" t="n">
        <v>45755</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61834-2023</t>
        </is>
      </c>
      <c r="B880" s="1" t="n">
        <v>45264</v>
      </c>
      <c r="C880" s="1" t="n">
        <v>45755</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61837-2023</t>
        </is>
      </c>
      <c r="B881" s="1" t="n">
        <v>45264</v>
      </c>
      <c r="C881" s="1" t="n">
        <v>45755</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61870-2023</t>
        </is>
      </c>
      <c r="B882" s="1" t="n">
        <v>45264</v>
      </c>
      <c r="C882" s="1" t="n">
        <v>45755</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61789-2023</t>
        </is>
      </c>
      <c r="B883" s="1" t="n">
        <v>45265</v>
      </c>
      <c r="C883" s="1" t="n">
        <v>45755</v>
      </c>
      <c r="D883" t="inlineStr">
        <is>
          <t>JÄMTLANDS LÄN</t>
        </is>
      </c>
      <c r="E883" t="inlineStr">
        <is>
          <t>BERG</t>
        </is>
      </c>
      <c r="G883" t="n">
        <v>3.1</v>
      </c>
      <c r="H883" t="n">
        <v>0</v>
      </c>
      <c r="I883" t="n">
        <v>0</v>
      </c>
      <c r="J883" t="n">
        <v>0</v>
      </c>
      <c r="K883" t="n">
        <v>0</v>
      </c>
      <c r="L883" t="n">
        <v>0</v>
      </c>
      <c r="M883" t="n">
        <v>0</v>
      </c>
      <c r="N883" t="n">
        <v>0</v>
      </c>
      <c r="O883" t="n">
        <v>0</v>
      </c>
      <c r="P883" t="n">
        <v>0</v>
      </c>
      <c r="Q883" t="n">
        <v>0</v>
      </c>
      <c r="R883" s="2" t="inlineStr"/>
    </row>
    <row r="884" ht="15" customHeight="1">
      <c r="A884" t="inlineStr">
        <is>
          <t>A 61977-2023</t>
        </is>
      </c>
      <c r="B884" s="1" t="n">
        <v>45265</v>
      </c>
      <c r="C884" s="1" t="n">
        <v>45755</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61788-2023</t>
        </is>
      </c>
      <c r="B885" s="1" t="n">
        <v>45265</v>
      </c>
      <c r="C885" s="1" t="n">
        <v>45755</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61966-2023</t>
        </is>
      </c>
      <c r="B886" s="1" t="n">
        <v>45266</v>
      </c>
      <c r="C886" s="1" t="n">
        <v>45755</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61974-2023</t>
        </is>
      </c>
      <c r="B887" s="1" t="n">
        <v>45266</v>
      </c>
      <c r="C887" s="1" t="n">
        <v>45755</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62104-2023</t>
        </is>
      </c>
      <c r="B888" s="1" t="n">
        <v>45266</v>
      </c>
      <c r="C888" s="1" t="n">
        <v>45755</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62105-2023</t>
        </is>
      </c>
      <c r="B889" s="1" t="n">
        <v>45266</v>
      </c>
      <c r="C889" s="1" t="n">
        <v>45755</v>
      </c>
      <c r="D889" t="inlineStr">
        <is>
          <t>JÄMTLANDS LÄN</t>
        </is>
      </c>
      <c r="E889" t="inlineStr">
        <is>
          <t>BERG</t>
        </is>
      </c>
      <c r="F889" t="inlineStr">
        <is>
          <t>SCA</t>
        </is>
      </c>
      <c r="G889" t="n">
        <v>13.1</v>
      </c>
      <c r="H889" t="n">
        <v>0</v>
      </c>
      <c r="I889" t="n">
        <v>0</v>
      </c>
      <c r="J889" t="n">
        <v>0</v>
      </c>
      <c r="K889" t="n">
        <v>0</v>
      </c>
      <c r="L889" t="n">
        <v>0</v>
      </c>
      <c r="M889" t="n">
        <v>0</v>
      </c>
      <c r="N889" t="n">
        <v>0</v>
      </c>
      <c r="O889" t="n">
        <v>0</v>
      </c>
      <c r="P889" t="n">
        <v>0</v>
      </c>
      <c r="Q889" t="n">
        <v>0</v>
      </c>
      <c r="R889" s="2" t="inlineStr"/>
    </row>
    <row r="890" ht="15" customHeight="1">
      <c r="A890" t="inlineStr">
        <is>
          <t>A 62299-2023</t>
        </is>
      </c>
      <c r="B890" s="1" t="n">
        <v>45266</v>
      </c>
      <c r="C890" s="1" t="n">
        <v>45755</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62352-2023</t>
        </is>
      </c>
      <c r="B891" s="1" t="n">
        <v>45267</v>
      </c>
      <c r="C891" s="1" t="n">
        <v>45755</v>
      </c>
      <c r="D891" t="inlineStr">
        <is>
          <t>JÄMTLANDS LÄN</t>
        </is>
      </c>
      <c r="E891" t="inlineStr">
        <is>
          <t>BERG</t>
        </is>
      </c>
      <c r="G891" t="n">
        <v>15.6</v>
      </c>
      <c r="H891" t="n">
        <v>0</v>
      </c>
      <c r="I891" t="n">
        <v>0</v>
      </c>
      <c r="J891" t="n">
        <v>0</v>
      </c>
      <c r="K891" t="n">
        <v>0</v>
      </c>
      <c r="L891" t="n">
        <v>0</v>
      </c>
      <c r="M891" t="n">
        <v>0</v>
      </c>
      <c r="N891" t="n">
        <v>0</v>
      </c>
      <c r="O891" t="n">
        <v>0</v>
      </c>
      <c r="P891" t="n">
        <v>0</v>
      </c>
      <c r="Q891" t="n">
        <v>0</v>
      </c>
      <c r="R891" s="2" t="inlineStr"/>
    </row>
    <row r="892" ht="15" customHeight="1">
      <c r="A892" t="inlineStr">
        <is>
          <t>A 62360-2023</t>
        </is>
      </c>
      <c r="B892" s="1" t="n">
        <v>45267</v>
      </c>
      <c r="C892" s="1" t="n">
        <v>45755</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62555-2023</t>
        </is>
      </c>
      <c r="B893" s="1" t="n">
        <v>45268</v>
      </c>
      <c r="C893" s="1" t="n">
        <v>45755</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62564-2023</t>
        </is>
      </c>
      <c r="B894" s="1" t="n">
        <v>45268</v>
      </c>
      <c r="C894" s="1" t="n">
        <v>45755</v>
      </c>
      <c r="D894" t="inlineStr">
        <is>
          <t>JÄMTLANDS LÄN</t>
        </is>
      </c>
      <c r="E894" t="inlineStr">
        <is>
          <t>BERG</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62554-2023</t>
        </is>
      </c>
      <c r="B895" s="1" t="n">
        <v>45268</v>
      </c>
      <c r="C895" s="1" t="n">
        <v>45755</v>
      </c>
      <c r="D895" t="inlineStr">
        <is>
          <t>JÄMTLANDS LÄN</t>
        </is>
      </c>
      <c r="E895" t="inlineStr">
        <is>
          <t>BERG</t>
        </is>
      </c>
      <c r="G895" t="n">
        <v>4.1</v>
      </c>
      <c r="H895" t="n">
        <v>0</v>
      </c>
      <c r="I895" t="n">
        <v>0</v>
      </c>
      <c r="J895" t="n">
        <v>0</v>
      </c>
      <c r="K895" t="n">
        <v>0</v>
      </c>
      <c r="L895" t="n">
        <v>0</v>
      </c>
      <c r="M895" t="n">
        <v>0</v>
      </c>
      <c r="N895" t="n">
        <v>0</v>
      </c>
      <c r="O895" t="n">
        <v>0</v>
      </c>
      <c r="P895" t="n">
        <v>0</v>
      </c>
      <c r="Q895" t="n">
        <v>0</v>
      </c>
      <c r="R895" s="2" t="inlineStr"/>
    </row>
    <row r="896" ht="15" customHeight="1">
      <c r="A896" t="inlineStr">
        <is>
          <t>A 62836-2023</t>
        </is>
      </c>
      <c r="B896" s="1" t="n">
        <v>45271</v>
      </c>
      <c r="C896" s="1" t="n">
        <v>45755</v>
      </c>
      <c r="D896" t="inlineStr">
        <is>
          <t>JÄMTLANDS LÄN</t>
        </is>
      </c>
      <c r="E896" t="inlineStr">
        <is>
          <t>BERG</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62837-2023</t>
        </is>
      </c>
      <c r="B897" s="1" t="n">
        <v>45271</v>
      </c>
      <c r="C897" s="1" t="n">
        <v>45755</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63063-2023</t>
        </is>
      </c>
      <c r="B898" s="1" t="n">
        <v>45272</v>
      </c>
      <c r="C898" s="1" t="n">
        <v>45755</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63605-2023</t>
        </is>
      </c>
      <c r="B899" s="1" t="n">
        <v>45275</v>
      </c>
      <c r="C899" s="1" t="n">
        <v>45755</v>
      </c>
      <c r="D899" t="inlineStr">
        <is>
          <t>JÄMTLANDS LÄN</t>
        </is>
      </c>
      <c r="E899" t="inlineStr">
        <is>
          <t>BERG</t>
        </is>
      </c>
      <c r="G899" t="n">
        <v>10.1</v>
      </c>
      <c r="H899" t="n">
        <v>0</v>
      </c>
      <c r="I899" t="n">
        <v>0</v>
      </c>
      <c r="J899" t="n">
        <v>0</v>
      </c>
      <c r="K899" t="n">
        <v>0</v>
      </c>
      <c r="L899" t="n">
        <v>0</v>
      </c>
      <c r="M899" t="n">
        <v>0</v>
      </c>
      <c r="N899" t="n">
        <v>0</v>
      </c>
      <c r="O899" t="n">
        <v>0</v>
      </c>
      <c r="P899" t="n">
        <v>0</v>
      </c>
      <c r="Q899" t="n">
        <v>0</v>
      </c>
      <c r="R899" s="2" t="inlineStr"/>
    </row>
    <row r="900" ht="15" customHeight="1">
      <c r="A900" t="inlineStr">
        <is>
          <t>A 63670-2023</t>
        </is>
      </c>
      <c r="B900" s="1" t="n">
        <v>45275</v>
      </c>
      <c r="C900" s="1" t="n">
        <v>45755</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v>
      </c>
      <c r="C901" s="1" t="n">
        <v>45755</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64012-2023</t>
        </is>
      </c>
      <c r="B902" s="1" t="n">
        <v>45278</v>
      </c>
      <c r="C902" s="1" t="n">
        <v>45755</v>
      </c>
      <c r="D902" t="inlineStr">
        <is>
          <t>JÄMTLANDS LÄN</t>
        </is>
      </c>
      <c r="E902" t="inlineStr">
        <is>
          <t>BERG</t>
        </is>
      </c>
      <c r="G902" t="n">
        <v>5.9</v>
      </c>
      <c r="H902" t="n">
        <v>0</v>
      </c>
      <c r="I902" t="n">
        <v>0</v>
      </c>
      <c r="J902" t="n">
        <v>0</v>
      </c>
      <c r="K902" t="n">
        <v>0</v>
      </c>
      <c r="L902" t="n">
        <v>0</v>
      </c>
      <c r="M902" t="n">
        <v>0</v>
      </c>
      <c r="N902" t="n">
        <v>0</v>
      </c>
      <c r="O902" t="n">
        <v>0</v>
      </c>
      <c r="P902" t="n">
        <v>0</v>
      </c>
      <c r="Q902" t="n">
        <v>0</v>
      </c>
      <c r="R902" s="2" t="inlineStr"/>
    </row>
    <row r="903" ht="15" customHeight="1">
      <c r="A903" t="inlineStr">
        <is>
          <t>A 64016-2023</t>
        </is>
      </c>
      <c r="B903" s="1" t="n">
        <v>45278</v>
      </c>
      <c r="C903" s="1" t="n">
        <v>45755</v>
      </c>
      <c r="D903" t="inlineStr">
        <is>
          <t>JÄMTLANDS LÄN</t>
        </is>
      </c>
      <c r="E903" t="inlineStr">
        <is>
          <t>BERG</t>
        </is>
      </c>
      <c r="G903" t="n">
        <v>2.4</v>
      </c>
      <c r="H903" t="n">
        <v>0</v>
      </c>
      <c r="I903" t="n">
        <v>0</v>
      </c>
      <c r="J903" t="n">
        <v>0</v>
      </c>
      <c r="K903" t="n">
        <v>0</v>
      </c>
      <c r="L903" t="n">
        <v>0</v>
      </c>
      <c r="M903" t="n">
        <v>0</v>
      </c>
      <c r="N903" t="n">
        <v>0</v>
      </c>
      <c r="O903" t="n">
        <v>0</v>
      </c>
      <c r="P903" t="n">
        <v>0</v>
      </c>
      <c r="Q903" t="n">
        <v>0</v>
      </c>
      <c r="R903" s="2" t="inlineStr"/>
    </row>
    <row r="904" ht="15" customHeight="1">
      <c r="A904" t="inlineStr">
        <is>
          <t>A 64020-2023</t>
        </is>
      </c>
      <c r="B904" s="1" t="n">
        <v>45278</v>
      </c>
      <c r="C904" s="1" t="n">
        <v>45755</v>
      </c>
      <c r="D904" t="inlineStr">
        <is>
          <t>JÄMTLANDS LÄN</t>
        </is>
      </c>
      <c r="E904" t="inlineStr">
        <is>
          <t>BERG</t>
        </is>
      </c>
      <c r="G904" t="n">
        <v>3.4</v>
      </c>
      <c r="H904" t="n">
        <v>0</v>
      </c>
      <c r="I904" t="n">
        <v>0</v>
      </c>
      <c r="J904" t="n">
        <v>0</v>
      </c>
      <c r="K904" t="n">
        <v>0</v>
      </c>
      <c r="L904" t="n">
        <v>0</v>
      </c>
      <c r="M904" t="n">
        <v>0</v>
      </c>
      <c r="N904" t="n">
        <v>0</v>
      </c>
      <c r="O904" t="n">
        <v>0</v>
      </c>
      <c r="P904" t="n">
        <v>0</v>
      </c>
      <c r="Q904" t="n">
        <v>0</v>
      </c>
      <c r="R904" s="2" t="inlineStr"/>
    </row>
    <row r="905" ht="15" customHeight="1">
      <c r="A905" t="inlineStr">
        <is>
          <t>A 64011-2023</t>
        </is>
      </c>
      <c r="B905" s="1" t="n">
        <v>45278</v>
      </c>
      <c r="C905" s="1" t="n">
        <v>45755</v>
      </c>
      <c r="D905" t="inlineStr">
        <is>
          <t>JÄMTLANDS LÄN</t>
        </is>
      </c>
      <c r="E905" t="inlineStr">
        <is>
          <t>BERG</t>
        </is>
      </c>
      <c r="G905" t="n">
        <v>2.9</v>
      </c>
      <c r="H905" t="n">
        <v>0</v>
      </c>
      <c r="I905" t="n">
        <v>0</v>
      </c>
      <c r="J905" t="n">
        <v>0</v>
      </c>
      <c r="K905" t="n">
        <v>0</v>
      </c>
      <c r="L905" t="n">
        <v>0</v>
      </c>
      <c r="M905" t="n">
        <v>0</v>
      </c>
      <c r="N905" t="n">
        <v>0</v>
      </c>
      <c r="O905" t="n">
        <v>0</v>
      </c>
      <c r="P905" t="n">
        <v>0</v>
      </c>
      <c r="Q905" t="n">
        <v>0</v>
      </c>
      <c r="R905" s="2" t="inlineStr"/>
    </row>
    <row r="906" ht="15" customHeight="1">
      <c r="A906" t="inlineStr">
        <is>
          <t>A 64100-2023</t>
        </is>
      </c>
      <c r="B906" s="1" t="n">
        <v>45279</v>
      </c>
      <c r="C906" s="1" t="n">
        <v>45755</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64234-2023</t>
        </is>
      </c>
      <c r="B907" s="1" t="n">
        <v>45279</v>
      </c>
      <c r="C907" s="1" t="n">
        <v>45755</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64246-2023</t>
        </is>
      </c>
      <c r="B908" s="1" t="n">
        <v>45279</v>
      </c>
      <c r="C908" s="1" t="n">
        <v>45755</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64250-2023</t>
        </is>
      </c>
      <c r="B909" s="1" t="n">
        <v>45279</v>
      </c>
      <c r="C909" s="1" t="n">
        <v>45755</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64245-2023</t>
        </is>
      </c>
      <c r="B910" s="1" t="n">
        <v>45279</v>
      </c>
      <c r="C910" s="1" t="n">
        <v>45755</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64249-2023</t>
        </is>
      </c>
      <c r="B911" s="1" t="n">
        <v>45279</v>
      </c>
      <c r="C911" s="1" t="n">
        <v>45755</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64235-2023</t>
        </is>
      </c>
      <c r="B912" s="1" t="n">
        <v>45279</v>
      </c>
      <c r="C912" s="1" t="n">
        <v>45755</v>
      </c>
      <c r="D912" t="inlineStr">
        <is>
          <t>JÄMTLANDS LÄN</t>
        </is>
      </c>
      <c r="E912" t="inlineStr">
        <is>
          <t>BERG</t>
        </is>
      </c>
      <c r="G912" t="n">
        <v>1.7</v>
      </c>
      <c r="H912" t="n">
        <v>0</v>
      </c>
      <c r="I912" t="n">
        <v>0</v>
      </c>
      <c r="J912" t="n">
        <v>0</v>
      </c>
      <c r="K912" t="n">
        <v>0</v>
      </c>
      <c r="L912" t="n">
        <v>0</v>
      </c>
      <c r="M912" t="n">
        <v>0</v>
      </c>
      <c r="N912" t="n">
        <v>0</v>
      </c>
      <c r="O912" t="n">
        <v>0</v>
      </c>
      <c r="P912" t="n">
        <v>0</v>
      </c>
      <c r="Q912" t="n">
        <v>0</v>
      </c>
      <c r="R912" s="2" t="inlineStr"/>
    </row>
    <row r="913" ht="15" customHeight="1">
      <c r="A913" t="inlineStr">
        <is>
          <t>A 64247-2023</t>
        </is>
      </c>
      <c r="B913" s="1" t="n">
        <v>45279</v>
      </c>
      <c r="C913" s="1" t="n">
        <v>45755</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64251-2023</t>
        </is>
      </c>
      <c r="B914" s="1" t="n">
        <v>45279</v>
      </c>
      <c r="C914" s="1" t="n">
        <v>45755</v>
      </c>
      <c r="D914" t="inlineStr">
        <is>
          <t>JÄMTLANDS LÄN</t>
        </is>
      </c>
      <c r="E914" t="inlineStr">
        <is>
          <t>BERG</t>
        </is>
      </c>
      <c r="G914" t="n">
        <v>0.4</v>
      </c>
      <c r="H914" t="n">
        <v>0</v>
      </c>
      <c r="I914" t="n">
        <v>0</v>
      </c>
      <c r="J914" t="n">
        <v>0</v>
      </c>
      <c r="K914" t="n">
        <v>0</v>
      </c>
      <c r="L914" t="n">
        <v>0</v>
      </c>
      <c r="M914" t="n">
        <v>0</v>
      </c>
      <c r="N914" t="n">
        <v>0</v>
      </c>
      <c r="O914" t="n">
        <v>0</v>
      </c>
      <c r="P914" t="n">
        <v>0</v>
      </c>
      <c r="Q914" t="n">
        <v>0</v>
      </c>
      <c r="R914" s="2" t="inlineStr"/>
    </row>
    <row r="915" ht="15" customHeight="1">
      <c r="A915" t="inlineStr">
        <is>
          <t>A 64236-2023</t>
        </is>
      </c>
      <c r="B915" s="1" t="n">
        <v>45279</v>
      </c>
      <c r="C915" s="1" t="n">
        <v>45755</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64244-2023</t>
        </is>
      </c>
      <c r="B916" s="1" t="n">
        <v>45279</v>
      </c>
      <c r="C916" s="1" t="n">
        <v>45755</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64248-2023</t>
        </is>
      </c>
      <c r="B917" s="1" t="n">
        <v>45279</v>
      </c>
      <c r="C917" s="1" t="n">
        <v>45755</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64488-2023</t>
        </is>
      </c>
      <c r="B918" s="1" t="n">
        <v>45280</v>
      </c>
      <c r="C918" s="1" t="n">
        <v>45755</v>
      </c>
      <c r="D918" t="inlineStr">
        <is>
          <t>JÄMTLANDS LÄN</t>
        </is>
      </c>
      <c r="E918" t="inlineStr">
        <is>
          <t>BERG</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64486-2023</t>
        </is>
      </c>
      <c r="B919" s="1" t="n">
        <v>45280</v>
      </c>
      <c r="C919" s="1" t="n">
        <v>45755</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64490-2023</t>
        </is>
      </c>
      <c r="B920" s="1" t="n">
        <v>45280</v>
      </c>
      <c r="C920" s="1" t="n">
        <v>45755</v>
      </c>
      <c r="D920" t="inlineStr">
        <is>
          <t>JÄMTLANDS LÄN</t>
        </is>
      </c>
      <c r="E920" t="inlineStr">
        <is>
          <t>BERG</t>
        </is>
      </c>
      <c r="F920" t="inlineStr">
        <is>
          <t>Övriga Aktiebolag</t>
        </is>
      </c>
      <c r="G920" t="n">
        <v>7.7</v>
      </c>
      <c r="H920" t="n">
        <v>0</v>
      </c>
      <c r="I920" t="n">
        <v>0</v>
      </c>
      <c r="J920" t="n">
        <v>0</v>
      </c>
      <c r="K920" t="n">
        <v>0</v>
      </c>
      <c r="L920" t="n">
        <v>0</v>
      </c>
      <c r="M920" t="n">
        <v>0</v>
      </c>
      <c r="N920" t="n">
        <v>0</v>
      </c>
      <c r="O920" t="n">
        <v>0</v>
      </c>
      <c r="P920" t="n">
        <v>0</v>
      </c>
      <c r="Q920" t="n">
        <v>0</v>
      </c>
      <c r="R920" s="2" t="inlineStr"/>
    </row>
    <row r="921" ht="15" customHeight="1">
      <c r="A921" t="inlineStr">
        <is>
          <t>A 64487-2023</t>
        </is>
      </c>
      <c r="B921" s="1" t="n">
        <v>45280</v>
      </c>
      <c r="C921" s="1" t="n">
        <v>45755</v>
      </c>
      <c r="D921" t="inlineStr">
        <is>
          <t>JÄMTLANDS LÄN</t>
        </is>
      </c>
      <c r="E921" t="inlineStr">
        <is>
          <t>BERG</t>
        </is>
      </c>
      <c r="F921" t="inlineStr">
        <is>
          <t>Övriga Aktiebolag</t>
        </is>
      </c>
      <c r="G921" t="n">
        <v>7.6</v>
      </c>
      <c r="H921" t="n">
        <v>0</v>
      </c>
      <c r="I921" t="n">
        <v>0</v>
      </c>
      <c r="J921" t="n">
        <v>0</v>
      </c>
      <c r="K921" t="n">
        <v>0</v>
      </c>
      <c r="L921" t="n">
        <v>0</v>
      </c>
      <c r="M921" t="n">
        <v>0</v>
      </c>
      <c r="N921" t="n">
        <v>0</v>
      </c>
      <c r="O921" t="n">
        <v>0</v>
      </c>
      <c r="P921" t="n">
        <v>0</v>
      </c>
      <c r="Q921" t="n">
        <v>0</v>
      </c>
      <c r="R921" s="2" t="inlineStr"/>
    </row>
    <row r="922" ht="15" customHeight="1">
      <c r="A922" t="inlineStr">
        <is>
          <t>A 64489-2023</t>
        </is>
      </c>
      <c r="B922" s="1" t="n">
        <v>45280</v>
      </c>
      <c r="C922" s="1" t="n">
        <v>45755</v>
      </c>
      <c r="D922" t="inlineStr">
        <is>
          <t>JÄMTLANDS LÄN</t>
        </is>
      </c>
      <c r="E922" t="inlineStr">
        <is>
          <t>BERG</t>
        </is>
      </c>
      <c r="F922" t="inlineStr">
        <is>
          <t>Övriga Aktiebolag</t>
        </is>
      </c>
      <c r="G922" t="n">
        <v>14.1</v>
      </c>
      <c r="H922" t="n">
        <v>0</v>
      </c>
      <c r="I922" t="n">
        <v>0</v>
      </c>
      <c r="J922" t="n">
        <v>0</v>
      </c>
      <c r="K922" t="n">
        <v>0</v>
      </c>
      <c r="L922" t="n">
        <v>0</v>
      </c>
      <c r="M922" t="n">
        <v>0</v>
      </c>
      <c r="N922" t="n">
        <v>0</v>
      </c>
      <c r="O922" t="n">
        <v>0</v>
      </c>
      <c r="P922" t="n">
        <v>0</v>
      </c>
      <c r="Q922" t="n">
        <v>0</v>
      </c>
      <c r="R922" s="2" t="inlineStr"/>
    </row>
    <row r="923" ht="15" customHeight="1">
      <c r="A923" t="inlineStr">
        <is>
          <t>A 64752-2023</t>
        </is>
      </c>
      <c r="B923" s="1" t="n">
        <v>45281</v>
      </c>
      <c r="C923" s="1" t="n">
        <v>45755</v>
      </c>
      <c r="D923" t="inlineStr">
        <is>
          <t>JÄMTLANDS LÄN</t>
        </is>
      </c>
      <c r="E923" t="inlineStr">
        <is>
          <t>BERG</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64955-2023</t>
        </is>
      </c>
      <c r="B924" s="1" t="n">
        <v>45282</v>
      </c>
      <c r="C924" s="1" t="n">
        <v>45755</v>
      </c>
      <c r="D924" t="inlineStr">
        <is>
          <t>JÄMTLANDS LÄN</t>
        </is>
      </c>
      <c r="E924" t="inlineStr">
        <is>
          <t>BERG</t>
        </is>
      </c>
      <c r="G924" t="n">
        <v>3.4</v>
      </c>
      <c r="H924" t="n">
        <v>0</v>
      </c>
      <c r="I924" t="n">
        <v>0</v>
      </c>
      <c r="J924" t="n">
        <v>0</v>
      </c>
      <c r="K924" t="n">
        <v>0</v>
      </c>
      <c r="L924" t="n">
        <v>0</v>
      </c>
      <c r="M924" t="n">
        <v>0</v>
      </c>
      <c r="N924" t="n">
        <v>0</v>
      </c>
      <c r="O924" t="n">
        <v>0</v>
      </c>
      <c r="P924" t="n">
        <v>0</v>
      </c>
      <c r="Q924" t="n">
        <v>0</v>
      </c>
      <c r="R924" s="2" t="inlineStr"/>
    </row>
    <row r="925" ht="15" customHeight="1">
      <c r="A925" t="inlineStr">
        <is>
          <t>A 64957-2023</t>
        </is>
      </c>
      <c r="B925" s="1" t="n">
        <v>45282</v>
      </c>
      <c r="C925" s="1" t="n">
        <v>45755</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64956-2023</t>
        </is>
      </c>
      <c r="B926" s="1" t="n">
        <v>45282</v>
      </c>
      <c r="C926" s="1" t="n">
        <v>45755</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65205-2023</t>
        </is>
      </c>
      <c r="B927" s="1" t="n">
        <v>45289</v>
      </c>
      <c r="C927" s="1" t="n">
        <v>45755</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65209-2023</t>
        </is>
      </c>
      <c r="B928" s="1" t="n">
        <v>45289</v>
      </c>
      <c r="C928" s="1" t="n">
        <v>45755</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65207-2023</t>
        </is>
      </c>
      <c r="B929" s="1" t="n">
        <v>45289</v>
      </c>
      <c r="C929" s="1" t="n">
        <v>45755</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65211-2023</t>
        </is>
      </c>
      <c r="B930" s="1" t="n">
        <v>45289</v>
      </c>
      <c r="C930" s="1" t="n">
        <v>45755</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65212-2023</t>
        </is>
      </c>
      <c r="B931" s="1" t="n">
        <v>45289</v>
      </c>
      <c r="C931" s="1" t="n">
        <v>45755</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45755</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65246-2023</t>
        </is>
      </c>
      <c r="B933" s="1" t="n">
        <v>45290</v>
      </c>
      <c r="C933" s="1" t="n">
        <v>45755</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38-2024</t>
        </is>
      </c>
      <c r="B934" s="1" t="n">
        <v>45293</v>
      </c>
      <c r="C934" s="1" t="n">
        <v>45755</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36-2024</t>
        </is>
      </c>
      <c r="B935" s="1" t="n">
        <v>45293</v>
      </c>
      <c r="C935" s="1" t="n">
        <v>45755</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166-2024</t>
        </is>
      </c>
      <c r="B936" s="1" t="n">
        <v>45294</v>
      </c>
      <c r="C936" s="1" t="n">
        <v>45755</v>
      </c>
      <c r="D936" t="inlineStr">
        <is>
          <t>JÄMTLANDS LÄN</t>
        </is>
      </c>
      <c r="E936" t="inlineStr">
        <is>
          <t>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149-2024</t>
        </is>
      </c>
      <c r="B937" s="1" t="n">
        <v>45294</v>
      </c>
      <c r="C937" s="1" t="n">
        <v>45755</v>
      </c>
      <c r="D937" t="inlineStr">
        <is>
          <t>JÄMTLANDS LÄN</t>
        </is>
      </c>
      <c r="E937" t="inlineStr">
        <is>
          <t>BERG</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162-2024</t>
        </is>
      </c>
      <c r="B938" s="1" t="n">
        <v>45294</v>
      </c>
      <c r="C938" s="1" t="n">
        <v>45755</v>
      </c>
      <c r="D938" t="inlineStr">
        <is>
          <t>JÄMTLANDS LÄN</t>
        </is>
      </c>
      <c r="E938" t="inlineStr">
        <is>
          <t>BERG</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620-2024</t>
        </is>
      </c>
      <c r="B939" s="1" t="n">
        <v>45299</v>
      </c>
      <c r="C939" s="1" t="n">
        <v>45755</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1593-2024</t>
        </is>
      </c>
      <c r="B940" s="1" t="n">
        <v>45306</v>
      </c>
      <c r="C940" s="1" t="n">
        <v>45755</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1596-2024</t>
        </is>
      </c>
      <c r="B941" s="1" t="n">
        <v>45306</v>
      </c>
      <c r="C941" s="1" t="n">
        <v>45755</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1682-2024</t>
        </is>
      </c>
      <c r="B942" s="1" t="n">
        <v>45307</v>
      </c>
      <c r="C942" s="1" t="n">
        <v>45755</v>
      </c>
      <c r="D942" t="inlineStr">
        <is>
          <t>JÄMTLANDS LÄN</t>
        </is>
      </c>
      <c r="E942" t="inlineStr">
        <is>
          <t>BERG</t>
        </is>
      </c>
      <c r="G942" t="n">
        <v>2.2</v>
      </c>
      <c r="H942" t="n">
        <v>0</v>
      </c>
      <c r="I942" t="n">
        <v>0</v>
      </c>
      <c r="J942" t="n">
        <v>0</v>
      </c>
      <c r="K942" t="n">
        <v>0</v>
      </c>
      <c r="L942" t="n">
        <v>0</v>
      </c>
      <c r="M942" t="n">
        <v>0</v>
      </c>
      <c r="N942" t="n">
        <v>0</v>
      </c>
      <c r="O942" t="n">
        <v>0</v>
      </c>
      <c r="P942" t="n">
        <v>0</v>
      </c>
      <c r="Q942" t="n">
        <v>0</v>
      </c>
      <c r="R942" s="2" t="inlineStr"/>
    </row>
    <row r="943" ht="15" customHeight="1">
      <c r="A943" t="inlineStr">
        <is>
          <t>A 1851-2024</t>
        </is>
      </c>
      <c r="B943" s="1" t="n">
        <v>45307</v>
      </c>
      <c r="C943" s="1" t="n">
        <v>45755</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1874-2024</t>
        </is>
      </c>
      <c r="B944" s="1" t="n">
        <v>45307</v>
      </c>
      <c r="C944" s="1" t="n">
        <v>45755</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1895-2024</t>
        </is>
      </c>
      <c r="B945" s="1" t="n">
        <v>45307</v>
      </c>
      <c r="C945" s="1" t="n">
        <v>45755</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1897-2024</t>
        </is>
      </c>
      <c r="B946" s="1" t="n">
        <v>45307</v>
      </c>
      <c r="C946" s="1" t="n">
        <v>45755</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2231-2024</t>
        </is>
      </c>
      <c r="B947" s="1" t="n">
        <v>45309</v>
      </c>
      <c r="C947" s="1" t="n">
        <v>45755</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2679-2024</t>
        </is>
      </c>
      <c r="B948" s="1" t="n">
        <v>45314</v>
      </c>
      <c r="C948" s="1" t="n">
        <v>45755</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2664-2024</t>
        </is>
      </c>
      <c r="B949" s="1" t="n">
        <v>45314</v>
      </c>
      <c r="C949" s="1" t="n">
        <v>45755</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3454-2024</t>
        </is>
      </c>
      <c r="B950" s="1" t="n">
        <v>45317</v>
      </c>
      <c r="C950" s="1" t="n">
        <v>45755</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3483-2024</t>
        </is>
      </c>
      <c r="B951" s="1" t="n">
        <v>45320</v>
      </c>
      <c r="C951" s="1" t="n">
        <v>45755</v>
      </c>
      <c r="D951" t="inlineStr">
        <is>
          <t>JÄMTLANDS LÄN</t>
        </is>
      </c>
      <c r="E951" t="inlineStr">
        <is>
          <t>BERG</t>
        </is>
      </c>
      <c r="G951" t="n">
        <v>3.1</v>
      </c>
      <c r="H951" t="n">
        <v>0</v>
      </c>
      <c r="I951" t="n">
        <v>0</v>
      </c>
      <c r="J951" t="n">
        <v>0</v>
      </c>
      <c r="K951" t="n">
        <v>0</v>
      </c>
      <c r="L951" t="n">
        <v>0</v>
      </c>
      <c r="M951" t="n">
        <v>0</v>
      </c>
      <c r="N951" t="n">
        <v>0</v>
      </c>
      <c r="O951" t="n">
        <v>0</v>
      </c>
      <c r="P951" t="n">
        <v>0</v>
      </c>
      <c r="Q951" t="n">
        <v>0</v>
      </c>
      <c r="R951" s="2" t="inlineStr"/>
    </row>
    <row r="952" ht="15" customHeight="1">
      <c r="A952" t="inlineStr">
        <is>
          <t>A 3625-2024</t>
        </is>
      </c>
      <c r="B952" s="1" t="n">
        <v>45320</v>
      </c>
      <c r="C952" s="1" t="n">
        <v>45755</v>
      </c>
      <c r="D952" t="inlineStr">
        <is>
          <t>JÄMTLANDS LÄN</t>
        </is>
      </c>
      <c r="E952" t="inlineStr">
        <is>
          <t>BERG</t>
        </is>
      </c>
      <c r="F952" t="inlineStr">
        <is>
          <t>SCA</t>
        </is>
      </c>
      <c r="G952" t="n">
        <v>23.7</v>
      </c>
      <c r="H952" t="n">
        <v>0</v>
      </c>
      <c r="I952" t="n">
        <v>0</v>
      </c>
      <c r="J952" t="n">
        <v>0</v>
      </c>
      <c r="K952" t="n">
        <v>0</v>
      </c>
      <c r="L952" t="n">
        <v>0</v>
      </c>
      <c r="M952" t="n">
        <v>0</v>
      </c>
      <c r="N952" t="n">
        <v>0</v>
      </c>
      <c r="O952" t="n">
        <v>0</v>
      </c>
      <c r="P952" t="n">
        <v>0</v>
      </c>
      <c r="Q952" t="n">
        <v>0</v>
      </c>
      <c r="R952" s="2" t="inlineStr"/>
    </row>
    <row r="953" ht="15" customHeight="1">
      <c r="A953" t="inlineStr">
        <is>
          <t>A 3839-2024</t>
        </is>
      </c>
      <c r="B953" s="1" t="n">
        <v>45321</v>
      </c>
      <c r="C953" s="1" t="n">
        <v>45755</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4454-2024</t>
        </is>
      </c>
      <c r="B954" s="1" t="n">
        <v>45327</v>
      </c>
      <c r="C954" s="1" t="n">
        <v>45755</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4522-2024</t>
        </is>
      </c>
      <c r="B955" s="1" t="n">
        <v>45327</v>
      </c>
      <c r="C955" s="1" t="n">
        <v>45755</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4526-2024</t>
        </is>
      </c>
      <c r="B956" s="1" t="n">
        <v>45327</v>
      </c>
      <c r="C956" s="1" t="n">
        <v>45755</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4551-2024</t>
        </is>
      </c>
      <c r="B957" s="1" t="n">
        <v>45327</v>
      </c>
      <c r="C957" s="1" t="n">
        <v>45755</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4561-2024</t>
        </is>
      </c>
      <c r="B958" s="1" t="n">
        <v>45327</v>
      </c>
      <c r="C958" s="1" t="n">
        <v>45755</v>
      </c>
      <c r="D958" t="inlineStr">
        <is>
          <t>JÄMTLANDS LÄN</t>
        </is>
      </c>
      <c r="E958" t="inlineStr">
        <is>
          <t>BERG</t>
        </is>
      </c>
      <c r="G958" t="n">
        <v>7.4</v>
      </c>
      <c r="H958" t="n">
        <v>0</v>
      </c>
      <c r="I958" t="n">
        <v>0</v>
      </c>
      <c r="J958" t="n">
        <v>0</v>
      </c>
      <c r="K958" t="n">
        <v>0</v>
      </c>
      <c r="L958" t="n">
        <v>0</v>
      </c>
      <c r="M958" t="n">
        <v>0</v>
      </c>
      <c r="N958" t="n">
        <v>0</v>
      </c>
      <c r="O958" t="n">
        <v>0</v>
      </c>
      <c r="P958" t="n">
        <v>0</v>
      </c>
      <c r="Q958" t="n">
        <v>0</v>
      </c>
      <c r="R958" s="2" t="inlineStr"/>
    </row>
    <row r="959" ht="15" customHeight="1">
      <c r="A959" t="inlineStr">
        <is>
          <t>A 5014-2024</t>
        </is>
      </c>
      <c r="B959" s="1" t="n">
        <v>45329</v>
      </c>
      <c r="C959" s="1" t="n">
        <v>45755</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5264-2024</t>
        </is>
      </c>
      <c r="B960" s="1" t="n">
        <v>45331</v>
      </c>
      <c r="C960" s="1" t="n">
        <v>45755</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5215-2024</t>
        </is>
      </c>
      <c r="B961" s="1" t="n">
        <v>45330</v>
      </c>
      <c r="C961" s="1" t="n">
        <v>45755</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5666-2024</t>
        </is>
      </c>
      <c r="B962" s="1" t="n">
        <v>45334</v>
      </c>
      <c r="C962" s="1" t="n">
        <v>45755</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5910-2024</t>
        </is>
      </c>
      <c r="B963" s="1" t="n">
        <v>45335</v>
      </c>
      <c r="C963" s="1" t="n">
        <v>45755</v>
      </c>
      <c r="D963" t="inlineStr">
        <is>
          <t>JÄMTLANDS LÄN</t>
        </is>
      </c>
      <c r="E963" t="inlineStr">
        <is>
          <t>BERG</t>
        </is>
      </c>
      <c r="F963" t="inlineStr">
        <is>
          <t>SCA</t>
        </is>
      </c>
      <c r="G963" t="n">
        <v>29.7</v>
      </c>
      <c r="H963" t="n">
        <v>0</v>
      </c>
      <c r="I963" t="n">
        <v>0</v>
      </c>
      <c r="J963" t="n">
        <v>0</v>
      </c>
      <c r="K963" t="n">
        <v>0</v>
      </c>
      <c r="L963" t="n">
        <v>0</v>
      </c>
      <c r="M963" t="n">
        <v>0</v>
      </c>
      <c r="N963" t="n">
        <v>0</v>
      </c>
      <c r="O963" t="n">
        <v>0</v>
      </c>
      <c r="P963" t="n">
        <v>0</v>
      </c>
      <c r="Q963" t="n">
        <v>0</v>
      </c>
      <c r="R963" s="2" t="inlineStr"/>
    </row>
    <row r="964" ht="15" customHeight="1">
      <c r="A964" t="inlineStr">
        <is>
          <t>A 5911-2024</t>
        </is>
      </c>
      <c r="B964" s="1" t="n">
        <v>45335</v>
      </c>
      <c r="C964" s="1" t="n">
        <v>45755</v>
      </c>
      <c r="D964" t="inlineStr">
        <is>
          <t>JÄMTLANDS LÄN</t>
        </is>
      </c>
      <c r="E964" t="inlineStr">
        <is>
          <t>BERG</t>
        </is>
      </c>
      <c r="F964" t="inlineStr">
        <is>
          <t>SCA</t>
        </is>
      </c>
      <c r="G964" t="n">
        <v>28.6</v>
      </c>
      <c r="H964" t="n">
        <v>0</v>
      </c>
      <c r="I964" t="n">
        <v>0</v>
      </c>
      <c r="J964" t="n">
        <v>0</v>
      </c>
      <c r="K964" t="n">
        <v>0</v>
      </c>
      <c r="L964" t="n">
        <v>0</v>
      </c>
      <c r="M964" t="n">
        <v>0</v>
      </c>
      <c r="N964" t="n">
        <v>0</v>
      </c>
      <c r="O964" t="n">
        <v>0</v>
      </c>
      <c r="P964" t="n">
        <v>0</v>
      </c>
      <c r="Q964" t="n">
        <v>0</v>
      </c>
      <c r="R964" s="2" t="inlineStr"/>
    </row>
    <row r="965" ht="15" customHeight="1">
      <c r="A965" t="inlineStr">
        <is>
          <t>A 7040-2024</t>
        </is>
      </c>
      <c r="B965" s="1" t="n">
        <v>45343</v>
      </c>
      <c r="C965" s="1" t="n">
        <v>45755</v>
      </c>
      <c r="D965" t="inlineStr">
        <is>
          <t>JÄMTLANDS LÄN</t>
        </is>
      </c>
      <c r="E965" t="inlineStr">
        <is>
          <t>BERG</t>
        </is>
      </c>
      <c r="G965" t="n">
        <v>15.9</v>
      </c>
      <c r="H965" t="n">
        <v>0</v>
      </c>
      <c r="I965" t="n">
        <v>0</v>
      </c>
      <c r="J965" t="n">
        <v>0</v>
      </c>
      <c r="K965" t="n">
        <v>0</v>
      </c>
      <c r="L965" t="n">
        <v>0</v>
      </c>
      <c r="M965" t="n">
        <v>0</v>
      </c>
      <c r="N965" t="n">
        <v>0</v>
      </c>
      <c r="O965" t="n">
        <v>0</v>
      </c>
      <c r="P965" t="n">
        <v>0</v>
      </c>
      <c r="Q965" t="n">
        <v>0</v>
      </c>
      <c r="R965" s="2" t="inlineStr"/>
    </row>
    <row r="966" ht="15" customHeight="1">
      <c r="A966" t="inlineStr">
        <is>
          <t>A 7192-2024</t>
        </is>
      </c>
      <c r="B966" s="1" t="n">
        <v>45344</v>
      </c>
      <c r="C966" s="1" t="n">
        <v>45755</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7377-2024</t>
        </is>
      </c>
      <c r="B967" s="1" t="n">
        <v>45345</v>
      </c>
      <c r="C967" s="1" t="n">
        <v>45755</v>
      </c>
      <c r="D967" t="inlineStr">
        <is>
          <t>JÄMTLANDS LÄN</t>
        </is>
      </c>
      <c r="E967" t="inlineStr">
        <is>
          <t>BERG</t>
        </is>
      </c>
      <c r="G967" t="n">
        <v>5.3</v>
      </c>
      <c r="H967" t="n">
        <v>0</v>
      </c>
      <c r="I967" t="n">
        <v>0</v>
      </c>
      <c r="J967" t="n">
        <v>0</v>
      </c>
      <c r="K967" t="n">
        <v>0</v>
      </c>
      <c r="L967" t="n">
        <v>0</v>
      </c>
      <c r="M967" t="n">
        <v>0</v>
      </c>
      <c r="N967" t="n">
        <v>0</v>
      </c>
      <c r="O967" t="n">
        <v>0</v>
      </c>
      <c r="P967" t="n">
        <v>0</v>
      </c>
      <c r="Q967" t="n">
        <v>0</v>
      </c>
      <c r="R967" s="2" t="inlineStr"/>
    </row>
    <row r="968" ht="15" customHeight="1">
      <c r="A968" t="inlineStr">
        <is>
          <t>A 7744-2024</t>
        </is>
      </c>
      <c r="B968" s="1" t="n">
        <v>45349</v>
      </c>
      <c r="C968" s="1" t="n">
        <v>45755</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8052-2024</t>
        </is>
      </c>
      <c r="B969" s="1" t="n">
        <v>45351</v>
      </c>
      <c r="C969" s="1" t="n">
        <v>45755</v>
      </c>
      <c r="D969" t="inlineStr">
        <is>
          <t>JÄMTLANDS LÄN</t>
        </is>
      </c>
      <c r="E969" t="inlineStr">
        <is>
          <t>BERG</t>
        </is>
      </c>
      <c r="G969" t="n">
        <v>3.8</v>
      </c>
      <c r="H969" t="n">
        <v>0</v>
      </c>
      <c r="I969" t="n">
        <v>0</v>
      </c>
      <c r="J969" t="n">
        <v>0</v>
      </c>
      <c r="K969" t="n">
        <v>0</v>
      </c>
      <c r="L969" t="n">
        <v>0</v>
      </c>
      <c r="M969" t="n">
        <v>0</v>
      </c>
      <c r="N969" t="n">
        <v>0</v>
      </c>
      <c r="O969" t="n">
        <v>0</v>
      </c>
      <c r="P969" t="n">
        <v>0</v>
      </c>
      <c r="Q969" t="n">
        <v>0</v>
      </c>
      <c r="R969" s="2" t="inlineStr"/>
    </row>
    <row r="970" ht="15" customHeight="1">
      <c r="A970" t="inlineStr">
        <is>
          <t>A 8067-2024</t>
        </is>
      </c>
      <c r="B970" s="1" t="n">
        <v>45351</v>
      </c>
      <c r="C970" s="1" t="n">
        <v>45755</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8095-2024</t>
        </is>
      </c>
      <c r="B971" s="1" t="n">
        <v>45351</v>
      </c>
      <c r="C971" s="1" t="n">
        <v>45755</v>
      </c>
      <c r="D971" t="inlineStr">
        <is>
          <t>JÄMTLANDS LÄN</t>
        </is>
      </c>
      <c r="E971" t="inlineStr">
        <is>
          <t>BERG</t>
        </is>
      </c>
      <c r="G971" t="n">
        <v>13.6</v>
      </c>
      <c r="H971" t="n">
        <v>0</v>
      </c>
      <c r="I971" t="n">
        <v>0</v>
      </c>
      <c r="J971" t="n">
        <v>0</v>
      </c>
      <c r="K971" t="n">
        <v>0</v>
      </c>
      <c r="L971" t="n">
        <v>0</v>
      </c>
      <c r="M971" t="n">
        <v>0</v>
      </c>
      <c r="N971" t="n">
        <v>0</v>
      </c>
      <c r="O971" t="n">
        <v>0</v>
      </c>
      <c r="P971" t="n">
        <v>0</v>
      </c>
      <c r="Q971" t="n">
        <v>0</v>
      </c>
      <c r="R971" s="2" t="inlineStr"/>
    </row>
    <row r="972" ht="15" customHeight="1">
      <c r="A972" t="inlineStr">
        <is>
          <t>A 8065-2024</t>
        </is>
      </c>
      <c r="B972" s="1" t="n">
        <v>45351</v>
      </c>
      <c r="C972" s="1" t="n">
        <v>45755</v>
      </c>
      <c r="D972" t="inlineStr">
        <is>
          <t>JÄMTLANDS LÄN</t>
        </is>
      </c>
      <c r="E972" t="inlineStr">
        <is>
          <t>BERG</t>
        </is>
      </c>
      <c r="G972" t="n">
        <v>6.9</v>
      </c>
      <c r="H972" t="n">
        <v>0</v>
      </c>
      <c r="I972" t="n">
        <v>0</v>
      </c>
      <c r="J972" t="n">
        <v>0</v>
      </c>
      <c r="K972" t="n">
        <v>0</v>
      </c>
      <c r="L972" t="n">
        <v>0</v>
      </c>
      <c r="M972" t="n">
        <v>0</v>
      </c>
      <c r="N972" t="n">
        <v>0</v>
      </c>
      <c r="O972" t="n">
        <v>0</v>
      </c>
      <c r="P972" t="n">
        <v>0</v>
      </c>
      <c r="Q972" t="n">
        <v>0</v>
      </c>
      <c r="R972" s="2" t="inlineStr"/>
    </row>
    <row r="973" ht="15" customHeight="1">
      <c r="A973" t="inlineStr">
        <is>
          <t>A 8069-2024</t>
        </is>
      </c>
      <c r="B973" s="1" t="n">
        <v>45351</v>
      </c>
      <c r="C973" s="1" t="n">
        <v>45755</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8238-2024</t>
        </is>
      </c>
      <c r="B974" s="1" t="n">
        <v>45352</v>
      </c>
      <c r="C974" s="1" t="n">
        <v>45755</v>
      </c>
      <c r="D974" t="inlineStr">
        <is>
          <t>JÄMTLANDS LÄN</t>
        </is>
      </c>
      <c r="E974" t="inlineStr">
        <is>
          <t>BERG</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8070-2024</t>
        </is>
      </c>
      <c r="B975" s="1" t="n">
        <v>45351</v>
      </c>
      <c r="C975" s="1" t="n">
        <v>45755</v>
      </c>
      <c r="D975" t="inlineStr">
        <is>
          <t>JÄMTLANDS LÄN</t>
        </is>
      </c>
      <c r="E975" t="inlineStr">
        <is>
          <t>BERG</t>
        </is>
      </c>
      <c r="G975" t="n">
        <v>3.9</v>
      </c>
      <c r="H975" t="n">
        <v>0</v>
      </c>
      <c r="I975" t="n">
        <v>0</v>
      </c>
      <c r="J975" t="n">
        <v>0</v>
      </c>
      <c r="K975" t="n">
        <v>0</v>
      </c>
      <c r="L975" t="n">
        <v>0</v>
      </c>
      <c r="M975" t="n">
        <v>0</v>
      </c>
      <c r="N975" t="n">
        <v>0</v>
      </c>
      <c r="O975" t="n">
        <v>0</v>
      </c>
      <c r="P975" t="n">
        <v>0</v>
      </c>
      <c r="Q975" t="n">
        <v>0</v>
      </c>
      <c r="R975" s="2" t="inlineStr"/>
    </row>
    <row r="976" ht="15" customHeight="1">
      <c r="A976" t="inlineStr">
        <is>
          <t>A 8239-2024</t>
        </is>
      </c>
      <c r="B976" s="1" t="n">
        <v>45351</v>
      </c>
      <c r="C976" s="1" t="n">
        <v>45755</v>
      </c>
      <c r="D976" t="inlineStr">
        <is>
          <t>JÄMTLANDS LÄN</t>
        </is>
      </c>
      <c r="E976" t="inlineStr">
        <is>
          <t>BERG</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8424-2024</t>
        </is>
      </c>
      <c r="B977" s="1" t="n">
        <v>45353</v>
      </c>
      <c r="C977" s="1" t="n">
        <v>45755</v>
      </c>
      <c r="D977" t="inlineStr">
        <is>
          <t>JÄMTLANDS LÄN</t>
        </is>
      </c>
      <c r="E977" t="inlineStr">
        <is>
          <t>BERG</t>
        </is>
      </c>
      <c r="G977" t="n">
        <v>7.2</v>
      </c>
      <c r="H977" t="n">
        <v>0</v>
      </c>
      <c r="I977" t="n">
        <v>0</v>
      </c>
      <c r="J977" t="n">
        <v>0</v>
      </c>
      <c r="K977" t="n">
        <v>0</v>
      </c>
      <c r="L977" t="n">
        <v>0</v>
      </c>
      <c r="M977" t="n">
        <v>0</v>
      </c>
      <c r="N977" t="n">
        <v>0</v>
      </c>
      <c r="O977" t="n">
        <v>0</v>
      </c>
      <c r="P977" t="n">
        <v>0</v>
      </c>
      <c r="Q977" t="n">
        <v>0</v>
      </c>
      <c r="R977" s="2" t="inlineStr"/>
    </row>
    <row r="978" ht="15" customHeight="1">
      <c r="A978" t="inlineStr">
        <is>
          <t>A 8722-2024</t>
        </is>
      </c>
      <c r="B978" s="1" t="n">
        <v>45355</v>
      </c>
      <c r="C978" s="1" t="n">
        <v>45755</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8726-2024</t>
        </is>
      </c>
      <c r="B979" s="1" t="n">
        <v>45355</v>
      </c>
      <c r="C979" s="1" t="n">
        <v>45755</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8733-2024</t>
        </is>
      </c>
      <c r="B980" s="1" t="n">
        <v>45355</v>
      </c>
      <c r="C980" s="1" t="n">
        <v>45755</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8735-2024</t>
        </is>
      </c>
      <c r="B981" s="1" t="n">
        <v>45355</v>
      </c>
      <c r="C981" s="1" t="n">
        <v>45755</v>
      </c>
      <c r="D981" t="inlineStr">
        <is>
          <t>JÄMTLANDS LÄN</t>
        </is>
      </c>
      <c r="E981" t="inlineStr">
        <is>
          <t>BERG</t>
        </is>
      </c>
      <c r="G981" t="n">
        <v>8.9</v>
      </c>
      <c r="H981" t="n">
        <v>0</v>
      </c>
      <c r="I981" t="n">
        <v>0</v>
      </c>
      <c r="J981" t="n">
        <v>0</v>
      </c>
      <c r="K981" t="n">
        <v>0</v>
      </c>
      <c r="L981" t="n">
        <v>0</v>
      </c>
      <c r="M981" t="n">
        <v>0</v>
      </c>
      <c r="N981" t="n">
        <v>0</v>
      </c>
      <c r="O981" t="n">
        <v>0</v>
      </c>
      <c r="P981" t="n">
        <v>0</v>
      </c>
      <c r="Q981" t="n">
        <v>0</v>
      </c>
      <c r="R981" s="2" t="inlineStr"/>
    </row>
    <row r="982" ht="15" customHeight="1">
      <c r="A982" t="inlineStr">
        <is>
          <t>A 8711-2024</t>
        </is>
      </c>
      <c r="B982" s="1" t="n">
        <v>45356</v>
      </c>
      <c r="C982" s="1" t="n">
        <v>45755</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8718-2024</t>
        </is>
      </c>
      <c r="B983" s="1" t="n">
        <v>45356</v>
      </c>
      <c r="C983" s="1" t="n">
        <v>45755</v>
      </c>
      <c r="D983" t="inlineStr">
        <is>
          <t>JÄMTLANDS LÄN</t>
        </is>
      </c>
      <c r="E983" t="inlineStr">
        <is>
          <t>BERG</t>
        </is>
      </c>
      <c r="G983" t="n">
        <v>11.5</v>
      </c>
      <c r="H983" t="n">
        <v>0</v>
      </c>
      <c r="I983" t="n">
        <v>0</v>
      </c>
      <c r="J983" t="n">
        <v>0</v>
      </c>
      <c r="K983" t="n">
        <v>0</v>
      </c>
      <c r="L983" t="n">
        <v>0</v>
      </c>
      <c r="M983" t="n">
        <v>0</v>
      </c>
      <c r="N983" t="n">
        <v>0</v>
      </c>
      <c r="O983" t="n">
        <v>0</v>
      </c>
      <c r="P983" t="n">
        <v>0</v>
      </c>
      <c r="Q983" t="n">
        <v>0</v>
      </c>
      <c r="R983" s="2" t="inlineStr"/>
    </row>
    <row r="984" ht="15" customHeight="1">
      <c r="A984" t="inlineStr">
        <is>
          <t>A 8887-2024</t>
        </is>
      </c>
      <c r="B984" s="1" t="n">
        <v>45357</v>
      </c>
      <c r="C984" s="1" t="n">
        <v>45755</v>
      </c>
      <c r="D984" t="inlineStr">
        <is>
          <t>JÄMTLANDS LÄN</t>
        </is>
      </c>
      <c r="E984" t="inlineStr">
        <is>
          <t>BERG</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9028-2024</t>
        </is>
      </c>
      <c r="B985" s="1" t="n">
        <v>45357</v>
      </c>
      <c r="C985" s="1" t="n">
        <v>45755</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9133-2024</t>
        </is>
      </c>
      <c r="B986" s="1" t="n">
        <v>45358</v>
      </c>
      <c r="C986" s="1" t="n">
        <v>45755</v>
      </c>
      <c r="D986" t="inlineStr">
        <is>
          <t>JÄMTLANDS LÄN</t>
        </is>
      </c>
      <c r="E986" t="inlineStr">
        <is>
          <t>BERG</t>
        </is>
      </c>
      <c r="G986" t="n">
        <v>7.5</v>
      </c>
      <c r="H986" t="n">
        <v>0</v>
      </c>
      <c r="I986" t="n">
        <v>0</v>
      </c>
      <c r="J986" t="n">
        <v>0</v>
      </c>
      <c r="K986" t="n">
        <v>0</v>
      </c>
      <c r="L986" t="n">
        <v>0</v>
      </c>
      <c r="M986" t="n">
        <v>0</v>
      </c>
      <c r="N986" t="n">
        <v>0</v>
      </c>
      <c r="O986" t="n">
        <v>0</v>
      </c>
      <c r="P986" t="n">
        <v>0</v>
      </c>
      <c r="Q986" t="n">
        <v>0</v>
      </c>
      <c r="R986" s="2" t="inlineStr"/>
    </row>
    <row r="987" ht="15" customHeight="1">
      <c r="A987" t="inlineStr">
        <is>
          <t>A 9478-2024</t>
        </is>
      </c>
      <c r="B987" s="1" t="n">
        <v>45359</v>
      </c>
      <c r="C987" s="1" t="n">
        <v>45755</v>
      </c>
      <c r="D987" t="inlineStr">
        <is>
          <t>JÄMTLANDS LÄN</t>
        </is>
      </c>
      <c r="E987" t="inlineStr">
        <is>
          <t>BERG</t>
        </is>
      </c>
      <c r="G987" t="n">
        <v>6.2</v>
      </c>
      <c r="H987" t="n">
        <v>0</v>
      </c>
      <c r="I987" t="n">
        <v>0</v>
      </c>
      <c r="J987" t="n">
        <v>0</v>
      </c>
      <c r="K987" t="n">
        <v>0</v>
      </c>
      <c r="L987" t="n">
        <v>0</v>
      </c>
      <c r="M987" t="n">
        <v>0</v>
      </c>
      <c r="N987" t="n">
        <v>0</v>
      </c>
      <c r="O987" t="n">
        <v>0</v>
      </c>
      <c r="P987" t="n">
        <v>0</v>
      </c>
      <c r="Q987" t="n">
        <v>0</v>
      </c>
      <c r="R987" s="2" t="inlineStr"/>
    </row>
    <row r="988" ht="15" customHeight="1">
      <c r="A988" t="inlineStr">
        <is>
          <t>A 9482-2024</t>
        </is>
      </c>
      <c r="B988" s="1" t="n">
        <v>45359</v>
      </c>
      <c r="C988" s="1" t="n">
        <v>45755</v>
      </c>
      <c r="D988" t="inlineStr">
        <is>
          <t>JÄMTLANDS LÄN</t>
        </is>
      </c>
      <c r="E988" t="inlineStr">
        <is>
          <t>BERG</t>
        </is>
      </c>
      <c r="G988" t="n">
        <v>3</v>
      </c>
      <c r="H988" t="n">
        <v>0</v>
      </c>
      <c r="I988" t="n">
        <v>0</v>
      </c>
      <c r="J988" t="n">
        <v>0</v>
      </c>
      <c r="K988" t="n">
        <v>0</v>
      </c>
      <c r="L988" t="n">
        <v>0</v>
      </c>
      <c r="M988" t="n">
        <v>0</v>
      </c>
      <c r="N988" t="n">
        <v>0</v>
      </c>
      <c r="O988" t="n">
        <v>0</v>
      </c>
      <c r="P988" t="n">
        <v>0</v>
      </c>
      <c r="Q988" t="n">
        <v>0</v>
      </c>
      <c r="R988" s="2" t="inlineStr"/>
    </row>
    <row r="989" ht="15" customHeight="1">
      <c r="A989" t="inlineStr">
        <is>
          <t>A 9925-2024</t>
        </is>
      </c>
      <c r="B989" s="1" t="n">
        <v>45363</v>
      </c>
      <c r="C989" s="1" t="n">
        <v>45755</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10230-2024</t>
        </is>
      </c>
      <c r="B990" s="1" t="n">
        <v>45365</v>
      </c>
      <c r="C990" s="1" t="n">
        <v>45755</v>
      </c>
      <c r="D990" t="inlineStr">
        <is>
          <t>JÄMTLANDS LÄN</t>
        </is>
      </c>
      <c r="E990" t="inlineStr">
        <is>
          <t>BERG</t>
        </is>
      </c>
      <c r="G990" t="n">
        <v>6.3</v>
      </c>
      <c r="H990" t="n">
        <v>0</v>
      </c>
      <c r="I990" t="n">
        <v>0</v>
      </c>
      <c r="J990" t="n">
        <v>0</v>
      </c>
      <c r="K990" t="n">
        <v>0</v>
      </c>
      <c r="L990" t="n">
        <v>0</v>
      </c>
      <c r="M990" t="n">
        <v>0</v>
      </c>
      <c r="N990" t="n">
        <v>0</v>
      </c>
      <c r="O990" t="n">
        <v>0</v>
      </c>
      <c r="P990" t="n">
        <v>0</v>
      </c>
      <c r="Q990" t="n">
        <v>0</v>
      </c>
      <c r="R990" s="2" t="inlineStr"/>
    </row>
    <row r="991" ht="15" customHeight="1">
      <c r="A991" t="inlineStr">
        <is>
          <t>A 10863-2024</t>
        </is>
      </c>
      <c r="B991" s="1" t="n">
        <v>45370</v>
      </c>
      <c r="C991" s="1" t="n">
        <v>45755</v>
      </c>
      <c r="D991" t="inlineStr">
        <is>
          <t>JÄMTLANDS LÄN</t>
        </is>
      </c>
      <c r="E991" t="inlineStr">
        <is>
          <t>BERG</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10861-2024</t>
        </is>
      </c>
      <c r="B992" s="1" t="n">
        <v>45370</v>
      </c>
      <c r="C992" s="1" t="n">
        <v>45755</v>
      </c>
      <c r="D992" t="inlineStr">
        <is>
          <t>JÄMTLANDS LÄN</t>
        </is>
      </c>
      <c r="E992" t="inlineStr">
        <is>
          <t>BERG</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10860-2024</t>
        </is>
      </c>
      <c r="B993" s="1" t="n">
        <v>45370</v>
      </c>
      <c r="C993" s="1" t="n">
        <v>45755</v>
      </c>
      <c r="D993" t="inlineStr">
        <is>
          <t>JÄMTLANDS LÄN</t>
        </is>
      </c>
      <c r="E993" t="inlineStr">
        <is>
          <t>BERG</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11017-2024</t>
        </is>
      </c>
      <c r="B994" s="1" t="n">
        <v>45370</v>
      </c>
      <c r="C994" s="1" t="n">
        <v>45755</v>
      </c>
      <c r="D994" t="inlineStr">
        <is>
          <t>JÄMTLANDS LÄN</t>
        </is>
      </c>
      <c r="E994" t="inlineStr">
        <is>
          <t>BERG</t>
        </is>
      </c>
      <c r="G994" t="n">
        <v>7.3</v>
      </c>
      <c r="H994" t="n">
        <v>0</v>
      </c>
      <c r="I994" t="n">
        <v>0</v>
      </c>
      <c r="J994" t="n">
        <v>0</v>
      </c>
      <c r="K994" t="n">
        <v>0</v>
      </c>
      <c r="L994" t="n">
        <v>0</v>
      </c>
      <c r="M994" t="n">
        <v>0</v>
      </c>
      <c r="N994" t="n">
        <v>0</v>
      </c>
      <c r="O994" t="n">
        <v>0</v>
      </c>
      <c r="P994" t="n">
        <v>0</v>
      </c>
      <c r="Q994" t="n">
        <v>0</v>
      </c>
      <c r="R994" s="2" t="inlineStr"/>
    </row>
    <row r="995" ht="15" customHeight="1">
      <c r="A995" t="inlineStr">
        <is>
          <t>A 12369-2024</t>
        </is>
      </c>
      <c r="B995" s="1" t="n">
        <v>45378</v>
      </c>
      <c r="C995" s="1" t="n">
        <v>45755</v>
      </c>
      <c r="D995" t="inlineStr">
        <is>
          <t>JÄMTLANDS LÄN</t>
        </is>
      </c>
      <c r="E995" t="inlineStr">
        <is>
          <t>BERG</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12360-2024</t>
        </is>
      </c>
      <c r="B996" s="1" t="n">
        <v>45378</v>
      </c>
      <c r="C996" s="1" t="n">
        <v>45755</v>
      </c>
      <c r="D996" t="inlineStr">
        <is>
          <t>JÄMTLANDS LÄN</t>
        </is>
      </c>
      <c r="E996" t="inlineStr">
        <is>
          <t>BERG</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12364-2024</t>
        </is>
      </c>
      <c r="B997" s="1" t="n">
        <v>45378</v>
      </c>
      <c r="C997" s="1" t="n">
        <v>45755</v>
      </c>
      <c r="D997" t="inlineStr">
        <is>
          <t>JÄMTLANDS LÄN</t>
        </is>
      </c>
      <c r="E997" t="inlineStr">
        <is>
          <t>BERG</t>
        </is>
      </c>
      <c r="F997" t="inlineStr">
        <is>
          <t>SCA</t>
        </is>
      </c>
      <c r="G997" t="n">
        <v>23.1</v>
      </c>
      <c r="H997" t="n">
        <v>0</v>
      </c>
      <c r="I997" t="n">
        <v>0</v>
      </c>
      <c r="J997" t="n">
        <v>0</v>
      </c>
      <c r="K997" t="n">
        <v>0</v>
      </c>
      <c r="L997" t="n">
        <v>0</v>
      </c>
      <c r="M997" t="n">
        <v>0</v>
      </c>
      <c r="N997" t="n">
        <v>0</v>
      </c>
      <c r="O997" t="n">
        <v>0</v>
      </c>
      <c r="P997" t="n">
        <v>0</v>
      </c>
      <c r="Q997" t="n">
        <v>0</v>
      </c>
      <c r="R997" s="2" t="inlineStr"/>
    </row>
    <row r="998" ht="15" customHeight="1">
      <c r="A998" t="inlineStr">
        <is>
          <t>A 12962-2024</t>
        </is>
      </c>
      <c r="B998" s="1" t="n">
        <v>45385</v>
      </c>
      <c r="C998" s="1" t="n">
        <v>45755</v>
      </c>
      <c r="D998" t="inlineStr">
        <is>
          <t>JÄMTLANDS LÄN</t>
        </is>
      </c>
      <c r="E998" t="inlineStr">
        <is>
          <t>BERG</t>
        </is>
      </c>
      <c r="G998" t="n">
        <v>7.3</v>
      </c>
      <c r="H998" t="n">
        <v>0</v>
      </c>
      <c r="I998" t="n">
        <v>0</v>
      </c>
      <c r="J998" t="n">
        <v>0</v>
      </c>
      <c r="K998" t="n">
        <v>0</v>
      </c>
      <c r="L998" t="n">
        <v>0</v>
      </c>
      <c r="M998" t="n">
        <v>0</v>
      </c>
      <c r="N998" t="n">
        <v>0</v>
      </c>
      <c r="O998" t="n">
        <v>0</v>
      </c>
      <c r="P998" t="n">
        <v>0</v>
      </c>
      <c r="Q998" t="n">
        <v>0</v>
      </c>
      <c r="R998" s="2" t="inlineStr"/>
    </row>
    <row r="999" ht="15" customHeight="1">
      <c r="A999" t="inlineStr">
        <is>
          <t>A 12966-2024</t>
        </is>
      </c>
      <c r="B999" s="1" t="n">
        <v>45385</v>
      </c>
      <c r="C999" s="1" t="n">
        <v>45755</v>
      </c>
      <c r="D999" t="inlineStr">
        <is>
          <t>JÄMTLANDS LÄN</t>
        </is>
      </c>
      <c r="E999" t="inlineStr">
        <is>
          <t>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12970-2024</t>
        </is>
      </c>
      <c r="B1000" s="1" t="n">
        <v>45385</v>
      </c>
      <c r="C1000" s="1" t="n">
        <v>45755</v>
      </c>
      <c r="D1000" t="inlineStr">
        <is>
          <t>JÄMTLANDS LÄN</t>
        </is>
      </c>
      <c r="E1000" t="inlineStr">
        <is>
          <t>BERG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13102-2024</t>
        </is>
      </c>
      <c r="B1001" s="1" t="n">
        <v>45385</v>
      </c>
      <c r="C1001" s="1" t="n">
        <v>45755</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12955-2024</t>
        </is>
      </c>
      <c r="B1002" s="1" t="n">
        <v>45385</v>
      </c>
      <c r="C1002" s="1" t="n">
        <v>45755</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12995-2024</t>
        </is>
      </c>
      <c r="B1003" s="1" t="n">
        <v>45385</v>
      </c>
      <c r="C1003" s="1" t="n">
        <v>45755</v>
      </c>
      <c r="D1003" t="inlineStr">
        <is>
          <t>JÄMTLANDS LÄN</t>
        </is>
      </c>
      <c r="E1003" t="inlineStr">
        <is>
          <t>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13103-2024</t>
        </is>
      </c>
      <c r="B1004" s="1" t="n">
        <v>45385</v>
      </c>
      <c r="C1004" s="1" t="n">
        <v>45755</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12973-2024</t>
        </is>
      </c>
      <c r="B1005" s="1" t="n">
        <v>45385</v>
      </c>
      <c r="C1005" s="1" t="n">
        <v>45755</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13104-2024</t>
        </is>
      </c>
      <c r="B1006" s="1" t="n">
        <v>45385</v>
      </c>
      <c r="C1006" s="1" t="n">
        <v>45755</v>
      </c>
      <c r="D1006" t="inlineStr">
        <is>
          <t>JÄMTLANDS LÄN</t>
        </is>
      </c>
      <c r="E1006" t="inlineStr">
        <is>
          <t>BERG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13436-2024</t>
        </is>
      </c>
      <c r="B1007" s="1" t="n">
        <v>45387</v>
      </c>
      <c r="C1007" s="1" t="n">
        <v>45755</v>
      </c>
      <c r="D1007" t="inlineStr">
        <is>
          <t>JÄMTLANDS LÄN</t>
        </is>
      </c>
      <c r="E1007" t="inlineStr">
        <is>
          <t>BERG</t>
        </is>
      </c>
      <c r="G1007" t="n">
        <v>28.9</v>
      </c>
      <c r="H1007" t="n">
        <v>0</v>
      </c>
      <c r="I1007" t="n">
        <v>0</v>
      </c>
      <c r="J1007" t="n">
        <v>0</v>
      </c>
      <c r="K1007" t="n">
        <v>0</v>
      </c>
      <c r="L1007" t="n">
        <v>0</v>
      </c>
      <c r="M1007" t="n">
        <v>0</v>
      </c>
      <c r="N1007" t="n">
        <v>0</v>
      </c>
      <c r="O1007" t="n">
        <v>0</v>
      </c>
      <c r="P1007" t="n">
        <v>0</v>
      </c>
      <c r="Q1007" t="n">
        <v>0</v>
      </c>
      <c r="R1007" s="2" t="inlineStr"/>
    </row>
    <row r="1008" ht="15" customHeight="1">
      <c r="A1008" t="inlineStr">
        <is>
          <t>A 13373-2024</t>
        </is>
      </c>
      <c r="B1008" s="1" t="n">
        <v>45387</v>
      </c>
      <c r="C1008" s="1" t="n">
        <v>45755</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13364-2024</t>
        </is>
      </c>
      <c r="B1009" s="1" t="n">
        <v>45387</v>
      </c>
      <c r="C1009" s="1" t="n">
        <v>45755</v>
      </c>
      <c r="D1009" t="inlineStr">
        <is>
          <t>JÄMTLANDS LÄN</t>
        </is>
      </c>
      <c r="E1009" t="inlineStr">
        <is>
          <t>BERG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13540-2024</t>
        </is>
      </c>
      <c r="B1010" s="1" t="n">
        <v>45388</v>
      </c>
      <c r="C1010" s="1" t="n">
        <v>45755</v>
      </c>
      <c r="D1010" t="inlineStr">
        <is>
          <t>JÄMTLANDS LÄN</t>
        </is>
      </c>
      <c r="E1010" t="inlineStr">
        <is>
          <t>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13524-2024</t>
        </is>
      </c>
      <c r="B1011" s="1" t="n">
        <v>45387</v>
      </c>
      <c r="C1011" s="1" t="n">
        <v>45755</v>
      </c>
      <c r="D1011" t="inlineStr">
        <is>
          <t>JÄMTLANDS LÄN</t>
        </is>
      </c>
      <c r="E1011" t="inlineStr">
        <is>
          <t>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13672-2024</t>
        </is>
      </c>
      <c r="B1012" s="1" t="n">
        <v>45390</v>
      </c>
      <c r="C1012" s="1" t="n">
        <v>45755</v>
      </c>
      <c r="D1012" t="inlineStr">
        <is>
          <t>JÄMTLANDS LÄN</t>
        </is>
      </c>
      <c r="E1012" t="inlineStr">
        <is>
          <t>BERG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13805-2024</t>
        </is>
      </c>
      <c r="B1013" s="1" t="n">
        <v>45390</v>
      </c>
      <c r="C1013" s="1" t="n">
        <v>45755</v>
      </c>
      <c r="D1013" t="inlineStr">
        <is>
          <t>JÄMTLANDS LÄN</t>
        </is>
      </c>
      <c r="E1013" t="inlineStr">
        <is>
          <t>BERG</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13936-2024</t>
        </is>
      </c>
      <c r="B1014" s="1" t="n">
        <v>45392</v>
      </c>
      <c r="C1014" s="1" t="n">
        <v>45755</v>
      </c>
      <c r="D1014" t="inlineStr">
        <is>
          <t>JÄMTLANDS LÄN</t>
        </is>
      </c>
      <c r="E1014" t="inlineStr">
        <is>
          <t>BERG</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14162-2024</t>
        </is>
      </c>
      <c r="B1015" s="1" t="n">
        <v>45392</v>
      </c>
      <c r="C1015" s="1" t="n">
        <v>45755</v>
      </c>
      <c r="D1015" t="inlineStr">
        <is>
          <t>JÄMTLANDS LÄN</t>
        </is>
      </c>
      <c r="E1015" t="inlineStr">
        <is>
          <t>BERG</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15156-2024</t>
        </is>
      </c>
      <c r="B1016" s="1" t="n">
        <v>45400</v>
      </c>
      <c r="C1016" s="1" t="n">
        <v>45755</v>
      </c>
      <c r="D1016" t="inlineStr">
        <is>
          <t>JÄMTLANDS LÄN</t>
        </is>
      </c>
      <c r="E1016" t="inlineStr">
        <is>
          <t>BERG</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15237-2024</t>
        </is>
      </c>
      <c r="B1017" s="1" t="n">
        <v>45400</v>
      </c>
      <c r="C1017" s="1" t="n">
        <v>45755</v>
      </c>
      <c r="D1017" t="inlineStr">
        <is>
          <t>JÄMTLANDS LÄN</t>
        </is>
      </c>
      <c r="E1017" t="inlineStr">
        <is>
          <t>BERG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16247-2024</t>
        </is>
      </c>
      <c r="B1018" s="1" t="n">
        <v>45407</v>
      </c>
      <c r="C1018" s="1" t="n">
        <v>45755</v>
      </c>
      <c r="D1018" t="inlineStr">
        <is>
          <t>JÄMTLANDS LÄN</t>
        </is>
      </c>
      <c r="E1018" t="inlineStr">
        <is>
          <t>BERG</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16246-2024</t>
        </is>
      </c>
      <c r="B1019" s="1" t="n">
        <v>45407</v>
      </c>
      <c r="C1019" s="1" t="n">
        <v>45755</v>
      </c>
      <c r="D1019" t="inlineStr">
        <is>
          <t>JÄMTLANDS LÄN</t>
        </is>
      </c>
      <c r="E1019" t="inlineStr">
        <is>
          <t>BERG</t>
        </is>
      </c>
      <c r="F1019" t="inlineStr">
        <is>
          <t>SCA</t>
        </is>
      </c>
      <c r="G1019" t="n">
        <v>19.1</v>
      </c>
      <c r="H1019" t="n">
        <v>0</v>
      </c>
      <c r="I1019" t="n">
        <v>0</v>
      </c>
      <c r="J1019" t="n">
        <v>0</v>
      </c>
      <c r="K1019" t="n">
        <v>0</v>
      </c>
      <c r="L1019" t="n">
        <v>0</v>
      </c>
      <c r="M1019" t="n">
        <v>0</v>
      </c>
      <c r="N1019" t="n">
        <v>0</v>
      </c>
      <c r="O1019" t="n">
        <v>0</v>
      </c>
      <c r="P1019" t="n">
        <v>0</v>
      </c>
      <c r="Q1019" t="n">
        <v>0</v>
      </c>
      <c r="R1019" s="2" t="inlineStr"/>
    </row>
    <row r="1020" ht="15" customHeight="1">
      <c r="A1020" t="inlineStr">
        <is>
          <t>A 17092-2024</t>
        </is>
      </c>
      <c r="B1020" s="1" t="n">
        <v>45412</v>
      </c>
      <c r="C1020" s="1" t="n">
        <v>45755</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17584-2024</t>
        </is>
      </c>
      <c r="B1021" s="1" t="n">
        <v>45415</v>
      </c>
      <c r="C1021" s="1" t="n">
        <v>45755</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17748-2024</t>
        </is>
      </c>
      <c r="B1022" s="1" t="n">
        <v>45418</v>
      </c>
      <c r="C1022" s="1" t="n">
        <v>45755</v>
      </c>
      <c r="D1022" t="inlineStr">
        <is>
          <t>JÄMTLANDS LÄN</t>
        </is>
      </c>
      <c r="E1022" t="inlineStr">
        <is>
          <t>BERG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17922-2024</t>
        </is>
      </c>
      <c r="B1023" s="1" t="n">
        <v>45419</v>
      </c>
      <c r="C1023" s="1" t="n">
        <v>45755</v>
      </c>
      <c r="D1023" t="inlineStr">
        <is>
          <t>JÄMTLANDS LÄN</t>
        </is>
      </c>
      <c r="E1023" t="inlineStr">
        <is>
          <t>BERG</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17929-2024</t>
        </is>
      </c>
      <c r="B1024" s="1" t="n">
        <v>45419</v>
      </c>
      <c r="C1024" s="1" t="n">
        <v>45755</v>
      </c>
      <c r="D1024" t="inlineStr">
        <is>
          <t>JÄMTLANDS LÄN</t>
        </is>
      </c>
      <c r="E1024" t="inlineStr">
        <is>
          <t>BERG</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18007-2024</t>
        </is>
      </c>
      <c r="B1025" s="1" t="n">
        <v>45420</v>
      </c>
      <c r="C1025" s="1" t="n">
        <v>45755</v>
      </c>
      <c r="D1025" t="inlineStr">
        <is>
          <t>JÄMTLANDS LÄN</t>
        </is>
      </c>
      <c r="E1025" t="inlineStr">
        <is>
          <t>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17899-2024</t>
        </is>
      </c>
      <c r="B1026" s="1" t="n">
        <v>45419</v>
      </c>
      <c r="C1026" s="1" t="n">
        <v>45755</v>
      </c>
      <c r="D1026" t="inlineStr">
        <is>
          <t>JÄMTLANDS LÄN</t>
        </is>
      </c>
      <c r="E1026" t="inlineStr">
        <is>
          <t>BERG</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18032-2024</t>
        </is>
      </c>
      <c r="B1027" s="1" t="n">
        <v>45420</v>
      </c>
      <c r="C1027" s="1" t="n">
        <v>45755</v>
      </c>
      <c r="D1027" t="inlineStr">
        <is>
          <t>JÄMTLANDS LÄN</t>
        </is>
      </c>
      <c r="E1027" t="inlineStr">
        <is>
          <t>BERG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18153-2024</t>
        </is>
      </c>
      <c r="B1028" s="1" t="n">
        <v>45420</v>
      </c>
      <c r="C1028" s="1" t="n">
        <v>45755</v>
      </c>
      <c r="D1028" t="inlineStr">
        <is>
          <t>JÄMTLANDS LÄN</t>
        </is>
      </c>
      <c r="E1028" t="inlineStr">
        <is>
          <t>BERG</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18112-2024</t>
        </is>
      </c>
      <c r="B1029" s="1" t="n">
        <v>45420</v>
      </c>
      <c r="C1029" s="1" t="n">
        <v>45755</v>
      </c>
      <c r="D1029" t="inlineStr">
        <is>
          <t>JÄMTLANDS LÄN</t>
        </is>
      </c>
      <c r="E1029" t="inlineStr">
        <is>
          <t>BERG</t>
        </is>
      </c>
      <c r="F1029" t="inlineStr">
        <is>
          <t>Holmen skog AB</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18520-2024</t>
        </is>
      </c>
      <c r="B1030" s="1" t="n">
        <v>45425</v>
      </c>
      <c r="C1030" s="1" t="n">
        <v>45755</v>
      </c>
      <c r="D1030" t="inlineStr">
        <is>
          <t>JÄMTLANDS LÄN</t>
        </is>
      </c>
      <c r="E1030" t="inlineStr">
        <is>
          <t>BERG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18502-2024</t>
        </is>
      </c>
      <c r="B1031" s="1" t="n">
        <v>45425</v>
      </c>
      <c r="C1031" s="1" t="n">
        <v>45755</v>
      </c>
      <c r="D1031" t="inlineStr">
        <is>
          <t>JÄMTLANDS LÄN</t>
        </is>
      </c>
      <c r="E1031" t="inlineStr">
        <is>
          <t>BERG</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18685-2024</t>
        </is>
      </c>
      <c r="B1032" s="1" t="n">
        <v>45426</v>
      </c>
      <c r="C1032" s="1" t="n">
        <v>45755</v>
      </c>
      <c r="D1032" t="inlineStr">
        <is>
          <t>JÄMTLANDS LÄN</t>
        </is>
      </c>
      <c r="E1032" t="inlineStr">
        <is>
          <t>BERG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18752-2024</t>
        </is>
      </c>
      <c r="B1033" s="1" t="n">
        <v>45426</v>
      </c>
      <c r="C1033" s="1" t="n">
        <v>45755</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18833-2024</t>
        </is>
      </c>
      <c r="B1034" s="1" t="n">
        <v>45426</v>
      </c>
      <c r="C1034" s="1" t="n">
        <v>45755</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18775-2024</t>
        </is>
      </c>
      <c r="B1035" s="1" t="n">
        <v>45426</v>
      </c>
      <c r="C1035" s="1" t="n">
        <v>45755</v>
      </c>
      <c r="D1035" t="inlineStr">
        <is>
          <t>JÄMTLANDS LÄN</t>
        </is>
      </c>
      <c r="E1035" t="inlineStr">
        <is>
          <t>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19087-2024</t>
        </is>
      </c>
      <c r="B1036" s="1" t="n">
        <v>45428</v>
      </c>
      <c r="C1036" s="1" t="n">
        <v>45755</v>
      </c>
      <c r="D1036" t="inlineStr">
        <is>
          <t>JÄMTLANDS LÄN</t>
        </is>
      </c>
      <c r="E1036" t="inlineStr">
        <is>
          <t>BERG</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19345-2024</t>
        </is>
      </c>
      <c r="B1037" s="1" t="n">
        <v>45429</v>
      </c>
      <c r="C1037" s="1" t="n">
        <v>45755</v>
      </c>
      <c r="D1037" t="inlineStr">
        <is>
          <t>JÄMTLANDS LÄN</t>
        </is>
      </c>
      <c r="E1037" t="inlineStr">
        <is>
          <t>BERG</t>
        </is>
      </c>
      <c r="F1037" t="inlineStr">
        <is>
          <t>SCA</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19350-2024</t>
        </is>
      </c>
      <c r="B1038" s="1" t="n">
        <v>45429</v>
      </c>
      <c r="C1038" s="1" t="n">
        <v>45755</v>
      </c>
      <c r="D1038" t="inlineStr">
        <is>
          <t>JÄMTLANDS LÄN</t>
        </is>
      </c>
      <c r="E1038" t="inlineStr">
        <is>
          <t>BERG</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20257-2024</t>
        </is>
      </c>
      <c r="B1039" s="1" t="n">
        <v>45435</v>
      </c>
      <c r="C1039" s="1" t="n">
        <v>45755</v>
      </c>
      <c r="D1039" t="inlineStr">
        <is>
          <t>JÄMTLANDS LÄN</t>
        </is>
      </c>
      <c r="E1039" t="inlineStr">
        <is>
          <t>BERG</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20258-2024</t>
        </is>
      </c>
      <c r="B1040" s="1" t="n">
        <v>45435</v>
      </c>
      <c r="C1040" s="1" t="n">
        <v>45755</v>
      </c>
      <c r="D1040" t="inlineStr">
        <is>
          <t>JÄMTLANDS LÄN</t>
        </is>
      </c>
      <c r="E1040" t="inlineStr">
        <is>
          <t>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20270-2024</t>
        </is>
      </c>
      <c r="B1041" s="1" t="n">
        <v>45435</v>
      </c>
      <c r="C1041" s="1" t="n">
        <v>45755</v>
      </c>
      <c r="D1041" t="inlineStr">
        <is>
          <t>JÄMTLANDS LÄN</t>
        </is>
      </c>
      <c r="E1041" t="inlineStr">
        <is>
          <t>BERG</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20268-2024</t>
        </is>
      </c>
      <c r="B1042" s="1" t="n">
        <v>45435</v>
      </c>
      <c r="C1042" s="1" t="n">
        <v>45755</v>
      </c>
      <c r="D1042" t="inlineStr">
        <is>
          <t>JÄMTLANDS LÄN</t>
        </is>
      </c>
      <c r="E1042" t="inlineStr">
        <is>
          <t>BERG</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21018-2024</t>
        </is>
      </c>
      <c r="B1043" s="1" t="n">
        <v>45439</v>
      </c>
      <c r="C1043" s="1" t="n">
        <v>45755</v>
      </c>
      <c r="D1043" t="inlineStr">
        <is>
          <t>JÄMTLANDS LÄN</t>
        </is>
      </c>
      <c r="E1043" t="inlineStr">
        <is>
          <t>BERG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21508-2024</t>
        </is>
      </c>
      <c r="B1044" s="1" t="n">
        <v>45441</v>
      </c>
      <c r="C1044" s="1" t="n">
        <v>45755</v>
      </c>
      <c r="D1044" t="inlineStr">
        <is>
          <t>JÄMTLANDS LÄN</t>
        </is>
      </c>
      <c r="E1044" t="inlineStr">
        <is>
          <t>BERG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21512-2024</t>
        </is>
      </c>
      <c r="B1045" s="1" t="n">
        <v>45441</v>
      </c>
      <c r="C1045" s="1" t="n">
        <v>45755</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21521-2024</t>
        </is>
      </c>
      <c r="B1046" s="1" t="n">
        <v>45441</v>
      </c>
      <c r="C1046" s="1" t="n">
        <v>45755</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21537-2024</t>
        </is>
      </c>
      <c r="B1047" s="1" t="n">
        <v>45441</v>
      </c>
      <c r="C1047" s="1" t="n">
        <v>45755</v>
      </c>
      <c r="D1047" t="inlineStr">
        <is>
          <t>JÄMTLANDS LÄN</t>
        </is>
      </c>
      <c r="E1047" t="inlineStr">
        <is>
          <t>BERG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21502-2024</t>
        </is>
      </c>
      <c r="B1048" s="1" t="n">
        <v>45441</v>
      </c>
      <c r="C1048" s="1" t="n">
        <v>45755</v>
      </c>
      <c r="D1048" t="inlineStr">
        <is>
          <t>JÄMTLANDS LÄN</t>
        </is>
      </c>
      <c r="E1048" t="inlineStr">
        <is>
          <t>BERG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21644-2024</t>
        </is>
      </c>
      <c r="B1049" s="1" t="n">
        <v>45442</v>
      </c>
      <c r="C1049" s="1" t="n">
        <v>45755</v>
      </c>
      <c r="D1049" t="inlineStr">
        <is>
          <t>JÄMTLANDS LÄN</t>
        </is>
      </c>
      <c r="E1049" t="inlineStr">
        <is>
          <t>BERG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21998-2024</t>
        </is>
      </c>
      <c r="B1050" s="1" t="n">
        <v>45443</v>
      </c>
      <c r="C1050" s="1" t="n">
        <v>45755</v>
      </c>
      <c r="D1050" t="inlineStr">
        <is>
          <t>JÄMTLANDS LÄN</t>
        </is>
      </c>
      <c r="E1050" t="inlineStr">
        <is>
          <t>BERG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22020-2024</t>
        </is>
      </c>
      <c r="B1051" s="1" t="n">
        <v>45443</v>
      </c>
      <c r="C1051" s="1" t="n">
        <v>45755</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22950-2024</t>
        </is>
      </c>
      <c r="B1052" s="1" t="n">
        <v>45449</v>
      </c>
      <c r="C1052" s="1" t="n">
        <v>45755</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23165-2024</t>
        </is>
      </c>
      <c r="B1053" s="1" t="n">
        <v>45450</v>
      </c>
      <c r="C1053" s="1" t="n">
        <v>45755</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23177-2024</t>
        </is>
      </c>
      <c r="B1054" s="1" t="n">
        <v>45451</v>
      </c>
      <c r="C1054" s="1" t="n">
        <v>45755</v>
      </c>
      <c r="D1054" t="inlineStr">
        <is>
          <t>JÄMTLANDS LÄN</t>
        </is>
      </c>
      <c r="E1054" t="inlineStr">
        <is>
          <t>BERG</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23560-2024</t>
        </is>
      </c>
      <c r="B1055" s="1" t="n">
        <v>45454</v>
      </c>
      <c r="C1055" s="1" t="n">
        <v>45755</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23559-2024</t>
        </is>
      </c>
      <c r="B1056" s="1" t="n">
        <v>45454</v>
      </c>
      <c r="C1056" s="1" t="n">
        <v>45755</v>
      </c>
      <c r="D1056" t="inlineStr">
        <is>
          <t>JÄMTLANDS LÄN</t>
        </is>
      </c>
      <c r="E1056" t="inlineStr">
        <is>
          <t>BERG</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23672-2024</t>
        </is>
      </c>
      <c r="B1057" s="1" t="n">
        <v>45454</v>
      </c>
      <c r="C1057" s="1" t="n">
        <v>45755</v>
      </c>
      <c r="D1057" t="inlineStr">
        <is>
          <t>JÄMTLANDS LÄN</t>
        </is>
      </c>
      <c r="E1057" t="inlineStr">
        <is>
          <t>BERG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23877-2024</t>
        </is>
      </c>
      <c r="B1058" s="1" t="n">
        <v>45455</v>
      </c>
      <c r="C1058" s="1" t="n">
        <v>45755</v>
      </c>
      <c r="D1058" t="inlineStr">
        <is>
          <t>JÄMTLANDS LÄN</t>
        </is>
      </c>
      <c r="E1058" t="inlineStr">
        <is>
          <t>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23880-2024</t>
        </is>
      </c>
      <c r="B1059" s="1" t="n">
        <v>45455</v>
      </c>
      <c r="C1059" s="1" t="n">
        <v>45755</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23875-2024</t>
        </is>
      </c>
      <c r="B1060" s="1" t="n">
        <v>45455</v>
      </c>
      <c r="C1060" s="1" t="n">
        <v>45755</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24737-2024</t>
        </is>
      </c>
      <c r="B1061" s="1" t="n">
        <v>45460</v>
      </c>
      <c r="C1061" s="1" t="n">
        <v>45755</v>
      </c>
      <c r="D1061" t="inlineStr">
        <is>
          <t>JÄMTLANDS LÄN</t>
        </is>
      </c>
      <c r="E1061" t="inlineStr">
        <is>
          <t>BERG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25133-2024</t>
        </is>
      </c>
      <c r="B1062" s="1" t="n">
        <v>45462</v>
      </c>
      <c r="C1062" s="1" t="n">
        <v>45755</v>
      </c>
      <c r="D1062" t="inlineStr">
        <is>
          <t>JÄMTLANDS LÄN</t>
        </is>
      </c>
      <c r="E1062" t="inlineStr">
        <is>
          <t>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25134-2024</t>
        </is>
      </c>
      <c r="B1063" s="1" t="n">
        <v>45462</v>
      </c>
      <c r="C1063" s="1" t="n">
        <v>45755</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25706-2024</t>
        </is>
      </c>
      <c r="B1064" s="1" t="n">
        <v>45464</v>
      </c>
      <c r="C1064" s="1" t="n">
        <v>45755</v>
      </c>
      <c r="D1064" t="inlineStr">
        <is>
          <t>JÄMTLANDS LÄN</t>
        </is>
      </c>
      <c r="E1064" t="inlineStr">
        <is>
          <t>BERG</t>
        </is>
      </c>
      <c r="F1064" t="inlineStr">
        <is>
          <t>SCA</t>
        </is>
      </c>
      <c r="G1064" t="n">
        <v>21.2</v>
      </c>
      <c r="H1064" t="n">
        <v>0</v>
      </c>
      <c r="I1064" t="n">
        <v>0</v>
      </c>
      <c r="J1064" t="n">
        <v>0</v>
      </c>
      <c r="K1064" t="n">
        <v>0</v>
      </c>
      <c r="L1064" t="n">
        <v>0</v>
      </c>
      <c r="M1064" t="n">
        <v>0</v>
      </c>
      <c r="N1064" t="n">
        <v>0</v>
      </c>
      <c r="O1064" t="n">
        <v>0</v>
      </c>
      <c r="P1064" t="n">
        <v>0</v>
      </c>
      <c r="Q1064" t="n">
        <v>0</v>
      </c>
      <c r="R1064" s="2" t="inlineStr"/>
    </row>
    <row r="1065" ht="15" customHeight="1">
      <c r="A1065" t="inlineStr">
        <is>
          <t>A 25738-2024</t>
        </is>
      </c>
      <c r="B1065" s="1" t="n">
        <v>45465</v>
      </c>
      <c r="C1065" s="1" t="n">
        <v>45755</v>
      </c>
      <c r="D1065" t="inlineStr">
        <is>
          <t>JÄMTLANDS LÄN</t>
        </is>
      </c>
      <c r="E1065" t="inlineStr">
        <is>
          <t>BERG</t>
        </is>
      </c>
      <c r="F1065" t="inlineStr">
        <is>
          <t>SCA</t>
        </is>
      </c>
      <c r="G1065" t="n">
        <v>36.6</v>
      </c>
      <c r="H1065" t="n">
        <v>0</v>
      </c>
      <c r="I1065" t="n">
        <v>0</v>
      </c>
      <c r="J1065" t="n">
        <v>0</v>
      </c>
      <c r="K1065" t="n">
        <v>0</v>
      </c>
      <c r="L1065" t="n">
        <v>0</v>
      </c>
      <c r="M1065" t="n">
        <v>0</v>
      </c>
      <c r="N1065" t="n">
        <v>0</v>
      </c>
      <c r="O1065" t="n">
        <v>0</v>
      </c>
      <c r="P1065" t="n">
        <v>0</v>
      </c>
      <c r="Q1065" t="n">
        <v>0</v>
      </c>
      <c r="R1065" s="2" t="inlineStr"/>
    </row>
    <row r="1066" ht="15" customHeight="1">
      <c r="A1066" t="inlineStr">
        <is>
          <t>A 26034-2024</t>
        </is>
      </c>
      <c r="B1066" s="1" t="n">
        <v>45468</v>
      </c>
      <c r="C1066" s="1" t="n">
        <v>45755</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26647-2024</t>
        </is>
      </c>
      <c r="B1067" s="1" t="n">
        <v>45470</v>
      </c>
      <c r="C1067" s="1" t="n">
        <v>45755</v>
      </c>
      <c r="D1067" t="inlineStr">
        <is>
          <t>JÄMTLANDS LÄN</t>
        </is>
      </c>
      <c r="E1067" t="inlineStr">
        <is>
          <t>BERG</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26954-2024</t>
        </is>
      </c>
      <c r="B1068" s="1" t="n">
        <v>45471</v>
      </c>
      <c r="C1068" s="1" t="n">
        <v>45755</v>
      </c>
      <c r="D1068" t="inlineStr">
        <is>
          <t>JÄMTLANDS LÄN</t>
        </is>
      </c>
      <c r="E1068" t="inlineStr">
        <is>
          <t>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26935-2024</t>
        </is>
      </c>
      <c r="B1069" s="1" t="n">
        <v>45471</v>
      </c>
      <c r="C1069" s="1" t="n">
        <v>45755</v>
      </c>
      <c r="D1069" t="inlineStr">
        <is>
          <t>JÄMTLANDS LÄN</t>
        </is>
      </c>
      <c r="E1069" t="inlineStr">
        <is>
          <t>BERG</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26918-2024</t>
        </is>
      </c>
      <c r="B1070" s="1" t="n">
        <v>45470</v>
      </c>
      <c r="C1070" s="1" t="n">
        <v>45755</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27146-2024</t>
        </is>
      </c>
      <c r="B1071" s="1" t="n">
        <v>45471</v>
      </c>
      <c r="C1071" s="1" t="n">
        <v>45755</v>
      </c>
      <c r="D1071" t="inlineStr">
        <is>
          <t>JÄMTLANDS LÄN</t>
        </is>
      </c>
      <c r="E1071" t="inlineStr">
        <is>
          <t>BERG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27348-2024</t>
        </is>
      </c>
      <c r="B1072" s="1" t="n">
        <v>45473</v>
      </c>
      <c r="C1072" s="1" t="n">
        <v>45755</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27579-2024</t>
        </is>
      </c>
      <c r="B1073" s="1" t="n">
        <v>45474</v>
      </c>
      <c r="C1073" s="1" t="n">
        <v>45755</v>
      </c>
      <c r="D1073" t="inlineStr">
        <is>
          <t>JÄMTLANDS LÄN</t>
        </is>
      </c>
      <c r="E1073" t="inlineStr">
        <is>
          <t>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27920-2024</t>
        </is>
      </c>
      <c r="B1074" s="1" t="n">
        <v>45476</v>
      </c>
      <c r="C1074" s="1" t="n">
        <v>45755</v>
      </c>
      <c r="D1074" t="inlineStr">
        <is>
          <t>JÄMTLANDS LÄN</t>
        </is>
      </c>
      <c r="E1074" t="inlineStr">
        <is>
          <t>BERG</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28098-2024</t>
        </is>
      </c>
      <c r="B1075" s="1" t="n">
        <v>45476</v>
      </c>
      <c r="C1075" s="1" t="n">
        <v>45755</v>
      </c>
      <c r="D1075" t="inlineStr">
        <is>
          <t>JÄMTLANDS LÄN</t>
        </is>
      </c>
      <c r="E1075" t="inlineStr">
        <is>
          <t>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28165-2024</t>
        </is>
      </c>
      <c r="B1076" s="1" t="n">
        <v>45477</v>
      </c>
      <c r="C1076" s="1" t="n">
        <v>45755</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28166-2024</t>
        </is>
      </c>
      <c r="B1077" s="1" t="n">
        <v>45477</v>
      </c>
      <c r="C1077" s="1" t="n">
        <v>45755</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28877-2024</t>
        </is>
      </c>
      <c r="B1078" s="1" t="n">
        <v>45479</v>
      </c>
      <c r="C1078" s="1" t="n">
        <v>45755</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28872-2024</t>
        </is>
      </c>
      <c r="B1079" s="1" t="n">
        <v>45479</v>
      </c>
      <c r="C1079" s="1" t="n">
        <v>45755</v>
      </c>
      <c r="D1079" t="inlineStr">
        <is>
          <t>JÄMTLANDS LÄN</t>
        </is>
      </c>
      <c r="E1079" t="inlineStr">
        <is>
          <t>BERG</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29087-2024</t>
        </is>
      </c>
      <c r="B1080" s="1" t="n">
        <v>45482</v>
      </c>
      <c r="C1080" s="1" t="n">
        <v>45755</v>
      </c>
      <c r="D1080" t="inlineStr">
        <is>
          <t>JÄMTLANDS LÄN</t>
        </is>
      </c>
      <c r="E1080" t="inlineStr">
        <is>
          <t>BERG</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29378-2024</t>
        </is>
      </c>
      <c r="B1081" s="1" t="n">
        <v>45483</v>
      </c>
      <c r="C1081" s="1" t="n">
        <v>45755</v>
      </c>
      <c r="D1081" t="inlineStr">
        <is>
          <t>JÄMTLANDS LÄN</t>
        </is>
      </c>
      <c r="E1081" t="inlineStr">
        <is>
          <t>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29424-2024</t>
        </is>
      </c>
      <c r="B1082" s="1" t="n">
        <v>45483</v>
      </c>
      <c r="C1082" s="1" t="n">
        <v>45755</v>
      </c>
      <c r="D1082" t="inlineStr">
        <is>
          <t>JÄMTLANDS LÄN</t>
        </is>
      </c>
      <c r="E1082" t="inlineStr">
        <is>
          <t>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29428-2024</t>
        </is>
      </c>
      <c r="B1083" s="1" t="n">
        <v>45483</v>
      </c>
      <c r="C1083" s="1" t="n">
        <v>45755</v>
      </c>
      <c r="D1083" t="inlineStr">
        <is>
          <t>JÄMTLANDS LÄN</t>
        </is>
      </c>
      <c r="E1083" t="inlineStr">
        <is>
          <t>BERG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29581-2024</t>
        </is>
      </c>
      <c r="B1084" s="1" t="n">
        <v>45484</v>
      </c>
      <c r="C1084" s="1" t="n">
        <v>45755</v>
      </c>
      <c r="D1084" t="inlineStr">
        <is>
          <t>JÄMTLANDS LÄN</t>
        </is>
      </c>
      <c r="E1084" t="inlineStr">
        <is>
          <t>BERG</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29748-2024</t>
        </is>
      </c>
      <c r="B1085" s="1" t="n">
        <v>45485</v>
      </c>
      <c r="C1085" s="1" t="n">
        <v>45755</v>
      </c>
      <c r="D1085" t="inlineStr">
        <is>
          <t>JÄMTLANDS LÄN</t>
        </is>
      </c>
      <c r="E1085" t="inlineStr">
        <is>
          <t>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29756-2024</t>
        </is>
      </c>
      <c r="B1086" s="1" t="n">
        <v>45485</v>
      </c>
      <c r="C1086" s="1" t="n">
        <v>45755</v>
      </c>
      <c r="D1086" t="inlineStr">
        <is>
          <t>JÄMTLANDS LÄN</t>
        </is>
      </c>
      <c r="E1086" t="inlineStr">
        <is>
          <t>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30332-2024</t>
        </is>
      </c>
      <c r="B1087" s="1" t="n">
        <v>45491</v>
      </c>
      <c r="C1087" s="1" t="n">
        <v>45755</v>
      </c>
      <c r="D1087" t="inlineStr">
        <is>
          <t>JÄMTLANDS LÄN</t>
        </is>
      </c>
      <c r="E1087" t="inlineStr">
        <is>
          <t>BERG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30333-2024</t>
        </is>
      </c>
      <c r="B1088" s="1" t="n">
        <v>45491</v>
      </c>
      <c r="C1088" s="1" t="n">
        <v>45755</v>
      </c>
      <c r="D1088" t="inlineStr">
        <is>
          <t>JÄMTLANDS LÄN</t>
        </is>
      </c>
      <c r="E1088" t="inlineStr">
        <is>
          <t>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30489-2024</t>
        </is>
      </c>
      <c r="B1089" s="1" t="n">
        <v>45492</v>
      </c>
      <c r="C1089" s="1" t="n">
        <v>45755</v>
      </c>
      <c r="D1089" t="inlineStr">
        <is>
          <t>JÄMTLANDS LÄN</t>
        </is>
      </c>
      <c r="E1089" t="inlineStr">
        <is>
          <t>BERG</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30490-2024</t>
        </is>
      </c>
      <c r="B1090" s="1" t="n">
        <v>45492</v>
      </c>
      <c r="C1090" s="1" t="n">
        <v>45755</v>
      </c>
      <c r="D1090" t="inlineStr">
        <is>
          <t>JÄMTLANDS LÄN</t>
        </is>
      </c>
      <c r="E1090" t="inlineStr">
        <is>
          <t>BERG</t>
        </is>
      </c>
      <c r="F1090" t="inlineStr">
        <is>
          <t>SCA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30917-2024</t>
        </is>
      </c>
      <c r="B1091" s="1" t="n">
        <v>45498</v>
      </c>
      <c r="C1091" s="1" t="n">
        <v>45755</v>
      </c>
      <c r="D1091" t="inlineStr">
        <is>
          <t>JÄMTLANDS LÄN</t>
        </is>
      </c>
      <c r="E1091" t="inlineStr">
        <is>
          <t>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31131-2024</t>
        </is>
      </c>
      <c r="B1092" s="1" t="n">
        <v>45502</v>
      </c>
      <c r="C1092" s="1" t="n">
        <v>45755</v>
      </c>
      <c r="D1092" t="inlineStr">
        <is>
          <t>JÄMTLANDS LÄN</t>
        </is>
      </c>
      <c r="E1092" t="inlineStr">
        <is>
          <t>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31079-2024</t>
        </is>
      </c>
      <c r="B1093" s="1" t="n">
        <v>45502</v>
      </c>
      <c r="C1093" s="1" t="n">
        <v>45755</v>
      </c>
      <c r="D1093" t="inlineStr">
        <is>
          <t>JÄMTLANDS LÄN</t>
        </is>
      </c>
      <c r="E1093" t="inlineStr">
        <is>
          <t>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31129-2024</t>
        </is>
      </c>
      <c r="B1094" s="1" t="n">
        <v>45502</v>
      </c>
      <c r="C1094" s="1" t="n">
        <v>45755</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31155-2024</t>
        </is>
      </c>
      <c r="B1095" s="1" t="n">
        <v>45503</v>
      </c>
      <c r="C1095" s="1" t="n">
        <v>45755</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31154-2024</t>
        </is>
      </c>
      <c r="B1096" s="1" t="n">
        <v>45503</v>
      </c>
      <c r="C1096" s="1" t="n">
        <v>45755</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31330-2024</t>
        </is>
      </c>
      <c r="B1097" s="1" t="n">
        <v>45504</v>
      </c>
      <c r="C1097" s="1" t="n">
        <v>45755</v>
      </c>
      <c r="D1097" t="inlineStr">
        <is>
          <t>JÄMTLANDS LÄN</t>
        </is>
      </c>
      <c r="E1097" t="inlineStr">
        <is>
          <t>BERG</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31578-2024</t>
        </is>
      </c>
      <c r="B1098" s="1" t="n">
        <v>45506</v>
      </c>
      <c r="C1098" s="1" t="n">
        <v>45755</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32147-2024</t>
        </is>
      </c>
      <c r="B1099" s="1" t="n">
        <v>45511</v>
      </c>
      <c r="C1099" s="1" t="n">
        <v>45755</v>
      </c>
      <c r="D1099" t="inlineStr">
        <is>
          <t>JÄMTLANDS LÄN</t>
        </is>
      </c>
      <c r="E1099" t="inlineStr">
        <is>
          <t>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32248-2024</t>
        </is>
      </c>
      <c r="B1100" s="1" t="n">
        <v>45512</v>
      </c>
      <c r="C1100" s="1" t="n">
        <v>45755</v>
      </c>
      <c r="D1100" t="inlineStr">
        <is>
          <t>JÄMTLANDS LÄN</t>
        </is>
      </c>
      <c r="E1100" t="inlineStr">
        <is>
          <t>BERG</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32178-2024</t>
        </is>
      </c>
      <c r="B1101" s="1" t="n">
        <v>45511</v>
      </c>
      <c r="C1101" s="1" t="n">
        <v>45755</v>
      </c>
      <c r="D1101" t="inlineStr">
        <is>
          <t>JÄMTLANDS LÄN</t>
        </is>
      </c>
      <c r="E1101" t="inlineStr">
        <is>
          <t>BERG</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32247-2024</t>
        </is>
      </c>
      <c r="B1102" s="1" t="n">
        <v>45512</v>
      </c>
      <c r="C1102" s="1" t="n">
        <v>45755</v>
      </c>
      <c r="D1102" t="inlineStr">
        <is>
          <t>JÄMTLANDS LÄN</t>
        </is>
      </c>
      <c r="E1102" t="inlineStr">
        <is>
          <t>BERG</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32156-2024</t>
        </is>
      </c>
      <c r="B1103" s="1" t="n">
        <v>45511</v>
      </c>
      <c r="C1103" s="1" t="n">
        <v>45755</v>
      </c>
      <c r="D1103" t="inlineStr">
        <is>
          <t>JÄMTLANDS LÄN</t>
        </is>
      </c>
      <c r="E1103" t="inlineStr">
        <is>
          <t>BERG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32462-2024</t>
        </is>
      </c>
      <c r="B1104" s="1" t="n">
        <v>45513</v>
      </c>
      <c r="C1104" s="1" t="n">
        <v>45755</v>
      </c>
      <c r="D1104" t="inlineStr">
        <is>
          <t>JÄMTLANDS LÄN</t>
        </is>
      </c>
      <c r="E1104" t="inlineStr">
        <is>
          <t>BERG</t>
        </is>
      </c>
      <c r="F1104" t="inlineStr">
        <is>
          <t>SCA</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32465-2024</t>
        </is>
      </c>
      <c r="B1105" s="1" t="n">
        <v>45513</v>
      </c>
      <c r="C1105" s="1" t="n">
        <v>45755</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32711-2024</t>
        </is>
      </c>
      <c r="B1106" s="1" t="n">
        <v>45516</v>
      </c>
      <c r="C1106" s="1" t="n">
        <v>45755</v>
      </c>
      <c r="D1106" t="inlineStr">
        <is>
          <t>JÄMTLANDS LÄN</t>
        </is>
      </c>
      <c r="E1106" t="inlineStr">
        <is>
          <t>BERG</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32879-2024</t>
        </is>
      </c>
      <c r="B1107" s="1" t="n">
        <v>45516</v>
      </c>
      <c r="C1107" s="1" t="n">
        <v>45755</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33245-2024</t>
        </is>
      </c>
      <c r="B1108" s="1" t="n">
        <v>45518</v>
      </c>
      <c r="C1108" s="1" t="n">
        <v>45755</v>
      </c>
      <c r="D1108" t="inlineStr">
        <is>
          <t>JÄMTLANDS LÄN</t>
        </is>
      </c>
      <c r="E1108" t="inlineStr">
        <is>
          <t>BERG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33962-2024</t>
        </is>
      </c>
      <c r="B1109" s="1" t="n">
        <v>45523</v>
      </c>
      <c r="C1109" s="1" t="n">
        <v>45755</v>
      </c>
      <c r="D1109" t="inlineStr">
        <is>
          <t>JÄMTLANDS LÄN</t>
        </is>
      </c>
      <c r="E1109" t="inlineStr">
        <is>
          <t>BERG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34225-2024</t>
        </is>
      </c>
      <c r="B1110" s="1" t="n">
        <v>45524</v>
      </c>
      <c r="C1110" s="1" t="n">
        <v>45755</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34367-2024</t>
        </is>
      </c>
      <c r="B1111" s="1" t="n">
        <v>45525</v>
      </c>
      <c r="C1111" s="1" t="n">
        <v>45755</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34369-2024</t>
        </is>
      </c>
      <c r="B1112" s="1" t="n">
        <v>45525</v>
      </c>
      <c r="C1112" s="1" t="n">
        <v>45755</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34606-2024</t>
        </is>
      </c>
      <c r="B1113" s="1" t="n">
        <v>45526</v>
      </c>
      <c r="C1113" s="1" t="n">
        <v>45755</v>
      </c>
      <c r="D1113" t="inlineStr">
        <is>
          <t>JÄMTLANDS LÄN</t>
        </is>
      </c>
      <c r="E1113" t="inlineStr">
        <is>
          <t>BERG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34601-2024</t>
        </is>
      </c>
      <c r="B1114" s="1" t="n">
        <v>45526</v>
      </c>
      <c r="C1114" s="1" t="n">
        <v>45755</v>
      </c>
      <c r="D1114" t="inlineStr">
        <is>
          <t>JÄMTLANDS LÄN</t>
        </is>
      </c>
      <c r="E1114" t="inlineStr">
        <is>
          <t>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34650-2024</t>
        </is>
      </c>
      <c r="B1115" s="1" t="n">
        <v>45526</v>
      </c>
      <c r="C1115" s="1" t="n">
        <v>45755</v>
      </c>
      <c r="D1115" t="inlineStr">
        <is>
          <t>JÄMTLANDS LÄN</t>
        </is>
      </c>
      <c r="E1115" t="inlineStr">
        <is>
          <t>BERG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34891-2024</t>
        </is>
      </c>
      <c r="B1116" s="1" t="n">
        <v>45527</v>
      </c>
      <c r="C1116" s="1" t="n">
        <v>45755</v>
      </c>
      <c r="D1116" t="inlineStr">
        <is>
          <t>JÄMTLANDS LÄN</t>
        </is>
      </c>
      <c r="E1116" t="inlineStr">
        <is>
          <t>BERG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35792-2024</t>
        </is>
      </c>
      <c r="B1117" s="1" t="n">
        <v>45532</v>
      </c>
      <c r="C1117" s="1" t="n">
        <v>45755</v>
      </c>
      <c r="D1117" t="inlineStr">
        <is>
          <t>JÄMTLANDS LÄN</t>
        </is>
      </c>
      <c r="E1117" t="inlineStr">
        <is>
          <t>BERG</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35869-2024</t>
        </is>
      </c>
      <c r="B1118" s="1" t="n">
        <v>45533</v>
      </c>
      <c r="C1118" s="1" t="n">
        <v>45755</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35893-2024</t>
        </is>
      </c>
      <c r="B1119" s="1" t="n">
        <v>45533</v>
      </c>
      <c r="C1119" s="1" t="n">
        <v>45755</v>
      </c>
      <c r="D1119" t="inlineStr">
        <is>
          <t>JÄMTLANDS LÄN</t>
        </is>
      </c>
      <c r="E1119" t="inlineStr">
        <is>
          <t>BERG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35913-2024</t>
        </is>
      </c>
      <c r="B1120" s="1" t="n">
        <v>45533</v>
      </c>
      <c r="C1120" s="1" t="n">
        <v>45755</v>
      </c>
      <c r="D1120" t="inlineStr">
        <is>
          <t>JÄMTLANDS LÄN</t>
        </is>
      </c>
      <c r="E1120" t="inlineStr">
        <is>
          <t>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35921-2024</t>
        </is>
      </c>
      <c r="B1121" s="1" t="n">
        <v>45533</v>
      </c>
      <c r="C1121" s="1" t="n">
        <v>45755</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35883-2024</t>
        </is>
      </c>
      <c r="B1122" s="1" t="n">
        <v>45533</v>
      </c>
      <c r="C1122" s="1" t="n">
        <v>45755</v>
      </c>
      <c r="D1122" t="inlineStr">
        <is>
          <t>JÄMTLANDS LÄN</t>
        </is>
      </c>
      <c r="E1122" t="inlineStr">
        <is>
          <t>BERG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35866-2024</t>
        </is>
      </c>
      <c r="B1123" s="1" t="n">
        <v>45533</v>
      </c>
      <c r="C1123" s="1" t="n">
        <v>45755</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35870-2024</t>
        </is>
      </c>
      <c r="B1124" s="1" t="n">
        <v>45533</v>
      </c>
      <c r="C1124" s="1" t="n">
        <v>45755</v>
      </c>
      <c r="D1124" t="inlineStr">
        <is>
          <t>JÄMTLANDS LÄN</t>
        </is>
      </c>
      <c r="E1124" t="inlineStr">
        <is>
          <t>BERG</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35874-2024</t>
        </is>
      </c>
      <c r="B1125" s="1" t="n">
        <v>45533</v>
      </c>
      <c r="C1125" s="1" t="n">
        <v>45755</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35911-2024</t>
        </is>
      </c>
      <c r="B1126" s="1" t="n">
        <v>45533</v>
      </c>
      <c r="C1126" s="1" t="n">
        <v>45755</v>
      </c>
      <c r="D1126" t="inlineStr">
        <is>
          <t>JÄMTLANDS LÄN</t>
        </is>
      </c>
      <c r="E1126" t="inlineStr">
        <is>
          <t>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35915-2024</t>
        </is>
      </c>
      <c r="B1127" s="1" t="n">
        <v>45533</v>
      </c>
      <c r="C1127" s="1" t="n">
        <v>45755</v>
      </c>
      <c r="D1127" t="inlineStr">
        <is>
          <t>JÄMTLANDS LÄN</t>
        </is>
      </c>
      <c r="E1127" t="inlineStr">
        <is>
          <t>BERG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35919-2024</t>
        </is>
      </c>
      <c r="B1128" s="1" t="n">
        <v>45533</v>
      </c>
      <c r="C1128" s="1" t="n">
        <v>45755</v>
      </c>
      <c r="D1128" t="inlineStr">
        <is>
          <t>JÄMTLANDS LÄN</t>
        </is>
      </c>
      <c r="E1128" t="inlineStr">
        <is>
          <t>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36079-2024</t>
        </is>
      </c>
      <c r="B1129" s="1" t="n">
        <v>45533</v>
      </c>
      <c r="C1129" s="1" t="n">
        <v>45755</v>
      </c>
      <c r="D1129" t="inlineStr">
        <is>
          <t>JÄMTLANDS LÄN</t>
        </is>
      </c>
      <c r="E1129" t="inlineStr">
        <is>
          <t>BERG</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36287-2024</t>
        </is>
      </c>
      <c r="B1130" s="1" t="n">
        <v>45534</v>
      </c>
      <c r="C1130" s="1" t="n">
        <v>45755</v>
      </c>
      <c r="D1130" t="inlineStr">
        <is>
          <t>JÄMTLANDS LÄN</t>
        </is>
      </c>
      <c r="E1130" t="inlineStr">
        <is>
          <t>BERG</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36336-2024</t>
        </is>
      </c>
      <c r="B1131" s="1" t="n">
        <v>45534</v>
      </c>
      <c r="C1131" s="1" t="n">
        <v>45755</v>
      </c>
      <c r="D1131" t="inlineStr">
        <is>
          <t>JÄMTLANDS LÄN</t>
        </is>
      </c>
      <c r="E1131" t="inlineStr">
        <is>
          <t>BERG</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36192-2024</t>
        </is>
      </c>
      <c r="B1132" s="1" t="n">
        <v>45534</v>
      </c>
      <c r="C1132" s="1" t="n">
        <v>45755</v>
      </c>
      <c r="D1132" t="inlineStr">
        <is>
          <t>JÄMTLANDS LÄN</t>
        </is>
      </c>
      <c r="E1132" t="inlineStr">
        <is>
          <t>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36673-2024</t>
        </is>
      </c>
      <c r="B1133" s="1" t="n">
        <v>45537</v>
      </c>
      <c r="C1133" s="1" t="n">
        <v>45755</v>
      </c>
      <c r="D1133" t="inlineStr">
        <is>
          <t>JÄMTLANDS LÄN</t>
        </is>
      </c>
      <c r="E1133" t="inlineStr">
        <is>
          <t>BERG</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37096-2024</t>
        </is>
      </c>
      <c r="B1134" s="1" t="n">
        <v>45539</v>
      </c>
      <c r="C1134" s="1" t="n">
        <v>45755</v>
      </c>
      <c r="D1134" t="inlineStr">
        <is>
          <t>JÄMTLANDS LÄN</t>
        </is>
      </c>
      <c r="E1134" t="inlineStr">
        <is>
          <t>BERG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37086-2024</t>
        </is>
      </c>
      <c r="B1135" s="1" t="n">
        <v>45539</v>
      </c>
      <c r="C1135" s="1" t="n">
        <v>45755</v>
      </c>
      <c r="D1135" t="inlineStr">
        <is>
          <t>JÄMTLANDS LÄN</t>
        </is>
      </c>
      <c r="E1135" t="inlineStr">
        <is>
          <t>BERG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37098-2024</t>
        </is>
      </c>
      <c r="B1136" s="1" t="n">
        <v>45539</v>
      </c>
      <c r="C1136" s="1" t="n">
        <v>45755</v>
      </c>
      <c r="D1136" t="inlineStr">
        <is>
          <t>JÄMTLANDS LÄN</t>
        </is>
      </c>
      <c r="E1136" t="inlineStr">
        <is>
          <t>BERG</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37089-2024</t>
        </is>
      </c>
      <c r="B1137" s="1" t="n">
        <v>45539</v>
      </c>
      <c r="C1137" s="1" t="n">
        <v>45755</v>
      </c>
      <c r="D1137" t="inlineStr">
        <is>
          <t>JÄMTLANDS LÄN</t>
        </is>
      </c>
      <c r="E1137" t="inlineStr">
        <is>
          <t>BERG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37093-2024</t>
        </is>
      </c>
      <c r="B1138" s="1" t="n">
        <v>45539</v>
      </c>
      <c r="C1138" s="1" t="n">
        <v>45755</v>
      </c>
      <c r="D1138" t="inlineStr">
        <is>
          <t>JÄMTLANDS LÄN</t>
        </is>
      </c>
      <c r="E1138" t="inlineStr">
        <is>
          <t>BERG</t>
        </is>
      </c>
      <c r="F1138" t="inlineStr">
        <is>
          <t>Övriga Aktiebolag</t>
        </is>
      </c>
      <c r="G1138" t="n">
        <v>15.4</v>
      </c>
      <c r="H1138" t="n">
        <v>0</v>
      </c>
      <c r="I1138" t="n">
        <v>0</v>
      </c>
      <c r="J1138" t="n">
        <v>0</v>
      </c>
      <c r="K1138" t="n">
        <v>0</v>
      </c>
      <c r="L1138" t="n">
        <v>0</v>
      </c>
      <c r="M1138" t="n">
        <v>0</v>
      </c>
      <c r="N1138" t="n">
        <v>0</v>
      </c>
      <c r="O1138" t="n">
        <v>0</v>
      </c>
      <c r="P1138" t="n">
        <v>0</v>
      </c>
      <c r="Q1138" t="n">
        <v>0</v>
      </c>
      <c r="R1138" s="2" t="inlineStr"/>
    </row>
    <row r="1139" ht="15" customHeight="1">
      <c r="A1139" t="inlineStr">
        <is>
          <t>A 37097-2024</t>
        </is>
      </c>
      <c r="B1139" s="1" t="n">
        <v>45539</v>
      </c>
      <c r="C1139" s="1" t="n">
        <v>45755</v>
      </c>
      <c r="D1139" t="inlineStr">
        <is>
          <t>JÄMTLANDS LÄN</t>
        </is>
      </c>
      <c r="E1139" t="inlineStr">
        <is>
          <t>BERG</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37101-2024</t>
        </is>
      </c>
      <c r="B1140" s="1" t="n">
        <v>45539</v>
      </c>
      <c r="C1140" s="1" t="n">
        <v>45755</v>
      </c>
      <c r="D1140" t="inlineStr">
        <is>
          <t>JÄMTLANDS LÄN</t>
        </is>
      </c>
      <c r="E1140" t="inlineStr">
        <is>
          <t>BERG</t>
        </is>
      </c>
      <c r="F1140" t="inlineStr">
        <is>
          <t>Övriga Aktiebolag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37095-2024</t>
        </is>
      </c>
      <c r="B1141" s="1" t="n">
        <v>45539</v>
      </c>
      <c r="C1141" s="1" t="n">
        <v>45755</v>
      </c>
      <c r="D1141" t="inlineStr">
        <is>
          <t>JÄMTLANDS LÄN</t>
        </is>
      </c>
      <c r="E1141" t="inlineStr">
        <is>
          <t>BERG</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37091-2024</t>
        </is>
      </c>
      <c r="B1142" s="1" t="n">
        <v>45539</v>
      </c>
      <c r="C1142" s="1" t="n">
        <v>45755</v>
      </c>
      <c r="D1142" t="inlineStr">
        <is>
          <t>JÄMTLANDS LÄN</t>
        </is>
      </c>
      <c r="E1142" t="inlineStr">
        <is>
          <t>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37087-2024</t>
        </is>
      </c>
      <c r="B1143" s="1" t="n">
        <v>45539</v>
      </c>
      <c r="C1143" s="1" t="n">
        <v>45755</v>
      </c>
      <c r="D1143" t="inlineStr">
        <is>
          <t>JÄMTLANDS LÄN</t>
        </is>
      </c>
      <c r="E1143" t="inlineStr">
        <is>
          <t>BERG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38834-2024</t>
        </is>
      </c>
      <c r="B1144" s="1" t="n">
        <v>45547</v>
      </c>
      <c r="C1144" s="1" t="n">
        <v>45755</v>
      </c>
      <c r="D1144" t="inlineStr">
        <is>
          <t>JÄMTLANDS LÄN</t>
        </is>
      </c>
      <c r="E1144" t="inlineStr">
        <is>
          <t>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38962-2024</t>
        </is>
      </c>
      <c r="B1145" s="1" t="n">
        <v>45548</v>
      </c>
      <c r="C1145" s="1" t="n">
        <v>45755</v>
      </c>
      <c r="D1145" t="inlineStr">
        <is>
          <t>JÄMTLANDS LÄN</t>
        </is>
      </c>
      <c r="E1145" t="inlineStr">
        <is>
          <t>BERG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39102-2024</t>
        </is>
      </c>
      <c r="B1146" s="1" t="n">
        <v>45548</v>
      </c>
      <c r="C1146" s="1" t="n">
        <v>45755</v>
      </c>
      <c r="D1146" t="inlineStr">
        <is>
          <t>JÄMTLANDS LÄN</t>
        </is>
      </c>
      <c r="E1146" t="inlineStr">
        <is>
          <t>BERG</t>
        </is>
      </c>
      <c r="G1146" t="n">
        <v>193</v>
      </c>
      <c r="H1146" t="n">
        <v>0</v>
      </c>
      <c r="I1146" t="n">
        <v>0</v>
      </c>
      <c r="J1146" t="n">
        <v>0</v>
      </c>
      <c r="K1146" t="n">
        <v>0</v>
      </c>
      <c r="L1146" t="n">
        <v>0</v>
      </c>
      <c r="M1146" t="n">
        <v>0</v>
      </c>
      <c r="N1146" t="n">
        <v>0</v>
      </c>
      <c r="O1146" t="n">
        <v>0</v>
      </c>
      <c r="P1146" t="n">
        <v>0</v>
      </c>
      <c r="Q1146" t="n">
        <v>0</v>
      </c>
      <c r="R1146" s="2" t="inlineStr"/>
    </row>
    <row r="1147" ht="15" customHeight="1">
      <c r="A1147" t="inlineStr">
        <is>
          <t>A 39103-2024</t>
        </is>
      </c>
      <c r="B1147" s="1" t="n">
        <v>45548</v>
      </c>
      <c r="C1147" s="1" t="n">
        <v>45755</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39186-2024</t>
        </is>
      </c>
      <c r="B1148" s="1" t="n">
        <v>45548</v>
      </c>
      <c r="C1148" s="1" t="n">
        <v>45755</v>
      </c>
      <c r="D1148" t="inlineStr">
        <is>
          <t>JÄMTLANDS LÄN</t>
        </is>
      </c>
      <c r="E1148" t="inlineStr">
        <is>
          <t>BERG</t>
        </is>
      </c>
      <c r="G1148" t="n">
        <v>38.4</v>
      </c>
      <c r="H1148" t="n">
        <v>0</v>
      </c>
      <c r="I1148" t="n">
        <v>0</v>
      </c>
      <c r="J1148" t="n">
        <v>0</v>
      </c>
      <c r="K1148" t="n">
        <v>0</v>
      </c>
      <c r="L1148" t="n">
        <v>0</v>
      </c>
      <c r="M1148" t="n">
        <v>0</v>
      </c>
      <c r="N1148" t="n">
        <v>0</v>
      </c>
      <c r="O1148" t="n">
        <v>0</v>
      </c>
      <c r="P1148" t="n">
        <v>0</v>
      </c>
      <c r="Q1148" t="n">
        <v>0</v>
      </c>
      <c r="R1148" s="2" t="inlineStr"/>
    </row>
    <row r="1149" ht="15" customHeight="1">
      <c r="A1149" t="inlineStr">
        <is>
          <t>A 39225-2024</t>
        </is>
      </c>
      <c r="B1149" s="1" t="n">
        <v>45550</v>
      </c>
      <c r="C1149" s="1" t="n">
        <v>45755</v>
      </c>
      <c r="D1149" t="inlineStr">
        <is>
          <t>JÄMTLANDS LÄN</t>
        </is>
      </c>
      <c r="E1149" t="inlineStr">
        <is>
          <t>BERG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39224-2024</t>
        </is>
      </c>
      <c r="B1150" s="1" t="n">
        <v>45550</v>
      </c>
      <c r="C1150" s="1" t="n">
        <v>45755</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39269-2024</t>
        </is>
      </c>
      <c r="B1151" s="1" t="n">
        <v>45551</v>
      </c>
      <c r="C1151" s="1" t="n">
        <v>45755</v>
      </c>
      <c r="D1151" t="inlineStr">
        <is>
          <t>JÄMTLANDS LÄN</t>
        </is>
      </c>
      <c r="E1151" t="inlineStr">
        <is>
          <t>BERG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39586-2024</t>
        </is>
      </c>
      <c r="B1152" s="1" t="n">
        <v>45552</v>
      </c>
      <c r="C1152" s="1" t="n">
        <v>45755</v>
      </c>
      <c r="D1152" t="inlineStr">
        <is>
          <t>JÄMTLANDS LÄN</t>
        </is>
      </c>
      <c r="E1152" t="inlineStr">
        <is>
          <t>BERG</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39785-2024</t>
        </is>
      </c>
      <c r="B1153" s="1" t="n">
        <v>45553</v>
      </c>
      <c r="C1153" s="1" t="n">
        <v>45755</v>
      </c>
      <c r="D1153" t="inlineStr">
        <is>
          <t>JÄMTLANDS LÄN</t>
        </is>
      </c>
      <c r="E1153" t="inlineStr">
        <is>
          <t>BERG</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39993-2024</t>
        </is>
      </c>
      <c r="B1154" s="1" t="n">
        <v>45553</v>
      </c>
      <c r="C1154" s="1" t="n">
        <v>45755</v>
      </c>
      <c r="D1154" t="inlineStr">
        <is>
          <t>JÄMTLANDS LÄN</t>
        </is>
      </c>
      <c r="E1154" t="inlineStr">
        <is>
          <t>BERG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40433-2024</t>
        </is>
      </c>
      <c r="B1155" s="1" t="n">
        <v>45555</v>
      </c>
      <c r="C1155" s="1" t="n">
        <v>45755</v>
      </c>
      <c r="D1155" t="inlineStr">
        <is>
          <t>JÄMTLANDS LÄN</t>
        </is>
      </c>
      <c r="E1155" t="inlineStr">
        <is>
          <t>BERG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40382-2024</t>
        </is>
      </c>
      <c r="B1156" s="1" t="n">
        <v>45555</v>
      </c>
      <c r="C1156" s="1" t="n">
        <v>45755</v>
      </c>
      <c r="D1156" t="inlineStr">
        <is>
          <t>JÄMTLANDS LÄN</t>
        </is>
      </c>
      <c r="E1156" t="inlineStr">
        <is>
          <t>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40710-2024</t>
        </is>
      </c>
      <c r="B1157" s="1" t="n">
        <v>45558</v>
      </c>
      <c r="C1157" s="1" t="n">
        <v>45755</v>
      </c>
      <c r="D1157" t="inlineStr">
        <is>
          <t>JÄMTLANDS LÄN</t>
        </is>
      </c>
      <c r="E1157" t="inlineStr">
        <is>
          <t>BERG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41636-2024</t>
        </is>
      </c>
      <c r="B1158" s="1" t="n">
        <v>45560</v>
      </c>
      <c r="C1158" s="1" t="n">
        <v>45755</v>
      </c>
      <c r="D1158" t="inlineStr">
        <is>
          <t>JÄMTLANDS LÄN</t>
        </is>
      </c>
      <c r="E1158" t="inlineStr">
        <is>
          <t>BERG</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41638-2024</t>
        </is>
      </c>
      <c r="B1159" s="1" t="n">
        <v>45560</v>
      </c>
      <c r="C1159" s="1" t="n">
        <v>45755</v>
      </c>
      <c r="D1159" t="inlineStr">
        <is>
          <t>JÄMTLANDS LÄN</t>
        </is>
      </c>
      <c r="E1159" t="inlineStr">
        <is>
          <t>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41634-2024</t>
        </is>
      </c>
      <c r="B1160" s="1" t="n">
        <v>45560</v>
      </c>
      <c r="C1160" s="1" t="n">
        <v>45755</v>
      </c>
      <c r="D1160" t="inlineStr">
        <is>
          <t>JÄMTLANDS LÄN</t>
        </is>
      </c>
      <c r="E1160" t="inlineStr">
        <is>
          <t>BERG</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41868-2024</t>
        </is>
      </c>
      <c r="B1161" s="1" t="n">
        <v>45561</v>
      </c>
      <c r="C1161" s="1" t="n">
        <v>45755</v>
      </c>
      <c r="D1161" t="inlineStr">
        <is>
          <t>JÄMTLANDS LÄN</t>
        </is>
      </c>
      <c r="E1161" t="inlineStr">
        <is>
          <t>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41875-2024</t>
        </is>
      </c>
      <c r="B1162" s="1" t="n">
        <v>45561</v>
      </c>
      <c r="C1162" s="1" t="n">
        <v>45755</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41866-2024</t>
        </is>
      </c>
      <c r="B1163" s="1" t="n">
        <v>45561</v>
      </c>
      <c r="C1163" s="1" t="n">
        <v>45755</v>
      </c>
      <c r="D1163" t="inlineStr">
        <is>
          <t>JÄMTLANDS LÄN</t>
        </is>
      </c>
      <c r="E1163" t="inlineStr">
        <is>
          <t>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41886-2024</t>
        </is>
      </c>
      <c r="B1164" s="1" t="n">
        <v>45561</v>
      </c>
      <c r="C1164" s="1" t="n">
        <v>45755</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42140-2024</t>
        </is>
      </c>
      <c r="B1165" s="1" t="n">
        <v>45562</v>
      </c>
      <c r="C1165" s="1" t="n">
        <v>45755</v>
      </c>
      <c r="D1165" t="inlineStr">
        <is>
          <t>JÄMTLANDS LÄN</t>
        </is>
      </c>
      <c r="E1165" t="inlineStr">
        <is>
          <t>BERG</t>
        </is>
      </c>
      <c r="F1165" t="inlineStr">
        <is>
          <t>SCA</t>
        </is>
      </c>
      <c r="G1165" t="n">
        <v>20.6</v>
      </c>
      <c r="H1165" t="n">
        <v>0</v>
      </c>
      <c r="I1165" t="n">
        <v>0</v>
      </c>
      <c r="J1165" t="n">
        <v>0</v>
      </c>
      <c r="K1165" t="n">
        <v>0</v>
      </c>
      <c r="L1165" t="n">
        <v>0</v>
      </c>
      <c r="M1165" t="n">
        <v>0</v>
      </c>
      <c r="N1165" t="n">
        <v>0</v>
      </c>
      <c r="O1165" t="n">
        <v>0</v>
      </c>
      <c r="P1165" t="n">
        <v>0</v>
      </c>
      <c r="Q1165" t="n">
        <v>0</v>
      </c>
      <c r="R1165" s="2" t="inlineStr"/>
    </row>
    <row r="1166" ht="15" customHeight="1">
      <c r="A1166" t="inlineStr">
        <is>
          <t>A 42365-2024</t>
        </is>
      </c>
      <c r="B1166" s="1" t="n">
        <v>45563</v>
      </c>
      <c r="C1166" s="1" t="n">
        <v>45755</v>
      </c>
      <c r="D1166" t="inlineStr">
        <is>
          <t>JÄMTLANDS LÄN</t>
        </is>
      </c>
      <c r="E1166" t="inlineStr">
        <is>
          <t>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43279-2024</t>
        </is>
      </c>
      <c r="B1167" s="1" t="n">
        <v>45568</v>
      </c>
      <c r="C1167" s="1" t="n">
        <v>45755</v>
      </c>
      <c r="D1167" t="inlineStr">
        <is>
          <t>JÄMTLANDS LÄN</t>
        </is>
      </c>
      <c r="E1167" t="inlineStr">
        <is>
          <t>BERG</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43616-2024</t>
        </is>
      </c>
      <c r="B1168" s="1" t="n">
        <v>45569</v>
      </c>
      <c r="C1168" s="1" t="n">
        <v>45755</v>
      </c>
      <c r="D1168" t="inlineStr">
        <is>
          <t>JÄMTLANDS LÄN</t>
        </is>
      </c>
      <c r="E1168" t="inlineStr">
        <is>
          <t>BERG</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44008-2024</t>
        </is>
      </c>
      <c r="B1169" s="1" t="n">
        <v>45572</v>
      </c>
      <c r="C1169" s="1" t="n">
        <v>45755</v>
      </c>
      <c r="D1169" t="inlineStr">
        <is>
          <t>JÄMTLANDS LÄN</t>
        </is>
      </c>
      <c r="E1169" t="inlineStr">
        <is>
          <t>BERG</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44437-2024</t>
        </is>
      </c>
      <c r="B1170" s="1" t="n">
        <v>45573</v>
      </c>
      <c r="C1170" s="1" t="n">
        <v>45755</v>
      </c>
      <c r="D1170" t="inlineStr">
        <is>
          <t>JÄMTLANDS LÄN</t>
        </is>
      </c>
      <c r="E1170" t="inlineStr">
        <is>
          <t>BERG</t>
        </is>
      </c>
      <c r="G1170" t="n">
        <v>29.4</v>
      </c>
      <c r="H1170" t="n">
        <v>0</v>
      </c>
      <c r="I1170" t="n">
        <v>0</v>
      </c>
      <c r="J1170" t="n">
        <v>0</v>
      </c>
      <c r="K1170" t="n">
        <v>0</v>
      </c>
      <c r="L1170" t="n">
        <v>0</v>
      </c>
      <c r="M1170" t="n">
        <v>0</v>
      </c>
      <c r="N1170" t="n">
        <v>0</v>
      </c>
      <c r="O1170" t="n">
        <v>0</v>
      </c>
      <c r="P1170" t="n">
        <v>0</v>
      </c>
      <c r="Q1170" t="n">
        <v>0</v>
      </c>
      <c r="R1170" s="2" t="inlineStr"/>
    </row>
    <row r="1171" ht="15" customHeight="1">
      <c r="A1171" t="inlineStr">
        <is>
          <t>A 44270-2024</t>
        </is>
      </c>
      <c r="B1171" s="1" t="n">
        <v>45573</v>
      </c>
      <c r="C1171" s="1" t="n">
        <v>45755</v>
      </c>
      <c r="D1171" t="inlineStr">
        <is>
          <t>JÄMTLANDS LÄN</t>
        </is>
      </c>
      <c r="E1171" t="inlineStr">
        <is>
          <t>BERG</t>
        </is>
      </c>
      <c r="G1171" t="n">
        <v>25.9</v>
      </c>
      <c r="H1171" t="n">
        <v>0</v>
      </c>
      <c r="I1171" t="n">
        <v>0</v>
      </c>
      <c r="J1171" t="n">
        <v>0</v>
      </c>
      <c r="K1171" t="n">
        <v>0</v>
      </c>
      <c r="L1171" t="n">
        <v>0</v>
      </c>
      <c r="M1171" t="n">
        <v>0</v>
      </c>
      <c r="N1171" t="n">
        <v>0</v>
      </c>
      <c r="O1171" t="n">
        <v>0</v>
      </c>
      <c r="P1171" t="n">
        <v>0</v>
      </c>
      <c r="Q1171" t="n">
        <v>0</v>
      </c>
      <c r="R1171" s="2" t="inlineStr"/>
    </row>
    <row r="1172" ht="15" customHeight="1">
      <c r="A1172" t="inlineStr">
        <is>
          <t>A 45168-2024</t>
        </is>
      </c>
      <c r="B1172" s="1" t="n">
        <v>45575</v>
      </c>
      <c r="C1172" s="1" t="n">
        <v>45755</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45206-2024</t>
        </is>
      </c>
      <c r="B1173" s="1" t="n">
        <v>45575</v>
      </c>
      <c r="C1173" s="1" t="n">
        <v>45755</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45208-2024</t>
        </is>
      </c>
      <c r="B1174" s="1" t="n">
        <v>45575</v>
      </c>
      <c r="C1174" s="1" t="n">
        <v>45755</v>
      </c>
      <c r="D1174" t="inlineStr">
        <is>
          <t>JÄMTLANDS LÄN</t>
        </is>
      </c>
      <c r="E1174" t="inlineStr">
        <is>
          <t>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45036-2024</t>
        </is>
      </c>
      <c r="B1175" s="1" t="n">
        <v>45575</v>
      </c>
      <c r="C1175" s="1" t="n">
        <v>45755</v>
      </c>
      <c r="D1175" t="inlineStr">
        <is>
          <t>JÄMTLANDS LÄN</t>
        </is>
      </c>
      <c r="E1175" t="inlineStr">
        <is>
          <t>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45703-2024</t>
        </is>
      </c>
      <c r="B1176" s="1" t="n">
        <v>45579</v>
      </c>
      <c r="C1176" s="1" t="n">
        <v>45755</v>
      </c>
      <c r="D1176" t="inlineStr">
        <is>
          <t>JÄMTLANDS LÄN</t>
        </is>
      </c>
      <c r="E1176" t="inlineStr">
        <is>
          <t>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45793-2024</t>
        </is>
      </c>
      <c r="B1177" s="1" t="n">
        <v>45579</v>
      </c>
      <c r="C1177" s="1" t="n">
        <v>45755</v>
      </c>
      <c r="D1177" t="inlineStr">
        <is>
          <t>JÄMTLANDS LÄN</t>
        </is>
      </c>
      <c r="E1177" t="inlineStr">
        <is>
          <t>BERG</t>
        </is>
      </c>
      <c r="F1177" t="inlineStr">
        <is>
          <t>Kyrkan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45824-2024</t>
        </is>
      </c>
      <c r="B1178" s="1" t="n">
        <v>45579</v>
      </c>
      <c r="C1178" s="1" t="n">
        <v>45755</v>
      </c>
      <c r="D1178" t="inlineStr">
        <is>
          <t>JÄMTLANDS LÄN</t>
        </is>
      </c>
      <c r="E1178" t="inlineStr">
        <is>
          <t>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46019-2024</t>
        </is>
      </c>
      <c r="B1179" s="1" t="n">
        <v>45580</v>
      </c>
      <c r="C1179" s="1" t="n">
        <v>45755</v>
      </c>
      <c r="D1179" t="inlineStr">
        <is>
          <t>JÄMTLANDS LÄN</t>
        </is>
      </c>
      <c r="E1179" t="inlineStr">
        <is>
          <t>BERG</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46243-2024</t>
        </is>
      </c>
      <c r="B1180" s="1" t="n">
        <v>45581</v>
      </c>
      <c r="C1180" s="1" t="n">
        <v>45755</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46298-2024</t>
        </is>
      </c>
      <c r="B1181" s="1" t="n">
        <v>45581</v>
      </c>
      <c r="C1181" s="1" t="n">
        <v>45755</v>
      </c>
      <c r="D1181" t="inlineStr">
        <is>
          <t>JÄMTLANDS LÄN</t>
        </is>
      </c>
      <c r="E1181" t="inlineStr">
        <is>
          <t>BERG</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46246-2024</t>
        </is>
      </c>
      <c r="B1182" s="1" t="n">
        <v>45581</v>
      </c>
      <c r="C1182" s="1" t="n">
        <v>45755</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46478-2024</t>
        </is>
      </c>
      <c r="B1183" s="1" t="n">
        <v>45582</v>
      </c>
      <c r="C1183" s="1" t="n">
        <v>45755</v>
      </c>
      <c r="D1183" t="inlineStr">
        <is>
          <t>JÄMTLANDS LÄN</t>
        </is>
      </c>
      <c r="E1183" t="inlineStr">
        <is>
          <t>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46366-2024</t>
        </is>
      </c>
      <c r="B1184" s="1" t="n">
        <v>45582</v>
      </c>
      <c r="C1184" s="1" t="n">
        <v>45755</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46902-2024</t>
        </is>
      </c>
      <c r="B1185" s="1" t="n">
        <v>45583</v>
      </c>
      <c r="C1185" s="1" t="n">
        <v>45755</v>
      </c>
      <c r="D1185" t="inlineStr">
        <is>
          <t>JÄMTLANDS LÄN</t>
        </is>
      </c>
      <c r="E1185" t="inlineStr">
        <is>
          <t>BERG</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47201-2024</t>
        </is>
      </c>
      <c r="B1186" s="1" t="n">
        <v>45586</v>
      </c>
      <c r="C1186" s="1" t="n">
        <v>45755</v>
      </c>
      <c r="D1186" t="inlineStr">
        <is>
          <t>JÄMTLANDS LÄN</t>
        </is>
      </c>
      <c r="E1186" t="inlineStr">
        <is>
          <t>BERG</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47119-2024</t>
        </is>
      </c>
      <c r="B1187" s="1" t="n">
        <v>45586</v>
      </c>
      <c r="C1187" s="1" t="n">
        <v>45755</v>
      </c>
      <c r="D1187" t="inlineStr">
        <is>
          <t>JÄMTLANDS LÄN</t>
        </is>
      </c>
      <c r="E1187" t="inlineStr">
        <is>
          <t>BERG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47099-2024</t>
        </is>
      </c>
      <c r="B1188" s="1" t="n">
        <v>45586</v>
      </c>
      <c r="C1188" s="1" t="n">
        <v>45755</v>
      </c>
      <c r="D1188" t="inlineStr">
        <is>
          <t>JÄMTLANDS LÄN</t>
        </is>
      </c>
      <c r="E1188" t="inlineStr">
        <is>
          <t>BERG</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47083-2024</t>
        </is>
      </c>
      <c r="B1189" s="1" t="n">
        <v>45586</v>
      </c>
      <c r="C1189" s="1" t="n">
        <v>45755</v>
      </c>
      <c r="D1189" t="inlineStr">
        <is>
          <t>JÄMTLANDS LÄN</t>
        </is>
      </c>
      <c r="E1189" t="inlineStr">
        <is>
          <t>BERG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47049-2024</t>
        </is>
      </c>
      <c r="B1190" s="1" t="n">
        <v>45586</v>
      </c>
      <c r="C1190" s="1" t="n">
        <v>45755</v>
      </c>
      <c r="D1190" t="inlineStr">
        <is>
          <t>JÄMTLANDS LÄN</t>
        </is>
      </c>
      <c r="E1190" t="inlineStr">
        <is>
          <t>BERG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46991-2024</t>
        </is>
      </c>
      <c r="B1191" s="1" t="n">
        <v>45586</v>
      </c>
      <c r="C1191" s="1" t="n">
        <v>45755</v>
      </c>
      <c r="D1191" t="inlineStr">
        <is>
          <t>JÄMTLANDS LÄN</t>
        </is>
      </c>
      <c r="E1191" t="inlineStr">
        <is>
          <t>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47057-2024</t>
        </is>
      </c>
      <c r="B1192" s="1" t="n">
        <v>45586</v>
      </c>
      <c r="C1192" s="1" t="n">
        <v>45755</v>
      </c>
      <c r="D1192" t="inlineStr">
        <is>
          <t>JÄMTLANDS LÄN</t>
        </is>
      </c>
      <c r="E1192" t="inlineStr">
        <is>
          <t>BERG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47577-2024</t>
        </is>
      </c>
      <c r="B1193" s="1" t="n">
        <v>45587</v>
      </c>
      <c r="C1193" s="1" t="n">
        <v>45755</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47407-2024</t>
        </is>
      </c>
      <c r="B1194" s="1" t="n">
        <v>45587</v>
      </c>
      <c r="C1194" s="1" t="n">
        <v>45755</v>
      </c>
      <c r="D1194" t="inlineStr">
        <is>
          <t>JÄMTLANDS LÄN</t>
        </is>
      </c>
      <c r="E1194" t="inlineStr">
        <is>
          <t>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47674-2024</t>
        </is>
      </c>
      <c r="B1195" s="1" t="n">
        <v>45588</v>
      </c>
      <c r="C1195" s="1" t="n">
        <v>45755</v>
      </c>
      <c r="D1195" t="inlineStr">
        <is>
          <t>JÄMTLANDS LÄN</t>
        </is>
      </c>
      <c r="E1195" t="inlineStr">
        <is>
          <t>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48136-2024</t>
        </is>
      </c>
      <c r="B1196" s="1" t="n">
        <v>45589</v>
      </c>
      <c r="C1196" s="1" t="n">
        <v>45755</v>
      </c>
      <c r="D1196" t="inlineStr">
        <is>
          <t>JÄMTLANDS LÄN</t>
        </is>
      </c>
      <c r="E1196" t="inlineStr">
        <is>
          <t>BERG</t>
        </is>
      </c>
      <c r="G1196" t="n">
        <v>27.1</v>
      </c>
      <c r="H1196" t="n">
        <v>0</v>
      </c>
      <c r="I1196" t="n">
        <v>0</v>
      </c>
      <c r="J1196" t="n">
        <v>0</v>
      </c>
      <c r="K1196" t="n">
        <v>0</v>
      </c>
      <c r="L1196" t="n">
        <v>0</v>
      </c>
      <c r="M1196" t="n">
        <v>0</v>
      </c>
      <c r="N1196" t="n">
        <v>0</v>
      </c>
      <c r="O1196" t="n">
        <v>0</v>
      </c>
      <c r="P1196" t="n">
        <v>0</v>
      </c>
      <c r="Q1196" t="n">
        <v>0</v>
      </c>
      <c r="R1196" s="2" t="inlineStr"/>
    </row>
    <row r="1197" ht="15" customHeight="1">
      <c r="A1197" t="inlineStr">
        <is>
          <t>A 48307-2024</t>
        </is>
      </c>
      <c r="B1197" s="1" t="n">
        <v>45590</v>
      </c>
      <c r="C1197" s="1" t="n">
        <v>45755</v>
      </c>
      <c r="D1197" t="inlineStr">
        <is>
          <t>JÄMTLANDS LÄN</t>
        </is>
      </c>
      <c r="E1197" t="inlineStr">
        <is>
          <t>BERG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48706-2024</t>
        </is>
      </c>
      <c r="B1198" s="1" t="n">
        <v>45593</v>
      </c>
      <c r="C1198" s="1" t="n">
        <v>45755</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49106-2024</t>
        </is>
      </c>
      <c r="B1199" s="1" t="n">
        <v>45594</v>
      </c>
      <c r="C1199" s="1" t="n">
        <v>45755</v>
      </c>
      <c r="D1199" t="inlineStr">
        <is>
          <t>JÄMTLANDS LÄN</t>
        </is>
      </c>
      <c r="E1199" t="inlineStr">
        <is>
          <t>BERG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49048-2024</t>
        </is>
      </c>
      <c r="B1200" s="1" t="n">
        <v>45594</v>
      </c>
      <c r="C1200" s="1" t="n">
        <v>45755</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49109-2024</t>
        </is>
      </c>
      <c r="B1201" s="1" t="n">
        <v>45594</v>
      </c>
      <c r="C1201" s="1" t="n">
        <v>45755</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48998-2024</t>
        </is>
      </c>
      <c r="B1202" s="1" t="n">
        <v>45594</v>
      </c>
      <c r="C1202" s="1" t="n">
        <v>45755</v>
      </c>
      <c r="D1202" t="inlineStr">
        <is>
          <t>JÄMTLANDS LÄN</t>
        </is>
      </c>
      <c r="E1202" t="inlineStr">
        <is>
          <t>BERG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49103-2024</t>
        </is>
      </c>
      <c r="B1203" s="1" t="n">
        <v>45594</v>
      </c>
      <c r="C1203" s="1" t="n">
        <v>45755</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49225-2024</t>
        </is>
      </c>
      <c r="B1204" s="1" t="n">
        <v>45595</v>
      </c>
      <c r="C1204" s="1" t="n">
        <v>45755</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49277-2024</t>
        </is>
      </c>
      <c r="B1205" s="1" t="n">
        <v>45595</v>
      </c>
      <c r="C1205" s="1" t="n">
        <v>45755</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49377-2024</t>
        </is>
      </c>
      <c r="B1206" s="1" t="n">
        <v>45595</v>
      </c>
      <c r="C1206" s="1" t="n">
        <v>45755</v>
      </c>
      <c r="D1206" t="inlineStr">
        <is>
          <t>JÄMTLANDS LÄN</t>
        </is>
      </c>
      <c r="E1206" t="inlineStr">
        <is>
          <t>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49413-2024</t>
        </is>
      </c>
      <c r="B1207" s="1" t="n">
        <v>45595</v>
      </c>
      <c r="C1207" s="1" t="n">
        <v>45755</v>
      </c>
      <c r="D1207" t="inlineStr">
        <is>
          <t>JÄMTLANDS LÄN</t>
        </is>
      </c>
      <c r="E1207" t="inlineStr">
        <is>
          <t>BERG</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49342-2024</t>
        </is>
      </c>
      <c r="B1208" s="1" t="n">
        <v>45595</v>
      </c>
      <c r="C1208" s="1" t="n">
        <v>45755</v>
      </c>
      <c r="D1208" t="inlineStr">
        <is>
          <t>JÄMTLANDS LÄN</t>
        </is>
      </c>
      <c r="E1208" t="inlineStr">
        <is>
          <t>BERG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50313-2024</t>
        </is>
      </c>
      <c r="B1209" s="1" t="n">
        <v>45600</v>
      </c>
      <c r="C1209" s="1" t="n">
        <v>45755</v>
      </c>
      <c r="D1209" t="inlineStr">
        <is>
          <t>JÄMTLANDS LÄN</t>
        </is>
      </c>
      <c r="E1209" t="inlineStr">
        <is>
          <t>BERG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50315-2024</t>
        </is>
      </c>
      <c r="B1210" s="1" t="n">
        <v>45600</v>
      </c>
      <c r="C1210" s="1" t="n">
        <v>45755</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51155-2024</t>
        </is>
      </c>
      <c r="B1211" s="1" t="n">
        <v>45603</v>
      </c>
      <c r="C1211" s="1" t="n">
        <v>45755</v>
      </c>
      <c r="D1211" t="inlineStr">
        <is>
          <t>JÄMTLANDS LÄN</t>
        </is>
      </c>
      <c r="E1211" t="inlineStr">
        <is>
          <t>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51172-2024</t>
        </is>
      </c>
      <c r="B1212" s="1" t="n">
        <v>45603</v>
      </c>
      <c r="C1212" s="1" t="n">
        <v>45755</v>
      </c>
      <c r="D1212" t="inlineStr">
        <is>
          <t>JÄMTLANDS LÄN</t>
        </is>
      </c>
      <c r="E1212" t="inlineStr">
        <is>
          <t>BERG</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51039-2024</t>
        </is>
      </c>
      <c r="B1213" s="1" t="n">
        <v>45603</v>
      </c>
      <c r="C1213" s="1" t="n">
        <v>45755</v>
      </c>
      <c r="D1213" t="inlineStr">
        <is>
          <t>JÄMTLANDS LÄN</t>
        </is>
      </c>
      <c r="E1213" t="inlineStr">
        <is>
          <t>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51948-2024</t>
        </is>
      </c>
      <c r="B1214" s="1" t="n">
        <v>45607</v>
      </c>
      <c r="C1214" s="1" t="n">
        <v>45755</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53085-2024</t>
        </is>
      </c>
      <c r="B1215" s="1" t="n">
        <v>45611</v>
      </c>
      <c r="C1215" s="1" t="n">
        <v>45755</v>
      </c>
      <c r="D1215" t="inlineStr">
        <is>
          <t>JÄMTLANDS LÄN</t>
        </is>
      </c>
      <c r="E1215" t="inlineStr">
        <is>
          <t>BERG</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53548-2024</t>
        </is>
      </c>
      <c r="B1216" s="1" t="n">
        <v>45614</v>
      </c>
      <c r="C1216" s="1" t="n">
        <v>45755</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53507-2024</t>
        </is>
      </c>
      <c r="B1217" s="1" t="n">
        <v>45614</v>
      </c>
      <c r="C1217" s="1" t="n">
        <v>45755</v>
      </c>
      <c r="D1217" t="inlineStr">
        <is>
          <t>JÄMTLANDS LÄN</t>
        </is>
      </c>
      <c r="E1217" t="inlineStr">
        <is>
          <t>BERG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53708-2024</t>
        </is>
      </c>
      <c r="B1218" s="1" t="n">
        <v>45615</v>
      </c>
      <c r="C1218" s="1" t="n">
        <v>45755</v>
      </c>
      <c r="D1218" t="inlineStr">
        <is>
          <t>JÄMTLANDS LÄN</t>
        </is>
      </c>
      <c r="E1218" t="inlineStr">
        <is>
          <t>BERG</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53707-2024</t>
        </is>
      </c>
      <c r="B1219" s="1" t="n">
        <v>45615</v>
      </c>
      <c r="C1219" s="1" t="n">
        <v>45755</v>
      </c>
      <c r="D1219" t="inlineStr">
        <is>
          <t>JÄMTLANDS LÄN</t>
        </is>
      </c>
      <c r="E1219" t="inlineStr">
        <is>
          <t>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54198-2024</t>
        </is>
      </c>
      <c r="B1220" s="1" t="n">
        <v>45616</v>
      </c>
      <c r="C1220" s="1" t="n">
        <v>45755</v>
      </c>
      <c r="D1220" t="inlineStr">
        <is>
          <t>JÄMTLANDS LÄN</t>
        </is>
      </c>
      <c r="E1220" t="inlineStr">
        <is>
          <t>BERG</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54112-2024</t>
        </is>
      </c>
      <c r="B1221" s="1" t="n">
        <v>45616</v>
      </c>
      <c r="C1221" s="1" t="n">
        <v>45755</v>
      </c>
      <c r="D1221" t="inlineStr">
        <is>
          <t>JÄMTLANDS LÄN</t>
        </is>
      </c>
      <c r="E1221" t="inlineStr">
        <is>
          <t>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54605-2024</t>
        </is>
      </c>
      <c r="B1222" s="1" t="n">
        <v>45617</v>
      </c>
      <c r="C1222" s="1" t="n">
        <v>45755</v>
      </c>
      <c r="D1222" t="inlineStr">
        <is>
          <t>JÄMTLANDS LÄN</t>
        </is>
      </c>
      <c r="E1222" t="inlineStr">
        <is>
          <t>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55659-2024</t>
        </is>
      </c>
      <c r="B1223" s="1" t="n">
        <v>45622</v>
      </c>
      <c r="C1223" s="1" t="n">
        <v>45755</v>
      </c>
      <c r="D1223" t="inlineStr">
        <is>
          <t>JÄMTLANDS LÄN</t>
        </is>
      </c>
      <c r="E1223" t="inlineStr">
        <is>
          <t>BERG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56043-2024</t>
        </is>
      </c>
      <c r="B1224" s="1" t="n">
        <v>45624</v>
      </c>
      <c r="C1224" s="1" t="n">
        <v>45755</v>
      </c>
      <c r="D1224" t="inlineStr">
        <is>
          <t>JÄMTLANDS LÄN</t>
        </is>
      </c>
      <c r="E1224" t="inlineStr">
        <is>
          <t>BERG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56226-2024</t>
        </is>
      </c>
      <c r="B1225" s="1" t="n">
        <v>45624</v>
      </c>
      <c r="C1225" s="1" t="n">
        <v>45755</v>
      </c>
      <c r="D1225" t="inlineStr">
        <is>
          <t>JÄMTLANDS LÄN</t>
        </is>
      </c>
      <c r="E1225" t="inlineStr">
        <is>
          <t>BERG</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56368-2024</t>
        </is>
      </c>
      <c r="B1226" s="1" t="n">
        <v>45625</v>
      </c>
      <c r="C1226" s="1" t="n">
        <v>45755</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56420-2024</t>
        </is>
      </c>
      <c r="B1227" s="1" t="n">
        <v>45625</v>
      </c>
      <c r="C1227" s="1" t="n">
        <v>45755</v>
      </c>
      <c r="D1227" t="inlineStr">
        <is>
          <t>JÄMTLANDS LÄN</t>
        </is>
      </c>
      <c r="E1227" t="inlineStr">
        <is>
          <t>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56490-2024</t>
        </is>
      </c>
      <c r="B1228" s="1" t="n">
        <v>45625</v>
      </c>
      <c r="C1228" s="1" t="n">
        <v>45755</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56364-2024</t>
        </is>
      </c>
      <c r="B1229" s="1" t="n">
        <v>45625</v>
      </c>
      <c r="C1229" s="1" t="n">
        <v>45755</v>
      </c>
      <c r="D1229" t="inlineStr">
        <is>
          <t>JÄMTLANDS LÄN</t>
        </is>
      </c>
      <c r="E1229" t="inlineStr">
        <is>
          <t>BERG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57244-2024</t>
        </is>
      </c>
      <c r="B1230" s="1" t="n">
        <v>45628</v>
      </c>
      <c r="C1230" s="1" t="n">
        <v>45755</v>
      </c>
      <c r="D1230" t="inlineStr">
        <is>
          <t>JÄMTLANDS LÄN</t>
        </is>
      </c>
      <c r="E1230" t="inlineStr">
        <is>
          <t>BERG</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57124-2024</t>
        </is>
      </c>
      <c r="B1231" s="1" t="n">
        <v>45629</v>
      </c>
      <c r="C1231" s="1" t="n">
        <v>45755</v>
      </c>
      <c r="D1231" t="inlineStr">
        <is>
          <t>JÄMTLANDS LÄN</t>
        </is>
      </c>
      <c r="E1231" t="inlineStr">
        <is>
          <t>BERG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57127-2024</t>
        </is>
      </c>
      <c r="B1232" s="1" t="n">
        <v>45629</v>
      </c>
      <c r="C1232" s="1" t="n">
        <v>45755</v>
      </c>
      <c r="D1232" t="inlineStr">
        <is>
          <t>JÄMTLANDS LÄN</t>
        </is>
      </c>
      <c r="E1232" t="inlineStr">
        <is>
          <t>BERG</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57734-2024</t>
        </is>
      </c>
      <c r="B1233" s="1" t="n">
        <v>45630</v>
      </c>
      <c r="C1233" s="1" t="n">
        <v>45755</v>
      </c>
      <c r="D1233" t="inlineStr">
        <is>
          <t>JÄMTLANDS LÄN</t>
        </is>
      </c>
      <c r="E1233" t="inlineStr">
        <is>
          <t>BERG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57660-2024</t>
        </is>
      </c>
      <c r="B1234" s="1" t="n">
        <v>45630</v>
      </c>
      <c r="C1234" s="1" t="n">
        <v>45755</v>
      </c>
      <c r="D1234" t="inlineStr">
        <is>
          <t>JÄMTLANDS LÄN</t>
        </is>
      </c>
      <c r="E1234" t="inlineStr">
        <is>
          <t>BERG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57661-2024</t>
        </is>
      </c>
      <c r="B1235" s="1" t="n">
        <v>45630</v>
      </c>
      <c r="C1235" s="1" t="n">
        <v>45755</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57669-2024</t>
        </is>
      </c>
      <c r="B1236" s="1" t="n">
        <v>45630</v>
      </c>
      <c r="C1236" s="1" t="n">
        <v>45755</v>
      </c>
      <c r="D1236" t="inlineStr">
        <is>
          <t>JÄMTLANDS LÄN</t>
        </is>
      </c>
      <c r="E1236" t="inlineStr">
        <is>
          <t>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58073-2024</t>
        </is>
      </c>
      <c r="B1237" s="1" t="n">
        <v>45630</v>
      </c>
      <c r="C1237" s="1" t="n">
        <v>45755</v>
      </c>
      <c r="D1237" t="inlineStr">
        <is>
          <t>JÄMTLANDS LÄN</t>
        </is>
      </c>
      <c r="E1237" t="inlineStr">
        <is>
          <t>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57905-2024</t>
        </is>
      </c>
      <c r="B1238" s="1" t="n">
        <v>45631</v>
      </c>
      <c r="C1238" s="1" t="n">
        <v>45755</v>
      </c>
      <c r="D1238" t="inlineStr">
        <is>
          <t>JÄMTLANDS LÄN</t>
        </is>
      </c>
      <c r="E1238" t="inlineStr">
        <is>
          <t>BERG</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58176-2024</t>
        </is>
      </c>
      <c r="B1239" s="1" t="n">
        <v>45632</v>
      </c>
      <c r="C1239" s="1" t="n">
        <v>45755</v>
      </c>
      <c r="D1239" t="inlineStr">
        <is>
          <t>JÄMTLANDS LÄN</t>
        </is>
      </c>
      <c r="E1239" t="inlineStr">
        <is>
          <t>BERG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58878-2024</t>
        </is>
      </c>
      <c r="B1240" s="1" t="n">
        <v>45636</v>
      </c>
      <c r="C1240" s="1" t="n">
        <v>45755</v>
      </c>
      <c r="D1240" t="inlineStr">
        <is>
          <t>JÄMTLANDS LÄN</t>
        </is>
      </c>
      <c r="E1240" t="inlineStr">
        <is>
          <t>BERG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58803-2024</t>
        </is>
      </c>
      <c r="B1241" s="1" t="n">
        <v>45636</v>
      </c>
      <c r="C1241" s="1" t="n">
        <v>45755</v>
      </c>
      <c r="D1241" t="inlineStr">
        <is>
          <t>JÄMTLANDS LÄN</t>
        </is>
      </c>
      <c r="E1241" t="inlineStr">
        <is>
          <t>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58817-2024</t>
        </is>
      </c>
      <c r="B1242" s="1" t="n">
        <v>45636</v>
      </c>
      <c r="C1242" s="1" t="n">
        <v>45755</v>
      </c>
      <c r="D1242" t="inlineStr">
        <is>
          <t>JÄMTLANDS LÄN</t>
        </is>
      </c>
      <c r="E1242" t="inlineStr">
        <is>
          <t>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59498-2024</t>
        </is>
      </c>
      <c r="B1243" s="1" t="n">
        <v>45638</v>
      </c>
      <c r="C1243" s="1" t="n">
        <v>45755</v>
      </c>
      <c r="D1243" t="inlineStr">
        <is>
          <t>JÄMTLANDS LÄN</t>
        </is>
      </c>
      <c r="E1243" t="inlineStr">
        <is>
          <t>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59521-2024</t>
        </is>
      </c>
      <c r="B1244" s="1" t="n">
        <v>45638</v>
      </c>
      <c r="C1244" s="1" t="n">
        <v>45755</v>
      </c>
      <c r="D1244" t="inlineStr">
        <is>
          <t>JÄMTLANDS LÄN</t>
        </is>
      </c>
      <c r="E1244" t="inlineStr">
        <is>
          <t>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59526-2024</t>
        </is>
      </c>
      <c r="B1245" s="1" t="n">
        <v>45638</v>
      </c>
      <c r="C1245" s="1" t="n">
        <v>45755</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59459-2024</t>
        </is>
      </c>
      <c r="B1246" s="1" t="n">
        <v>45638</v>
      </c>
      <c r="C1246" s="1" t="n">
        <v>45755</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59524-2024</t>
        </is>
      </c>
      <c r="B1247" s="1" t="n">
        <v>45638</v>
      </c>
      <c r="C1247" s="1" t="n">
        <v>45755</v>
      </c>
      <c r="D1247" t="inlineStr">
        <is>
          <t>JÄMTLANDS LÄN</t>
        </is>
      </c>
      <c r="E1247" t="inlineStr">
        <is>
          <t>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60176-2024</t>
        </is>
      </c>
      <c r="B1248" s="1" t="n">
        <v>45642</v>
      </c>
      <c r="C1248" s="1" t="n">
        <v>45755</v>
      </c>
      <c r="D1248" t="inlineStr">
        <is>
          <t>JÄMTLANDS LÄN</t>
        </is>
      </c>
      <c r="E1248" t="inlineStr">
        <is>
          <t>BERG</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60076-2024</t>
        </is>
      </c>
      <c r="B1249" s="1" t="n">
        <v>45642</v>
      </c>
      <c r="C1249" s="1" t="n">
        <v>45755</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59968-2024</t>
        </is>
      </c>
      <c r="B1250" s="1" t="n">
        <v>45642</v>
      </c>
      <c r="C1250" s="1" t="n">
        <v>45755</v>
      </c>
      <c r="D1250" t="inlineStr">
        <is>
          <t>JÄMTLANDS LÄN</t>
        </is>
      </c>
      <c r="E1250" t="inlineStr">
        <is>
          <t>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60075-2024</t>
        </is>
      </c>
      <c r="B1251" s="1" t="n">
        <v>45642</v>
      </c>
      <c r="C1251" s="1" t="n">
        <v>45755</v>
      </c>
      <c r="D1251" t="inlineStr">
        <is>
          <t>JÄMTLANDS LÄN</t>
        </is>
      </c>
      <c r="E1251" t="inlineStr">
        <is>
          <t>BERG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61085-2024</t>
        </is>
      </c>
      <c r="B1252" s="1" t="n">
        <v>45645</v>
      </c>
      <c r="C1252" s="1" t="n">
        <v>45755</v>
      </c>
      <c r="D1252" t="inlineStr">
        <is>
          <t>JÄMTLANDS LÄN</t>
        </is>
      </c>
      <c r="E1252" t="inlineStr">
        <is>
          <t>BERG</t>
        </is>
      </c>
      <c r="F1252" t="inlineStr">
        <is>
          <t>SCA</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61652-2024</t>
        </is>
      </c>
      <c r="B1253" s="1" t="n">
        <v>45646</v>
      </c>
      <c r="C1253" s="1" t="n">
        <v>45755</v>
      </c>
      <c r="D1253" t="inlineStr">
        <is>
          <t>JÄMTLANDS LÄN</t>
        </is>
      </c>
      <c r="E1253" t="inlineStr">
        <is>
          <t>BERG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61980-2024</t>
        </is>
      </c>
      <c r="B1254" s="1" t="n">
        <v>45653</v>
      </c>
      <c r="C1254" s="1" t="n">
        <v>45755</v>
      </c>
      <c r="D1254" t="inlineStr">
        <is>
          <t>JÄMTLANDS LÄN</t>
        </is>
      </c>
      <c r="E1254" t="inlineStr">
        <is>
          <t>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161-2025</t>
        </is>
      </c>
      <c r="B1255" s="1" t="n">
        <v>45659</v>
      </c>
      <c r="C1255" s="1" t="n">
        <v>45755</v>
      </c>
      <c r="D1255" t="inlineStr">
        <is>
          <t>JÄMTLANDS LÄN</t>
        </is>
      </c>
      <c r="E1255" t="inlineStr">
        <is>
          <t>BERG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70-2025</t>
        </is>
      </c>
      <c r="B1256" s="1" t="n">
        <v>45659</v>
      </c>
      <c r="C1256" s="1" t="n">
        <v>45755</v>
      </c>
      <c r="D1256" t="inlineStr">
        <is>
          <t>JÄMTLANDS LÄN</t>
        </is>
      </c>
      <c r="E1256" t="inlineStr">
        <is>
          <t>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169-2025</t>
        </is>
      </c>
      <c r="B1257" s="1" t="n">
        <v>45659</v>
      </c>
      <c r="C1257" s="1" t="n">
        <v>45755</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484-2025</t>
        </is>
      </c>
      <c r="B1258" s="1" t="n">
        <v>45664</v>
      </c>
      <c r="C1258" s="1" t="n">
        <v>45755</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511-2025</t>
        </is>
      </c>
      <c r="B1259" s="1" t="n">
        <v>45664</v>
      </c>
      <c r="C1259" s="1" t="n">
        <v>45755</v>
      </c>
      <c r="D1259" t="inlineStr">
        <is>
          <t>JÄMTLANDS LÄN</t>
        </is>
      </c>
      <c r="E1259" t="inlineStr">
        <is>
          <t>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1023-2025</t>
        </is>
      </c>
      <c r="B1260" s="1" t="n">
        <v>45666</v>
      </c>
      <c r="C1260" s="1" t="n">
        <v>45755</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1178-2025</t>
        </is>
      </c>
      <c r="B1261" s="1" t="n">
        <v>45667</v>
      </c>
      <c r="C1261" s="1" t="n">
        <v>45755</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1184-2025</t>
        </is>
      </c>
      <c r="B1262" s="1" t="n">
        <v>45667</v>
      </c>
      <c r="C1262" s="1" t="n">
        <v>45755</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45755</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1495-2025</t>
        </is>
      </c>
      <c r="B1264" s="1" t="n">
        <v>45670</v>
      </c>
      <c r="C1264" s="1" t="n">
        <v>45755</v>
      </c>
      <c r="D1264" t="inlineStr">
        <is>
          <t>JÄMTLANDS LÄN</t>
        </is>
      </c>
      <c r="E1264" t="inlineStr">
        <is>
          <t>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1496-2025</t>
        </is>
      </c>
      <c r="B1265" s="1" t="n">
        <v>45670</v>
      </c>
      <c r="C1265" s="1" t="n">
        <v>45755</v>
      </c>
      <c r="D1265" t="inlineStr">
        <is>
          <t>JÄMTLANDS LÄN</t>
        </is>
      </c>
      <c r="E1265" t="inlineStr">
        <is>
          <t>BERG</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2005-2025</t>
        </is>
      </c>
      <c r="B1266" s="1" t="n">
        <v>45672</v>
      </c>
      <c r="C1266" s="1" t="n">
        <v>45755</v>
      </c>
      <c r="D1266" t="inlineStr">
        <is>
          <t>JÄMTLANDS LÄN</t>
        </is>
      </c>
      <c r="E1266" t="inlineStr">
        <is>
          <t>BERG</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2012-2025</t>
        </is>
      </c>
      <c r="B1267" s="1" t="n">
        <v>45672</v>
      </c>
      <c r="C1267" s="1" t="n">
        <v>45755</v>
      </c>
      <c r="D1267" t="inlineStr">
        <is>
          <t>JÄMTLANDS LÄN</t>
        </is>
      </c>
      <c r="E1267" t="inlineStr">
        <is>
          <t>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2247-2025</t>
        </is>
      </c>
      <c r="B1268" s="1" t="n">
        <v>45673</v>
      </c>
      <c r="C1268" s="1" t="n">
        <v>45755</v>
      </c>
      <c r="D1268" t="inlineStr">
        <is>
          <t>JÄMTLANDS LÄN</t>
        </is>
      </c>
      <c r="E1268" t="inlineStr">
        <is>
          <t>BERG</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2474-2025</t>
        </is>
      </c>
      <c r="B1269" s="1" t="n">
        <v>45674</v>
      </c>
      <c r="C1269" s="1" t="n">
        <v>45755</v>
      </c>
      <c r="D1269" t="inlineStr">
        <is>
          <t>JÄMTLANDS LÄN</t>
        </is>
      </c>
      <c r="E1269" t="inlineStr">
        <is>
          <t>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2472-2025</t>
        </is>
      </c>
      <c r="B1270" s="1" t="n">
        <v>45674</v>
      </c>
      <c r="C1270" s="1" t="n">
        <v>45755</v>
      </c>
      <c r="D1270" t="inlineStr">
        <is>
          <t>JÄMTLANDS LÄN</t>
        </is>
      </c>
      <c r="E1270" t="inlineStr">
        <is>
          <t>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3032-2025</t>
        </is>
      </c>
      <c r="B1271" s="1" t="n">
        <v>45678</v>
      </c>
      <c r="C1271" s="1" t="n">
        <v>45755</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3027-2025</t>
        </is>
      </c>
      <c r="B1272" s="1" t="n">
        <v>45678</v>
      </c>
      <c r="C1272" s="1" t="n">
        <v>45755</v>
      </c>
      <c r="D1272" t="inlineStr">
        <is>
          <t>JÄMTLANDS LÄN</t>
        </is>
      </c>
      <c r="E1272" t="inlineStr">
        <is>
          <t>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3173-2025</t>
        </is>
      </c>
      <c r="B1273" s="1" t="n">
        <v>45679</v>
      </c>
      <c r="C1273" s="1" t="n">
        <v>45755</v>
      </c>
      <c r="D1273" t="inlineStr">
        <is>
          <t>JÄMTLANDS LÄN</t>
        </is>
      </c>
      <c r="E1273" t="inlineStr">
        <is>
          <t>BERG</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45755</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3561-2025</t>
        </is>
      </c>
      <c r="B1275" s="1" t="n">
        <v>45680</v>
      </c>
      <c r="C1275" s="1" t="n">
        <v>45755</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3419-2025</t>
        </is>
      </c>
      <c r="B1276" s="1" t="n">
        <v>45680</v>
      </c>
      <c r="C1276" s="1" t="n">
        <v>45755</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45755</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45755</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3964-2025</t>
        </is>
      </c>
      <c r="B1279" s="1" t="n">
        <v>45684</v>
      </c>
      <c r="C1279" s="1" t="n">
        <v>45755</v>
      </c>
      <c r="D1279" t="inlineStr">
        <is>
          <t>JÄMTLANDS LÄN</t>
        </is>
      </c>
      <c r="E1279" t="inlineStr">
        <is>
          <t>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3984-2025</t>
        </is>
      </c>
      <c r="B1280" s="1" t="n">
        <v>45684</v>
      </c>
      <c r="C1280" s="1" t="n">
        <v>45755</v>
      </c>
      <c r="D1280" t="inlineStr">
        <is>
          <t>JÄMTLANDS LÄN</t>
        </is>
      </c>
      <c r="E1280" t="inlineStr">
        <is>
          <t>BERG</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4246-2025</t>
        </is>
      </c>
      <c r="B1281" s="1" t="n">
        <v>45685</v>
      </c>
      <c r="C1281" s="1" t="n">
        <v>45755</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4259-2025</t>
        </is>
      </c>
      <c r="B1282" s="1" t="n">
        <v>45685</v>
      </c>
      <c r="C1282" s="1" t="n">
        <v>45755</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4476-2025</t>
        </is>
      </c>
      <c r="B1283" s="1" t="n">
        <v>45686</v>
      </c>
      <c r="C1283" s="1" t="n">
        <v>45755</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4527-2025</t>
        </is>
      </c>
      <c r="B1284" s="1" t="n">
        <v>45686</v>
      </c>
      <c r="C1284" s="1" t="n">
        <v>45755</v>
      </c>
      <c r="D1284" t="inlineStr">
        <is>
          <t>JÄMTLANDS LÄN</t>
        </is>
      </c>
      <c r="E1284" t="inlineStr">
        <is>
          <t>BERG</t>
        </is>
      </c>
      <c r="G1284" t="n">
        <v>17.8</v>
      </c>
      <c r="H1284" t="n">
        <v>0</v>
      </c>
      <c r="I1284" t="n">
        <v>0</v>
      </c>
      <c r="J1284" t="n">
        <v>0</v>
      </c>
      <c r="K1284" t="n">
        <v>0</v>
      </c>
      <c r="L1284" t="n">
        <v>0</v>
      </c>
      <c r="M1284" t="n">
        <v>0</v>
      </c>
      <c r="N1284" t="n">
        <v>0</v>
      </c>
      <c r="O1284" t="n">
        <v>0</v>
      </c>
      <c r="P1284" t="n">
        <v>0</v>
      </c>
      <c r="Q1284" t="n">
        <v>0</v>
      </c>
      <c r="R1284" s="2" t="inlineStr"/>
    </row>
    <row r="1285" ht="15" customHeight="1">
      <c r="A1285" t="inlineStr">
        <is>
          <t>A 5178-2025</t>
        </is>
      </c>
      <c r="B1285" s="1" t="n">
        <v>45691</v>
      </c>
      <c r="C1285" s="1" t="n">
        <v>45755</v>
      </c>
      <c r="D1285" t="inlineStr">
        <is>
          <t>JÄMTLANDS LÄN</t>
        </is>
      </c>
      <c r="E1285" t="inlineStr">
        <is>
          <t>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5187-2025</t>
        </is>
      </c>
      <c r="B1286" s="1" t="n">
        <v>45691</v>
      </c>
      <c r="C1286" s="1" t="n">
        <v>45755</v>
      </c>
      <c r="D1286" t="inlineStr">
        <is>
          <t>JÄMTLANDS LÄN</t>
        </is>
      </c>
      <c r="E1286" t="inlineStr">
        <is>
          <t>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5309-2025</t>
        </is>
      </c>
      <c r="B1287" s="1" t="n">
        <v>45692</v>
      </c>
      <c r="C1287" s="1" t="n">
        <v>45755</v>
      </c>
      <c r="D1287" t="inlineStr">
        <is>
          <t>JÄMTLANDS LÄN</t>
        </is>
      </c>
      <c r="E1287" t="inlineStr">
        <is>
          <t>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5517-2025</t>
        </is>
      </c>
      <c r="B1288" s="1" t="n">
        <v>45693</v>
      </c>
      <c r="C1288" s="1" t="n">
        <v>45755</v>
      </c>
      <c r="D1288" t="inlineStr">
        <is>
          <t>JÄMTLANDS LÄN</t>
        </is>
      </c>
      <c r="E1288" t="inlineStr">
        <is>
          <t>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5644-2025</t>
        </is>
      </c>
      <c r="B1289" s="1" t="n">
        <v>45693</v>
      </c>
      <c r="C1289" s="1" t="n">
        <v>45755</v>
      </c>
      <c r="D1289" t="inlineStr">
        <is>
          <t>JÄMTLANDS LÄN</t>
        </is>
      </c>
      <c r="E1289" t="inlineStr">
        <is>
          <t>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6645-2025</t>
        </is>
      </c>
      <c r="B1290" s="1" t="n">
        <v>45700</v>
      </c>
      <c r="C1290" s="1" t="n">
        <v>45755</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45755</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45755</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7049-2025</t>
        </is>
      </c>
      <c r="B1293" s="1" t="n">
        <v>45701</v>
      </c>
      <c r="C1293" s="1" t="n">
        <v>45755</v>
      </c>
      <c r="D1293" t="inlineStr">
        <is>
          <t>JÄMTLANDS LÄN</t>
        </is>
      </c>
      <c r="E1293" t="inlineStr">
        <is>
          <t>BERG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45755</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8187-2025</t>
        </is>
      </c>
      <c r="B1295" s="1" t="n">
        <v>45708</v>
      </c>
      <c r="C1295" s="1" t="n">
        <v>45755</v>
      </c>
      <c r="D1295" t="inlineStr">
        <is>
          <t>JÄMTLANDS LÄN</t>
        </is>
      </c>
      <c r="E1295" t="inlineStr">
        <is>
          <t>BERG</t>
        </is>
      </c>
      <c r="G1295" t="n">
        <v>11.2</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45755</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8697-2025</t>
        </is>
      </c>
      <c r="B1297" s="1" t="n">
        <v>45712</v>
      </c>
      <c r="C1297" s="1" t="n">
        <v>45755</v>
      </c>
      <c r="D1297" t="inlineStr">
        <is>
          <t>JÄMTLANDS LÄN</t>
        </is>
      </c>
      <c r="E1297" t="inlineStr">
        <is>
          <t>BERG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8710-2025</t>
        </is>
      </c>
      <c r="B1298" s="1" t="n">
        <v>45712</v>
      </c>
      <c r="C1298" s="1" t="n">
        <v>45755</v>
      </c>
      <c r="D1298" t="inlineStr">
        <is>
          <t>JÄMTLANDS LÄN</t>
        </is>
      </c>
      <c r="E1298" t="inlineStr">
        <is>
          <t>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45755</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9252-2025</t>
        </is>
      </c>
      <c r="B1300" s="1" t="n">
        <v>45714</v>
      </c>
      <c r="C1300" s="1" t="n">
        <v>45755</v>
      </c>
      <c r="D1300" t="inlineStr">
        <is>
          <t>JÄMTLANDS LÄN</t>
        </is>
      </c>
      <c r="E1300" t="inlineStr">
        <is>
          <t>BERG</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45755</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9626-2025</t>
        </is>
      </c>
      <c r="B1302" s="1" t="n">
        <v>45715</v>
      </c>
      <c r="C1302" s="1" t="n">
        <v>45755</v>
      </c>
      <c r="D1302" t="inlineStr">
        <is>
          <t>JÄMTLANDS LÄN</t>
        </is>
      </c>
      <c r="E1302" t="inlineStr">
        <is>
          <t>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10957-2025</t>
        </is>
      </c>
      <c r="B1303" s="1" t="n">
        <v>45723</v>
      </c>
      <c r="C1303" s="1" t="n">
        <v>45755</v>
      </c>
      <c r="D1303" t="inlineStr">
        <is>
          <t>JÄMTLANDS LÄN</t>
        </is>
      </c>
      <c r="E1303" t="inlineStr">
        <is>
          <t>BERG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10974-2025</t>
        </is>
      </c>
      <c r="B1304" s="1" t="n">
        <v>45723</v>
      </c>
      <c r="C1304" s="1" t="n">
        <v>45755</v>
      </c>
      <c r="D1304" t="inlineStr">
        <is>
          <t>JÄMTLANDS LÄN</t>
        </is>
      </c>
      <c r="E1304" t="inlineStr">
        <is>
          <t>BERG</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11274-2025</t>
        </is>
      </c>
      <c r="B1305" s="1" t="n">
        <v>45726</v>
      </c>
      <c r="C1305" s="1" t="n">
        <v>45755</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11785-2025</t>
        </is>
      </c>
      <c r="B1306" s="1" t="n">
        <v>45727</v>
      </c>
      <c r="C1306" s="1" t="n">
        <v>45755</v>
      </c>
      <c r="D1306" t="inlineStr">
        <is>
          <t>JÄMTLANDS LÄN</t>
        </is>
      </c>
      <c r="E1306" t="inlineStr">
        <is>
          <t>BERG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11608-2025</t>
        </is>
      </c>
      <c r="B1307" s="1" t="n">
        <v>45727</v>
      </c>
      <c r="C1307" s="1" t="n">
        <v>45755</v>
      </c>
      <c r="D1307" t="inlineStr">
        <is>
          <t>JÄMTLANDS LÄN</t>
        </is>
      </c>
      <c r="E1307" t="inlineStr">
        <is>
          <t>BERG</t>
        </is>
      </c>
      <c r="G1307" t="n">
        <v>29.1</v>
      </c>
      <c r="H1307" t="n">
        <v>0</v>
      </c>
      <c r="I1307" t="n">
        <v>0</v>
      </c>
      <c r="J1307" t="n">
        <v>0</v>
      </c>
      <c r="K1307" t="n">
        <v>0</v>
      </c>
      <c r="L1307" t="n">
        <v>0</v>
      </c>
      <c r="M1307" t="n">
        <v>0</v>
      </c>
      <c r="N1307" t="n">
        <v>0</v>
      </c>
      <c r="O1307" t="n">
        <v>0</v>
      </c>
      <c r="P1307" t="n">
        <v>0</v>
      </c>
      <c r="Q1307" t="n">
        <v>0</v>
      </c>
      <c r="R1307" s="2" t="inlineStr"/>
    </row>
    <row r="1308" ht="15" customHeight="1">
      <c r="A1308" t="inlineStr">
        <is>
          <t>A 11725-2025</t>
        </is>
      </c>
      <c r="B1308" s="1" t="n">
        <v>45727</v>
      </c>
      <c r="C1308" s="1" t="n">
        <v>45755</v>
      </c>
      <c r="D1308" t="inlineStr">
        <is>
          <t>JÄMTLANDS LÄN</t>
        </is>
      </c>
      <c r="E1308" t="inlineStr">
        <is>
          <t>BERG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11786-2025</t>
        </is>
      </c>
      <c r="B1309" s="1" t="n">
        <v>45727</v>
      </c>
      <c r="C1309" s="1" t="n">
        <v>45755</v>
      </c>
      <c r="D1309" t="inlineStr">
        <is>
          <t>JÄMTLANDS LÄN</t>
        </is>
      </c>
      <c r="E1309" t="inlineStr">
        <is>
          <t>BERG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11588-2025</t>
        </is>
      </c>
      <c r="B1310" s="1" t="n">
        <v>45727</v>
      </c>
      <c r="C1310" s="1" t="n">
        <v>45755</v>
      </c>
      <c r="D1310" t="inlineStr">
        <is>
          <t>JÄMTLANDS LÄN</t>
        </is>
      </c>
      <c r="E1310" t="inlineStr">
        <is>
          <t>BERG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11599-2025</t>
        </is>
      </c>
      <c r="B1311" s="1" t="n">
        <v>45727</v>
      </c>
      <c r="C1311" s="1" t="n">
        <v>45755</v>
      </c>
      <c r="D1311" t="inlineStr">
        <is>
          <t>JÄMTLANDS LÄN</t>
        </is>
      </c>
      <c r="E1311" t="inlineStr">
        <is>
          <t>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12005-2025</t>
        </is>
      </c>
      <c r="B1312" s="1" t="n">
        <v>45728</v>
      </c>
      <c r="C1312" s="1" t="n">
        <v>45755</v>
      </c>
      <c r="D1312" t="inlineStr">
        <is>
          <t>JÄMTLANDS LÄN</t>
        </is>
      </c>
      <c r="E1312" t="inlineStr">
        <is>
          <t>BERG</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12392-2025</t>
        </is>
      </c>
      <c r="B1313" s="1" t="n">
        <v>45730</v>
      </c>
      <c r="C1313" s="1" t="n">
        <v>45755</v>
      </c>
      <c r="D1313" t="inlineStr">
        <is>
          <t>JÄMTLANDS LÄN</t>
        </is>
      </c>
      <c r="E1313" t="inlineStr">
        <is>
          <t>BERG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12611-2025</t>
        </is>
      </c>
      <c r="B1314" s="1" t="n">
        <v>45733</v>
      </c>
      <c r="C1314" s="1" t="n">
        <v>45755</v>
      </c>
      <c r="D1314" t="inlineStr">
        <is>
          <t>JÄMTLANDS LÄN</t>
        </is>
      </c>
      <c r="E1314" t="inlineStr">
        <is>
          <t>BERG</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12789-2025</t>
        </is>
      </c>
      <c r="B1315" s="1" t="n">
        <v>45733</v>
      </c>
      <c r="C1315" s="1" t="n">
        <v>45755</v>
      </c>
      <c r="D1315" t="inlineStr">
        <is>
          <t>JÄMTLANDS LÄN</t>
        </is>
      </c>
      <c r="E1315" t="inlineStr">
        <is>
          <t>BERG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13097-2025</t>
        </is>
      </c>
      <c r="B1316" s="1" t="n">
        <v>45734</v>
      </c>
      <c r="C1316" s="1" t="n">
        <v>45755</v>
      </c>
      <c r="D1316" t="inlineStr">
        <is>
          <t>JÄMTLANDS LÄN</t>
        </is>
      </c>
      <c r="E1316" t="inlineStr">
        <is>
          <t>BERG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13149-2025</t>
        </is>
      </c>
      <c r="B1317" s="1" t="n">
        <v>45735</v>
      </c>
      <c r="C1317" s="1" t="n">
        <v>45755</v>
      </c>
      <c r="D1317" t="inlineStr">
        <is>
          <t>JÄMTLANDS LÄN</t>
        </is>
      </c>
      <c r="E1317" t="inlineStr">
        <is>
          <t>BERG</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13473-2025</t>
        </is>
      </c>
      <c r="B1318" s="1" t="n">
        <v>45736</v>
      </c>
      <c r="C1318" s="1" t="n">
        <v>45755</v>
      </c>
      <c r="D1318" t="inlineStr">
        <is>
          <t>JÄMTLANDS LÄN</t>
        </is>
      </c>
      <c r="E1318" t="inlineStr">
        <is>
          <t>BERG</t>
        </is>
      </c>
      <c r="F1318" t="inlineStr">
        <is>
          <t>SCA</t>
        </is>
      </c>
      <c r="G1318" t="n">
        <v>13.7</v>
      </c>
      <c r="H1318" t="n">
        <v>0</v>
      </c>
      <c r="I1318" t="n">
        <v>0</v>
      </c>
      <c r="J1318" t="n">
        <v>0</v>
      </c>
      <c r="K1318" t="n">
        <v>0</v>
      </c>
      <c r="L1318" t="n">
        <v>0</v>
      </c>
      <c r="M1318" t="n">
        <v>0</v>
      </c>
      <c r="N1318" t="n">
        <v>0</v>
      </c>
      <c r="O1318" t="n">
        <v>0</v>
      </c>
      <c r="P1318" t="n">
        <v>0</v>
      </c>
      <c r="Q1318" t="n">
        <v>0</v>
      </c>
      <c r="R1318" s="2" t="inlineStr"/>
    </row>
    <row r="1319" ht="15" customHeight="1">
      <c r="A1319" t="inlineStr">
        <is>
          <t>A 13919-2025</t>
        </is>
      </c>
      <c r="B1319" s="1" t="n">
        <v>45737</v>
      </c>
      <c r="C1319" s="1" t="n">
        <v>45755</v>
      </c>
      <c r="D1319" t="inlineStr">
        <is>
          <t>JÄMTLANDS LÄN</t>
        </is>
      </c>
      <c r="E1319" t="inlineStr">
        <is>
          <t>BERG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14341-2025</t>
        </is>
      </c>
      <c r="B1320" s="1" t="n">
        <v>45741</v>
      </c>
      <c r="C1320" s="1" t="n">
        <v>45755</v>
      </c>
      <c r="D1320" t="inlineStr">
        <is>
          <t>JÄMTLANDS LÄN</t>
        </is>
      </c>
      <c r="E1320" t="inlineStr">
        <is>
          <t>BERG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14594-2025</t>
        </is>
      </c>
      <c r="B1321" s="1" t="n">
        <v>45742</v>
      </c>
      <c r="C1321" s="1" t="n">
        <v>45755</v>
      </c>
      <c r="D1321" t="inlineStr">
        <is>
          <t>JÄMTLANDS LÄN</t>
        </is>
      </c>
      <c r="E1321" t="inlineStr">
        <is>
          <t>BERG</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14697-2025</t>
        </is>
      </c>
      <c r="B1322" s="1" t="n">
        <v>45742</v>
      </c>
      <c r="C1322" s="1" t="n">
        <v>45755</v>
      </c>
      <c r="D1322" t="inlineStr">
        <is>
          <t>JÄMTLANDS LÄN</t>
        </is>
      </c>
      <c r="E1322" t="inlineStr">
        <is>
          <t>BERG</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14728-2025</t>
        </is>
      </c>
      <c r="B1323" s="1" t="n">
        <v>45742</v>
      </c>
      <c r="C1323" s="1" t="n">
        <v>45755</v>
      </c>
      <c r="D1323" t="inlineStr">
        <is>
          <t>JÄMTLANDS LÄN</t>
        </is>
      </c>
      <c r="E1323" t="inlineStr">
        <is>
          <t>BERG</t>
        </is>
      </c>
      <c r="F1323" t="inlineStr">
        <is>
          <t>SCA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14672-2025</t>
        </is>
      </c>
      <c r="B1324" s="1" t="n">
        <v>45742</v>
      </c>
      <c r="C1324" s="1" t="n">
        <v>45755</v>
      </c>
      <c r="D1324" t="inlineStr">
        <is>
          <t>JÄMTLANDS LÄN</t>
        </is>
      </c>
      <c r="E1324" t="inlineStr">
        <is>
          <t>BERG</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14596-2025</t>
        </is>
      </c>
      <c r="B1325" s="1" t="n">
        <v>45742</v>
      </c>
      <c r="C1325" s="1" t="n">
        <v>45755</v>
      </c>
      <c r="D1325" t="inlineStr">
        <is>
          <t>JÄMTLANDS LÄN</t>
        </is>
      </c>
      <c r="E1325" t="inlineStr">
        <is>
          <t>BERG</t>
        </is>
      </c>
      <c r="F1325" t="inlineStr">
        <is>
          <t>SCA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14820-2025</t>
        </is>
      </c>
      <c r="B1326" s="1" t="n">
        <v>45743</v>
      </c>
      <c r="C1326" s="1" t="n">
        <v>45755</v>
      </c>
      <c r="D1326" t="inlineStr">
        <is>
          <t>JÄMTLANDS LÄN</t>
        </is>
      </c>
      <c r="E1326" t="inlineStr">
        <is>
          <t>BERG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14834-2025</t>
        </is>
      </c>
      <c r="B1327" s="1" t="n">
        <v>45743</v>
      </c>
      <c r="C1327" s="1" t="n">
        <v>45755</v>
      </c>
      <c r="D1327" t="inlineStr">
        <is>
          <t>JÄMTLANDS LÄN</t>
        </is>
      </c>
      <c r="E1327" t="inlineStr">
        <is>
          <t>BERG</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14929-2025</t>
        </is>
      </c>
      <c r="B1328" s="1" t="n">
        <v>45743</v>
      </c>
      <c r="C1328" s="1" t="n">
        <v>45755</v>
      </c>
      <c r="D1328" t="inlineStr">
        <is>
          <t>JÄMTLANDS LÄN</t>
        </is>
      </c>
      <c r="E1328" t="inlineStr">
        <is>
          <t>BERG</t>
        </is>
      </c>
      <c r="F1328" t="inlineStr">
        <is>
          <t>SCA</t>
        </is>
      </c>
      <c r="G1328" t="n">
        <v>21.5</v>
      </c>
      <c r="H1328" t="n">
        <v>0</v>
      </c>
      <c r="I1328" t="n">
        <v>0</v>
      </c>
      <c r="J1328" t="n">
        <v>0</v>
      </c>
      <c r="K1328" t="n">
        <v>0</v>
      </c>
      <c r="L1328" t="n">
        <v>0</v>
      </c>
      <c r="M1328" t="n">
        <v>0</v>
      </c>
      <c r="N1328" t="n">
        <v>0</v>
      </c>
      <c r="O1328" t="n">
        <v>0</v>
      </c>
      <c r="P1328" t="n">
        <v>0</v>
      </c>
      <c r="Q1328" t="n">
        <v>0</v>
      </c>
      <c r="R1328" s="2" t="inlineStr"/>
    </row>
    <row r="1329" ht="15" customHeight="1">
      <c r="A1329" t="inlineStr">
        <is>
          <t>A 15013-2025</t>
        </is>
      </c>
      <c r="B1329" s="1" t="n">
        <v>45743</v>
      </c>
      <c r="C1329" s="1" t="n">
        <v>45755</v>
      </c>
      <c r="D1329" t="inlineStr">
        <is>
          <t>JÄMTLANDS LÄN</t>
        </is>
      </c>
      <c r="E1329" t="inlineStr">
        <is>
          <t>BERG</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14930-2025</t>
        </is>
      </c>
      <c r="B1330" s="1" t="n">
        <v>45743</v>
      </c>
      <c r="C1330" s="1" t="n">
        <v>45755</v>
      </c>
      <c r="D1330" t="inlineStr">
        <is>
          <t>JÄMTLANDS LÄN</t>
        </is>
      </c>
      <c r="E1330" t="inlineStr">
        <is>
          <t>BERG</t>
        </is>
      </c>
      <c r="F1330" t="inlineStr">
        <is>
          <t>SCA</t>
        </is>
      </c>
      <c r="G1330" t="n">
        <v>27.8</v>
      </c>
      <c r="H1330" t="n">
        <v>0</v>
      </c>
      <c r="I1330" t="n">
        <v>0</v>
      </c>
      <c r="J1330" t="n">
        <v>0</v>
      </c>
      <c r="K1330" t="n">
        <v>0</v>
      </c>
      <c r="L1330" t="n">
        <v>0</v>
      </c>
      <c r="M1330" t="n">
        <v>0</v>
      </c>
      <c r="N1330" t="n">
        <v>0</v>
      </c>
      <c r="O1330" t="n">
        <v>0</v>
      </c>
      <c r="P1330" t="n">
        <v>0</v>
      </c>
      <c r="Q1330" t="n">
        <v>0</v>
      </c>
      <c r="R1330" s="2" t="inlineStr"/>
    </row>
    <row r="1331" ht="15" customHeight="1">
      <c r="A1331" t="inlineStr">
        <is>
          <t>A 15541-2025</t>
        </is>
      </c>
      <c r="B1331" s="1" t="n">
        <v>45747</v>
      </c>
      <c r="C1331" s="1" t="n">
        <v>45755</v>
      </c>
      <c r="D1331" t="inlineStr">
        <is>
          <t>JÄMTLANDS LÄN</t>
        </is>
      </c>
      <c r="E1331" t="inlineStr">
        <is>
          <t>BERG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15481-2025</t>
        </is>
      </c>
      <c r="B1332" s="1" t="n">
        <v>45747</v>
      </c>
      <c r="C1332" s="1" t="n">
        <v>45755</v>
      </c>
      <c r="D1332" t="inlineStr">
        <is>
          <t>JÄMTLANDS LÄN</t>
        </is>
      </c>
      <c r="E1332" t="inlineStr">
        <is>
          <t>BERG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15507-2025</t>
        </is>
      </c>
      <c r="B1333" s="1" t="n">
        <v>45747</v>
      </c>
      <c r="C1333" s="1" t="n">
        <v>45755</v>
      </c>
      <c r="D1333" t="inlineStr">
        <is>
          <t>JÄMTLANDS LÄN</t>
        </is>
      </c>
      <c r="E1333" t="inlineStr">
        <is>
          <t>BERG</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15762-2025</t>
        </is>
      </c>
      <c r="B1334" s="1" t="n">
        <v>45748</v>
      </c>
      <c r="C1334" s="1" t="n">
        <v>45755</v>
      </c>
      <c r="D1334" t="inlineStr">
        <is>
          <t>JÄMTLANDS LÄN</t>
        </is>
      </c>
      <c r="E1334" t="inlineStr">
        <is>
          <t>BERG</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15729-2025</t>
        </is>
      </c>
      <c r="B1335" s="1" t="n">
        <v>45748</v>
      </c>
      <c r="C1335" s="1" t="n">
        <v>45755</v>
      </c>
      <c r="D1335" t="inlineStr">
        <is>
          <t>JÄMTLANDS LÄN</t>
        </is>
      </c>
      <c r="E1335" t="inlineStr">
        <is>
          <t>BERG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16002-2025</t>
        </is>
      </c>
      <c r="B1336" s="1" t="n">
        <v>45749</v>
      </c>
      <c r="C1336" s="1" t="n">
        <v>45755</v>
      </c>
      <c r="D1336" t="inlineStr">
        <is>
          <t>JÄMTLANDS LÄN</t>
        </is>
      </c>
      <c r="E1336" t="inlineStr">
        <is>
          <t>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15992-2025</t>
        </is>
      </c>
      <c r="B1337" s="1" t="n">
        <v>45749</v>
      </c>
      <c r="C1337" s="1" t="n">
        <v>45755</v>
      </c>
      <c r="D1337" t="inlineStr">
        <is>
          <t>JÄMTLANDS LÄN</t>
        </is>
      </c>
      <c r="E1337" t="inlineStr">
        <is>
          <t>BERG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16022-2025</t>
        </is>
      </c>
      <c r="B1338" s="1" t="n">
        <v>45749</v>
      </c>
      <c r="C1338" s="1" t="n">
        <v>45755</v>
      </c>
      <c r="D1338" t="inlineStr">
        <is>
          <t>JÄMTLANDS LÄN</t>
        </is>
      </c>
      <c r="E1338" t="inlineStr">
        <is>
          <t>BERG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16051-2025</t>
        </is>
      </c>
      <c r="B1339" s="1" t="n">
        <v>45749</v>
      </c>
      <c r="C1339" s="1" t="n">
        <v>45755</v>
      </c>
      <c r="D1339" t="inlineStr">
        <is>
          <t>JÄMTLANDS LÄN</t>
        </is>
      </c>
      <c r="E1339" t="inlineStr">
        <is>
          <t>BERG</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16554-2025</t>
        </is>
      </c>
      <c r="B1340" s="1" t="n">
        <v>45751</v>
      </c>
      <c r="C1340" s="1" t="n">
        <v>45755</v>
      </c>
      <c r="D1340" t="inlineStr">
        <is>
          <t>JÄMTLANDS LÄN</t>
        </is>
      </c>
      <c r="E1340" t="inlineStr">
        <is>
          <t>BERG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16555-2025</t>
        </is>
      </c>
      <c r="B1341" s="1" t="n">
        <v>45751</v>
      </c>
      <c r="C1341" s="1" t="n">
        <v>45755</v>
      </c>
      <c r="D1341" t="inlineStr">
        <is>
          <t>JÄMTLANDS LÄN</t>
        </is>
      </c>
      <c r="E1341" t="inlineStr">
        <is>
          <t>BERG</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16551-2025</t>
        </is>
      </c>
      <c r="B1342" s="1" t="n">
        <v>45751</v>
      </c>
      <c r="C1342" s="1" t="n">
        <v>45755</v>
      </c>
      <c r="D1342" t="inlineStr">
        <is>
          <t>JÄMTLANDS LÄN</t>
        </is>
      </c>
      <c r="E1342" t="inlineStr">
        <is>
          <t>BERG</t>
        </is>
      </c>
      <c r="G1342" t="n">
        <v>3.9</v>
      </c>
      <c r="H1342" t="n">
        <v>0</v>
      </c>
      <c r="I1342" t="n">
        <v>0</v>
      </c>
      <c r="J1342" t="n">
        <v>0</v>
      </c>
      <c r="K1342" t="n">
        <v>0</v>
      </c>
      <c r="L1342" t="n">
        <v>0</v>
      </c>
      <c r="M1342" t="n">
        <v>0</v>
      </c>
      <c r="N1342" t="n">
        <v>0</v>
      </c>
      <c r="O1342" t="n">
        <v>0</v>
      </c>
      <c r="P1342" t="n">
        <v>0</v>
      </c>
      <c r="Q1342" t="n">
        <v>0</v>
      </c>
      <c r="R1342" s="2" t="inlineStr"/>
    </row>
    <row r="1343">
      <c r="A1343" t="inlineStr">
        <is>
          <t>A 16553-2025</t>
        </is>
      </c>
      <c r="B1343" s="1" t="n">
        <v>45751</v>
      </c>
      <c r="C1343" s="1" t="n">
        <v>45755</v>
      </c>
      <c r="D1343" t="inlineStr">
        <is>
          <t>JÄMTLANDS LÄN</t>
        </is>
      </c>
      <c r="E1343" t="inlineStr">
        <is>
          <t>BERG</t>
        </is>
      </c>
      <c r="G1343" t="n">
        <v>2</v>
      </c>
      <c r="H1343" t="n">
        <v>0</v>
      </c>
      <c r="I1343" t="n">
        <v>0</v>
      </c>
      <c r="J1343" t="n">
        <v>0</v>
      </c>
      <c r="K1343" t="n">
        <v>0</v>
      </c>
      <c r="L1343" t="n">
        <v>0</v>
      </c>
      <c r="M1343" t="n">
        <v>0</v>
      </c>
      <c r="N1343" t="n">
        <v>0</v>
      </c>
      <c r="O1343" t="n">
        <v>0</v>
      </c>
      <c r="P1343" t="n">
        <v>0</v>
      </c>
      <c r="Q1343" t="n">
        <v>0</v>
      </c>
      <c r="R1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2025-04-08T16:41:15Z</dcterms:created>
  <dcterms:modified xmlns:dcterms="http://purl.org/dc/terms/" xmlns:xsi="http://www.w3.org/2001/XMLSchema-instance" xsi:type="dcterms:W3CDTF">2025-04-08T16:41:16Z</dcterms:modified>
</cp:coreProperties>
</file>