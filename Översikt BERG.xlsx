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46013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46013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46013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46013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46013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46013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46013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46013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46013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46013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46013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46013</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46013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46013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46013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46013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46013</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46013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46013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46013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46013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46013</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46013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46013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46013</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46013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46013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46013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46013</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46013</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46013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46013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46013</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46013</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46013</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46013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46013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46013</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46013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46013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46013</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46013</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46013</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46013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46013</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46013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46013</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46013</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46013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46013</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24670-2025</t>
        </is>
      </c>
      <c r="B52" s="1" t="n">
        <v>45798.64947916667</v>
      </c>
      <c r="C52" s="1" t="n">
        <v>46013</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27957-2025</t>
        </is>
      </c>
      <c r="B53" s="1" t="n">
        <v>45817.53871527778</v>
      </c>
      <c r="C53" s="1" t="n">
        <v>46013</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27571-2025</t>
        </is>
      </c>
      <c r="B54" s="1" t="n">
        <v>45813.49040509259</v>
      </c>
      <c r="C54" s="1" t="n">
        <v>46013</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46013</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46013</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16508-2021</t>
        </is>
      </c>
      <c r="B57" s="1" t="n">
        <v>44293</v>
      </c>
      <c r="C57" s="1" t="n">
        <v>46013</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54406-2023</t>
        </is>
      </c>
      <c r="B58" s="1" t="n">
        <v>45233.38612268519</v>
      </c>
      <c r="C58" s="1" t="n">
        <v>46013</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49626-2024</t>
        </is>
      </c>
      <c r="B59" s="1" t="n">
        <v>45596.59109953704</v>
      </c>
      <c r="C59" s="1" t="n">
        <v>46013</v>
      </c>
      <c r="D59" t="inlineStr">
        <is>
          <t>JÄMTLANDS LÄN</t>
        </is>
      </c>
      <c r="E59" t="inlineStr">
        <is>
          <t>BERG</t>
        </is>
      </c>
      <c r="G59" t="n">
        <v>14.5</v>
      </c>
      <c r="H59" t="n">
        <v>3</v>
      </c>
      <c r="I59" t="n">
        <v>0</v>
      </c>
      <c r="J59" t="n">
        <v>5</v>
      </c>
      <c r="K59" t="n">
        <v>1</v>
      </c>
      <c r="L59" t="n">
        <v>0</v>
      </c>
      <c r="M59" t="n">
        <v>0</v>
      </c>
      <c r="N59" t="n">
        <v>0</v>
      </c>
      <c r="O59" t="n">
        <v>6</v>
      </c>
      <c r="P59" t="n">
        <v>1</v>
      </c>
      <c r="Q59" t="n">
        <v>6</v>
      </c>
      <c r="R59" s="2" t="inlineStr">
        <is>
          <t>Knärot
Garnlav
Lunglav
Skrovellav
Talltita
Tretåig hackspett</t>
        </is>
      </c>
      <c r="S59">
        <f>HYPERLINK("https://klasma.github.io/Logging_2326/artfynd/A 49626-2024 artfynd.xlsx", "A 49626-2024")</f>
        <v/>
      </c>
      <c r="T59">
        <f>HYPERLINK("https://klasma.github.io/Logging_2326/kartor/A 49626-2024 karta.png", "A 49626-2024")</f>
        <v/>
      </c>
      <c r="U59">
        <f>HYPERLINK("https://klasma.github.io/Logging_2326/knärot/A 49626-2024 karta knärot.png", "A 49626-2024")</f>
        <v/>
      </c>
      <c r="V59">
        <f>HYPERLINK("https://klasma.github.io/Logging_2326/klagomål/A 49626-2024 FSC-klagomål.docx", "A 49626-2024")</f>
        <v/>
      </c>
      <c r="W59">
        <f>HYPERLINK("https://klasma.github.io/Logging_2326/klagomålsmail/A 49626-2024 FSC-klagomål mail.docx", "A 49626-2024")</f>
        <v/>
      </c>
      <c r="X59">
        <f>HYPERLINK("https://klasma.github.io/Logging_2326/tillsyn/A 49626-2024 tillsynsbegäran.docx", "A 49626-2024")</f>
        <v/>
      </c>
      <c r="Y59">
        <f>HYPERLINK("https://klasma.github.io/Logging_2326/tillsynsmail/A 49626-2024 tillsynsbegäran mail.docx", "A 49626-2024")</f>
        <v/>
      </c>
      <c r="Z59">
        <f>HYPERLINK("https://klasma.github.io/Logging_2326/fåglar/A 49626-2024 prioriterade fågelarter.docx", "A 49626-2024")</f>
        <v/>
      </c>
    </row>
    <row r="60" ht="15" customHeight="1">
      <c r="A60" t="inlineStr">
        <is>
          <t>A 17078-2024</t>
        </is>
      </c>
      <c r="B60" s="1" t="n">
        <v>45412</v>
      </c>
      <c r="C60" s="1" t="n">
        <v>46013</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12973-2024</t>
        </is>
      </c>
      <c r="B61" s="1" t="n">
        <v>45385.51104166666</v>
      </c>
      <c r="C61" s="1" t="n">
        <v>46013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46013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46013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46013</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12966-2024</t>
        </is>
      </c>
      <c r="B65" s="1" t="n">
        <v>45385</v>
      </c>
      <c r="C65" s="1" t="n">
        <v>46013</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46013</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20337-2025</t>
        </is>
      </c>
      <c r="B67" s="1" t="n">
        <v>45775.36545138889</v>
      </c>
      <c r="C67" s="1" t="n">
        <v>46013</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19530-2025</t>
        </is>
      </c>
      <c r="B68" s="1" t="n">
        <v>45770.46903935185</v>
      </c>
      <c r="C68" s="1" t="n">
        <v>46013</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46013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46013</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46013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46013</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12962-2024</t>
        </is>
      </c>
      <c r="B73" s="1" t="n">
        <v>45385.49314814815</v>
      </c>
      <c r="C73" s="1" t="n">
        <v>46013</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27574-2025</t>
        </is>
      </c>
      <c r="B74" s="1" t="n">
        <v>45813.49072916667</v>
      </c>
      <c r="C74" s="1" t="n">
        <v>46013</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40913-2025</t>
        </is>
      </c>
      <c r="B75" s="1" t="n">
        <v>45897.61719907408</v>
      </c>
      <c r="C75" s="1" t="n">
        <v>46013</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31715-2025</t>
        </is>
      </c>
      <c r="B76" s="1" t="n">
        <v>45834.45671296296</v>
      </c>
      <c r="C76" s="1" t="n">
        <v>46013</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27100-2025</t>
        </is>
      </c>
      <c r="B77" s="1" t="n">
        <v>45811.67803240741</v>
      </c>
      <c r="C77" s="1" t="n">
        <v>46013</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31742-2025</t>
        </is>
      </c>
      <c r="B78" s="1" t="n">
        <v>45834.47548611111</v>
      </c>
      <c r="C78" s="1" t="n">
        <v>46013</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45424-2024</t>
        </is>
      </c>
      <c r="B79" s="1" t="n">
        <v>45576.60398148148</v>
      </c>
      <c r="C79" s="1" t="n">
        <v>46013</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46795-2025</t>
        </is>
      </c>
      <c r="B80" s="1" t="n">
        <v>45926.65668981482</v>
      </c>
      <c r="C80" s="1" t="n">
        <v>46013</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56224-2024</t>
        </is>
      </c>
      <c r="B81" s="1" t="n">
        <v>45624.61491898148</v>
      </c>
      <c r="C81" s="1" t="n">
        <v>46013</v>
      </c>
      <c r="D81" t="inlineStr">
        <is>
          <t>JÄMTLANDS LÄN</t>
        </is>
      </c>
      <c r="E81" t="inlineStr">
        <is>
          <t>BERG</t>
        </is>
      </c>
      <c r="F81" t="inlineStr">
        <is>
          <t>SCA</t>
        </is>
      </c>
      <c r="G81" t="n">
        <v>21</v>
      </c>
      <c r="H81" t="n">
        <v>0</v>
      </c>
      <c r="I81" t="n">
        <v>0</v>
      </c>
      <c r="J81" t="n">
        <v>4</v>
      </c>
      <c r="K81" t="n">
        <v>0</v>
      </c>
      <c r="L81" t="n">
        <v>0</v>
      </c>
      <c r="M81" t="n">
        <v>0</v>
      </c>
      <c r="N81" t="n">
        <v>0</v>
      </c>
      <c r="O81" t="n">
        <v>4</v>
      </c>
      <c r="P81" t="n">
        <v>0</v>
      </c>
      <c r="Q81" t="n">
        <v>4</v>
      </c>
      <c r="R81" s="2" t="inlineStr">
        <is>
          <t>Dvärgbägarlav
Nordtagging
Vedflamlav
Vedskivlav</t>
        </is>
      </c>
      <c r="S81">
        <f>HYPERLINK("https://klasma.github.io/Logging_2326/artfynd/A 56224-2024 artfynd.xlsx", "A 56224-2024")</f>
        <v/>
      </c>
      <c r="T81">
        <f>HYPERLINK("https://klasma.github.io/Logging_2326/kartor/A 56224-2024 karta.png", "A 56224-2024")</f>
        <v/>
      </c>
      <c r="V81">
        <f>HYPERLINK("https://klasma.github.io/Logging_2326/klagomål/A 56224-2024 FSC-klagomål.docx", "A 56224-2024")</f>
        <v/>
      </c>
      <c r="W81">
        <f>HYPERLINK("https://klasma.github.io/Logging_2326/klagomålsmail/A 56224-2024 FSC-klagomål mail.docx", "A 56224-2024")</f>
        <v/>
      </c>
      <c r="X81">
        <f>HYPERLINK("https://klasma.github.io/Logging_2326/tillsyn/A 56224-2024 tillsynsbegäran.docx", "A 56224-2024")</f>
        <v/>
      </c>
      <c r="Y81">
        <f>HYPERLINK("https://klasma.github.io/Logging_2326/tillsynsmail/A 56224-2024 tillsynsbegäran mail.docx", "A 56224-2024")</f>
        <v/>
      </c>
    </row>
    <row r="82" ht="15" customHeight="1">
      <c r="A82" t="inlineStr">
        <is>
          <t>A 13487-2024</t>
        </is>
      </c>
      <c r="B82" s="1" t="n">
        <v>45387</v>
      </c>
      <c r="C82" s="1" t="n">
        <v>46013</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59823-2022</t>
        </is>
      </c>
      <c r="B83" s="1" t="n">
        <v>44900</v>
      </c>
      <c r="C83" s="1" t="n">
        <v>46013</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53305-2025</t>
        </is>
      </c>
      <c r="B84" s="1" t="n">
        <v>45959.334375</v>
      </c>
      <c r="C84" s="1" t="n">
        <v>46013</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46013</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7891-2022</t>
        </is>
      </c>
      <c r="B86" s="1" t="n">
        <v>44607</v>
      </c>
      <c r="C86" s="1" t="n">
        <v>46013</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46013</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46013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46013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46013</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46013</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46013</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12995-2024</t>
        </is>
      </c>
      <c r="B93" s="1" t="n">
        <v>45385</v>
      </c>
      <c r="C93" s="1" t="n">
        <v>46013</v>
      </c>
      <c r="D93" t="inlineStr">
        <is>
          <t>JÄMTLANDS LÄN</t>
        </is>
      </c>
      <c r="E93" t="inlineStr">
        <is>
          <t>BERG</t>
        </is>
      </c>
      <c r="G93" t="n">
        <v>2.1</v>
      </c>
      <c r="H93" t="n">
        <v>1</v>
      </c>
      <c r="I93" t="n">
        <v>0</v>
      </c>
      <c r="J93" t="n">
        <v>3</v>
      </c>
      <c r="K93" t="n">
        <v>0</v>
      </c>
      <c r="L93" t="n">
        <v>0</v>
      </c>
      <c r="M93" t="n">
        <v>0</v>
      </c>
      <c r="N93" t="n">
        <v>0</v>
      </c>
      <c r="O93" t="n">
        <v>3</v>
      </c>
      <c r="P93" t="n">
        <v>0</v>
      </c>
      <c r="Q93" t="n">
        <v>3</v>
      </c>
      <c r="R93" s="2" t="inlineStr">
        <is>
          <t>Granticka
Tretåig hackspett
Ullticka</t>
        </is>
      </c>
      <c r="S93">
        <f>HYPERLINK("https://klasma.github.io/Logging_2326/artfynd/A 12995-2024 artfynd.xlsx", "A 12995-2024")</f>
        <v/>
      </c>
      <c r="T93">
        <f>HYPERLINK("https://klasma.github.io/Logging_2326/kartor/A 12995-2024 karta.png", "A 12995-2024")</f>
        <v/>
      </c>
      <c r="V93">
        <f>HYPERLINK("https://klasma.github.io/Logging_2326/klagomål/A 12995-2024 FSC-klagomål.docx", "A 12995-2024")</f>
        <v/>
      </c>
      <c r="W93">
        <f>HYPERLINK("https://klasma.github.io/Logging_2326/klagomålsmail/A 12995-2024 FSC-klagomål mail.docx", "A 12995-2024")</f>
        <v/>
      </c>
      <c r="X93">
        <f>HYPERLINK("https://klasma.github.io/Logging_2326/tillsyn/A 12995-2024 tillsynsbegäran.docx", "A 12995-2024")</f>
        <v/>
      </c>
      <c r="Y93">
        <f>HYPERLINK("https://klasma.github.io/Logging_2326/tillsynsmail/A 12995-2024 tillsynsbegäran mail.docx", "A 12995-2024")</f>
        <v/>
      </c>
      <c r="Z93">
        <f>HYPERLINK("https://klasma.github.io/Logging_2326/fåglar/A 12995-2024 prioriterade fågelarter.docx", "A 12995-2024")</f>
        <v/>
      </c>
    </row>
    <row r="94" ht="15" customHeight="1">
      <c r="A94" t="inlineStr">
        <is>
          <t>A 37063-2025</t>
        </is>
      </c>
      <c r="B94" s="1" t="n">
        <v>45875.38596064815</v>
      </c>
      <c r="C94" s="1" t="n">
        <v>46013</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46013</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49611-2025</t>
        </is>
      </c>
      <c r="B96" s="1" t="n">
        <v>45939.5735300926</v>
      </c>
      <c r="C96" s="1" t="n">
        <v>46013</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46013</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20242-2025</t>
        </is>
      </c>
      <c r="B98" s="1" t="n">
        <v>45772.69864583333</v>
      </c>
      <c r="C98" s="1" t="n">
        <v>46013</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46013</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52189-2024</t>
        </is>
      </c>
      <c r="B100" s="1" t="n">
        <v>45608</v>
      </c>
      <c r="C100" s="1" t="n">
        <v>46013</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6784-2022</t>
        </is>
      </c>
      <c r="B101" s="1" t="n">
        <v>44602</v>
      </c>
      <c r="C101" s="1" t="n">
        <v>46013</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46013</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46013</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46013</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46013</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3062-2025</t>
        </is>
      </c>
      <c r="B106" s="1" t="n">
        <v>45678</v>
      </c>
      <c r="C106" s="1" t="n">
        <v>46013</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46013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46013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46013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47-2023</t>
        </is>
      </c>
      <c r="B110" s="1" t="n">
        <v>44928</v>
      </c>
      <c r="C110" s="1" t="n">
        <v>46013</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26748-2025</t>
        </is>
      </c>
      <c r="B111" s="1" t="n">
        <v>45810.53988425926</v>
      </c>
      <c r="C111" s="1" t="n">
        <v>46013</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46013</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33009-2024</t>
        </is>
      </c>
      <c r="B113" s="1" t="n">
        <v>45517.50332175926</v>
      </c>
      <c r="C113" s="1" t="n">
        <v>46013</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42120-2025</t>
        </is>
      </c>
      <c r="B114" s="1" t="n">
        <v>45904.34236111111</v>
      </c>
      <c r="C114" s="1" t="n">
        <v>46013</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31709-2025</t>
        </is>
      </c>
      <c r="B115" s="1" t="n">
        <v>45834.42543981481</v>
      </c>
      <c r="C115" s="1" t="n">
        <v>46013</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55331-2023</t>
        </is>
      </c>
      <c r="B116" s="1" t="n">
        <v>45237</v>
      </c>
      <c r="C116" s="1" t="n">
        <v>46013</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47858-2025</t>
        </is>
      </c>
      <c r="B117" s="1" t="n">
        <v>45932.40699074074</v>
      </c>
      <c r="C117" s="1" t="n">
        <v>46013</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8734-2025</t>
        </is>
      </c>
      <c r="B118" s="1" t="n">
        <v>45712.53209490741</v>
      </c>
      <c r="C118" s="1" t="n">
        <v>46013</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50389-2025</t>
        </is>
      </c>
      <c r="B119" s="1" t="n">
        <v>45944.61539351852</v>
      </c>
      <c r="C119" s="1" t="n">
        <v>46013</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52611-2025</t>
        </is>
      </c>
      <c r="B120" s="1" t="n">
        <v>45954.66971064815</v>
      </c>
      <c r="C120" s="1" t="n">
        <v>46013</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46013</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48880-2023</t>
        </is>
      </c>
      <c r="B122" s="1" t="n">
        <v>45209</v>
      </c>
      <c r="C122" s="1" t="n">
        <v>46013</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46013</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14344-2025</t>
        </is>
      </c>
      <c r="B124" s="1" t="n">
        <v>45741</v>
      </c>
      <c r="C124" s="1" t="n">
        <v>46013</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12734-2024</t>
        </is>
      </c>
      <c r="B125" s="1" t="n">
        <v>45384</v>
      </c>
      <c r="C125" s="1" t="n">
        <v>46013</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26944-2024</t>
        </is>
      </c>
      <c r="B126" s="1" t="n">
        <v>45470.96880787037</v>
      </c>
      <c r="C126" s="1" t="n">
        <v>46013</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28769-2024</t>
        </is>
      </c>
      <c r="B127" s="1" t="n">
        <v>45478</v>
      </c>
      <c r="C127" s="1" t="n">
        <v>46013</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30334-2024</t>
        </is>
      </c>
      <c r="B128" s="1" t="n">
        <v>45490.95396990741</v>
      </c>
      <c r="C128" s="1" t="n">
        <v>46013</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10133-2023</t>
        </is>
      </c>
      <c r="B129" s="1" t="n">
        <v>44986</v>
      </c>
      <c r="C129" s="1" t="n">
        <v>46013</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46013</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46013</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21518-2025</t>
        </is>
      </c>
      <c r="B132" s="1" t="n">
        <v>45782</v>
      </c>
      <c r="C132" s="1" t="n">
        <v>46013</v>
      </c>
      <c r="D132" t="inlineStr">
        <is>
          <t>JÄMTLANDS LÄN</t>
        </is>
      </c>
      <c r="E132" t="inlineStr">
        <is>
          <t>BERG</t>
        </is>
      </c>
      <c r="F132" t="inlineStr">
        <is>
          <t>SCA</t>
        </is>
      </c>
      <c r="G132" t="n">
        <v>3.6</v>
      </c>
      <c r="H132" t="n">
        <v>0</v>
      </c>
      <c r="I132" t="n">
        <v>1</v>
      </c>
      <c r="J132" t="n">
        <v>1</v>
      </c>
      <c r="K132" t="n">
        <v>0</v>
      </c>
      <c r="L132" t="n">
        <v>0</v>
      </c>
      <c r="M132" t="n">
        <v>0</v>
      </c>
      <c r="N132" t="n">
        <v>0</v>
      </c>
      <c r="O132" t="n">
        <v>1</v>
      </c>
      <c r="P132" t="n">
        <v>0</v>
      </c>
      <c r="Q132" t="n">
        <v>2</v>
      </c>
      <c r="R132" s="2" t="inlineStr">
        <is>
          <t>Dvärgbägarlav
Skarp dropptaggsvamp</t>
        </is>
      </c>
      <c r="S132">
        <f>HYPERLINK("https://klasma.github.io/Logging_2326/artfynd/A 21518-2025 artfynd.xlsx", "A 21518-2025")</f>
        <v/>
      </c>
      <c r="T132">
        <f>HYPERLINK("https://klasma.github.io/Logging_2326/kartor/A 21518-2025 karta.png", "A 21518-2025")</f>
        <v/>
      </c>
      <c r="V132">
        <f>HYPERLINK("https://klasma.github.io/Logging_2326/klagomål/A 21518-2025 FSC-klagomål.docx", "A 21518-2025")</f>
        <v/>
      </c>
      <c r="W132">
        <f>HYPERLINK("https://klasma.github.io/Logging_2326/klagomålsmail/A 21518-2025 FSC-klagomål mail.docx", "A 21518-2025")</f>
        <v/>
      </c>
      <c r="X132">
        <f>HYPERLINK("https://klasma.github.io/Logging_2326/tillsyn/A 21518-2025 tillsynsbegäran.docx", "A 21518-2025")</f>
        <v/>
      </c>
      <c r="Y132">
        <f>HYPERLINK("https://klasma.github.io/Logging_2326/tillsynsmail/A 21518-2025 tillsynsbegäran mail.docx", "A 21518-2025")</f>
        <v/>
      </c>
    </row>
    <row r="133" ht="15" customHeight="1">
      <c r="A133" t="inlineStr">
        <is>
          <t>A 60333-2024</t>
        </is>
      </c>
      <c r="B133" s="1" t="n">
        <v>45643</v>
      </c>
      <c r="C133" s="1" t="n">
        <v>46013</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16834-2021</t>
        </is>
      </c>
      <c r="B134" s="1" t="n">
        <v>44293</v>
      </c>
      <c r="C134" s="1" t="n">
        <v>46013</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46013</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20444-2025</t>
        </is>
      </c>
      <c r="B136" s="1" t="n">
        <v>45775.48989583334</v>
      </c>
      <c r="C136" s="1" t="n">
        <v>46013</v>
      </c>
      <c r="D136" t="inlineStr">
        <is>
          <t>JÄMTLANDS LÄN</t>
        </is>
      </c>
      <c r="E136" t="inlineStr">
        <is>
          <t>BERG</t>
        </is>
      </c>
      <c r="F136" t="inlineStr">
        <is>
          <t>SCA</t>
        </is>
      </c>
      <c r="G136" t="n">
        <v>2.3</v>
      </c>
      <c r="H136" t="n">
        <v>0</v>
      </c>
      <c r="I136" t="n">
        <v>0</v>
      </c>
      <c r="J136" t="n">
        <v>0</v>
      </c>
      <c r="K136" t="n">
        <v>1</v>
      </c>
      <c r="L136" t="n">
        <v>0</v>
      </c>
      <c r="M136" t="n">
        <v>0</v>
      </c>
      <c r="N136" t="n">
        <v>0</v>
      </c>
      <c r="O136" t="n">
        <v>1</v>
      </c>
      <c r="P136" t="n">
        <v>1</v>
      </c>
      <c r="Q136" t="n">
        <v>1</v>
      </c>
      <c r="R136" s="2" t="inlineStr">
        <is>
          <t>Gräddporing</t>
        </is>
      </c>
      <c r="S136">
        <f>HYPERLINK("https://klasma.github.io/Logging_2326/artfynd/A 20444-2025 artfynd.xlsx", "A 20444-2025")</f>
        <v/>
      </c>
      <c r="T136">
        <f>HYPERLINK("https://klasma.github.io/Logging_2326/kartor/A 20444-2025 karta.png", "A 20444-2025")</f>
        <v/>
      </c>
      <c r="V136">
        <f>HYPERLINK("https://klasma.github.io/Logging_2326/klagomål/A 20444-2025 FSC-klagomål.docx", "A 20444-2025")</f>
        <v/>
      </c>
      <c r="W136">
        <f>HYPERLINK("https://klasma.github.io/Logging_2326/klagomålsmail/A 20444-2025 FSC-klagomål mail.docx", "A 20444-2025")</f>
        <v/>
      </c>
      <c r="X136">
        <f>HYPERLINK("https://klasma.github.io/Logging_2326/tillsyn/A 20444-2025 tillsynsbegäran.docx", "A 20444-2025")</f>
        <v/>
      </c>
      <c r="Y136">
        <f>HYPERLINK("https://klasma.github.io/Logging_2326/tillsynsmail/A 20444-2025 tillsynsbegäran mail.docx", "A 20444-2025")</f>
        <v/>
      </c>
    </row>
    <row r="137" ht="15" customHeight="1">
      <c r="A137" t="inlineStr">
        <is>
          <t>A 32686-2022</t>
        </is>
      </c>
      <c r="B137" s="1" t="n">
        <v>44776</v>
      </c>
      <c r="C137" s="1" t="n">
        <v>46013</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56202-2021</t>
        </is>
      </c>
      <c r="B138" s="1" t="n">
        <v>44477</v>
      </c>
      <c r="C138" s="1" t="n">
        <v>46013</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24331-2025</t>
        </is>
      </c>
      <c r="B139" s="1" t="n">
        <v>45797</v>
      </c>
      <c r="C139" s="1" t="n">
        <v>46013</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46013</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46013</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33083-2024</t>
        </is>
      </c>
      <c r="B142" s="1" t="n">
        <v>45517.675</v>
      </c>
      <c r="C142" s="1" t="n">
        <v>46013</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46013</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41635-2024</t>
        </is>
      </c>
      <c r="B144" s="1" t="n">
        <v>45560.61601851852</v>
      </c>
      <c r="C144" s="1" t="n">
        <v>46013</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31837-2025</t>
        </is>
      </c>
      <c r="B145" s="1" t="n">
        <v>45834.59467592592</v>
      </c>
      <c r="C145" s="1" t="n">
        <v>46013</v>
      </c>
      <c r="D145" t="inlineStr">
        <is>
          <t>JÄMTLANDS LÄN</t>
        </is>
      </c>
      <c r="E145" t="inlineStr">
        <is>
          <t>BERG</t>
        </is>
      </c>
      <c r="F145" t="inlineStr">
        <is>
          <t>SCA</t>
        </is>
      </c>
      <c r="G145" t="n">
        <v>12.2</v>
      </c>
      <c r="H145" t="n">
        <v>0</v>
      </c>
      <c r="I145" t="n">
        <v>0</v>
      </c>
      <c r="J145" t="n">
        <v>0</v>
      </c>
      <c r="K145" t="n">
        <v>1</v>
      </c>
      <c r="L145" t="n">
        <v>0</v>
      </c>
      <c r="M145" t="n">
        <v>0</v>
      </c>
      <c r="N145" t="n">
        <v>0</v>
      </c>
      <c r="O145" t="n">
        <v>1</v>
      </c>
      <c r="P145" t="n">
        <v>1</v>
      </c>
      <c r="Q145" t="n">
        <v>1</v>
      </c>
      <c r="R145" s="2" t="inlineStr">
        <is>
          <t>Gräddporing</t>
        </is>
      </c>
      <c r="S145">
        <f>HYPERLINK("https://klasma.github.io/Logging_2326/artfynd/A 31837-2025 artfynd.xlsx", "A 31837-2025")</f>
        <v/>
      </c>
      <c r="T145">
        <f>HYPERLINK("https://klasma.github.io/Logging_2326/kartor/A 31837-2025 karta.png", "A 31837-2025")</f>
        <v/>
      </c>
      <c r="V145">
        <f>HYPERLINK("https://klasma.github.io/Logging_2326/klagomål/A 31837-2025 FSC-klagomål.docx", "A 31837-2025")</f>
        <v/>
      </c>
      <c r="W145">
        <f>HYPERLINK("https://klasma.github.io/Logging_2326/klagomålsmail/A 31837-2025 FSC-klagomål mail.docx", "A 31837-2025")</f>
        <v/>
      </c>
      <c r="X145">
        <f>HYPERLINK("https://klasma.github.io/Logging_2326/tillsyn/A 31837-2025 tillsynsbegäran.docx", "A 31837-2025")</f>
        <v/>
      </c>
      <c r="Y145">
        <f>HYPERLINK("https://klasma.github.io/Logging_2326/tillsynsmail/A 31837-2025 tillsynsbegäran mail.docx", "A 31837-2025")</f>
        <v/>
      </c>
    </row>
    <row r="146" ht="15" customHeight="1">
      <c r="A146" t="inlineStr">
        <is>
          <t>A 25853-2025</t>
        </is>
      </c>
      <c r="B146" s="1" t="n">
        <v>45804.46908564815</v>
      </c>
      <c r="C146" s="1" t="n">
        <v>46013</v>
      </c>
      <c r="D146" t="inlineStr">
        <is>
          <t>JÄMTLANDS LÄN</t>
        </is>
      </c>
      <c r="E146" t="inlineStr">
        <is>
          <t>BERG</t>
        </is>
      </c>
      <c r="F146" t="inlineStr">
        <is>
          <t>SCA</t>
        </is>
      </c>
      <c r="G146" t="n">
        <v>24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25853-2025 artfynd.xlsx", "A 25853-2025")</f>
        <v/>
      </c>
      <c r="T146">
        <f>HYPERLINK("https://klasma.github.io/Logging_2326/kartor/A 25853-2025 karta.png", "A 25853-2025")</f>
        <v/>
      </c>
      <c r="V146">
        <f>HYPERLINK("https://klasma.github.io/Logging_2326/klagomål/A 25853-2025 FSC-klagomål.docx", "A 25853-2025")</f>
        <v/>
      </c>
      <c r="W146">
        <f>HYPERLINK("https://klasma.github.io/Logging_2326/klagomålsmail/A 25853-2025 FSC-klagomål mail.docx", "A 25853-2025")</f>
        <v/>
      </c>
      <c r="X146">
        <f>HYPERLINK("https://klasma.github.io/Logging_2326/tillsyn/A 25853-2025 tillsynsbegäran.docx", "A 25853-2025")</f>
        <v/>
      </c>
      <c r="Y146">
        <f>HYPERLINK("https://klasma.github.io/Logging_2326/tillsynsmail/A 25853-2025 tillsynsbegäran mail.docx", "A 25853-2025")</f>
        <v/>
      </c>
      <c r="Z146">
        <f>HYPERLINK("https://klasma.github.io/Logging_2326/fåglar/A 25853-2025 prioriterade fågelarter.docx", "A 25853-2025")</f>
        <v/>
      </c>
    </row>
    <row r="147" ht="15" customHeight="1">
      <c r="A147" t="inlineStr">
        <is>
          <t>A 54595-2024</t>
        </is>
      </c>
      <c r="B147" s="1" t="n">
        <v>45617.67353009259</v>
      </c>
      <c r="C147" s="1" t="n">
        <v>46013</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33501-2025</t>
        </is>
      </c>
      <c r="B148" s="1" t="n">
        <v>45841</v>
      </c>
      <c r="C148" s="1" t="n">
        <v>46013</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35211-2025</t>
        </is>
      </c>
      <c r="B149" s="1" t="n">
        <v>45853.45060185185</v>
      </c>
      <c r="C149" s="1" t="n">
        <v>46013</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46013</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46013</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47658-2025</t>
        </is>
      </c>
      <c r="B152" s="1" t="n">
        <v>45931.55266203704</v>
      </c>
      <c r="C152" s="1" t="n">
        <v>46013</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53086-2024</t>
        </is>
      </c>
      <c r="B153" s="1" t="n">
        <v>45611.51084490741</v>
      </c>
      <c r="C153" s="1" t="n">
        <v>46013</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56198-2025</t>
        </is>
      </c>
      <c r="B154" s="1" t="n">
        <v>45974.45760416667</v>
      </c>
      <c r="C154" s="1" t="n">
        <v>46013</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47656-2025</t>
        </is>
      </c>
      <c r="B155" s="1" t="n">
        <v>45931.55247685185</v>
      </c>
      <c r="C155" s="1" t="n">
        <v>46013</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37513-2025</t>
        </is>
      </c>
      <c r="B156" s="1" t="n">
        <v>45877.69828703703</v>
      </c>
      <c r="C156" s="1" t="n">
        <v>46013</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37651-2025</t>
        </is>
      </c>
      <c r="B157" s="1" t="n">
        <v>45880.49006944444</v>
      </c>
      <c r="C157" s="1" t="n">
        <v>46013</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50182-2025</t>
        </is>
      </c>
      <c r="B158" s="1" t="n">
        <v>45943.61550925926</v>
      </c>
      <c r="C158" s="1" t="n">
        <v>46013</v>
      </c>
      <c r="D158" t="inlineStr">
        <is>
          <t>JÄMTLANDS LÄN</t>
        </is>
      </c>
      <c r="E158" t="inlineStr">
        <is>
          <t>BERG</t>
        </is>
      </c>
      <c r="F158" t="inlineStr">
        <is>
          <t>SCA</t>
        </is>
      </c>
      <c r="G158" t="n">
        <v>12.8</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50182-2025 artfynd.xlsx", "A 50182-2025")</f>
        <v/>
      </c>
      <c r="T158">
        <f>HYPERLINK("https://klasma.github.io/Logging_2326/kartor/A 50182-2025 karta.png", "A 50182-2025")</f>
        <v/>
      </c>
      <c r="V158">
        <f>HYPERLINK("https://klasma.github.io/Logging_2326/klagomål/A 50182-2025 FSC-klagomål.docx", "A 50182-2025")</f>
        <v/>
      </c>
      <c r="W158">
        <f>HYPERLINK("https://klasma.github.io/Logging_2326/klagomålsmail/A 50182-2025 FSC-klagomål mail.docx", "A 50182-2025")</f>
        <v/>
      </c>
      <c r="X158">
        <f>HYPERLINK("https://klasma.github.io/Logging_2326/tillsyn/A 50182-2025 tillsynsbegäran.docx", "A 50182-2025")</f>
        <v/>
      </c>
      <c r="Y158">
        <f>HYPERLINK("https://klasma.github.io/Logging_2326/tillsynsmail/A 50182-2025 tillsynsbegäran mail.docx", "A 50182-2025")</f>
        <v/>
      </c>
      <c r="Z158">
        <f>HYPERLINK("https://klasma.github.io/Logging_2326/fåglar/A 50182-2025 prioriterade fågelarter.docx", "A 50182-2025")</f>
        <v/>
      </c>
    </row>
    <row r="159" ht="15" customHeight="1">
      <c r="A159" t="inlineStr">
        <is>
          <t>A 52193-2024</t>
        </is>
      </c>
      <c r="B159" s="1" t="n">
        <v>45608</v>
      </c>
      <c r="C159" s="1" t="n">
        <v>46013</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44259-2024</t>
        </is>
      </c>
      <c r="B160" s="1" t="n">
        <v>45573</v>
      </c>
      <c r="C160" s="1" t="n">
        <v>46013</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44259-2024 artfynd.xlsx", "A 44259-2024")</f>
        <v/>
      </c>
      <c r="T160">
        <f>HYPERLINK("https://klasma.github.io/Logging_2326/kartor/A 44259-2024 karta.png", "A 44259-2024")</f>
        <v/>
      </c>
      <c r="V160">
        <f>HYPERLINK("https://klasma.github.io/Logging_2326/klagomål/A 44259-2024 FSC-klagomål.docx", "A 44259-2024")</f>
        <v/>
      </c>
      <c r="W160">
        <f>HYPERLINK("https://klasma.github.io/Logging_2326/klagomålsmail/A 44259-2024 FSC-klagomål mail.docx", "A 44259-2024")</f>
        <v/>
      </c>
      <c r="X160">
        <f>HYPERLINK("https://klasma.github.io/Logging_2326/tillsyn/A 44259-2024 tillsynsbegäran.docx", "A 44259-2024")</f>
        <v/>
      </c>
      <c r="Y160">
        <f>HYPERLINK("https://klasma.github.io/Logging_2326/tillsynsmail/A 44259-2024 tillsynsbegäran mail.docx", "A 44259-2024")</f>
        <v/>
      </c>
      <c r="Z160">
        <f>HYPERLINK("https://klasma.github.io/Logging_2326/fåglar/A 44259-2024 prioriterade fågelarter.docx", "A 44259-2024")</f>
        <v/>
      </c>
    </row>
    <row r="161" ht="15" customHeight="1">
      <c r="A161" t="inlineStr">
        <is>
          <t>A 32171-2024</t>
        </is>
      </c>
      <c r="B161" s="1" t="n">
        <v>45511</v>
      </c>
      <c r="C161" s="1" t="n">
        <v>46013</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60150-2025</t>
        </is>
      </c>
      <c r="B162" s="1" t="n">
        <v>45994.38944444444</v>
      </c>
      <c r="C162" s="1" t="n">
        <v>46013</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46013</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68434-2021</t>
        </is>
      </c>
      <c r="B164" s="1" t="n">
        <v>44529</v>
      </c>
      <c r="C164" s="1" t="n">
        <v>46013</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53014-2022</t>
        </is>
      </c>
      <c r="B165" s="1" t="n">
        <v>44875</v>
      </c>
      <c r="C165" s="1" t="n">
        <v>46013</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60833-2025</t>
        </is>
      </c>
      <c r="B166" s="1" t="n">
        <v>45999.46969907408</v>
      </c>
      <c r="C166" s="1" t="n">
        <v>46013</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21632-2025</t>
        </is>
      </c>
      <c r="B167" s="1" t="n">
        <v>45783.42753472222</v>
      </c>
      <c r="C167" s="1" t="n">
        <v>46013</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46013</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21370-2025</t>
        </is>
      </c>
      <c r="B169" s="1" t="n">
        <v>45782</v>
      </c>
      <c r="C169" s="1" t="n">
        <v>46013</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20808-2024</t>
        </is>
      </c>
      <c r="B170" s="1" t="n">
        <v>45439</v>
      </c>
      <c r="C170" s="1" t="n">
        <v>46013</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20808-2024 artfynd.xlsx", "A 20808-2024")</f>
        <v/>
      </c>
      <c r="T170">
        <f>HYPERLINK("https://klasma.github.io/Logging_2326/kartor/A 20808-2024 karta.png", "A 20808-2024")</f>
        <v/>
      </c>
      <c r="V170">
        <f>HYPERLINK("https://klasma.github.io/Logging_2326/klagomål/A 20808-2024 FSC-klagomål.docx", "A 20808-2024")</f>
        <v/>
      </c>
      <c r="W170">
        <f>HYPERLINK("https://klasma.github.io/Logging_2326/klagomålsmail/A 20808-2024 FSC-klagomål mail.docx", "A 20808-2024")</f>
        <v/>
      </c>
      <c r="X170">
        <f>HYPERLINK("https://klasma.github.io/Logging_2326/tillsyn/A 20808-2024 tillsynsbegäran.docx", "A 20808-2024")</f>
        <v/>
      </c>
      <c r="Y170">
        <f>HYPERLINK("https://klasma.github.io/Logging_2326/tillsynsmail/A 20808-2024 tillsynsbegäran mail.docx", "A 20808-2024")</f>
        <v/>
      </c>
      <c r="Z170">
        <f>HYPERLINK("https://klasma.github.io/Logging_2326/fåglar/A 20808-2024 prioriterade fågelarter.docx", "A 20808-2024")</f>
        <v/>
      </c>
    </row>
    <row r="171" ht="15" customHeight="1">
      <c r="A171" t="inlineStr">
        <is>
          <t>A 49049-2024</t>
        </is>
      </c>
      <c r="B171" s="1" t="n">
        <v>45594.5742824074</v>
      </c>
      <c r="C171" s="1" t="n">
        <v>46013</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23177-2024</t>
        </is>
      </c>
      <c r="B172" s="1" t="n">
        <v>45450</v>
      </c>
      <c r="C172" s="1" t="n">
        <v>46013</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50556-2024</t>
        </is>
      </c>
      <c r="B173" s="1" t="n">
        <v>45601.59604166666</v>
      </c>
      <c r="C173" s="1" t="n">
        <v>46013</v>
      </c>
      <c r="D173" t="inlineStr">
        <is>
          <t>JÄMTLANDS LÄN</t>
        </is>
      </c>
      <c r="E173" t="inlineStr">
        <is>
          <t>BERG</t>
        </is>
      </c>
      <c r="G173" t="n">
        <v>5.7</v>
      </c>
      <c r="H173" t="n">
        <v>0</v>
      </c>
      <c r="I173" t="n">
        <v>0</v>
      </c>
      <c r="J173" t="n">
        <v>1</v>
      </c>
      <c r="K173" t="n">
        <v>0</v>
      </c>
      <c r="L173" t="n">
        <v>0</v>
      </c>
      <c r="M173" t="n">
        <v>0</v>
      </c>
      <c r="N173" t="n">
        <v>0</v>
      </c>
      <c r="O173" t="n">
        <v>1</v>
      </c>
      <c r="P173" t="n">
        <v>0</v>
      </c>
      <c r="Q173" t="n">
        <v>1</v>
      </c>
      <c r="R173" s="2" t="inlineStr">
        <is>
          <t>Kalkbräken</t>
        </is>
      </c>
      <c r="S173">
        <f>HYPERLINK("https://klasma.github.io/Logging_2326/artfynd/A 50556-2024 artfynd.xlsx", "A 50556-2024")</f>
        <v/>
      </c>
      <c r="T173">
        <f>HYPERLINK("https://klasma.github.io/Logging_2326/kartor/A 50556-2024 karta.png", "A 50556-2024")</f>
        <v/>
      </c>
      <c r="V173">
        <f>HYPERLINK("https://klasma.github.io/Logging_2326/klagomål/A 50556-2024 FSC-klagomål.docx", "A 50556-2024")</f>
        <v/>
      </c>
      <c r="W173">
        <f>HYPERLINK("https://klasma.github.io/Logging_2326/klagomålsmail/A 50556-2024 FSC-klagomål mail.docx", "A 50556-2024")</f>
        <v/>
      </c>
      <c r="X173">
        <f>HYPERLINK("https://klasma.github.io/Logging_2326/tillsyn/A 50556-2024 tillsynsbegäran.docx", "A 50556-2024")</f>
        <v/>
      </c>
      <c r="Y173">
        <f>HYPERLINK("https://klasma.github.io/Logging_2326/tillsynsmail/A 50556-2024 tillsynsbegäran mail.docx", "A 50556-2024")</f>
        <v/>
      </c>
    </row>
    <row r="174" ht="15" customHeight="1">
      <c r="A174" t="inlineStr">
        <is>
          <t>A 24309-2023</t>
        </is>
      </c>
      <c r="B174" s="1" t="n">
        <v>45079</v>
      </c>
      <c r="C174" s="1" t="n">
        <v>46013</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49276-2024</t>
        </is>
      </c>
      <c r="B175" s="1" t="n">
        <v>45595.50819444445</v>
      </c>
      <c r="C175" s="1" t="n">
        <v>46013</v>
      </c>
      <c r="D175" t="inlineStr">
        <is>
          <t>JÄMTLANDS LÄN</t>
        </is>
      </c>
      <c r="E175" t="inlineStr">
        <is>
          <t>BERG</t>
        </is>
      </c>
      <c r="G175" t="n">
        <v>0.8</v>
      </c>
      <c r="H175" t="n">
        <v>1</v>
      </c>
      <c r="I175" t="n">
        <v>1</v>
      </c>
      <c r="J175" t="n">
        <v>0</v>
      </c>
      <c r="K175" t="n">
        <v>0</v>
      </c>
      <c r="L175" t="n">
        <v>0</v>
      </c>
      <c r="M175" t="n">
        <v>0</v>
      </c>
      <c r="N175" t="n">
        <v>0</v>
      </c>
      <c r="O175" t="n">
        <v>0</v>
      </c>
      <c r="P175" t="n">
        <v>0</v>
      </c>
      <c r="Q175" t="n">
        <v>1</v>
      </c>
      <c r="R175" s="2" t="inlineStr">
        <is>
          <t>Korallrot</t>
        </is>
      </c>
      <c r="S175">
        <f>HYPERLINK("https://klasma.github.io/Logging_2326/artfynd/A 49276-2024 artfynd.xlsx", "A 49276-2024")</f>
        <v/>
      </c>
      <c r="T175">
        <f>HYPERLINK("https://klasma.github.io/Logging_2326/kartor/A 49276-2024 karta.png", "A 49276-2024")</f>
        <v/>
      </c>
      <c r="V175">
        <f>HYPERLINK("https://klasma.github.io/Logging_2326/klagomål/A 49276-2024 FSC-klagomål.docx", "A 49276-2024")</f>
        <v/>
      </c>
      <c r="W175">
        <f>HYPERLINK("https://klasma.github.io/Logging_2326/klagomålsmail/A 49276-2024 FSC-klagomål mail.docx", "A 49276-2024")</f>
        <v/>
      </c>
      <c r="X175">
        <f>HYPERLINK("https://klasma.github.io/Logging_2326/tillsyn/A 49276-2024 tillsynsbegäran.docx", "A 49276-2024")</f>
        <v/>
      </c>
      <c r="Y175">
        <f>HYPERLINK("https://klasma.github.io/Logging_2326/tillsynsmail/A 49276-2024 tillsynsbegäran mail.docx", "A 49276-2024")</f>
        <v/>
      </c>
    </row>
    <row r="176" ht="15" customHeight="1">
      <c r="A176" t="inlineStr">
        <is>
          <t>A 12733-2024</t>
        </is>
      </c>
      <c r="B176" s="1" t="n">
        <v>45384</v>
      </c>
      <c r="C176" s="1" t="n">
        <v>46013</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40382-2024</t>
        </is>
      </c>
      <c r="B177" s="1" t="n">
        <v>45555.42225694445</v>
      </c>
      <c r="C177" s="1" t="n">
        <v>46013</v>
      </c>
      <c r="D177" t="inlineStr">
        <is>
          <t>JÄMTLANDS LÄN</t>
        </is>
      </c>
      <c r="E177" t="inlineStr">
        <is>
          <t>BERG</t>
        </is>
      </c>
      <c r="G177" t="n">
        <v>1.5</v>
      </c>
      <c r="H177" t="n">
        <v>0</v>
      </c>
      <c r="I177" t="n">
        <v>0</v>
      </c>
      <c r="J177" t="n">
        <v>1</v>
      </c>
      <c r="K177" t="n">
        <v>0</v>
      </c>
      <c r="L177" t="n">
        <v>0</v>
      </c>
      <c r="M177" t="n">
        <v>0</v>
      </c>
      <c r="N177" t="n">
        <v>0</v>
      </c>
      <c r="O177" t="n">
        <v>1</v>
      </c>
      <c r="P177" t="n">
        <v>0</v>
      </c>
      <c r="Q177" t="n">
        <v>1</v>
      </c>
      <c r="R177" s="2" t="inlineStr">
        <is>
          <t>Backruta</t>
        </is>
      </c>
      <c r="S177">
        <f>HYPERLINK("https://klasma.github.io/Logging_2326/artfynd/A 40382-2024 artfynd.xlsx", "A 40382-2024")</f>
        <v/>
      </c>
      <c r="T177">
        <f>HYPERLINK("https://klasma.github.io/Logging_2326/kartor/A 40382-2024 karta.png", "A 40382-2024")</f>
        <v/>
      </c>
      <c r="V177">
        <f>HYPERLINK("https://klasma.github.io/Logging_2326/klagomål/A 40382-2024 FSC-klagomål.docx", "A 40382-2024")</f>
        <v/>
      </c>
      <c r="W177">
        <f>HYPERLINK("https://klasma.github.io/Logging_2326/klagomålsmail/A 40382-2024 FSC-klagomål mail.docx", "A 40382-2024")</f>
        <v/>
      </c>
      <c r="X177">
        <f>HYPERLINK("https://klasma.github.io/Logging_2326/tillsyn/A 40382-2024 tillsynsbegäran.docx", "A 40382-2024")</f>
        <v/>
      </c>
      <c r="Y177">
        <f>HYPERLINK("https://klasma.github.io/Logging_2326/tillsynsmail/A 40382-2024 tillsynsbegäran mail.docx", "A 40382-2024")</f>
        <v/>
      </c>
    </row>
    <row r="178" ht="15" customHeight="1">
      <c r="A178" t="inlineStr">
        <is>
          <t>A 40440-2024</t>
        </is>
      </c>
      <c r="B178" s="1" t="n">
        <v>45555.48267361111</v>
      </c>
      <c r="C178" s="1" t="n">
        <v>46013</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9657-2023</t>
        </is>
      </c>
      <c r="B179" s="1" t="n">
        <v>44978</v>
      </c>
      <c r="C179" s="1" t="n">
        <v>46013</v>
      </c>
      <c r="D179" t="inlineStr">
        <is>
          <t>JÄMTLANDS LÄN</t>
        </is>
      </c>
      <c r="E179" t="inlineStr">
        <is>
          <t>BERG</t>
        </is>
      </c>
      <c r="G179" t="n">
        <v>2.7</v>
      </c>
      <c r="H179" t="n">
        <v>0</v>
      </c>
      <c r="I179" t="n">
        <v>0</v>
      </c>
      <c r="J179" t="n">
        <v>1</v>
      </c>
      <c r="K179" t="n">
        <v>0</v>
      </c>
      <c r="L179" t="n">
        <v>0</v>
      </c>
      <c r="M179" t="n">
        <v>0</v>
      </c>
      <c r="N179" t="n">
        <v>0</v>
      </c>
      <c r="O179" t="n">
        <v>1</v>
      </c>
      <c r="P179" t="n">
        <v>0</v>
      </c>
      <c r="Q179" t="n">
        <v>1</v>
      </c>
      <c r="R179" s="2" t="inlineStr">
        <is>
          <t>Garnlav</t>
        </is>
      </c>
      <c r="S179">
        <f>HYPERLINK("https://klasma.github.io/Logging_2326/artfynd/A 9657-2023 artfynd.xlsx", "A 9657-2023")</f>
        <v/>
      </c>
      <c r="T179">
        <f>HYPERLINK("https://klasma.github.io/Logging_2326/kartor/A 9657-2023 karta.png", "A 9657-2023")</f>
        <v/>
      </c>
      <c r="V179">
        <f>HYPERLINK("https://klasma.github.io/Logging_2326/klagomål/A 9657-2023 FSC-klagomål.docx", "A 9657-2023")</f>
        <v/>
      </c>
      <c r="W179">
        <f>HYPERLINK("https://klasma.github.io/Logging_2326/klagomålsmail/A 9657-2023 FSC-klagomål mail.docx", "A 9657-2023")</f>
        <v/>
      </c>
      <c r="X179">
        <f>HYPERLINK("https://klasma.github.io/Logging_2326/tillsyn/A 9657-2023 tillsynsbegäran.docx", "A 9657-2023")</f>
        <v/>
      </c>
      <c r="Y179">
        <f>HYPERLINK("https://klasma.github.io/Logging_2326/tillsynsmail/A 9657-2023 tillsynsbegäran mail.docx", "A 9657-2023")</f>
        <v/>
      </c>
    </row>
    <row r="180" ht="15" customHeight="1">
      <c r="A180" t="inlineStr">
        <is>
          <t>A 21681-2025</t>
        </is>
      </c>
      <c r="B180" s="1" t="n">
        <v>45783.49015046296</v>
      </c>
      <c r="C180" s="1" t="n">
        <v>46013</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46013</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33126-2024</t>
        </is>
      </c>
      <c r="B182" s="1" t="n">
        <v>45517.9575462963</v>
      </c>
      <c r="C182" s="1" t="n">
        <v>46013</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49196-2022</t>
        </is>
      </c>
      <c r="B183" s="1" t="n">
        <v>44860.95508101852</v>
      </c>
      <c r="C183" s="1" t="n">
        <v>46013</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46013</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46013</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46013</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46013</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46013</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46013</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46013</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46013</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46013</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46013</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46013</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46013</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46013</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46013</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46013</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46013</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46013</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46013</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46013</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46013</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46013</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46013</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46013</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46013</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46013</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46013</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46013</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46013</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46013</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46013</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46013</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46013</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48756-2022</t>
        </is>
      </c>
      <c r="B216" s="1" t="n">
        <v>44859</v>
      </c>
      <c r="C216" s="1" t="n">
        <v>46013</v>
      </c>
      <c r="D216" t="inlineStr">
        <is>
          <t>JÄMTLANDS LÄN</t>
        </is>
      </c>
      <c r="E216" t="inlineStr">
        <is>
          <t>BERG</t>
        </is>
      </c>
      <c r="G216" t="n">
        <v>10.8</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46013</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46013</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46013</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46013</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46013</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46013</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46013</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46013</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46013</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46013</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46013</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46013</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46013</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21403-2022</t>
        </is>
      </c>
      <c r="B230" s="1" t="n">
        <v>44705.9403125</v>
      </c>
      <c r="C230" s="1" t="n">
        <v>46013</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46013</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46013</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46013</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46013</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46013</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44442-2022</t>
        </is>
      </c>
      <c r="B236" s="1" t="n">
        <v>44839</v>
      </c>
      <c r="C236" s="1" t="n">
        <v>46013</v>
      </c>
      <c r="D236" t="inlineStr">
        <is>
          <t>JÄMTLANDS LÄN</t>
        </is>
      </c>
      <c r="E236" t="inlineStr">
        <is>
          <t>BERG</t>
        </is>
      </c>
      <c r="F236" t="inlineStr">
        <is>
          <t>SCA</t>
        </is>
      </c>
      <c r="G236" t="n">
        <v>3.5</v>
      </c>
      <c r="H236" t="n">
        <v>0</v>
      </c>
      <c r="I236" t="n">
        <v>0</v>
      </c>
      <c r="J236" t="n">
        <v>0</v>
      </c>
      <c r="K236" t="n">
        <v>0</v>
      </c>
      <c r="L236" t="n">
        <v>0</v>
      </c>
      <c r="M236" t="n">
        <v>0</v>
      </c>
      <c r="N236" t="n">
        <v>0</v>
      </c>
      <c r="O236" t="n">
        <v>0</v>
      </c>
      <c r="P236" t="n">
        <v>0</v>
      </c>
      <c r="Q236" t="n">
        <v>0</v>
      </c>
      <c r="R236" s="2" t="inlineStr"/>
    </row>
    <row r="237" ht="15" customHeight="1">
      <c r="A237" t="inlineStr">
        <is>
          <t>A 9920-2021</t>
        </is>
      </c>
      <c r="B237" s="1" t="n">
        <v>44253</v>
      </c>
      <c r="C237" s="1" t="n">
        <v>46013</v>
      </c>
      <c r="D237" t="inlineStr">
        <is>
          <t>JÄMTLANDS LÄN</t>
        </is>
      </c>
      <c r="E237" t="inlineStr">
        <is>
          <t>BERG</t>
        </is>
      </c>
      <c r="G237" t="n">
        <v>3.5</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46013</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20179-2021</t>
        </is>
      </c>
      <c r="B239" s="1" t="n">
        <v>44314.56744212963</v>
      </c>
      <c r="C239" s="1" t="n">
        <v>46013</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46013</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46013</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46013</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46013</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46013</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46013</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46013</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68896-2020</t>
        </is>
      </c>
      <c r="B247" s="1" t="n">
        <v>44187</v>
      </c>
      <c r="C247" s="1" t="n">
        <v>46013</v>
      </c>
      <c r="D247" t="inlineStr">
        <is>
          <t>JÄMTLANDS LÄN</t>
        </is>
      </c>
      <c r="E247" t="inlineStr">
        <is>
          <t>BERG</t>
        </is>
      </c>
      <c r="G247" t="n">
        <v>9.6</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46013</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46013</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46013</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46013</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46013</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47304-2023</t>
        </is>
      </c>
      <c r="B253" s="1" t="n">
        <v>45202.48180555556</v>
      </c>
      <c r="C253" s="1" t="n">
        <v>46013</v>
      </c>
      <c r="D253" t="inlineStr">
        <is>
          <t>JÄMTLANDS LÄN</t>
        </is>
      </c>
      <c r="E253" t="inlineStr">
        <is>
          <t>BERG</t>
        </is>
      </c>
      <c r="G253" t="n">
        <v>3.4</v>
      </c>
      <c r="H253" t="n">
        <v>0</v>
      </c>
      <c r="I253" t="n">
        <v>0</v>
      </c>
      <c r="J253" t="n">
        <v>0</v>
      </c>
      <c r="K253" t="n">
        <v>0</v>
      </c>
      <c r="L253" t="n">
        <v>0</v>
      </c>
      <c r="M253" t="n">
        <v>0</v>
      </c>
      <c r="N253" t="n">
        <v>0</v>
      </c>
      <c r="O253" t="n">
        <v>0</v>
      </c>
      <c r="P253" t="n">
        <v>0</v>
      </c>
      <c r="Q253" t="n">
        <v>0</v>
      </c>
      <c r="R253" s="2" t="inlineStr"/>
    </row>
    <row r="254" ht="15" customHeight="1">
      <c r="A254" t="inlineStr">
        <is>
          <t>A 10861-2024</t>
        </is>
      </c>
      <c r="B254" s="1" t="n">
        <v>45370.01967592593</v>
      </c>
      <c r="C254" s="1" t="n">
        <v>46013</v>
      </c>
      <c r="D254" t="inlineStr">
        <is>
          <t>JÄMTLANDS LÄN</t>
        </is>
      </c>
      <c r="E254" t="inlineStr">
        <is>
          <t>BERG</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46013</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46013</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46013</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46013</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46013</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46013</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46013</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62299-2023</t>
        </is>
      </c>
      <c r="B262" s="1" t="n">
        <v>45266</v>
      </c>
      <c r="C262" s="1" t="n">
        <v>46013</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46013</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46013</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22020-2024</t>
        </is>
      </c>
      <c r="B265" s="1" t="n">
        <v>45443.5894675926</v>
      </c>
      <c r="C265" s="1" t="n">
        <v>46013</v>
      </c>
      <c r="D265" t="inlineStr">
        <is>
          <t>JÄMTLANDS LÄN</t>
        </is>
      </c>
      <c r="E265" t="inlineStr">
        <is>
          <t>BERG</t>
        </is>
      </c>
      <c r="G265" t="n">
        <v>4.9</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46013</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46013</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13373-2024</t>
        </is>
      </c>
      <c r="B268" s="1" t="n">
        <v>45387.37010416666</v>
      </c>
      <c r="C268" s="1" t="n">
        <v>46013</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46013</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46013</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46013</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46013</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35911-2024</t>
        </is>
      </c>
      <c r="B273" s="1" t="n">
        <v>45533.41498842592</v>
      </c>
      <c r="C273" s="1" t="n">
        <v>46013</v>
      </c>
      <c r="D273" t="inlineStr">
        <is>
          <t>JÄMTLANDS LÄN</t>
        </is>
      </c>
      <c r="E273" t="inlineStr">
        <is>
          <t>BERG</t>
        </is>
      </c>
      <c r="G273" t="n">
        <v>4.1</v>
      </c>
      <c r="H273" t="n">
        <v>0</v>
      </c>
      <c r="I273" t="n">
        <v>0</v>
      </c>
      <c r="J273" t="n">
        <v>0</v>
      </c>
      <c r="K273" t="n">
        <v>0</v>
      </c>
      <c r="L273" t="n">
        <v>0</v>
      </c>
      <c r="M273" t="n">
        <v>0</v>
      </c>
      <c r="N273" t="n">
        <v>0</v>
      </c>
      <c r="O273" t="n">
        <v>0</v>
      </c>
      <c r="P273" t="n">
        <v>0</v>
      </c>
      <c r="Q273" t="n">
        <v>0</v>
      </c>
      <c r="R273" s="2" t="inlineStr"/>
    </row>
    <row r="274" ht="15" customHeight="1">
      <c r="A274" t="inlineStr">
        <is>
          <t>A 44911-2021</t>
        </is>
      </c>
      <c r="B274" s="1" t="n">
        <v>44435</v>
      </c>
      <c r="C274" s="1" t="n">
        <v>46013</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46013</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38428-2025</t>
        </is>
      </c>
      <c r="B276" s="1" t="n">
        <v>45883.63628472222</v>
      </c>
      <c r="C276" s="1" t="n">
        <v>46013</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64251-2023</t>
        </is>
      </c>
      <c r="B277" s="1" t="n">
        <v>45279.92756944444</v>
      </c>
      <c r="C277" s="1" t="n">
        <v>46013</v>
      </c>
      <c r="D277" t="inlineStr">
        <is>
          <t>JÄMTLANDS LÄN</t>
        </is>
      </c>
      <c r="E277" t="inlineStr">
        <is>
          <t>BERG</t>
        </is>
      </c>
      <c r="G277" t="n">
        <v>0.4</v>
      </c>
      <c r="H277" t="n">
        <v>0</v>
      </c>
      <c r="I277" t="n">
        <v>0</v>
      </c>
      <c r="J277" t="n">
        <v>0</v>
      </c>
      <c r="K277" t="n">
        <v>0</v>
      </c>
      <c r="L277" t="n">
        <v>0</v>
      </c>
      <c r="M277" t="n">
        <v>0</v>
      </c>
      <c r="N277" t="n">
        <v>0</v>
      </c>
      <c r="O277" t="n">
        <v>0</v>
      </c>
      <c r="P277" t="n">
        <v>0</v>
      </c>
      <c r="Q277" t="n">
        <v>0</v>
      </c>
      <c r="R277" s="2" t="inlineStr"/>
    </row>
    <row r="278" ht="15" customHeight="1">
      <c r="A278" t="inlineStr">
        <is>
          <t>A 23900-2025</t>
        </is>
      </c>
      <c r="B278" s="1" t="n">
        <v>45794.34425925926</v>
      </c>
      <c r="C278" s="1" t="n">
        <v>46013</v>
      </c>
      <c r="D278" t="inlineStr">
        <is>
          <t>JÄMTLANDS LÄN</t>
        </is>
      </c>
      <c r="E278" t="inlineStr">
        <is>
          <t>BERG</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23915-2025</t>
        </is>
      </c>
      <c r="B279" s="1" t="n">
        <v>45795.3446412037</v>
      </c>
      <c r="C279" s="1" t="n">
        <v>46013</v>
      </c>
      <c r="D279" t="inlineStr">
        <is>
          <t>JÄMTLANDS LÄN</t>
        </is>
      </c>
      <c r="E279" t="inlineStr">
        <is>
          <t>BERG</t>
        </is>
      </c>
      <c r="F279" t="inlineStr">
        <is>
          <t>SCA</t>
        </is>
      </c>
      <c r="G279" t="n">
        <v>16.7</v>
      </c>
      <c r="H279" t="n">
        <v>0</v>
      </c>
      <c r="I279" t="n">
        <v>0</v>
      </c>
      <c r="J279" t="n">
        <v>0</v>
      </c>
      <c r="K279" t="n">
        <v>0</v>
      </c>
      <c r="L279" t="n">
        <v>0</v>
      </c>
      <c r="M279" t="n">
        <v>0</v>
      </c>
      <c r="N279" t="n">
        <v>0</v>
      </c>
      <c r="O279" t="n">
        <v>0</v>
      </c>
      <c r="P279" t="n">
        <v>0</v>
      </c>
      <c r="Q279" t="n">
        <v>0</v>
      </c>
      <c r="R279" s="2" t="inlineStr"/>
    </row>
    <row r="280" ht="15" customHeight="1">
      <c r="A280" t="inlineStr">
        <is>
          <t>A 23916-2025</t>
        </is>
      </c>
      <c r="B280" s="1" t="n">
        <v>45795.34472222222</v>
      </c>
      <c r="C280" s="1" t="n">
        <v>46013</v>
      </c>
      <c r="D280" t="inlineStr">
        <is>
          <t>JÄMTLANDS LÄN</t>
        </is>
      </c>
      <c r="E280" t="inlineStr">
        <is>
          <t>BERG</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57226-2022</t>
        </is>
      </c>
      <c r="B281" s="1" t="n">
        <v>44895.66629629629</v>
      </c>
      <c r="C281" s="1" t="n">
        <v>46013</v>
      </c>
      <c r="D281" t="inlineStr">
        <is>
          <t>JÄMTLANDS LÄN</t>
        </is>
      </c>
      <c r="E281" t="inlineStr">
        <is>
          <t>BERG</t>
        </is>
      </c>
      <c r="G281" t="n">
        <v>4.6</v>
      </c>
      <c r="H281" t="n">
        <v>0</v>
      </c>
      <c r="I281" t="n">
        <v>0</v>
      </c>
      <c r="J281" t="n">
        <v>0</v>
      </c>
      <c r="K281" t="n">
        <v>0</v>
      </c>
      <c r="L281" t="n">
        <v>0</v>
      </c>
      <c r="M281" t="n">
        <v>0</v>
      </c>
      <c r="N281" t="n">
        <v>0</v>
      </c>
      <c r="O281" t="n">
        <v>0</v>
      </c>
      <c r="P281" t="n">
        <v>0</v>
      </c>
      <c r="Q281" t="n">
        <v>0</v>
      </c>
      <c r="R281" s="2" t="inlineStr"/>
    </row>
    <row r="282" ht="15" customHeight="1">
      <c r="A282" t="inlineStr">
        <is>
          <t>A 23920-2025</t>
        </is>
      </c>
      <c r="B282" s="1" t="n">
        <v>45795.34505787037</v>
      </c>
      <c r="C282" s="1" t="n">
        <v>46013</v>
      </c>
      <c r="D282" t="inlineStr">
        <is>
          <t>JÄMTLANDS LÄN</t>
        </is>
      </c>
      <c r="E282" t="inlineStr">
        <is>
          <t>BERG</t>
        </is>
      </c>
      <c r="F282" t="inlineStr">
        <is>
          <t>SCA</t>
        </is>
      </c>
      <c r="G282" t="n">
        <v>8.5</v>
      </c>
      <c r="H282" t="n">
        <v>0</v>
      </c>
      <c r="I282" t="n">
        <v>0</v>
      </c>
      <c r="J282" t="n">
        <v>0</v>
      </c>
      <c r="K282" t="n">
        <v>0</v>
      </c>
      <c r="L282" t="n">
        <v>0</v>
      </c>
      <c r="M282" t="n">
        <v>0</v>
      </c>
      <c r="N282" t="n">
        <v>0</v>
      </c>
      <c r="O282" t="n">
        <v>0</v>
      </c>
      <c r="P282" t="n">
        <v>0</v>
      </c>
      <c r="Q282" t="n">
        <v>0</v>
      </c>
      <c r="R282" s="2" t="inlineStr"/>
    </row>
    <row r="283" ht="15" customHeight="1">
      <c r="A283" t="inlineStr">
        <is>
          <t>A 23560-2024</t>
        </is>
      </c>
      <c r="B283" s="1" t="n">
        <v>45453.95467592592</v>
      </c>
      <c r="C283" s="1" t="n">
        <v>46013</v>
      </c>
      <c r="D283" t="inlineStr">
        <is>
          <t>JÄMTLANDS LÄN</t>
        </is>
      </c>
      <c r="E283" t="inlineStr">
        <is>
          <t>BERG</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35866-2024</t>
        </is>
      </c>
      <c r="B284" s="1" t="n">
        <v>45533.3422337963</v>
      </c>
      <c r="C284" s="1" t="n">
        <v>46013</v>
      </c>
      <c r="D284" t="inlineStr">
        <is>
          <t>JÄMTLANDS LÄN</t>
        </is>
      </c>
      <c r="E284" t="inlineStr">
        <is>
          <t>BERG</t>
        </is>
      </c>
      <c r="G284" t="n">
        <v>2.5</v>
      </c>
      <c r="H284" t="n">
        <v>0</v>
      </c>
      <c r="I284" t="n">
        <v>0</v>
      </c>
      <c r="J284" t="n">
        <v>0</v>
      </c>
      <c r="K284" t="n">
        <v>0</v>
      </c>
      <c r="L284" t="n">
        <v>0</v>
      </c>
      <c r="M284" t="n">
        <v>0</v>
      </c>
      <c r="N284" t="n">
        <v>0</v>
      </c>
      <c r="O284" t="n">
        <v>0</v>
      </c>
      <c r="P284" t="n">
        <v>0</v>
      </c>
      <c r="Q284" t="n">
        <v>0</v>
      </c>
      <c r="R284" s="2" t="inlineStr"/>
    </row>
    <row r="285" ht="15" customHeight="1">
      <c r="A285" t="inlineStr">
        <is>
          <t>A 23901-2025</t>
        </is>
      </c>
      <c r="B285" s="1" t="n">
        <v>45794.34436342592</v>
      </c>
      <c r="C285" s="1" t="n">
        <v>46013</v>
      </c>
      <c r="D285" t="inlineStr">
        <is>
          <t>JÄMTLANDS LÄN</t>
        </is>
      </c>
      <c r="E285" t="inlineStr">
        <is>
          <t>BERG</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23919-2025</t>
        </is>
      </c>
      <c r="B286" s="1" t="n">
        <v>45795.34497685185</v>
      </c>
      <c r="C286" s="1" t="n">
        <v>46013</v>
      </c>
      <c r="D286" t="inlineStr">
        <is>
          <t>JÄMTLANDS LÄN</t>
        </is>
      </c>
      <c r="E286" t="inlineStr">
        <is>
          <t>BERG</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17922-2024</t>
        </is>
      </c>
      <c r="B287" s="1" t="n">
        <v>45419.5853587963</v>
      </c>
      <c r="C287" s="1" t="n">
        <v>46013</v>
      </c>
      <c r="D287" t="inlineStr">
        <is>
          <t>JÄMTLANDS LÄN</t>
        </is>
      </c>
      <c r="E287" t="inlineStr">
        <is>
          <t>BERG</t>
        </is>
      </c>
      <c r="F287" t="inlineStr">
        <is>
          <t>Holmen skog AB</t>
        </is>
      </c>
      <c r="G287" t="n">
        <v>6.8</v>
      </c>
      <c r="H287" t="n">
        <v>0</v>
      </c>
      <c r="I287" t="n">
        <v>0</v>
      </c>
      <c r="J287" t="n">
        <v>0</v>
      </c>
      <c r="K287" t="n">
        <v>0</v>
      </c>
      <c r="L287" t="n">
        <v>0</v>
      </c>
      <c r="M287" t="n">
        <v>0</v>
      </c>
      <c r="N287" t="n">
        <v>0</v>
      </c>
      <c r="O287" t="n">
        <v>0</v>
      </c>
      <c r="P287" t="n">
        <v>0</v>
      </c>
      <c r="Q287" t="n">
        <v>0</v>
      </c>
      <c r="R287" s="2" t="inlineStr"/>
    </row>
    <row r="288" ht="15" customHeight="1">
      <c r="A288" t="inlineStr">
        <is>
          <t>A 24060-2025</t>
        </is>
      </c>
      <c r="B288" s="1" t="n">
        <v>45796.5216087963</v>
      </c>
      <c r="C288" s="1" t="n">
        <v>46013</v>
      </c>
      <c r="D288" t="inlineStr">
        <is>
          <t>JÄMTLANDS LÄN</t>
        </is>
      </c>
      <c r="E288" t="inlineStr">
        <is>
          <t>BERG</t>
        </is>
      </c>
      <c r="G288" t="n">
        <v>4.7</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46013</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23766-2025</t>
        </is>
      </c>
      <c r="B290" s="1" t="n">
        <v>45793.46954861111</v>
      </c>
      <c r="C290" s="1" t="n">
        <v>46013</v>
      </c>
      <c r="D290" t="inlineStr">
        <is>
          <t>JÄMTLANDS LÄN</t>
        </is>
      </c>
      <c r="E290" t="inlineStr">
        <is>
          <t>BERG</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24360-2025</t>
        </is>
      </c>
      <c r="B291" s="1" t="n">
        <v>45797.59502314815</v>
      </c>
      <c r="C291" s="1" t="n">
        <v>46013</v>
      </c>
      <c r="D291" t="inlineStr">
        <is>
          <t>JÄMTLANDS LÄN</t>
        </is>
      </c>
      <c r="E291" t="inlineStr">
        <is>
          <t>BERG</t>
        </is>
      </c>
      <c r="F291" t="inlineStr">
        <is>
          <t>SCA</t>
        </is>
      </c>
      <c r="G291" t="n">
        <v>10.5</v>
      </c>
      <c r="H291" t="n">
        <v>0</v>
      </c>
      <c r="I291" t="n">
        <v>0</v>
      </c>
      <c r="J291" t="n">
        <v>0</v>
      </c>
      <c r="K291" t="n">
        <v>0</v>
      </c>
      <c r="L291" t="n">
        <v>0</v>
      </c>
      <c r="M291" t="n">
        <v>0</v>
      </c>
      <c r="N291" t="n">
        <v>0</v>
      </c>
      <c r="O291" t="n">
        <v>0</v>
      </c>
      <c r="P291" t="n">
        <v>0</v>
      </c>
      <c r="Q291" t="n">
        <v>0</v>
      </c>
      <c r="R291" s="2" t="inlineStr"/>
    </row>
    <row r="292" ht="15" customHeight="1">
      <c r="A292" t="inlineStr">
        <is>
          <t>A 24324-2025</t>
        </is>
      </c>
      <c r="B292" s="1" t="n">
        <v>45797.56049768518</v>
      </c>
      <c r="C292" s="1" t="n">
        <v>46013</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24390-2025</t>
        </is>
      </c>
      <c r="B293" s="1" t="n">
        <v>45797.63576388889</v>
      </c>
      <c r="C293" s="1" t="n">
        <v>46013</v>
      </c>
      <c r="D293" t="inlineStr">
        <is>
          <t>JÄMTLANDS LÄN</t>
        </is>
      </c>
      <c r="E293" t="inlineStr">
        <is>
          <t>BERG</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46013</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28098-2024</t>
        </is>
      </c>
      <c r="B295" s="1" t="n">
        <v>45476.61347222222</v>
      </c>
      <c r="C295" s="1" t="n">
        <v>46013</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24442-2025</t>
        </is>
      </c>
      <c r="B296" s="1" t="n">
        <v>45797.96236111111</v>
      </c>
      <c r="C296" s="1" t="n">
        <v>46013</v>
      </c>
      <c r="D296" t="inlineStr">
        <is>
          <t>JÄMTLANDS LÄN</t>
        </is>
      </c>
      <c r="E296" t="inlineStr">
        <is>
          <t>BERG</t>
        </is>
      </c>
      <c r="G296" t="n">
        <v>9</v>
      </c>
      <c r="H296" t="n">
        <v>0</v>
      </c>
      <c r="I296" t="n">
        <v>0</v>
      </c>
      <c r="J296" t="n">
        <v>0</v>
      </c>
      <c r="K296" t="n">
        <v>0</v>
      </c>
      <c r="L296" t="n">
        <v>0</v>
      </c>
      <c r="M296" t="n">
        <v>0</v>
      </c>
      <c r="N296" t="n">
        <v>0</v>
      </c>
      <c r="O296" t="n">
        <v>0</v>
      </c>
      <c r="P296" t="n">
        <v>0</v>
      </c>
      <c r="Q296" t="n">
        <v>0</v>
      </c>
      <c r="R296" s="2" t="inlineStr"/>
    </row>
    <row r="297" ht="15" customHeight="1">
      <c r="A297" t="inlineStr">
        <is>
          <t>A 38682-2023</t>
        </is>
      </c>
      <c r="B297" s="1" t="n">
        <v>45162</v>
      </c>
      <c r="C297" s="1" t="n">
        <v>46013</v>
      </c>
      <c r="D297" t="inlineStr">
        <is>
          <t>JÄMTLANDS LÄN</t>
        </is>
      </c>
      <c r="E297" t="inlineStr">
        <is>
          <t>BERG</t>
        </is>
      </c>
      <c r="F297" t="inlineStr">
        <is>
          <t>SCA</t>
        </is>
      </c>
      <c r="G297" t="n">
        <v>21.3</v>
      </c>
      <c r="H297" t="n">
        <v>0</v>
      </c>
      <c r="I297" t="n">
        <v>0</v>
      </c>
      <c r="J297" t="n">
        <v>0</v>
      </c>
      <c r="K297" t="n">
        <v>0</v>
      </c>
      <c r="L297" t="n">
        <v>0</v>
      </c>
      <c r="M297" t="n">
        <v>0</v>
      </c>
      <c r="N297" t="n">
        <v>0</v>
      </c>
      <c r="O297" t="n">
        <v>0</v>
      </c>
      <c r="P297" t="n">
        <v>0</v>
      </c>
      <c r="Q297" t="n">
        <v>0</v>
      </c>
      <c r="R297" s="2" t="inlineStr"/>
    </row>
    <row r="298" ht="15" customHeight="1">
      <c r="A298" t="inlineStr">
        <is>
          <t>A 38388-2025</t>
        </is>
      </c>
      <c r="B298" s="1" t="n">
        <v>45883.57467592593</v>
      </c>
      <c r="C298" s="1" t="n">
        <v>46013</v>
      </c>
      <c r="D298" t="inlineStr">
        <is>
          <t>JÄMTLANDS LÄN</t>
        </is>
      </c>
      <c r="E298" t="inlineStr">
        <is>
          <t>BERG</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38408-2025</t>
        </is>
      </c>
      <c r="B299" s="1" t="n">
        <v>45883.59412037037</v>
      </c>
      <c r="C299" s="1" t="n">
        <v>46013</v>
      </c>
      <c r="D299" t="inlineStr">
        <is>
          <t>JÄMTLANDS LÄN</t>
        </is>
      </c>
      <c r="E299" t="inlineStr">
        <is>
          <t>BERG</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21508-2024</t>
        </is>
      </c>
      <c r="B300" s="1" t="n">
        <v>45441.56905092593</v>
      </c>
      <c r="C300" s="1" t="n">
        <v>46013</v>
      </c>
      <c r="D300" t="inlineStr">
        <is>
          <t>JÄMTLANDS LÄN</t>
        </is>
      </c>
      <c r="E300" t="inlineStr">
        <is>
          <t>BERG</t>
        </is>
      </c>
      <c r="G300" t="n">
        <v>3.2</v>
      </c>
      <c r="H300" t="n">
        <v>0</v>
      </c>
      <c r="I300" t="n">
        <v>0</v>
      </c>
      <c r="J300" t="n">
        <v>0</v>
      </c>
      <c r="K300" t="n">
        <v>0</v>
      </c>
      <c r="L300" t="n">
        <v>0</v>
      </c>
      <c r="M300" t="n">
        <v>0</v>
      </c>
      <c r="N300" t="n">
        <v>0</v>
      </c>
      <c r="O300" t="n">
        <v>0</v>
      </c>
      <c r="P300" t="n">
        <v>0</v>
      </c>
      <c r="Q300" t="n">
        <v>0</v>
      </c>
      <c r="R300" s="2" t="inlineStr"/>
    </row>
    <row r="301" ht="15" customHeight="1">
      <c r="A301" t="inlineStr">
        <is>
          <t>A 18872-2023</t>
        </is>
      </c>
      <c r="B301" s="1" t="n">
        <v>45042</v>
      </c>
      <c r="C301" s="1" t="n">
        <v>46013</v>
      </c>
      <c r="D301" t="inlineStr">
        <is>
          <t>JÄMTLANDS LÄN</t>
        </is>
      </c>
      <c r="E301" t="inlineStr">
        <is>
          <t>BERG</t>
        </is>
      </c>
      <c r="G301" t="n">
        <v>13.2</v>
      </c>
      <c r="H301" t="n">
        <v>0</v>
      </c>
      <c r="I301" t="n">
        <v>0</v>
      </c>
      <c r="J301" t="n">
        <v>0</v>
      </c>
      <c r="K301" t="n">
        <v>0</v>
      </c>
      <c r="L301" t="n">
        <v>0</v>
      </c>
      <c r="M301" t="n">
        <v>0</v>
      </c>
      <c r="N301" t="n">
        <v>0</v>
      </c>
      <c r="O301" t="n">
        <v>0</v>
      </c>
      <c r="P301" t="n">
        <v>0</v>
      </c>
      <c r="Q301" t="n">
        <v>0</v>
      </c>
      <c r="R301" s="2" t="inlineStr"/>
    </row>
    <row r="302" ht="15" customHeight="1">
      <c r="A302" t="inlineStr">
        <is>
          <t>A 29378-2024</t>
        </is>
      </c>
      <c r="B302" s="1" t="n">
        <v>45483.59328703704</v>
      </c>
      <c r="C302" s="1" t="n">
        <v>46013</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24786-2025</t>
        </is>
      </c>
      <c r="B303" s="1" t="n">
        <v>45799.42777777778</v>
      </c>
      <c r="C303" s="1" t="n">
        <v>46013</v>
      </c>
      <c r="D303" t="inlineStr">
        <is>
          <t>JÄMTLANDS LÄN</t>
        </is>
      </c>
      <c r="E303" t="inlineStr">
        <is>
          <t>BERG</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29424-2024</t>
        </is>
      </c>
      <c r="B304" s="1" t="n">
        <v>45483.71451388889</v>
      </c>
      <c r="C304" s="1" t="n">
        <v>46013</v>
      </c>
      <c r="D304" t="inlineStr">
        <is>
          <t>JÄMTLANDS LÄN</t>
        </is>
      </c>
      <c r="E304" t="inlineStr">
        <is>
          <t>BERG</t>
        </is>
      </c>
      <c r="G304" t="n">
        <v>4</v>
      </c>
      <c r="H304" t="n">
        <v>0</v>
      </c>
      <c r="I304" t="n">
        <v>0</v>
      </c>
      <c r="J304" t="n">
        <v>0</v>
      </c>
      <c r="K304" t="n">
        <v>0</v>
      </c>
      <c r="L304" t="n">
        <v>0</v>
      </c>
      <c r="M304" t="n">
        <v>0</v>
      </c>
      <c r="N304" t="n">
        <v>0</v>
      </c>
      <c r="O304" t="n">
        <v>0</v>
      </c>
      <c r="P304" t="n">
        <v>0</v>
      </c>
      <c r="Q304" t="n">
        <v>0</v>
      </c>
      <c r="R304" s="2" t="inlineStr"/>
    </row>
    <row r="305" ht="15" customHeight="1">
      <c r="A305" t="inlineStr">
        <is>
          <t>A 30917-2024</t>
        </is>
      </c>
      <c r="B305" s="1" t="n">
        <v>45498.66611111111</v>
      </c>
      <c r="C305" s="1" t="n">
        <v>46013</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30992-2024</t>
        </is>
      </c>
      <c r="B306" s="1" t="n">
        <v>45499</v>
      </c>
      <c r="C306" s="1" t="n">
        <v>46013</v>
      </c>
      <c r="D306" t="inlineStr">
        <is>
          <t>JÄMTLANDS LÄN</t>
        </is>
      </c>
      <c r="E306" t="inlineStr">
        <is>
          <t>BERG</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45081-2022</t>
        </is>
      </c>
      <c r="B307" s="1" t="n">
        <v>44841</v>
      </c>
      <c r="C307" s="1" t="n">
        <v>46013</v>
      </c>
      <c r="D307" t="inlineStr">
        <is>
          <t>JÄMTLANDS LÄN</t>
        </is>
      </c>
      <c r="E307" t="inlineStr">
        <is>
          <t>BERG</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24849-2025</t>
        </is>
      </c>
      <c r="B308" s="1" t="n">
        <v>45799.46949074074</v>
      </c>
      <c r="C308" s="1" t="n">
        <v>46013</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24869-2025</t>
        </is>
      </c>
      <c r="B309" s="1" t="n">
        <v>45799.48994212963</v>
      </c>
      <c r="C309" s="1" t="n">
        <v>46013</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5911-2024</t>
        </is>
      </c>
      <c r="B310" s="1" t="n">
        <v>45335</v>
      </c>
      <c r="C310" s="1" t="n">
        <v>46013</v>
      </c>
      <c r="D310" t="inlineStr">
        <is>
          <t>JÄMTLANDS LÄN</t>
        </is>
      </c>
      <c r="E310" t="inlineStr">
        <is>
          <t>BERG</t>
        </is>
      </c>
      <c r="F310" t="inlineStr">
        <is>
          <t>SCA</t>
        </is>
      </c>
      <c r="G310" t="n">
        <v>28.6</v>
      </c>
      <c r="H310" t="n">
        <v>0</v>
      </c>
      <c r="I310" t="n">
        <v>0</v>
      </c>
      <c r="J310" t="n">
        <v>0</v>
      </c>
      <c r="K310" t="n">
        <v>0</v>
      </c>
      <c r="L310" t="n">
        <v>0</v>
      </c>
      <c r="M310" t="n">
        <v>0</v>
      </c>
      <c r="N310" t="n">
        <v>0</v>
      </c>
      <c r="O310" t="n">
        <v>0</v>
      </c>
      <c r="P310" t="n">
        <v>0</v>
      </c>
      <c r="Q310" t="n">
        <v>0</v>
      </c>
      <c r="R310" s="2" t="inlineStr"/>
    </row>
    <row r="311" ht="15" customHeight="1">
      <c r="A311" t="inlineStr">
        <is>
          <t>A 1983-2022</t>
        </is>
      </c>
      <c r="B311" s="1" t="n">
        <v>44575</v>
      </c>
      <c r="C311" s="1" t="n">
        <v>46013</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2002-2022</t>
        </is>
      </c>
      <c r="B312" s="1" t="n">
        <v>44575</v>
      </c>
      <c r="C312" s="1" t="n">
        <v>46013</v>
      </c>
      <c r="D312" t="inlineStr">
        <is>
          <t>JÄMTLANDS LÄN</t>
        </is>
      </c>
      <c r="E312" t="inlineStr">
        <is>
          <t>BERG</t>
        </is>
      </c>
      <c r="G312" t="n">
        <v>11.3</v>
      </c>
      <c r="H312" t="n">
        <v>0</v>
      </c>
      <c r="I312" t="n">
        <v>0</v>
      </c>
      <c r="J312" t="n">
        <v>0</v>
      </c>
      <c r="K312" t="n">
        <v>0</v>
      </c>
      <c r="L312" t="n">
        <v>0</v>
      </c>
      <c r="M312" t="n">
        <v>0</v>
      </c>
      <c r="N312" t="n">
        <v>0</v>
      </c>
      <c r="O312" t="n">
        <v>0</v>
      </c>
      <c r="P312" t="n">
        <v>0</v>
      </c>
      <c r="Q312" t="n">
        <v>0</v>
      </c>
      <c r="R312" s="2" t="inlineStr"/>
    </row>
    <row r="313" ht="15" customHeight="1">
      <c r="A313" t="inlineStr">
        <is>
          <t>A 19428-2025</t>
        </is>
      </c>
      <c r="B313" s="1" t="n">
        <v>45769.79763888889</v>
      </c>
      <c r="C313" s="1" t="n">
        <v>46013</v>
      </c>
      <c r="D313" t="inlineStr">
        <is>
          <t>JÄMTLANDS LÄN</t>
        </is>
      </c>
      <c r="E313" t="inlineStr">
        <is>
          <t>BERG</t>
        </is>
      </c>
      <c r="G313" t="n">
        <v>7.1</v>
      </c>
      <c r="H313" t="n">
        <v>0</v>
      </c>
      <c r="I313" t="n">
        <v>0</v>
      </c>
      <c r="J313" t="n">
        <v>0</v>
      </c>
      <c r="K313" t="n">
        <v>0</v>
      </c>
      <c r="L313" t="n">
        <v>0</v>
      </c>
      <c r="M313" t="n">
        <v>0</v>
      </c>
      <c r="N313" t="n">
        <v>0</v>
      </c>
      <c r="O313" t="n">
        <v>0</v>
      </c>
      <c r="P313" t="n">
        <v>0</v>
      </c>
      <c r="Q313" t="n">
        <v>0</v>
      </c>
      <c r="R313" s="2" t="inlineStr"/>
    </row>
    <row r="314" ht="15" customHeight="1">
      <c r="A314" t="inlineStr">
        <is>
          <t>A 39186-2024</t>
        </is>
      </c>
      <c r="B314" s="1" t="n">
        <v>45548.66489583333</v>
      </c>
      <c r="C314" s="1" t="n">
        <v>46013</v>
      </c>
      <c r="D314" t="inlineStr">
        <is>
          <t>JÄMTLANDS LÄN</t>
        </is>
      </c>
      <c r="E314" t="inlineStr">
        <is>
          <t>BERG</t>
        </is>
      </c>
      <c r="G314" t="n">
        <v>38.4</v>
      </c>
      <c r="H314" t="n">
        <v>0</v>
      </c>
      <c r="I314" t="n">
        <v>0</v>
      </c>
      <c r="J314" t="n">
        <v>0</v>
      </c>
      <c r="K314" t="n">
        <v>0</v>
      </c>
      <c r="L314" t="n">
        <v>0</v>
      </c>
      <c r="M314" t="n">
        <v>0</v>
      </c>
      <c r="N314" t="n">
        <v>0</v>
      </c>
      <c r="O314" t="n">
        <v>0</v>
      </c>
      <c r="P314" t="n">
        <v>0</v>
      </c>
      <c r="Q314" t="n">
        <v>0</v>
      </c>
      <c r="R314" s="2" t="inlineStr"/>
    </row>
    <row r="315" ht="15" customHeight="1">
      <c r="A315" t="inlineStr">
        <is>
          <t>A 60409-2023</t>
        </is>
      </c>
      <c r="B315" s="1" t="n">
        <v>45259.47972222222</v>
      </c>
      <c r="C315" s="1" t="n">
        <v>46013</v>
      </c>
      <c r="D315" t="inlineStr">
        <is>
          <t>JÄMTLANDS LÄN</t>
        </is>
      </c>
      <c r="E315" t="inlineStr">
        <is>
          <t>BERG</t>
        </is>
      </c>
      <c r="G315" t="n">
        <v>5.8</v>
      </c>
      <c r="H315" t="n">
        <v>0</v>
      </c>
      <c r="I315" t="n">
        <v>0</v>
      </c>
      <c r="J315" t="n">
        <v>0</v>
      </c>
      <c r="K315" t="n">
        <v>0</v>
      </c>
      <c r="L315" t="n">
        <v>0</v>
      </c>
      <c r="M315" t="n">
        <v>0</v>
      </c>
      <c r="N315" t="n">
        <v>0</v>
      </c>
      <c r="O315" t="n">
        <v>0</v>
      </c>
      <c r="P315" t="n">
        <v>0</v>
      </c>
      <c r="Q315" t="n">
        <v>0</v>
      </c>
      <c r="R315" s="2" t="inlineStr"/>
    </row>
    <row r="316" ht="15" customHeight="1">
      <c r="A316" t="inlineStr">
        <is>
          <t>A 24954-2025</t>
        </is>
      </c>
      <c r="B316" s="1" t="n">
        <v>45799.57385416667</v>
      </c>
      <c r="C316" s="1" t="n">
        <v>46013</v>
      </c>
      <c r="D316" t="inlineStr">
        <is>
          <t>JÄMTLANDS LÄN</t>
        </is>
      </c>
      <c r="E316" t="inlineStr">
        <is>
          <t>BERG</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39809-2025</t>
        </is>
      </c>
      <c r="B317" s="1" t="n">
        <v>45891</v>
      </c>
      <c r="C317" s="1" t="n">
        <v>46013</v>
      </c>
      <c r="D317" t="inlineStr">
        <is>
          <t>JÄMTLANDS LÄN</t>
        </is>
      </c>
      <c r="E317" t="inlineStr">
        <is>
          <t>BERG</t>
        </is>
      </c>
      <c r="F317" t="inlineStr">
        <is>
          <t>SCA</t>
        </is>
      </c>
      <c r="G317" t="n">
        <v>4</v>
      </c>
      <c r="H317" t="n">
        <v>0</v>
      </c>
      <c r="I317" t="n">
        <v>0</v>
      </c>
      <c r="J317" t="n">
        <v>0</v>
      </c>
      <c r="K317" t="n">
        <v>0</v>
      </c>
      <c r="L317" t="n">
        <v>0</v>
      </c>
      <c r="M317" t="n">
        <v>0</v>
      </c>
      <c r="N317" t="n">
        <v>0</v>
      </c>
      <c r="O317" t="n">
        <v>0</v>
      </c>
      <c r="P317" t="n">
        <v>0</v>
      </c>
      <c r="Q317" t="n">
        <v>0</v>
      </c>
      <c r="R317" s="2" t="inlineStr"/>
    </row>
    <row r="318" ht="15" customHeight="1">
      <c r="A318" t="inlineStr">
        <is>
          <t>A 47168-2025</t>
        </is>
      </c>
      <c r="B318" s="1" t="n">
        <v>45929.86864583333</v>
      </c>
      <c r="C318" s="1" t="n">
        <v>46013</v>
      </c>
      <c r="D318" t="inlineStr">
        <is>
          <t>JÄMTLANDS LÄN</t>
        </is>
      </c>
      <c r="E318" t="inlineStr">
        <is>
          <t>BERG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64709-2021</t>
        </is>
      </c>
      <c r="B319" s="1" t="n">
        <v>44512</v>
      </c>
      <c r="C319" s="1" t="n">
        <v>46013</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25938-2025</t>
        </is>
      </c>
      <c r="B320" s="1" t="n">
        <v>45804.59414351852</v>
      </c>
      <c r="C320" s="1" t="n">
        <v>46013</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25960-2025</t>
        </is>
      </c>
      <c r="B321" s="1" t="n">
        <v>45804.60972222222</v>
      </c>
      <c r="C321" s="1" t="n">
        <v>46013</v>
      </c>
      <c r="D321" t="inlineStr">
        <is>
          <t>JÄMTLANDS LÄN</t>
        </is>
      </c>
      <c r="E321" t="inlineStr">
        <is>
          <t>BERG</t>
        </is>
      </c>
      <c r="G321" t="n">
        <v>7.3</v>
      </c>
      <c r="H321" t="n">
        <v>0</v>
      </c>
      <c r="I321" t="n">
        <v>0</v>
      </c>
      <c r="J321" t="n">
        <v>0</v>
      </c>
      <c r="K321" t="n">
        <v>0</v>
      </c>
      <c r="L321" t="n">
        <v>0</v>
      </c>
      <c r="M321" t="n">
        <v>0</v>
      </c>
      <c r="N321" t="n">
        <v>0</v>
      </c>
      <c r="O321" t="n">
        <v>0</v>
      </c>
      <c r="P321" t="n">
        <v>0</v>
      </c>
      <c r="Q321" t="n">
        <v>0</v>
      </c>
      <c r="R321" s="2" t="inlineStr"/>
    </row>
    <row r="322" ht="15" customHeight="1">
      <c r="A322" t="inlineStr">
        <is>
          <t>A 25976-2025</t>
        </is>
      </c>
      <c r="B322" s="1" t="n">
        <v>45804.63596064815</v>
      </c>
      <c r="C322" s="1" t="n">
        <v>46013</v>
      </c>
      <c r="D322" t="inlineStr">
        <is>
          <t>JÄMTLANDS LÄN</t>
        </is>
      </c>
      <c r="E322" t="inlineStr">
        <is>
          <t>BERG</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25979-2025</t>
        </is>
      </c>
      <c r="B323" s="1" t="n">
        <v>45804.63642361111</v>
      </c>
      <c r="C323" s="1" t="n">
        <v>46013</v>
      </c>
      <c r="D323" t="inlineStr">
        <is>
          <t>JÄMTLANDS LÄN</t>
        </is>
      </c>
      <c r="E323" t="inlineStr">
        <is>
          <t>BERG</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32879-2024</t>
        </is>
      </c>
      <c r="B324" s="1" t="n">
        <v>45516.68450231481</v>
      </c>
      <c r="C324" s="1" t="n">
        <v>46013</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19345-2024</t>
        </is>
      </c>
      <c r="B325" s="1" t="n">
        <v>45428.97185185185</v>
      </c>
      <c r="C325" s="1" t="n">
        <v>46013</v>
      </c>
      <c r="D325" t="inlineStr">
        <is>
          <t>JÄMTLANDS LÄN</t>
        </is>
      </c>
      <c r="E325" t="inlineStr">
        <is>
          <t>BERG</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53456-2022</t>
        </is>
      </c>
      <c r="B326" s="1" t="n">
        <v>44874</v>
      </c>
      <c r="C326" s="1" t="n">
        <v>46013</v>
      </c>
      <c r="D326" t="inlineStr">
        <is>
          <t>JÄMTLANDS LÄN</t>
        </is>
      </c>
      <c r="E326" t="inlineStr">
        <is>
          <t>BERG</t>
        </is>
      </c>
      <c r="G326" t="n">
        <v>13.3</v>
      </c>
      <c r="H326" t="n">
        <v>0</v>
      </c>
      <c r="I326" t="n">
        <v>0</v>
      </c>
      <c r="J326" t="n">
        <v>0</v>
      </c>
      <c r="K326" t="n">
        <v>0</v>
      </c>
      <c r="L326" t="n">
        <v>0</v>
      </c>
      <c r="M326" t="n">
        <v>0</v>
      </c>
      <c r="N326" t="n">
        <v>0</v>
      </c>
      <c r="O326" t="n">
        <v>0</v>
      </c>
      <c r="P326" t="n">
        <v>0</v>
      </c>
      <c r="Q326" t="n">
        <v>0</v>
      </c>
      <c r="R326" s="2" t="inlineStr"/>
    </row>
    <row r="327" ht="15" customHeight="1">
      <c r="A327" t="inlineStr">
        <is>
          <t>A 25885-2025</t>
        </is>
      </c>
      <c r="B327" s="1" t="n">
        <v>45804.51075231482</v>
      </c>
      <c r="C327" s="1" t="n">
        <v>46013</v>
      </c>
      <c r="D327" t="inlineStr">
        <is>
          <t>JÄMTLANDS LÄN</t>
        </is>
      </c>
      <c r="E327" t="inlineStr">
        <is>
          <t>BERG</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25887-2025</t>
        </is>
      </c>
      <c r="B328" s="1" t="n">
        <v>45804.51104166666</v>
      </c>
      <c r="C328" s="1" t="n">
        <v>46013</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171-2022</t>
        </is>
      </c>
      <c r="B329" s="1" t="n">
        <v>44564</v>
      </c>
      <c r="C329" s="1" t="n">
        <v>46013</v>
      </c>
      <c r="D329" t="inlineStr">
        <is>
          <t>JÄMTLANDS LÄN</t>
        </is>
      </c>
      <c r="E329" t="inlineStr">
        <is>
          <t>BERG</t>
        </is>
      </c>
      <c r="G329" t="n">
        <v>2.3</v>
      </c>
      <c r="H329" t="n">
        <v>0</v>
      </c>
      <c r="I329" t="n">
        <v>0</v>
      </c>
      <c r="J329" t="n">
        <v>0</v>
      </c>
      <c r="K329" t="n">
        <v>0</v>
      </c>
      <c r="L329" t="n">
        <v>0</v>
      </c>
      <c r="M329" t="n">
        <v>0</v>
      </c>
      <c r="N329" t="n">
        <v>0</v>
      </c>
      <c r="O329" t="n">
        <v>0</v>
      </c>
      <c r="P329" t="n">
        <v>0</v>
      </c>
      <c r="Q329" t="n">
        <v>0</v>
      </c>
      <c r="R329" s="2" t="inlineStr"/>
    </row>
    <row r="330" ht="15" customHeight="1">
      <c r="A330" t="inlineStr">
        <is>
          <t>A 25886-2025</t>
        </is>
      </c>
      <c r="B330" s="1" t="n">
        <v>45804.51092592593</v>
      </c>
      <c r="C330" s="1" t="n">
        <v>46013</v>
      </c>
      <c r="D330" t="inlineStr">
        <is>
          <t>JÄMTLANDS LÄN</t>
        </is>
      </c>
      <c r="E330" t="inlineStr">
        <is>
          <t>BERG</t>
        </is>
      </c>
      <c r="F330" t="inlineStr">
        <is>
          <t>SCA</t>
        </is>
      </c>
      <c r="G330" t="n">
        <v>18.3</v>
      </c>
      <c r="H330" t="n">
        <v>0</v>
      </c>
      <c r="I330" t="n">
        <v>0</v>
      </c>
      <c r="J330" t="n">
        <v>0</v>
      </c>
      <c r="K330" t="n">
        <v>0</v>
      </c>
      <c r="L330" t="n">
        <v>0</v>
      </c>
      <c r="M330" t="n">
        <v>0</v>
      </c>
      <c r="N330" t="n">
        <v>0</v>
      </c>
      <c r="O330" t="n">
        <v>0</v>
      </c>
      <c r="P330" t="n">
        <v>0</v>
      </c>
      <c r="Q330" t="n">
        <v>0</v>
      </c>
      <c r="R330" s="2" t="inlineStr"/>
    </row>
    <row r="331" ht="15" customHeight="1">
      <c r="A331" t="inlineStr">
        <is>
          <t>A 25951-2025</t>
        </is>
      </c>
      <c r="B331" s="1" t="n">
        <v>45804.5984375</v>
      </c>
      <c r="C331" s="1" t="n">
        <v>46013</v>
      </c>
      <c r="D331" t="inlineStr">
        <is>
          <t>JÄMTLANDS LÄN</t>
        </is>
      </c>
      <c r="E331" t="inlineStr">
        <is>
          <t>BERG</t>
        </is>
      </c>
      <c r="G331" t="n">
        <v>0.9</v>
      </c>
      <c r="H331" t="n">
        <v>0</v>
      </c>
      <c r="I331" t="n">
        <v>0</v>
      </c>
      <c r="J331" t="n">
        <v>0</v>
      </c>
      <c r="K331" t="n">
        <v>0</v>
      </c>
      <c r="L331" t="n">
        <v>0</v>
      </c>
      <c r="M331" t="n">
        <v>0</v>
      </c>
      <c r="N331" t="n">
        <v>0</v>
      </c>
      <c r="O331" t="n">
        <v>0</v>
      </c>
      <c r="P331" t="n">
        <v>0</v>
      </c>
      <c r="Q331" t="n">
        <v>0</v>
      </c>
      <c r="R331" s="2" t="inlineStr"/>
    </row>
    <row r="332" ht="15" customHeight="1">
      <c r="A332" t="inlineStr">
        <is>
          <t>A 38962-2024</t>
        </is>
      </c>
      <c r="B332" s="1" t="n">
        <v>45548.36175925926</v>
      </c>
      <c r="C332" s="1" t="n">
        <v>46013</v>
      </c>
      <c r="D332" t="inlineStr">
        <is>
          <t>JÄMTLANDS LÄN</t>
        </is>
      </c>
      <c r="E332" t="inlineStr">
        <is>
          <t>BERG</t>
        </is>
      </c>
      <c r="G332" t="n">
        <v>2.2</v>
      </c>
      <c r="H332" t="n">
        <v>0</v>
      </c>
      <c r="I332" t="n">
        <v>0</v>
      </c>
      <c r="J332" t="n">
        <v>0</v>
      </c>
      <c r="K332" t="n">
        <v>0</v>
      </c>
      <c r="L332" t="n">
        <v>0</v>
      </c>
      <c r="M332" t="n">
        <v>0</v>
      </c>
      <c r="N332" t="n">
        <v>0</v>
      </c>
      <c r="O332" t="n">
        <v>0</v>
      </c>
      <c r="P332" t="n">
        <v>0</v>
      </c>
      <c r="Q332" t="n">
        <v>0</v>
      </c>
      <c r="R332" s="2" t="inlineStr"/>
    </row>
    <row r="333" ht="15" customHeight="1">
      <c r="A333" t="inlineStr">
        <is>
          <t>A 32654-2025</t>
        </is>
      </c>
      <c r="B333" s="1" t="n">
        <v>45838.6778587963</v>
      </c>
      <c r="C333" s="1" t="n">
        <v>46013</v>
      </c>
      <c r="D333" t="inlineStr">
        <is>
          <t>JÄMTLANDS LÄN</t>
        </is>
      </c>
      <c r="E333" t="inlineStr">
        <is>
          <t>BERG</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25980-2025</t>
        </is>
      </c>
      <c r="B334" s="1" t="n">
        <v>45804.63658564815</v>
      </c>
      <c r="C334" s="1" t="n">
        <v>46013</v>
      </c>
      <c r="D334" t="inlineStr">
        <is>
          <t>JÄMTLANDS LÄN</t>
        </is>
      </c>
      <c r="E334" t="inlineStr">
        <is>
          <t>BERG</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25441-2025</t>
        </is>
      </c>
      <c r="B335" s="1" t="n">
        <v>45801.34476851852</v>
      </c>
      <c r="C335" s="1" t="n">
        <v>46013</v>
      </c>
      <c r="D335" t="inlineStr">
        <is>
          <t>JÄMTLANDS LÄN</t>
        </is>
      </c>
      <c r="E335" t="inlineStr">
        <is>
          <t>BERG</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25454-2025</t>
        </is>
      </c>
      <c r="B336" s="1" t="n">
        <v>45802.34460648148</v>
      </c>
      <c r="C336" s="1" t="n">
        <v>46013</v>
      </c>
      <c r="D336" t="inlineStr">
        <is>
          <t>JÄMTLANDS LÄN</t>
        </is>
      </c>
      <c r="E336" t="inlineStr">
        <is>
          <t>BERG</t>
        </is>
      </c>
      <c r="F336" t="inlineStr">
        <is>
          <t>SCA</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26013-2025</t>
        </is>
      </c>
      <c r="B337" s="1" t="n">
        <v>45804.67760416667</v>
      </c>
      <c r="C337" s="1" t="n">
        <v>46013</v>
      </c>
      <c r="D337" t="inlineStr">
        <is>
          <t>JÄMTLANDS LÄN</t>
        </is>
      </c>
      <c r="E337" t="inlineStr">
        <is>
          <t>BERG</t>
        </is>
      </c>
      <c r="F337" t="inlineStr">
        <is>
          <t>SCA</t>
        </is>
      </c>
      <c r="G337" t="n">
        <v>11.7</v>
      </c>
      <c r="H337" t="n">
        <v>0</v>
      </c>
      <c r="I337" t="n">
        <v>0</v>
      </c>
      <c r="J337" t="n">
        <v>0</v>
      </c>
      <c r="K337" t="n">
        <v>0</v>
      </c>
      <c r="L337" t="n">
        <v>0</v>
      </c>
      <c r="M337" t="n">
        <v>0</v>
      </c>
      <c r="N337" t="n">
        <v>0</v>
      </c>
      <c r="O337" t="n">
        <v>0</v>
      </c>
      <c r="P337" t="n">
        <v>0</v>
      </c>
      <c r="Q337" t="n">
        <v>0</v>
      </c>
      <c r="R337" s="2" t="inlineStr"/>
    </row>
    <row r="338" ht="15" customHeight="1">
      <c r="A338" t="inlineStr">
        <is>
          <t>A 39004-2025</t>
        </is>
      </c>
      <c r="B338" s="1" t="n">
        <v>45888.34472222222</v>
      </c>
      <c r="C338" s="1" t="n">
        <v>46013</v>
      </c>
      <c r="D338" t="inlineStr">
        <is>
          <t>JÄMTLANDS LÄN</t>
        </is>
      </c>
      <c r="E338" t="inlineStr">
        <is>
          <t>BERG</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46013</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25452-2025</t>
        </is>
      </c>
      <c r="B340" s="1" t="n">
        <v>45802.34440972222</v>
      </c>
      <c r="C340" s="1" t="n">
        <v>46013</v>
      </c>
      <c r="D340" t="inlineStr">
        <is>
          <t>JÄMTLANDS LÄN</t>
        </is>
      </c>
      <c r="E340" t="inlineStr">
        <is>
          <t>BERG</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25453-2025</t>
        </is>
      </c>
      <c r="B341" s="1" t="n">
        <v>45802.34451388889</v>
      </c>
      <c r="C341" s="1" t="n">
        <v>46013</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46991-2024</t>
        </is>
      </c>
      <c r="B342" s="1" t="n">
        <v>45586.365625</v>
      </c>
      <c r="C342" s="1" t="n">
        <v>46013</v>
      </c>
      <c r="D342" t="inlineStr">
        <is>
          <t>JÄMTLANDS LÄN</t>
        </is>
      </c>
      <c r="E342" t="inlineStr">
        <is>
          <t>BERG</t>
        </is>
      </c>
      <c r="G342" t="n">
        <v>2.9</v>
      </c>
      <c r="H342" t="n">
        <v>0</v>
      </c>
      <c r="I342" t="n">
        <v>0</v>
      </c>
      <c r="J342" t="n">
        <v>0</v>
      </c>
      <c r="K342" t="n">
        <v>0</v>
      </c>
      <c r="L342" t="n">
        <v>0</v>
      </c>
      <c r="M342" t="n">
        <v>0</v>
      </c>
      <c r="N342" t="n">
        <v>0</v>
      </c>
      <c r="O342" t="n">
        <v>0</v>
      </c>
      <c r="P342" t="n">
        <v>0</v>
      </c>
      <c r="Q342" t="n">
        <v>0</v>
      </c>
      <c r="R342" s="2" t="inlineStr"/>
    </row>
    <row r="343" ht="15" customHeight="1">
      <c r="A343" t="inlineStr">
        <is>
          <t>A 162-2024</t>
        </is>
      </c>
      <c r="B343" s="1" t="n">
        <v>45294</v>
      </c>
      <c r="C343" s="1" t="n">
        <v>46013</v>
      </c>
      <c r="D343" t="inlineStr">
        <is>
          <t>JÄMTLANDS LÄN</t>
        </is>
      </c>
      <c r="E343" t="inlineStr">
        <is>
          <t>BERG</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39544-2025</t>
        </is>
      </c>
      <c r="B344" s="1" t="n">
        <v>45890.45547453704</v>
      </c>
      <c r="C344" s="1" t="n">
        <v>46013</v>
      </c>
      <c r="D344" t="inlineStr">
        <is>
          <t>JÄMTLANDS LÄN</t>
        </is>
      </c>
      <c r="E344" t="inlineStr">
        <is>
          <t>BERG</t>
        </is>
      </c>
      <c r="G344" t="n">
        <v>7.5</v>
      </c>
      <c r="H344" t="n">
        <v>0</v>
      </c>
      <c r="I344" t="n">
        <v>0</v>
      </c>
      <c r="J344" t="n">
        <v>0</v>
      </c>
      <c r="K344" t="n">
        <v>0</v>
      </c>
      <c r="L344" t="n">
        <v>0</v>
      </c>
      <c r="M344" t="n">
        <v>0</v>
      </c>
      <c r="N344" t="n">
        <v>0</v>
      </c>
      <c r="O344" t="n">
        <v>0</v>
      </c>
      <c r="P344" t="n">
        <v>0</v>
      </c>
      <c r="Q344" t="n">
        <v>0</v>
      </c>
      <c r="R344" s="2" t="inlineStr"/>
    </row>
    <row r="345" ht="15" customHeight="1">
      <c r="A345" t="inlineStr">
        <is>
          <t>A 39601-2025</t>
        </is>
      </c>
      <c r="B345" s="1" t="n">
        <v>45890.55284722222</v>
      </c>
      <c r="C345" s="1" t="n">
        <v>46013</v>
      </c>
      <c r="D345" t="inlineStr">
        <is>
          <t>JÄMTLANDS LÄN</t>
        </is>
      </c>
      <c r="E345" t="inlineStr">
        <is>
          <t>BERG</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17266-2025</t>
        </is>
      </c>
      <c r="B346" s="1" t="n">
        <v>45756</v>
      </c>
      <c r="C346" s="1" t="n">
        <v>46013</v>
      </c>
      <c r="D346" t="inlineStr">
        <is>
          <t>JÄMTLANDS LÄN</t>
        </is>
      </c>
      <c r="E346" t="inlineStr">
        <is>
          <t>BERG</t>
        </is>
      </c>
      <c r="G346" t="n">
        <v>20.1</v>
      </c>
      <c r="H346" t="n">
        <v>0</v>
      </c>
      <c r="I346" t="n">
        <v>0</v>
      </c>
      <c r="J346" t="n">
        <v>0</v>
      </c>
      <c r="K346" t="n">
        <v>0</v>
      </c>
      <c r="L346" t="n">
        <v>0</v>
      </c>
      <c r="M346" t="n">
        <v>0</v>
      </c>
      <c r="N346" t="n">
        <v>0</v>
      </c>
      <c r="O346" t="n">
        <v>0</v>
      </c>
      <c r="P346" t="n">
        <v>0</v>
      </c>
      <c r="Q346" t="n">
        <v>0</v>
      </c>
      <c r="R346" s="2" t="inlineStr"/>
    </row>
    <row r="347" ht="15" customHeight="1">
      <c r="A347" t="inlineStr">
        <is>
          <t>A 26378-2025</t>
        </is>
      </c>
      <c r="B347" s="1" t="n">
        <v>45806.48989583334</v>
      </c>
      <c r="C347" s="1" t="n">
        <v>46013</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525-2023</t>
        </is>
      </c>
      <c r="B348" s="1" t="n">
        <v>44924</v>
      </c>
      <c r="C348" s="1" t="n">
        <v>46013</v>
      </c>
      <c r="D348" t="inlineStr">
        <is>
          <t>JÄMTLANDS LÄN</t>
        </is>
      </c>
      <c r="E348" t="inlineStr">
        <is>
          <t>BERG</t>
        </is>
      </c>
      <c r="G348" t="n">
        <v>4</v>
      </c>
      <c r="H348" t="n">
        <v>0</v>
      </c>
      <c r="I348" t="n">
        <v>0</v>
      </c>
      <c r="J348" t="n">
        <v>0</v>
      </c>
      <c r="K348" t="n">
        <v>0</v>
      </c>
      <c r="L348" t="n">
        <v>0</v>
      </c>
      <c r="M348" t="n">
        <v>0</v>
      </c>
      <c r="N348" t="n">
        <v>0</v>
      </c>
      <c r="O348" t="n">
        <v>0</v>
      </c>
      <c r="P348" t="n">
        <v>0</v>
      </c>
      <c r="Q348" t="n">
        <v>0</v>
      </c>
      <c r="R348" s="2" t="inlineStr"/>
    </row>
    <row r="349" ht="15" customHeight="1">
      <c r="A349" t="inlineStr">
        <is>
          <t>A 26275-2025</t>
        </is>
      </c>
      <c r="B349" s="1" t="n">
        <v>45805.60230324074</v>
      </c>
      <c r="C349" s="1" t="n">
        <v>46013</v>
      </c>
      <c r="D349" t="inlineStr">
        <is>
          <t>JÄMTLANDS LÄN</t>
        </is>
      </c>
      <c r="E349" t="inlineStr">
        <is>
          <t>BERG</t>
        </is>
      </c>
      <c r="G349" t="n">
        <v>10.2</v>
      </c>
      <c r="H349" t="n">
        <v>0</v>
      </c>
      <c r="I349" t="n">
        <v>0</v>
      </c>
      <c r="J349" t="n">
        <v>0</v>
      </c>
      <c r="K349" t="n">
        <v>0</v>
      </c>
      <c r="L349" t="n">
        <v>0</v>
      </c>
      <c r="M349" t="n">
        <v>0</v>
      </c>
      <c r="N349" t="n">
        <v>0</v>
      </c>
      <c r="O349" t="n">
        <v>0</v>
      </c>
      <c r="P349" t="n">
        <v>0</v>
      </c>
      <c r="Q349" t="n">
        <v>0</v>
      </c>
      <c r="R349" s="2" t="inlineStr"/>
    </row>
    <row r="350" ht="15" customHeight="1">
      <c r="A350" t="inlineStr">
        <is>
          <t>A 26053-2025</t>
        </is>
      </c>
      <c r="B350" s="1" t="n">
        <v>45804.75445601852</v>
      </c>
      <c r="C350" s="1" t="n">
        <v>46013</v>
      </c>
      <c r="D350" t="inlineStr">
        <is>
          <t>JÄMTLANDS LÄN</t>
        </is>
      </c>
      <c r="E350" t="inlineStr">
        <is>
          <t>BERG</t>
        </is>
      </c>
      <c r="G350" t="n">
        <v>6</v>
      </c>
      <c r="H350" t="n">
        <v>0</v>
      </c>
      <c r="I350" t="n">
        <v>0</v>
      </c>
      <c r="J350" t="n">
        <v>0</v>
      </c>
      <c r="K350" t="n">
        <v>0</v>
      </c>
      <c r="L350" t="n">
        <v>0</v>
      </c>
      <c r="M350" t="n">
        <v>0</v>
      </c>
      <c r="N350" t="n">
        <v>0</v>
      </c>
      <c r="O350" t="n">
        <v>0</v>
      </c>
      <c r="P350" t="n">
        <v>0</v>
      </c>
      <c r="Q350" t="n">
        <v>0</v>
      </c>
      <c r="R350" s="2" t="inlineStr"/>
    </row>
    <row r="351" ht="15" customHeight="1">
      <c r="A351" t="inlineStr">
        <is>
          <t>A 61239-2022</t>
        </is>
      </c>
      <c r="B351" s="1" t="n">
        <v>44909</v>
      </c>
      <c r="C351" s="1" t="n">
        <v>46013</v>
      </c>
      <c r="D351" t="inlineStr">
        <is>
          <t>JÄMTLANDS LÄN</t>
        </is>
      </c>
      <c r="E351" t="inlineStr">
        <is>
          <t>BERG</t>
        </is>
      </c>
      <c r="G351" t="n">
        <v>13.5</v>
      </c>
      <c r="H351" t="n">
        <v>0</v>
      </c>
      <c r="I351" t="n">
        <v>0</v>
      </c>
      <c r="J351" t="n">
        <v>0</v>
      </c>
      <c r="K351" t="n">
        <v>0</v>
      </c>
      <c r="L351" t="n">
        <v>0</v>
      </c>
      <c r="M351" t="n">
        <v>0</v>
      </c>
      <c r="N351" t="n">
        <v>0</v>
      </c>
      <c r="O351" t="n">
        <v>0</v>
      </c>
      <c r="P351" t="n">
        <v>0</v>
      </c>
      <c r="Q351" t="n">
        <v>0</v>
      </c>
      <c r="R351" s="2" t="inlineStr"/>
    </row>
    <row r="352" ht="15" customHeight="1">
      <c r="A352" t="inlineStr">
        <is>
          <t>A 61251-2022</t>
        </is>
      </c>
      <c r="B352" s="1" t="n">
        <v>44909</v>
      </c>
      <c r="C352" s="1" t="n">
        <v>46013</v>
      </c>
      <c r="D352" t="inlineStr">
        <is>
          <t>JÄMTLANDS LÄN</t>
        </is>
      </c>
      <c r="E352" t="inlineStr">
        <is>
          <t>BERG</t>
        </is>
      </c>
      <c r="G352" t="n">
        <v>3</v>
      </c>
      <c r="H352" t="n">
        <v>0</v>
      </c>
      <c r="I352" t="n">
        <v>0</v>
      </c>
      <c r="J352" t="n">
        <v>0</v>
      </c>
      <c r="K352" t="n">
        <v>0</v>
      </c>
      <c r="L352" t="n">
        <v>0</v>
      </c>
      <c r="M352" t="n">
        <v>0</v>
      </c>
      <c r="N352" t="n">
        <v>0</v>
      </c>
      <c r="O352" t="n">
        <v>0</v>
      </c>
      <c r="P352" t="n">
        <v>0</v>
      </c>
      <c r="Q352" t="n">
        <v>0</v>
      </c>
      <c r="R352" s="2" t="inlineStr"/>
    </row>
    <row r="353" ht="15" customHeight="1">
      <c r="A353" t="inlineStr">
        <is>
          <t>A 61255-2022</t>
        </is>
      </c>
      <c r="B353" s="1" t="n">
        <v>44909</v>
      </c>
      <c r="C353" s="1" t="n">
        <v>46013</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26374-2025</t>
        </is>
      </c>
      <c r="B354" s="1" t="n">
        <v>45806.42745370371</v>
      </c>
      <c r="C354" s="1" t="n">
        <v>46013</v>
      </c>
      <c r="D354" t="inlineStr">
        <is>
          <t>JÄMTLANDS LÄN</t>
        </is>
      </c>
      <c r="E354" t="inlineStr">
        <is>
          <t>BERG</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26186-2025</t>
        </is>
      </c>
      <c r="B355" s="1" t="n">
        <v>45805.47840277778</v>
      </c>
      <c r="C355" s="1" t="n">
        <v>46013</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39418-2025</t>
        </is>
      </c>
      <c r="B356" s="1" t="n">
        <v>45889</v>
      </c>
      <c r="C356" s="1" t="n">
        <v>46013</v>
      </c>
      <c r="D356" t="inlineStr">
        <is>
          <t>JÄMTLANDS LÄN</t>
        </is>
      </c>
      <c r="E356" t="inlineStr">
        <is>
          <t>BERG</t>
        </is>
      </c>
      <c r="G356" t="n">
        <v>19.8</v>
      </c>
      <c r="H356" t="n">
        <v>0</v>
      </c>
      <c r="I356" t="n">
        <v>0</v>
      </c>
      <c r="J356" t="n">
        <v>0</v>
      </c>
      <c r="K356" t="n">
        <v>0</v>
      </c>
      <c r="L356" t="n">
        <v>0</v>
      </c>
      <c r="M356" t="n">
        <v>0</v>
      </c>
      <c r="N356" t="n">
        <v>0</v>
      </c>
      <c r="O356" t="n">
        <v>0</v>
      </c>
      <c r="P356" t="n">
        <v>0</v>
      </c>
      <c r="Q356" t="n">
        <v>0</v>
      </c>
      <c r="R356" s="2" t="inlineStr"/>
    </row>
    <row r="357" ht="15" customHeight="1">
      <c r="A357" t="inlineStr">
        <is>
          <t>A 8388-2022</t>
        </is>
      </c>
      <c r="B357" s="1" t="n">
        <v>44610</v>
      </c>
      <c r="C357" s="1" t="n">
        <v>46013</v>
      </c>
      <c r="D357" t="inlineStr">
        <is>
          <t>JÄMTLANDS LÄN</t>
        </is>
      </c>
      <c r="E357" t="inlineStr">
        <is>
          <t>BERG</t>
        </is>
      </c>
      <c r="G357" t="n">
        <v>2.6</v>
      </c>
      <c r="H357" t="n">
        <v>0</v>
      </c>
      <c r="I357" t="n">
        <v>0</v>
      </c>
      <c r="J357" t="n">
        <v>0</v>
      </c>
      <c r="K357" t="n">
        <v>0</v>
      </c>
      <c r="L357" t="n">
        <v>0</v>
      </c>
      <c r="M357" t="n">
        <v>0</v>
      </c>
      <c r="N357" t="n">
        <v>0</v>
      </c>
      <c r="O357" t="n">
        <v>0</v>
      </c>
      <c r="P357" t="n">
        <v>0</v>
      </c>
      <c r="Q357" t="n">
        <v>0</v>
      </c>
      <c r="R357" s="2" t="inlineStr"/>
    </row>
    <row r="358" ht="15" customHeight="1">
      <c r="A358" t="inlineStr">
        <is>
          <t>A 39698-2025</t>
        </is>
      </c>
      <c r="B358" s="1" t="n">
        <v>45890.69837962963</v>
      </c>
      <c r="C358" s="1" t="n">
        <v>46013</v>
      </c>
      <c r="D358" t="inlineStr">
        <is>
          <t>JÄMTLANDS LÄN</t>
        </is>
      </c>
      <c r="E358" t="inlineStr">
        <is>
          <t>BERG</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33962-2024</t>
        </is>
      </c>
      <c r="B359" s="1" t="n">
        <v>45523.48854166667</v>
      </c>
      <c r="C359" s="1" t="n">
        <v>46013</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39539-2025</t>
        </is>
      </c>
      <c r="B360" s="1" t="n">
        <v>45890.4525</v>
      </c>
      <c r="C360" s="1" t="n">
        <v>46013</v>
      </c>
      <c r="D360" t="inlineStr">
        <is>
          <t>JÄMTLANDS LÄN</t>
        </is>
      </c>
      <c r="E360" t="inlineStr">
        <is>
          <t>BERG</t>
        </is>
      </c>
      <c r="G360" t="n">
        <v>7.7</v>
      </c>
      <c r="H360" t="n">
        <v>0</v>
      </c>
      <c r="I360" t="n">
        <v>0</v>
      </c>
      <c r="J360" t="n">
        <v>0</v>
      </c>
      <c r="K360" t="n">
        <v>0</v>
      </c>
      <c r="L360" t="n">
        <v>0</v>
      </c>
      <c r="M360" t="n">
        <v>0</v>
      </c>
      <c r="N360" t="n">
        <v>0</v>
      </c>
      <c r="O360" t="n">
        <v>0</v>
      </c>
      <c r="P360" t="n">
        <v>0</v>
      </c>
      <c r="Q360" t="n">
        <v>0</v>
      </c>
      <c r="R360" s="2" t="inlineStr"/>
    </row>
    <row r="361" ht="15" customHeight="1">
      <c r="A361" t="inlineStr">
        <is>
          <t>A 39269-2024</t>
        </is>
      </c>
      <c r="B361" s="1" t="n">
        <v>45551.34488425926</v>
      </c>
      <c r="C361" s="1" t="n">
        <v>46013</v>
      </c>
      <c r="D361" t="inlineStr">
        <is>
          <t>JÄMTLANDS LÄN</t>
        </is>
      </c>
      <c r="E361" t="inlineStr">
        <is>
          <t>BERG</t>
        </is>
      </c>
      <c r="G361" t="n">
        <v>3.1</v>
      </c>
      <c r="H361" t="n">
        <v>0</v>
      </c>
      <c r="I361" t="n">
        <v>0</v>
      </c>
      <c r="J361" t="n">
        <v>0</v>
      </c>
      <c r="K361" t="n">
        <v>0</v>
      </c>
      <c r="L361" t="n">
        <v>0</v>
      </c>
      <c r="M361" t="n">
        <v>0</v>
      </c>
      <c r="N361" t="n">
        <v>0</v>
      </c>
      <c r="O361" t="n">
        <v>0</v>
      </c>
      <c r="P361" t="n">
        <v>0</v>
      </c>
      <c r="Q361" t="n">
        <v>0</v>
      </c>
      <c r="R361" s="2" t="inlineStr"/>
    </row>
    <row r="362" ht="15" customHeight="1">
      <c r="A362" t="inlineStr">
        <is>
          <t>A 33386-2025</t>
        </is>
      </c>
      <c r="B362" s="1" t="n">
        <v>45841.40587962963</v>
      </c>
      <c r="C362" s="1" t="n">
        <v>46013</v>
      </c>
      <c r="D362" t="inlineStr">
        <is>
          <t>JÄMTLANDS LÄN</t>
        </is>
      </c>
      <c r="E362" t="inlineStr">
        <is>
          <t>BERG</t>
        </is>
      </c>
      <c r="G362" t="n">
        <v>37.7</v>
      </c>
      <c r="H362" t="n">
        <v>0</v>
      </c>
      <c r="I362" t="n">
        <v>0</v>
      </c>
      <c r="J362" t="n">
        <v>0</v>
      </c>
      <c r="K362" t="n">
        <v>0</v>
      </c>
      <c r="L362" t="n">
        <v>0</v>
      </c>
      <c r="M362" t="n">
        <v>0</v>
      </c>
      <c r="N362" t="n">
        <v>0</v>
      </c>
      <c r="O362" t="n">
        <v>0</v>
      </c>
      <c r="P362" t="n">
        <v>0</v>
      </c>
      <c r="Q362" t="n">
        <v>0</v>
      </c>
      <c r="R362" s="2" t="inlineStr"/>
    </row>
    <row r="363" ht="15" customHeight="1">
      <c r="A363" t="inlineStr">
        <is>
          <t>A 40060-2025</t>
        </is>
      </c>
      <c r="B363" s="1" t="n">
        <v>45894.42746527777</v>
      </c>
      <c r="C363" s="1" t="n">
        <v>46013</v>
      </c>
      <c r="D363" t="inlineStr">
        <is>
          <t>JÄMTLANDS LÄN</t>
        </is>
      </c>
      <c r="E363" t="inlineStr">
        <is>
          <t>BERG</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26743-2025</t>
        </is>
      </c>
      <c r="B364" s="1" t="n">
        <v>45810.53163194445</v>
      </c>
      <c r="C364" s="1" t="n">
        <v>46013</v>
      </c>
      <c r="D364" t="inlineStr">
        <is>
          <t>JÄMTLANDS LÄN</t>
        </is>
      </c>
      <c r="E364" t="inlineStr">
        <is>
          <t>BERG</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37098-2024</t>
        </is>
      </c>
      <c r="B365" s="1" t="n">
        <v>45539.50243055556</v>
      </c>
      <c r="C365" s="1" t="n">
        <v>46013</v>
      </c>
      <c r="D365" t="inlineStr">
        <is>
          <t>JÄMTLANDS LÄN</t>
        </is>
      </c>
      <c r="E365" t="inlineStr">
        <is>
          <t>BERG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37101-2024</t>
        </is>
      </c>
      <c r="B366" s="1" t="n">
        <v>45539.5029050926</v>
      </c>
      <c r="C366" s="1" t="n">
        <v>46013</v>
      </c>
      <c r="D366" t="inlineStr">
        <is>
          <t>JÄMTLANDS LÄN</t>
        </is>
      </c>
      <c r="E366" t="inlineStr">
        <is>
          <t>BERG</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27312-2025</t>
        </is>
      </c>
      <c r="B367" s="1" t="n">
        <v>45812.58002314815</v>
      </c>
      <c r="C367" s="1" t="n">
        <v>46013</v>
      </c>
      <c r="D367" t="inlineStr">
        <is>
          <t>JÄMTLANDS LÄN</t>
        </is>
      </c>
      <c r="E367" t="inlineStr">
        <is>
          <t>BERG</t>
        </is>
      </c>
      <c r="G367" t="n">
        <v>6</v>
      </c>
      <c r="H367" t="n">
        <v>0</v>
      </c>
      <c r="I367" t="n">
        <v>0</v>
      </c>
      <c r="J367" t="n">
        <v>0</v>
      </c>
      <c r="K367" t="n">
        <v>0</v>
      </c>
      <c r="L367" t="n">
        <v>0</v>
      </c>
      <c r="M367" t="n">
        <v>0</v>
      </c>
      <c r="N367" t="n">
        <v>0</v>
      </c>
      <c r="O367" t="n">
        <v>0</v>
      </c>
      <c r="P367" t="n">
        <v>0</v>
      </c>
      <c r="Q367" t="n">
        <v>0</v>
      </c>
      <c r="R367" s="2" t="inlineStr"/>
    </row>
    <row r="368" ht="15" customHeight="1">
      <c r="A368" t="inlineStr">
        <is>
          <t>A 4561-2024</t>
        </is>
      </c>
      <c r="B368" s="1" t="n">
        <v>45327</v>
      </c>
      <c r="C368" s="1" t="n">
        <v>46013</v>
      </c>
      <c r="D368" t="inlineStr">
        <is>
          <t>JÄMTLANDS LÄN</t>
        </is>
      </c>
      <c r="E368" t="inlineStr">
        <is>
          <t>BERG</t>
        </is>
      </c>
      <c r="G368" t="n">
        <v>7.4</v>
      </c>
      <c r="H368" t="n">
        <v>0</v>
      </c>
      <c r="I368" t="n">
        <v>0</v>
      </c>
      <c r="J368" t="n">
        <v>0</v>
      </c>
      <c r="K368" t="n">
        <v>0</v>
      </c>
      <c r="L368" t="n">
        <v>0</v>
      </c>
      <c r="M368" t="n">
        <v>0</v>
      </c>
      <c r="N368" t="n">
        <v>0</v>
      </c>
      <c r="O368" t="n">
        <v>0</v>
      </c>
      <c r="P368" t="n">
        <v>0</v>
      </c>
      <c r="Q368" t="n">
        <v>0</v>
      </c>
      <c r="R368" s="2" t="inlineStr"/>
    </row>
    <row r="369" ht="15" customHeight="1">
      <c r="A369" t="inlineStr">
        <is>
          <t>A 40630-2025</t>
        </is>
      </c>
      <c r="B369" s="1" t="n">
        <v>45896</v>
      </c>
      <c r="C369" s="1" t="n">
        <v>46013</v>
      </c>
      <c r="D369" t="inlineStr">
        <is>
          <t>JÄMTLANDS LÄN</t>
        </is>
      </c>
      <c r="E369" t="inlineStr">
        <is>
          <t>BERG</t>
        </is>
      </c>
      <c r="G369" t="n">
        <v>2.1</v>
      </c>
      <c r="H369" t="n">
        <v>0</v>
      </c>
      <c r="I369" t="n">
        <v>0</v>
      </c>
      <c r="J369" t="n">
        <v>0</v>
      </c>
      <c r="K369" t="n">
        <v>0</v>
      </c>
      <c r="L369" t="n">
        <v>0</v>
      </c>
      <c r="M369" t="n">
        <v>0</v>
      </c>
      <c r="N369" t="n">
        <v>0</v>
      </c>
      <c r="O369" t="n">
        <v>0</v>
      </c>
      <c r="P369" t="n">
        <v>0</v>
      </c>
      <c r="Q369" t="n">
        <v>0</v>
      </c>
      <c r="R369" s="2" t="inlineStr"/>
    </row>
    <row r="370" ht="15" customHeight="1">
      <c r="A370" t="inlineStr">
        <is>
          <t>A 27317-2025</t>
        </is>
      </c>
      <c r="B370" s="1" t="n">
        <v>45812.59011574074</v>
      </c>
      <c r="C370" s="1" t="n">
        <v>46013</v>
      </c>
      <c r="D370" t="inlineStr">
        <is>
          <t>JÄMTLANDS LÄN</t>
        </is>
      </c>
      <c r="E370" t="inlineStr">
        <is>
          <t>BERG</t>
        </is>
      </c>
      <c r="G370" t="n">
        <v>6.2</v>
      </c>
      <c r="H370" t="n">
        <v>0</v>
      </c>
      <c r="I370" t="n">
        <v>0</v>
      </c>
      <c r="J370" t="n">
        <v>0</v>
      </c>
      <c r="K370" t="n">
        <v>0</v>
      </c>
      <c r="L370" t="n">
        <v>0</v>
      </c>
      <c r="M370" t="n">
        <v>0</v>
      </c>
      <c r="N370" t="n">
        <v>0</v>
      </c>
      <c r="O370" t="n">
        <v>0</v>
      </c>
      <c r="P370" t="n">
        <v>0</v>
      </c>
      <c r="Q370" t="n">
        <v>0</v>
      </c>
      <c r="R370" s="2" t="inlineStr"/>
    </row>
    <row r="371" ht="15" customHeight="1">
      <c r="A371" t="inlineStr">
        <is>
          <t>A 511-2025</t>
        </is>
      </c>
      <c r="B371" s="1" t="n">
        <v>45664.47284722222</v>
      </c>
      <c r="C371" s="1" t="n">
        <v>46013</v>
      </c>
      <c r="D371" t="inlineStr">
        <is>
          <t>JÄMTLANDS LÄN</t>
        </is>
      </c>
      <c r="E371" t="inlineStr">
        <is>
          <t>BERG</t>
        </is>
      </c>
      <c r="G371" t="n">
        <v>4.5</v>
      </c>
      <c r="H371" t="n">
        <v>0</v>
      </c>
      <c r="I371" t="n">
        <v>0</v>
      </c>
      <c r="J371" t="n">
        <v>0</v>
      </c>
      <c r="K371" t="n">
        <v>0</v>
      </c>
      <c r="L371" t="n">
        <v>0</v>
      </c>
      <c r="M371" t="n">
        <v>0</v>
      </c>
      <c r="N371" t="n">
        <v>0</v>
      </c>
      <c r="O371" t="n">
        <v>0</v>
      </c>
      <c r="P371" t="n">
        <v>0</v>
      </c>
      <c r="Q371" t="n">
        <v>0</v>
      </c>
      <c r="R371" s="2" t="inlineStr"/>
    </row>
    <row r="372" ht="15" customHeight="1">
      <c r="A372" t="inlineStr">
        <is>
          <t>A 40410-2025</t>
        </is>
      </c>
      <c r="B372" s="1" t="n">
        <v>45895.57349537037</v>
      </c>
      <c r="C372" s="1" t="n">
        <v>46013</v>
      </c>
      <c r="D372" t="inlineStr">
        <is>
          <t>JÄMTLANDS LÄN</t>
        </is>
      </c>
      <c r="E372" t="inlineStr">
        <is>
          <t>BERG</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40266-2025</t>
        </is>
      </c>
      <c r="B373" s="1" t="n">
        <v>45895.34478009259</v>
      </c>
      <c r="C373" s="1" t="n">
        <v>46013</v>
      </c>
      <c r="D373" t="inlineStr">
        <is>
          <t>JÄMTLANDS LÄN</t>
        </is>
      </c>
      <c r="E373" t="inlineStr">
        <is>
          <t>BERG</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40339-2025</t>
        </is>
      </c>
      <c r="B374" s="1" t="n">
        <v>45895</v>
      </c>
      <c r="C374" s="1" t="n">
        <v>46013</v>
      </c>
      <c r="D374" t="inlineStr">
        <is>
          <t>JÄMTLANDS LÄN</t>
        </is>
      </c>
      <c r="E374" t="inlineStr">
        <is>
          <t>BERG</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40340-2025</t>
        </is>
      </c>
      <c r="B375" s="1" t="n">
        <v>45895.46922453704</v>
      </c>
      <c r="C375" s="1" t="n">
        <v>46013</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40341-2025</t>
        </is>
      </c>
      <c r="B376" s="1" t="n">
        <v>45895</v>
      </c>
      <c r="C376" s="1" t="n">
        <v>46013</v>
      </c>
      <c r="D376" t="inlineStr">
        <is>
          <t>JÄMTLANDS LÄN</t>
        </is>
      </c>
      <c r="E376" t="inlineStr">
        <is>
          <t>BERG</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27063-2025</t>
        </is>
      </c>
      <c r="B377" s="1" t="n">
        <v>45811.63626157407</v>
      </c>
      <c r="C377" s="1" t="n">
        <v>46013</v>
      </c>
      <c r="D377" t="inlineStr">
        <is>
          <t>JÄMTLANDS LÄN</t>
        </is>
      </c>
      <c r="E377" t="inlineStr">
        <is>
          <t>BERG</t>
        </is>
      </c>
      <c r="F377" t="inlineStr">
        <is>
          <t>SCA</t>
        </is>
      </c>
      <c r="G377" t="n">
        <v>18.9</v>
      </c>
      <c r="H377" t="n">
        <v>0</v>
      </c>
      <c r="I377" t="n">
        <v>0</v>
      </c>
      <c r="J377" t="n">
        <v>0</v>
      </c>
      <c r="K377" t="n">
        <v>0</v>
      </c>
      <c r="L377" t="n">
        <v>0</v>
      </c>
      <c r="M377" t="n">
        <v>0</v>
      </c>
      <c r="N377" t="n">
        <v>0</v>
      </c>
      <c r="O377" t="n">
        <v>0</v>
      </c>
      <c r="P377" t="n">
        <v>0</v>
      </c>
      <c r="Q377" t="n">
        <v>0</v>
      </c>
      <c r="R377" s="2" t="inlineStr"/>
    </row>
    <row r="378" ht="15" customHeight="1">
      <c r="A378" t="inlineStr">
        <is>
          <t>A 40617-2025</t>
        </is>
      </c>
      <c r="B378" s="1" t="n">
        <v>45896.58326388889</v>
      </c>
      <c r="C378" s="1" t="n">
        <v>46013</v>
      </c>
      <c r="D378" t="inlineStr">
        <is>
          <t>JÄMTLANDS LÄN</t>
        </is>
      </c>
      <c r="E378" t="inlineStr">
        <is>
          <t>BERG</t>
        </is>
      </c>
      <c r="G378" t="n">
        <v>3.5</v>
      </c>
      <c r="H378" t="n">
        <v>0</v>
      </c>
      <c r="I378" t="n">
        <v>0</v>
      </c>
      <c r="J378" t="n">
        <v>0</v>
      </c>
      <c r="K378" t="n">
        <v>0</v>
      </c>
      <c r="L378" t="n">
        <v>0</v>
      </c>
      <c r="M378" t="n">
        <v>0</v>
      </c>
      <c r="N378" t="n">
        <v>0</v>
      </c>
      <c r="O378" t="n">
        <v>0</v>
      </c>
      <c r="P378" t="n">
        <v>0</v>
      </c>
      <c r="Q378" t="n">
        <v>0</v>
      </c>
      <c r="R378" s="2" t="inlineStr"/>
    </row>
    <row r="379" ht="15" customHeight="1">
      <c r="A379" t="inlineStr">
        <is>
          <t>A 41247-2025</t>
        </is>
      </c>
      <c r="B379" s="1" t="n">
        <v>45898.60109953704</v>
      </c>
      <c r="C379" s="1" t="n">
        <v>46013</v>
      </c>
      <c r="D379" t="inlineStr">
        <is>
          <t>JÄMTLANDS LÄN</t>
        </is>
      </c>
      <c r="E379" t="inlineStr">
        <is>
          <t>BERG</t>
        </is>
      </c>
      <c r="G379" t="n">
        <v>17.5</v>
      </c>
      <c r="H379" t="n">
        <v>0</v>
      </c>
      <c r="I379" t="n">
        <v>0</v>
      </c>
      <c r="J379" t="n">
        <v>0</v>
      </c>
      <c r="K379" t="n">
        <v>0</v>
      </c>
      <c r="L379" t="n">
        <v>0</v>
      </c>
      <c r="M379" t="n">
        <v>0</v>
      </c>
      <c r="N379" t="n">
        <v>0</v>
      </c>
      <c r="O379" t="n">
        <v>0</v>
      </c>
      <c r="P379" t="n">
        <v>0</v>
      </c>
      <c r="Q379" t="n">
        <v>0</v>
      </c>
      <c r="R379" s="2" t="inlineStr"/>
    </row>
    <row r="380" ht="15" customHeight="1">
      <c r="A380" t="inlineStr">
        <is>
          <t>A 27044-2025</t>
        </is>
      </c>
      <c r="B380" s="1" t="n">
        <v>45811.61496527777</v>
      </c>
      <c r="C380" s="1" t="n">
        <v>46013</v>
      </c>
      <c r="D380" t="inlineStr">
        <is>
          <t>JÄMTLANDS LÄN</t>
        </is>
      </c>
      <c r="E380" t="inlineStr">
        <is>
          <t>BERG</t>
        </is>
      </c>
      <c r="F380" t="inlineStr">
        <is>
          <t>SCA</t>
        </is>
      </c>
      <c r="G380" t="n">
        <v>26.1</v>
      </c>
      <c r="H380" t="n">
        <v>0</v>
      </c>
      <c r="I380" t="n">
        <v>0</v>
      </c>
      <c r="J380" t="n">
        <v>0</v>
      </c>
      <c r="K380" t="n">
        <v>0</v>
      </c>
      <c r="L380" t="n">
        <v>0</v>
      </c>
      <c r="M380" t="n">
        <v>0</v>
      </c>
      <c r="N380" t="n">
        <v>0</v>
      </c>
      <c r="O380" t="n">
        <v>0</v>
      </c>
      <c r="P380" t="n">
        <v>0</v>
      </c>
      <c r="Q380" t="n">
        <v>0</v>
      </c>
      <c r="R380" s="2" t="inlineStr"/>
    </row>
    <row r="381" ht="15" customHeight="1">
      <c r="A381" t="inlineStr">
        <is>
          <t>A 27575-2025</t>
        </is>
      </c>
      <c r="B381" s="1" t="n">
        <v>45813.49083333334</v>
      </c>
      <c r="C381" s="1" t="n">
        <v>46013</v>
      </c>
      <c r="D381" t="inlineStr">
        <is>
          <t>JÄMTLANDS LÄN</t>
        </is>
      </c>
      <c r="E381" t="inlineStr">
        <is>
          <t>BERG</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27603-2025</t>
        </is>
      </c>
      <c r="B382" s="1" t="n">
        <v>45813.53174768519</v>
      </c>
      <c r="C382" s="1" t="n">
        <v>46013</v>
      </c>
      <c r="D382" t="inlineStr">
        <is>
          <t>JÄMTLANDS LÄN</t>
        </is>
      </c>
      <c r="E382" t="inlineStr">
        <is>
          <t>BERG</t>
        </is>
      </c>
      <c r="F382" t="inlineStr">
        <is>
          <t>SCA</t>
        </is>
      </c>
      <c r="G382" t="n">
        <v>11.3</v>
      </c>
      <c r="H382" t="n">
        <v>0</v>
      </c>
      <c r="I382" t="n">
        <v>0</v>
      </c>
      <c r="J382" t="n">
        <v>0</v>
      </c>
      <c r="K382" t="n">
        <v>0</v>
      </c>
      <c r="L382" t="n">
        <v>0</v>
      </c>
      <c r="M382" t="n">
        <v>0</v>
      </c>
      <c r="N382" t="n">
        <v>0</v>
      </c>
      <c r="O382" t="n">
        <v>0</v>
      </c>
      <c r="P382" t="n">
        <v>0</v>
      </c>
      <c r="Q382" t="n">
        <v>0</v>
      </c>
      <c r="R382" s="2" t="inlineStr"/>
    </row>
    <row r="383" ht="15" customHeight="1">
      <c r="A383" t="inlineStr">
        <is>
          <t>A 41295-2025</t>
        </is>
      </c>
      <c r="B383" s="1" t="n">
        <v>45898.65660879629</v>
      </c>
      <c r="C383" s="1" t="n">
        <v>46013</v>
      </c>
      <c r="D383" t="inlineStr">
        <is>
          <t>JÄMTLANDS LÄN</t>
        </is>
      </c>
      <c r="E383" t="inlineStr">
        <is>
          <t>BERG</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27569-2025</t>
        </is>
      </c>
      <c r="B384" s="1" t="n">
        <v>45813.49018518518</v>
      </c>
      <c r="C384" s="1" t="n">
        <v>46013</v>
      </c>
      <c r="D384" t="inlineStr">
        <is>
          <t>JÄMTLANDS LÄN</t>
        </is>
      </c>
      <c r="E384" t="inlineStr">
        <is>
          <t>BERG</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45813.34561342592</v>
      </c>
      <c r="C385" s="1" t="n">
        <v>46013</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40918-2025</t>
        </is>
      </c>
      <c r="B386" s="1" t="n">
        <v>45897.6292824074</v>
      </c>
      <c r="C386" s="1" t="n">
        <v>46013</v>
      </c>
      <c r="D386" t="inlineStr">
        <is>
          <t>JÄMTLANDS LÄN</t>
        </is>
      </c>
      <c r="E386" t="inlineStr">
        <is>
          <t>BERG</t>
        </is>
      </c>
      <c r="G386" t="n">
        <v>1.7</v>
      </c>
      <c r="H386" t="n">
        <v>0</v>
      </c>
      <c r="I386" t="n">
        <v>0</v>
      </c>
      <c r="J386" t="n">
        <v>0</v>
      </c>
      <c r="K386" t="n">
        <v>0</v>
      </c>
      <c r="L386" t="n">
        <v>0</v>
      </c>
      <c r="M386" t="n">
        <v>0</v>
      </c>
      <c r="N386" t="n">
        <v>0</v>
      </c>
      <c r="O386" t="n">
        <v>0</v>
      </c>
      <c r="P386" t="n">
        <v>0</v>
      </c>
      <c r="Q386" t="n">
        <v>0</v>
      </c>
      <c r="R386" s="2" t="inlineStr"/>
    </row>
    <row r="387" ht="15" customHeight="1">
      <c r="A387" t="inlineStr">
        <is>
          <t>A 27716-2025</t>
        </is>
      </c>
      <c r="B387" s="1" t="n">
        <v>45813.961875</v>
      </c>
      <c r="C387" s="1" t="n">
        <v>46013</v>
      </c>
      <c r="D387" t="inlineStr">
        <is>
          <t>JÄMTLANDS LÄN</t>
        </is>
      </c>
      <c r="E387" t="inlineStr">
        <is>
          <t>BERG</t>
        </is>
      </c>
      <c r="G387" t="n">
        <v>6.7</v>
      </c>
      <c r="H387" t="n">
        <v>0</v>
      </c>
      <c r="I387" t="n">
        <v>0</v>
      </c>
      <c r="J387" t="n">
        <v>0</v>
      </c>
      <c r="K387" t="n">
        <v>0</v>
      </c>
      <c r="L387" t="n">
        <v>0</v>
      </c>
      <c r="M387" t="n">
        <v>0</v>
      </c>
      <c r="N387" t="n">
        <v>0</v>
      </c>
      <c r="O387" t="n">
        <v>0</v>
      </c>
      <c r="P387" t="n">
        <v>0</v>
      </c>
      <c r="Q387" t="n">
        <v>0</v>
      </c>
      <c r="R387" s="2" t="inlineStr"/>
    </row>
    <row r="388" ht="15" customHeight="1">
      <c r="A388" t="inlineStr">
        <is>
          <t>A 40708-2025</t>
        </is>
      </c>
      <c r="B388" s="1" t="n">
        <v>45897</v>
      </c>
      <c r="C388" s="1" t="n">
        <v>46013</v>
      </c>
      <c r="D388" t="inlineStr">
        <is>
          <t>JÄMTLANDS LÄN</t>
        </is>
      </c>
      <c r="E388" t="inlineStr">
        <is>
          <t>BERG</t>
        </is>
      </c>
      <c r="G388" t="n">
        <v>6.6</v>
      </c>
      <c r="H388" t="n">
        <v>0</v>
      </c>
      <c r="I388" t="n">
        <v>0</v>
      </c>
      <c r="J388" t="n">
        <v>0</v>
      </c>
      <c r="K388" t="n">
        <v>0</v>
      </c>
      <c r="L388" t="n">
        <v>0</v>
      </c>
      <c r="M388" t="n">
        <v>0</v>
      </c>
      <c r="N388" t="n">
        <v>0</v>
      </c>
      <c r="O388" t="n">
        <v>0</v>
      </c>
      <c r="P388" t="n">
        <v>0</v>
      </c>
      <c r="Q388" t="n">
        <v>0</v>
      </c>
      <c r="R388" s="2" t="inlineStr"/>
    </row>
    <row r="389" ht="15" customHeight="1">
      <c r="A389" t="inlineStr">
        <is>
          <t>A 40873-2025</t>
        </is>
      </c>
      <c r="B389" s="1" t="n">
        <v>45897.5744675926</v>
      </c>
      <c r="C389" s="1" t="n">
        <v>46013</v>
      </c>
      <c r="D389" t="inlineStr">
        <is>
          <t>JÄMTLANDS LÄN</t>
        </is>
      </c>
      <c r="E389" t="inlineStr">
        <is>
          <t>BERG</t>
        </is>
      </c>
      <c r="G389" t="n">
        <v>0.6</v>
      </c>
      <c r="H389" t="n">
        <v>0</v>
      </c>
      <c r="I389" t="n">
        <v>0</v>
      </c>
      <c r="J389" t="n">
        <v>0</v>
      </c>
      <c r="K389" t="n">
        <v>0</v>
      </c>
      <c r="L389" t="n">
        <v>0</v>
      </c>
      <c r="M389" t="n">
        <v>0</v>
      </c>
      <c r="N389" t="n">
        <v>0</v>
      </c>
      <c r="O389" t="n">
        <v>0</v>
      </c>
      <c r="P389" t="n">
        <v>0</v>
      </c>
      <c r="Q389" t="n">
        <v>0</v>
      </c>
      <c r="R389" s="2" t="inlineStr"/>
    </row>
    <row r="390" ht="15" customHeight="1">
      <c r="A390" t="inlineStr">
        <is>
          <t>A 14697-2025</t>
        </is>
      </c>
      <c r="B390" s="1" t="n">
        <v>45742.59415509259</v>
      </c>
      <c r="C390" s="1" t="n">
        <v>46013</v>
      </c>
      <c r="D390" t="inlineStr">
        <is>
          <t>JÄMTLANDS LÄN</t>
        </is>
      </c>
      <c r="E390" t="inlineStr">
        <is>
          <t>BERG</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28232-2025</t>
        </is>
      </c>
      <c r="B391" s="1" t="n">
        <v>45818.48989583334</v>
      </c>
      <c r="C391" s="1" t="n">
        <v>46013</v>
      </c>
      <c r="D391" t="inlineStr">
        <is>
          <t>JÄMTLANDS LÄN</t>
        </is>
      </c>
      <c r="E391" t="inlineStr">
        <is>
          <t>BERG</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28157-2025</t>
        </is>
      </c>
      <c r="B392" s="1" t="n">
        <v>45818.36512731481</v>
      </c>
      <c r="C392" s="1" t="n">
        <v>46013</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41265-2025</t>
        </is>
      </c>
      <c r="B393" s="1" t="n">
        <v>45898.6153587963</v>
      </c>
      <c r="C393" s="1" t="n">
        <v>46013</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46013</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40737-2025</t>
        </is>
      </c>
      <c r="B395" s="1" t="n">
        <v>45897.36572916667</v>
      </c>
      <c r="C395" s="1" t="n">
        <v>46013</v>
      </c>
      <c r="D395" t="inlineStr">
        <is>
          <t>JÄMTLANDS LÄN</t>
        </is>
      </c>
      <c r="E395" t="inlineStr">
        <is>
          <t>BERG</t>
        </is>
      </c>
      <c r="G395" t="n">
        <v>2.8</v>
      </c>
      <c r="H395" t="n">
        <v>0</v>
      </c>
      <c r="I395" t="n">
        <v>0</v>
      </c>
      <c r="J395" t="n">
        <v>0</v>
      </c>
      <c r="K395" t="n">
        <v>0</v>
      </c>
      <c r="L395" t="n">
        <v>0</v>
      </c>
      <c r="M395" t="n">
        <v>0</v>
      </c>
      <c r="N395" t="n">
        <v>0</v>
      </c>
      <c r="O395" t="n">
        <v>0</v>
      </c>
      <c r="P395" t="n">
        <v>0</v>
      </c>
      <c r="Q395" t="n">
        <v>0</v>
      </c>
      <c r="R395" s="2" t="inlineStr"/>
    </row>
    <row r="396" ht="15" customHeight="1">
      <c r="A396" t="inlineStr">
        <is>
          <t>A 28196-2025</t>
        </is>
      </c>
      <c r="B396" s="1" t="n">
        <v>45818.42753472222</v>
      </c>
      <c r="C396" s="1" t="n">
        <v>46013</v>
      </c>
      <c r="D396" t="inlineStr">
        <is>
          <t>JÄMTLANDS LÄN</t>
        </is>
      </c>
      <c r="E396" t="inlineStr">
        <is>
          <t>BERG</t>
        </is>
      </c>
      <c r="F396" t="inlineStr">
        <is>
          <t>SCA</t>
        </is>
      </c>
      <c r="G396" t="n">
        <v>6.6</v>
      </c>
      <c r="H396" t="n">
        <v>0</v>
      </c>
      <c r="I396" t="n">
        <v>0</v>
      </c>
      <c r="J396" t="n">
        <v>0</v>
      </c>
      <c r="K396" t="n">
        <v>0</v>
      </c>
      <c r="L396" t="n">
        <v>0</v>
      </c>
      <c r="M396" t="n">
        <v>0</v>
      </c>
      <c r="N396" t="n">
        <v>0</v>
      </c>
      <c r="O396" t="n">
        <v>0</v>
      </c>
      <c r="P396" t="n">
        <v>0</v>
      </c>
      <c r="Q396" t="n">
        <v>0</v>
      </c>
      <c r="R396" s="2" t="inlineStr"/>
    </row>
    <row r="397" ht="15" customHeight="1">
      <c r="A397" t="inlineStr">
        <is>
          <t>A 32064-2023</t>
        </is>
      </c>
      <c r="B397" s="1" t="n">
        <v>45119.57108796296</v>
      </c>
      <c r="C397" s="1" t="n">
        <v>46013</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41886-2024</t>
        </is>
      </c>
      <c r="B398" s="1" t="n">
        <v>45561.48825231481</v>
      </c>
      <c r="C398" s="1" t="n">
        <v>46013</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13672-2024</t>
        </is>
      </c>
      <c r="B399" s="1" t="n">
        <v>45390</v>
      </c>
      <c r="C399" s="1" t="n">
        <v>46013</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28079-2025</t>
        </is>
      </c>
      <c r="B400" s="1" t="n">
        <v>45817.69681712963</v>
      </c>
      <c r="C400" s="1" t="n">
        <v>46013</v>
      </c>
      <c r="D400" t="inlineStr">
        <is>
          <t>JÄMTLANDS LÄN</t>
        </is>
      </c>
      <c r="E400" t="inlineStr">
        <is>
          <t>BERG</t>
        </is>
      </c>
      <c r="G400" t="n">
        <v>3.7</v>
      </c>
      <c r="H400" t="n">
        <v>0</v>
      </c>
      <c r="I400" t="n">
        <v>0</v>
      </c>
      <c r="J400" t="n">
        <v>0</v>
      </c>
      <c r="K400" t="n">
        <v>0</v>
      </c>
      <c r="L400" t="n">
        <v>0</v>
      </c>
      <c r="M400" t="n">
        <v>0</v>
      </c>
      <c r="N400" t="n">
        <v>0</v>
      </c>
      <c r="O400" t="n">
        <v>0</v>
      </c>
      <c r="P400" t="n">
        <v>0</v>
      </c>
      <c r="Q400" t="n">
        <v>0</v>
      </c>
      <c r="R400" s="2" t="inlineStr"/>
    </row>
    <row r="401" ht="15" customHeight="1">
      <c r="A401" t="inlineStr">
        <is>
          <t>A 27750-2025</t>
        </is>
      </c>
      <c r="B401" s="1" t="n">
        <v>45815.68543981481</v>
      </c>
      <c r="C401" s="1" t="n">
        <v>46013</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46013</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27737-2025</t>
        </is>
      </c>
      <c r="B403" s="1" t="n">
        <v>45815.34414351852</v>
      </c>
      <c r="C403" s="1" t="n">
        <v>46013</v>
      </c>
      <c r="D403" t="inlineStr">
        <is>
          <t>JÄMTLANDS LÄN</t>
        </is>
      </c>
      <c r="E403" t="inlineStr">
        <is>
          <t>BERG</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28077-2025</t>
        </is>
      </c>
      <c r="B404" s="1" t="n">
        <v>45817.68596064814</v>
      </c>
      <c r="C404" s="1" t="n">
        <v>46013</v>
      </c>
      <c r="D404" t="inlineStr">
        <is>
          <t>JÄMTLANDS LÄN</t>
        </is>
      </c>
      <c r="E404" t="inlineStr">
        <is>
          <t>BERG</t>
        </is>
      </c>
      <c r="G404" t="n">
        <v>6</v>
      </c>
      <c r="H404" t="n">
        <v>0</v>
      </c>
      <c r="I404" t="n">
        <v>0</v>
      </c>
      <c r="J404" t="n">
        <v>0</v>
      </c>
      <c r="K404" t="n">
        <v>0</v>
      </c>
      <c r="L404" t="n">
        <v>0</v>
      </c>
      <c r="M404" t="n">
        <v>0</v>
      </c>
      <c r="N404" t="n">
        <v>0</v>
      </c>
      <c r="O404" t="n">
        <v>0</v>
      </c>
      <c r="P404" t="n">
        <v>0</v>
      </c>
      <c r="Q404" t="n">
        <v>0</v>
      </c>
      <c r="R404" s="2" t="inlineStr"/>
    </row>
    <row r="405" ht="15" customHeight="1">
      <c r="A405" t="inlineStr">
        <is>
          <t>A 41875-2024</t>
        </is>
      </c>
      <c r="B405" s="1" t="n">
        <v>45561.47431712963</v>
      </c>
      <c r="C405" s="1" t="n">
        <v>46013</v>
      </c>
      <c r="D405" t="inlineStr">
        <is>
          <t>JÄMTLANDS LÄN</t>
        </is>
      </c>
      <c r="E405" t="inlineStr">
        <is>
          <t>BERG</t>
        </is>
      </c>
      <c r="G405" t="n">
        <v>1.3</v>
      </c>
      <c r="H405" t="n">
        <v>0</v>
      </c>
      <c r="I405" t="n">
        <v>0</v>
      </c>
      <c r="J405" t="n">
        <v>0</v>
      </c>
      <c r="K405" t="n">
        <v>0</v>
      </c>
      <c r="L405" t="n">
        <v>0</v>
      </c>
      <c r="M405" t="n">
        <v>0</v>
      </c>
      <c r="N405" t="n">
        <v>0</v>
      </c>
      <c r="O405" t="n">
        <v>0</v>
      </c>
      <c r="P405" t="n">
        <v>0</v>
      </c>
      <c r="Q405" t="n">
        <v>0</v>
      </c>
      <c r="R405" s="2" t="inlineStr"/>
    </row>
    <row r="406" ht="15" customHeight="1">
      <c r="A406" t="inlineStr">
        <is>
          <t>A 18408-2025</t>
        </is>
      </c>
      <c r="B406" s="1" t="n">
        <v>45762.61128472222</v>
      </c>
      <c r="C406" s="1" t="n">
        <v>46013</v>
      </c>
      <c r="D406" t="inlineStr">
        <is>
          <t>JÄMTLANDS LÄN</t>
        </is>
      </c>
      <c r="E406" t="inlineStr">
        <is>
          <t>BERG</t>
        </is>
      </c>
      <c r="G406" t="n">
        <v>5.1</v>
      </c>
      <c r="H406" t="n">
        <v>0</v>
      </c>
      <c r="I406" t="n">
        <v>0</v>
      </c>
      <c r="J406" t="n">
        <v>0</v>
      </c>
      <c r="K406" t="n">
        <v>0</v>
      </c>
      <c r="L406" t="n">
        <v>0</v>
      </c>
      <c r="M406" t="n">
        <v>0</v>
      </c>
      <c r="N406" t="n">
        <v>0</v>
      </c>
      <c r="O406" t="n">
        <v>0</v>
      </c>
      <c r="P406" t="n">
        <v>0</v>
      </c>
      <c r="Q406" t="n">
        <v>0</v>
      </c>
      <c r="R406" s="2" t="inlineStr"/>
    </row>
    <row r="407" ht="15" customHeight="1">
      <c r="A407" t="inlineStr">
        <is>
          <t>A 28454-2025</t>
        </is>
      </c>
      <c r="B407" s="1" t="n">
        <v>45819.40679398148</v>
      </c>
      <c r="C407" s="1" t="n">
        <v>46013</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28401-2025</t>
        </is>
      </c>
      <c r="B408" s="1" t="n">
        <v>45819.34469907408</v>
      </c>
      <c r="C408" s="1" t="n">
        <v>46013</v>
      </c>
      <c r="D408" t="inlineStr">
        <is>
          <t>JÄMTLANDS LÄN</t>
        </is>
      </c>
      <c r="E408" t="inlineStr">
        <is>
          <t>BERG</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28453-2025</t>
        </is>
      </c>
      <c r="B409" s="1" t="n">
        <v>45819.40668981482</v>
      </c>
      <c r="C409" s="1" t="n">
        <v>46013</v>
      </c>
      <c r="D409" t="inlineStr">
        <is>
          <t>JÄMTLANDS LÄN</t>
        </is>
      </c>
      <c r="E409" t="inlineStr">
        <is>
          <t>BERG</t>
        </is>
      </c>
      <c r="G409" t="n">
        <v>4.1</v>
      </c>
      <c r="H409" t="n">
        <v>0</v>
      </c>
      <c r="I409" t="n">
        <v>0</v>
      </c>
      <c r="J409" t="n">
        <v>0</v>
      </c>
      <c r="K409" t="n">
        <v>0</v>
      </c>
      <c r="L409" t="n">
        <v>0</v>
      </c>
      <c r="M409" t="n">
        <v>0</v>
      </c>
      <c r="N409" t="n">
        <v>0</v>
      </c>
      <c r="O409" t="n">
        <v>0</v>
      </c>
      <c r="P409" t="n">
        <v>0</v>
      </c>
      <c r="Q409" t="n">
        <v>0</v>
      </c>
      <c r="R409" s="2" t="inlineStr"/>
    </row>
    <row r="410" ht="15" customHeight="1">
      <c r="A410" t="inlineStr">
        <is>
          <t>A 28657-2025</t>
        </is>
      </c>
      <c r="B410" s="1" t="n">
        <v>45819.65709490741</v>
      </c>
      <c r="C410" s="1" t="n">
        <v>46013</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41930-2025</t>
        </is>
      </c>
      <c r="B411" s="1" t="n">
        <v>45903.43454861111</v>
      </c>
      <c r="C411" s="1" t="n">
        <v>46013</v>
      </c>
      <c r="D411" t="inlineStr">
        <is>
          <t>JÄMTLANDS LÄN</t>
        </is>
      </c>
      <c r="E411" t="inlineStr">
        <is>
          <t>BERG</t>
        </is>
      </c>
      <c r="F411" t="inlineStr">
        <is>
          <t>Övriga statliga verk och myndigheter</t>
        </is>
      </c>
      <c r="G411" t="n">
        <v>2.4</v>
      </c>
      <c r="H411" t="n">
        <v>0</v>
      </c>
      <c r="I411" t="n">
        <v>0</v>
      </c>
      <c r="J411" t="n">
        <v>0</v>
      </c>
      <c r="K411" t="n">
        <v>0</v>
      </c>
      <c r="L411" t="n">
        <v>0</v>
      </c>
      <c r="M411" t="n">
        <v>0</v>
      </c>
      <c r="N411" t="n">
        <v>0</v>
      </c>
      <c r="O411" t="n">
        <v>0</v>
      </c>
      <c r="P411" t="n">
        <v>0</v>
      </c>
      <c r="Q411" t="n">
        <v>0</v>
      </c>
      <c r="R411" s="2" t="inlineStr"/>
    </row>
    <row r="412" ht="15" customHeight="1">
      <c r="A412" t="inlineStr">
        <is>
          <t>A 29197-2025</t>
        </is>
      </c>
      <c r="B412" s="1" t="n">
        <v>45823.34438657408</v>
      </c>
      <c r="C412" s="1" t="n">
        <v>46013</v>
      </c>
      <c r="D412" t="inlineStr">
        <is>
          <t>JÄMTLANDS LÄN</t>
        </is>
      </c>
      <c r="E412" t="inlineStr">
        <is>
          <t>BERG</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29279-2025</t>
        </is>
      </c>
      <c r="B413" s="1" t="n">
        <v>45824.42381944445</v>
      </c>
      <c r="C413" s="1" t="n">
        <v>46013</v>
      </c>
      <c r="D413" t="inlineStr">
        <is>
          <t>JÄMTLANDS LÄN</t>
        </is>
      </c>
      <c r="E413" t="inlineStr">
        <is>
          <t>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5219-2022</t>
        </is>
      </c>
      <c r="B414" s="1" t="n">
        <v>44594.48569444445</v>
      </c>
      <c r="C414" s="1" t="n">
        <v>46013</v>
      </c>
      <c r="D414" t="inlineStr">
        <is>
          <t>JÄMTLANDS LÄN</t>
        </is>
      </c>
      <c r="E414" t="inlineStr">
        <is>
          <t>BERG</t>
        </is>
      </c>
      <c r="G414" t="n">
        <v>1.9</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46013</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42003-2025</t>
        </is>
      </c>
      <c r="B416" s="1" t="n">
        <v>45903.55403935185</v>
      </c>
      <c r="C416" s="1" t="n">
        <v>46013</v>
      </c>
      <c r="D416" t="inlineStr">
        <is>
          <t>JÄMTLANDS LÄN</t>
        </is>
      </c>
      <c r="E416" t="inlineStr">
        <is>
          <t>BERG</t>
        </is>
      </c>
      <c r="F416" t="inlineStr">
        <is>
          <t>Övriga statliga verk och myndigheter</t>
        </is>
      </c>
      <c r="G416" t="n">
        <v>10.5</v>
      </c>
      <c r="H416" t="n">
        <v>0</v>
      </c>
      <c r="I416" t="n">
        <v>0</v>
      </c>
      <c r="J416" t="n">
        <v>0</v>
      </c>
      <c r="K416" t="n">
        <v>0</v>
      </c>
      <c r="L416" t="n">
        <v>0</v>
      </c>
      <c r="M416" t="n">
        <v>0</v>
      </c>
      <c r="N416" t="n">
        <v>0</v>
      </c>
      <c r="O416" t="n">
        <v>0</v>
      </c>
      <c r="P416" t="n">
        <v>0</v>
      </c>
      <c r="Q416" t="n">
        <v>0</v>
      </c>
      <c r="R416" s="2" t="inlineStr"/>
    </row>
    <row r="417" ht="15" customHeight="1">
      <c r="A417" t="inlineStr">
        <is>
          <t>A 29198-2025</t>
        </is>
      </c>
      <c r="B417" s="1" t="n">
        <v>45823.34451388889</v>
      </c>
      <c r="C417" s="1" t="n">
        <v>46013</v>
      </c>
      <c r="D417" t="inlineStr">
        <is>
          <t>JÄMTLANDS LÄN</t>
        </is>
      </c>
      <c r="E417" t="inlineStr">
        <is>
          <t>BERG</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29199-2025</t>
        </is>
      </c>
      <c r="B418" s="1" t="n">
        <v>45823.34459490741</v>
      </c>
      <c r="C418" s="1" t="n">
        <v>46013</v>
      </c>
      <c r="D418" t="inlineStr">
        <is>
          <t>JÄMTLANDS LÄN</t>
        </is>
      </c>
      <c r="E418" t="inlineStr">
        <is>
          <t>BERG</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41997-2025</t>
        </is>
      </c>
      <c r="B419" s="1" t="n">
        <v>45903.55162037037</v>
      </c>
      <c r="C419" s="1" t="n">
        <v>46013</v>
      </c>
      <c r="D419" t="inlineStr">
        <is>
          <t>JÄMTLANDS LÄN</t>
        </is>
      </c>
      <c r="E419" t="inlineStr">
        <is>
          <t>BERG</t>
        </is>
      </c>
      <c r="F419" t="inlineStr">
        <is>
          <t>Övriga statliga verk och myndigheter</t>
        </is>
      </c>
      <c r="G419" t="n">
        <v>2.2</v>
      </c>
      <c r="H419" t="n">
        <v>0</v>
      </c>
      <c r="I419" t="n">
        <v>0</v>
      </c>
      <c r="J419" t="n">
        <v>0</v>
      </c>
      <c r="K419" t="n">
        <v>0</v>
      </c>
      <c r="L419" t="n">
        <v>0</v>
      </c>
      <c r="M419" t="n">
        <v>0</v>
      </c>
      <c r="N419" t="n">
        <v>0</v>
      </c>
      <c r="O419" t="n">
        <v>0</v>
      </c>
      <c r="P419" t="n">
        <v>0</v>
      </c>
      <c r="Q419" t="n">
        <v>0</v>
      </c>
      <c r="R419" s="2" t="inlineStr"/>
    </row>
    <row r="420" ht="15" customHeight="1">
      <c r="A420" t="inlineStr">
        <is>
          <t>A 18217-2023</t>
        </is>
      </c>
      <c r="B420" s="1" t="n">
        <v>45040</v>
      </c>
      <c r="C420" s="1" t="n">
        <v>46013</v>
      </c>
      <c r="D420" t="inlineStr">
        <is>
          <t>JÄMTLANDS LÄN</t>
        </is>
      </c>
      <c r="E420" t="inlineStr">
        <is>
          <t>BERG</t>
        </is>
      </c>
      <c r="G420" t="n">
        <v>4.5</v>
      </c>
      <c r="H420" t="n">
        <v>0</v>
      </c>
      <c r="I420" t="n">
        <v>0</v>
      </c>
      <c r="J420" t="n">
        <v>0</v>
      </c>
      <c r="K420" t="n">
        <v>0</v>
      </c>
      <c r="L420" t="n">
        <v>0</v>
      </c>
      <c r="M420" t="n">
        <v>0</v>
      </c>
      <c r="N420" t="n">
        <v>0</v>
      </c>
      <c r="O420" t="n">
        <v>0</v>
      </c>
      <c r="P420" t="n">
        <v>0</v>
      </c>
      <c r="Q420" t="n">
        <v>0</v>
      </c>
      <c r="R420" s="2" t="inlineStr"/>
    </row>
    <row r="421" ht="15" customHeight="1">
      <c r="A421" t="inlineStr">
        <is>
          <t>A 18112-2024</t>
        </is>
      </c>
      <c r="B421" s="1" t="n">
        <v>45420.49851851852</v>
      </c>
      <c r="C421" s="1" t="n">
        <v>46013</v>
      </c>
      <c r="D421" t="inlineStr">
        <is>
          <t>JÄMTLANDS LÄN</t>
        </is>
      </c>
      <c r="E421" t="inlineStr">
        <is>
          <t>BERG</t>
        </is>
      </c>
      <c r="F421" t="inlineStr">
        <is>
          <t>Holmen skog AB</t>
        </is>
      </c>
      <c r="G421" t="n">
        <v>16.6</v>
      </c>
      <c r="H421" t="n">
        <v>0</v>
      </c>
      <c r="I421" t="n">
        <v>0</v>
      </c>
      <c r="J421" t="n">
        <v>0</v>
      </c>
      <c r="K421" t="n">
        <v>0</v>
      </c>
      <c r="L421" t="n">
        <v>0</v>
      </c>
      <c r="M421" t="n">
        <v>0</v>
      </c>
      <c r="N421" t="n">
        <v>0</v>
      </c>
      <c r="O421" t="n">
        <v>0</v>
      </c>
      <c r="P421" t="n">
        <v>0</v>
      </c>
      <c r="Q421" t="n">
        <v>0</v>
      </c>
      <c r="R421" s="2" t="inlineStr"/>
    </row>
    <row r="422" ht="15" customHeight="1">
      <c r="A422" t="inlineStr">
        <is>
          <t>A 42415-2025</t>
        </is>
      </c>
      <c r="B422" s="1" t="n">
        <v>45905.39195601852</v>
      </c>
      <c r="C422" s="1" t="n">
        <v>46013</v>
      </c>
      <c r="D422" t="inlineStr">
        <is>
          <t>JÄMTLANDS LÄN</t>
        </is>
      </c>
      <c r="E422" t="inlineStr">
        <is>
          <t>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46013</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3842-2023</t>
        </is>
      </c>
      <c r="B424" s="1" t="n">
        <v>44951</v>
      </c>
      <c r="C424" s="1" t="n">
        <v>46013</v>
      </c>
      <c r="D424" t="inlineStr">
        <is>
          <t>JÄMTLANDS LÄN</t>
        </is>
      </c>
      <c r="E424" t="inlineStr">
        <is>
          <t>BERG</t>
        </is>
      </c>
      <c r="G424" t="n">
        <v>0.3</v>
      </c>
      <c r="H424" t="n">
        <v>0</v>
      </c>
      <c r="I424" t="n">
        <v>0</v>
      </c>
      <c r="J424" t="n">
        <v>0</v>
      </c>
      <c r="K424" t="n">
        <v>0</v>
      </c>
      <c r="L424" t="n">
        <v>0</v>
      </c>
      <c r="M424" t="n">
        <v>0</v>
      </c>
      <c r="N424" t="n">
        <v>0</v>
      </c>
      <c r="O424" t="n">
        <v>0</v>
      </c>
      <c r="P424" t="n">
        <v>0</v>
      </c>
      <c r="Q424" t="n">
        <v>0</v>
      </c>
      <c r="R424" s="2" t="inlineStr"/>
    </row>
    <row r="425" ht="15" customHeight="1">
      <c r="A425" t="inlineStr">
        <is>
          <t>A 30017-2025</t>
        </is>
      </c>
      <c r="B425" s="1" t="n">
        <v>45826.55306712963</v>
      </c>
      <c r="C425" s="1" t="n">
        <v>46013</v>
      </c>
      <c r="D425" t="inlineStr">
        <is>
          <t>JÄMTLANDS LÄN</t>
        </is>
      </c>
      <c r="E425" t="inlineStr">
        <is>
          <t>BERG</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14190-2023</t>
        </is>
      </c>
      <c r="B426" s="1" t="n">
        <v>45009.56106481481</v>
      </c>
      <c r="C426" s="1" t="n">
        <v>46013</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29908-2025</t>
        </is>
      </c>
      <c r="B427" s="1" t="n">
        <v>45826</v>
      </c>
      <c r="C427" s="1" t="n">
        <v>46013</v>
      </c>
      <c r="D427" t="inlineStr">
        <is>
          <t>JÄMTLANDS LÄN</t>
        </is>
      </c>
      <c r="E427" t="inlineStr">
        <is>
          <t>BERG</t>
        </is>
      </c>
      <c r="G427" t="n">
        <v>2.2</v>
      </c>
      <c r="H427" t="n">
        <v>0</v>
      </c>
      <c r="I427" t="n">
        <v>0</v>
      </c>
      <c r="J427" t="n">
        <v>0</v>
      </c>
      <c r="K427" t="n">
        <v>0</v>
      </c>
      <c r="L427" t="n">
        <v>0</v>
      </c>
      <c r="M427" t="n">
        <v>0</v>
      </c>
      <c r="N427" t="n">
        <v>0</v>
      </c>
      <c r="O427" t="n">
        <v>0</v>
      </c>
      <c r="P427" t="n">
        <v>0</v>
      </c>
      <c r="Q427" t="n">
        <v>0</v>
      </c>
      <c r="R427" s="2" t="inlineStr"/>
    </row>
    <row r="428" ht="15" customHeight="1">
      <c r="A428" t="inlineStr">
        <is>
          <t>A 31024-2025</t>
        </is>
      </c>
      <c r="B428" s="1" t="n">
        <v>45832.52571759259</v>
      </c>
      <c r="C428" s="1" t="n">
        <v>46013</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29533-2025</t>
        </is>
      </c>
      <c r="B429" s="1" t="n">
        <v>45825.34466435185</v>
      </c>
      <c r="C429" s="1" t="n">
        <v>46013</v>
      </c>
      <c r="D429" t="inlineStr">
        <is>
          <t>JÄMTLANDS LÄN</t>
        </is>
      </c>
      <c r="E429" t="inlineStr">
        <is>
          <t>BERG</t>
        </is>
      </c>
      <c r="F429" t="inlineStr">
        <is>
          <t>SCA</t>
        </is>
      </c>
      <c r="G429" t="n">
        <v>10</v>
      </c>
      <c r="H429" t="n">
        <v>0</v>
      </c>
      <c r="I429" t="n">
        <v>0</v>
      </c>
      <c r="J429" t="n">
        <v>0</v>
      </c>
      <c r="K429" t="n">
        <v>0</v>
      </c>
      <c r="L429" t="n">
        <v>0</v>
      </c>
      <c r="M429" t="n">
        <v>0</v>
      </c>
      <c r="N429" t="n">
        <v>0</v>
      </c>
      <c r="O429" t="n">
        <v>0</v>
      </c>
      <c r="P429" t="n">
        <v>0</v>
      </c>
      <c r="Q429" t="n">
        <v>0</v>
      </c>
      <c r="R429" s="2" t="inlineStr"/>
    </row>
    <row r="430" ht="15" customHeight="1">
      <c r="A430" t="inlineStr">
        <is>
          <t>A 29538-2025</t>
        </is>
      </c>
      <c r="B430" s="1" t="n">
        <v>45825.34517361111</v>
      </c>
      <c r="C430" s="1" t="n">
        <v>46013</v>
      </c>
      <c r="D430" t="inlineStr">
        <is>
          <t>JÄMTLANDS LÄN</t>
        </is>
      </c>
      <c r="E430" t="inlineStr">
        <is>
          <t>BERG</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46013</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45208-2024</t>
        </is>
      </c>
      <c r="B432" s="1" t="n">
        <v>45575.7077662037</v>
      </c>
      <c r="C432" s="1" t="n">
        <v>46013</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42378-2025</t>
        </is>
      </c>
      <c r="B433" s="1" t="n">
        <v>45905.34423611111</v>
      </c>
      <c r="C433" s="1" t="n">
        <v>46013</v>
      </c>
      <c r="D433" t="inlineStr">
        <is>
          <t>JÄMTLANDS LÄN</t>
        </is>
      </c>
      <c r="E433" t="inlineStr">
        <is>
          <t>BERG</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41634-2024</t>
        </is>
      </c>
      <c r="B434" s="1" t="n">
        <v>45560.61496527777</v>
      </c>
      <c r="C434" s="1" t="n">
        <v>46013</v>
      </c>
      <c r="D434" t="inlineStr">
        <is>
          <t>JÄMTLANDS LÄN</t>
        </is>
      </c>
      <c r="E434" t="inlineStr">
        <is>
          <t>BERG</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42439-2025</t>
        </is>
      </c>
      <c r="B435" s="1" t="n">
        <v>45905.42969907408</v>
      </c>
      <c r="C435" s="1" t="n">
        <v>46013</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42862-2025</t>
        </is>
      </c>
      <c r="B436" s="1" t="n">
        <v>45908.61515046296</v>
      </c>
      <c r="C436" s="1" t="n">
        <v>46013</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592-2021</t>
        </is>
      </c>
      <c r="B437" s="1" t="n">
        <v>44201</v>
      </c>
      <c r="C437" s="1" t="n">
        <v>46013</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30314-2025</t>
        </is>
      </c>
      <c r="B438" s="1" t="n">
        <v>45827.49047453704</v>
      </c>
      <c r="C438" s="1" t="n">
        <v>46013</v>
      </c>
      <c r="D438" t="inlineStr">
        <is>
          <t>JÄMTLANDS LÄN</t>
        </is>
      </c>
      <c r="E438" t="inlineStr">
        <is>
          <t>BERG</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43015-2025</t>
        </is>
      </c>
      <c r="B439" s="1" t="n">
        <v>45909.49278935185</v>
      </c>
      <c r="C439" s="1" t="n">
        <v>46013</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47407-2024</t>
        </is>
      </c>
      <c r="B440" s="1" t="n">
        <v>45587.47828703704</v>
      </c>
      <c r="C440" s="1" t="n">
        <v>46013</v>
      </c>
      <c r="D440" t="inlineStr">
        <is>
          <t>JÄMTLANDS LÄN</t>
        </is>
      </c>
      <c r="E440" t="inlineStr">
        <is>
          <t>BERG</t>
        </is>
      </c>
      <c r="G440" t="n">
        <v>2.7</v>
      </c>
      <c r="H440" t="n">
        <v>0</v>
      </c>
      <c r="I440" t="n">
        <v>0</v>
      </c>
      <c r="J440" t="n">
        <v>0</v>
      </c>
      <c r="K440" t="n">
        <v>0</v>
      </c>
      <c r="L440" t="n">
        <v>0</v>
      </c>
      <c r="M440" t="n">
        <v>0</v>
      </c>
      <c r="N440" t="n">
        <v>0</v>
      </c>
      <c r="O440" t="n">
        <v>0</v>
      </c>
      <c r="P440" t="n">
        <v>0</v>
      </c>
      <c r="Q440" t="n">
        <v>0</v>
      </c>
      <c r="R440" s="2" t="inlineStr"/>
    </row>
    <row r="441" ht="15" customHeight="1">
      <c r="A441" t="inlineStr">
        <is>
          <t>A 47083-2024</t>
        </is>
      </c>
      <c r="B441" s="1" t="n">
        <v>45586.50625</v>
      </c>
      <c r="C441" s="1" t="n">
        <v>46013</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47099-2024</t>
        </is>
      </c>
      <c r="B442" s="1" t="n">
        <v>45586.53743055555</v>
      </c>
      <c r="C442" s="1" t="n">
        <v>46013</v>
      </c>
      <c r="D442" t="inlineStr">
        <is>
          <t>JÄMTLANDS LÄN</t>
        </is>
      </c>
      <c r="E442" t="inlineStr">
        <is>
          <t>BERG</t>
        </is>
      </c>
      <c r="G442" t="n">
        <v>5.9</v>
      </c>
      <c r="H442" t="n">
        <v>0</v>
      </c>
      <c r="I442" t="n">
        <v>0</v>
      </c>
      <c r="J442" t="n">
        <v>0</v>
      </c>
      <c r="K442" t="n">
        <v>0</v>
      </c>
      <c r="L442" t="n">
        <v>0</v>
      </c>
      <c r="M442" t="n">
        <v>0</v>
      </c>
      <c r="N442" t="n">
        <v>0</v>
      </c>
      <c r="O442" t="n">
        <v>0</v>
      </c>
      <c r="P442" t="n">
        <v>0</v>
      </c>
      <c r="Q442" t="n">
        <v>0</v>
      </c>
      <c r="R442" s="2" t="inlineStr"/>
    </row>
    <row r="443" ht="15" customHeight="1">
      <c r="A443" t="inlineStr">
        <is>
          <t>A 43442-2025</t>
        </is>
      </c>
      <c r="B443" s="1" t="n">
        <v>45911.44244212963</v>
      </c>
      <c r="C443" s="1" t="n">
        <v>46013</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41264-2025</t>
        </is>
      </c>
      <c r="B444" s="1" t="n">
        <v>45898</v>
      </c>
      <c r="C444" s="1" t="n">
        <v>46013</v>
      </c>
      <c r="D444" t="inlineStr">
        <is>
          <t>JÄMTLANDS LÄN</t>
        </is>
      </c>
      <c r="E444" t="inlineStr">
        <is>
          <t>BERG</t>
        </is>
      </c>
      <c r="G444" t="n">
        <v>17.4</v>
      </c>
      <c r="H444" t="n">
        <v>0</v>
      </c>
      <c r="I444" t="n">
        <v>0</v>
      </c>
      <c r="J444" t="n">
        <v>0</v>
      </c>
      <c r="K444" t="n">
        <v>0</v>
      </c>
      <c r="L444" t="n">
        <v>0</v>
      </c>
      <c r="M444" t="n">
        <v>0</v>
      </c>
      <c r="N444" t="n">
        <v>0</v>
      </c>
      <c r="O444" t="n">
        <v>0</v>
      </c>
      <c r="P444" t="n">
        <v>0</v>
      </c>
      <c r="Q444" t="n">
        <v>0</v>
      </c>
      <c r="R444" s="2" t="inlineStr"/>
    </row>
    <row r="445" ht="15" customHeight="1">
      <c r="A445" t="inlineStr">
        <is>
          <t>A 43456-2025</t>
        </is>
      </c>
      <c r="B445" s="1" t="n">
        <v>45911.46148148148</v>
      </c>
      <c r="C445" s="1" t="n">
        <v>46013</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31015-2025</t>
        </is>
      </c>
      <c r="B446" s="1" t="n">
        <v>45832.51086805556</v>
      </c>
      <c r="C446" s="1" t="n">
        <v>46013</v>
      </c>
      <c r="D446" t="inlineStr">
        <is>
          <t>JÄMTLANDS LÄN</t>
        </is>
      </c>
      <c r="E446" t="inlineStr">
        <is>
          <t>BERG</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31017-2025</t>
        </is>
      </c>
      <c r="B447" s="1" t="n">
        <v>45832.51111111111</v>
      </c>
      <c r="C447" s="1" t="n">
        <v>46013</v>
      </c>
      <c r="D447" t="inlineStr">
        <is>
          <t>JÄMTLANDS LÄN</t>
        </is>
      </c>
      <c r="E447" t="inlineStr">
        <is>
          <t>BERG</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31136-2025</t>
        </is>
      </c>
      <c r="B448" s="1" t="n">
        <v>45832.63599537037</v>
      </c>
      <c r="C448" s="1" t="n">
        <v>46013</v>
      </c>
      <c r="D448" t="inlineStr">
        <is>
          <t>JÄMTLANDS LÄN</t>
        </is>
      </c>
      <c r="E448" t="inlineStr">
        <is>
          <t>BERG</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31070-2025</t>
        </is>
      </c>
      <c r="B449" s="1" t="n">
        <v>45832.57887731482</v>
      </c>
      <c r="C449" s="1" t="n">
        <v>46013</v>
      </c>
      <c r="D449" t="inlineStr">
        <is>
          <t>JÄMTLANDS LÄN</t>
        </is>
      </c>
      <c r="E449" t="inlineStr">
        <is>
          <t>BERG</t>
        </is>
      </c>
      <c r="G449" t="n">
        <v>3.7</v>
      </c>
      <c r="H449" t="n">
        <v>0</v>
      </c>
      <c r="I449" t="n">
        <v>0</v>
      </c>
      <c r="J449" t="n">
        <v>0</v>
      </c>
      <c r="K449" t="n">
        <v>0</v>
      </c>
      <c r="L449" t="n">
        <v>0</v>
      </c>
      <c r="M449" t="n">
        <v>0</v>
      </c>
      <c r="N449" t="n">
        <v>0</v>
      </c>
      <c r="O449" t="n">
        <v>0</v>
      </c>
      <c r="P449" t="n">
        <v>0</v>
      </c>
      <c r="Q449" t="n">
        <v>0</v>
      </c>
      <c r="R449" s="2" t="inlineStr"/>
    </row>
    <row r="450" ht="15" customHeight="1">
      <c r="A450" t="inlineStr">
        <is>
          <t>A 31090-2025</t>
        </is>
      </c>
      <c r="B450" s="1" t="n">
        <v>45832.59436342592</v>
      </c>
      <c r="C450" s="1" t="n">
        <v>46013</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43443-2025</t>
        </is>
      </c>
      <c r="B451" s="1" t="n">
        <v>45911.44350694444</v>
      </c>
      <c r="C451" s="1" t="n">
        <v>46013</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43364-2025</t>
        </is>
      </c>
      <c r="B452" s="1" t="n">
        <v>45911.34483796296</v>
      </c>
      <c r="C452" s="1" t="n">
        <v>46013</v>
      </c>
      <c r="D452" t="inlineStr">
        <is>
          <t>JÄMTLANDS LÄN</t>
        </is>
      </c>
      <c r="E452" t="inlineStr">
        <is>
          <t>BERG</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43567-2025</t>
        </is>
      </c>
      <c r="B453" s="1" t="n">
        <v>45911.6327662037</v>
      </c>
      <c r="C453" s="1" t="n">
        <v>46013</v>
      </c>
      <c r="D453" t="inlineStr">
        <is>
          <t>JÄMTLANDS LÄN</t>
        </is>
      </c>
      <c r="E453" t="inlineStr">
        <is>
          <t>BERG</t>
        </is>
      </c>
      <c r="G453" t="n">
        <v>7.7</v>
      </c>
      <c r="H453" t="n">
        <v>0</v>
      </c>
      <c r="I453" t="n">
        <v>0</v>
      </c>
      <c r="J453" t="n">
        <v>0</v>
      </c>
      <c r="K453" t="n">
        <v>0</v>
      </c>
      <c r="L453" t="n">
        <v>0</v>
      </c>
      <c r="M453" t="n">
        <v>0</v>
      </c>
      <c r="N453" t="n">
        <v>0</v>
      </c>
      <c r="O453" t="n">
        <v>0</v>
      </c>
      <c r="P453" t="n">
        <v>0</v>
      </c>
      <c r="Q453" t="n">
        <v>0</v>
      </c>
      <c r="R453" s="2" t="inlineStr"/>
    </row>
    <row r="454" ht="15" customHeight="1">
      <c r="A454" t="inlineStr">
        <is>
          <t>A 43560-2025</t>
        </is>
      </c>
      <c r="B454" s="1" t="n">
        <v>45911.62758101852</v>
      </c>
      <c r="C454" s="1" t="n">
        <v>46013</v>
      </c>
      <c r="D454" t="inlineStr">
        <is>
          <t>JÄMTLANDS LÄN</t>
        </is>
      </c>
      <c r="E454" t="inlineStr">
        <is>
          <t>BERG</t>
        </is>
      </c>
      <c r="G454" t="n">
        <v>10</v>
      </c>
      <c r="H454" t="n">
        <v>0</v>
      </c>
      <c r="I454" t="n">
        <v>0</v>
      </c>
      <c r="J454" t="n">
        <v>0</v>
      </c>
      <c r="K454" t="n">
        <v>0</v>
      </c>
      <c r="L454" t="n">
        <v>0</v>
      </c>
      <c r="M454" t="n">
        <v>0</v>
      </c>
      <c r="N454" t="n">
        <v>0</v>
      </c>
      <c r="O454" t="n">
        <v>0</v>
      </c>
      <c r="P454" t="n">
        <v>0</v>
      </c>
      <c r="Q454" t="n">
        <v>0</v>
      </c>
      <c r="R454" s="2" t="inlineStr"/>
    </row>
    <row r="455" ht="15" customHeight="1">
      <c r="A455" t="inlineStr">
        <is>
          <t>A 43441-2025</t>
        </is>
      </c>
      <c r="B455" s="1" t="n">
        <v>45911.44184027778</v>
      </c>
      <c r="C455" s="1" t="n">
        <v>46013</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44051-2025</t>
        </is>
      </c>
      <c r="B456" s="1" t="n">
        <v>45915.51079861111</v>
      </c>
      <c r="C456" s="1" t="n">
        <v>46013</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59634-2022</t>
        </is>
      </c>
      <c r="B457" s="1" t="n">
        <v>44907.9645949074</v>
      </c>
      <c r="C457" s="1" t="n">
        <v>46013</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43968-2025</t>
        </is>
      </c>
      <c r="B458" s="1" t="n">
        <v>45915</v>
      </c>
      <c r="C458" s="1" t="n">
        <v>46013</v>
      </c>
      <c r="D458" t="inlineStr">
        <is>
          <t>JÄMTLANDS LÄN</t>
        </is>
      </c>
      <c r="E458" t="inlineStr">
        <is>
          <t>BERG</t>
        </is>
      </c>
      <c r="G458" t="n">
        <v>2</v>
      </c>
      <c r="H458" t="n">
        <v>0</v>
      </c>
      <c r="I458" t="n">
        <v>0</v>
      </c>
      <c r="J458" t="n">
        <v>0</v>
      </c>
      <c r="K458" t="n">
        <v>0</v>
      </c>
      <c r="L458" t="n">
        <v>0</v>
      </c>
      <c r="M458" t="n">
        <v>0</v>
      </c>
      <c r="N458" t="n">
        <v>0</v>
      </c>
      <c r="O458" t="n">
        <v>0</v>
      </c>
      <c r="P458" t="n">
        <v>0</v>
      </c>
      <c r="Q458" t="n">
        <v>0</v>
      </c>
      <c r="R458" s="2" t="inlineStr"/>
    </row>
    <row r="459" ht="15" customHeight="1">
      <c r="A459" t="inlineStr">
        <is>
          <t>A 44302-2025</t>
        </is>
      </c>
      <c r="B459" s="1" t="n">
        <v>45915</v>
      </c>
      <c r="C459" s="1" t="n">
        <v>46013</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44303-2025</t>
        </is>
      </c>
      <c r="B460" s="1" t="n">
        <v>45915</v>
      </c>
      <c r="C460" s="1" t="n">
        <v>46013</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9482-2024</t>
        </is>
      </c>
      <c r="B461" s="1" t="n">
        <v>45359.57847222222</v>
      </c>
      <c r="C461" s="1" t="n">
        <v>46013</v>
      </c>
      <c r="D461" t="inlineStr">
        <is>
          <t>JÄMTLANDS LÄN</t>
        </is>
      </c>
      <c r="E461" t="inlineStr">
        <is>
          <t>BERG</t>
        </is>
      </c>
      <c r="G461" t="n">
        <v>3</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46013</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26959-2022</t>
        </is>
      </c>
      <c r="B463" s="1" t="n">
        <v>44740.66048611111</v>
      </c>
      <c r="C463" s="1" t="n">
        <v>46013</v>
      </c>
      <c r="D463" t="inlineStr">
        <is>
          <t>JÄMTLANDS LÄN</t>
        </is>
      </c>
      <c r="E463" t="inlineStr">
        <is>
          <t>BERG</t>
        </is>
      </c>
      <c r="G463" t="n">
        <v>2.8</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46013</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3173-2025</t>
        </is>
      </c>
      <c r="B465" s="1" t="n">
        <v>45679.38309027778</v>
      </c>
      <c r="C465" s="1" t="n">
        <v>46013</v>
      </c>
      <c r="D465" t="inlineStr">
        <is>
          <t>JÄMTLANDS LÄN</t>
        </is>
      </c>
      <c r="E465" t="inlineStr">
        <is>
          <t>BERG</t>
        </is>
      </c>
      <c r="G465" t="n">
        <v>8.9</v>
      </c>
      <c r="H465" t="n">
        <v>0</v>
      </c>
      <c r="I465" t="n">
        <v>0</v>
      </c>
      <c r="J465" t="n">
        <v>0</v>
      </c>
      <c r="K465" t="n">
        <v>0</v>
      </c>
      <c r="L465" t="n">
        <v>0</v>
      </c>
      <c r="M465" t="n">
        <v>0</v>
      </c>
      <c r="N465" t="n">
        <v>0</v>
      </c>
      <c r="O465" t="n">
        <v>0</v>
      </c>
      <c r="P465" t="n">
        <v>0</v>
      </c>
      <c r="Q465" t="n">
        <v>0</v>
      </c>
      <c r="R465" s="2" t="inlineStr"/>
    </row>
    <row r="466" ht="15" customHeight="1">
      <c r="A466" t="inlineStr">
        <is>
          <t>A 44997-2021</t>
        </is>
      </c>
      <c r="B466" s="1" t="n">
        <v>44438</v>
      </c>
      <c r="C466" s="1" t="n">
        <v>46013</v>
      </c>
      <c r="D466" t="inlineStr">
        <is>
          <t>JÄMTLANDS LÄN</t>
        </is>
      </c>
      <c r="E466" t="inlineStr">
        <is>
          <t>BERG</t>
        </is>
      </c>
      <c r="G466" t="n">
        <v>3.8</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46013</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31820-2025</t>
        </is>
      </c>
      <c r="B468" s="1" t="n">
        <v>45834.57930555556</v>
      </c>
      <c r="C468" s="1" t="n">
        <v>46013</v>
      </c>
      <c r="D468" t="inlineStr">
        <is>
          <t>JÄMTLANDS LÄN</t>
        </is>
      </c>
      <c r="E468" t="inlineStr">
        <is>
          <t>BERG</t>
        </is>
      </c>
      <c r="G468" t="n">
        <v>13.9</v>
      </c>
      <c r="H468" t="n">
        <v>0</v>
      </c>
      <c r="I468" t="n">
        <v>0</v>
      </c>
      <c r="J468" t="n">
        <v>0</v>
      </c>
      <c r="K468" t="n">
        <v>0</v>
      </c>
      <c r="L468" t="n">
        <v>0</v>
      </c>
      <c r="M468" t="n">
        <v>0</v>
      </c>
      <c r="N468" t="n">
        <v>0</v>
      </c>
      <c r="O468" t="n">
        <v>0</v>
      </c>
      <c r="P468" t="n">
        <v>0</v>
      </c>
      <c r="Q468" t="n">
        <v>0</v>
      </c>
      <c r="R468" s="2" t="inlineStr"/>
    </row>
    <row r="469" ht="15" customHeight="1">
      <c r="A469" t="inlineStr">
        <is>
          <t>A 19429-2025</t>
        </is>
      </c>
      <c r="B469" s="1" t="n">
        <v>45769.8025462963</v>
      </c>
      <c r="C469" s="1" t="n">
        <v>46013</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44572-2025</t>
        </is>
      </c>
      <c r="B470" s="1" t="n">
        <v>45917</v>
      </c>
      <c r="C470" s="1" t="n">
        <v>46013</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37589-2021</t>
        </is>
      </c>
      <c r="B471" s="1" t="n">
        <v>44399</v>
      </c>
      <c r="C471" s="1" t="n">
        <v>46013</v>
      </c>
      <c r="D471" t="inlineStr">
        <is>
          <t>JÄMTLANDS LÄN</t>
        </is>
      </c>
      <c r="E471" t="inlineStr">
        <is>
          <t>BERG</t>
        </is>
      </c>
      <c r="G471" t="n">
        <v>8.6</v>
      </c>
      <c r="H471" t="n">
        <v>0</v>
      </c>
      <c r="I471" t="n">
        <v>0</v>
      </c>
      <c r="J471" t="n">
        <v>0</v>
      </c>
      <c r="K471" t="n">
        <v>0</v>
      </c>
      <c r="L471" t="n">
        <v>0</v>
      </c>
      <c r="M471" t="n">
        <v>0</v>
      </c>
      <c r="N471" t="n">
        <v>0</v>
      </c>
      <c r="O471" t="n">
        <v>0</v>
      </c>
      <c r="P471" t="n">
        <v>0</v>
      </c>
      <c r="Q471" t="n">
        <v>0</v>
      </c>
      <c r="R471" s="2" t="inlineStr"/>
    </row>
    <row r="472" ht="15" customHeight="1">
      <c r="A472" t="inlineStr">
        <is>
          <t>A 44811-2025</t>
        </is>
      </c>
      <c r="B472" s="1" t="n">
        <v>45918.37195601852</v>
      </c>
      <c r="C472" s="1" t="n">
        <v>46013</v>
      </c>
      <c r="D472" t="inlineStr">
        <is>
          <t>JÄMTLANDS LÄN</t>
        </is>
      </c>
      <c r="E472" t="inlineStr">
        <is>
          <t>BERG</t>
        </is>
      </c>
      <c r="G472" t="n">
        <v>1.4</v>
      </c>
      <c r="H472" t="n">
        <v>0</v>
      </c>
      <c r="I472" t="n">
        <v>0</v>
      </c>
      <c r="J472" t="n">
        <v>0</v>
      </c>
      <c r="K472" t="n">
        <v>0</v>
      </c>
      <c r="L472" t="n">
        <v>0</v>
      </c>
      <c r="M472" t="n">
        <v>0</v>
      </c>
      <c r="N472" t="n">
        <v>0</v>
      </c>
      <c r="O472" t="n">
        <v>0</v>
      </c>
      <c r="P472" t="n">
        <v>0</v>
      </c>
      <c r="Q472" t="n">
        <v>0</v>
      </c>
      <c r="R472" s="2" t="inlineStr"/>
    </row>
    <row r="473" ht="15" customHeight="1">
      <c r="A473" t="inlineStr">
        <is>
          <t>A 32160-2025</t>
        </is>
      </c>
      <c r="B473" s="1" t="n">
        <v>45835.54142361111</v>
      </c>
      <c r="C473" s="1" t="n">
        <v>46013</v>
      </c>
      <c r="D473" t="inlineStr">
        <is>
          <t>JÄMTLANDS LÄN</t>
        </is>
      </c>
      <c r="E473" t="inlineStr">
        <is>
          <t>BERG</t>
        </is>
      </c>
      <c r="G473" t="n">
        <v>10.3</v>
      </c>
      <c r="H473" t="n">
        <v>0</v>
      </c>
      <c r="I473" t="n">
        <v>0</v>
      </c>
      <c r="J473" t="n">
        <v>0</v>
      </c>
      <c r="K473" t="n">
        <v>0</v>
      </c>
      <c r="L473" t="n">
        <v>0</v>
      </c>
      <c r="M473" t="n">
        <v>0</v>
      </c>
      <c r="N473" t="n">
        <v>0</v>
      </c>
      <c r="O473" t="n">
        <v>0</v>
      </c>
      <c r="P473" t="n">
        <v>0</v>
      </c>
      <c r="Q473" t="n">
        <v>0</v>
      </c>
      <c r="R473" s="2" t="inlineStr"/>
    </row>
    <row r="474" ht="15" customHeight="1">
      <c r="A474" t="inlineStr">
        <is>
          <t>A 44697-2025</t>
        </is>
      </c>
      <c r="B474" s="1" t="n">
        <v>45917.59888888889</v>
      </c>
      <c r="C474" s="1" t="n">
        <v>46013</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62360-2023</t>
        </is>
      </c>
      <c r="B475" s="1" t="n">
        <v>45267</v>
      </c>
      <c r="C475" s="1" t="n">
        <v>46013</v>
      </c>
      <c r="D475" t="inlineStr">
        <is>
          <t>JÄMTLANDS LÄN</t>
        </is>
      </c>
      <c r="E475" t="inlineStr">
        <is>
          <t>BERG</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45570-2025</t>
        </is>
      </c>
      <c r="B476" s="1" t="n">
        <v>45922.65715277778</v>
      </c>
      <c r="C476" s="1" t="n">
        <v>46013</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45129-2025</t>
        </is>
      </c>
      <c r="B477" s="1" t="n">
        <v>45919.43584490741</v>
      </c>
      <c r="C477" s="1" t="n">
        <v>46013</v>
      </c>
      <c r="D477" t="inlineStr">
        <is>
          <t>JÄMTLANDS LÄN</t>
        </is>
      </c>
      <c r="E477" t="inlineStr">
        <is>
          <t>BERG</t>
        </is>
      </c>
      <c r="F477" t="inlineStr">
        <is>
          <t>Övriga Aktiebolag</t>
        </is>
      </c>
      <c r="G477" t="n">
        <v>3.3</v>
      </c>
      <c r="H477" t="n">
        <v>0</v>
      </c>
      <c r="I477" t="n">
        <v>0</v>
      </c>
      <c r="J477" t="n">
        <v>0</v>
      </c>
      <c r="K477" t="n">
        <v>0</v>
      </c>
      <c r="L477" t="n">
        <v>0</v>
      </c>
      <c r="M477" t="n">
        <v>0</v>
      </c>
      <c r="N477" t="n">
        <v>0</v>
      </c>
      <c r="O477" t="n">
        <v>0</v>
      </c>
      <c r="P477" t="n">
        <v>0</v>
      </c>
      <c r="Q477" t="n">
        <v>0</v>
      </c>
      <c r="R477" s="2" t="inlineStr"/>
    </row>
    <row r="478" ht="15" customHeight="1">
      <c r="A478" t="inlineStr">
        <is>
          <t>A 32919-2025</t>
        </is>
      </c>
      <c r="B478" s="1" t="n">
        <v>45839.64721064815</v>
      </c>
      <c r="C478" s="1" t="n">
        <v>46013</v>
      </c>
      <c r="D478" t="inlineStr">
        <is>
          <t>JÄMTLANDS LÄN</t>
        </is>
      </c>
      <c r="E478" t="inlineStr">
        <is>
          <t>BERG</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46013</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45150-2025</t>
        </is>
      </c>
      <c r="B480" s="1" t="n">
        <v>45919.47131944444</v>
      </c>
      <c r="C480" s="1" t="n">
        <v>46013</v>
      </c>
      <c r="D480" t="inlineStr">
        <is>
          <t>JÄMTLANDS LÄN</t>
        </is>
      </c>
      <c r="E480" t="inlineStr">
        <is>
          <t>BERG</t>
        </is>
      </c>
      <c r="F480" t="inlineStr">
        <is>
          <t>Övriga Aktiebolag</t>
        </is>
      </c>
      <c r="G480" t="n">
        <v>9.6</v>
      </c>
      <c r="H480" t="n">
        <v>0</v>
      </c>
      <c r="I480" t="n">
        <v>0</v>
      </c>
      <c r="J480" t="n">
        <v>0</v>
      </c>
      <c r="K480" t="n">
        <v>0</v>
      </c>
      <c r="L480" t="n">
        <v>0</v>
      </c>
      <c r="M480" t="n">
        <v>0</v>
      </c>
      <c r="N480" t="n">
        <v>0</v>
      </c>
      <c r="O480" t="n">
        <v>0</v>
      </c>
      <c r="P480" t="n">
        <v>0</v>
      </c>
      <c r="Q480" t="n">
        <v>0</v>
      </c>
      <c r="R480" s="2" t="inlineStr"/>
    </row>
    <row r="481" ht="15" customHeight="1">
      <c r="A481" t="inlineStr">
        <is>
          <t>A 45254-2025</t>
        </is>
      </c>
      <c r="B481" s="1" t="n">
        <v>45919.61523148148</v>
      </c>
      <c r="C481" s="1" t="n">
        <v>46013</v>
      </c>
      <c r="D481" t="inlineStr">
        <is>
          <t>JÄMTLANDS LÄN</t>
        </is>
      </c>
      <c r="E481" t="inlineStr">
        <is>
          <t>BERG</t>
        </is>
      </c>
      <c r="G481" t="n">
        <v>0.9</v>
      </c>
      <c r="H481" t="n">
        <v>0</v>
      </c>
      <c r="I481" t="n">
        <v>0</v>
      </c>
      <c r="J481" t="n">
        <v>0</v>
      </c>
      <c r="K481" t="n">
        <v>0</v>
      </c>
      <c r="L481" t="n">
        <v>0</v>
      </c>
      <c r="M481" t="n">
        <v>0</v>
      </c>
      <c r="N481" t="n">
        <v>0</v>
      </c>
      <c r="O481" t="n">
        <v>0</v>
      </c>
      <c r="P481" t="n">
        <v>0</v>
      </c>
      <c r="Q481" t="n">
        <v>0</v>
      </c>
      <c r="R481" s="2" t="inlineStr"/>
    </row>
    <row r="482" ht="15" customHeight="1">
      <c r="A482" t="inlineStr">
        <is>
          <t>A 18685-2024</t>
        </is>
      </c>
      <c r="B482" s="1" t="n">
        <v>45426.38322916667</v>
      </c>
      <c r="C482" s="1" t="n">
        <v>46013</v>
      </c>
      <c r="D482" t="inlineStr">
        <is>
          <t>JÄMTLANDS LÄN</t>
        </is>
      </c>
      <c r="E482" t="inlineStr">
        <is>
          <t>BERG</t>
        </is>
      </c>
      <c r="G482" t="n">
        <v>5.1</v>
      </c>
      <c r="H482" t="n">
        <v>0</v>
      </c>
      <c r="I482" t="n">
        <v>0</v>
      </c>
      <c r="J482" t="n">
        <v>0</v>
      </c>
      <c r="K482" t="n">
        <v>0</v>
      </c>
      <c r="L482" t="n">
        <v>0</v>
      </c>
      <c r="M482" t="n">
        <v>0</v>
      </c>
      <c r="N482" t="n">
        <v>0</v>
      </c>
      <c r="O482" t="n">
        <v>0</v>
      </c>
      <c r="P482" t="n">
        <v>0</v>
      </c>
      <c r="Q482" t="n">
        <v>0</v>
      </c>
      <c r="R482" s="2" t="inlineStr"/>
    </row>
    <row r="483" ht="15" customHeight="1">
      <c r="A483" t="inlineStr">
        <is>
          <t>A 45249-2025</t>
        </is>
      </c>
      <c r="B483" s="1" t="n">
        <v>45919.61225694444</v>
      </c>
      <c r="C483" s="1" t="n">
        <v>46013</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45109-2025</t>
        </is>
      </c>
      <c r="B484" s="1" t="n">
        <v>45919.41850694444</v>
      </c>
      <c r="C484" s="1" t="n">
        <v>46013</v>
      </c>
      <c r="D484" t="inlineStr">
        <is>
          <t>JÄMTLANDS LÄN</t>
        </is>
      </c>
      <c r="E484" t="inlineStr">
        <is>
          <t>BERG</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45568-2025</t>
        </is>
      </c>
      <c r="B485" s="1" t="n">
        <v>45922.65672453704</v>
      </c>
      <c r="C485" s="1" t="n">
        <v>46013</v>
      </c>
      <c r="D485" t="inlineStr">
        <is>
          <t>JÄMTLANDS LÄN</t>
        </is>
      </c>
      <c r="E485" t="inlineStr">
        <is>
          <t>BERG</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11704-2023</t>
        </is>
      </c>
      <c r="B486" s="1" t="n">
        <v>44994.54274305556</v>
      </c>
      <c r="C486" s="1" t="n">
        <v>46013</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46013</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28403-2025</t>
        </is>
      </c>
      <c r="B488" s="1" t="n">
        <v>45819</v>
      </c>
      <c r="C488" s="1" t="n">
        <v>46013</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45459-2025</t>
        </is>
      </c>
      <c r="B489" s="1" t="n">
        <v>45922.49230324074</v>
      </c>
      <c r="C489" s="1" t="n">
        <v>46013</v>
      </c>
      <c r="D489" t="inlineStr">
        <is>
          <t>JÄMTLANDS LÄN</t>
        </is>
      </c>
      <c r="E489" t="inlineStr">
        <is>
          <t>BERG</t>
        </is>
      </c>
      <c r="F489" t="inlineStr">
        <is>
          <t>Kyrkan</t>
        </is>
      </c>
      <c r="G489" t="n">
        <v>8</v>
      </c>
      <c r="H489" t="n">
        <v>0</v>
      </c>
      <c r="I489" t="n">
        <v>0</v>
      </c>
      <c r="J489" t="n">
        <v>0</v>
      </c>
      <c r="K489" t="n">
        <v>0</v>
      </c>
      <c r="L489" t="n">
        <v>0</v>
      </c>
      <c r="M489" t="n">
        <v>0</v>
      </c>
      <c r="N489" t="n">
        <v>0</v>
      </c>
      <c r="O489" t="n">
        <v>0</v>
      </c>
      <c r="P489" t="n">
        <v>0</v>
      </c>
      <c r="Q489" t="n">
        <v>0</v>
      </c>
      <c r="R489" s="2" t="inlineStr"/>
    </row>
    <row r="490" ht="15" customHeight="1">
      <c r="A490" t="inlineStr">
        <is>
          <t>A 32713-2025</t>
        </is>
      </c>
      <c r="B490" s="1" t="n">
        <v>45839.36935185185</v>
      </c>
      <c r="C490" s="1" t="n">
        <v>46013</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45171-2025</t>
        </is>
      </c>
      <c r="B491" s="1" t="n">
        <v>45919.50256944444</v>
      </c>
      <c r="C491" s="1" t="n">
        <v>46013</v>
      </c>
      <c r="D491" t="inlineStr">
        <is>
          <t>JÄMTLANDS LÄN</t>
        </is>
      </c>
      <c r="E491" t="inlineStr">
        <is>
          <t>BERG</t>
        </is>
      </c>
      <c r="F491" t="inlineStr">
        <is>
          <t>Övriga Aktiebolag</t>
        </is>
      </c>
      <c r="G491" t="n">
        <v>10.7</v>
      </c>
      <c r="H491" t="n">
        <v>0</v>
      </c>
      <c r="I491" t="n">
        <v>0</v>
      </c>
      <c r="J491" t="n">
        <v>0</v>
      </c>
      <c r="K491" t="n">
        <v>0</v>
      </c>
      <c r="L491" t="n">
        <v>0</v>
      </c>
      <c r="M491" t="n">
        <v>0</v>
      </c>
      <c r="N491" t="n">
        <v>0</v>
      </c>
      <c r="O491" t="n">
        <v>0</v>
      </c>
      <c r="P491" t="n">
        <v>0</v>
      </c>
      <c r="Q491" t="n">
        <v>0</v>
      </c>
      <c r="R491" s="2" t="inlineStr"/>
    </row>
    <row r="492" ht="15" customHeight="1">
      <c r="A492" t="inlineStr">
        <is>
          <t>A 33753-2025</t>
        </is>
      </c>
      <c r="B492" s="1" t="n">
        <v>45842.37199074074</v>
      </c>
      <c r="C492" s="1" t="n">
        <v>46013</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45640-2025</t>
        </is>
      </c>
      <c r="B493" s="1" t="n">
        <v>45922.961875</v>
      </c>
      <c r="C493" s="1" t="n">
        <v>46013</v>
      </c>
      <c r="D493" t="inlineStr">
        <is>
          <t>JÄMTLANDS LÄN</t>
        </is>
      </c>
      <c r="E493" t="inlineStr">
        <is>
          <t>BERG</t>
        </is>
      </c>
      <c r="G493" t="n">
        <v>2.3</v>
      </c>
      <c r="H493" t="n">
        <v>0</v>
      </c>
      <c r="I493" t="n">
        <v>0</v>
      </c>
      <c r="J493" t="n">
        <v>0</v>
      </c>
      <c r="K493" t="n">
        <v>0</v>
      </c>
      <c r="L493" t="n">
        <v>0</v>
      </c>
      <c r="M493" t="n">
        <v>0</v>
      </c>
      <c r="N493" t="n">
        <v>0</v>
      </c>
      <c r="O493" t="n">
        <v>0</v>
      </c>
      <c r="P493" t="n">
        <v>0</v>
      </c>
      <c r="Q493" t="n">
        <v>0</v>
      </c>
      <c r="R493" s="2" t="inlineStr"/>
    </row>
    <row r="494" ht="15" customHeight="1">
      <c r="A494" t="inlineStr">
        <is>
          <t>A 33748-2025</t>
        </is>
      </c>
      <c r="B494" s="1" t="n">
        <v>45842.35685185185</v>
      </c>
      <c r="C494" s="1" t="n">
        <v>46013</v>
      </c>
      <c r="D494" t="inlineStr">
        <is>
          <t>JÄMTLANDS LÄN</t>
        </is>
      </c>
      <c r="E494" t="inlineStr">
        <is>
          <t>BERG</t>
        </is>
      </c>
      <c r="G494" t="n">
        <v>2.1</v>
      </c>
      <c r="H494" t="n">
        <v>0</v>
      </c>
      <c r="I494" t="n">
        <v>0</v>
      </c>
      <c r="J494" t="n">
        <v>0</v>
      </c>
      <c r="K494" t="n">
        <v>0</v>
      </c>
      <c r="L494" t="n">
        <v>0</v>
      </c>
      <c r="M494" t="n">
        <v>0</v>
      </c>
      <c r="N494" t="n">
        <v>0</v>
      </c>
      <c r="O494" t="n">
        <v>0</v>
      </c>
      <c r="P494" t="n">
        <v>0</v>
      </c>
      <c r="Q494" t="n">
        <v>0</v>
      </c>
      <c r="R494" s="2" t="inlineStr"/>
    </row>
    <row r="495" ht="15" customHeight="1">
      <c r="A495" t="inlineStr">
        <is>
          <t>A 45912-2025</t>
        </is>
      </c>
      <c r="B495" s="1" t="n">
        <v>45923</v>
      </c>
      <c r="C495" s="1" t="n">
        <v>46013</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45657-2025</t>
        </is>
      </c>
      <c r="B496" s="1" t="n">
        <v>45923.34453703704</v>
      </c>
      <c r="C496" s="1" t="n">
        <v>46013</v>
      </c>
      <c r="D496" t="inlineStr">
        <is>
          <t>JÄMTLANDS LÄN</t>
        </is>
      </c>
      <c r="E496" t="inlineStr">
        <is>
          <t>BERG</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12611-2025</t>
        </is>
      </c>
      <c r="B497" s="1" t="n">
        <v>45733.33921296296</v>
      </c>
      <c r="C497" s="1" t="n">
        <v>46013</v>
      </c>
      <c r="D497" t="inlineStr">
        <is>
          <t>JÄMTLANDS LÄN</t>
        </is>
      </c>
      <c r="E497" t="inlineStr">
        <is>
          <t>BERG</t>
        </is>
      </c>
      <c r="G497" t="n">
        <v>7.7</v>
      </c>
      <c r="H497" t="n">
        <v>0</v>
      </c>
      <c r="I497" t="n">
        <v>0</v>
      </c>
      <c r="J497" t="n">
        <v>0</v>
      </c>
      <c r="K497" t="n">
        <v>0</v>
      </c>
      <c r="L497" t="n">
        <v>0</v>
      </c>
      <c r="M497" t="n">
        <v>0</v>
      </c>
      <c r="N497" t="n">
        <v>0</v>
      </c>
      <c r="O497" t="n">
        <v>0</v>
      </c>
      <c r="P497" t="n">
        <v>0</v>
      </c>
      <c r="Q497" t="n">
        <v>0</v>
      </c>
      <c r="R497" s="2" t="inlineStr"/>
    </row>
    <row r="498" ht="15" customHeight="1">
      <c r="A498" t="inlineStr">
        <is>
          <t>A 33750-2025</t>
        </is>
      </c>
      <c r="B498" s="1" t="n">
        <v>45842.36243055556</v>
      </c>
      <c r="C498" s="1" t="n">
        <v>46013</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46013</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34036-2025</t>
        </is>
      </c>
      <c r="B500" s="1" t="n">
        <v>45845.36954861111</v>
      </c>
      <c r="C500" s="1" t="n">
        <v>46013</v>
      </c>
      <c r="D500" t="inlineStr">
        <is>
          <t>JÄMTLANDS LÄN</t>
        </is>
      </c>
      <c r="E500" t="inlineStr">
        <is>
          <t>BERG</t>
        </is>
      </c>
      <c r="G500" t="n">
        <v>4.8</v>
      </c>
      <c r="H500" t="n">
        <v>0</v>
      </c>
      <c r="I500" t="n">
        <v>0</v>
      </c>
      <c r="J500" t="n">
        <v>0</v>
      </c>
      <c r="K500" t="n">
        <v>0</v>
      </c>
      <c r="L500" t="n">
        <v>0</v>
      </c>
      <c r="M500" t="n">
        <v>0</v>
      </c>
      <c r="N500" t="n">
        <v>0</v>
      </c>
      <c r="O500" t="n">
        <v>0</v>
      </c>
      <c r="P500" t="n">
        <v>0</v>
      </c>
      <c r="Q500" t="n">
        <v>0</v>
      </c>
      <c r="R500" s="2" t="inlineStr"/>
    </row>
    <row r="501" ht="15" customHeight="1">
      <c r="A501" t="inlineStr">
        <is>
          <t>A 34030-2025</t>
        </is>
      </c>
      <c r="B501" s="1" t="n">
        <v>45845.3633912037</v>
      </c>
      <c r="C501" s="1" t="n">
        <v>46013</v>
      </c>
      <c r="D501" t="inlineStr">
        <is>
          <t>JÄMTLANDS LÄN</t>
        </is>
      </c>
      <c r="E501" t="inlineStr">
        <is>
          <t>BERG</t>
        </is>
      </c>
      <c r="G501" t="n">
        <v>13.5</v>
      </c>
      <c r="H501" t="n">
        <v>0</v>
      </c>
      <c r="I501" t="n">
        <v>0</v>
      </c>
      <c r="J501" t="n">
        <v>0</v>
      </c>
      <c r="K501" t="n">
        <v>0</v>
      </c>
      <c r="L501" t="n">
        <v>0</v>
      </c>
      <c r="M501" t="n">
        <v>0</v>
      </c>
      <c r="N501" t="n">
        <v>0</v>
      </c>
      <c r="O501" t="n">
        <v>0</v>
      </c>
      <c r="P501" t="n">
        <v>0</v>
      </c>
      <c r="Q501" t="n">
        <v>0</v>
      </c>
      <c r="R501" s="2" t="inlineStr"/>
    </row>
    <row r="502" ht="15" customHeight="1">
      <c r="A502" t="inlineStr">
        <is>
          <t>A 14153-2023</t>
        </is>
      </c>
      <c r="B502" s="1" t="n">
        <v>45008</v>
      </c>
      <c r="C502" s="1" t="n">
        <v>46013</v>
      </c>
      <c r="D502" t="inlineStr">
        <is>
          <t>JÄMTLANDS LÄN</t>
        </is>
      </c>
      <c r="E502" t="inlineStr">
        <is>
          <t>BERG</t>
        </is>
      </c>
      <c r="G502" t="n">
        <v>1.1</v>
      </c>
      <c r="H502" t="n">
        <v>0</v>
      </c>
      <c r="I502" t="n">
        <v>0</v>
      </c>
      <c r="J502" t="n">
        <v>0</v>
      </c>
      <c r="K502" t="n">
        <v>0</v>
      </c>
      <c r="L502" t="n">
        <v>0</v>
      </c>
      <c r="M502" t="n">
        <v>0</v>
      </c>
      <c r="N502" t="n">
        <v>0</v>
      </c>
      <c r="O502" t="n">
        <v>0</v>
      </c>
      <c r="P502" t="n">
        <v>0</v>
      </c>
      <c r="Q502" t="n">
        <v>0</v>
      </c>
      <c r="R502" s="2" t="inlineStr"/>
    </row>
    <row r="503" ht="15" customHeight="1">
      <c r="A503" t="inlineStr">
        <is>
          <t>A 46811-2025</t>
        </is>
      </c>
      <c r="B503" s="1" t="n">
        <v>45926.69831018519</v>
      </c>
      <c r="C503" s="1" t="n">
        <v>46013</v>
      </c>
      <c r="D503" t="inlineStr">
        <is>
          <t>JÄMTLANDS LÄN</t>
        </is>
      </c>
      <c r="E503" t="inlineStr">
        <is>
          <t>BERG</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47145-2025</t>
        </is>
      </c>
      <c r="B504" s="1" t="n">
        <v>45929.71310185185</v>
      </c>
      <c r="C504" s="1" t="n">
        <v>46013</v>
      </c>
      <c r="D504" t="inlineStr">
        <is>
          <t>JÄMTLANDS LÄN</t>
        </is>
      </c>
      <c r="E504" t="inlineStr">
        <is>
          <t>BERG</t>
        </is>
      </c>
      <c r="G504" t="n">
        <v>3.5</v>
      </c>
      <c r="H504" t="n">
        <v>0</v>
      </c>
      <c r="I504" t="n">
        <v>0</v>
      </c>
      <c r="J504" t="n">
        <v>0</v>
      </c>
      <c r="K504" t="n">
        <v>0</v>
      </c>
      <c r="L504" t="n">
        <v>0</v>
      </c>
      <c r="M504" t="n">
        <v>0</v>
      </c>
      <c r="N504" t="n">
        <v>0</v>
      </c>
      <c r="O504" t="n">
        <v>0</v>
      </c>
      <c r="P504" t="n">
        <v>0</v>
      </c>
      <c r="Q504" t="n">
        <v>0</v>
      </c>
      <c r="R504" s="2" t="inlineStr"/>
    </row>
    <row r="505" ht="15" customHeight="1">
      <c r="A505" t="inlineStr">
        <is>
          <t>A 46853-2025</t>
        </is>
      </c>
      <c r="B505" s="1" t="n">
        <v>45928.86563657408</v>
      </c>
      <c r="C505" s="1" t="n">
        <v>46013</v>
      </c>
      <c r="D505" t="inlineStr">
        <is>
          <t>JÄMTLANDS LÄN</t>
        </is>
      </c>
      <c r="E505" t="inlineStr">
        <is>
          <t>BERG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47428-2025</t>
        </is>
      </c>
      <c r="B506" s="1" t="n">
        <v>45930</v>
      </c>
      <c r="C506" s="1" t="n">
        <v>46013</v>
      </c>
      <c r="D506" t="inlineStr">
        <is>
          <t>JÄMTLANDS LÄN</t>
        </is>
      </c>
      <c r="E506" t="inlineStr">
        <is>
          <t>BERG</t>
        </is>
      </c>
      <c r="G506" t="n">
        <v>3.4</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46013</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47197-2025</t>
        </is>
      </c>
      <c r="B508" s="1" t="n">
        <v>45930.34533564815</v>
      </c>
      <c r="C508" s="1" t="n">
        <v>46013</v>
      </c>
      <c r="D508" t="inlineStr">
        <is>
          <t>JÄMTLANDS LÄN</t>
        </is>
      </c>
      <c r="E508" t="inlineStr">
        <is>
          <t>BERG</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47430-2025</t>
        </is>
      </c>
      <c r="B509" s="1" t="n">
        <v>45930.63619212963</v>
      </c>
      <c r="C509" s="1" t="n">
        <v>46013</v>
      </c>
      <c r="D509" t="inlineStr">
        <is>
          <t>JÄMTLANDS LÄN</t>
        </is>
      </c>
      <c r="E509" t="inlineStr">
        <is>
          <t>BERG</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46013</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46013</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55472-2025</t>
        </is>
      </c>
      <c r="B512" s="1" t="n">
        <v>45971.54526620371</v>
      </c>
      <c r="C512" s="1" t="n">
        <v>46013</v>
      </c>
      <c r="D512" t="inlineStr">
        <is>
          <t>JÄMTLANDS LÄN</t>
        </is>
      </c>
      <c r="E512" t="inlineStr">
        <is>
          <t>BERG</t>
        </is>
      </c>
      <c r="G512" t="n">
        <v>3.2</v>
      </c>
      <c r="H512" t="n">
        <v>0</v>
      </c>
      <c r="I512" t="n">
        <v>0</v>
      </c>
      <c r="J512" t="n">
        <v>0</v>
      </c>
      <c r="K512" t="n">
        <v>0</v>
      </c>
      <c r="L512" t="n">
        <v>0</v>
      </c>
      <c r="M512" t="n">
        <v>0</v>
      </c>
      <c r="N512" t="n">
        <v>0</v>
      </c>
      <c r="O512" t="n">
        <v>0</v>
      </c>
      <c r="P512" t="n">
        <v>0</v>
      </c>
      <c r="Q512" t="n">
        <v>0</v>
      </c>
      <c r="R512" s="2" t="inlineStr"/>
    </row>
    <row r="513" ht="15" customHeight="1">
      <c r="A513" t="inlineStr">
        <is>
          <t>A 46854-2025</t>
        </is>
      </c>
      <c r="B513" s="1" t="n">
        <v>45928.87376157408</v>
      </c>
      <c r="C513" s="1" t="n">
        <v>46013</v>
      </c>
      <c r="D513" t="inlineStr">
        <is>
          <t>JÄMTLANDS LÄN</t>
        </is>
      </c>
      <c r="E513" t="inlineStr">
        <is>
          <t>BERG</t>
        </is>
      </c>
      <c r="F513" t="inlineStr">
        <is>
          <t>Kyrkan</t>
        </is>
      </c>
      <c r="G513" t="n">
        <v>4.8</v>
      </c>
      <c r="H513" t="n">
        <v>0</v>
      </c>
      <c r="I513" t="n">
        <v>0</v>
      </c>
      <c r="J513" t="n">
        <v>0</v>
      </c>
      <c r="K513" t="n">
        <v>0</v>
      </c>
      <c r="L513" t="n">
        <v>0</v>
      </c>
      <c r="M513" t="n">
        <v>0</v>
      </c>
      <c r="N513" t="n">
        <v>0</v>
      </c>
      <c r="O513" t="n">
        <v>0</v>
      </c>
      <c r="P513" t="n">
        <v>0</v>
      </c>
      <c r="Q513" t="n">
        <v>0</v>
      </c>
      <c r="R513" s="2" t="inlineStr"/>
    </row>
    <row r="514" ht="15" customHeight="1">
      <c r="A514" t="inlineStr">
        <is>
          <t>A 149-2024</t>
        </is>
      </c>
      <c r="B514" s="1" t="n">
        <v>45294</v>
      </c>
      <c r="C514" s="1" t="n">
        <v>46013</v>
      </c>
      <c r="D514" t="inlineStr">
        <is>
          <t>JÄMTLANDS LÄN</t>
        </is>
      </c>
      <c r="E514" t="inlineStr">
        <is>
          <t>BERG</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46908-2025</t>
        </is>
      </c>
      <c r="B515" s="1" t="n">
        <v>45929.40664351852</v>
      </c>
      <c r="C515" s="1" t="n">
        <v>46013</v>
      </c>
      <c r="D515" t="inlineStr">
        <is>
          <t>JÄMTLANDS LÄN</t>
        </is>
      </c>
      <c r="E515" t="inlineStr">
        <is>
          <t>BERG</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52774-2023</t>
        </is>
      </c>
      <c r="B516" s="1" t="n">
        <v>45219</v>
      </c>
      <c r="C516" s="1" t="n">
        <v>46013</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55553-2025</t>
        </is>
      </c>
      <c r="B517" s="1" t="n">
        <v>45971.64445601852</v>
      </c>
      <c r="C517" s="1" t="n">
        <v>46013</v>
      </c>
      <c r="D517" t="inlineStr">
        <is>
          <t>JÄMTLANDS LÄN</t>
        </is>
      </c>
      <c r="E517" t="inlineStr">
        <is>
          <t>BERG</t>
        </is>
      </c>
      <c r="G517" t="n">
        <v>2.9</v>
      </c>
      <c r="H517" t="n">
        <v>0</v>
      </c>
      <c r="I517" t="n">
        <v>0</v>
      </c>
      <c r="J517" t="n">
        <v>0</v>
      </c>
      <c r="K517" t="n">
        <v>0</v>
      </c>
      <c r="L517" t="n">
        <v>0</v>
      </c>
      <c r="M517" t="n">
        <v>0</v>
      </c>
      <c r="N517" t="n">
        <v>0</v>
      </c>
      <c r="O517" t="n">
        <v>0</v>
      </c>
      <c r="P517" t="n">
        <v>0</v>
      </c>
      <c r="Q517" t="n">
        <v>0</v>
      </c>
      <c r="R517" s="2" t="inlineStr"/>
    </row>
    <row r="518" ht="15" customHeight="1">
      <c r="A518" t="inlineStr">
        <is>
          <t>A 34892-2025</t>
        </is>
      </c>
      <c r="B518" s="1" t="n">
        <v>45849.49047453704</v>
      </c>
      <c r="C518" s="1" t="n">
        <v>46013</v>
      </c>
      <c r="D518" t="inlineStr">
        <is>
          <t>JÄMTLANDS LÄN</t>
        </is>
      </c>
      <c r="E518" t="inlineStr">
        <is>
          <t>BERG</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55497-2025</t>
        </is>
      </c>
      <c r="B519" s="1" t="n">
        <v>45971.58337962963</v>
      </c>
      <c r="C519" s="1" t="n">
        <v>46013</v>
      </c>
      <c r="D519" t="inlineStr">
        <is>
          <t>JÄMTLANDS LÄN</t>
        </is>
      </c>
      <c r="E519" t="inlineStr">
        <is>
          <t>BERG</t>
        </is>
      </c>
      <c r="G519" t="n">
        <v>15</v>
      </c>
      <c r="H519" t="n">
        <v>0</v>
      </c>
      <c r="I519" t="n">
        <v>0</v>
      </c>
      <c r="J519" t="n">
        <v>0</v>
      </c>
      <c r="K519" t="n">
        <v>0</v>
      </c>
      <c r="L519" t="n">
        <v>0</v>
      </c>
      <c r="M519" t="n">
        <v>0</v>
      </c>
      <c r="N519" t="n">
        <v>0</v>
      </c>
      <c r="O519" t="n">
        <v>0</v>
      </c>
      <c r="P519" t="n">
        <v>0</v>
      </c>
      <c r="Q519" t="n">
        <v>0</v>
      </c>
      <c r="R519" s="2" t="inlineStr"/>
    </row>
    <row r="520" ht="15" customHeight="1">
      <c r="A520" t="inlineStr">
        <is>
          <t>A 47434-2025</t>
        </is>
      </c>
      <c r="B520" s="1" t="n">
        <v>45930.63659722222</v>
      </c>
      <c r="C520" s="1" t="n">
        <v>46013</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47135-2025</t>
        </is>
      </c>
      <c r="B521" s="1" t="n">
        <v>45929.69799768519</v>
      </c>
      <c r="C521" s="1" t="n">
        <v>46013</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35183-2025</t>
        </is>
      </c>
      <c r="B522" s="1" t="n">
        <v>45853.29931712963</v>
      </c>
      <c r="C522" s="1" t="n">
        <v>46013</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35363-2025</t>
        </is>
      </c>
      <c r="B523" s="1" t="n">
        <v>45854.67538194444</v>
      </c>
      <c r="C523" s="1" t="n">
        <v>46013</v>
      </c>
      <c r="D523" t="inlineStr">
        <is>
          <t>JÄMTLANDS LÄN</t>
        </is>
      </c>
      <c r="E523" t="inlineStr">
        <is>
          <t>BERG</t>
        </is>
      </c>
      <c r="G523" t="n">
        <v>9.5</v>
      </c>
      <c r="H523" t="n">
        <v>0</v>
      </c>
      <c r="I523" t="n">
        <v>0</v>
      </c>
      <c r="J523" t="n">
        <v>0</v>
      </c>
      <c r="K523" t="n">
        <v>0</v>
      </c>
      <c r="L523" t="n">
        <v>0</v>
      </c>
      <c r="M523" t="n">
        <v>0</v>
      </c>
      <c r="N523" t="n">
        <v>0</v>
      </c>
      <c r="O523" t="n">
        <v>0</v>
      </c>
      <c r="P523" t="n">
        <v>0</v>
      </c>
      <c r="Q523" t="n">
        <v>0</v>
      </c>
      <c r="R523" s="2" t="inlineStr"/>
    </row>
    <row r="524" ht="15" customHeight="1">
      <c r="A524" t="inlineStr">
        <is>
          <t>A 35213-2025</t>
        </is>
      </c>
      <c r="B524" s="1" t="n">
        <v>45853.46494212963</v>
      </c>
      <c r="C524" s="1" t="n">
        <v>46013</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47137-2025</t>
        </is>
      </c>
      <c r="B525" s="1" t="n">
        <v>45929.69876157407</v>
      </c>
      <c r="C525" s="1" t="n">
        <v>46013</v>
      </c>
      <c r="D525" t="inlineStr">
        <is>
          <t>JÄMTLANDS LÄN</t>
        </is>
      </c>
      <c r="E525" t="inlineStr">
        <is>
          <t>BERG</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55575-2025</t>
        </is>
      </c>
      <c r="B526" s="1" t="n">
        <v>45971.66145833334</v>
      </c>
      <c r="C526" s="1" t="n">
        <v>46013</v>
      </c>
      <c r="D526" t="inlineStr">
        <is>
          <t>JÄMTLANDS LÄN</t>
        </is>
      </c>
      <c r="E526" t="inlineStr">
        <is>
          <t>BERG</t>
        </is>
      </c>
      <c r="G526" t="n">
        <v>3.5</v>
      </c>
      <c r="H526" t="n">
        <v>0</v>
      </c>
      <c r="I526" t="n">
        <v>0</v>
      </c>
      <c r="J526" t="n">
        <v>0</v>
      </c>
      <c r="K526" t="n">
        <v>0</v>
      </c>
      <c r="L526" t="n">
        <v>0</v>
      </c>
      <c r="M526" t="n">
        <v>0</v>
      </c>
      <c r="N526" t="n">
        <v>0</v>
      </c>
      <c r="O526" t="n">
        <v>0</v>
      </c>
      <c r="P526" t="n">
        <v>0</v>
      </c>
      <c r="Q526" t="n">
        <v>0</v>
      </c>
      <c r="R526" s="2" t="inlineStr"/>
    </row>
    <row r="527" ht="15" customHeight="1">
      <c r="A527" t="inlineStr">
        <is>
          <t>A 47193-2025</t>
        </is>
      </c>
      <c r="B527" s="1" t="n">
        <v>45930.34469907408</v>
      </c>
      <c r="C527" s="1" t="n">
        <v>46013</v>
      </c>
      <c r="D527" t="inlineStr">
        <is>
          <t>JÄMTLANDS LÄN</t>
        </is>
      </c>
      <c r="E527" t="inlineStr">
        <is>
          <t>BERG</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35184-2025</t>
        </is>
      </c>
      <c r="B528" s="1" t="n">
        <v>45853.30270833334</v>
      </c>
      <c r="C528" s="1" t="n">
        <v>46013</v>
      </c>
      <c r="D528" t="inlineStr">
        <is>
          <t>JÄMTLANDS LÄN</t>
        </is>
      </c>
      <c r="E528" t="inlineStr">
        <is>
          <t>BERG</t>
        </is>
      </c>
      <c r="G528" t="n">
        <v>1.4</v>
      </c>
      <c r="H528" t="n">
        <v>0</v>
      </c>
      <c r="I528" t="n">
        <v>0</v>
      </c>
      <c r="J528" t="n">
        <v>0</v>
      </c>
      <c r="K528" t="n">
        <v>0</v>
      </c>
      <c r="L528" t="n">
        <v>0</v>
      </c>
      <c r="M528" t="n">
        <v>0</v>
      </c>
      <c r="N528" t="n">
        <v>0</v>
      </c>
      <c r="O528" t="n">
        <v>0</v>
      </c>
      <c r="P528" t="n">
        <v>0</v>
      </c>
      <c r="Q528" t="n">
        <v>0</v>
      </c>
      <c r="R528" s="2" t="inlineStr"/>
    </row>
    <row r="529" ht="15" customHeight="1">
      <c r="A529" t="inlineStr">
        <is>
          <t>A 51172-2024</t>
        </is>
      </c>
      <c r="B529" s="1" t="n">
        <v>45603.59056712963</v>
      </c>
      <c r="C529" s="1" t="n">
        <v>46013</v>
      </c>
      <c r="D529" t="inlineStr">
        <is>
          <t>JÄMTLANDS LÄN</t>
        </is>
      </c>
      <c r="E529" t="inlineStr">
        <is>
          <t>BERG</t>
        </is>
      </c>
      <c r="G529" t="n">
        <v>12.2</v>
      </c>
      <c r="H529" t="n">
        <v>0</v>
      </c>
      <c r="I529" t="n">
        <v>0</v>
      </c>
      <c r="J529" t="n">
        <v>0</v>
      </c>
      <c r="K529" t="n">
        <v>0</v>
      </c>
      <c r="L529" t="n">
        <v>0</v>
      </c>
      <c r="M529" t="n">
        <v>0</v>
      </c>
      <c r="N529" t="n">
        <v>0</v>
      </c>
      <c r="O529" t="n">
        <v>0</v>
      </c>
      <c r="P529" t="n">
        <v>0</v>
      </c>
      <c r="Q529" t="n">
        <v>0</v>
      </c>
      <c r="R529" s="2" t="inlineStr"/>
    </row>
    <row r="530" ht="15" customHeight="1">
      <c r="A530" t="inlineStr">
        <is>
          <t>A 35360-2025</t>
        </is>
      </c>
      <c r="B530" s="1" t="n">
        <v>45854.66877314815</v>
      </c>
      <c r="C530" s="1" t="n">
        <v>46013</v>
      </c>
      <c r="D530" t="inlineStr">
        <is>
          <t>JÄMTLANDS LÄN</t>
        </is>
      </c>
      <c r="E530" t="inlineStr">
        <is>
          <t>BERG</t>
        </is>
      </c>
      <c r="G530" t="n">
        <v>3.7</v>
      </c>
      <c r="H530" t="n">
        <v>0</v>
      </c>
      <c r="I530" t="n">
        <v>0</v>
      </c>
      <c r="J530" t="n">
        <v>0</v>
      </c>
      <c r="K530" t="n">
        <v>0</v>
      </c>
      <c r="L530" t="n">
        <v>0</v>
      </c>
      <c r="M530" t="n">
        <v>0</v>
      </c>
      <c r="N530" t="n">
        <v>0</v>
      </c>
      <c r="O530" t="n">
        <v>0</v>
      </c>
      <c r="P530" t="n">
        <v>0</v>
      </c>
      <c r="Q530" t="n">
        <v>0</v>
      </c>
      <c r="R530" s="2" t="inlineStr"/>
    </row>
    <row r="531" ht="15" customHeight="1">
      <c r="A531" t="inlineStr">
        <is>
          <t>A 9077-2023</t>
        </is>
      </c>
      <c r="B531" s="1" t="n">
        <v>44979</v>
      </c>
      <c r="C531" s="1" t="n">
        <v>46013</v>
      </c>
      <c r="D531" t="inlineStr">
        <is>
          <t>JÄMTLANDS LÄN</t>
        </is>
      </c>
      <c r="E531" t="inlineStr">
        <is>
          <t>BERG</t>
        </is>
      </c>
      <c r="G531" t="n">
        <v>3.6</v>
      </c>
      <c r="H531" t="n">
        <v>0</v>
      </c>
      <c r="I531" t="n">
        <v>0</v>
      </c>
      <c r="J531" t="n">
        <v>0</v>
      </c>
      <c r="K531" t="n">
        <v>0</v>
      </c>
      <c r="L531" t="n">
        <v>0</v>
      </c>
      <c r="M531" t="n">
        <v>0</v>
      </c>
      <c r="N531" t="n">
        <v>0</v>
      </c>
      <c r="O531" t="n">
        <v>0</v>
      </c>
      <c r="P531" t="n">
        <v>0</v>
      </c>
      <c r="Q531" t="n">
        <v>0</v>
      </c>
      <c r="R531" s="2" t="inlineStr"/>
    </row>
    <row r="532" ht="15" customHeight="1">
      <c r="A532" t="inlineStr">
        <is>
          <t>A 60028-2022</t>
        </is>
      </c>
      <c r="B532" s="1" t="n">
        <v>44902</v>
      </c>
      <c r="C532" s="1" t="n">
        <v>46013</v>
      </c>
      <c r="D532" t="inlineStr">
        <is>
          <t>JÄMTLANDS LÄN</t>
        </is>
      </c>
      <c r="E532" t="inlineStr">
        <is>
          <t>BERG</t>
        </is>
      </c>
      <c r="G532" t="n">
        <v>20</v>
      </c>
      <c r="H532" t="n">
        <v>0</v>
      </c>
      <c r="I532" t="n">
        <v>0</v>
      </c>
      <c r="J532" t="n">
        <v>0</v>
      </c>
      <c r="K532" t="n">
        <v>0</v>
      </c>
      <c r="L532" t="n">
        <v>0</v>
      </c>
      <c r="M532" t="n">
        <v>0</v>
      </c>
      <c r="N532" t="n">
        <v>0</v>
      </c>
      <c r="O532" t="n">
        <v>0</v>
      </c>
      <c r="P532" t="n">
        <v>0</v>
      </c>
      <c r="Q532" t="n">
        <v>0</v>
      </c>
      <c r="R532" s="2" t="inlineStr"/>
    </row>
    <row r="533" ht="15" customHeight="1">
      <c r="A533" t="inlineStr">
        <is>
          <t>A 35576-2025</t>
        </is>
      </c>
      <c r="B533" s="1" t="n">
        <v>45856.63608796296</v>
      </c>
      <c r="C533" s="1" t="n">
        <v>46013</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46013</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48056-2025</t>
        </is>
      </c>
      <c r="B535" s="1" t="n">
        <v>45932.67946759259</v>
      </c>
      <c r="C535" s="1" t="n">
        <v>46013</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35691-2025</t>
        </is>
      </c>
      <c r="B536" s="1" t="n">
        <v>45860.344375</v>
      </c>
      <c r="C536" s="1" t="n">
        <v>46013</v>
      </c>
      <c r="D536" t="inlineStr">
        <is>
          <t>JÄMTLANDS LÄN</t>
        </is>
      </c>
      <c r="E536" t="inlineStr">
        <is>
          <t>BERG</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12342-2023</t>
        </is>
      </c>
      <c r="B537" s="1" t="n">
        <v>44998</v>
      </c>
      <c r="C537" s="1" t="n">
        <v>46013</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35681-2025</t>
        </is>
      </c>
      <c r="B538" s="1" t="n">
        <v>45859.77703703703</v>
      </c>
      <c r="C538" s="1" t="n">
        <v>46013</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35684-2025</t>
        </is>
      </c>
      <c r="B539" s="1" t="n">
        <v>45859.88079861111</v>
      </c>
      <c r="C539" s="1" t="n">
        <v>46013</v>
      </c>
      <c r="D539" t="inlineStr">
        <is>
          <t>JÄMTLANDS LÄN</t>
        </is>
      </c>
      <c r="E539" t="inlineStr">
        <is>
          <t>BERG</t>
        </is>
      </c>
      <c r="G539" t="n">
        <v>6.1</v>
      </c>
      <c r="H539" t="n">
        <v>0</v>
      </c>
      <c r="I539" t="n">
        <v>0</v>
      </c>
      <c r="J539" t="n">
        <v>0</v>
      </c>
      <c r="K539" t="n">
        <v>0</v>
      </c>
      <c r="L539" t="n">
        <v>0</v>
      </c>
      <c r="M539" t="n">
        <v>0</v>
      </c>
      <c r="N539" t="n">
        <v>0</v>
      </c>
      <c r="O539" t="n">
        <v>0</v>
      </c>
      <c r="P539" t="n">
        <v>0</v>
      </c>
      <c r="Q539" t="n">
        <v>0</v>
      </c>
      <c r="R539" s="2" t="inlineStr"/>
    </row>
    <row r="540" ht="15" customHeight="1">
      <c r="A540" t="inlineStr">
        <is>
          <t>A 46298-2024</t>
        </is>
      </c>
      <c r="B540" s="1" t="n">
        <v>45581.67739583334</v>
      </c>
      <c r="C540" s="1" t="n">
        <v>46013</v>
      </c>
      <c r="D540" t="inlineStr">
        <is>
          <t>JÄMTLANDS LÄN</t>
        </is>
      </c>
      <c r="E540" t="inlineStr">
        <is>
          <t>BERG</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56199-2025</t>
        </is>
      </c>
      <c r="B541" s="1" t="n">
        <v>45974.45790509259</v>
      </c>
      <c r="C541" s="1" t="n">
        <v>46013</v>
      </c>
      <c r="D541" t="inlineStr">
        <is>
          <t>JÄMTLANDS LÄN</t>
        </is>
      </c>
      <c r="E541" t="inlineStr">
        <is>
          <t>BERG</t>
        </is>
      </c>
      <c r="G541" t="n">
        <v>0.8</v>
      </c>
      <c r="H541" t="n">
        <v>0</v>
      </c>
      <c r="I541" t="n">
        <v>0</v>
      </c>
      <c r="J541" t="n">
        <v>0</v>
      </c>
      <c r="K541" t="n">
        <v>0</v>
      </c>
      <c r="L541" t="n">
        <v>0</v>
      </c>
      <c r="M541" t="n">
        <v>0</v>
      </c>
      <c r="N541" t="n">
        <v>0</v>
      </c>
      <c r="O541" t="n">
        <v>0</v>
      </c>
      <c r="P541" t="n">
        <v>0</v>
      </c>
      <c r="Q541" t="n">
        <v>0</v>
      </c>
      <c r="R541" s="2" t="inlineStr"/>
    </row>
    <row r="542" ht="15" customHeight="1">
      <c r="A542" t="inlineStr">
        <is>
          <t>A 12774-2023</t>
        </is>
      </c>
      <c r="B542" s="1" t="n">
        <v>45001</v>
      </c>
      <c r="C542" s="1" t="n">
        <v>46013</v>
      </c>
      <c r="D542" t="inlineStr">
        <is>
          <t>JÄMTLANDS LÄN</t>
        </is>
      </c>
      <c r="E542" t="inlineStr">
        <is>
          <t>BERG</t>
        </is>
      </c>
      <c r="G542" t="n">
        <v>0.7</v>
      </c>
      <c r="H542" t="n">
        <v>0</v>
      </c>
      <c r="I542" t="n">
        <v>0</v>
      </c>
      <c r="J542" t="n">
        <v>0</v>
      </c>
      <c r="K542" t="n">
        <v>0</v>
      </c>
      <c r="L542" t="n">
        <v>0</v>
      </c>
      <c r="M542" t="n">
        <v>0</v>
      </c>
      <c r="N542" t="n">
        <v>0</v>
      </c>
      <c r="O542" t="n">
        <v>0</v>
      </c>
      <c r="P542" t="n">
        <v>0</v>
      </c>
      <c r="Q542" t="n">
        <v>0</v>
      </c>
      <c r="R542" s="2" t="inlineStr"/>
    </row>
    <row r="543" ht="15" customHeight="1">
      <c r="A543" t="inlineStr">
        <is>
          <t>A 35683-2025</t>
        </is>
      </c>
      <c r="B543" s="1" t="n">
        <v>45859</v>
      </c>
      <c r="C543" s="1" t="n">
        <v>46013</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56234-2025</t>
        </is>
      </c>
      <c r="B544" s="1" t="n">
        <v>45974.53696759259</v>
      </c>
      <c r="C544" s="1" t="n">
        <v>46013</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47821-2025</t>
        </is>
      </c>
      <c r="B545" s="1" t="n">
        <v>45932.34421296296</v>
      </c>
      <c r="C545" s="1" t="n">
        <v>46013</v>
      </c>
      <c r="D545" t="inlineStr">
        <is>
          <t>JÄMTLANDS LÄN</t>
        </is>
      </c>
      <c r="E545" t="inlineStr">
        <is>
          <t>BERG</t>
        </is>
      </c>
      <c r="F545" t="inlineStr">
        <is>
          <t>SCA</t>
        </is>
      </c>
      <c r="G545" t="n">
        <v>7.6</v>
      </c>
      <c r="H545" t="n">
        <v>0</v>
      </c>
      <c r="I545" t="n">
        <v>0</v>
      </c>
      <c r="J545" t="n">
        <v>0</v>
      </c>
      <c r="K545" t="n">
        <v>0</v>
      </c>
      <c r="L545" t="n">
        <v>0</v>
      </c>
      <c r="M545" t="n">
        <v>0</v>
      </c>
      <c r="N545" t="n">
        <v>0</v>
      </c>
      <c r="O545" t="n">
        <v>0</v>
      </c>
      <c r="P545" t="n">
        <v>0</v>
      </c>
      <c r="Q545" t="n">
        <v>0</v>
      </c>
      <c r="R545" s="2" t="inlineStr"/>
    </row>
    <row r="546" ht="15" customHeight="1">
      <c r="A546" t="inlineStr">
        <is>
          <t>A 47533-2025</t>
        </is>
      </c>
      <c r="B546" s="1" t="n">
        <v>45931.34659722223</v>
      </c>
      <c r="C546" s="1" t="n">
        <v>46013</v>
      </c>
      <c r="D546" t="inlineStr">
        <is>
          <t>JÄMTLANDS LÄN</t>
        </is>
      </c>
      <c r="E546" t="inlineStr">
        <is>
          <t>BERG</t>
        </is>
      </c>
      <c r="G546" t="n">
        <v>3.1</v>
      </c>
      <c r="H546" t="n">
        <v>0</v>
      </c>
      <c r="I546" t="n">
        <v>0</v>
      </c>
      <c r="J546" t="n">
        <v>0</v>
      </c>
      <c r="K546" t="n">
        <v>0</v>
      </c>
      <c r="L546" t="n">
        <v>0</v>
      </c>
      <c r="M546" t="n">
        <v>0</v>
      </c>
      <c r="N546" t="n">
        <v>0</v>
      </c>
      <c r="O546" t="n">
        <v>0</v>
      </c>
      <c r="P546" t="n">
        <v>0</v>
      </c>
      <c r="Q546" t="n">
        <v>0</v>
      </c>
      <c r="R546" s="2" t="inlineStr"/>
    </row>
    <row r="547" ht="15" customHeight="1">
      <c r="A547" t="inlineStr">
        <is>
          <t>A 47289-2023</t>
        </is>
      </c>
      <c r="B547" s="1" t="n">
        <v>45202.46581018518</v>
      </c>
      <c r="C547" s="1" t="n">
        <v>46013</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36142-2025</t>
        </is>
      </c>
      <c r="B548" s="1" t="n">
        <v>45866</v>
      </c>
      <c r="C548" s="1" t="n">
        <v>46013</v>
      </c>
      <c r="D548" t="inlineStr">
        <is>
          <t>JÄMTLANDS LÄN</t>
        </is>
      </c>
      <c r="E548" t="inlineStr">
        <is>
          <t>BERG</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46013</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36377-2025</t>
        </is>
      </c>
      <c r="B550" s="1" t="n">
        <v>45868.57342592593</v>
      </c>
      <c r="C550" s="1" t="n">
        <v>46013</v>
      </c>
      <c r="D550" t="inlineStr">
        <is>
          <t>JÄMTLANDS LÄN</t>
        </is>
      </c>
      <c r="E550" t="inlineStr">
        <is>
          <t>BERG</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48704-2025</t>
        </is>
      </c>
      <c r="B551" s="1" t="n">
        <v>45936.6222337963</v>
      </c>
      <c r="C551" s="1" t="n">
        <v>46013</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8711-2024</t>
        </is>
      </c>
      <c r="B552" s="1" t="n">
        <v>45356</v>
      </c>
      <c r="C552" s="1" t="n">
        <v>46013</v>
      </c>
      <c r="D552" t="inlineStr">
        <is>
          <t>JÄMTLANDS LÄN</t>
        </is>
      </c>
      <c r="E552" t="inlineStr">
        <is>
          <t>BERG</t>
        </is>
      </c>
      <c r="G552" t="n">
        <v>5.2</v>
      </c>
      <c r="H552" t="n">
        <v>0</v>
      </c>
      <c r="I552" t="n">
        <v>0</v>
      </c>
      <c r="J552" t="n">
        <v>0</v>
      </c>
      <c r="K552" t="n">
        <v>0</v>
      </c>
      <c r="L552" t="n">
        <v>0</v>
      </c>
      <c r="M552" t="n">
        <v>0</v>
      </c>
      <c r="N552" t="n">
        <v>0</v>
      </c>
      <c r="O552" t="n">
        <v>0</v>
      </c>
      <c r="P552" t="n">
        <v>0</v>
      </c>
      <c r="Q552" t="n">
        <v>0</v>
      </c>
      <c r="R552" s="2" t="inlineStr"/>
    </row>
    <row r="553" ht="15" customHeight="1">
      <c r="A553" t="inlineStr">
        <is>
          <t>A 15624-2023</t>
        </is>
      </c>
      <c r="B553" s="1" t="n">
        <v>45020.94496527778</v>
      </c>
      <c r="C553" s="1" t="n">
        <v>46013</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35636-2023</t>
        </is>
      </c>
      <c r="B554" s="1" t="n">
        <v>45147</v>
      </c>
      <c r="C554" s="1" t="n">
        <v>46013</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48190-2025</t>
        </is>
      </c>
      <c r="B555" s="1" t="n">
        <v>45933.46930555555</v>
      </c>
      <c r="C555" s="1" t="n">
        <v>46013</v>
      </c>
      <c r="D555" t="inlineStr">
        <is>
          <t>JÄMTLANDS LÄN</t>
        </is>
      </c>
      <c r="E555" t="inlineStr">
        <is>
          <t>BERG</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22030-2025</t>
        </is>
      </c>
      <c r="B556" s="1" t="n">
        <v>45785.25814814815</v>
      </c>
      <c r="C556" s="1" t="n">
        <v>46013</v>
      </c>
      <c r="D556" t="inlineStr">
        <is>
          <t>JÄMTLANDS LÄN</t>
        </is>
      </c>
      <c r="E556" t="inlineStr">
        <is>
          <t>BERG</t>
        </is>
      </c>
      <c r="G556" t="n">
        <v>5</v>
      </c>
      <c r="H556" t="n">
        <v>0</v>
      </c>
      <c r="I556" t="n">
        <v>0</v>
      </c>
      <c r="J556" t="n">
        <v>0</v>
      </c>
      <c r="K556" t="n">
        <v>0</v>
      </c>
      <c r="L556" t="n">
        <v>0</v>
      </c>
      <c r="M556" t="n">
        <v>0</v>
      </c>
      <c r="N556" t="n">
        <v>0</v>
      </c>
      <c r="O556" t="n">
        <v>0</v>
      </c>
      <c r="P556" t="n">
        <v>0</v>
      </c>
      <c r="Q556" t="n">
        <v>0</v>
      </c>
      <c r="R556" s="2" t="inlineStr"/>
    </row>
    <row r="557" ht="15" customHeight="1">
      <c r="A557" t="inlineStr">
        <is>
          <t>A 56457-2025</t>
        </is>
      </c>
      <c r="B557" s="1" t="n">
        <v>45975.36277777778</v>
      </c>
      <c r="C557" s="1" t="n">
        <v>46013</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48508-2025</t>
        </is>
      </c>
      <c r="B558" s="1" t="n">
        <v>45936.3859837963</v>
      </c>
      <c r="C558" s="1" t="n">
        <v>46013</v>
      </c>
      <c r="D558" t="inlineStr">
        <is>
          <t>JÄMTLANDS LÄN</t>
        </is>
      </c>
      <c r="E558" t="inlineStr">
        <is>
          <t>BERG</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48168-2025</t>
        </is>
      </c>
      <c r="B559" s="1" t="n">
        <v>45933.43004629629</v>
      </c>
      <c r="C559" s="1" t="n">
        <v>46013</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461-2023</t>
        </is>
      </c>
      <c r="B560" s="1" t="n">
        <v>44929</v>
      </c>
      <c r="C560" s="1" t="n">
        <v>46013</v>
      </c>
      <c r="D560" t="inlineStr">
        <is>
          <t>JÄMTLANDS LÄN</t>
        </is>
      </c>
      <c r="E560" t="inlineStr">
        <is>
          <t>BERG</t>
        </is>
      </c>
      <c r="G560" t="n">
        <v>5.8</v>
      </c>
      <c r="H560" t="n">
        <v>0</v>
      </c>
      <c r="I560" t="n">
        <v>0</v>
      </c>
      <c r="J560" t="n">
        <v>0</v>
      </c>
      <c r="K560" t="n">
        <v>0</v>
      </c>
      <c r="L560" t="n">
        <v>0</v>
      </c>
      <c r="M560" t="n">
        <v>0</v>
      </c>
      <c r="N560" t="n">
        <v>0</v>
      </c>
      <c r="O560" t="n">
        <v>0</v>
      </c>
      <c r="P560" t="n">
        <v>0</v>
      </c>
      <c r="Q560" t="n">
        <v>0</v>
      </c>
      <c r="R560" s="2" t="inlineStr"/>
    </row>
    <row r="561" ht="15" customHeight="1">
      <c r="A561" t="inlineStr">
        <is>
          <t>A 36896-2025</t>
        </is>
      </c>
      <c r="B561" s="1" t="n">
        <v>45874.4740625</v>
      </c>
      <c r="C561" s="1" t="n">
        <v>46013</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27395-2021</t>
        </is>
      </c>
      <c r="B562" s="1" t="n">
        <v>44350</v>
      </c>
      <c r="C562" s="1" t="n">
        <v>46013</v>
      </c>
      <c r="D562" t="inlineStr">
        <is>
          <t>JÄMTLANDS LÄN</t>
        </is>
      </c>
      <c r="E562" t="inlineStr">
        <is>
          <t>BERG</t>
        </is>
      </c>
      <c r="G562" t="n">
        <v>4.4</v>
      </c>
      <c r="H562" t="n">
        <v>0</v>
      </c>
      <c r="I562" t="n">
        <v>0</v>
      </c>
      <c r="J562" t="n">
        <v>0</v>
      </c>
      <c r="K562" t="n">
        <v>0</v>
      </c>
      <c r="L562" t="n">
        <v>0</v>
      </c>
      <c r="M562" t="n">
        <v>0</v>
      </c>
      <c r="N562" t="n">
        <v>0</v>
      </c>
      <c r="O562" t="n">
        <v>0</v>
      </c>
      <c r="P562" t="n">
        <v>0</v>
      </c>
      <c r="Q562" t="n">
        <v>0</v>
      </c>
      <c r="R562" s="2" t="inlineStr"/>
    </row>
    <row r="563" ht="15" customHeight="1">
      <c r="A563" t="inlineStr">
        <is>
          <t>A 32248-2024</t>
        </is>
      </c>
      <c r="B563" s="1" t="n">
        <v>45511.95144675926</v>
      </c>
      <c r="C563" s="1" t="n">
        <v>46013</v>
      </c>
      <c r="D563" t="inlineStr">
        <is>
          <t>JÄMTLANDS LÄN</t>
        </is>
      </c>
      <c r="E563" t="inlineStr">
        <is>
          <t>BERG</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48250-2025</t>
        </is>
      </c>
      <c r="B564" s="1" t="n">
        <v>45933.55259259259</v>
      </c>
      <c r="C564" s="1" t="n">
        <v>46013</v>
      </c>
      <c r="D564" t="inlineStr">
        <is>
          <t>JÄMTLANDS LÄN</t>
        </is>
      </c>
      <c r="E564" t="inlineStr">
        <is>
          <t>BERG</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36714-2025</t>
        </is>
      </c>
      <c r="B565" s="1" t="n">
        <v>45873.46881944445</v>
      </c>
      <c r="C565" s="1" t="n">
        <v>46013</v>
      </c>
      <c r="D565" t="inlineStr">
        <is>
          <t>JÄMTLANDS LÄN</t>
        </is>
      </c>
      <c r="E565" t="inlineStr">
        <is>
          <t>BERG</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48209-2025</t>
        </is>
      </c>
      <c r="B566" s="1" t="n">
        <v>45933.4900462963</v>
      </c>
      <c r="C566" s="1" t="n">
        <v>46013</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8733-2025</t>
        </is>
      </c>
      <c r="B567" s="1" t="n">
        <v>45712.53197916667</v>
      </c>
      <c r="C567" s="1" t="n">
        <v>46013</v>
      </c>
      <c r="D567" t="inlineStr">
        <is>
          <t>JÄMTLANDS LÄN</t>
        </is>
      </c>
      <c r="E567" t="inlineStr">
        <is>
          <t>BERG</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36668-2025</t>
        </is>
      </c>
      <c r="B568" s="1" t="n">
        <v>45873.38351851852</v>
      </c>
      <c r="C568" s="1" t="n">
        <v>46013</v>
      </c>
      <c r="D568" t="inlineStr">
        <is>
          <t>JÄMTLANDS LÄN</t>
        </is>
      </c>
      <c r="E568" t="inlineStr">
        <is>
          <t>BERG</t>
        </is>
      </c>
      <c r="G568" t="n">
        <v>6.7</v>
      </c>
      <c r="H568" t="n">
        <v>0</v>
      </c>
      <c r="I568" t="n">
        <v>0</v>
      </c>
      <c r="J568" t="n">
        <v>0</v>
      </c>
      <c r="K568" t="n">
        <v>0</v>
      </c>
      <c r="L568" t="n">
        <v>0</v>
      </c>
      <c r="M568" t="n">
        <v>0</v>
      </c>
      <c r="N568" t="n">
        <v>0</v>
      </c>
      <c r="O568" t="n">
        <v>0</v>
      </c>
      <c r="P568" t="n">
        <v>0</v>
      </c>
      <c r="Q568" t="n">
        <v>0</v>
      </c>
      <c r="R568" s="2" t="inlineStr"/>
    </row>
    <row r="569" ht="15" customHeight="1">
      <c r="A569" t="inlineStr">
        <is>
          <t>A 36718-2025</t>
        </is>
      </c>
      <c r="B569" s="1" t="n">
        <v>45873.47069444445</v>
      </c>
      <c r="C569" s="1" t="n">
        <v>46013</v>
      </c>
      <c r="D569" t="inlineStr">
        <is>
          <t>JÄMTLANDS LÄN</t>
        </is>
      </c>
      <c r="E569" t="inlineStr">
        <is>
          <t>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48511-2025</t>
        </is>
      </c>
      <c r="B570" s="1" t="n">
        <v>45936.3865162037</v>
      </c>
      <c r="C570" s="1" t="n">
        <v>46013</v>
      </c>
      <c r="D570" t="inlineStr">
        <is>
          <t>JÄMTLANDS LÄN</t>
        </is>
      </c>
      <c r="E570" t="inlineStr">
        <is>
          <t>BERG</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57046-2025</t>
        </is>
      </c>
      <c r="B571" s="1" t="n">
        <v>45979.34672453703</v>
      </c>
      <c r="C571" s="1" t="n">
        <v>46013</v>
      </c>
      <c r="D571" t="inlineStr">
        <is>
          <t>JÄMTLANDS LÄN</t>
        </is>
      </c>
      <c r="E571" t="inlineStr">
        <is>
          <t>BERG</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57271-2025</t>
        </is>
      </c>
      <c r="B572" s="1" t="n">
        <v>45979.67789351852</v>
      </c>
      <c r="C572" s="1" t="n">
        <v>46013</v>
      </c>
      <c r="D572" t="inlineStr">
        <is>
          <t>JÄMTLANDS LÄN</t>
        </is>
      </c>
      <c r="E572" t="inlineStr">
        <is>
          <t>BERG</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57276-2025</t>
        </is>
      </c>
      <c r="B573" s="1" t="n">
        <v>45979.68783564815</v>
      </c>
      <c r="C573" s="1" t="n">
        <v>46013</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37066-2025</t>
        </is>
      </c>
      <c r="B574" s="1" t="n">
        <v>45875.3862962963</v>
      </c>
      <c r="C574" s="1" t="n">
        <v>46013</v>
      </c>
      <c r="D574" t="inlineStr">
        <is>
          <t>JÄMTLANDS LÄN</t>
        </is>
      </c>
      <c r="E574" t="inlineStr">
        <is>
          <t>BERG</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49391-2025</t>
        </is>
      </c>
      <c r="B575" s="1" t="n">
        <v>45938.65011574074</v>
      </c>
      <c r="C575" s="1" t="n">
        <v>46013</v>
      </c>
      <c r="D575" t="inlineStr">
        <is>
          <t>JÄMTLANDS LÄN</t>
        </is>
      </c>
      <c r="E575" t="inlineStr">
        <is>
          <t>BERG</t>
        </is>
      </c>
      <c r="G575" t="n">
        <v>3.7</v>
      </c>
      <c r="H575" t="n">
        <v>0</v>
      </c>
      <c r="I575" t="n">
        <v>0</v>
      </c>
      <c r="J575" t="n">
        <v>0</v>
      </c>
      <c r="K575" t="n">
        <v>0</v>
      </c>
      <c r="L575" t="n">
        <v>0</v>
      </c>
      <c r="M575" t="n">
        <v>0</v>
      </c>
      <c r="N575" t="n">
        <v>0</v>
      </c>
      <c r="O575" t="n">
        <v>0</v>
      </c>
      <c r="P575" t="n">
        <v>0</v>
      </c>
      <c r="Q575" t="n">
        <v>0</v>
      </c>
      <c r="R575" s="2" t="inlineStr"/>
    </row>
    <row r="576" ht="15" customHeight="1">
      <c r="A576" t="inlineStr">
        <is>
          <t>A 37201-2025</t>
        </is>
      </c>
      <c r="B576" s="1" t="n">
        <v>45875.67797453704</v>
      </c>
      <c r="C576" s="1" t="n">
        <v>46013</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37062-2025</t>
        </is>
      </c>
      <c r="B577" s="1" t="n">
        <v>45875.38579861111</v>
      </c>
      <c r="C577" s="1" t="n">
        <v>46013</v>
      </c>
      <c r="D577" t="inlineStr">
        <is>
          <t>JÄMTLANDS LÄN</t>
        </is>
      </c>
      <c r="E577" t="inlineStr">
        <is>
          <t>BERG</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36341-2025</t>
        </is>
      </c>
      <c r="B578" s="1" t="n">
        <v>45868</v>
      </c>
      <c r="C578" s="1" t="n">
        <v>46013</v>
      </c>
      <c r="D578" t="inlineStr">
        <is>
          <t>JÄMTLANDS LÄN</t>
        </is>
      </c>
      <c r="E578" t="inlineStr">
        <is>
          <t>BERG</t>
        </is>
      </c>
      <c r="G578" t="n">
        <v>3.1</v>
      </c>
      <c r="H578" t="n">
        <v>0</v>
      </c>
      <c r="I578" t="n">
        <v>0</v>
      </c>
      <c r="J578" t="n">
        <v>0</v>
      </c>
      <c r="K578" t="n">
        <v>0</v>
      </c>
      <c r="L578" t="n">
        <v>0</v>
      </c>
      <c r="M578" t="n">
        <v>0</v>
      </c>
      <c r="N578" t="n">
        <v>0</v>
      </c>
      <c r="O578" t="n">
        <v>0</v>
      </c>
      <c r="P578" t="n">
        <v>0</v>
      </c>
      <c r="Q578" t="n">
        <v>0</v>
      </c>
      <c r="R578" s="2" t="inlineStr"/>
    </row>
    <row r="579" ht="15" customHeight="1">
      <c r="A579" t="inlineStr">
        <is>
          <t>A 48770-2025</t>
        </is>
      </c>
      <c r="B579" s="1" t="n">
        <v>45936.91108796297</v>
      </c>
      <c r="C579" s="1" t="n">
        <v>46013</v>
      </c>
      <c r="D579" t="inlineStr">
        <is>
          <t>JÄMTLANDS LÄN</t>
        </is>
      </c>
      <c r="E579" t="inlineStr">
        <is>
          <t>BERG</t>
        </is>
      </c>
      <c r="G579" t="n">
        <v>1.7</v>
      </c>
      <c r="H579" t="n">
        <v>0</v>
      </c>
      <c r="I579" t="n">
        <v>0</v>
      </c>
      <c r="J579" t="n">
        <v>0</v>
      </c>
      <c r="K579" t="n">
        <v>0</v>
      </c>
      <c r="L579" t="n">
        <v>0</v>
      </c>
      <c r="M579" t="n">
        <v>0</v>
      </c>
      <c r="N579" t="n">
        <v>0</v>
      </c>
      <c r="O579" t="n">
        <v>0</v>
      </c>
      <c r="P579" t="n">
        <v>0</v>
      </c>
      <c r="Q579" t="n">
        <v>0</v>
      </c>
      <c r="R579" s="2" t="inlineStr"/>
    </row>
    <row r="580" ht="15" customHeight="1">
      <c r="A580" t="inlineStr">
        <is>
          <t>A 49041-2025</t>
        </is>
      </c>
      <c r="B580" s="1" t="n">
        <v>45937.63592592593</v>
      </c>
      <c r="C580" s="1" t="n">
        <v>46013</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37455-2025</t>
        </is>
      </c>
      <c r="B581" s="1" t="n">
        <v>45877.56710648148</v>
      </c>
      <c r="C581" s="1" t="n">
        <v>46013</v>
      </c>
      <c r="D581" t="inlineStr">
        <is>
          <t>JÄMTLANDS LÄN</t>
        </is>
      </c>
      <c r="E581" t="inlineStr">
        <is>
          <t>BERG</t>
        </is>
      </c>
      <c r="G581" t="n">
        <v>5.6</v>
      </c>
      <c r="H581" t="n">
        <v>0</v>
      </c>
      <c r="I581" t="n">
        <v>0</v>
      </c>
      <c r="J581" t="n">
        <v>0</v>
      </c>
      <c r="K581" t="n">
        <v>0</v>
      </c>
      <c r="L581" t="n">
        <v>0</v>
      </c>
      <c r="M581" t="n">
        <v>0</v>
      </c>
      <c r="N581" t="n">
        <v>0</v>
      </c>
      <c r="O581" t="n">
        <v>0</v>
      </c>
      <c r="P581" t="n">
        <v>0</v>
      </c>
      <c r="Q581" t="n">
        <v>0</v>
      </c>
      <c r="R581" s="2" t="inlineStr"/>
    </row>
    <row r="582" ht="15" customHeight="1">
      <c r="A582" t="inlineStr">
        <is>
          <t>A 57192-2025</t>
        </is>
      </c>
      <c r="B582" s="1" t="n">
        <v>45979.57696759259</v>
      </c>
      <c r="C582" s="1" t="n">
        <v>46013</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23877-2024</t>
        </is>
      </c>
      <c r="B583" s="1" t="n">
        <v>45455.63024305556</v>
      </c>
      <c r="C583" s="1" t="n">
        <v>46013</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23880-2024</t>
        </is>
      </c>
      <c r="B584" s="1" t="n">
        <v>45455.63731481481</v>
      </c>
      <c r="C584" s="1" t="n">
        <v>46013</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37431-2025</t>
        </is>
      </c>
      <c r="B585" s="1" t="n">
        <v>45877.51092592593</v>
      </c>
      <c r="C585" s="1" t="n">
        <v>46013</v>
      </c>
      <c r="D585" t="inlineStr">
        <is>
          <t>JÄMTLANDS LÄN</t>
        </is>
      </c>
      <c r="E585" t="inlineStr">
        <is>
          <t>BERG</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37463-2025</t>
        </is>
      </c>
      <c r="B586" s="1" t="n">
        <v>45877.5738425926</v>
      </c>
      <c r="C586" s="1" t="n">
        <v>46013</v>
      </c>
      <c r="D586" t="inlineStr">
        <is>
          <t>JÄMTLANDS LÄN</t>
        </is>
      </c>
      <c r="E586" t="inlineStr">
        <is>
          <t>BERG</t>
        </is>
      </c>
      <c r="F586" t="inlineStr">
        <is>
          <t>SCA</t>
        </is>
      </c>
      <c r="G586" t="n">
        <v>13.3</v>
      </c>
      <c r="H586" t="n">
        <v>0</v>
      </c>
      <c r="I586" t="n">
        <v>0</v>
      </c>
      <c r="J586" t="n">
        <v>0</v>
      </c>
      <c r="K586" t="n">
        <v>0</v>
      </c>
      <c r="L586" t="n">
        <v>0</v>
      </c>
      <c r="M586" t="n">
        <v>0</v>
      </c>
      <c r="N586" t="n">
        <v>0</v>
      </c>
      <c r="O586" t="n">
        <v>0</v>
      </c>
      <c r="P586" t="n">
        <v>0</v>
      </c>
      <c r="Q586" t="n">
        <v>0</v>
      </c>
      <c r="R586" s="2" t="inlineStr"/>
    </row>
    <row r="587" ht="15" customHeight="1">
      <c r="A587" t="inlineStr">
        <is>
          <t>A 48968-2025</t>
        </is>
      </c>
      <c r="B587" s="1" t="n">
        <v>45937.56285879629</v>
      </c>
      <c r="C587" s="1" t="n">
        <v>46013</v>
      </c>
      <c r="D587" t="inlineStr">
        <is>
          <t>JÄMTLANDS LÄN</t>
        </is>
      </c>
      <c r="E587" t="inlineStr">
        <is>
          <t>BERG</t>
        </is>
      </c>
      <c r="G587" t="n">
        <v>20</v>
      </c>
      <c r="H587" t="n">
        <v>0</v>
      </c>
      <c r="I587" t="n">
        <v>0</v>
      </c>
      <c r="J587" t="n">
        <v>0</v>
      </c>
      <c r="K587" t="n">
        <v>0</v>
      </c>
      <c r="L587" t="n">
        <v>0</v>
      </c>
      <c r="M587" t="n">
        <v>0</v>
      </c>
      <c r="N587" t="n">
        <v>0</v>
      </c>
      <c r="O587" t="n">
        <v>0</v>
      </c>
      <c r="P587" t="n">
        <v>0</v>
      </c>
      <c r="Q587" t="n">
        <v>0</v>
      </c>
      <c r="R587" s="2" t="inlineStr"/>
    </row>
    <row r="588" ht="15" customHeight="1">
      <c r="A588" t="inlineStr">
        <is>
          <t>A 57039-2025</t>
        </is>
      </c>
      <c r="B588" s="1" t="n">
        <v>45979.34543981482</v>
      </c>
      <c r="C588" s="1" t="n">
        <v>46013</v>
      </c>
      <c r="D588" t="inlineStr">
        <is>
          <t>JÄMTLANDS LÄN</t>
        </is>
      </c>
      <c r="E588" t="inlineStr">
        <is>
          <t>BERG</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29087-2024</t>
        </is>
      </c>
      <c r="B589" s="1" t="n">
        <v>45481.92946759259</v>
      </c>
      <c r="C589" s="1" t="n">
        <v>46013</v>
      </c>
      <c r="D589" t="inlineStr">
        <is>
          <t>JÄMTLANDS LÄN</t>
        </is>
      </c>
      <c r="E589" t="inlineStr">
        <is>
          <t>BERG</t>
        </is>
      </c>
      <c r="G589" t="n">
        <v>10.7</v>
      </c>
      <c r="H589" t="n">
        <v>0</v>
      </c>
      <c r="I589" t="n">
        <v>0</v>
      </c>
      <c r="J589" t="n">
        <v>0</v>
      </c>
      <c r="K589" t="n">
        <v>0</v>
      </c>
      <c r="L589" t="n">
        <v>0</v>
      </c>
      <c r="M589" t="n">
        <v>0</v>
      </c>
      <c r="N589" t="n">
        <v>0</v>
      </c>
      <c r="O589" t="n">
        <v>0</v>
      </c>
      <c r="P589" t="n">
        <v>0</v>
      </c>
      <c r="Q589" t="n">
        <v>0</v>
      </c>
      <c r="R589" s="2" t="inlineStr"/>
    </row>
    <row r="590" ht="15" customHeight="1">
      <c r="A590" t="inlineStr">
        <is>
          <t>A 48865-2025</t>
        </is>
      </c>
      <c r="B590" s="1" t="n">
        <v>45937.44760416666</v>
      </c>
      <c r="C590" s="1" t="n">
        <v>46013</v>
      </c>
      <c r="D590" t="inlineStr">
        <is>
          <t>JÄMTLANDS LÄN</t>
        </is>
      </c>
      <c r="E590" t="inlineStr">
        <is>
          <t>BERG</t>
        </is>
      </c>
      <c r="G590" t="n">
        <v>5.8</v>
      </c>
      <c r="H590" t="n">
        <v>0</v>
      </c>
      <c r="I590" t="n">
        <v>0</v>
      </c>
      <c r="J590" t="n">
        <v>0</v>
      </c>
      <c r="K590" t="n">
        <v>0</v>
      </c>
      <c r="L590" t="n">
        <v>0</v>
      </c>
      <c r="M590" t="n">
        <v>0</v>
      </c>
      <c r="N590" t="n">
        <v>0</v>
      </c>
      <c r="O590" t="n">
        <v>0</v>
      </c>
      <c r="P590" t="n">
        <v>0</v>
      </c>
      <c r="Q590" t="n">
        <v>0</v>
      </c>
      <c r="R590" s="2" t="inlineStr"/>
    </row>
    <row r="591" ht="15" customHeight="1">
      <c r="A591" t="inlineStr">
        <is>
          <t>A 57503-2025</t>
        </is>
      </c>
      <c r="B591" s="1" t="n">
        <v>45980.59431712963</v>
      </c>
      <c r="C591" s="1" t="n">
        <v>46013</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37488-2025</t>
        </is>
      </c>
      <c r="B592" s="1" t="n">
        <v>45877.63582175926</v>
      </c>
      <c r="C592" s="1" t="n">
        <v>46013</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49349-2025</t>
        </is>
      </c>
      <c r="B593" s="1" t="n">
        <v>45938.61060185185</v>
      </c>
      <c r="C593" s="1" t="n">
        <v>46013</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57244-2025</t>
        </is>
      </c>
      <c r="B594" s="1" t="n">
        <v>45979.63030092593</v>
      </c>
      <c r="C594" s="1" t="n">
        <v>46013</v>
      </c>
      <c r="D594" t="inlineStr">
        <is>
          <t>JÄMTLANDS LÄN</t>
        </is>
      </c>
      <c r="E594" t="inlineStr">
        <is>
          <t>BERG</t>
        </is>
      </c>
      <c r="G594" t="n">
        <v>17.7</v>
      </c>
      <c r="H594" t="n">
        <v>0</v>
      </c>
      <c r="I594" t="n">
        <v>0</v>
      </c>
      <c r="J594" t="n">
        <v>0</v>
      </c>
      <c r="K594" t="n">
        <v>0</v>
      </c>
      <c r="L594" t="n">
        <v>0</v>
      </c>
      <c r="M594" t="n">
        <v>0</v>
      </c>
      <c r="N594" t="n">
        <v>0</v>
      </c>
      <c r="O594" t="n">
        <v>0</v>
      </c>
      <c r="P594" t="n">
        <v>0</v>
      </c>
      <c r="Q594" t="n">
        <v>0</v>
      </c>
      <c r="R594" s="2" t="inlineStr"/>
    </row>
    <row r="595" ht="15" customHeight="1">
      <c r="A595" t="inlineStr">
        <is>
          <t>A 38080-2025</t>
        </is>
      </c>
      <c r="B595" s="1" t="n">
        <v>45882</v>
      </c>
      <c r="C595" s="1" t="n">
        <v>46013</v>
      </c>
      <c r="D595" t="inlineStr">
        <is>
          <t>JÄMTLANDS LÄN</t>
        </is>
      </c>
      <c r="E595" t="inlineStr">
        <is>
          <t>BERG</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15785-2021</t>
        </is>
      </c>
      <c r="B596" s="1" t="n">
        <v>44286.58679398148</v>
      </c>
      <c r="C596" s="1" t="n">
        <v>46013</v>
      </c>
      <c r="D596" t="inlineStr">
        <is>
          <t>JÄMTLANDS LÄN</t>
        </is>
      </c>
      <c r="E596" t="inlineStr">
        <is>
          <t>BERG</t>
        </is>
      </c>
      <c r="G596" t="n">
        <v>3.2</v>
      </c>
      <c r="H596" t="n">
        <v>0</v>
      </c>
      <c r="I596" t="n">
        <v>0</v>
      </c>
      <c r="J596" t="n">
        <v>0</v>
      </c>
      <c r="K596" t="n">
        <v>0</v>
      </c>
      <c r="L596" t="n">
        <v>0</v>
      </c>
      <c r="M596" t="n">
        <v>0</v>
      </c>
      <c r="N596" t="n">
        <v>0</v>
      </c>
      <c r="O596" t="n">
        <v>0</v>
      </c>
      <c r="P596" t="n">
        <v>0</v>
      </c>
      <c r="Q596" t="n">
        <v>0</v>
      </c>
      <c r="R596" s="2" t="inlineStr"/>
    </row>
    <row r="597" ht="15" customHeight="1">
      <c r="A597" t="inlineStr">
        <is>
          <t>A 38082-2025</t>
        </is>
      </c>
      <c r="B597" s="1" t="n">
        <v>45882</v>
      </c>
      <c r="C597" s="1" t="n">
        <v>46013</v>
      </c>
      <c r="D597" t="inlineStr">
        <is>
          <t>JÄMTLANDS LÄN</t>
        </is>
      </c>
      <c r="E597" t="inlineStr">
        <is>
          <t>BERG</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46013</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57602-2025</t>
        </is>
      </c>
      <c r="B599" s="1" t="n">
        <v>45981.31667824074</v>
      </c>
      <c r="C599" s="1" t="n">
        <v>46013</v>
      </c>
      <c r="D599" t="inlineStr">
        <is>
          <t>JÄMTLANDS LÄN</t>
        </is>
      </c>
      <c r="E599" t="inlineStr">
        <is>
          <t>BERG</t>
        </is>
      </c>
      <c r="G599" t="n">
        <v>2.7</v>
      </c>
      <c r="H599" t="n">
        <v>0</v>
      </c>
      <c r="I599" t="n">
        <v>0</v>
      </c>
      <c r="J599" t="n">
        <v>0</v>
      </c>
      <c r="K599" t="n">
        <v>0</v>
      </c>
      <c r="L599" t="n">
        <v>0</v>
      </c>
      <c r="M599" t="n">
        <v>0</v>
      </c>
      <c r="N599" t="n">
        <v>0</v>
      </c>
      <c r="O599" t="n">
        <v>0</v>
      </c>
      <c r="P599" t="n">
        <v>0</v>
      </c>
      <c r="Q599" t="n">
        <v>0</v>
      </c>
      <c r="R599" s="2" t="inlineStr"/>
    </row>
    <row r="600" ht="15" customHeight="1">
      <c r="A600" t="inlineStr">
        <is>
          <t>A 49573-2025</t>
        </is>
      </c>
      <c r="B600" s="1" t="n">
        <v>45939.49037037037</v>
      </c>
      <c r="C600" s="1" t="n">
        <v>46013</v>
      </c>
      <c r="D600" t="inlineStr">
        <is>
          <t>JÄMTLANDS LÄN</t>
        </is>
      </c>
      <c r="E600" t="inlineStr">
        <is>
          <t>BERG</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49749-2025</t>
        </is>
      </c>
      <c r="B601" s="1" t="n">
        <v>45940.34486111111</v>
      </c>
      <c r="C601" s="1" t="n">
        <v>46013</v>
      </c>
      <c r="D601" t="inlineStr">
        <is>
          <t>JÄMTLANDS LÄN</t>
        </is>
      </c>
      <c r="E601" t="inlineStr">
        <is>
          <t>BERG</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61652-2024</t>
        </is>
      </c>
      <c r="B602" s="1" t="n">
        <v>45646.72293981481</v>
      </c>
      <c r="C602" s="1" t="n">
        <v>46013</v>
      </c>
      <c r="D602" t="inlineStr">
        <is>
          <t>JÄMTLANDS LÄN</t>
        </is>
      </c>
      <c r="E602" t="inlineStr">
        <is>
          <t>BERG</t>
        </is>
      </c>
      <c r="G602" t="n">
        <v>6.4</v>
      </c>
      <c r="H602" t="n">
        <v>0</v>
      </c>
      <c r="I602" t="n">
        <v>0</v>
      </c>
      <c r="J602" t="n">
        <v>0</v>
      </c>
      <c r="K602" t="n">
        <v>0</v>
      </c>
      <c r="L602" t="n">
        <v>0</v>
      </c>
      <c r="M602" t="n">
        <v>0</v>
      </c>
      <c r="N602" t="n">
        <v>0</v>
      </c>
      <c r="O602" t="n">
        <v>0</v>
      </c>
      <c r="P602" t="n">
        <v>0</v>
      </c>
      <c r="Q602" t="n">
        <v>0</v>
      </c>
      <c r="R602" s="2" t="inlineStr"/>
    </row>
    <row r="603" ht="15" customHeight="1">
      <c r="A603" t="inlineStr">
        <is>
          <t>A 57763-2025</t>
        </is>
      </c>
      <c r="B603" s="1" t="n">
        <v>45981.55693287037</v>
      </c>
      <c r="C603" s="1" t="n">
        <v>46013</v>
      </c>
      <c r="D603" t="inlineStr">
        <is>
          <t>JÄMTLANDS LÄN</t>
        </is>
      </c>
      <c r="E603" t="inlineStr">
        <is>
          <t>BERG</t>
        </is>
      </c>
      <c r="F603" t="inlineStr">
        <is>
          <t>Övriga Aktiebolag</t>
        </is>
      </c>
      <c r="G603" t="n">
        <v>13.1</v>
      </c>
      <c r="H603" t="n">
        <v>0</v>
      </c>
      <c r="I603" t="n">
        <v>0</v>
      </c>
      <c r="J603" t="n">
        <v>0</v>
      </c>
      <c r="K603" t="n">
        <v>0</v>
      </c>
      <c r="L603" t="n">
        <v>0</v>
      </c>
      <c r="M603" t="n">
        <v>0</v>
      </c>
      <c r="N603" t="n">
        <v>0</v>
      </c>
      <c r="O603" t="n">
        <v>0</v>
      </c>
      <c r="P603" t="n">
        <v>0</v>
      </c>
      <c r="Q603" t="n">
        <v>0</v>
      </c>
      <c r="R603" s="2" t="inlineStr"/>
    </row>
    <row r="604" ht="15" customHeight="1">
      <c r="A604" t="inlineStr">
        <is>
          <t>A 57861-2025</t>
        </is>
      </c>
      <c r="B604" s="1" t="n">
        <v>45981.64236111111</v>
      </c>
      <c r="C604" s="1" t="n">
        <v>46013</v>
      </c>
      <c r="D604" t="inlineStr">
        <is>
          <t>JÄMTLANDS LÄN</t>
        </is>
      </c>
      <c r="E604" t="inlineStr">
        <is>
          <t>BERG</t>
        </is>
      </c>
      <c r="G604" t="n">
        <v>1.3</v>
      </c>
      <c r="H604" t="n">
        <v>0</v>
      </c>
      <c r="I604" t="n">
        <v>0</v>
      </c>
      <c r="J604" t="n">
        <v>0</v>
      </c>
      <c r="K604" t="n">
        <v>0</v>
      </c>
      <c r="L604" t="n">
        <v>0</v>
      </c>
      <c r="M604" t="n">
        <v>0</v>
      </c>
      <c r="N604" t="n">
        <v>0</v>
      </c>
      <c r="O604" t="n">
        <v>0</v>
      </c>
      <c r="P604" t="n">
        <v>0</v>
      </c>
      <c r="Q604" t="n">
        <v>0</v>
      </c>
      <c r="R604" s="2" t="inlineStr"/>
    </row>
    <row r="605" ht="15" customHeight="1">
      <c r="A605" t="inlineStr">
        <is>
          <t>A 49918-2025</t>
        </is>
      </c>
      <c r="B605" s="1" t="n">
        <v>45940.6290625</v>
      </c>
      <c r="C605" s="1" t="n">
        <v>46013</v>
      </c>
      <c r="D605" t="inlineStr">
        <is>
          <t>JÄMTLANDS LÄN</t>
        </is>
      </c>
      <c r="E605" t="inlineStr">
        <is>
          <t>BERG</t>
        </is>
      </c>
      <c r="G605" t="n">
        <v>0.7</v>
      </c>
      <c r="H605" t="n">
        <v>0</v>
      </c>
      <c r="I605" t="n">
        <v>0</v>
      </c>
      <c r="J605" t="n">
        <v>0</v>
      </c>
      <c r="K605" t="n">
        <v>0</v>
      </c>
      <c r="L605" t="n">
        <v>0</v>
      </c>
      <c r="M605" t="n">
        <v>0</v>
      </c>
      <c r="N605" t="n">
        <v>0</v>
      </c>
      <c r="O605" t="n">
        <v>0</v>
      </c>
      <c r="P605" t="n">
        <v>0</v>
      </c>
      <c r="Q605" t="n">
        <v>0</v>
      </c>
      <c r="R605" s="2" t="inlineStr"/>
    </row>
    <row r="606" ht="15" customHeight="1">
      <c r="A606" t="inlineStr">
        <is>
          <t>A 21679-2023</t>
        </is>
      </c>
      <c r="B606" s="1" t="n">
        <v>45063.94199074074</v>
      </c>
      <c r="C606" s="1" t="n">
        <v>46013</v>
      </c>
      <c r="D606" t="inlineStr">
        <is>
          <t>JÄMTLANDS LÄN</t>
        </is>
      </c>
      <c r="E606" t="inlineStr">
        <is>
          <t>BERG</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41105-2023</t>
        </is>
      </c>
      <c r="B607" s="1" t="n">
        <v>45170</v>
      </c>
      <c r="C607" s="1" t="n">
        <v>46013</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57849-2025</t>
        </is>
      </c>
      <c r="B608" s="1" t="n">
        <v>45981.63472222222</v>
      </c>
      <c r="C608" s="1" t="n">
        <v>46013</v>
      </c>
      <c r="D608" t="inlineStr">
        <is>
          <t>JÄMTLANDS LÄN</t>
        </is>
      </c>
      <c r="E608" t="inlineStr">
        <is>
          <t>BERG</t>
        </is>
      </c>
      <c r="G608" t="n">
        <v>1.8</v>
      </c>
      <c r="H608" t="n">
        <v>0</v>
      </c>
      <c r="I608" t="n">
        <v>0</v>
      </c>
      <c r="J608" t="n">
        <v>0</v>
      </c>
      <c r="K608" t="n">
        <v>0</v>
      </c>
      <c r="L608" t="n">
        <v>0</v>
      </c>
      <c r="M608" t="n">
        <v>0</v>
      </c>
      <c r="N608" t="n">
        <v>0</v>
      </c>
      <c r="O608" t="n">
        <v>0</v>
      </c>
      <c r="P608" t="n">
        <v>0</v>
      </c>
      <c r="Q608" t="n">
        <v>0</v>
      </c>
      <c r="R608" s="2" t="inlineStr"/>
    </row>
    <row r="609" ht="15" customHeight="1">
      <c r="A609" t="inlineStr">
        <is>
          <t>A 43403-2023</t>
        </is>
      </c>
      <c r="B609" s="1" t="n">
        <v>45183</v>
      </c>
      <c r="C609" s="1" t="n">
        <v>46013</v>
      </c>
      <c r="D609" t="inlineStr">
        <is>
          <t>JÄMTLANDS LÄN</t>
        </is>
      </c>
      <c r="E609" t="inlineStr">
        <is>
          <t>BERG</t>
        </is>
      </c>
      <c r="F609" t="inlineStr">
        <is>
          <t>SCA</t>
        </is>
      </c>
      <c r="G609" t="n">
        <v>0.1</v>
      </c>
      <c r="H609" t="n">
        <v>0</v>
      </c>
      <c r="I609" t="n">
        <v>0</v>
      </c>
      <c r="J609" t="n">
        <v>0</v>
      </c>
      <c r="K609" t="n">
        <v>0</v>
      </c>
      <c r="L609" t="n">
        <v>0</v>
      </c>
      <c r="M609" t="n">
        <v>0</v>
      </c>
      <c r="N609" t="n">
        <v>0</v>
      </c>
      <c r="O609" t="n">
        <v>0</v>
      </c>
      <c r="P609" t="n">
        <v>0</v>
      </c>
      <c r="Q609" t="n">
        <v>0</v>
      </c>
      <c r="R609" s="2" t="inlineStr"/>
    </row>
    <row r="610" ht="15" customHeight="1">
      <c r="A610" t="inlineStr">
        <is>
          <t>A 49604-2025</t>
        </is>
      </c>
      <c r="B610" s="1" t="n">
        <v>45939.55241898148</v>
      </c>
      <c r="C610" s="1" t="n">
        <v>46013</v>
      </c>
      <c r="D610" t="inlineStr">
        <is>
          <t>JÄMTLANDS LÄN</t>
        </is>
      </c>
      <c r="E610" t="inlineStr">
        <is>
          <t>BERG</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58437-2025</t>
        </is>
      </c>
      <c r="B611" s="1" t="n">
        <v>45985.61512731481</v>
      </c>
      <c r="C611" s="1" t="n">
        <v>46013</v>
      </c>
      <c r="D611" t="inlineStr">
        <is>
          <t>JÄMTLANDS LÄN</t>
        </is>
      </c>
      <c r="E611" t="inlineStr">
        <is>
          <t>BERG</t>
        </is>
      </c>
      <c r="G611" t="n">
        <v>1.6</v>
      </c>
      <c r="H611" t="n">
        <v>0</v>
      </c>
      <c r="I611" t="n">
        <v>0</v>
      </c>
      <c r="J611" t="n">
        <v>0</v>
      </c>
      <c r="K611" t="n">
        <v>0</v>
      </c>
      <c r="L611" t="n">
        <v>0</v>
      </c>
      <c r="M611" t="n">
        <v>0</v>
      </c>
      <c r="N611" t="n">
        <v>0</v>
      </c>
      <c r="O611" t="n">
        <v>0</v>
      </c>
      <c r="P611" t="n">
        <v>0</v>
      </c>
      <c r="Q611" t="n">
        <v>0</v>
      </c>
      <c r="R611" s="2" t="inlineStr"/>
    </row>
    <row r="612" ht="15" customHeight="1">
      <c r="A612" t="inlineStr">
        <is>
          <t>A 6982-2025</t>
        </is>
      </c>
      <c r="B612" s="1" t="n">
        <v>45701.55769675926</v>
      </c>
      <c r="C612" s="1" t="n">
        <v>46013</v>
      </c>
      <c r="D612" t="inlineStr">
        <is>
          <t>JÄMTLANDS LÄN</t>
        </is>
      </c>
      <c r="E612" t="inlineStr">
        <is>
          <t>BERG</t>
        </is>
      </c>
      <c r="G612" t="n">
        <v>6.8</v>
      </c>
      <c r="H612" t="n">
        <v>0</v>
      </c>
      <c r="I612" t="n">
        <v>0</v>
      </c>
      <c r="J612" t="n">
        <v>0</v>
      </c>
      <c r="K612" t="n">
        <v>0</v>
      </c>
      <c r="L612" t="n">
        <v>0</v>
      </c>
      <c r="M612" t="n">
        <v>0</v>
      </c>
      <c r="N612" t="n">
        <v>0</v>
      </c>
      <c r="O612" t="n">
        <v>0</v>
      </c>
      <c r="P612" t="n">
        <v>0</v>
      </c>
      <c r="Q612" t="n">
        <v>0</v>
      </c>
      <c r="R612" s="2" t="inlineStr"/>
    </row>
    <row r="613" ht="15" customHeight="1">
      <c r="A613" t="inlineStr">
        <is>
          <t>A 50094-2025</t>
        </is>
      </c>
      <c r="B613" s="1" t="n">
        <v>45943.49340277778</v>
      </c>
      <c r="C613" s="1" t="n">
        <v>46013</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58470-2025</t>
        </is>
      </c>
      <c r="B614" s="1" t="n">
        <v>45985.63704861111</v>
      </c>
      <c r="C614" s="1" t="n">
        <v>46013</v>
      </c>
      <c r="D614" t="inlineStr">
        <is>
          <t>JÄMTLANDS LÄN</t>
        </is>
      </c>
      <c r="E614" t="inlineStr">
        <is>
          <t>BERG</t>
        </is>
      </c>
      <c r="G614" t="n">
        <v>3.6</v>
      </c>
      <c r="H614" t="n">
        <v>0</v>
      </c>
      <c r="I614" t="n">
        <v>0</v>
      </c>
      <c r="J614" t="n">
        <v>0</v>
      </c>
      <c r="K614" t="n">
        <v>0</v>
      </c>
      <c r="L614" t="n">
        <v>0</v>
      </c>
      <c r="M614" t="n">
        <v>0</v>
      </c>
      <c r="N614" t="n">
        <v>0</v>
      </c>
      <c r="O614" t="n">
        <v>0</v>
      </c>
      <c r="P614" t="n">
        <v>0</v>
      </c>
      <c r="Q614" t="n">
        <v>0</v>
      </c>
      <c r="R614" s="2" t="inlineStr"/>
    </row>
    <row r="615" ht="15" customHeight="1">
      <c r="A615" t="inlineStr">
        <is>
          <t>A 50231-2025</t>
        </is>
      </c>
      <c r="B615" s="1" t="n">
        <v>45943.70643518519</v>
      </c>
      <c r="C615" s="1" t="n">
        <v>46013</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50233-2025</t>
        </is>
      </c>
      <c r="B616" s="1" t="n">
        <v>45943.71228009259</v>
      </c>
      <c r="C616" s="1" t="n">
        <v>46013</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50227-2025</t>
        </is>
      </c>
      <c r="B617" s="1" t="n">
        <v>45943.69686342592</v>
      </c>
      <c r="C617" s="1" t="n">
        <v>46013</v>
      </c>
      <c r="D617" t="inlineStr">
        <is>
          <t>JÄMTLANDS LÄN</t>
        </is>
      </c>
      <c r="E617" t="inlineStr">
        <is>
          <t>BERG</t>
        </is>
      </c>
      <c r="G617" t="n">
        <v>1.5</v>
      </c>
      <c r="H617" t="n">
        <v>0</v>
      </c>
      <c r="I617" t="n">
        <v>0</v>
      </c>
      <c r="J617" t="n">
        <v>0</v>
      </c>
      <c r="K617" t="n">
        <v>0</v>
      </c>
      <c r="L617" t="n">
        <v>0</v>
      </c>
      <c r="M617" t="n">
        <v>0</v>
      </c>
      <c r="N617" t="n">
        <v>0</v>
      </c>
      <c r="O617" t="n">
        <v>0</v>
      </c>
      <c r="P617" t="n">
        <v>0</v>
      </c>
      <c r="Q617" t="n">
        <v>0</v>
      </c>
      <c r="R617" s="2" t="inlineStr"/>
    </row>
    <row r="618" ht="15" customHeight="1">
      <c r="A618" t="inlineStr">
        <is>
          <t>A 43458-2025</t>
        </is>
      </c>
      <c r="B618" s="1" t="n">
        <v>45911.46315972223</v>
      </c>
      <c r="C618" s="1" t="n">
        <v>46013</v>
      </c>
      <c r="D618" t="inlineStr">
        <is>
          <t>JÄMTLANDS LÄN</t>
        </is>
      </c>
      <c r="E618" t="inlineStr">
        <is>
          <t>BERG</t>
        </is>
      </c>
      <c r="G618" t="n">
        <v>11.2</v>
      </c>
      <c r="H618" t="n">
        <v>0</v>
      </c>
      <c r="I618" t="n">
        <v>0</v>
      </c>
      <c r="J618" t="n">
        <v>0</v>
      </c>
      <c r="K618" t="n">
        <v>0</v>
      </c>
      <c r="L618" t="n">
        <v>0</v>
      </c>
      <c r="M618" t="n">
        <v>0</v>
      </c>
      <c r="N618" t="n">
        <v>0</v>
      </c>
      <c r="O618" t="n">
        <v>0</v>
      </c>
      <c r="P618" t="n">
        <v>0</v>
      </c>
      <c r="Q618" t="n">
        <v>0</v>
      </c>
      <c r="R618" s="2" t="inlineStr"/>
    </row>
    <row r="619" ht="15" customHeight="1">
      <c r="A619" t="inlineStr">
        <is>
          <t>A 58708-2025</t>
        </is>
      </c>
      <c r="B619" s="1" t="n">
        <v>45986.60412037037</v>
      </c>
      <c r="C619" s="1" t="n">
        <v>46013</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50024-2025</t>
        </is>
      </c>
      <c r="B620" s="1" t="n">
        <v>45943.37563657408</v>
      </c>
      <c r="C620" s="1" t="n">
        <v>46013</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50020-2025</t>
        </is>
      </c>
      <c r="B621" s="1" t="n">
        <v>45943.36899305556</v>
      </c>
      <c r="C621" s="1" t="n">
        <v>46013</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58436-2025</t>
        </is>
      </c>
      <c r="B622" s="1" t="n">
        <v>45985.61510416667</v>
      </c>
      <c r="C622" s="1" t="n">
        <v>46013</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58413-2025</t>
        </is>
      </c>
      <c r="B623" s="1" t="n">
        <v>45985.57662037037</v>
      </c>
      <c r="C623" s="1" t="n">
        <v>46013</v>
      </c>
      <c r="D623" t="inlineStr">
        <is>
          <t>JÄMTLANDS LÄN</t>
        </is>
      </c>
      <c r="E623" t="inlineStr">
        <is>
          <t>BERG</t>
        </is>
      </c>
      <c r="G623" t="n">
        <v>4.2</v>
      </c>
      <c r="H623" t="n">
        <v>0</v>
      </c>
      <c r="I623" t="n">
        <v>0</v>
      </c>
      <c r="J623" t="n">
        <v>0</v>
      </c>
      <c r="K623" t="n">
        <v>0</v>
      </c>
      <c r="L623" t="n">
        <v>0</v>
      </c>
      <c r="M623" t="n">
        <v>0</v>
      </c>
      <c r="N623" t="n">
        <v>0</v>
      </c>
      <c r="O623" t="n">
        <v>0</v>
      </c>
      <c r="P623" t="n">
        <v>0</v>
      </c>
      <c r="Q623" t="n">
        <v>0</v>
      </c>
      <c r="R623" s="2" t="inlineStr"/>
    </row>
    <row r="624" ht="15" customHeight="1">
      <c r="A624" t="inlineStr">
        <is>
          <t>A 50230-2025</t>
        </is>
      </c>
      <c r="B624" s="1" t="n">
        <v>45943.70216435185</v>
      </c>
      <c r="C624" s="1" t="n">
        <v>46013</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433-2023</t>
        </is>
      </c>
      <c r="B625" s="1" t="n">
        <v>44923</v>
      </c>
      <c r="C625" s="1" t="n">
        <v>46013</v>
      </c>
      <c r="D625" t="inlineStr">
        <is>
          <t>JÄMTLANDS LÄN</t>
        </is>
      </c>
      <c r="E625" t="inlineStr">
        <is>
          <t>BERG</t>
        </is>
      </c>
      <c r="G625" t="n">
        <v>1.5</v>
      </c>
      <c r="H625" t="n">
        <v>0</v>
      </c>
      <c r="I625" t="n">
        <v>0</v>
      </c>
      <c r="J625" t="n">
        <v>0</v>
      </c>
      <c r="K625" t="n">
        <v>0</v>
      </c>
      <c r="L625" t="n">
        <v>0</v>
      </c>
      <c r="M625" t="n">
        <v>0</v>
      </c>
      <c r="N625" t="n">
        <v>0</v>
      </c>
      <c r="O625" t="n">
        <v>0</v>
      </c>
      <c r="P625" t="n">
        <v>0</v>
      </c>
      <c r="Q625" t="n">
        <v>0</v>
      </c>
      <c r="R625" s="2" t="inlineStr"/>
    </row>
    <row r="626" ht="15" customHeight="1">
      <c r="A626" t="inlineStr">
        <is>
          <t>A 61980-2024</t>
        </is>
      </c>
      <c r="B626" s="1" t="n">
        <v>45653.66269675926</v>
      </c>
      <c r="C626" s="1" t="n">
        <v>46013</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50273-2025</t>
        </is>
      </c>
      <c r="B627" s="1" t="n">
        <v>45944.36600694444</v>
      </c>
      <c r="C627" s="1" t="n">
        <v>46013</v>
      </c>
      <c r="D627" t="inlineStr">
        <is>
          <t>JÄMTLANDS LÄN</t>
        </is>
      </c>
      <c r="E627" t="inlineStr">
        <is>
          <t>BERG</t>
        </is>
      </c>
      <c r="G627" t="n">
        <v>5.7</v>
      </c>
      <c r="H627" t="n">
        <v>0</v>
      </c>
      <c r="I627" t="n">
        <v>0</v>
      </c>
      <c r="J627" t="n">
        <v>0</v>
      </c>
      <c r="K627" t="n">
        <v>0</v>
      </c>
      <c r="L627" t="n">
        <v>0</v>
      </c>
      <c r="M627" t="n">
        <v>0</v>
      </c>
      <c r="N627" t="n">
        <v>0</v>
      </c>
      <c r="O627" t="n">
        <v>0</v>
      </c>
      <c r="P627" t="n">
        <v>0</v>
      </c>
      <c r="Q627" t="n">
        <v>0</v>
      </c>
      <c r="R627" s="2" t="inlineStr"/>
    </row>
    <row r="628" ht="15" customHeight="1">
      <c r="A628" t="inlineStr">
        <is>
          <t>A 58237-2025</t>
        </is>
      </c>
      <c r="B628" s="1" t="n">
        <v>45985.38751157407</v>
      </c>
      <c r="C628" s="1" t="n">
        <v>46013</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58581-2025</t>
        </is>
      </c>
      <c r="B629" s="1" t="n">
        <v>45986.38626157407</v>
      </c>
      <c r="C629" s="1" t="n">
        <v>46013</v>
      </c>
      <c r="D629" t="inlineStr">
        <is>
          <t>JÄMTLANDS LÄN</t>
        </is>
      </c>
      <c r="E629" t="inlineStr">
        <is>
          <t>BERG</t>
        </is>
      </c>
      <c r="G629" t="n">
        <v>6.9</v>
      </c>
      <c r="H629" t="n">
        <v>0</v>
      </c>
      <c r="I629" t="n">
        <v>0</v>
      </c>
      <c r="J629" t="n">
        <v>0</v>
      </c>
      <c r="K629" t="n">
        <v>0</v>
      </c>
      <c r="L629" t="n">
        <v>0</v>
      </c>
      <c r="M629" t="n">
        <v>0</v>
      </c>
      <c r="N629" t="n">
        <v>0</v>
      </c>
      <c r="O629" t="n">
        <v>0</v>
      </c>
      <c r="P629" t="n">
        <v>0</v>
      </c>
      <c r="Q629" t="n">
        <v>0</v>
      </c>
      <c r="R629" s="2" t="inlineStr"/>
    </row>
    <row r="630" ht="15" customHeight="1">
      <c r="A630" t="inlineStr">
        <is>
          <t>A 50408-2025</t>
        </is>
      </c>
      <c r="B630" s="1" t="n">
        <v>45944.64006944445</v>
      </c>
      <c r="C630" s="1" t="n">
        <v>46013</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58438-2025</t>
        </is>
      </c>
      <c r="B631" s="1" t="n">
        <v>45985.61513888889</v>
      </c>
      <c r="C631" s="1" t="n">
        <v>46013</v>
      </c>
      <c r="D631" t="inlineStr">
        <is>
          <t>JÄMTLANDS LÄN</t>
        </is>
      </c>
      <c r="E631" t="inlineStr">
        <is>
          <t>BERG</t>
        </is>
      </c>
      <c r="G631" t="n">
        <v>5.1</v>
      </c>
      <c r="H631" t="n">
        <v>0</v>
      </c>
      <c r="I631" t="n">
        <v>0</v>
      </c>
      <c r="J631" t="n">
        <v>0</v>
      </c>
      <c r="K631" t="n">
        <v>0</v>
      </c>
      <c r="L631" t="n">
        <v>0</v>
      </c>
      <c r="M631" t="n">
        <v>0</v>
      </c>
      <c r="N631" t="n">
        <v>0</v>
      </c>
      <c r="O631" t="n">
        <v>0</v>
      </c>
      <c r="P631" t="n">
        <v>0</v>
      </c>
      <c r="Q631" t="n">
        <v>0</v>
      </c>
      <c r="R631" s="2" t="inlineStr"/>
    </row>
    <row r="632" ht="15" customHeight="1">
      <c r="A632" t="inlineStr">
        <is>
          <t>A 50435-2025</t>
        </is>
      </c>
      <c r="B632" s="1" t="n">
        <v>45944.6984837963</v>
      </c>
      <c r="C632" s="1" t="n">
        <v>46013</v>
      </c>
      <c r="D632" t="inlineStr">
        <is>
          <t>JÄMTLANDS LÄN</t>
        </is>
      </c>
      <c r="E632" t="inlineStr">
        <is>
          <t>BERG</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8191-2025</t>
        </is>
      </c>
      <c r="B633" s="1" t="n">
        <v>45708.40821759259</v>
      </c>
      <c r="C633" s="1" t="n">
        <v>46013</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58822-2025</t>
        </is>
      </c>
      <c r="B634" s="1" t="n">
        <v>45987.34506944445</v>
      </c>
      <c r="C634" s="1" t="n">
        <v>46013</v>
      </c>
      <c r="D634" t="inlineStr">
        <is>
          <t>JÄMTLANDS LÄN</t>
        </is>
      </c>
      <c r="E634" t="inlineStr">
        <is>
          <t>BERG</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56490-2024</t>
        </is>
      </c>
      <c r="B635" s="1" t="n">
        <v>45625.48765046296</v>
      </c>
      <c r="C635" s="1" t="n">
        <v>46013</v>
      </c>
      <c r="D635" t="inlineStr">
        <is>
          <t>JÄMTLANDS LÄN</t>
        </is>
      </c>
      <c r="E635" t="inlineStr">
        <is>
          <t>BERG</t>
        </is>
      </c>
      <c r="G635" t="n">
        <v>5.9</v>
      </c>
      <c r="H635" t="n">
        <v>0</v>
      </c>
      <c r="I635" t="n">
        <v>0</v>
      </c>
      <c r="J635" t="n">
        <v>0</v>
      </c>
      <c r="K635" t="n">
        <v>0</v>
      </c>
      <c r="L635" t="n">
        <v>0</v>
      </c>
      <c r="M635" t="n">
        <v>0</v>
      </c>
      <c r="N635" t="n">
        <v>0</v>
      </c>
      <c r="O635" t="n">
        <v>0</v>
      </c>
      <c r="P635" t="n">
        <v>0</v>
      </c>
      <c r="Q635" t="n">
        <v>0</v>
      </c>
      <c r="R635" s="2" t="inlineStr"/>
    </row>
    <row r="636" ht="15" customHeight="1">
      <c r="A636" t="inlineStr">
        <is>
          <t>A 24011-2023</t>
        </is>
      </c>
      <c r="B636" s="1" t="n">
        <v>45078</v>
      </c>
      <c r="C636" s="1" t="n">
        <v>46013</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59281-2025</t>
        </is>
      </c>
      <c r="B637" s="1" t="n">
        <v>45988.7234375</v>
      </c>
      <c r="C637" s="1" t="n">
        <v>46013</v>
      </c>
      <c r="D637" t="inlineStr">
        <is>
          <t>JÄMTLANDS LÄN</t>
        </is>
      </c>
      <c r="E637" t="inlineStr">
        <is>
          <t>BERG</t>
        </is>
      </c>
      <c r="G637" t="n">
        <v>16.7</v>
      </c>
      <c r="H637" t="n">
        <v>0</v>
      </c>
      <c r="I637" t="n">
        <v>0</v>
      </c>
      <c r="J637" t="n">
        <v>0</v>
      </c>
      <c r="K637" t="n">
        <v>0</v>
      </c>
      <c r="L637" t="n">
        <v>0</v>
      </c>
      <c r="M637" t="n">
        <v>0</v>
      </c>
      <c r="N637" t="n">
        <v>0</v>
      </c>
      <c r="O637" t="n">
        <v>0</v>
      </c>
      <c r="P637" t="n">
        <v>0</v>
      </c>
      <c r="Q637" t="n">
        <v>0</v>
      </c>
      <c r="R637" s="2" t="inlineStr"/>
    </row>
    <row r="638" ht="15" customHeight="1">
      <c r="A638" t="inlineStr">
        <is>
          <t>A 59010-2025</t>
        </is>
      </c>
      <c r="B638" s="1" t="n">
        <v>45987</v>
      </c>
      <c r="C638" s="1" t="n">
        <v>46013</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59267-2025</t>
        </is>
      </c>
      <c r="B639" s="1" t="n">
        <v>45988.66127314815</v>
      </c>
      <c r="C639" s="1" t="n">
        <v>46013</v>
      </c>
      <c r="D639" t="inlineStr">
        <is>
          <t>JÄMTLANDS LÄN</t>
        </is>
      </c>
      <c r="E639" t="inlineStr">
        <is>
          <t>BERG</t>
        </is>
      </c>
      <c r="G639" t="n">
        <v>0.8</v>
      </c>
      <c r="H639" t="n">
        <v>0</v>
      </c>
      <c r="I639" t="n">
        <v>0</v>
      </c>
      <c r="J639" t="n">
        <v>0</v>
      </c>
      <c r="K639" t="n">
        <v>0</v>
      </c>
      <c r="L639" t="n">
        <v>0</v>
      </c>
      <c r="M639" t="n">
        <v>0</v>
      </c>
      <c r="N639" t="n">
        <v>0</v>
      </c>
      <c r="O639" t="n">
        <v>0</v>
      </c>
      <c r="P639" t="n">
        <v>0</v>
      </c>
      <c r="Q639" t="n">
        <v>0</v>
      </c>
      <c r="R639" s="2" t="inlineStr"/>
    </row>
    <row r="640" ht="15" customHeight="1">
      <c r="A640" t="inlineStr">
        <is>
          <t>A 15013-2025</t>
        </is>
      </c>
      <c r="B640" s="1" t="n">
        <v>45743.62734953704</v>
      </c>
      <c r="C640" s="1" t="n">
        <v>46013</v>
      </c>
      <c r="D640" t="inlineStr">
        <is>
          <t>JÄMTLANDS LÄN</t>
        </is>
      </c>
      <c r="E640" t="inlineStr">
        <is>
          <t>BERG</t>
        </is>
      </c>
      <c r="G640" t="n">
        <v>4.6</v>
      </c>
      <c r="H640" t="n">
        <v>0</v>
      </c>
      <c r="I640" t="n">
        <v>0</v>
      </c>
      <c r="J640" t="n">
        <v>0</v>
      </c>
      <c r="K640" t="n">
        <v>0</v>
      </c>
      <c r="L640" t="n">
        <v>0</v>
      </c>
      <c r="M640" t="n">
        <v>0</v>
      </c>
      <c r="N640" t="n">
        <v>0</v>
      </c>
      <c r="O640" t="n">
        <v>0</v>
      </c>
      <c r="P640" t="n">
        <v>0</v>
      </c>
      <c r="Q640" t="n">
        <v>0</v>
      </c>
      <c r="R640" s="2" t="inlineStr"/>
    </row>
    <row r="641" ht="15" customHeight="1">
      <c r="A641" t="inlineStr">
        <is>
          <t>A 50531-2025</t>
        </is>
      </c>
      <c r="B641" s="1" t="n">
        <v>45945.47693287037</v>
      </c>
      <c r="C641" s="1" t="n">
        <v>46013</v>
      </c>
      <c r="D641" t="inlineStr">
        <is>
          <t>JÄMTLANDS LÄN</t>
        </is>
      </c>
      <c r="E641" t="inlineStr">
        <is>
          <t>BERG</t>
        </is>
      </c>
      <c r="G641" t="n">
        <v>13.9</v>
      </c>
      <c r="H641" t="n">
        <v>0</v>
      </c>
      <c r="I641" t="n">
        <v>0</v>
      </c>
      <c r="J641" t="n">
        <v>0</v>
      </c>
      <c r="K641" t="n">
        <v>0</v>
      </c>
      <c r="L641" t="n">
        <v>0</v>
      </c>
      <c r="M641" t="n">
        <v>0</v>
      </c>
      <c r="N641" t="n">
        <v>0</v>
      </c>
      <c r="O641" t="n">
        <v>0</v>
      </c>
      <c r="P641" t="n">
        <v>0</v>
      </c>
      <c r="Q641" t="n">
        <v>0</v>
      </c>
      <c r="R641" s="2" t="inlineStr"/>
    </row>
    <row r="642" ht="15" customHeight="1">
      <c r="A642" t="inlineStr">
        <is>
          <t>A 50547-2025</t>
        </is>
      </c>
      <c r="B642" s="1" t="n">
        <v>45945.51104166666</v>
      </c>
      <c r="C642" s="1" t="n">
        <v>46013</v>
      </c>
      <c r="D642" t="inlineStr">
        <is>
          <t>JÄMTLANDS LÄN</t>
        </is>
      </c>
      <c r="E642" t="inlineStr">
        <is>
          <t>BERG</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59210-2025</t>
        </is>
      </c>
      <c r="B643" s="1" t="n">
        <v>45988.61516203704</v>
      </c>
      <c r="C643" s="1" t="n">
        <v>46013</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59253-2025</t>
        </is>
      </c>
      <c r="B644" s="1" t="n">
        <v>45988.65121527778</v>
      </c>
      <c r="C644" s="1" t="n">
        <v>46013</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50458-2025</t>
        </is>
      </c>
      <c r="B645" s="1" t="n">
        <v>45945</v>
      </c>
      <c r="C645" s="1" t="n">
        <v>46013</v>
      </c>
      <c r="D645" t="inlineStr">
        <is>
          <t>JÄMTLANDS LÄN</t>
        </is>
      </c>
      <c r="E645" t="inlineStr">
        <is>
          <t>BERG</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58861-2025</t>
        </is>
      </c>
      <c r="B646" s="1" t="n">
        <v>45987.42820601852</v>
      </c>
      <c r="C646" s="1" t="n">
        <v>46013</v>
      </c>
      <c r="D646" t="inlineStr">
        <is>
          <t>JÄMTLANDS LÄN</t>
        </is>
      </c>
      <c r="E646" t="inlineStr">
        <is>
          <t>BERG</t>
        </is>
      </c>
      <c r="G646" t="n">
        <v>29.3</v>
      </c>
      <c r="H646" t="n">
        <v>0</v>
      </c>
      <c r="I646" t="n">
        <v>0</v>
      </c>
      <c r="J646" t="n">
        <v>0</v>
      </c>
      <c r="K646" t="n">
        <v>0</v>
      </c>
      <c r="L646" t="n">
        <v>0</v>
      </c>
      <c r="M646" t="n">
        <v>0</v>
      </c>
      <c r="N646" t="n">
        <v>0</v>
      </c>
      <c r="O646" t="n">
        <v>0</v>
      </c>
      <c r="P646" t="n">
        <v>0</v>
      </c>
      <c r="Q646" t="n">
        <v>0</v>
      </c>
      <c r="R646" s="2" t="inlineStr"/>
    </row>
    <row r="647" ht="15" customHeight="1">
      <c r="A647" t="inlineStr">
        <is>
          <t>A 50698-2025</t>
        </is>
      </c>
      <c r="B647" s="1" t="n">
        <v>45945.91894675926</v>
      </c>
      <c r="C647" s="1" t="n">
        <v>46013</v>
      </c>
      <c r="D647" t="inlineStr">
        <is>
          <t>JÄMTLANDS LÄN</t>
        </is>
      </c>
      <c r="E647" t="inlineStr">
        <is>
          <t>BERG</t>
        </is>
      </c>
      <c r="G647" t="n">
        <v>1</v>
      </c>
      <c r="H647" t="n">
        <v>0</v>
      </c>
      <c r="I647" t="n">
        <v>0</v>
      </c>
      <c r="J647" t="n">
        <v>0</v>
      </c>
      <c r="K647" t="n">
        <v>0</v>
      </c>
      <c r="L647" t="n">
        <v>0</v>
      </c>
      <c r="M647" t="n">
        <v>0</v>
      </c>
      <c r="N647" t="n">
        <v>0</v>
      </c>
      <c r="O647" t="n">
        <v>0</v>
      </c>
      <c r="P647" t="n">
        <v>0</v>
      </c>
      <c r="Q647" t="n">
        <v>0</v>
      </c>
      <c r="R647" s="2" t="inlineStr"/>
    </row>
    <row r="648" ht="15" customHeight="1">
      <c r="A648" t="inlineStr">
        <is>
          <t>A 50562-2025</t>
        </is>
      </c>
      <c r="B648" s="1" t="n">
        <v>45945.55256944444</v>
      </c>
      <c r="C648" s="1" t="n">
        <v>46013</v>
      </c>
      <c r="D648" t="inlineStr">
        <is>
          <t>JÄMTLANDS LÄN</t>
        </is>
      </c>
      <c r="E648" t="inlineStr">
        <is>
          <t>BERG</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3419-2025</t>
        </is>
      </c>
      <c r="B649" s="1" t="n">
        <v>45680.4165625</v>
      </c>
      <c r="C649" s="1" t="n">
        <v>46013</v>
      </c>
      <c r="D649" t="inlineStr">
        <is>
          <t>JÄMTLANDS LÄN</t>
        </is>
      </c>
      <c r="E649" t="inlineStr">
        <is>
          <t>BERG</t>
        </is>
      </c>
      <c r="G649" t="n">
        <v>0.8</v>
      </c>
      <c r="H649" t="n">
        <v>0</v>
      </c>
      <c r="I649" t="n">
        <v>0</v>
      </c>
      <c r="J649" t="n">
        <v>0</v>
      </c>
      <c r="K649" t="n">
        <v>0</v>
      </c>
      <c r="L649" t="n">
        <v>0</v>
      </c>
      <c r="M649" t="n">
        <v>0</v>
      </c>
      <c r="N649" t="n">
        <v>0</v>
      </c>
      <c r="O649" t="n">
        <v>0</v>
      </c>
      <c r="P649" t="n">
        <v>0</v>
      </c>
      <c r="Q649" t="n">
        <v>0</v>
      </c>
      <c r="R649" s="2" t="inlineStr"/>
    </row>
    <row r="650" ht="15" customHeight="1">
      <c r="A650" t="inlineStr">
        <is>
          <t>A 41927-2023</t>
        </is>
      </c>
      <c r="B650" s="1" t="n">
        <v>45176</v>
      </c>
      <c r="C650" s="1" t="n">
        <v>46013</v>
      </c>
      <c r="D650" t="inlineStr">
        <is>
          <t>JÄMTLANDS LÄN</t>
        </is>
      </c>
      <c r="E650" t="inlineStr">
        <is>
          <t>BERG</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51079-2025</t>
        </is>
      </c>
      <c r="B651" s="1" t="n">
        <v>45947.465</v>
      </c>
      <c r="C651" s="1" t="n">
        <v>46013</v>
      </c>
      <c r="D651" t="inlineStr">
        <is>
          <t>JÄMTLANDS LÄN</t>
        </is>
      </c>
      <c r="E651" t="inlineStr">
        <is>
          <t>BERG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59401-2025</t>
        </is>
      </c>
      <c r="B652" s="1" t="n">
        <v>45989.48791666667</v>
      </c>
      <c r="C652" s="1" t="n">
        <v>46013</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51495-2025</t>
        </is>
      </c>
      <c r="B653" s="1" t="n">
        <v>45950.6366550926</v>
      </c>
      <c r="C653" s="1" t="n">
        <v>46013</v>
      </c>
      <c r="D653" t="inlineStr">
        <is>
          <t>JÄMTLANDS LÄN</t>
        </is>
      </c>
      <c r="E653" t="inlineStr">
        <is>
          <t>BERG</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5187-2025</t>
        </is>
      </c>
      <c r="B654" s="1" t="n">
        <v>45691.64266203704</v>
      </c>
      <c r="C654" s="1" t="n">
        <v>46013</v>
      </c>
      <c r="D654" t="inlineStr">
        <is>
          <t>JÄMTLANDS LÄN</t>
        </is>
      </c>
      <c r="E654" t="inlineStr">
        <is>
          <t>BERG</t>
        </is>
      </c>
      <c r="G654" t="n">
        <v>2.5</v>
      </c>
      <c r="H654" t="n">
        <v>0</v>
      </c>
      <c r="I654" t="n">
        <v>0</v>
      </c>
      <c r="J654" t="n">
        <v>0</v>
      </c>
      <c r="K654" t="n">
        <v>0</v>
      </c>
      <c r="L654" t="n">
        <v>0</v>
      </c>
      <c r="M654" t="n">
        <v>0</v>
      </c>
      <c r="N654" t="n">
        <v>0</v>
      </c>
      <c r="O654" t="n">
        <v>0</v>
      </c>
      <c r="P654" t="n">
        <v>0</v>
      </c>
      <c r="Q654" t="n">
        <v>0</v>
      </c>
      <c r="R654" s="2" t="inlineStr"/>
    </row>
    <row r="655" ht="15" customHeight="1">
      <c r="A655" t="inlineStr">
        <is>
          <t>A 59404-2025</t>
        </is>
      </c>
      <c r="B655" s="1" t="n">
        <v>45989.48997685185</v>
      </c>
      <c r="C655" s="1" t="n">
        <v>46013</v>
      </c>
      <c r="D655" t="inlineStr">
        <is>
          <t>JÄMTLANDS LÄN</t>
        </is>
      </c>
      <c r="E655" t="inlineStr">
        <is>
          <t>BERG</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19891-2025</t>
        </is>
      </c>
      <c r="B656" s="1" t="n">
        <v>45771.5743287037</v>
      </c>
      <c r="C656" s="1" t="n">
        <v>46013</v>
      </c>
      <c r="D656" t="inlineStr">
        <is>
          <t>JÄMTLANDS LÄN</t>
        </is>
      </c>
      <c r="E656" t="inlineStr">
        <is>
          <t>BERG</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59415-2025</t>
        </is>
      </c>
      <c r="B657" s="1" t="n">
        <v>45989.50196759259</v>
      </c>
      <c r="C657" s="1" t="n">
        <v>46013</v>
      </c>
      <c r="D657" t="inlineStr">
        <is>
          <t>JÄMTLANDS LÄN</t>
        </is>
      </c>
      <c r="E657" t="inlineStr">
        <is>
          <t>BERG</t>
        </is>
      </c>
      <c r="G657" t="n">
        <v>6.8</v>
      </c>
      <c r="H657" t="n">
        <v>0</v>
      </c>
      <c r="I657" t="n">
        <v>0</v>
      </c>
      <c r="J657" t="n">
        <v>0</v>
      </c>
      <c r="K657" t="n">
        <v>0</v>
      </c>
      <c r="L657" t="n">
        <v>0</v>
      </c>
      <c r="M657" t="n">
        <v>0</v>
      </c>
      <c r="N657" t="n">
        <v>0</v>
      </c>
      <c r="O657" t="n">
        <v>0</v>
      </c>
      <c r="P657" t="n">
        <v>0</v>
      </c>
      <c r="Q657" t="n">
        <v>0</v>
      </c>
      <c r="R657" s="2" t="inlineStr"/>
    </row>
    <row r="658" ht="15" customHeight="1">
      <c r="A658" t="inlineStr">
        <is>
          <t>A 59424-2025</t>
        </is>
      </c>
      <c r="B658" s="1" t="n">
        <v>45989.53782407408</v>
      </c>
      <c r="C658" s="1" t="n">
        <v>46013</v>
      </c>
      <c r="D658" t="inlineStr">
        <is>
          <t>JÄMTLANDS LÄN</t>
        </is>
      </c>
      <c r="E658" t="inlineStr">
        <is>
          <t>BERG</t>
        </is>
      </c>
      <c r="G658" t="n">
        <v>3.9</v>
      </c>
      <c r="H658" t="n">
        <v>0</v>
      </c>
      <c r="I658" t="n">
        <v>0</v>
      </c>
      <c r="J658" t="n">
        <v>0</v>
      </c>
      <c r="K658" t="n">
        <v>0</v>
      </c>
      <c r="L658" t="n">
        <v>0</v>
      </c>
      <c r="M658" t="n">
        <v>0</v>
      </c>
      <c r="N658" t="n">
        <v>0</v>
      </c>
      <c r="O658" t="n">
        <v>0</v>
      </c>
      <c r="P658" t="n">
        <v>0</v>
      </c>
      <c r="Q658" t="n">
        <v>0</v>
      </c>
      <c r="R658" s="2" t="inlineStr"/>
    </row>
    <row r="659" ht="15" customHeight="1">
      <c r="A659" t="inlineStr">
        <is>
          <t>A 51203-2025</t>
        </is>
      </c>
      <c r="B659" s="1" t="n">
        <v>45947.63592592593</v>
      </c>
      <c r="C659" s="1" t="n">
        <v>46013</v>
      </c>
      <c r="D659" t="inlineStr">
        <is>
          <t>JÄMTLANDS LÄN</t>
        </is>
      </c>
      <c r="E659" t="inlineStr">
        <is>
          <t>BERG</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59763-2025</t>
        </is>
      </c>
      <c r="B660" s="1" t="n">
        <v>45992.59430555555</v>
      </c>
      <c r="C660" s="1" t="n">
        <v>46013</v>
      </c>
      <c r="D660" t="inlineStr">
        <is>
          <t>JÄMTLANDS LÄN</t>
        </is>
      </c>
      <c r="E660" t="inlineStr">
        <is>
          <t>BERG</t>
        </is>
      </c>
      <c r="F660" t="inlineStr">
        <is>
          <t>SCA</t>
        </is>
      </c>
      <c r="G660" t="n">
        <v>16.5</v>
      </c>
      <c r="H660" t="n">
        <v>0</v>
      </c>
      <c r="I660" t="n">
        <v>0</v>
      </c>
      <c r="J660" t="n">
        <v>0</v>
      </c>
      <c r="K660" t="n">
        <v>0</v>
      </c>
      <c r="L660" t="n">
        <v>0</v>
      </c>
      <c r="M660" t="n">
        <v>0</v>
      </c>
      <c r="N660" t="n">
        <v>0</v>
      </c>
      <c r="O660" t="n">
        <v>0</v>
      </c>
      <c r="P660" t="n">
        <v>0</v>
      </c>
      <c r="Q660" t="n">
        <v>0</v>
      </c>
      <c r="R660" s="2" t="inlineStr"/>
    </row>
    <row r="661" ht="15" customHeight="1">
      <c r="A661" t="inlineStr">
        <is>
          <t>A 51301-2025</t>
        </is>
      </c>
      <c r="B661" s="1" t="n">
        <v>45950.36480324074</v>
      </c>
      <c r="C661" s="1" t="n">
        <v>46013</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51083-2025</t>
        </is>
      </c>
      <c r="B662" s="1" t="n">
        <v>45947.4678587963</v>
      </c>
      <c r="C662" s="1" t="n">
        <v>46013</v>
      </c>
      <c r="D662" t="inlineStr">
        <is>
          <t>JÄMTLANDS LÄN</t>
        </is>
      </c>
      <c r="E662" t="inlineStr">
        <is>
          <t>BERG</t>
        </is>
      </c>
      <c r="F662" t="inlineStr">
        <is>
          <t>Övriga Aktiebolag</t>
        </is>
      </c>
      <c r="G662" t="n">
        <v>10.4</v>
      </c>
      <c r="H662" t="n">
        <v>0</v>
      </c>
      <c r="I662" t="n">
        <v>0</v>
      </c>
      <c r="J662" t="n">
        <v>0</v>
      </c>
      <c r="K662" t="n">
        <v>0</v>
      </c>
      <c r="L662" t="n">
        <v>0</v>
      </c>
      <c r="M662" t="n">
        <v>0</v>
      </c>
      <c r="N662" t="n">
        <v>0</v>
      </c>
      <c r="O662" t="n">
        <v>0</v>
      </c>
      <c r="P662" t="n">
        <v>0</v>
      </c>
      <c r="Q662" t="n">
        <v>0</v>
      </c>
      <c r="R662" s="2" t="inlineStr"/>
    </row>
    <row r="663" ht="15" customHeight="1">
      <c r="A663" t="inlineStr">
        <is>
          <t>A 59824-2025</t>
        </is>
      </c>
      <c r="B663" s="1" t="n">
        <v>45992.65116898148</v>
      </c>
      <c r="C663" s="1" t="n">
        <v>46013</v>
      </c>
      <c r="D663" t="inlineStr">
        <is>
          <t>JÄMTLANDS LÄN</t>
        </is>
      </c>
      <c r="E663" t="inlineStr">
        <is>
          <t>BERG</t>
        </is>
      </c>
      <c r="G663" t="n">
        <v>0.7</v>
      </c>
      <c r="H663" t="n">
        <v>0</v>
      </c>
      <c r="I663" t="n">
        <v>0</v>
      </c>
      <c r="J663" t="n">
        <v>0</v>
      </c>
      <c r="K663" t="n">
        <v>0</v>
      </c>
      <c r="L663" t="n">
        <v>0</v>
      </c>
      <c r="M663" t="n">
        <v>0</v>
      </c>
      <c r="N663" t="n">
        <v>0</v>
      </c>
      <c r="O663" t="n">
        <v>0</v>
      </c>
      <c r="P663" t="n">
        <v>0</v>
      </c>
      <c r="Q663" t="n">
        <v>0</v>
      </c>
      <c r="R663" s="2" t="inlineStr"/>
    </row>
    <row r="664" ht="15" customHeight="1">
      <c r="A664" t="inlineStr">
        <is>
          <t>A 51080-2025</t>
        </is>
      </c>
      <c r="B664" s="1" t="n">
        <v>45947.46655092593</v>
      </c>
      <c r="C664" s="1" t="n">
        <v>46013</v>
      </c>
      <c r="D664" t="inlineStr">
        <is>
          <t>JÄMTLANDS LÄN</t>
        </is>
      </c>
      <c r="E664" t="inlineStr">
        <is>
          <t>BERG</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18775-2024</t>
        </is>
      </c>
      <c r="B665" s="1" t="n">
        <v>45426</v>
      </c>
      <c r="C665" s="1" t="n">
        <v>46013</v>
      </c>
      <c r="D665" t="inlineStr">
        <is>
          <t>JÄMTLANDS LÄN</t>
        </is>
      </c>
      <c r="E665" t="inlineStr">
        <is>
          <t>BERG</t>
        </is>
      </c>
      <c r="G665" t="n">
        <v>13.9</v>
      </c>
      <c r="H665" t="n">
        <v>0</v>
      </c>
      <c r="I665" t="n">
        <v>0</v>
      </c>
      <c r="J665" t="n">
        <v>0</v>
      </c>
      <c r="K665" t="n">
        <v>0</v>
      </c>
      <c r="L665" t="n">
        <v>0</v>
      </c>
      <c r="M665" t="n">
        <v>0</v>
      </c>
      <c r="N665" t="n">
        <v>0</v>
      </c>
      <c r="O665" t="n">
        <v>0</v>
      </c>
      <c r="P665" t="n">
        <v>0</v>
      </c>
      <c r="Q665" t="n">
        <v>0</v>
      </c>
      <c r="R665" s="2" t="inlineStr"/>
    </row>
    <row r="666" ht="15" customHeight="1">
      <c r="A666" t="inlineStr">
        <is>
          <t>A 46268-2023</t>
        </is>
      </c>
      <c r="B666" s="1" t="n">
        <v>45196</v>
      </c>
      <c r="C666" s="1" t="n">
        <v>46013</v>
      </c>
      <c r="D666" t="inlineStr">
        <is>
          <t>JÄMTLANDS LÄN</t>
        </is>
      </c>
      <c r="E666" t="inlineStr">
        <is>
          <t>BERG</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59411-2025</t>
        </is>
      </c>
      <c r="B667" s="1" t="n">
        <v>45989.49638888889</v>
      </c>
      <c r="C667" s="1" t="n">
        <v>46013</v>
      </c>
      <c r="D667" t="inlineStr">
        <is>
          <t>JÄMTLANDS LÄN</t>
        </is>
      </c>
      <c r="E667" t="inlineStr">
        <is>
          <t>BERG</t>
        </is>
      </c>
      <c r="G667" t="n">
        <v>2.4</v>
      </c>
      <c r="H667" t="n">
        <v>0</v>
      </c>
      <c r="I667" t="n">
        <v>0</v>
      </c>
      <c r="J667" t="n">
        <v>0</v>
      </c>
      <c r="K667" t="n">
        <v>0</v>
      </c>
      <c r="L667" t="n">
        <v>0</v>
      </c>
      <c r="M667" t="n">
        <v>0</v>
      </c>
      <c r="N667" t="n">
        <v>0</v>
      </c>
      <c r="O667" t="n">
        <v>0</v>
      </c>
      <c r="P667" t="n">
        <v>0</v>
      </c>
      <c r="Q667" t="n">
        <v>0</v>
      </c>
      <c r="R667" s="2" t="inlineStr"/>
    </row>
    <row r="668" ht="15" customHeight="1">
      <c r="A668" t="inlineStr">
        <is>
          <t>A 59447-2025</t>
        </is>
      </c>
      <c r="B668" s="1" t="n">
        <v>45989</v>
      </c>
      <c r="C668" s="1" t="n">
        <v>46013</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32465-2024</t>
        </is>
      </c>
      <c r="B669" s="1" t="n">
        <v>45512.96096064815</v>
      </c>
      <c r="C669" s="1" t="n">
        <v>46013</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60163-2025</t>
        </is>
      </c>
      <c r="B670" s="1" t="n">
        <v>45994.43094907407</v>
      </c>
      <c r="C670" s="1" t="n">
        <v>46013</v>
      </c>
      <c r="D670" t="inlineStr">
        <is>
          <t>JÄMTLANDS LÄN</t>
        </is>
      </c>
      <c r="E670" t="inlineStr">
        <is>
          <t>BERG</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49555-2023</t>
        </is>
      </c>
      <c r="B671" s="1" t="n">
        <v>45205</v>
      </c>
      <c r="C671" s="1" t="n">
        <v>46013</v>
      </c>
      <c r="D671" t="inlineStr">
        <is>
          <t>JÄMTLANDS LÄN</t>
        </is>
      </c>
      <c r="E671" t="inlineStr">
        <is>
          <t>BERG</t>
        </is>
      </c>
      <c r="G671" t="n">
        <v>0.6</v>
      </c>
      <c r="H671" t="n">
        <v>0</v>
      </c>
      <c r="I671" t="n">
        <v>0</v>
      </c>
      <c r="J671" t="n">
        <v>0</v>
      </c>
      <c r="K671" t="n">
        <v>0</v>
      </c>
      <c r="L671" t="n">
        <v>0</v>
      </c>
      <c r="M671" t="n">
        <v>0</v>
      </c>
      <c r="N671" t="n">
        <v>0</v>
      </c>
      <c r="O671" t="n">
        <v>0</v>
      </c>
      <c r="P671" t="n">
        <v>0</v>
      </c>
      <c r="Q671" t="n">
        <v>0</v>
      </c>
      <c r="R671" s="2" t="inlineStr"/>
    </row>
    <row r="672" ht="15" customHeight="1">
      <c r="A672" t="inlineStr">
        <is>
          <t>A 52128-2025</t>
        </is>
      </c>
      <c r="B672" s="1" t="n">
        <v>45952.72754629629</v>
      </c>
      <c r="C672" s="1" t="n">
        <v>46013</v>
      </c>
      <c r="D672" t="inlineStr">
        <is>
          <t>JÄMTLANDS LÄN</t>
        </is>
      </c>
      <c r="E672" t="inlineStr">
        <is>
          <t>BERG</t>
        </is>
      </c>
      <c r="G672" t="n">
        <v>2.1</v>
      </c>
      <c r="H672" t="n">
        <v>0</v>
      </c>
      <c r="I672" t="n">
        <v>0</v>
      </c>
      <c r="J672" t="n">
        <v>0</v>
      </c>
      <c r="K672" t="n">
        <v>0</v>
      </c>
      <c r="L672" t="n">
        <v>0</v>
      </c>
      <c r="M672" t="n">
        <v>0</v>
      </c>
      <c r="N672" t="n">
        <v>0</v>
      </c>
      <c r="O672" t="n">
        <v>0</v>
      </c>
      <c r="P672" t="n">
        <v>0</v>
      </c>
      <c r="Q672" t="n">
        <v>0</v>
      </c>
      <c r="R672" s="2" t="inlineStr"/>
    </row>
    <row r="673" ht="15" customHeight="1">
      <c r="A673" t="inlineStr">
        <is>
          <t>A 59890-2025</t>
        </is>
      </c>
      <c r="B673" s="1" t="n">
        <v>45993.33128472222</v>
      </c>
      <c r="C673" s="1" t="n">
        <v>46013</v>
      </c>
      <c r="D673" t="inlineStr">
        <is>
          <t>JÄMTLANDS LÄN</t>
        </is>
      </c>
      <c r="E673" t="inlineStr">
        <is>
          <t>BERG</t>
        </is>
      </c>
      <c r="G673" t="n">
        <v>4</v>
      </c>
      <c r="H673" t="n">
        <v>0</v>
      </c>
      <c r="I673" t="n">
        <v>0</v>
      </c>
      <c r="J673" t="n">
        <v>0</v>
      </c>
      <c r="K673" t="n">
        <v>0</v>
      </c>
      <c r="L673" t="n">
        <v>0</v>
      </c>
      <c r="M673" t="n">
        <v>0</v>
      </c>
      <c r="N673" t="n">
        <v>0</v>
      </c>
      <c r="O673" t="n">
        <v>0</v>
      </c>
      <c r="P673" t="n">
        <v>0</v>
      </c>
      <c r="Q673" t="n">
        <v>0</v>
      </c>
      <c r="R673" s="2" t="inlineStr"/>
    </row>
    <row r="674" ht="15" customHeight="1">
      <c r="A674" t="inlineStr">
        <is>
          <t>A 1499-2025</t>
        </is>
      </c>
      <c r="B674" s="1" t="n">
        <v>45670.41112268518</v>
      </c>
      <c r="C674" s="1" t="n">
        <v>46013</v>
      </c>
      <c r="D674" t="inlineStr">
        <is>
          <t>JÄMTLANDS LÄN</t>
        </is>
      </c>
      <c r="E674" t="inlineStr">
        <is>
          <t>BERG</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60051-2025</t>
        </is>
      </c>
      <c r="B675" s="1" t="n">
        <v>45993.6353125</v>
      </c>
      <c r="C675" s="1" t="n">
        <v>46013</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4527-2025</t>
        </is>
      </c>
      <c r="B676" s="1" t="n">
        <v>45686</v>
      </c>
      <c r="C676" s="1" t="n">
        <v>46013</v>
      </c>
      <c r="D676" t="inlineStr">
        <is>
          <t>JÄMTLANDS LÄN</t>
        </is>
      </c>
      <c r="E676" t="inlineStr">
        <is>
          <t>BERG</t>
        </is>
      </c>
      <c r="G676" t="n">
        <v>17.8</v>
      </c>
      <c r="H676" t="n">
        <v>0</v>
      </c>
      <c r="I676" t="n">
        <v>0</v>
      </c>
      <c r="J676" t="n">
        <v>0</v>
      </c>
      <c r="K676" t="n">
        <v>0</v>
      </c>
      <c r="L676" t="n">
        <v>0</v>
      </c>
      <c r="M676" t="n">
        <v>0</v>
      </c>
      <c r="N676" t="n">
        <v>0</v>
      </c>
      <c r="O676" t="n">
        <v>0</v>
      </c>
      <c r="P676" t="n">
        <v>0</v>
      </c>
      <c r="Q676" t="n">
        <v>0</v>
      </c>
      <c r="R676" s="2" t="inlineStr"/>
    </row>
    <row r="677" ht="15" customHeight="1">
      <c r="A677" t="inlineStr">
        <is>
          <t>A 51883-2025</t>
        </is>
      </c>
      <c r="B677" s="1" t="n">
        <v>45952.40701388889</v>
      </c>
      <c r="C677" s="1" t="n">
        <v>46013</v>
      </c>
      <c r="D677" t="inlineStr">
        <is>
          <t>JÄMTLANDS LÄN</t>
        </is>
      </c>
      <c r="E677" t="inlineStr">
        <is>
          <t>BERG</t>
        </is>
      </c>
      <c r="G677" t="n">
        <v>0.9</v>
      </c>
      <c r="H677" t="n">
        <v>0</v>
      </c>
      <c r="I677" t="n">
        <v>0</v>
      </c>
      <c r="J677" t="n">
        <v>0</v>
      </c>
      <c r="K677" t="n">
        <v>0</v>
      </c>
      <c r="L677" t="n">
        <v>0</v>
      </c>
      <c r="M677" t="n">
        <v>0</v>
      </c>
      <c r="N677" t="n">
        <v>0</v>
      </c>
      <c r="O677" t="n">
        <v>0</v>
      </c>
      <c r="P677" t="n">
        <v>0</v>
      </c>
      <c r="Q677" t="n">
        <v>0</v>
      </c>
      <c r="R677" s="2" t="inlineStr"/>
    </row>
    <row r="678" ht="15" customHeight="1">
      <c r="A678" t="inlineStr">
        <is>
          <t>A 50169-2023</t>
        </is>
      </c>
      <c r="B678" s="1" t="n">
        <v>45208</v>
      </c>
      <c r="C678" s="1" t="n">
        <v>46013</v>
      </c>
      <c r="D678" t="inlineStr">
        <is>
          <t>JÄMTLANDS LÄN</t>
        </is>
      </c>
      <c r="E678" t="inlineStr">
        <is>
          <t>BERG</t>
        </is>
      </c>
      <c r="G678" t="n">
        <v>3.9</v>
      </c>
      <c r="H678" t="n">
        <v>0</v>
      </c>
      <c r="I678" t="n">
        <v>0</v>
      </c>
      <c r="J678" t="n">
        <v>0</v>
      </c>
      <c r="K678" t="n">
        <v>0</v>
      </c>
      <c r="L678" t="n">
        <v>0</v>
      </c>
      <c r="M678" t="n">
        <v>0</v>
      </c>
      <c r="N678" t="n">
        <v>0</v>
      </c>
      <c r="O678" t="n">
        <v>0</v>
      </c>
      <c r="P678" t="n">
        <v>0</v>
      </c>
      <c r="Q678" t="n">
        <v>0</v>
      </c>
      <c r="R678" s="2" t="inlineStr"/>
    </row>
    <row r="679" ht="15" customHeight="1">
      <c r="A679" t="inlineStr">
        <is>
          <t>A 60077-2025</t>
        </is>
      </c>
      <c r="B679" s="1" t="n">
        <v>45993.67987268518</v>
      </c>
      <c r="C679" s="1" t="n">
        <v>46013</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52062-2025</t>
        </is>
      </c>
      <c r="B680" s="1" t="n">
        <v>45952.63679398148</v>
      </c>
      <c r="C680" s="1" t="n">
        <v>46013</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24307-2023</t>
        </is>
      </c>
      <c r="B681" s="1" t="n">
        <v>45079.94229166667</v>
      </c>
      <c r="C681" s="1" t="n">
        <v>46013</v>
      </c>
      <c r="D681" t="inlineStr">
        <is>
          <t>JÄMTLANDS LÄN</t>
        </is>
      </c>
      <c r="E681" t="inlineStr">
        <is>
          <t>BERG</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59841-2025</t>
        </is>
      </c>
      <c r="B682" s="1" t="n">
        <v>45992</v>
      </c>
      <c r="C682" s="1" t="n">
        <v>46013</v>
      </c>
      <c r="D682" t="inlineStr">
        <is>
          <t>JÄMTLANDS LÄN</t>
        </is>
      </c>
      <c r="E682" t="inlineStr">
        <is>
          <t>BERG</t>
        </is>
      </c>
      <c r="G682" t="n">
        <v>14.9</v>
      </c>
      <c r="H682" t="n">
        <v>0</v>
      </c>
      <c r="I682" t="n">
        <v>0</v>
      </c>
      <c r="J682" t="n">
        <v>0</v>
      </c>
      <c r="K682" t="n">
        <v>0</v>
      </c>
      <c r="L682" t="n">
        <v>0</v>
      </c>
      <c r="M682" t="n">
        <v>0</v>
      </c>
      <c r="N682" t="n">
        <v>0</v>
      </c>
      <c r="O682" t="n">
        <v>0</v>
      </c>
      <c r="P682" t="n">
        <v>0</v>
      </c>
      <c r="Q682" t="n">
        <v>0</v>
      </c>
      <c r="R682" s="2" t="inlineStr"/>
    </row>
    <row r="683" ht="15" customHeight="1">
      <c r="A683" t="inlineStr">
        <is>
          <t>A 12392-2025</t>
        </is>
      </c>
      <c r="B683" s="1" t="n">
        <v>45730.40104166666</v>
      </c>
      <c r="C683" s="1" t="n">
        <v>46013</v>
      </c>
      <c r="D683" t="inlineStr">
        <is>
          <t>JÄMTLANDS LÄN</t>
        </is>
      </c>
      <c r="E683" t="inlineStr">
        <is>
          <t>BERG</t>
        </is>
      </c>
      <c r="G683" t="n">
        <v>5.1</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46013</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37093-2024</t>
        </is>
      </c>
      <c r="B685" s="1" t="n">
        <v>45539.50018518518</v>
      </c>
      <c r="C685" s="1" t="n">
        <v>46013</v>
      </c>
      <c r="D685" t="inlineStr">
        <is>
          <t>JÄMTLANDS LÄN</t>
        </is>
      </c>
      <c r="E685" t="inlineStr">
        <is>
          <t>BERG</t>
        </is>
      </c>
      <c r="F685" t="inlineStr">
        <is>
          <t>Övriga Aktiebolag</t>
        </is>
      </c>
      <c r="G685" t="n">
        <v>15.4</v>
      </c>
      <c r="H685" t="n">
        <v>0</v>
      </c>
      <c r="I685" t="n">
        <v>0</v>
      </c>
      <c r="J685" t="n">
        <v>0</v>
      </c>
      <c r="K685" t="n">
        <v>0</v>
      </c>
      <c r="L685" t="n">
        <v>0</v>
      </c>
      <c r="M685" t="n">
        <v>0</v>
      </c>
      <c r="N685" t="n">
        <v>0</v>
      </c>
      <c r="O685" t="n">
        <v>0</v>
      </c>
      <c r="P685" t="n">
        <v>0</v>
      </c>
      <c r="Q685" t="n">
        <v>0</v>
      </c>
      <c r="R685" s="2" t="inlineStr"/>
    </row>
    <row r="686" ht="15" customHeight="1">
      <c r="A686" t="inlineStr">
        <is>
          <t>A 52341-2025</t>
        </is>
      </c>
      <c r="B686" s="1" t="n">
        <v>45953.71564814815</v>
      </c>
      <c r="C686" s="1" t="n">
        <v>46013</v>
      </c>
      <c r="D686" t="inlineStr">
        <is>
          <t>JÄMTLANDS LÄN</t>
        </is>
      </c>
      <c r="E686" t="inlineStr">
        <is>
          <t>BERG</t>
        </is>
      </c>
      <c r="G686" t="n">
        <v>12.2</v>
      </c>
      <c r="H686" t="n">
        <v>0</v>
      </c>
      <c r="I686" t="n">
        <v>0</v>
      </c>
      <c r="J686" t="n">
        <v>0</v>
      </c>
      <c r="K686" t="n">
        <v>0</v>
      </c>
      <c r="L686" t="n">
        <v>0</v>
      </c>
      <c r="M686" t="n">
        <v>0</v>
      </c>
      <c r="N686" t="n">
        <v>0</v>
      </c>
      <c r="O686" t="n">
        <v>0</v>
      </c>
      <c r="P686" t="n">
        <v>0</v>
      </c>
      <c r="Q686" t="n">
        <v>0</v>
      </c>
      <c r="R686" s="2" t="inlineStr"/>
    </row>
    <row r="687" ht="15" customHeight="1">
      <c r="A687" t="inlineStr">
        <is>
          <t>A 60634-2025</t>
        </is>
      </c>
      <c r="B687" s="1" t="n">
        <v>45996.42805555555</v>
      </c>
      <c r="C687" s="1" t="n">
        <v>46013</v>
      </c>
      <c r="D687" t="inlineStr">
        <is>
          <t>JÄMTLANDS LÄN</t>
        </is>
      </c>
      <c r="E687" t="inlineStr">
        <is>
          <t>BERG</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52260-2025</t>
        </is>
      </c>
      <c r="B688" s="1" t="n">
        <v>45953.51113425926</v>
      </c>
      <c r="C688" s="1" t="n">
        <v>46013</v>
      </c>
      <c r="D688" t="inlineStr">
        <is>
          <t>JÄMTLANDS LÄN</t>
        </is>
      </c>
      <c r="E688" t="inlineStr">
        <is>
          <t>BERG</t>
        </is>
      </c>
      <c r="G688" t="n">
        <v>0.8</v>
      </c>
      <c r="H688" t="n">
        <v>0</v>
      </c>
      <c r="I688" t="n">
        <v>0</v>
      </c>
      <c r="J688" t="n">
        <v>0</v>
      </c>
      <c r="K688" t="n">
        <v>0</v>
      </c>
      <c r="L688" t="n">
        <v>0</v>
      </c>
      <c r="M688" t="n">
        <v>0</v>
      </c>
      <c r="N688" t="n">
        <v>0</v>
      </c>
      <c r="O688" t="n">
        <v>0</v>
      </c>
      <c r="P688" t="n">
        <v>0</v>
      </c>
      <c r="Q688" t="n">
        <v>0</v>
      </c>
      <c r="R688" s="2" t="inlineStr"/>
    </row>
    <row r="689" ht="15" customHeight="1">
      <c r="A689" t="inlineStr">
        <is>
          <t>A 27579-2024</t>
        </is>
      </c>
      <c r="B689" s="1" t="n">
        <v>45474.65244212963</v>
      </c>
      <c r="C689" s="1" t="n">
        <v>46013</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60635-2025</t>
        </is>
      </c>
      <c r="B690" s="1" t="n">
        <v>45996.42826388889</v>
      </c>
      <c r="C690" s="1" t="n">
        <v>46013</v>
      </c>
      <c r="D690" t="inlineStr">
        <is>
          <t>JÄMTLANDS LÄN</t>
        </is>
      </c>
      <c r="E690" t="inlineStr">
        <is>
          <t>BERG</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17748-2024</t>
        </is>
      </c>
      <c r="B691" s="1" t="n">
        <v>45418</v>
      </c>
      <c r="C691" s="1" t="n">
        <v>46013</v>
      </c>
      <c r="D691" t="inlineStr">
        <is>
          <t>JÄMTLANDS LÄN</t>
        </is>
      </c>
      <c r="E691" t="inlineStr">
        <is>
          <t>BERG</t>
        </is>
      </c>
      <c r="G691" t="n">
        <v>0.9</v>
      </c>
      <c r="H691" t="n">
        <v>0</v>
      </c>
      <c r="I691" t="n">
        <v>0</v>
      </c>
      <c r="J691" t="n">
        <v>0</v>
      </c>
      <c r="K691" t="n">
        <v>0</v>
      </c>
      <c r="L691" t="n">
        <v>0</v>
      </c>
      <c r="M691" t="n">
        <v>0</v>
      </c>
      <c r="N691" t="n">
        <v>0</v>
      </c>
      <c r="O691" t="n">
        <v>0</v>
      </c>
      <c r="P691" t="n">
        <v>0</v>
      </c>
      <c r="Q691" t="n">
        <v>0</v>
      </c>
      <c r="R691" s="2" t="inlineStr"/>
    </row>
    <row r="692" ht="15" customHeight="1">
      <c r="A692" t="inlineStr">
        <is>
          <t>A 60463-2025</t>
        </is>
      </c>
      <c r="B692" s="1" t="n">
        <v>45995.55276620371</v>
      </c>
      <c r="C692" s="1" t="n">
        <v>46013</v>
      </c>
      <c r="D692" t="inlineStr">
        <is>
          <t>JÄMTLANDS LÄN</t>
        </is>
      </c>
      <c r="E692" t="inlineStr">
        <is>
          <t>BERG</t>
        </is>
      </c>
      <c r="G692" t="n">
        <v>4.3</v>
      </c>
      <c r="H692" t="n">
        <v>0</v>
      </c>
      <c r="I692" t="n">
        <v>0</v>
      </c>
      <c r="J692" t="n">
        <v>0</v>
      </c>
      <c r="K692" t="n">
        <v>0</v>
      </c>
      <c r="L692" t="n">
        <v>0</v>
      </c>
      <c r="M692" t="n">
        <v>0</v>
      </c>
      <c r="N692" t="n">
        <v>0</v>
      </c>
      <c r="O692" t="n">
        <v>0</v>
      </c>
      <c r="P692" t="n">
        <v>0</v>
      </c>
      <c r="Q692" t="n">
        <v>0</v>
      </c>
      <c r="R692" s="2" t="inlineStr"/>
    </row>
    <row r="693" ht="15" customHeight="1">
      <c r="A693" t="inlineStr">
        <is>
          <t>A 47626-2023</t>
        </is>
      </c>
      <c r="B693" s="1" t="n">
        <v>45203</v>
      </c>
      <c r="C693" s="1" t="n">
        <v>46013</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52256-2025</t>
        </is>
      </c>
      <c r="B694" s="1" t="n">
        <v>45953.50086805555</v>
      </c>
      <c r="C694" s="1" t="n">
        <v>46013</v>
      </c>
      <c r="D694" t="inlineStr">
        <is>
          <t>JÄMTLANDS LÄN</t>
        </is>
      </c>
      <c r="E694" t="inlineStr">
        <is>
          <t>BERG</t>
        </is>
      </c>
      <c r="G694" t="n">
        <v>3.9</v>
      </c>
      <c r="H694" t="n">
        <v>0</v>
      </c>
      <c r="I694" t="n">
        <v>0</v>
      </c>
      <c r="J694" t="n">
        <v>0</v>
      </c>
      <c r="K694" t="n">
        <v>0</v>
      </c>
      <c r="L694" t="n">
        <v>0</v>
      </c>
      <c r="M694" t="n">
        <v>0</v>
      </c>
      <c r="N694" t="n">
        <v>0</v>
      </c>
      <c r="O694" t="n">
        <v>0</v>
      </c>
      <c r="P694" t="n">
        <v>0</v>
      </c>
      <c r="Q694" t="n">
        <v>0</v>
      </c>
      <c r="R694" s="2" t="inlineStr"/>
    </row>
    <row r="695" ht="15" customHeight="1">
      <c r="A695" t="inlineStr">
        <is>
          <t>A 52348-2025</t>
        </is>
      </c>
      <c r="B695" s="1" t="n">
        <v>45953.72064814815</v>
      </c>
      <c r="C695" s="1" t="n">
        <v>46013</v>
      </c>
      <c r="D695" t="inlineStr">
        <is>
          <t>JÄMTLANDS LÄN</t>
        </is>
      </c>
      <c r="E695" t="inlineStr">
        <is>
          <t>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19258-2025</t>
        </is>
      </c>
      <c r="B696" s="1" t="n">
        <v>45769.49987268518</v>
      </c>
      <c r="C696" s="1" t="n">
        <v>46013</v>
      </c>
      <c r="D696" t="inlineStr">
        <is>
          <t>JÄMTLANDS LÄN</t>
        </is>
      </c>
      <c r="E696" t="inlineStr">
        <is>
          <t>BERG</t>
        </is>
      </c>
      <c r="G696" t="n">
        <v>10.9</v>
      </c>
      <c r="H696" t="n">
        <v>0</v>
      </c>
      <c r="I696" t="n">
        <v>0</v>
      </c>
      <c r="J696" t="n">
        <v>0</v>
      </c>
      <c r="K696" t="n">
        <v>0</v>
      </c>
      <c r="L696" t="n">
        <v>0</v>
      </c>
      <c r="M696" t="n">
        <v>0</v>
      </c>
      <c r="N696" t="n">
        <v>0</v>
      </c>
      <c r="O696" t="n">
        <v>0</v>
      </c>
      <c r="P696" t="n">
        <v>0</v>
      </c>
      <c r="Q696" t="n">
        <v>0</v>
      </c>
      <c r="R696" s="2" t="inlineStr"/>
    </row>
    <row r="697" ht="15" customHeight="1">
      <c r="A697" t="inlineStr">
        <is>
          <t>A 52562-2025</t>
        </is>
      </c>
      <c r="B697" s="1" t="n">
        <v>45954.57357638889</v>
      </c>
      <c r="C697" s="1" t="n">
        <v>46013</v>
      </c>
      <c r="D697" t="inlineStr">
        <is>
          <t>JÄMTLANDS LÄN</t>
        </is>
      </c>
      <c r="E697" t="inlineStr">
        <is>
          <t>BERG</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9252-2025</t>
        </is>
      </c>
      <c r="B698" s="1" t="n">
        <v>45714.59415509259</v>
      </c>
      <c r="C698" s="1" t="n">
        <v>46013</v>
      </c>
      <c r="D698" t="inlineStr">
        <is>
          <t>JÄMTLANDS LÄN</t>
        </is>
      </c>
      <c r="E698" t="inlineStr">
        <is>
          <t>BERG</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52225-2025</t>
        </is>
      </c>
      <c r="B699" s="1" t="n">
        <v>45953.44831018519</v>
      </c>
      <c r="C699" s="1" t="n">
        <v>46013</v>
      </c>
      <c r="D699" t="inlineStr">
        <is>
          <t>JÄMTLANDS LÄN</t>
        </is>
      </c>
      <c r="E699" t="inlineStr">
        <is>
          <t>BERG</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60632-2025</t>
        </is>
      </c>
      <c r="B700" s="1" t="n">
        <v>45996.42769675926</v>
      </c>
      <c r="C700" s="1" t="n">
        <v>46013</v>
      </c>
      <c r="D700" t="inlineStr">
        <is>
          <t>JÄMTLANDS LÄN</t>
        </is>
      </c>
      <c r="E700" t="inlineStr">
        <is>
          <t>BERG</t>
        </is>
      </c>
      <c r="F700" t="inlineStr">
        <is>
          <t>SCA</t>
        </is>
      </c>
      <c r="G700" t="n">
        <v>18.2</v>
      </c>
      <c r="H700" t="n">
        <v>0</v>
      </c>
      <c r="I700" t="n">
        <v>0</v>
      </c>
      <c r="J700" t="n">
        <v>0</v>
      </c>
      <c r="K700" t="n">
        <v>0</v>
      </c>
      <c r="L700" t="n">
        <v>0</v>
      </c>
      <c r="M700" t="n">
        <v>0</v>
      </c>
      <c r="N700" t="n">
        <v>0</v>
      </c>
      <c r="O700" t="n">
        <v>0</v>
      </c>
      <c r="P700" t="n">
        <v>0</v>
      </c>
      <c r="Q700" t="n">
        <v>0</v>
      </c>
      <c r="R700" s="2" t="inlineStr"/>
    </row>
    <row r="701" ht="15" customHeight="1">
      <c r="A701" t="inlineStr">
        <is>
          <t>A 10974-2025</t>
        </is>
      </c>
      <c r="B701" s="1" t="n">
        <v>45723.38790509259</v>
      </c>
      <c r="C701" s="1" t="n">
        <v>46013</v>
      </c>
      <c r="D701" t="inlineStr">
        <is>
          <t>JÄMTLANDS LÄN</t>
        </is>
      </c>
      <c r="E701" t="inlineStr">
        <is>
          <t>BERG</t>
        </is>
      </c>
      <c r="G701" t="n">
        <v>6.9</v>
      </c>
      <c r="H701" t="n">
        <v>0</v>
      </c>
      <c r="I701" t="n">
        <v>0</v>
      </c>
      <c r="J701" t="n">
        <v>0</v>
      </c>
      <c r="K701" t="n">
        <v>0</v>
      </c>
      <c r="L701" t="n">
        <v>0</v>
      </c>
      <c r="M701" t="n">
        <v>0</v>
      </c>
      <c r="N701" t="n">
        <v>0</v>
      </c>
      <c r="O701" t="n">
        <v>0</v>
      </c>
      <c r="P701" t="n">
        <v>0</v>
      </c>
      <c r="Q701" t="n">
        <v>0</v>
      </c>
      <c r="R701" s="2" t="inlineStr"/>
    </row>
    <row r="702" ht="15" customHeight="1">
      <c r="A702" t="inlineStr">
        <is>
          <t>A 52340-2025</t>
        </is>
      </c>
      <c r="B702" s="1" t="n">
        <v>45953.70571759259</v>
      </c>
      <c r="C702" s="1" t="n">
        <v>46013</v>
      </c>
      <c r="D702" t="inlineStr">
        <is>
          <t>JÄMTLANDS LÄN</t>
        </is>
      </c>
      <c r="E702" t="inlineStr">
        <is>
          <t>BERG</t>
        </is>
      </c>
      <c r="G702" t="n">
        <v>6.7</v>
      </c>
      <c r="H702" t="n">
        <v>0</v>
      </c>
      <c r="I702" t="n">
        <v>0</v>
      </c>
      <c r="J702" t="n">
        <v>0</v>
      </c>
      <c r="K702" t="n">
        <v>0</v>
      </c>
      <c r="L702" t="n">
        <v>0</v>
      </c>
      <c r="M702" t="n">
        <v>0</v>
      </c>
      <c r="N702" t="n">
        <v>0</v>
      </c>
      <c r="O702" t="n">
        <v>0</v>
      </c>
      <c r="P702" t="n">
        <v>0</v>
      </c>
      <c r="Q702" t="n">
        <v>0</v>
      </c>
      <c r="R702" s="2" t="inlineStr"/>
    </row>
    <row r="703" ht="15" customHeight="1">
      <c r="A703" t="inlineStr">
        <is>
          <t>A 53085-2025</t>
        </is>
      </c>
      <c r="B703" s="1" t="n">
        <v>45958.40675925926</v>
      </c>
      <c r="C703" s="1" t="n">
        <v>46013</v>
      </c>
      <c r="D703" t="inlineStr">
        <is>
          <t>JÄMTLANDS LÄN</t>
        </is>
      </c>
      <c r="E703" t="inlineStr">
        <is>
          <t>BERG</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46013</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53155-2025</t>
        </is>
      </c>
      <c r="B705" s="1" t="n">
        <v>45958.49011574074</v>
      </c>
      <c r="C705" s="1" t="n">
        <v>46013</v>
      </c>
      <c r="D705" t="inlineStr">
        <is>
          <t>JÄMTLANDS LÄN</t>
        </is>
      </c>
      <c r="E705" t="inlineStr">
        <is>
          <t>BERG</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52938-2025</t>
        </is>
      </c>
      <c r="B706" s="1" t="n">
        <v>45957.63680555556</v>
      </c>
      <c r="C706" s="1" t="n">
        <v>46013</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52933-2025</t>
        </is>
      </c>
      <c r="B707" s="1" t="n">
        <v>45957.62528935185</v>
      </c>
      <c r="C707" s="1" t="n">
        <v>46013</v>
      </c>
      <c r="D707" t="inlineStr">
        <is>
          <t>JÄMTLANDS LÄN</t>
        </is>
      </c>
      <c r="E707" t="inlineStr">
        <is>
          <t>BERG</t>
        </is>
      </c>
      <c r="G707" t="n">
        <v>10.1</v>
      </c>
      <c r="H707" t="n">
        <v>0</v>
      </c>
      <c r="I707" t="n">
        <v>0</v>
      </c>
      <c r="J707" t="n">
        <v>0</v>
      </c>
      <c r="K707" t="n">
        <v>0</v>
      </c>
      <c r="L707" t="n">
        <v>0</v>
      </c>
      <c r="M707" t="n">
        <v>0</v>
      </c>
      <c r="N707" t="n">
        <v>0</v>
      </c>
      <c r="O707" t="n">
        <v>0</v>
      </c>
      <c r="P707" t="n">
        <v>0</v>
      </c>
      <c r="Q707" t="n">
        <v>0</v>
      </c>
      <c r="R707" s="2" t="inlineStr"/>
    </row>
    <row r="708" ht="15" customHeight="1">
      <c r="A708" t="inlineStr">
        <is>
          <t>A 53157-2025</t>
        </is>
      </c>
      <c r="B708" s="1" t="n">
        <v>45958.49056712963</v>
      </c>
      <c r="C708" s="1" t="n">
        <v>46013</v>
      </c>
      <c r="D708" t="inlineStr">
        <is>
          <t>JÄMTLANDS LÄN</t>
        </is>
      </c>
      <c r="E708" t="inlineStr">
        <is>
          <t>BERG</t>
        </is>
      </c>
      <c r="F708" t="inlineStr">
        <is>
          <t>SCA</t>
        </is>
      </c>
      <c r="G708" t="n">
        <v>9.5</v>
      </c>
      <c r="H708" t="n">
        <v>0</v>
      </c>
      <c r="I708" t="n">
        <v>0</v>
      </c>
      <c r="J708" t="n">
        <v>0</v>
      </c>
      <c r="K708" t="n">
        <v>0</v>
      </c>
      <c r="L708" t="n">
        <v>0</v>
      </c>
      <c r="M708" t="n">
        <v>0</v>
      </c>
      <c r="N708" t="n">
        <v>0</v>
      </c>
      <c r="O708" t="n">
        <v>0</v>
      </c>
      <c r="P708" t="n">
        <v>0</v>
      </c>
      <c r="Q708" t="n">
        <v>0</v>
      </c>
      <c r="R708" s="2" t="inlineStr"/>
    </row>
    <row r="709" ht="15" customHeight="1">
      <c r="A709" t="inlineStr">
        <is>
          <t>A 51951-2021</t>
        </is>
      </c>
      <c r="B709" s="1" t="n">
        <v>44462</v>
      </c>
      <c r="C709" s="1" t="n">
        <v>46013</v>
      </c>
      <c r="D709" t="inlineStr">
        <is>
          <t>JÄMTLANDS LÄN</t>
        </is>
      </c>
      <c r="E709" t="inlineStr">
        <is>
          <t>BERG</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60831-2025</t>
        </is>
      </c>
      <c r="B710" s="1" t="n">
        <v>45999.46935185185</v>
      </c>
      <c r="C710" s="1" t="n">
        <v>46013</v>
      </c>
      <c r="D710" t="inlineStr">
        <is>
          <t>JÄMTLANDS LÄN</t>
        </is>
      </c>
      <c r="E710" t="inlineStr">
        <is>
          <t>BERG</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18261-2022</t>
        </is>
      </c>
      <c r="B711" s="1" t="n">
        <v>44685.45633101852</v>
      </c>
      <c r="C711" s="1" t="n">
        <v>46013</v>
      </c>
      <c r="D711" t="inlineStr">
        <is>
          <t>JÄMTLANDS LÄN</t>
        </is>
      </c>
      <c r="E711" t="inlineStr">
        <is>
          <t>BERG</t>
        </is>
      </c>
      <c r="G711" t="n">
        <v>3</v>
      </c>
      <c r="H711" t="n">
        <v>0</v>
      </c>
      <c r="I711" t="n">
        <v>0</v>
      </c>
      <c r="J711" t="n">
        <v>0</v>
      </c>
      <c r="K711" t="n">
        <v>0</v>
      </c>
      <c r="L711" t="n">
        <v>0</v>
      </c>
      <c r="M711" t="n">
        <v>0</v>
      </c>
      <c r="N711" t="n">
        <v>0</v>
      </c>
      <c r="O711" t="n">
        <v>0</v>
      </c>
      <c r="P711" t="n">
        <v>0</v>
      </c>
      <c r="Q711" t="n">
        <v>0</v>
      </c>
      <c r="R711" s="2" t="inlineStr"/>
    </row>
    <row r="712" ht="15" customHeight="1">
      <c r="A712" t="inlineStr">
        <is>
          <t>A 16022-2025</t>
        </is>
      </c>
      <c r="B712" s="1" t="n">
        <v>45749.60973379629</v>
      </c>
      <c r="C712" s="1" t="n">
        <v>46013</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61837-2023</t>
        </is>
      </c>
      <c r="B713" s="1" t="n">
        <v>45264</v>
      </c>
      <c r="C713" s="1" t="n">
        <v>46013</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53712-2025</t>
        </is>
      </c>
      <c r="B714" s="1" t="n">
        <v>45960.61547453704</v>
      </c>
      <c r="C714" s="1" t="n">
        <v>46013</v>
      </c>
      <c r="D714" t="inlineStr">
        <is>
          <t>JÄMTLANDS LÄN</t>
        </is>
      </c>
      <c r="E714" t="inlineStr">
        <is>
          <t>BERG</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55770-2025</t>
        </is>
      </c>
      <c r="B715" s="1" t="n">
        <v>45972</v>
      </c>
      <c r="C715" s="1" t="n">
        <v>46013</v>
      </c>
      <c r="D715" t="inlineStr">
        <is>
          <t>JÄMTLANDS LÄN</t>
        </is>
      </c>
      <c r="E715" t="inlineStr">
        <is>
          <t>BERG</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61647-2025</t>
        </is>
      </c>
      <c r="B716" s="1" t="n">
        <v>46002.4403587963</v>
      </c>
      <c r="C716" s="1" t="n">
        <v>46013</v>
      </c>
      <c r="D716" t="inlineStr">
        <is>
          <t>JÄMTLANDS LÄN</t>
        </is>
      </c>
      <c r="E716" t="inlineStr">
        <is>
          <t>BERG</t>
        </is>
      </c>
      <c r="G716" t="n">
        <v>3.2</v>
      </c>
      <c r="H716" t="n">
        <v>0</v>
      </c>
      <c r="I716" t="n">
        <v>0</v>
      </c>
      <c r="J716" t="n">
        <v>0</v>
      </c>
      <c r="K716" t="n">
        <v>0</v>
      </c>
      <c r="L716" t="n">
        <v>0</v>
      </c>
      <c r="M716" t="n">
        <v>0</v>
      </c>
      <c r="N716" t="n">
        <v>0</v>
      </c>
      <c r="O716" t="n">
        <v>0</v>
      </c>
      <c r="P716" t="n">
        <v>0</v>
      </c>
      <c r="Q716" t="n">
        <v>0</v>
      </c>
      <c r="R716" s="2" t="inlineStr"/>
    </row>
    <row r="717" ht="15" customHeight="1">
      <c r="A717" t="inlineStr">
        <is>
          <t>A 53625-2025</t>
        </is>
      </c>
      <c r="B717" s="1" t="n">
        <v>45960.49020833334</v>
      </c>
      <c r="C717" s="1" t="n">
        <v>46013</v>
      </c>
      <c r="D717" t="inlineStr">
        <is>
          <t>JÄMTLANDS LÄN</t>
        </is>
      </c>
      <c r="E717" t="inlineStr">
        <is>
          <t>BERG</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53610-2025</t>
        </is>
      </c>
      <c r="B718" s="1" t="n">
        <v>45960.46951388889</v>
      </c>
      <c r="C718" s="1" t="n">
        <v>46013</v>
      </c>
      <c r="D718" t="inlineStr">
        <is>
          <t>JÄMTLANDS LÄN</t>
        </is>
      </c>
      <c r="E718" t="inlineStr">
        <is>
          <t>BERG</t>
        </is>
      </c>
      <c r="F718" t="inlineStr">
        <is>
          <t>SCA</t>
        </is>
      </c>
      <c r="G718" t="n">
        <v>30.7</v>
      </c>
      <c r="H718" t="n">
        <v>0</v>
      </c>
      <c r="I718" t="n">
        <v>0</v>
      </c>
      <c r="J718" t="n">
        <v>0</v>
      </c>
      <c r="K718" t="n">
        <v>0</v>
      </c>
      <c r="L718" t="n">
        <v>0</v>
      </c>
      <c r="M718" t="n">
        <v>0</v>
      </c>
      <c r="N718" t="n">
        <v>0</v>
      </c>
      <c r="O718" t="n">
        <v>0</v>
      </c>
      <c r="P718" t="n">
        <v>0</v>
      </c>
      <c r="Q718" t="n">
        <v>0</v>
      </c>
      <c r="R718" s="2" t="inlineStr"/>
    </row>
    <row r="719" ht="15" customHeight="1">
      <c r="A719" t="inlineStr">
        <is>
          <t>A 59652-2025</t>
        </is>
      </c>
      <c r="B719" s="1" t="n">
        <v>45992</v>
      </c>
      <c r="C719" s="1" t="n">
        <v>46013</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53349-2025</t>
        </is>
      </c>
      <c r="B720" s="1" t="n">
        <v>45959.43579861111</v>
      </c>
      <c r="C720" s="1" t="n">
        <v>46013</v>
      </c>
      <c r="D720" t="inlineStr">
        <is>
          <t>JÄMTLANDS LÄN</t>
        </is>
      </c>
      <c r="E720" t="inlineStr">
        <is>
          <t>BERG</t>
        </is>
      </c>
      <c r="G720" t="n">
        <v>1.8</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46013</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53680-2025</t>
        </is>
      </c>
      <c r="B722" s="1" t="n">
        <v>45960.57361111111</v>
      </c>
      <c r="C722" s="1" t="n">
        <v>46013</v>
      </c>
      <c r="D722" t="inlineStr">
        <is>
          <t>JÄMTLANDS LÄN</t>
        </is>
      </c>
      <c r="E722" t="inlineStr">
        <is>
          <t>BERG</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61459-2025</t>
        </is>
      </c>
      <c r="B723" s="1" t="n">
        <v>46001.59416666667</v>
      </c>
      <c r="C723" s="1" t="n">
        <v>46013</v>
      </c>
      <c r="D723" t="inlineStr">
        <is>
          <t>JÄMTLANDS LÄN</t>
        </is>
      </c>
      <c r="E723" t="inlineStr">
        <is>
          <t>BERG</t>
        </is>
      </c>
      <c r="G723" t="n">
        <v>2.7</v>
      </c>
      <c r="H723" t="n">
        <v>0</v>
      </c>
      <c r="I723" t="n">
        <v>0</v>
      </c>
      <c r="J723" t="n">
        <v>0</v>
      </c>
      <c r="K723" t="n">
        <v>0</v>
      </c>
      <c r="L723" t="n">
        <v>0</v>
      </c>
      <c r="M723" t="n">
        <v>0</v>
      </c>
      <c r="N723" t="n">
        <v>0</v>
      </c>
      <c r="O723" t="n">
        <v>0</v>
      </c>
      <c r="P723" t="n">
        <v>0</v>
      </c>
      <c r="Q723" t="n">
        <v>0</v>
      </c>
      <c r="R723" s="2" t="inlineStr"/>
    </row>
    <row r="724" ht="15" customHeight="1">
      <c r="A724" t="inlineStr">
        <is>
          <t>A 61460-2025</t>
        </is>
      </c>
      <c r="B724" s="1" t="n">
        <v>46001.59425925926</v>
      </c>
      <c r="C724" s="1" t="n">
        <v>46013</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20899-2023</t>
        </is>
      </c>
      <c r="B725" s="1" t="n">
        <v>45060</v>
      </c>
      <c r="C725" s="1" t="n">
        <v>46013</v>
      </c>
      <c r="D725" t="inlineStr">
        <is>
          <t>JÄMTLANDS LÄN</t>
        </is>
      </c>
      <c r="E725" t="inlineStr">
        <is>
          <t>BERG</t>
        </is>
      </c>
      <c r="G725" t="n">
        <v>1.9</v>
      </c>
      <c r="H725" t="n">
        <v>0</v>
      </c>
      <c r="I725" t="n">
        <v>0</v>
      </c>
      <c r="J725" t="n">
        <v>0</v>
      </c>
      <c r="K725" t="n">
        <v>0</v>
      </c>
      <c r="L725" t="n">
        <v>0</v>
      </c>
      <c r="M725" t="n">
        <v>0</v>
      </c>
      <c r="N725" t="n">
        <v>0</v>
      </c>
      <c r="O725" t="n">
        <v>0</v>
      </c>
      <c r="P725" t="n">
        <v>0</v>
      </c>
      <c r="Q725" t="n">
        <v>0</v>
      </c>
      <c r="R725" s="2" t="inlineStr"/>
    </row>
    <row r="726" ht="15" customHeight="1">
      <c r="A726" t="inlineStr">
        <is>
          <t>A 53778-2025</t>
        </is>
      </c>
      <c r="B726" s="1" t="n">
        <v>45960.69841435185</v>
      </c>
      <c r="C726" s="1" t="n">
        <v>46013</v>
      </c>
      <c r="D726" t="inlineStr">
        <is>
          <t>JÄMTLANDS LÄN</t>
        </is>
      </c>
      <c r="E726" t="inlineStr">
        <is>
          <t>BERG</t>
        </is>
      </c>
      <c r="F726" t="inlineStr">
        <is>
          <t>SCA</t>
        </is>
      </c>
      <c r="G726" t="n">
        <v>18.7</v>
      </c>
      <c r="H726" t="n">
        <v>0</v>
      </c>
      <c r="I726" t="n">
        <v>0</v>
      </c>
      <c r="J726" t="n">
        <v>0</v>
      </c>
      <c r="K726" t="n">
        <v>0</v>
      </c>
      <c r="L726" t="n">
        <v>0</v>
      </c>
      <c r="M726" t="n">
        <v>0</v>
      </c>
      <c r="N726" t="n">
        <v>0</v>
      </c>
      <c r="O726" t="n">
        <v>0</v>
      </c>
      <c r="P726" t="n">
        <v>0</v>
      </c>
      <c r="Q726" t="n">
        <v>0</v>
      </c>
      <c r="R726" s="2" t="inlineStr"/>
      <c r="U726">
        <f>HYPERLINK("https://klasma.github.io/Logging_2326/knärot/A 53778-2025 karta knärot.png", "A 53778-2025")</f>
        <v/>
      </c>
      <c r="V726">
        <f>HYPERLINK("https://klasma.github.io/Logging_2326/klagomål/A 53778-2025 FSC-klagomål.docx", "A 53778-2025")</f>
        <v/>
      </c>
      <c r="W726">
        <f>HYPERLINK("https://klasma.github.io/Logging_2326/klagomålsmail/A 53778-2025 FSC-klagomål mail.docx", "A 53778-2025")</f>
        <v/>
      </c>
      <c r="X726">
        <f>HYPERLINK("https://klasma.github.io/Logging_2326/tillsyn/A 53778-2025 tillsynsbegäran.docx", "A 53778-2025")</f>
        <v/>
      </c>
      <c r="Y726">
        <f>HYPERLINK("https://klasma.github.io/Logging_2326/tillsynsmail/A 53778-2025 tillsynsbegäran mail.docx", "A 53778-2025")</f>
        <v/>
      </c>
    </row>
    <row r="727" ht="15" customHeight="1">
      <c r="A727" t="inlineStr">
        <is>
          <t>A 7744-2024</t>
        </is>
      </c>
      <c r="B727" s="1" t="n">
        <v>45349</v>
      </c>
      <c r="C727" s="1" t="n">
        <v>46013</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21521-2024</t>
        </is>
      </c>
      <c r="B728" s="1" t="n">
        <v>45441.58313657407</v>
      </c>
      <c r="C728" s="1" t="n">
        <v>46013</v>
      </c>
      <c r="D728" t="inlineStr">
        <is>
          <t>JÄMTLANDS LÄN</t>
        </is>
      </c>
      <c r="E728" t="inlineStr">
        <is>
          <t>BERG</t>
        </is>
      </c>
      <c r="G728" t="n">
        <v>1.2</v>
      </c>
      <c r="H728" t="n">
        <v>0</v>
      </c>
      <c r="I728" t="n">
        <v>0</v>
      </c>
      <c r="J728" t="n">
        <v>0</v>
      </c>
      <c r="K728" t="n">
        <v>0</v>
      </c>
      <c r="L728" t="n">
        <v>0</v>
      </c>
      <c r="M728" t="n">
        <v>0</v>
      </c>
      <c r="N728" t="n">
        <v>0</v>
      </c>
      <c r="O728" t="n">
        <v>0</v>
      </c>
      <c r="P728" t="n">
        <v>0</v>
      </c>
      <c r="Q728" t="n">
        <v>0</v>
      </c>
      <c r="R728" s="2" t="inlineStr"/>
    </row>
    <row r="729" ht="15" customHeight="1">
      <c r="A729" t="inlineStr">
        <is>
          <t>A 62052-2025</t>
        </is>
      </c>
      <c r="B729" s="1" t="n">
        <v>46006.32145833333</v>
      </c>
      <c r="C729" s="1" t="n">
        <v>46013</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44110-2022</t>
        </is>
      </c>
      <c r="B730" s="1" t="n">
        <v>44837</v>
      </c>
      <c r="C730" s="1" t="n">
        <v>46013</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62158-2025</t>
        </is>
      </c>
      <c r="B731" s="1" t="n">
        <v>46006.490625</v>
      </c>
      <c r="C731" s="1" t="n">
        <v>46013</v>
      </c>
      <c r="D731" t="inlineStr">
        <is>
          <t>JÄMTLANDS LÄN</t>
        </is>
      </c>
      <c r="E731" t="inlineStr">
        <is>
          <t>BERG</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62161-2025</t>
        </is>
      </c>
      <c r="B732" s="1" t="n">
        <v>46006.49113425926</v>
      </c>
      <c r="C732" s="1" t="n">
        <v>46013</v>
      </c>
      <c r="D732" t="inlineStr">
        <is>
          <t>JÄMTLANDS LÄN</t>
        </is>
      </c>
      <c r="E732" t="inlineStr">
        <is>
          <t>BERG</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62159-2025</t>
        </is>
      </c>
      <c r="B733" s="1" t="n">
        <v>46006.49081018518</v>
      </c>
      <c r="C733" s="1" t="n">
        <v>46013</v>
      </c>
      <c r="D733" t="inlineStr">
        <is>
          <t>JÄMTLANDS LÄN</t>
        </is>
      </c>
      <c r="E733" t="inlineStr">
        <is>
          <t>BERG</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10230-2024</t>
        </is>
      </c>
      <c r="B734" s="1" t="n">
        <v>45365.31883101852</v>
      </c>
      <c r="C734" s="1" t="n">
        <v>46013</v>
      </c>
      <c r="D734" t="inlineStr">
        <is>
          <t>JÄMTLANDS LÄN</t>
        </is>
      </c>
      <c r="E734" t="inlineStr">
        <is>
          <t>BERG</t>
        </is>
      </c>
      <c r="G734" t="n">
        <v>6.3</v>
      </c>
      <c r="H734" t="n">
        <v>0</v>
      </c>
      <c r="I734" t="n">
        <v>0</v>
      </c>
      <c r="J734" t="n">
        <v>0</v>
      </c>
      <c r="K734" t="n">
        <v>0</v>
      </c>
      <c r="L734" t="n">
        <v>0</v>
      </c>
      <c r="M734" t="n">
        <v>0</v>
      </c>
      <c r="N734" t="n">
        <v>0</v>
      </c>
      <c r="O734" t="n">
        <v>0</v>
      </c>
      <c r="P734" t="n">
        <v>0</v>
      </c>
      <c r="Q734" t="n">
        <v>0</v>
      </c>
      <c r="R734" s="2" t="inlineStr"/>
    </row>
    <row r="735" ht="15" customHeight="1">
      <c r="A735" t="inlineStr">
        <is>
          <t>A 49277-2024</t>
        </is>
      </c>
      <c r="B735" s="1" t="n">
        <v>45595.50820601852</v>
      </c>
      <c r="C735" s="1" t="n">
        <v>46013</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60331-2023</t>
        </is>
      </c>
      <c r="B736" s="1" t="n">
        <v>45258</v>
      </c>
      <c r="C736" s="1" t="n">
        <v>46013</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61987-2025</t>
        </is>
      </c>
      <c r="B737" s="1" t="n">
        <v>46003.62914351852</v>
      </c>
      <c r="C737" s="1" t="n">
        <v>46013</v>
      </c>
      <c r="D737" t="inlineStr">
        <is>
          <t>JÄMTLANDS LÄN</t>
        </is>
      </c>
      <c r="E737" t="inlineStr">
        <is>
          <t>BERG</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61977-2025</t>
        </is>
      </c>
      <c r="B738" s="1" t="n">
        <v>46003.61158564815</v>
      </c>
      <c r="C738" s="1" t="n">
        <v>46013</v>
      </c>
      <c r="D738" t="inlineStr">
        <is>
          <t>JÄMTLANDS LÄN</t>
        </is>
      </c>
      <c r="E738" t="inlineStr">
        <is>
          <t>BERG</t>
        </is>
      </c>
      <c r="G738" t="n">
        <v>2.7</v>
      </c>
      <c r="H738" t="n">
        <v>0</v>
      </c>
      <c r="I738" t="n">
        <v>0</v>
      </c>
      <c r="J738" t="n">
        <v>0</v>
      </c>
      <c r="K738" t="n">
        <v>0</v>
      </c>
      <c r="L738" t="n">
        <v>0</v>
      </c>
      <c r="M738" t="n">
        <v>0</v>
      </c>
      <c r="N738" t="n">
        <v>0</v>
      </c>
      <c r="O738" t="n">
        <v>0</v>
      </c>
      <c r="P738" t="n">
        <v>0</v>
      </c>
      <c r="Q738" t="n">
        <v>0</v>
      </c>
      <c r="R738" s="2" t="inlineStr"/>
    </row>
    <row r="739" ht="15" customHeight="1">
      <c r="A739" t="inlineStr">
        <is>
          <t>A 61991-2025</t>
        </is>
      </c>
      <c r="B739" s="1" t="n">
        <v>46003.62962962963</v>
      </c>
      <c r="C739" s="1" t="n">
        <v>46013</v>
      </c>
      <c r="D739" t="inlineStr">
        <is>
          <t>JÄMTLANDS LÄN</t>
        </is>
      </c>
      <c r="E739" t="inlineStr">
        <is>
          <t>BERG</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53859-2025</t>
        </is>
      </c>
      <c r="B740" s="1" t="n">
        <v>45961</v>
      </c>
      <c r="C740" s="1" t="n">
        <v>46013</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34601-2024</t>
        </is>
      </c>
      <c r="B741" s="1" t="n">
        <v>45526.4034375</v>
      </c>
      <c r="C741" s="1" t="n">
        <v>46013</v>
      </c>
      <c r="D741" t="inlineStr">
        <is>
          <t>JÄMTLANDS LÄN</t>
        </is>
      </c>
      <c r="E741" t="inlineStr">
        <is>
          <t>BERG</t>
        </is>
      </c>
      <c r="G741" t="n">
        <v>0.6</v>
      </c>
      <c r="H741" t="n">
        <v>0</v>
      </c>
      <c r="I741" t="n">
        <v>0</v>
      </c>
      <c r="J741" t="n">
        <v>0</v>
      </c>
      <c r="K741" t="n">
        <v>0</v>
      </c>
      <c r="L741" t="n">
        <v>0</v>
      </c>
      <c r="M741" t="n">
        <v>0</v>
      </c>
      <c r="N741" t="n">
        <v>0</v>
      </c>
      <c r="O741" t="n">
        <v>0</v>
      </c>
      <c r="P741" t="n">
        <v>0</v>
      </c>
      <c r="Q741" t="n">
        <v>0</v>
      </c>
      <c r="R741" s="2" t="inlineStr"/>
    </row>
    <row r="742" ht="15" customHeight="1">
      <c r="A742" t="inlineStr">
        <is>
          <t>A 33481-2023</t>
        </is>
      </c>
      <c r="B742" s="1" t="n">
        <v>45131</v>
      </c>
      <c r="C742" s="1" t="n">
        <v>46013</v>
      </c>
      <c r="D742" t="inlineStr">
        <is>
          <t>JÄMTLANDS LÄN</t>
        </is>
      </c>
      <c r="E742" t="inlineStr">
        <is>
          <t>BERG</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54825-2025</t>
        </is>
      </c>
      <c r="B743" s="1" t="n">
        <v>45966.66768518519</v>
      </c>
      <c r="C743" s="1" t="n">
        <v>46013</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64486-2023</t>
        </is>
      </c>
      <c r="B744" s="1" t="n">
        <v>45280</v>
      </c>
      <c r="C744" s="1" t="n">
        <v>46013</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64488-2023</t>
        </is>
      </c>
      <c r="B745" s="1" t="n">
        <v>45280.92618055556</v>
      </c>
      <c r="C745" s="1" t="n">
        <v>46013</v>
      </c>
      <c r="D745" t="inlineStr">
        <is>
          <t>JÄMTLANDS LÄN</t>
        </is>
      </c>
      <c r="E745" t="inlineStr">
        <is>
          <t>BERG</t>
        </is>
      </c>
      <c r="F745" t="inlineStr">
        <is>
          <t>Övriga Aktiebolag</t>
        </is>
      </c>
      <c r="G745" t="n">
        <v>7.1</v>
      </c>
      <c r="H745" t="n">
        <v>0</v>
      </c>
      <c r="I745" t="n">
        <v>0</v>
      </c>
      <c r="J745" t="n">
        <v>0</v>
      </c>
      <c r="K745" t="n">
        <v>0</v>
      </c>
      <c r="L745" t="n">
        <v>0</v>
      </c>
      <c r="M745" t="n">
        <v>0</v>
      </c>
      <c r="N745" t="n">
        <v>0</v>
      </c>
      <c r="O745" t="n">
        <v>0</v>
      </c>
      <c r="P745" t="n">
        <v>0</v>
      </c>
      <c r="Q745" t="n">
        <v>0</v>
      </c>
      <c r="R745" s="2" t="inlineStr"/>
    </row>
    <row r="746" ht="15" customHeight="1">
      <c r="A746" t="inlineStr">
        <is>
          <t>A 43616-2024</t>
        </is>
      </c>
      <c r="B746" s="1" t="n">
        <v>45569</v>
      </c>
      <c r="C746" s="1" t="n">
        <v>46013</v>
      </c>
      <c r="D746" t="inlineStr">
        <is>
          <t>JÄMTLANDS LÄN</t>
        </is>
      </c>
      <c r="E746" t="inlineStr">
        <is>
          <t>BERG</t>
        </is>
      </c>
      <c r="G746" t="n">
        <v>12.3</v>
      </c>
      <c r="H746" t="n">
        <v>0</v>
      </c>
      <c r="I746" t="n">
        <v>0</v>
      </c>
      <c r="J746" t="n">
        <v>0</v>
      </c>
      <c r="K746" t="n">
        <v>0</v>
      </c>
      <c r="L746" t="n">
        <v>0</v>
      </c>
      <c r="M746" t="n">
        <v>0</v>
      </c>
      <c r="N746" t="n">
        <v>0</v>
      </c>
      <c r="O746" t="n">
        <v>0</v>
      </c>
      <c r="P746" t="n">
        <v>0</v>
      </c>
      <c r="Q746" t="n">
        <v>0</v>
      </c>
      <c r="R746" s="2" t="inlineStr"/>
    </row>
    <row r="747" ht="15" customHeight="1">
      <c r="A747" t="inlineStr">
        <is>
          <t>A 54852-2025</t>
        </is>
      </c>
      <c r="B747" s="1" t="n">
        <v>45966.71946759259</v>
      </c>
      <c r="C747" s="1" t="n">
        <v>46013</v>
      </c>
      <c r="D747" t="inlineStr">
        <is>
          <t>JÄMTLANDS LÄN</t>
        </is>
      </c>
      <c r="E747" t="inlineStr">
        <is>
          <t>BERG</t>
        </is>
      </c>
      <c r="G747" t="n">
        <v>1.7</v>
      </c>
      <c r="H747" t="n">
        <v>0</v>
      </c>
      <c r="I747" t="n">
        <v>0</v>
      </c>
      <c r="J747" t="n">
        <v>0</v>
      </c>
      <c r="K747" t="n">
        <v>0</v>
      </c>
      <c r="L747" t="n">
        <v>0</v>
      </c>
      <c r="M747" t="n">
        <v>0</v>
      </c>
      <c r="N747" t="n">
        <v>0</v>
      </c>
      <c r="O747" t="n">
        <v>0</v>
      </c>
      <c r="P747" t="n">
        <v>0</v>
      </c>
      <c r="Q747" t="n">
        <v>0</v>
      </c>
      <c r="R747" s="2" t="inlineStr"/>
    </row>
    <row r="748" ht="15" customHeight="1">
      <c r="A748" t="inlineStr">
        <is>
          <t>A 58238-2025</t>
        </is>
      </c>
      <c r="B748" s="1" t="n">
        <v>45985.38775462963</v>
      </c>
      <c r="C748" s="1" t="n">
        <v>46013</v>
      </c>
      <c r="D748" t="inlineStr">
        <is>
          <t>JÄMTLANDS LÄN</t>
        </is>
      </c>
      <c r="E748" t="inlineStr">
        <is>
          <t>BERG</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16247-2024</t>
        </is>
      </c>
      <c r="B749" s="1" t="n">
        <v>45407.05797453703</v>
      </c>
      <c r="C749" s="1" t="n">
        <v>46013</v>
      </c>
      <c r="D749" t="inlineStr">
        <is>
          <t>JÄMTLANDS LÄN</t>
        </is>
      </c>
      <c r="E749" t="inlineStr">
        <is>
          <t>BERG</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25306-2023</t>
        </is>
      </c>
      <c r="B750" s="1" t="n">
        <v>45086</v>
      </c>
      <c r="C750" s="1" t="n">
        <v>46013</v>
      </c>
      <c r="D750" t="inlineStr">
        <is>
          <t>JÄMTLANDS LÄN</t>
        </is>
      </c>
      <c r="E750" t="inlineStr">
        <is>
          <t>BERG</t>
        </is>
      </c>
      <c r="G750" t="n">
        <v>23.3</v>
      </c>
      <c r="H750" t="n">
        <v>0</v>
      </c>
      <c r="I750" t="n">
        <v>0</v>
      </c>
      <c r="J750" t="n">
        <v>0</v>
      </c>
      <c r="K750" t="n">
        <v>0</v>
      </c>
      <c r="L750" t="n">
        <v>0</v>
      </c>
      <c r="M750" t="n">
        <v>0</v>
      </c>
      <c r="N750" t="n">
        <v>0</v>
      </c>
      <c r="O750" t="n">
        <v>0</v>
      </c>
      <c r="P750" t="n">
        <v>0</v>
      </c>
      <c r="Q750" t="n">
        <v>0</v>
      </c>
      <c r="R750" s="2" t="inlineStr"/>
    </row>
    <row r="751" ht="15" customHeight="1">
      <c r="A751" t="inlineStr">
        <is>
          <t>A 54720-2025</t>
        </is>
      </c>
      <c r="B751" s="1" t="n">
        <v>45966.53177083333</v>
      </c>
      <c r="C751" s="1" t="n">
        <v>46013</v>
      </c>
      <c r="D751" t="inlineStr">
        <is>
          <t>JÄMTLANDS LÄN</t>
        </is>
      </c>
      <c r="E751" t="inlineStr">
        <is>
          <t>BERG</t>
        </is>
      </c>
      <c r="G751" t="n">
        <v>0.6</v>
      </c>
      <c r="H751" t="n">
        <v>0</v>
      </c>
      <c r="I751" t="n">
        <v>0</v>
      </c>
      <c r="J751" t="n">
        <v>0</v>
      </c>
      <c r="K751" t="n">
        <v>0</v>
      </c>
      <c r="L751" t="n">
        <v>0</v>
      </c>
      <c r="M751" t="n">
        <v>0</v>
      </c>
      <c r="N751" t="n">
        <v>0</v>
      </c>
      <c r="O751" t="n">
        <v>0</v>
      </c>
      <c r="P751" t="n">
        <v>0</v>
      </c>
      <c r="Q751" t="n">
        <v>0</v>
      </c>
      <c r="R751" s="2" t="inlineStr"/>
    </row>
    <row r="752" ht="15" customHeight="1">
      <c r="A752" t="inlineStr">
        <is>
          <t>A 62814-2025</t>
        </is>
      </c>
      <c r="B752" s="1" t="n">
        <v>46008.6502662037</v>
      </c>
      <c r="C752" s="1" t="n">
        <v>46013</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10465-2023</t>
        </is>
      </c>
      <c r="B753" s="1" t="n">
        <v>44987.60319444445</v>
      </c>
      <c r="C753" s="1" t="n">
        <v>46013</v>
      </c>
      <c r="D753" t="inlineStr">
        <is>
          <t>JÄMTLANDS LÄN</t>
        </is>
      </c>
      <c r="E753" t="inlineStr">
        <is>
          <t>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3625-2024</t>
        </is>
      </c>
      <c r="B754" s="1" t="n">
        <v>45320</v>
      </c>
      <c r="C754" s="1" t="n">
        <v>46013</v>
      </c>
      <c r="D754" t="inlineStr">
        <is>
          <t>JÄMTLANDS LÄN</t>
        </is>
      </c>
      <c r="E754" t="inlineStr">
        <is>
          <t>BERG</t>
        </is>
      </c>
      <c r="F754" t="inlineStr">
        <is>
          <t>SCA</t>
        </is>
      </c>
      <c r="G754" t="n">
        <v>23.7</v>
      </c>
      <c r="H754" t="n">
        <v>0</v>
      </c>
      <c r="I754" t="n">
        <v>0</v>
      </c>
      <c r="J754" t="n">
        <v>0</v>
      </c>
      <c r="K754" t="n">
        <v>0</v>
      </c>
      <c r="L754" t="n">
        <v>0</v>
      </c>
      <c r="M754" t="n">
        <v>0</v>
      </c>
      <c r="N754" t="n">
        <v>0</v>
      </c>
      <c r="O754" t="n">
        <v>0</v>
      </c>
      <c r="P754" t="n">
        <v>0</v>
      </c>
      <c r="Q754" t="n">
        <v>0</v>
      </c>
      <c r="R754" s="2" t="inlineStr"/>
    </row>
    <row r="755" ht="15" customHeight="1">
      <c r="A755" t="inlineStr">
        <is>
          <t>A 32178-2024</t>
        </is>
      </c>
      <c r="B755" s="1" t="n">
        <v>45511</v>
      </c>
      <c r="C755" s="1" t="n">
        <v>46013</v>
      </c>
      <c r="D755" t="inlineStr">
        <is>
          <t>JÄMTLANDS LÄN</t>
        </is>
      </c>
      <c r="E755" t="inlineStr">
        <is>
          <t>BERG</t>
        </is>
      </c>
      <c r="G755" t="n">
        <v>11.4</v>
      </c>
      <c r="H755" t="n">
        <v>0</v>
      </c>
      <c r="I755" t="n">
        <v>0</v>
      </c>
      <c r="J755" t="n">
        <v>0</v>
      </c>
      <c r="K755" t="n">
        <v>0</v>
      </c>
      <c r="L755" t="n">
        <v>0</v>
      </c>
      <c r="M755" t="n">
        <v>0</v>
      </c>
      <c r="N755" t="n">
        <v>0</v>
      </c>
      <c r="O755" t="n">
        <v>0</v>
      </c>
      <c r="P755" t="n">
        <v>0</v>
      </c>
      <c r="Q755" t="n">
        <v>0</v>
      </c>
      <c r="R755" s="2" t="inlineStr"/>
    </row>
    <row r="756" ht="15" customHeight="1">
      <c r="A756" t="inlineStr">
        <is>
          <t>A 62826-2025</t>
        </is>
      </c>
      <c r="B756" s="1" t="n">
        <v>46008.65883101852</v>
      </c>
      <c r="C756" s="1" t="n">
        <v>46013</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13436-2024</t>
        </is>
      </c>
      <c r="B757" s="1" t="n">
        <v>45387.4865625</v>
      </c>
      <c r="C757" s="1" t="n">
        <v>46013</v>
      </c>
      <c r="D757" t="inlineStr">
        <is>
          <t>JÄMTLANDS LÄN</t>
        </is>
      </c>
      <c r="E757" t="inlineStr">
        <is>
          <t>BERG</t>
        </is>
      </c>
      <c r="G757" t="n">
        <v>28.9</v>
      </c>
      <c r="H757" t="n">
        <v>0</v>
      </c>
      <c r="I757" t="n">
        <v>0</v>
      </c>
      <c r="J757" t="n">
        <v>0</v>
      </c>
      <c r="K757" t="n">
        <v>0</v>
      </c>
      <c r="L757" t="n">
        <v>0</v>
      </c>
      <c r="M757" t="n">
        <v>0</v>
      </c>
      <c r="N757" t="n">
        <v>0</v>
      </c>
      <c r="O757" t="n">
        <v>0</v>
      </c>
      <c r="P757" t="n">
        <v>0</v>
      </c>
      <c r="Q757" t="n">
        <v>0</v>
      </c>
      <c r="R757" s="2" t="inlineStr"/>
    </row>
    <row r="758" ht="15" customHeight="1">
      <c r="A758" t="inlineStr">
        <is>
          <t>A 55043-2025</t>
        </is>
      </c>
      <c r="B758" s="1" t="n">
        <v>45967.65983796296</v>
      </c>
      <c r="C758" s="1" t="n">
        <v>46013</v>
      </c>
      <c r="D758" t="inlineStr">
        <is>
          <t>JÄMTLANDS LÄN</t>
        </is>
      </c>
      <c r="E758" t="inlineStr">
        <is>
          <t>BERG</t>
        </is>
      </c>
      <c r="G758" t="n">
        <v>3</v>
      </c>
      <c r="H758" t="n">
        <v>0</v>
      </c>
      <c r="I758" t="n">
        <v>0</v>
      </c>
      <c r="J758" t="n">
        <v>0</v>
      </c>
      <c r="K758" t="n">
        <v>0</v>
      </c>
      <c r="L758" t="n">
        <v>0</v>
      </c>
      <c r="M758" t="n">
        <v>0</v>
      </c>
      <c r="N758" t="n">
        <v>0</v>
      </c>
      <c r="O758" t="n">
        <v>0</v>
      </c>
      <c r="P758" t="n">
        <v>0</v>
      </c>
      <c r="Q758" t="n">
        <v>0</v>
      </c>
      <c r="R758" s="2" t="inlineStr"/>
    </row>
    <row r="759" ht="15" customHeight="1">
      <c r="A759" t="inlineStr">
        <is>
          <t>A 55267-2025</t>
        </is>
      </c>
      <c r="B759" s="1" t="n">
        <v>45968.66726851852</v>
      </c>
      <c r="C759" s="1" t="n">
        <v>46013</v>
      </c>
      <c r="D759" t="inlineStr">
        <is>
          <t>JÄMTLANDS LÄN</t>
        </is>
      </c>
      <c r="E759" t="inlineStr">
        <is>
          <t>BERG</t>
        </is>
      </c>
      <c r="G759" t="n">
        <v>1.4</v>
      </c>
      <c r="H759" t="n">
        <v>0</v>
      </c>
      <c r="I759" t="n">
        <v>0</v>
      </c>
      <c r="J759" t="n">
        <v>0</v>
      </c>
      <c r="K759" t="n">
        <v>0</v>
      </c>
      <c r="L759" t="n">
        <v>0</v>
      </c>
      <c r="M759" t="n">
        <v>0</v>
      </c>
      <c r="N759" t="n">
        <v>0</v>
      </c>
      <c r="O759" t="n">
        <v>0</v>
      </c>
      <c r="P759" t="n">
        <v>0</v>
      </c>
      <c r="Q759" t="n">
        <v>0</v>
      </c>
      <c r="R759" s="2" t="inlineStr"/>
    </row>
    <row r="760" ht="15" customHeight="1">
      <c r="A760" t="inlineStr">
        <is>
          <t>A 55223-2025</t>
        </is>
      </c>
      <c r="B760" s="1" t="n">
        <v>45968.59439814815</v>
      </c>
      <c r="C760" s="1" t="n">
        <v>46013</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55239-2025</t>
        </is>
      </c>
      <c r="B761" s="1" t="n">
        <v>45968</v>
      </c>
      <c r="C761" s="1" t="n">
        <v>46013</v>
      </c>
      <c r="D761" t="inlineStr">
        <is>
          <t>JÄMTLANDS LÄN</t>
        </is>
      </c>
      <c r="E761" t="inlineStr">
        <is>
          <t>BERG</t>
        </is>
      </c>
      <c r="G761" t="n">
        <v>6.3</v>
      </c>
      <c r="H761" t="n">
        <v>0</v>
      </c>
      <c r="I761" t="n">
        <v>0</v>
      </c>
      <c r="J761" t="n">
        <v>0</v>
      </c>
      <c r="K761" t="n">
        <v>0</v>
      </c>
      <c r="L761" t="n">
        <v>0</v>
      </c>
      <c r="M761" t="n">
        <v>0</v>
      </c>
      <c r="N761" t="n">
        <v>0</v>
      </c>
      <c r="O761" t="n">
        <v>0</v>
      </c>
      <c r="P761" t="n">
        <v>0</v>
      </c>
      <c r="Q761" t="n">
        <v>0</v>
      </c>
      <c r="R761" s="2" t="inlineStr"/>
    </row>
    <row r="762" ht="15" customHeight="1">
      <c r="A762" t="inlineStr">
        <is>
          <t>A 55240-2025</t>
        </is>
      </c>
      <c r="B762" s="1" t="n">
        <v>45968</v>
      </c>
      <c r="C762" s="1" t="n">
        <v>46013</v>
      </c>
      <c r="D762" t="inlineStr">
        <is>
          <t>JÄMTLANDS LÄN</t>
        </is>
      </c>
      <c r="E762" t="inlineStr">
        <is>
          <t>BERG</t>
        </is>
      </c>
      <c r="G762" t="n">
        <v>11.2</v>
      </c>
      <c r="H762" t="n">
        <v>0</v>
      </c>
      <c r="I762" t="n">
        <v>0</v>
      </c>
      <c r="J762" t="n">
        <v>0</v>
      </c>
      <c r="K762" t="n">
        <v>0</v>
      </c>
      <c r="L762" t="n">
        <v>0</v>
      </c>
      <c r="M762" t="n">
        <v>0</v>
      </c>
      <c r="N762" t="n">
        <v>0</v>
      </c>
      <c r="O762" t="n">
        <v>0</v>
      </c>
      <c r="P762" t="n">
        <v>0</v>
      </c>
      <c r="Q762" t="n">
        <v>0</v>
      </c>
      <c r="R762" s="2" t="inlineStr"/>
    </row>
    <row r="763" ht="15" customHeight="1">
      <c r="A763" t="inlineStr">
        <is>
          <t>A 60249-2022</t>
        </is>
      </c>
      <c r="B763" s="1" t="n">
        <v>44903</v>
      </c>
      <c r="C763" s="1" t="n">
        <v>46013</v>
      </c>
      <c r="D763" t="inlineStr">
        <is>
          <t>JÄMTLANDS LÄN</t>
        </is>
      </c>
      <c r="E763" t="inlineStr">
        <is>
          <t>BERG</t>
        </is>
      </c>
      <c r="G763" t="n">
        <v>6</v>
      </c>
      <c r="H763" t="n">
        <v>0</v>
      </c>
      <c r="I763" t="n">
        <v>0</v>
      </c>
      <c r="J763" t="n">
        <v>0</v>
      </c>
      <c r="K763" t="n">
        <v>0</v>
      </c>
      <c r="L763" t="n">
        <v>0</v>
      </c>
      <c r="M763" t="n">
        <v>0</v>
      </c>
      <c r="N763" t="n">
        <v>0</v>
      </c>
      <c r="O763" t="n">
        <v>0</v>
      </c>
      <c r="P763" t="n">
        <v>0</v>
      </c>
      <c r="Q763" t="n">
        <v>0</v>
      </c>
      <c r="R763" s="2" t="inlineStr"/>
    </row>
    <row r="764" ht="15" customHeight="1">
      <c r="A764" t="inlineStr">
        <is>
          <t>A 14431-2025</t>
        </is>
      </c>
      <c r="B764" s="1" t="n">
        <v>45741</v>
      </c>
      <c r="C764" s="1" t="n">
        <v>46013</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55224-2025</t>
        </is>
      </c>
      <c r="B765" s="1" t="n">
        <v>45968.59447916667</v>
      </c>
      <c r="C765" s="1" t="n">
        <v>46013</v>
      </c>
      <c r="D765" t="inlineStr">
        <is>
          <t>JÄMTLANDS LÄN</t>
        </is>
      </c>
      <c r="E765" t="inlineStr">
        <is>
          <t>BERG</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55022-2025</t>
        </is>
      </c>
      <c r="B766" s="1" t="n">
        <v>45967.62862268519</v>
      </c>
      <c r="C766" s="1" t="n">
        <v>46013</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63345-2025</t>
        </is>
      </c>
      <c r="B767" s="1" t="n">
        <v>46010.65959490741</v>
      </c>
      <c r="C767" s="1" t="n">
        <v>46013</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55237-2025</t>
        </is>
      </c>
      <c r="B768" s="1" t="n">
        <v>45968</v>
      </c>
      <c r="C768" s="1" t="n">
        <v>46013</v>
      </c>
      <c r="D768" t="inlineStr">
        <is>
          <t>JÄMTLANDS LÄN</t>
        </is>
      </c>
      <c r="E768" t="inlineStr">
        <is>
          <t>BERG</t>
        </is>
      </c>
      <c r="G768" t="n">
        <v>11.9</v>
      </c>
      <c r="H768" t="n">
        <v>0</v>
      </c>
      <c r="I768" t="n">
        <v>0</v>
      </c>
      <c r="J768" t="n">
        <v>0</v>
      </c>
      <c r="K768" t="n">
        <v>0</v>
      </c>
      <c r="L768" t="n">
        <v>0</v>
      </c>
      <c r="M768" t="n">
        <v>0</v>
      </c>
      <c r="N768" t="n">
        <v>0</v>
      </c>
      <c r="O768" t="n">
        <v>0</v>
      </c>
      <c r="P768" t="n">
        <v>0</v>
      </c>
      <c r="Q768" t="n">
        <v>0</v>
      </c>
      <c r="R768" s="2" t="inlineStr"/>
    </row>
    <row r="769" ht="15" customHeight="1">
      <c r="A769" t="inlineStr">
        <is>
          <t>A 63332-2025</t>
        </is>
      </c>
      <c r="B769" s="1" t="n">
        <v>46010.64340277778</v>
      </c>
      <c r="C769" s="1" t="n">
        <v>46013</v>
      </c>
      <c r="D769" t="inlineStr">
        <is>
          <t>JÄMTLANDS LÄN</t>
        </is>
      </c>
      <c r="E769" t="inlineStr">
        <is>
          <t>BERG</t>
        </is>
      </c>
      <c r="G769" t="n">
        <v>5.4</v>
      </c>
      <c r="H769" t="n">
        <v>0</v>
      </c>
      <c r="I769" t="n">
        <v>0</v>
      </c>
      <c r="J769" t="n">
        <v>0</v>
      </c>
      <c r="K769" t="n">
        <v>0</v>
      </c>
      <c r="L769" t="n">
        <v>0</v>
      </c>
      <c r="M769" t="n">
        <v>0</v>
      </c>
      <c r="N769" t="n">
        <v>0</v>
      </c>
      <c r="O769" t="n">
        <v>0</v>
      </c>
      <c r="P769" t="n">
        <v>0</v>
      </c>
      <c r="Q769" t="n">
        <v>0</v>
      </c>
      <c r="R769" s="2" t="inlineStr"/>
    </row>
    <row r="770" ht="15" customHeight="1">
      <c r="A770" t="inlineStr">
        <is>
          <t>A 65209-2023</t>
        </is>
      </c>
      <c r="B770" s="1" t="n">
        <v>45289</v>
      </c>
      <c r="C770" s="1" t="n">
        <v>46013</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17899-2024</t>
        </is>
      </c>
      <c r="B771" s="1" t="n">
        <v>45419.49334490741</v>
      </c>
      <c r="C771" s="1" t="n">
        <v>46013</v>
      </c>
      <c r="D771" t="inlineStr">
        <is>
          <t>JÄMTLANDS LÄN</t>
        </is>
      </c>
      <c r="E771" t="inlineStr">
        <is>
          <t>BERG</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46013</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19181-2025</t>
        </is>
      </c>
      <c r="B773" s="1" t="n">
        <v>45769.40174768519</v>
      </c>
      <c r="C773" s="1" t="n">
        <v>46013</v>
      </c>
      <c r="D773" t="inlineStr">
        <is>
          <t>JÄMTLANDS LÄN</t>
        </is>
      </c>
      <c r="E773" t="inlineStr">
        <is>
          <t>BERG</t>
        </is>
      </c>
      <c r="G773" t="n">
        <v>4.4</v>
      </c>
      <c r="H773" t="n">
        <v>0</v>
      </c>
      <c r="I773" t="n">
        <v>0</v>
      </c>
      <c r="J773" t="n">
        <v>0</v>
      </c>
      <c r="K773" t="n">
        <v>0</v>
      </c>
      <c r="L773" t="n">
        <v>0</v>
      </c>
      <c r="M773" t="n">
        <v>0</v>
      </c>
      <c r="N773" t="n">
        <v>0</v>
      </c>
      <c r="O773" t="n">
        <v>0</v>
      </c>
      <c r="P773" t="n">
        <v>0</v>
      </c>
      <c r="Q773" t="n">
        <v>0</v>
      </c>
      <c r="R773" s="2" t="inlineStr"/>
    </row>
    <row r="774" ht="15" customHeight="1">
      <c r="A774" t="inlineStr">
        <is>
          <t>A 41868-2024</t>
        </is>
      </c>
      <c r="B774" s="1" t="n">
        <v>45561.46900462963</v>
      </c>
      <c r="C774" s="1" t="n">
        <v>46013</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34845-2023</t>
        </is>
      </c>
      <c r="B775" s="1" t="n">
        <v>45141.95964120371</v>
      </c>
      <c r="C775" s="1" t="n">
        <v>46013</v>
      </c>
      <c r="D775" t="inlineStr">
        <is>
          <t>JÄMTLANDS LÄN</t>
        </is>
      </c>
      <c r="E775" t="inlineStr">
        <is>
          <t>BERG</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31330-2024</t>
        </is>
      </c>
      <c r="B776" s="1" t="n">
        <v>45504</v>
      </c>
      <c r="C776" s="1" t="n">
        <v>46013</v>
      </c>
      <c r="D776" t="inlineStr">
        <is>
          <t>JÄMTLANDS LÄN</t>
        </is>
      </c>
      <c r="E776" t="inlineStr">
        <is>
          <t>BERG</t>
        </is>
      </c>
      <c r="G776" t="n">
        <v>30.5</v>
      </c>
      <c r="H776" t="n">
        <v>0</v>
      </c>
      <c r="I776" t="n">
        <v>0</v>
      </c>
      <c r="J776" t="n">
        <v>0</v>
      </c>
      <c r="K776" t="n">
        <v>0</v>
      </c>
      <c r="L776" t="n">
        <v>0</v>
      </c>
      <c r="M776" t="n">
        <v>0</v>
      </c>
      <c r="N776" t="n">
        <v>0</v>
      </c>
      <c r="O776" t="n">
        <v>0</v>
      </c>
      <c r="P776" t="n">
        <v>0</v>
      </c>
      <c r="Q776" t="n">
        <v>0</v>
      </c>
      <c r="R776" s="2" t="inlineStr"/>
    </row>
    <row r="777" ht="15" customHeight="1">
      <c r="A777" t="inlineStr">
        <is>
          <t>A 34367-2024</t>
        </is>
      </c>
      <c r="B777" s="1" t="n">
        <v>45525.38040509259</v>
      </c>
      <c r="C777" s="1" t="n">
        <v>46013</v>
      </c>
      <c r="D777" t="inlineStr">
        <is>
          <t>JÄMTLANDS LÄN</t>
        </is>
      </c>
      <c r="E777" t="inlineStr">
        <is>
          <t>BERG</t>
        </is>
      </c>
      <c r="G777" t="n">
        <v>0.4</v>
      </c>
      <c r="H777" t="n">
        <v>0</v>
      </c>
      <c r="I777" t="n">
        <v>0</v>
      </c>
      <c r="J777" t="n">
        <v>0</v>
      </c>
      <c r="K777" t="n">
        <v>0</v>
      </c>
      <c r="L777" t="n">
        <v>0</v>
      </c>
      <c r="M777" t="n">
        <v>0</v>
      </c>
      <c r="N777" t="n">
        <v>0</v>
      </c>
      <c r="O777" t="n">
        <v>0</v>
      </c>
      <c r="P777" t="n">
        <v>0</v>
      </c>
      <c r="Q777" t="n">
        <v>0</v>
      </c>
      <c r="R777" s="2" t="inlineStr"/>
    </row>
    <row r="778" ht="15" customHeight="1">
      <c r="A778" t="inlineStr">
        <is>
          <t>A 34369-2024</t>
        </is>
      </c>
      <c r="B778" s="1" t="n">
        <v>45525.38228009259</v>
      </c>
      <c r="C778" s="1" t="n">
        <v>46013</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13108-2025</t>
        </is>
      </c>
      <c r="B779" s="1" t="n">
        <v>45734</v>
      </c>
      <c r="C779" s="1" t="n">
        <v>46013</v>
      </c>
      <c r="D779" t="inlineStr">
        <is>
          <t>JÄMTLANDS LÄN</t>
        </is>
      </c>
      <c r="E779" t="inlineStr">
        <is>
          <t>BERG</t>
        </is>
      </c>
      <c r="F779" t="inlineStr">
        <is>
          <t>SCA</t>
        </is>
      </c>
      <c r="G779" t="n">
        <v>7.2</v>
      </c>
      <c r="H779" t="n">
        <v>0</v>
      </c>
      <c r="I779" t="n">
        <v>0</v>
      </c>
      <c r="J779" t="n">
        <v>0</v>
      </c>
      <c r="K779" t="n">
        <v>0</v>
      </c>
      <c r="L779" t="n">
        <v>0</v>
      </c>
      <c r="M779" t="n">
        <v>0</v>
      </c>
      <c r="N779" t="n">
        <v>0</v>
      </c>
      <c r="O779" t="n">
        <v>0</v>
      </c>
      <c r="P779" t="n">
        <v>0</v>
      </c>
      <c r="Q779" t="n">
        <v>0</v>
      </c>
      <c r="R779" s="2" t="inlineStr"/>
    </row>
    <row r="780" ht="15" customHeight="1">
      <c r="A780" t="inlineStr">
        <is>
          <t>A 65210-2023</t>
        </is>
      </c>
      <c r="B780" s="1" t="n">
        <v>45289</v>
      </c>
      <c r="C780" s="1" t="n">
        <v>46013</v>
      </c>
      <c r="D780" t="inlineStr">
        <is>
          <t>JÄMTLANDS LÄN</t>
        </is>
      </c>
      <c r="E780" t="inlineStr">
        <is>
          <t>BERG</t>
        </is>
      </c>
      <c r="G780" t="n">
        <v>0.4</v>
      </c>
      <c r="H780" t="n">
        <v>0</v>
      </c>
      <c r="I780" t="n">
        <v>0</v>
      </c>
      <c r="J780" t="n">
        <v>0</v>
      </c>
      <c r="K780" t="n">
        <v>0</v>
      </c>
      <c r="L780" t="n">
        <v>0</v>
      </c>
      <c r="M780" t="n">
        <v>0</v>
      </c>
      <c r="N780" t="n">
        <v>0</v>
      </c>
      <c r="O780" t="n">
        <v>0</v>
      </c>
      <c r="P780" t="n">
        <v>0</v>
      </c>
      <c r="Q780" t="n">
        <v>0</v>
      </c>
      <c r="R780" s="2" t="inlineStr"/>
    </row>
    <row r="781" ht="15" customHeight="1">
      <c r="A781" t="inlineStr">
        <is>
          <t>A 27239-2023</t>
        </is>
      </c>
      <c r="B781" s="1" t="n">
        <v>45092</v>
      </c>
      <c r="C781" s="1" t="n">
        <v>46013</v>
      </c>
      <c r="D781" t="inlineStr">
        <is>
          <t>JÄMTLANDS LÄN</t>
        </is>
      </c>
      <c r="E781" t="inlineStr">
        <is>
          <t>BERG</t>
        </is>
      </c>
      <c r="G781" t="n">
        <v>5.3</v>
      </c>
      <c r="H781" t="n">
        <v>0</v>
      </c>
      <c r="I781" t="n">
        <v>0</v>
      </c>
      <c r="J781" t="n">
        <v>0</v>
      </c>
      <c r="K781" t="n">
        <v>0</v>
      </c>
      <c r="L781" t="n">
        <v>0</v>
      </c>
      <c r="M781" t="n">
        <v>0</v>
      </c>
      <c r="N781" t="n">
        <v>0</v>
      </c>
      <c r="O781" t="n">
        <v>0</v>
      </c>
      <c r="P781" t="n">
        <v>0</v>
      </c>
      <c r="Q781" t="n">
        <v>0</v>
      </c>
      <c r="R781" s="2" t="inlineStr"/>
    </row>
    <row r="782" ht="15" customHeight="1">
      <c r="A782" t="inlineStr">
        <is>
          <t>A 59459-2024</t>
        </is>
      </c>
      <c r="B782" s="1" t="n">
        <v>45638</v>
      </c>
      <c r="C782" s="1" t="n">
        <v>46013</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33750-2023</t>
        </is>
      </c>
      <c r="B783" s="1" t="n">
        <v>45120</v>
      </c>
      <c r="C783" s="1" t="n">
        <v>46013</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11599-2025</t>
        </is>
      </c>
      <c r="B784" s="1" t="n">
        <v>45727.4261574074</v>
      </c>
      <c r="C784" s="1" t="n">
        <v>46013</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37086-2024</t>
        </is>
      </c>
      <c r="B785" s="1" t="n">
        <v>45539.49776620371</v>
      </c>
      <c r="C785" s="1" t="n">
        <v>46013</v>
      </c>
      <c r="D785" t="inlineStr">
        <is>
          <t>JÄMTLANDS LÄN</t>
        </is>
      </c>
      <c r="E785" t="inlineStr">
        <is>
          <t>BERG</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43762-2023</t>
        </is>
      </c>
      <c r="B786" s="1" t="n">
        <v>45182</v>
      </c>
      <c r="C786" s="1" t="n">
        <v>46013</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31155-2024</t>
        </is>
      </c>
      <c r="B787" s="1" t="n">
        <v>45503</v>
      </c>
      <c r="C787" s="1" t="n">
        <v>46013</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35921-2024</t>
        </is>
      </c>
      <c r="B788" s="1" t="n">
        <v>45533.42659722222</v>
      </c>
      <c r="C788" s="1" t="n">
        <v>46013</v>
      </c>
      <c r="D788" t="inlineStr">
        <is>
          <t>JÄMTLANDS LÄN</t>
        </is>
      </c>
      <c r="E788" t="inlineStr">
        <is>
          <t>BERG</t>
        </is>
      </c>
      <c r="G788" t="n">
        <v>1.2</v>
      </c>
      <c r="H788" t="n">
        <v>0</v>
      </c>
      <c r="I788" t="n">
        <v>0</v>
      </c>
      <c r="J788" t="n">
        <v>0</v>
      </c>
      <c r="K788" t="n">
        <v>0</v>
      </c>
      <c r="L788" t="n">
        <v>0</v>
      </c>
      <c r="M788" t="n">
        <v>0</v>
      </c>
      <c r="N788" t="n">
        <v>0</v>
      </c>
      <c r="O788" t="n">
        <v>0</v>
      </c>
      <c r="P788" t="n">
        <v>0</v>
      </c>
      <c r="Q788" t="n">
        <v>0</v>
      </c>
      <c r="R788" s="2" t="inlineStr"/>
    </row>
    <row r="789" ht="15" customHeight="1">
      <c r="A789" t="inlineStr">
        <is>
          <t>A 5014-2024</t>
        </is>
      </c>
      <c r="B789" s="1" t="n">
        <v>45329</v>
      </c>
      <c r="C789" s="1" t="n">
        <v>46013</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46013</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51039-2024</t>
        </is>
      </c>
      <c r="B791" s="1" t="n">
        <v>45603.43164351852</v>
      </c>
      <c r="C791" s="1" t="n">
        <v>46013</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20882-2023</t>
        </is>
      </c>
      <c r="B792" s="1" t="n">
        <v>45058</v>
      </c>
      <c r="C792" s="1" t="n">
        <v>46013</v>
      </c>
      <c r="D792" t="inlineStr">
        <is>
          <t>JÄMTLANDS LÄN</t>
        </is>
      </c>
      <c r="E792" t="inlineStr">
        <is>
          <t>BERG</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59521-2024</t>
        </is>
      </c>
      <c r="B793" s="1" t="n">
        <v>45638.57283564815</v>
      </c>
      <c r="C793" s="1" t="n">
        <v>46013</v>
      </c>
      <c r="D793" t="inlineStr">
        <is>
          <t>JÄMTLANDS LÄN</t>
        </is>
      </c>
      <c r="E793" t="inlineStr">
        <is>
          <t>BERG</t>
        </is>
      </c>
      <c r="G793" t="n">
        <v>2.1</v>
      </c>
      <c r="H793" t="n">
        <v>0</v>
      </c>
      <c r="I793" t="n">
        <v>0</v>
      </c>
      <c r="J793" t="n">
        <v>0</v>
      </c>
      <c r="K793" t="n">
        <v>0</v>
      </c>
      <c r="L793" t="n">
        <v>0</v>
      </c>
      <c r="M793" t="n">
        <v>0</v>
      </c>
      <c r="N793" t="n">
        <v>0</v>
      </c>
      <c r="O793" t="n">
        <v>0</v>
      </c>
      <c r="P793" t="n">
        <v>0</v>
      </c>
      <c r="Q793" t="n">
        <v>0</v>
      </c>
      <c r="R793" s="2" t="inlineStr"/>
    </row>
    <row r="794" ht="15" customHeight="1">
      <c r="A794" t="inlineStr">
        <is>
          <t>A 48307-2024</t>
        </is>
      </c>
      <c r="B794" s="1" t="n">
        <v>45590.47684027778</v>
      </c>
      <c r="C794" s="1" t="n">
        <v>46013</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46013</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1495-2025</t>
        </is>
      </c>
      <c r="B796" s="1" t="n">
        <v>45670.40652777778</v>
      </c>
      <c r="C796" s="1" t="n">
        <v>46013</v>
      </c>
      <c r="D796" t="inlineStr">
        <is>
          <t>JÄMTLANDS LÄN</t>
        </is>
      </c>
      <c r="E796" t="inlineStr">
        <is>
          <t>BERG</t>
        </is>
      </c>
      <c r="G796" t="n">
        <v>0.3</v>
      </c>
      <c r="H796" t="n">
        <v>0</v>
      </c>
      <c r="I796" t="n">
        <v>0</v>
      </c>
      <c r="J796" t="n">
        <v>0</v>
      </c>
      <c r="K796" t="n">
        <v>0</v>
      </c>
      <c r="L796" t="n">
        <v>0</v>
      </c>
      <c r="M796" t="n">
        <v>0</v>
      </c>
      <c r="N796" t="n">
        <v>0</v>
      </c>
      <c r="O796" t="n">
        <v>0</v>
      </c>
      <c r="P796" t="n">
        <v>0</v>
      </c>
      <c r="Q796" t="n">
        <v>0</v>
      </c>
      <c r="R796" s="2" t="inlineStr"/>
    </row>
    <row r="797" ht="15" customHeight="1">
      <c r="A797" t="inlineStr">
        <is>
          <t>A 35986-2023</t>
        </is>
      </c>
      <c r="B797" s="1" t="n">
        <v>45148</v>
      </c>
      <c r="C797" s="1" t="n">
        <v>46013</v>
      </c>
      <c r="D797" t="inlineStr">
        <is>
          <t>JÄMTLANDS LÄN</t>
        </is>
      </c>
      <c r="E797" t="inlineStr">
        <is>
          <t>BERG</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57661-2024</t>
        </is>
      </c>
      <c r="B798" s="1" t="n">
        <v>45630.6140162037</v>
      </c>
      <c r="C798" s="1" t="n">
        <v>46013</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58176-2024</t>
        </is>
      </c>
      <c r="B799" s="1" t="n">
        <v>45632.46771990741</v>
      </c>
      <c r="C799" s="1" t="n">
        <v>46013</v>
      </c>
      <c r="D799" t="inlineStr">
        <is>
          <t>JÄMTLANDS LÄN</t>
        </is>
      </c>
      <c r="E799" t="inlineStr">
        <is>
          <t>BERG</t>
        </is>
      </c>
      <c r="G799" t="n">
        <v>14.4</v>
      </c>
      <c r="H799" t="n">
        <v>0</v>
      </c>
      <c r="I799" t="n">
        <v>0</v>
      </c>
      <c r="J799" t="n">
        <v>0</v>
      </c>
      <c r="K799" t="n">
        <v>0</v>
      </c>
      <c r="L799" t="n">
        <v>0</v>
      </c>
      <c r="M799" t="n">
        <v>0</v>
      </c>
      <c r="N799" t="n">
        <v>0</v>
      </c>
      <c r="O799" t="n">
        <v>0</v>
      </c>
      <c r="P799" t="n">
        <v>0</v>
      </c>
      <c r="Q799" t="n">
        <v>0</v>
      </c>
      <c r="R799" s="2" t="inlineStr"/>
    </row>
    <row r="800" ht="15" customHeight="1">
      <c r="A800" t="inlineStr">
        <is>
          <t>A 7021-2025</t>
        </is>
      </c>
      <c r="B800" s="1" t="n">
        <v>45701.61520833334</v>
      </c>
      <c r="C800" s="1" t="n">
        <v>46013</v>
      </c>
      <c r="D800" t="inlineStr">
        <is>
          <t>JÄMTLANDS LÄN</t>
        </is>
      </c>
      <c r="E800" t="inlineStr">
        <is>
          <t>BERG</t>
        </is>
      </c>
      <c r="G800" t="n">
        <v>4.2</v>
      </c>
      <c r="H800" t="n">
        <v>0</v>
      </c>
      <c r="I800" t="n">
        <v>0</v>
      </c>
      <c r="J800" t="n">
        <v>0</v>
      </c>
      <c r="K800" t="n">
        <v>0</v>
      </c>
      <c r="L800" t="n">
        <v>0</v>
      </c>
      <c r="M800" t="n">
        <v>0</v>
      </c>
      <c r="N800" t="n">
        <v>0</v>
      </c>
      <c r="O800" t="n">
        <v>0</v>
      </c>
      <c r="P800" t="n">
        <v>0</v>
      </c>
      <c r="Q800" t="n">
        <v>0</v>
      </c>
      <c r="R800" s="2" t="inlineStr"/>
    </row>
    <row r="801" ht="15" customHeight="1">
      <c r="A801" t="inlineStr">
        <is>
          <t>A 49048-2024</t>
        </is>
      </c>
      <c r="B801" s="1" t="n">
        <v>45594.57427083333</v>
      </c>
      <c r="C801" s="1" t="n">
        <v>46013</v>
      </c>
      <c r="D801" t="inlineStr">
        <is>
          <t>JÄMTLANDS LÄN</t>
        </is>
      </c>
      <c r="E801" t="inlineStr">
        <is>
          <t>BERG</t>
        </is>
      </c>
      <c r="G801" t="n">
        <v>1.3</v>
      </c>
      <c r="H801" t="n">
        <v>0</v>
      </c>
      <c r="I801" t="n">
        <v>0</v>
      </c>
      <c r="J801" t="n">
        <v>0</v>
      </c>
      <c r="K801" t="n">
        <v>0</v>
      </c>
      <c r="L801" t="n">
        <v>0</v>
      </c>
      <c r="M801" t="n">
        <v>0</v>
      </c>
      <c r="N801" t="n">
        <v>0</v>
      </c>
      <c r="O801" t="n">
        <v>0</v>
      </c>
      <c r="P801" t="n">
        <v>0</v>
      </c>
      <c r="Q801" t="n">
        <v>0</v>
      </c>
      <c r="R801" s="2" t="inlineStr"/>
    </row>
    <row r="802" ht="15" customHeight="1">
      <c r="A802" t="inlineStr">
        <is>
          <t>A 37248-2023</t>
        </is>
      </c>
      <c r="B802" s="1" t="n">
        <v>45155.954375</v>
      </c>
      <c r="C802" s="1" t="n">
        <v>46013</v>
      </c>
      <c r="D802" t="inlineStr">
        <is>
          <t>JÄMTLANDS LÄN</t>
        </is>
      </c>
      <c r="E802" t="inlineStr">
        <is>
          <t>BERG</t>
        </is>
      </c>
      <c r="F802" t="inlineStr">
        <is>
          <t>SCA</t>
        </is>
      </c>
      <c r="G802" t="n">
        <v>5.9</v>
      </c>
      <c r="H802" t="n">
        <v>0</v>
      </c>
      <c r="I802" t="n">
        <v>0</v>
      </c>
      <c r="J802" t="n">
        <v>0</v>
      </c>
      <c r="K802" t="n">
        <v>0</v>
      </c>
      <c r="L802" t="n">
        <v>0</v>
      </c>
      <c r="M802" t="n">
        <v>0</v>
      </c>
      <c r="N802" t="n">
        <v>0</v>
      </c>
      <c r="O802" t="n">
        <v>0</v>
      </c>
      <c r="P802" t="n">
        <v>0</v>
      </c>
      <c r="Q802" t="n">
        <v>0</v>
      </c>
      <c r="R802" s="2" t="inlineStr"/>
    </row>
    <row r="803" ht="15" customHeight="1">
      <c r="A803" t="inlineStr">
        <is>
          <t>A 2855-2025</t>
        </is>
      </c>
      <c r="B803" s="1" t="n">
        <v>45678</v>
      </c>
      <c r="C803" s="1" t="n">
        <v>46013</v>
      </c>
      <c r="D803" t="inlineStr">
        <is>
          <t>JÄMTLANDS LÄN</t>
        </is>
      </c>
      <c r="E803" t="inlineStr">
        <is>
          <t>BERG</t>
        </is>
      </c>
      <c r="G803" t="n">
        <v>1</v>
      </c>
      <c r="H803" t="n">
        <v>0</v>
      </c>
      <c r="I803" t="n">
        <v>0</v>
      </c>
      <c r="J803" t="n">
        <v>0</v>
      </c>
      <c r="K803" t="n">
        <v>0</v>
      </c>
      <c r="L803" t="n">
        <v>0</v>
      </c>
      <c r="M803" t="n">
        <v>0</v>
      </c>
      <c r="N803" t="n">
        <v>0</v>
      </c>
      <c r="O803" t="n">
        <v>0</v>
      </c>
      <c r="P803" t="n">
        <v>0</v>
      </c>
      <c r="Q803" t="n">
        <v>0</v>
      </c>
      <c r="R803" s="2" t="inlineStr"/>
    </row>
    <row r="804" ht="15" customHeight="1">
      <c r="A804" t="inlineStr">
        <is>
          <t>A 7482-2022</t>
        </is>
      </c>
      <c r="B804" s="1" t="n">
        <v>44606</v>
      </c>
      <c r="C804" s="1" t="n">
        <v>46013</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61085-2024</t>
        </is>
      </c>
      <c r="B805" s="1" t="n">
        <v>45645.53202546296</v>
      </c>
      <c r="C805" s="1" t="n">
        <v>46013</v>
      </c>
      <c r="D805" t="inlineStr">
        <is>
          <t>JÄMTLANDS LÄN</t>
        </is>
      </c>
      <c r="E805" t="inlineStr">
        <is>
          <t>BERG</t>
        </is>
      </c>
      <c r="F805" t="inlineStr">
        <is>
          <t>SCA</t>
        </is>
      </c>
      <c r="G805" t="n">
        <v>12.2</v>
      </c>
      <c r="H805" t="n">
        <v>0</v>
      </c>
      <c r="I805" t="n">
        <v>0</v>
      </c>
      <c r="J805" t="n">
        <v>0</v>
      </c>
      <c r="K805" t="n">
        <v>0</v>
      </c>
      <c r="L805" t="n">
        <v>0</v>
      </c>
      <c r="M805" t="n">
        <v>0</v>
      </c>
      <c r="N805" t="n">
        <v>0</v>
      </c>
      <c r="O805" t="n">
        <v>0</v>
      </c>
      <c r="P805" t="n">
        <v>0</v>
      </c>
      <c r="Q805" t="n">
        <v>0</v>
      </c>
      <c r="R805" s="2" t="inlineStr"/>
    </row>
    <row r="806" ht="15" customHeight="1">
      <c r="A806" t="inlineStr">
        <is>
          <t>A 3961-2025</t>
        </is>
      </c>
      <c r="B806" s="1" t="n">
        <v>45684.50217592593</v>
      </c>
      <c r="C806" s="1" t="n">
        <v>46013</v>
      </c>
      <c r="D806" t="inlineStr">
        <is>
          <t>JÄMTLANDS LÄN</t>
        </is>
      </c>
      <c r="E806" t="inlineStr">
        <is>
          <t>BERG</t>
        </is>
      </c>
      <c r="G806" t="n">
        <v>14.9</v>
      </c>
      <c r="H806" t="n">
        <v>0</v>
      </c>
      <c r="I806" t="n">
        <v>0</v>
      </c>
      <c r="J806" t="n">
        <v>0</v>
      </c>
      <c r="K806" t="n">
        <v>0</v>
      </c>
      <c r="L806" t="n">
        <v>0</v>
      </c>
      <c r="M806" t="n">
        <v>0</v>
      </c>
      <c r="N806" t="n">
        <v>0</v>
      </c>
      <c r="O806" t="n">
        <v>0</v>
      </c>
      <c r="P806" t="n">
        <v>0</v>
      </c>
      <c r="Q806" t="n">
        <v>0</v>
      </c>
      <c r="R806" s="2" t="inlineStr"/>
    </row>
    <row r="807" ht="15" customHeight="1">
      <c r="A807" t="inlineStr">
        <is>
          <t>A 3964-2025</t>
        </is>
      </c>
      <c r="B807" s="1" t="n">
        <v>45684.50761574074</v>
      </c>
      <c r="C807" s="1" t="n">
        <v>46013</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13149-2025</t>
        </is>
      </c>
      <c r="B808" s="1" t="n">
        <v>45735.34424768519</v>
      </c>
      <c r="C808" s="1" t="n">
        <v>46013</v>
      </c>
      <c r="D808" t="inlineStr">
        <is>
          <t>JÄMTLANDS LÄN</t>
        </is>
      </c>
      <c r="E808" t="inlineStr">
        <is>
          <t>BERG</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53085-2024</t>
        </is>
      </c>
      <c r="B809" s="1" t="n">
        <v>45611.51072916666</v>
      </c>
      <c r="C809" s="1" t="n">
        <v>46013</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2247-2025</t>
        </is>
      </c>
      <c r="B810" s="1" t="n">
        <v>45673.49039351852</v>
      </c>
      <c r="C810" s="1" t="n">
        <v>46013</v>
      </c>
      <c r="D810" t="inlineStr">
        <is>
          <t>JÄMTLANDS LÄN</t>
        </is>
      </c>
      <c r="E810" t="inlineStr">
        <is>
          <t>BERG</t>
        </is>
      </c>
      <c r="F810" t="inlineStr">
        <is>
          <t>SCA</t>
        </is>
      </c>
      <c r="G810" t="n">
        <v>13.3</v>
      </c>
      <c r="H810" t="n">
        <v>0</v>
      </c>
      <c r="I810" t="n">
        <v>0</v>
      </c>
      <c r="J810" t="n">
        <v>0</v>
      </c>
      <c r="K810" t="n">
        <v>0</v>
      </c>
      <c r="L810" t="n">
        <v>0</v>
      </c>
      <c r="M810" t="n">
        <v>0</v>
      </c>
      <c r="N810" t="n">
        <v>0</v>
      </c>
      <c r="O810" t="n">
        <v>0</v>
      </c>
      <c r="P810" t="n">
        <v>0</v>
      </c>
      <c r="Q810" t="n">
        <v>0</v>
      </c>
      <c r="R810" s="2" t="inlineStr"/>
    </row>
    <row r="811" ht="15" customHeight="1">
      <c r="A811" t="inlineStr">
        <is>
          <t>A 1646-2021</t>
        </is>
      </c>
      <c r="B811" s="1" t="n">
        <v>44209</v>
      </c>
      <c r="C811" s="1" t="n">
        <v>46013</v>
      </c>
      <c r="D811" t="inlineStr">
        <is>
          <t>JÄMTLANDS LÄN</t>
        </is>
      </c>
      <c r="E811" t="inlineStr">
        <is>
          <t>BERG</t>
        </is>
      </c>
      <c r="G811" t="n">
        <v>0.1</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46013</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34819-2023</t>
        </is>
      </c>
      <c r="B813" s="1" t="n">
        <v>45140</v>
      </c>
      <c r="C813" s="1" t="n">
        <v>46013</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36708-2023</t>
        </is>
      </c>
      <c r="B814" s="1" t="n">
        <v>45153.65226851852</v>
      </c>
      <c r="C814" s="1" t="n">
        <v>46013</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1520-2022</t>
        </is>
      </c>
      <c r="B815" s="1" t="n">
        <v>44572</v>
      </c>
      <c r="C815" s="1" t="n">
        <v>46013</v>
      </c>
      <c r="D815" t="inlineStr">
        <is>
          <t>JÄMTLANDS LÄN</t>
        </is>
      </c>
      <c r="E815" t="inlineStr">
        <is>
          <t>BERG</t>
        </is>
      </c>
      <c r="G815" t="n">
        <v>7.7</v>
      </c>
      <c r="H815" t="n">
        <v>0</v>
      </c>
      <c r="I815" t="n">
        <v>0</v>
      </c>
      <c r="J815" t="n">
        <v>0</v>
      </c>
      <c r="K815" t="n">
        <v>0</v>
      </c>
      <c r="L815" t="n">
        <v>0</v>
      </c>
      <c r="M815" t="n">
        <v>0</v>
      </c>
      <c r="N815" t="n">
        <v>0</v>
      </c>
      <c r="O815" t="n">
        <v>0</v>
      </c>
      <c r="P815" t="n">
        <v>0</v>
      </c>
      <c r="Q815" t="n">
        <v>0</v>
      </c>
      <c r="R815" s="2" t="inlineStr"/>
    </row>
    <row r="816" ht="15" customHeight="1">
      <c r="A816" t="inlineStr">
        <is>
          <t>A 46816-2023</t>
        </is>
      </c>
      <c r="B816" s="1" t="n">
        <v>45198</v>
      </c>
      <c r="C816" s="1" t="n">
        <v>46013</v>
      </c>
      <c r="D816" t="inlineStr">
        <is>
          <t>JÄMTLANDS LÄN</t>
        </is>
      </c>
      <c r="E816" t="inlineStr">
        <is>
          <t>BERG</t>
        </is>
      </c>
      <c r="F816" t="inlineStr">
        <is>
          <t>SCA</t>
        </is>
      </c>
      <c r="G816" t="n">
        <v>66.2</v>
      </c>
      <c r="H816" t="n">
        <v>0</v>
      </c>
      <c r="I816" t="n">
        <v>0</v>
      </c>
      <c r="J816" t="n">
        <v>0</v>
      </c>
      <c r="K816" t="n">
        <v>0</v>
      </c>
      <c r="L816" t="n">
        <v>0</v>
      </c>
      <c r="M816" t="n">
        <v>0</v>
      </c>
      <c r="N816" t="n">
        <v>0</v>
      </c>
      <c r="O816" t="n">
        <v>0</v>
      </c>
      <c r="P816" t="n">
        <v>0</v>
      </c>
      <c r="Q816" t="n">
        <v>0</v>
      </c>
      <c r="R816" s="2" t="inlineStr"/>
    </row>
    <row r="817" ht="15" customHeight="1">
      <c r="A817" t="inlineStr">
        <is>
          <t>A 31641-2022</t>
        </is>
      </c>
      <c r="B817" s="1" t="n">
        <v>44775.94119212963</v>
      </c>
      <c r="C817" s="1" t="n">
        <v>46013</v>
      </c>
      <c r="D817" t="inlineStr">
        <is>
          <t>JÄMTLANDS LÄN</t>
        </is>
      </c>
      <c r="E817" t="inlineStr">
        <is>
          <t>BERG</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46872-2023</t>
        </is>
      </c>
      <c r="B818" s="1" t="n">
        <v>45200</v>
      </c>
      <c r="C818" s="1" t="n">
        <v>46013</v>
      </c>
      <c r="D818" t="inlineStr">
        <is>
          <t>JÄMTLANDS LÄN</t>
        </is>
      </c>
      <c r="E818" t="inlineStr">
        <is>
          <t>BERG</t>
        </is>
      </c>
      <c r="F818" t="inlineStr">
        <is>
          <t>Naturvårdsverket</t>
        </is>
      </c>
      <c r="G818" t="n">
        <v>1.2</v>
      </c>
      <c r="H818" t="n">
        <v>0</v>
      </c>
      <c r="I818" t="n">
        <v>0</v>
      </c>
      <c r="J818" t="n">
        <v>0</v>
      </c>
      <c r="K818" t="n">
        <v>0</v>
      </c>
      <c r="L818" t="n">
        <v>0</v>
      </c>
      <c r="M818" t="n">
        <v>0</v>
      </c>
      <c r="N818" t="n">
        <v>0</v>
      </c>
      <c r="O818" t="n">
        <v>0</v>
      </c>
      <c r="P818" t="n">
        <v>0</v>
      </c>
      <c r="Q818" t="n">
        <v>0</v>
      </c>
      <c r="R818" s="2" t="inlineStr"/>
      <c r="U818">
        <f>HYPERLINK("https://klasma.github.io/Logging_2326/knärot/A 46872-2023 karta knärot.png", "A 46872-2023")</f>
        <v/>
      </c>
      <c r="V818">
        <f>HYPERLINK("https://klasma.github.io/Logging_2326/klagomål/A 46872-2023 FSC-klagomål.docx", "A 46872-2023")</f>
        <v/>
      </c>
      <c r="W818">
        <f>HYPERLINK("https://klasma.github.io/Logging_2326/klagomålsmail/A 46872-2023 FSC-klagomål mail.docx", "A 46872-2023")</f>
        <v/>
      </c>
      <c r="X818">
        <f>HYPERLINK("https://klasma.github.io/Logging_2326/tillsyn/A 46872-2023 tillsynsbegäran.docx", "A 46872-2023")</f>
        <v/>
      </c>
      <c r="Y818">
        <f>HYPERLINK("https://klasma.github.io/Logging_2326/tillsynsmail/A 46872-2023 tillsynsbegäran mail.docx", "A 46872-2023")</f>
        <v/>
      </c>
    </row>
    <row r="819" ht="15" customHeight="1">
      <c r="A819" t="inlineStr">
        <is>
          <t>A 22275-2022</t>
        </is>
      </c>
      <c r="B819" s="1" t="n">
        <v>44712</v>
      </c>
      <c r="C819" s="1" t="n">
        <v>46013</v>
      </c>
      <c r="D819" t="inlineStr">
        <is>
          <t>JÄMTLANDS LÄN</t>
        </is>
      </c>
      <c r="E819" t="inlineStr">
        <is>
          <t>BERG</t>
        </is>
      </c>
      <c r="G819" t="n">
        <v>2.1</v>
      </c>
      <c r="H819" t="n">
        <v>0</v>
      </c>
      <c r="I819" t="n">
        <v>0</v>
      </c>
      <c r="J819" t="n">
        <v>0</v>
      </c>
      <c r="K819" t="n">
        <v>0</v>
      </c>
      <c r="L819" t="n">
        <v>0</v>
      </c>
      <c r="M819" t="n">
        <v>0</v>
      </c>
      <c r="N819" t="n">
        <v>0</v>
      </c>
      <c r="O819" t="n">
        <v>0</v>
      </c>
      <c r="P819" t="n">
        <v>0</v>
      </c>
      <c r="Q819" t="n">
        <v>0</v>
      </c>
      <c r="R819" s="2" t="inlineStr"/>
    </row>
    <row r="820" ht="15" customHeight="1">
      <c r="A820" t="inlineStr">
        <is>
          <t>A 31682-2022</t>
        </is>
      </c>
      <c r="B820" s="1" t="n">
        <v>44776</v>
      </c>
      <c r="C820" s="1" t="n">
        <v>46013</v>
      </c>
      <c r="D820" t="inlineStr">
        <is>
          <t>JÄMTLANDS LÄN</t>
        </is>
      </c>
      <c r="E820" t="inlineStr">
        <is>
          <t>BERG</t>
        </is>
      </c>
      <c r="G820" t="n">
        <v>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45217.55832175926</v>
      </c>
      <c r="C821" s="1" t="n">
        <v>46013</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54415-2023</t>
        </is>
      </c>
      <c r="B822" s="1" t="n">
        <v>45233.40039351852</v>
      </c>
      <c r="C822" s="1" t="n">
        <v>46013</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47176-2023</t>
        </is>
      </c>
      <c r="B823" s="1" t="n">
        <v>45201.94844907407</v>
      </c>
      <c r="C823" s="1" t="n">
        <v>46013</v>
      </c>
      <c r="D823" t="inlineStr">
        <is>
          <t>JÄMTLANDS LÄN</t>
        </is>
      </c>
      <c r="E823" t="inlineStr">
        <is>
          <t>BERG</t>
        </is>
      </c>
      <c r="F823" t="inlineStr">
        <is>
          <t>SCA</t>
        </is>
      </c>
      <c r="G823" t="n">
        <v>32.3</v>
      </c>
      <c r="H823" t="n">
        <v>0</v>
      </c>
      <c r="I823" t="n">
        <v>0</v>
      </c>
      <c r="J823" t="n">
        <v>0</v>
      </c>
      <c r="K823" t="n">
        <v>0</v>
      </c>
      <c r="L823" t="n">
        <v>0</v>
      </c>
      <c r="M823" t="n">
        <v>0</v>
      </c>
      <c r="N823" t="n">
        <v>0</v>
      </c>
      <c r="O823" t="n">
        <v>0</v>
      </c>
      <c r="P823" t="n">
        <v>0</v>
      </c>
      <c r="Q823" t="n">
        <v>0</v>
      </c>
      <c r="R823" s="2" t="inlineStr"/>
    </row>
    <row r="824" ht="15" customHeight="1">
      <c r="A824" t="inlineStr">
        <is>
          <t>A 41098-2023</t>
        </is>
      </c>
      <c r="B824" s="1" t="n">
        <v>45170</v>
      </c>
      <c r="C824" s="1" t="n">
        <v>46013</v>
      </c>
      <c r="D824" t="inlineStr">
        <is>
          <t>JÄMTLANDS LÄN</t>
        </is>
      </c>
      <c r="E824" t="inlineStr">
        <is>
          <t>BERG</t>
        </is>
      </c>
      <c r="G824" t="n">
        <v>3.1</v>
      </c>
      <c r="H824" t="n">
        <v>0</v>
      </c>
      <c r="I824" t="n">
        <v>0</v>
      </c>
      <c r="J824" t="n">
        <v>0</v>
      </c>
      <c r="K824" t="n">
        <v>0</v>
      </c>
      <c r="L824" t="n">
        <v>0</v>
      </c>
      <c r="M824" t="n">
        <v>0</v>
      </c>
      <c r="N824" t="n">
        <v>0</v>
      </c>
      <c r="O824" t="n">
        <v>0</v>
      </c>
      <c r="P824" t="n">
        <v>0</v>
      </c>
      <c r="Q824" t="n">
        <v>0</v>
      </c>
      <c r="R824" s="2" t="inlineStr"/>
    </row>
    <row r="825" ht="15" customHeight="1">
      <c r="A825" t="inlineStr">
        <is>
          <t>A 41106-2023</t>
        </is>
      </c>
      <c r="B825" s="1" t="n">
        <v>45170</v>
      </c>
      <c r="C825" s="1" t="n">
        <v>46013</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40415-2023</t>
        </is>
      </c>
      <c r="B826" s="1" t="n">
        <v>45169.93925925926</v>
      </c>
      <c r="C826" s="1" t="n">
        <v>46013</v>
      </c>
      <c r="D826" t="inlineStr">
        <is>
          <t>JÄMTLANDS LÄN</t>
        </is>
      </c>
      <c r="E826" t="inlineStr">
        <is>
          <t>BERG</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54998-2023</t>
        </is>
      </c>
      <c r="B827" s="1" t="n">
        <v>45236</v>
      </c>
      <c r="C827" s="1" t="n">
        <v>46013</v>
      </c>
      <c r="D827" t="inlineStr">
        <is>
          <t>JÄMTLANDS LÄN</t>
        </is>
      </c>
      <c r="E827" t="inlineStr">
        <is>
          <t>BERG</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26944-2022</t>
        </is>
      </c>
      <c r="B828" s="1" t="n">
        <v>44740</v>
      </c>
      <c r="C828" s="1" t="n">
        <v>46013</v>
      </c>
      <c r="D828" t="inlineStr">
        <is>
          <t>JÄMTLANDS LÄN</t>
        </is>
      </c>
      <c r="E828" t="inlineStr">
        <is>
          <t>BERG</t>
        </is>
      </c>
      <c r="G828" t="n">
        <v>3.3</v>
      </c>
      <c r="H828" t="n">
        <v>0</v>
      </c>
      <c r="I828" t="n">
        <v>0</v>
      </c>
      <c r="J828" t="n">
        <v>0</v>
      </c>
      <c r="K828" t="n">
        <v>0</v>
      </c>
      <c r="L828" t="n">
        <v>0</v>
      </c>
      <c r="M828" t="n">
        <v>0</v>
      </c>
      <c r="N828" t="n">
        <v>0</v>
      </c>
      <c r="O828" t="n">
        <v>0</v>
      </c>
      <c r="P828" t="n">
        <v>0</v>
      </c>
      <c r="Q828" t="n">
        <v>0</v>
      </c>
      <c r="R828" s="2" t="inlineStr"/>
    </row>
    <row r="829" ht="15" customHeight="1">
      <c r="A829" t="inlineStr">
        <is>
          <t>A 63819-2023</t>
        </is>
      </c>
      <c r="B829" s="1" t="n">
        <v>45278.44128472222</v>
      </c>
      <c r="C829" s="1" t="n">
        <v>46013</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44088-2021</t>
        </is>
      </c>
      <c r="B830" s="1" t="n">
        <v>44434</v>
      </c>
      <c r="C830" s="1" t="n">
        <v>46013</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39510-2023</t>
        </is>
      </c>
      <c r="B831" s="1" t="n">
        <v>45166</v>
      </c>
      <c r="C831" s="1" t="n">
        <v>46013</v>
      </c>
      <c r="D831" t="inlineStr">
        <is>
          <t>JÄMTLANDS LÄN</t>
        </is>
      </c>
      <c r="E831" t="inlineStr">
        <is>
          <t>BERG</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19513-2025</t>
        </is>
      </c>
      <c r="B832" s="1" t="n">
        <v>45770.42762731481</v>
      </c>
      <c r="C832" s="1" t="n">
        <v>46013</v>
      </c>
      <c r="D832" t="inlineStr">
        <is>
          <t>JÄMTLANDS LÄN</t>
        </is>
      </c>
      <c r="E832" t="inlineStr">
        <is>
          <t>BERG</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1596-2024</t>
        </is>
      </c>
      <c r="B833" s="1" t="n">
        <v>45306</v>
      </c>
      <c r="C833" s="1" t="n">
        <v>46013</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36192-2024</t>
        </is>
      </c>
      <c r="B834" s="1" t="n">
        <v>45534.42809027778</v>
      </c>
      <c r="C834" s="1" t="n">
        <v>46013</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166-2024</t>
        </is>
      </c>
      <c r="B835" s="1" t="n">
        <v>45294</v>
      </c>
      <c r="C835" s="1" t="n">
        <v>46013</v>
      </c>
      <c r="D835" t="inlineStr">
        <is>
          <t>JÄMTLANDS LÄN</t>
        </is>
      </c>
      <c r="E835" t="inlineStr">
        <is>
          <t>BERG</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8722-2024</t>
        </is>
      </c>
      <c r="B836" s="1" t="n">
        <v>45355</v>
      </c>
      <c r="C836" s="1" t="n">
        <v>46013</v>
      </c>
      <c r="D836" t="inlineStr">
        <is>
          <t>JÄMTLANDS LÄN</t>
        </is>
      </c>
      <c r="E836" t="inlineStr">
        <is>
          <t>BERG</t>
        </is>
      </c>
      <c r="G836" t="n">
        <v>2.4</v>
      </c>
      <c r="H836" t="n">
        <v>0</v>
      </c>
      <c r="I836" t="n">
        <v>0</v>
      </c>
      <c r="J836" t="n">
        <v>0</v>
      </c>
      <c r="K836" t="n">
        <v>0</v>
      </c>
      <c r="L836" t="n">
        <v>0</v>
      </c>
      <c r="M836" t="n">
        <v>0</v>
      </c>
      <c r="N836" t="n">
        <v>0</v>
      </c>
      <c r="O836" t="n">
        <v>0</v>
      </c>
      <c r="P836" t="n">
        <v>0</v>
      </c>
      <c r="Q836" t="n">
        <v>0</v>
      </c>
      <c r="R836" s="2" t="inlineStr"/>
    </row>
    <row r="837" ht="15" customHeight="1">
      <c r="A837" t="inlineStr">
        <is>
          <t>A 8726-2024</t>
        </is>
      </c>
      <c r="B837" s="1" t="n">
        <v>45355</v>
      </c>
      <c r="C837" s="1" t="n">
        <v>46013</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7040-2024</t>
        </is>
      </c>
      <c r="B838" s="1" t="n">
        <v>45343</v>
      </c>
      <c r="C838" s="1" t="n">
        <v>46013</v>
      </c>
      <c r="D838" t="inlineStr">
        <is>
          <t>JÄMTLANDS LÄN</t>
        </is>
      </c>
      <c r="E838" t="inlineStr">
        <is>
          <t>BERG</t>
        </is>
      </c>
      <c r="G838" t="n">
        <v>15.9</v>
      </c>
      <c r="H838" t="n">
        <v>0</v>
      </c>
      <c r="I838" t="n">
        <v>0</v>
      </c>
      <c r="J838" t="n">
        <v>0</v>
      </c>
      <c r="K838" t="n">
        <v>0</v>
      </c>
      <c r="L838" t="n">
        <v>0</v>
      </c>
      <c r="M838" t="n">
        <v>0</v>
      </c>
      <c r="N838" t="n">
        <v>0</v>
      </c>
      <c r="O838" t="n">
        <v>0</v>
      </c>
      <c r="P838" t="n">
        <v>0</v>
      </c>
      <c r="Q838" t="n">
        <v>0</v>
      </c>
      <c r="R838" s="2" t="inlineStr"/>
    </row>
    <row r="839" ht="15" customHeight="1">
      <c r="A839" t="inlineStr">
        <is>
          <t>A 5215-2024</t>
        </is>
      </c>
      <c r="B839" s="1" t="n">
        <v>45330</v>
      </c>
      <c r="C839" s="1" t="n">
        <v>46013</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14341-2025</t>
        </is>
      </c>
      <c r="B840" s="1" t="n">
        <v>45741.26008101852</v>
      </c>
      <c r="C840" s="1" t="n">
        <v>46013</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57669-2024</t>
        </is>
      </c>
      <c r="B841" s="1" t="n">
        <v>45630.62520833333</v>
      </c>
      <c r="C841" s="1" t="n">
        <v>46013</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31131-2024</t>
        </is>
      </c>
      <c r="B842" s="1" t="n">
        <v>45502</v>
      </c>
      <c r="C842" s="1" t="n">
        <v>46013</v>
      </c>
      <c r="D842" t="inlineStr">
        <is>
          <t>JÄMTLANDS LÄN</t>
        </is>
      </c>
      <c r="E842" t="inlineStr">
        <is>
          <t>BERG</t>
        </is>
      </c>
      <c r="G842" t="n">
        <v>2.1</v>
      </c>
      <c r="H842" t="n">
        <v>0</v>
      </c>
      <c r="I842" t="n">
        <v>0</v>
      </c>
      <c r="J842" t="n">
        <v>0</v>
      </c>
      <c r="K842" t="n">
        <v>0</v>
      </c>
      <c r="L842" t="n">
        <v>0</v>
      </c>
      <c r="M842" t="n">
        <v>0</v>
      </c>
      <c r="N842" t="n">
        <v>0</v>
      </c>
      <c r="O842" t="n">
        <v>0</v>
      </c>
      <c r="P842" t="n">
        <v>0</v>
      </c>
      <c r="Q842" t="n">
        <v>0</v>
      </c>
      <c r="R842" s="2" t="inlineStr"/>
    </row>
    <row r="843" ht="15" customHeight="1">
      <c r="A843" t="inlineStr">
        <is>
          <t>A 31154-2024</t>
        </is>
      </c>
      <c r="B843" s="1" t="n">
        <v>45503.32976851852</v>
      </c>
      <c r="C843" s="1" t="n">
        <v>46013</v>
      </c>
      <c r="D843" t="inlineStr">
        <is>
          <t>JÄMTLANDS LÄN</t>
        </is>
      </c>
      <c r="E843" t="inlineStr">
        <is>
          <t>BERG</t>
        </is>
      </c>
      <c r="G843" t="n">
        <v>2.3</v>
      </c>
      <c r="H843" t="n">
        <v>0</v>
      </c>
      <c r="I843" t="n">
        <v>0</v>
      </c>
      <c r="J843" t="n">
        <v>0</v>
      </c>
      <c r="K843" t="n">
        <v>0</v>
      </c>
      <c r="L843" t="n">
        <v>0</v>
      </c>
      <c r="M843" t="n">
        <v>0</v>
      </c>
      <c r="N843" t="n">
        <v>0</v>
      </c>
      <c r="O843" t="n">
        <v>0</v>
      </c>
      <c r="P843" t="n">
        <v>0</v>
      </c>
      <c r="Q843" t="n">
        <v>0</v>
      </c>
      <c r="R843" s="2" t="inlineStr"/>
    </row>
    <row r="844" ht="15" customHeight="1">
      <c r="A844" t="inlineStr">
        <is>
          <t>A 19538-2023</t>
        </is>
      </c>
      <c r="B844" s="1" t="n">
        <v>45050</v>
      </c>
      <c r="C844" s="1" t="n">
        <v>46013</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13473-2025</t>
        </is>
      </c>
      <c r="B845" s="1" t="n">
        <v>45736.40671296296</v>
      </c>
      <c r="C845" s="1" t="n">
        <v>46013</v>
      </c>
      <c r="D845" t="inlineStr">
        <is>
          <t>JÄMTLANDS LÄN</t>
        </is>
      </c>
      <c r="E845" t="inlineStr">
        <is>
          <t>BERG</t>
        </is>
      </c>
      <c r="F845" t="inlineStr">
        <is>
          <t>SCA</t>
        </is>
      </c>
      <c r="G845" t="n">
        <v>13.7</v>
      </c>
      <c r="H845" t="n">
        <v>0</v>
      </c>
      <c r="I845" t="n">
        <v>0</v>
      </c>
      <c r="J845" t="n">
        <v>0</v>
      </c>
      <c r="K845" t="n">
        <v>0</v>
      </c>
      <c r="L845" t="n">
        <v>0</v>
      </c>
      <c r="M845" t="n">
        <v>0</v>
      </c>
      <c r="N845" t="n">
        <v>0</v>
      </c>
      <c r="O845" t="n">
        <v>0</v>
      </c>
      <c r="P845" t="n">
        <v>0</v>
      </c>
      <c r="Q845" t="n">
        <v>0</v>
      </c>
      <c r="R845" s="2" t="inlineStr"/>
    </row>
    <row r="846" ht="15" customHeight="1">
      <c r="A846" t="inlineStr">
        <is>
          <t>A 18551-2025</t>
        </is>
      </c>
      <c r="B846" s="1" t="n">
        <v>45763.43650462963</v>
      </c>
      <c r="C846" s="1" t="n">
        <v>46013</v>
      </c>
      <c r="D846" t="inlineStr">
        <is>
          <t>JÄMTLANDS LÄN</t>
        </is>
      </c>
      <c r="E846" t="inlineStr">
        <is>
          <t>BERG</t>
        </is>
      </c>
      <c r="G846" t="n">
        <v>3.5</v>
      </c>
      <c r="H846" t="n">
        <v>0</v>
      </c>
      <c r="I846" t="n">
        <v>0</v>
      </c>
      <c r="J846" t="n">
        <v>0</v>
      </c>
      <c r="K846" t="n">
        <v>0</v>
      </c>
      <c r="L846" t="n">
        <v>0</v>
      </c>
      <c r="M846" t="n">
        <v>0</v>
      </c>
      <c r="N846" t="n">
        <v>0</v>
      </c>
      <c r="O846" t="n">
        <v>0</v>
      </c>
      <c r="P846" t="n">
        <v>0</v>
      </c>
      <c r="Q846" t="n">
        <v>0</v>
      </c>
      <c r="R846" s="2" t="inlineStr"/>
    </row>
    <row r="847" ht="15" customHeight="1">
      <c r="A847" t="inlineStr">
        <is>
          <t>A 16491-2023</t>
        </is>
      </c>
      <c r="B847" s="1" t="n">
        <v>45027</v>
      </c>
      <c r="C847" s="1" t="n">
        <v>46013</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8239-2024</t>
        </is>
      </c>
      <c r="B848" s="1" t="n">
        <v>45351</v>
      </c>
      <c r="C848" s="1" t="n">
        <v>46013</v>
      </c>
      <c r="D848" t="inlineStr">
        <is>
          <t>JÄMTLANDS LÄN</t>
        </is>
      </c>
      <c r="E848" t="inlineStr">
        <is>
          <t>BERG</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64247-2023</t>
        </is>
      </c>
      <c r="B849" s="1" t="n">
        <v>45279.92739583334</v>
      </c>
      <c r="C849" s="1" t="n">
        <v>46013</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62555-2023</t>
        </is>
      </c>
      <c r="B850" s="1" t="n">
        <v>45268.9262962963</v>
      </c>
      <c r="C850" s="1" t="n">
        <v>46013</v>
      </c>
      <c r="D850" t="inlineStr">
        <is>
          <t>JÄMTLANDS LÄN</t>
        </is>
      </c>
      <c r="E850" t="inlineStr">
        <is>
          <t>BERG</t>
        </is>
      </c>
      <c r="G850" t="n">
        <v>5</v>
      </c>
      <c r="H850" t="n">
        <v>0</v>
      </c>
      <c r="I850" t="n">
        <v>0</v>
      </c>
      <c r="J850" t="n">
        <v>0</v>
      </c>
      <c r="K850" t="n">
        <v>0</v>
      </c>
      <c r="L850" t="n">
        <v>0</v>
      </c>
      <c r="M850" t="n">
        <v>0</v>
      </c>
      <c r="N850" t="n">
        <v>0</v>
      </c>
      <c r="O850" t="n">
        <v>0</v>
      </c>
      <c r="P850" t="n">
        <v>0</v>
      </c>
      <c r="Q850" t="n">
        <v>0</v>
      </c>
      <c r="R850" s="2" t="inlineStr"/>
    </row>
    <row r="851" ht="15" customHeight="1">
      <c r="A851" t="inlineStr">
        <is>
          <t>A 36-2024</t>
        </is>
      </c>
      <c r="B851" s="1" t="n">
        <v>45293</v>
      </c>
      <c r="C851" s="1" t="n">
        <v>46013</v>
      </c>
      <c r="D851" t="inlineStr">
        <is>
          <t>JÄMTLANDS LÄN</t>
        </is>
      </c>
      <c r="E851" t="inlineStr">
        <is>
          <t>BERG</t>
        </is>
      </c>
      <c r="G851" t="n">
        <v>2.6</v>
      </c>
      <c r="H851" t="n">
        <v>0</v>
      </c>
      <c r="I851" t="n">
        <v>0</v>
      </c>
      <c r="J851" t="n">
        <v>0</v>
      </c>
      <c r="K851" t="n">
        <v>0</v>
      </c>
      <c r="L851" t="n">
        <v>0</v>
      </c>
      <c r="M851" t="n">
        <v>0</v>
      </c>
      <c r="N851" t="n">
        <v>0</v>
      </c>
      <c r="O851" t="n">
        <v>0</v>
      </c>
      <c r="P851" t="n">
        <v>0</v>
      </c>
      <c r="Q851" t="n">
        <v>0</v>
      </c>
      <c r="R851" s="2" t="inlineStr"/>
    </row>
    <row r="852" ht="15" customHeight="1">
      <c r="A852" t="inlineStr">
        <is>
          <t>A 31079-2024</t>
        </is>
      </c>
      <c r="B852" s="1" t="n">
        <v>45502.46423611111</v>
      </c>
      <c r="C852" s="1" t="n">
        <v>46013</v>
      </c>
      <c r="D852" t="inlineStr">
        <is>
          <t>JÄMTLANDS LÄN</t>
        </is>
      </c>
      <c r="E852" t="inlineStr">
        <is>
          <t>BERG</t>
        </is>
      </c>
      <c r="G852" t="n">
        <v>2.5</v>
      </c>
      <c r="H852" t="n">
        <v>0</v>
      </c>
      <c r="I852" t="n">
        <v>0</v>
      </c>
      <c r="J852" t="n">
        <v>0</v>
      </c>
      <c r="K852" t="n">
        <v>0</v>
      </c>
      <c r="L852" t="n">
        <v>0</v>
      </c>
      <c r="M852" t="n">
        <v>0</v>
      </c>
      <c r="N852" t="n">
        <v>0</v>
      </c>
      <c r="O852" t="n">
        <v>0</v>
      </c>
      <c r="P852" t="n">
        <v>0</v>
      </c>
      <c r="Q852" t="n">
        <v>0</v>
      </c>
      <c r="R852" s="2" t="inlineStr"/>
    </row>
    <row r="853" ht="15" customHeight="1">
      <c r="A853" t="inlineStr">
        <is>
          <t>A 16002-2025</t>
        </is>
      </c>
      <c r="B853" s="1" t="n">
        <v>45749.59398148148</v>
      </c>
      <c r="C853" s="1" t="n">
        <v>46013</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14226-2021</t>
        </is>
      </c>
      <c r="B854" s="1" t="n">
        <v>44277</v>
      </c>
      <c r="C854" s="1" t="n">
        <v>46013</v>
      </c>
      <c r="D854" t="inlineStr">
        <is>
          <t>JÄMTLANDS LÄN</t>
        </is>
      </c>
      <c r="E854" t="inlineStr">
        <is>
          <t>BERG</t>
        </is>
      </c>
      <c r="G854" t="n">
        <v>23.7</v>
      </c>
      <c r="H854" t="n">
        <v>0</v>
      </c>
      <c r="I854" t="n">
        <v>0</v>
      </c>
      <c r="J854" t="n">
        <v>0</v>
      </c>
      <c r="K854" t="n">
        <v>0</v>
      </c>
      <c r="L854" t="n">
        <v>0</v>
      </c>
      <c r="M854" t="n">
        <v>0</v>
      </c>
      <c r="N854" t="n">
        <v>0</v>
      </c>
      <c r="O854" t="n">
        <v>0</v>
      </c>
      <c r="P854" t="n">
        <v>0</v>
      </c>
      <c r="Q854" t="n">
        <v>0</v>
      </c>
      <c r="R854" s="2" t="inlineStr"/>
    </row>
    <row r="855" ht="15" customHeight="1">
      <c r="A855" t="inlineStr">
        <is>
          <t>A 8251-2023</t>
        </is>
      </c>
      <c r="B855" s="1" t="n">
        <v>44974</v>
      </c>
      <c r="C855" s="1" t="n">
        <v>46013</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57905-2024</t>
        </is>
      </c>
      <c r="B856" s="1" t="n">
        <v>45631.48989583334</v>
      </c>
      <c r="C856" s="1" t="n">
        <v>46013</v>
      </c>
      <c r="D856" t="inlineStr">
        <is>
          <t>JÄMTLANDS LÄN</t>
        </is>
      </c>
      <c r="E856" t="inlineStr">
        <is>
          <t>BERG</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39785-2024</t>
        </is>
      </c>
      <c r="B857" s="1" t="n">
        <v>45553.29927083333</v>
      </c>
      <c r="C857" s="1" t="n">
        <v>46013</v>
      </c>
      <c r="D857" t="inlineStr">
        <is>
          <t>JÄMTLANDS LÄN</t>
        </is>
      </c>
      <c r="E857" t="inlineStr">
        <is>
          <t>BERG</t>
        </is>
      </c>
      <c r="G857" t="n">
        <v>16.1</v>
      </c>
      <c r="H857" t="n">
        <v>0</v>
      </c>
      <c r="I857" t="n">
        <v>0</v>
      </c>
      <c r="J857" t="n">
        <v>0</v>
      </c>
      <c r="K857" t="n">
        <v>0</v>
      </c>
      <c r="L857" t="n">
        <v>0</v>
      </c>
      <c r="M857" t="n">
        <v>0</v>
      </c>
      <c r="N857" t="n">
        <v>0</v>
      </c>
      <c r="O857" t="n">
        <v>0</v>
      </c>
      <c r="P857" t="n">
        <v>0</v>
      </c>
      <c r="Q857" t="n">
        <v>0</v>
      </c>
      <c r="R857" s="2" t="inlineStr"/>
    </row>
    <row r="858" ht="15" customHeight="1">
      <c r="A858" t="inlineStr">
        <is>
          <t>A 26918-2024</t>
        </is>
      </c>
      <c r="B858" s="1" t="n">
        <v>45470</v>
      </c>
      <c r="C858" s="1" t="n">
        <v>46013</v>
      </c>
      <c r="D858" t="inlineStr">
        <is>
          <t>JÄMTLANDS LÄN</t>
        </is>
      </c>
      <c r="E858" t="inlineStr">
        <is>
          <t>BERG</t>
        </is>
      </c>
      <c r="G858" t="n">
        <v>0.4</v>
      </c>
      <c r="H858" t="n">
        <v>0</v>
      </c>
      <c r="I858" t="n">
        <v>0</v>
      </c>
      <c r="J858" t="n">
        <v>0</v>
      </c>
      <c r="K858" t="n">
        <v>0</v>
      </c>
      <c r="L858" t="n">
        <v>0</v>
      </c>
      <c r="M858" t="n">
        <v>0</v>
      </c>
      <c r="N858" t="n">
        <v>0</v>
      </c>
      <c r="O858" t="n">
        <v>0</v>
      </c>
      <c r="P858" t="n">
        <v>0</v>
      </c>
      <c r="Q858" t="n">
        <v>0</v>
      </c>
      <c r="R858" s="2" t="inlineStr"/>
    </row>
    <row r="859" ht="15" customHeight="1">
      <c r="A859" t="inlineStr">
        <is>
          <t>A 62153-2022</t>
        </is>
      </c>
      <c r="B859" s="1" t="n">
        <v>44914</v>
      </c>
      <c r="C859" s="1" t="n">
        <v>46013</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13805-2024</t>
        </is>
      </c>
      <c r="B860" s="1" t="n">
        <v>45390</v>
      </c>
      <c r="C860" s="1" t="n">
        <v>46013</v>
      </c>
      <c r="D860" t="inlineStr">
        <is>
          <t>JÄMTLANDS LÄN</t>
        </is>
      </c>
      <c r="E860" t="inlineStr">
        <is>
          <t>BERG</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62104-2023</t>
        </is>
      </c>
      <c r="B861" s="1" t="n">
        <v>45266.95052083334</v>
      </c>
      <c r="C861" s="1" t="n">
        <v>46013</v>
      </c>
      <c r="D861" t="inlineStr">
        <is>
          <t>JÄMTLANDS LÄN</t>
        </is>
      </c>
      <c r="E861" t="inlineStr">
        <is>
          <t>BERG</t>
        </is>
      </c>
      <c r="G861" t="n">
        <v>1.5</v>
      </c>
      <c r="H861" t="n">
        <v>0</v>
      </c>
      <c r="I861" t="n">
        <v>0</v>
      </c>
      <c r="J861" t="n">
        <v>0</v>
      </c>
      <c r="K861" t="n">
        <v>0</v>
      </c>
      <c r="L861" t="n">
        <v>0</v>
      </c>
      <c r="M861" t="n">
        <v>0</v>
      </c>
      <c r="N861" t="n">
        <v>0</v>
      </c>
      <c r="O861" t="n">
        <v>0</v>
      </c>
      <c r="P861" t="n">
        <v>0</v>
      </c>
      <c r="Q861" t="n">
        <v>0</v>
      </c>
      <c r="R861" s="2" t="inlineStr"/>
    </row>
    <row r="862" ht="15" customHeight="1">
      <c r="A862" t="inlineStr">
        <is>
          <t>A 62105-2023</t>
        </is>
      </c>
      <c r="B862" s="1" t="n">
        <v>45266.95074074074</v>
      </c>
      <c r="C862" s="1" t="n">
        <v>46013</v>
      </c>
      <c r="D862" t="inlineStr">
        <is>
          <t>JÄMTLANDS LÄN</t>
        </is>
      </c>
      <c r="E862" t="inlineStr">
        <is>
          <t>BERG</t>
        </is>
      </c>
      <c r="F862" t="inlineStr">
        <is>
          <t>SCA</t>
        </is>
      </c>
      <c r="G862" t="n">
        <v>13.1</v>
      </c>
      <c r="H862" t="n">
        <v>0</v>
      </c>
      <c r="I862" t="n">
        <v>0</v>
      </c>
      <c r="J862" t="n">
        <v>0</v>
      </c>
      <c r="K862" t="n">
        <v>0</v>
      </c>
      <c r="L862" t="n">
        <v>0</v>
      </c>
      <c r="M862" t="n">
        <v>0</v>
      </c>
      <c r="N862" t="n">
        <v>0</v>
      </c>
      <c r="O862" t="n">
        <v>0</v>
      </c>
      <c r="P862" t="n">
        <v>0</v>
      </c>
      <c r="Q862" t="n">
        <v>0</v>
      </c>
      <c r="R862" s="2" t="inlineStr"/>
    </row>
    <row r="863" ht="15" customHeight="1">
      <c r="A863" t="inlineStr">
        <is>
          <t>A 1657-2021</t>
        </is>
      </c>
      <c r="B863" s="1" t="n">
        <v>44209</v>
      </c>
      <c r="C863" s="1" t="n">
        <v>46013</v>
      </c>
      <c r="D863" t="inlineStr">
        <is>
          <t>JÄMTLANDS LÄN</t>
        </is>
      </c>
      <c r="E863" t="inlineStr">
        <is>
          <t>BERG</t>
        </is>
      </c>
      <c r="G863" t="n">
        <v>0.1</v>
      </c>
      <c r="H863" t="n">
        <v>0</v>
      </c>
      <c r="I863" t="n">
        <v>0</v>
      </c>
      <c r="J863" t="n">
        <v>0</v>
      </c>
      <c r="K863" t="n">
        <v>0</v>
      </c>
      <c r="L863" t="n">
        <v>0</v>
      </c>
      <c r="M863" t="n">
        <v>0</v>
      </c>
      <c r="N863" t="n">
        <v>0</v>
      </c>
      <c r="O863" t="n">
        <v>0</v>
      </c>
      <c r="P863" t="n">
        <v>0</v>
      </c>
      <c r="Q863" t="n">
        <v>0</v>
      </c>
      <c r="R863" s="2" t="inlineStr"/>
    </row>
    <row r="864" ht="15" customHeight="1">
      <c r="A864" t="inlineStr">
        <is>
          <t>A 32147-2024</t>
        </is>
      </c>
      <c r="B864" s="1" t="n">
        <v>45511.55600694445</v>
      </c>
      <c r="C864" s="1" t="n">
        <v>46013</v>
      </c>
      <c r="D864" t="inlineStr">
        <is>
          <t>JÄMTLANDS LÄN</t>
        </is>
      </c>
      <c r="E864" t="inlineStr">
        <is>
          <t>BERG</t>
        </is>
      </c>
      <c r="G864" t="n">
        <v>2.3</v>
      </c>
      <c r="H864" t="n">
        <v>0</v>
      </c>
      <c r="I864" t="n">
        <v>0</v>
      </c>
      <c r="J864" t="n">
        <v>0</v>
      </c>
      <c r="K864" t="n">
        <v>0</v>
      </c>
      <c r="L864" t="n">
        <v>0</v>
      </c>
      <c r="M864" t="n">
        <v>0</v>
      </c>
      <c r="N864" t="n">
        <v>0</v>
      </c>
      <c r="O864" t="n">
        <v>0</v>
      </c>
      <c r="P864" t="n">
        <v>0</v>
      </c>
      <c r="Q864" t="n">
        <v>0</v>
      </c>
      <c r="R864" s="2" t="inlineStr"/>
    </row>
    <row r="865" ht="15" customHeight="1">
      <c r="A865" t="inlineStr">
        <is>
          <t>A 32156-2024</t>
        </is>
      </c>
      <c r="B865" s="1" t="n">
        <v>45511</v>
      </c>
      <c r="C865" s="1" t="n">
        <v>46013</v>
      </c>
      <c r="D865" t="inlineStr">
        <is>
          <t>JÄMTLANDS LÄN</t>
        </is>
      </c>
      <c r="E865" t="inlineStr">
        <is>
          <t>BERG</t>
        </is>
      </c>
      <c r="G865" t="n">
        <v>3.4</v>
      </c>
      <c r="H865" t="n">
        <v>0</v>
      </c>
      <c r="I865" t="n">
        <v>0</v>
      </c>
      <c r="J865" t="n">
        <v>0</v>
      </c>
      <c r="K865" t="n">
        <v>0</v>
      </c>
      <c r="L865" t="n">
        <v>0</v>
      </c>
      <c r="M865" t="n">
        <v>0</v>
      </c>
      <c r="N865" t="n">
        <v>0</v>
      </c>
      <c r="O865" t="n">
        <v>0</v>
      </c>
      <c r="P865" t="n">
        <v>0</v>
      </c>
      <c r="Q865" t="n">
        <v>0</v>
      </c>
      <c r="R865" s="2" t="inlineStr"/>
    </row>
    <row r="866" ht="15" customHeight="1">
      <c r="A866" t="inlineStr">
        <is>
          <t>A 39103-2024</t>
        </is>
      </c>
      <c r="B866" s="1" t="n">
        <v>45548.57025462963</v>
      </c>
      <c r="C866" s="1" t="n">
        <v>46013</v>
      </c>
      <c r="D866" t="inlineStr">
        <is>
          <t>JÄMTLANDS LÄN</t>
        </is>
      </c>
      <c r="E866" t="inlineStr">
        <is>
          <t>BERG</t>
        </is>
      </c>
      <c r="G866" t="n">
        <v>38.4</v>
      </c>
      <c r="H866" t="n">
        <v>0</v>
      </c>
      <c r="I866" t="n">
        <v>0</v>
      </c>
      <c r="J866" t="n">
        <v>0</v>
      </c>
      <c r="K866" t="n">
        <v>0</v>
      </c>
      <c r="L866" t="n">
        <v>0</v>
      </c>
      <c r="M866" t="n">
        <v>0</v>
      </c>
      <c r="N866" t="n">
        <v>0</v>
      </c>
      <c r="O866" t="n">
        <v>0</v>
      </c>
      <c r="P866" t="n">
        <v>0</v>
      </c>
      <c r="Q866" t="n">
        <v>0</v>
      </c>
      <c r="R866" s="2" t="inlineStr"/>
    </row>
    <row r="867" ht="15" customHeight="1">
      <c r="A867" t="inlineStr">
        <is>
          <t>A 41782-2024</t>
        </is>
      </c>
      <c r="B867" s="1" t="n">
        <v>45561</v>
      </c>
      <c r="C867" s="1" t="n">
        <v>46013</v>
      </c>
      <c r="D867" t="inlineStr">
        <is>
          <t>JÄMTLANDS LÄN</t>
        </is>
      </c>
      <c r="E867" t="inlineStr">
        <is>
          <t>BERG</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14728-2025</t>
        </is>
      </c>
      <c r="B868" s="1" t="n">
        <v>45742.63574074074</v>
      </c>
      <c r="C868" s="1" t="n">
        <v>46013</v>
      </c>
      <c r="D868" t="inlineStr">
        <is>
          <t>JÄMTLANDS LÄN</t>
        </is>
      </c>
      <c r="E868" t="inlineStr">
        <is>
          <t>BERG</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12499-2021</t>
        </is>
      </c>
      <c r="B869" s="1" t="n">
        <v>44267</v>
      </c>
      <c r="C869" s="1" t="n">
        <v>46013</v>
      </c>
      <c r="D869" t="inlineStr">
        <is>
          <t>JÄMTLANDS LÄN</t>
        </is>
      </c>
      <c r="E869" t="inlineStr">
        <is>
          <t>BERG</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34225-2024</t>
        </is>
      </c>
      <c r="B870" s="1" t="n">
        <v>45524.55398148148</v>
      </c>
      <c r="C870" s="1" t="n">
        <v>46013</v>
      </c>
      <c r="D870" t="inlineStr">
        <is>
          <t>JÄMTLANDS LÄN</t>
        </is>
      </c>
      <c r="E870" t="inlineStr">
        <is>
          <t>BERG</t>
        </is>
      </c>
      <c r="G870" t="n">
        <v>1.3</v>
      </c>
      <c r="H870" t="n">
        <v>0</v>
      </c>
      <c r="I870" t="n">
        <v>0</v>
      </c>
      <c r="J870" t="n">
        <v>0</v>
      </c>
      <c r="K870" t="n">
        <v>0</v>
      </c>
      <c r="L870" t="n">
        <v>0</v>
      </c>
      <c r="M870" t="n">
        <v>0</v>
      </c>
      <c r="N870" t="n">
        <v>0</v>
      </c>
      <c r="O870" t="n">
        <v>0</v>
      </c>
      <c r="P870" t="n">
        <v>0</v>
      </c>
      <c r="Q870" t="n">
        <v>0</v>
      </c>
      <c r="R870" s="2" t="inlineStr"/>
    </row>
    <row r="871" ht="15" customHeight="1">
      <c r="A871" t="inlineStr">
        <is>
          <t>A 41636-2024</t>
        </is>
      </c>
      <c r="B871" s="1" t="n">
        <v>45560.61606481481</v>
      </c>
      <c r="C871" s="1" t="n">
        <v>46013</v>
      </c>
      <c r="D871" t="inlineStr">
        <is>
          <t>JÄMTLANDS LÄN</t>
        </is>
      </c>
      <c r="E871" t="inlineStr">
        <is>
          <t>BERG</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18032-2024</t>
        </is>
      </c>
      <c r="B872" s="1" t="n">
        <v>45420.34979166667</v>
      </c>
      <c r="C872" s="1" t="n">
        <v>46013</v>
      </c>
      <c r="D872" t="inlineStr">
        <is>
          <t>JÄMTLANDS LÄN</t>
        </is>
      </c>
      <c r="E872" t="inlineStr">
        <is>
          <t>BERG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14772-2021</t>
        </is>
      </c>
      <c r="B873" s="1" t="n">
        <v>44280.62068287037</v>
      </c>
      <c r="C873" s="1" t="n">
        <v>46013</v>
      </c>
      <c r="D873" t="inlineStr">
        <is>
          <t>JÄMTLANDS LÄN</t>
        </is>
      </c>
      <c r="E873" t="inlineStr">
        <is>
          <t>BERG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22947-2022</t>
        </is>
      </c>
      <c r="B874" s="1" t="n">
        <v>44715.92443287037</v>
      </c>
      <c r="C874" s="1" t="n">
        <v>46013</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46902-2024</t>
        </is>
      </c>
      <c r="B875" s="1" t="n">
        <v>45583.69847222222</v>
      </c>
      <c r="C875" s="1" t="n">
        <v>46013</v>
      </c>
      <c r="D875" t="inlineStr">
        <is>
          <t>JÄMTLANDS LÄN</t>
        </is>
      </c>
      <c r="E875" t="inlineStr">
        <is>
          <t>BERG</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45347-2023</t>
        </is>
      </c>
      <c r="B876" s="1" t="n">
        <v>45191</v>
      </c>
      <c r="C876" s="1" t="n">
        <v>46013</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36079-2024</t>
        </is>
      </c>
      <c r="B877" s="1" t="n">
        <v>45533.66685185185</v>
      </c>
      <c r="C877" s="1" t="n">
        <v>46013</v>
      </c>
      <c r="D877" t="inlineStr">
        <is>
          <t>JÄMTLANDS LÄN</t>
        </is>
      </c>
      <c r="E877" t="inlineStr">
        <is>
          <t>BERG</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64487-2023</t>
        </is>
      </c>
      <c r="B878" s="1" t="n">
        <v>45280.92613425926</v>
      </c>
      <c r="C878" s="1" t="n">
        <v>46013</v>
      </c>
      <c r="D878" t="inlineStr">
        <is>
          <t>JÄMTLANDS LÄN</t>
        </is>
      </c>
      <c r="E878" t="inlineStr">
        <is>
          <t>BERG</t>
        </is>
      </c>
      <c r="F878" t="inlineStr">
        <is>
          <t>Övriga Aktiebolag</t>
        </is>
      </c>
      <c r="G878" t="n">
        <v>7.6</v>
      </c>
      <c r="H878" t="n">
        <v>0</v>
      </c>
      <c r="I878" t="n">
        <v>0</v>
      </c>
      <c r="J878" t="n">
        <v>0</v>
      </c>
      <c r="K878" t="n">
        <v>0</v>
      </c>
      <c r="L878" t="n">
        <v>0</v>
      </c>
      <c r="M878" t="n">
        <v>0</v>
      </c>
      <c r="N878" t="n">
        <v>0</v>
      </c>
      <c r="O878" t="n">
        <v>0</v>
      </c>
      <c r="P878" t="n">
        <v>0</v>
      </c>
      <c r="Q878" t="n">
        <v>0</v>
      </c>
      <c r="R878" s="2" t="inlineStr"/>
    </row>
    <row r="879" ht="15" customHeight="1">
      <c r="A879" t="inlineStr">
        <is>
          <t>A 64489-2023</t>
        </is>
      </c>
      <c r="B879" s="1" t="n">
        <v>45280</v>
      </c>
      <c r="C879" s="1" t="n">
        <v>46013</v>
      </c>
      <c r="D879" t="inlineStr">
        <is>
          <t>JÄMTLANDS LÄN</t>
        </is>
      </c>
      <c r="E879" t="inlineStr">
        <is>
          <t>BERG</t>
        </is>
      </c>
      <c r="F879" t="inlineStr">
        <is>
          <t>Övriga Aktiebolag</t>
        </is>
      </c>
      <c r="G879" t="n">
        <v>14.1</v>
      </c>
      <c r="H879" t="n">
        <v>0</v>
      </c>
      <c r="I879" t="n">
        <v>0</v>
      </c>
      <c r="J879" t="n">
        <v>0</v>
      </c>
      <c r="K879" t="n">
        <v>0</v>
      </c>
      <c r="L879" t="n">
        <v>0</v>
      </c>
      <c r="M879" t="n">
        <v>0</v>
      </c>
      <c r="N879" t="n">
        <v>0</v>
      </c>
      <c r="O879" t="n">
        <v>0</v>
      </c>
      <c r="P879" t="n">
        <v>0</v>
      </c>
      <c r="Q879" t="n">
        <v>0</v>
      </c>
      <c r="R879" s="2" t="inlineStr"/>
    </row>
    <row r="880" ht="15" customHeight="1">
      <c r="A880" t="inlineStr">
        <is>
          <t>A 692-2021</t>
        </is>
      </c>
      <c r="B880" s="1" t="n">
        <v>44203</v>
      </c>
      <c r="C880" s="1" t="n">
        <v>46013</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60068-2022</t>
        </is>
      </c>
      <c r="B881" s="1" t="n">
        <v>44902</v>
      </c>
      <c r="C881" s="1" t="n">
        <v>46013</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3798-2022</t>
        </is>
      </c>
      <c r="B882" s="1" t="n">
        <v>44586</v>
      </c>
      <c r="C882" s="1" t="n">
        <v>46013</v>
      </c>
      <c r="D882" t="inlineStr">
        <is>
          <t>JÄMTLANDS LÄN</t>
        </is>
      </c>
      <c r="E882" t="inlineStr">
        <is>
          <t>BERG</t>
        </is>
      </c>
      <c r="G882" t="n">
        <v>0.1</v>
      </c>
      <c r="H882" t="n">
        <v>0</v>
      </c>
      <c r="I882" t="n">
        <v>0</v>
      </c>
      <c r="J882" t="n">
        <v>0</v>
      </c>
      <c r="K882" t="n">
        <v>0</v>
      </c>
      <c r="L882" t="n">
        <v>0</v>
      </c>
      <c r="M882" t="n">
        <v>0</v>
      </c>
      <c r="N882" t="n">
        <v>0</v>
      </c>
      <c r="O882" t="n">
        <v>0</v>
      </c>
      <c r="P882" t="n">
        <v>0</v>
      </c>
      <c r="Q882" t="n">
        <v>0</v>
      </c>
      <c r="R882" s="2" t="inlineStr"/>
    </row>
    <row r="883" ht="15" customHeight="1">
      <c r="A883" t="inlineStr">
        <is>
          <t>A 22297-2022</t>
        </is>
      </c>
      <c r="B883" s="1" t="n">
        <v>44712</v>
      </c>
      <c r="C883" s="1" t="n">
        <v>46013</v>
      </c>
      <c r="D883" t="inlineStr">
        <is>
          <t>JÄMTLANDS LÄN</t>
        </is>
      </c>
      <c r="E883" t="inlineStr">
        <is>
          <t>BERG</t>
        </is>
      </c>
      <c r="G883" t="n">
        <v>1</v>
      </c>
      <c r="H883" t="n">
        <v>0</v>
      </c>
      <c r="I883" t="n">
        <v>0</v>
      </c>
      <c r="J883" t="n">
        <v>0</v>
      </c>
      <c r="K883" t="n">
        <v>0</v>
      </c>
      <c r="L883" t="n">
        <v>0</v>
      </c>
      <c r="M883" t="n">
        <v>0</v>
      </c>
      <c r="N883" t="n">
        <v>0</v>
      </c>
      <c r="O883" t="n">
        <v>0</v>
      </c>
      <c r="P883" t="n">
        <v>0</v>
      </c>
      <c r="Q883" t="n">
        <v>0</v>
      </c>
      <c r="R883" s="2" t="inlineStr"/>
    </row>
    <row r="884" ht="15" customHeight="1">
      <c r="A884" t="inlineStr">
        <is>
          <t>A 54992-2023</t>
        </is>
      </c>
      <c r="B884" s="1" t="n">
        <v>45236.96789351852</v>
      </c>
      <c r="C884" s="1" t="n">
        <v>46013</v>
      </c>
      <c r="D884" t="inlineStr">
        <is>
          <t>JÄMTLANDS LÄN</t>
        </is>
      </c>
      <c r="E884" t="inlineStr">
        <is>
          <t>BERG</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54994-2023</t>
        </is>
      </c>
      <c r="B885" s="1" t="n">
        <v>45236</v>
      </c>
      <c r="C885" s="1" t="n">
        <v>46013</v>
      </c>
      <c r="D885" t="inlineStr">
        <is>
          <t>JÄMTLANDS LÄN</t>
        </is>
      </c>
      <c r="E885" t="inlineStr">
        <is>
          <t>BERG</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51548-2023</t>
        </is>
      </c>
      <c r="B886" s="1" t="n">
        <v>45215</v>
      </c>
      <c r="C886" s="1" t="n">
        <v>46013</v>
      </c>
      <c r="D886" t="inlineStr">
        <is>
          <t>JÄMTLANDS LÄN</t>
        </is>
      </c>
      <c r="E886" t="inlineStr">
        <is>
          <t>BERG</t>
        </is>
      </c>
      <c r="G886" t="n">
        <v>4.8</v>
      </c>
      <c r="H886" t="n">
        <v>0</v>
      </c>
      <c r="I886" t="n">
        <v>0</v>
      </c>
      <c r="J886" t="n">
        <v>0</v>
      </c>
      <c r="K886" t="n">
        <v>0</v>
      </c>
      <c r="L886" t="n">
        <v>0</v>
      </c>
      <c r="M886" t="n">
        <v>0</v>
      </c>
      <c r="N886" t="n">
        <v>0</v>
      </c>
      <c r="O886" t="n">
        <v>0</v>
      </c>
      <c r="P886" t="n">
        <v>0</v>
      </c>
      <c r="Q886" t="n">
        <v>0</v>
      </c>
      <c r="R886" s="2" t="inlineStr"/>
    </row>
    <row r="887" ht="15" customHeight="1">
      <c r="A887" t="inlineStr">
        <is>
          <t>A 2472-2025</t>
        </is>
      </c>
      <c r="B887" s="1" t="n">
        <v>45674.47341435185</v>
      </c>
      <c r="C887" s="1" t="n">
        <v>46013</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2474-2025</t>
        </is>
      </c>
      <c r="B888" s="1" t="n">
        <v>45674.47496527778</v>
      </c>
      <c r="C888" s="1" t="n">
        <v>46013</v>
      </c>
      <c r="D888" t="inlineStr">
        <is>
          <t>JÄMTLANDS LÄN</t>
        </is>
      </c>
      <c r="E888" t="inlineStr">
        <is>
          <t>BERG</t>
        </is>
      </c>
      <c r="G888" t="n">
        <v>1.2</v>
      </c>
      <c r="H888" t="n">
        <v>0</v>
      </c>
      <c r="I888" t="n">
        <v>0</v>
      </c>
      <c r="J888" t="n">
        <v>0</v>
      </c>
      <c r="K888" t="n">
        <v>0</v>
      </c>
      <c r="L888" t="n">
        <v>0</v>
      </c>
      <c r="M888" t="n">
        <v>0</v>
      </c>
      <c r="N888" t="n">
        <v>0</v>
      </c>
      <c r="O888" t="n">
        <v>0</v>
      </c>
      <c r="P888" t="n">
        <v>0</v>
      </c>
      <c r="Q888" t="n">
        <v>0</v>
      </c>
      <c r="R888" s="2" t="inlineStr"/>
    </row>
    <row r="889" ht="15" customHeight="1">
      <c r="A889" t="inlineStr">
        <is>
          <t>A 50780-2021</t>
        </is>
      </c>
      <c r="B889" s="1" t="n">
        <v>44459</v>
      </c>
      <c r="C889" s="1" t="n">
        <v>46013</v>
      </c>
      <c r="D889" t="inlineStr">
        <is>
          <t>JÄMTLANDS LÄN</t>
        </is>
      </c>
      <c r="E889" t="inlineStr">
        <is>
          <t>BERG</t>
        </is>
      </c>
      <c r="G889" t="n">
        <v>3.5</v>
      </c>
      <c r="H889" t="n">
        <v>0</v>
      </c>
      <c r="I889" t="n">
        <v>0</v>
      </c>
      <c r="J889" t="n">
        <v>0</v>
      </c>
      <c r="K889" t="n">
        <v>0</v>
      </c>
      <c r="L889" t="n">
        <v>0</v>
      </c>
      <c r="M889" t="n">
        <v>0</v>
      </c>
      <c r="N889" t="n">
        <v>0</v>
      </c>
      <c r="O889" t="n">
        <v>0</v>
      </c>
      <c r="P889" t="n">
        <v>0</v>
      </c>
      <c r="Q889" t="n">
        <v>0</v>
      </c>
      <c r="R889" s="2" t="inlineStr"/>
    </row>
    <row r="890" ht="15" customHeight="1">
      <c r="A890" t="inlineStr">
        <is>
          <t>A 40824-2023</t>
        </is>
      </c>
      <c r="B890" s="1" t="n">
        <v>45171</v>
      </c>
      <c r="C890" s="1" t="n">
        <v>46013</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47119-2024</t>
        </is>
      </c>
      <c r="B891" s="1" t="n">
        <v>45586.56431712963</v>
      </c>
      <c r="C891" s="1" t="n">
        <v>46013</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1982-2022</t>
        </is>
      </c>
      <c r="B892" s="1" t="n">
        <v>44575</v>
      </c>
      <c r="C892" s="1" t="n">
        <v>46013</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1989-2022</t>
        </is>
      </c>
      <c r="B893" s="1" t="n">
        <v>44575.55935185185</v>
      </c>
      <c r="C893" s="1" t="n">
        <v>46013</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14198-2023</t>
        </is>
      </c>
      <c r="B894" s="1" t="n">
        <v>45009.57518518518</v>
      </c>
      <c r="C894" s="1" t="n">
        <v>46013</v>
      </c>
      <c r="D894" t="inlineStr">
        <is>
          <t>JÄMTLANDS LÄN</t>
        </is>
      </c>
      <c r="E894" t="inlineStr">
        <is>
          <t>BERG</t>
        </is>
      </c>
      <c r="G894" t="n">
        <v>2.3</v>
      </c>
      <c r="H894" t="n">
        <v>0</v>
      </c>
      <c r="I894" t="n">
        <v>0</v>
      </c>
      <c r="J894" t="n">
        <v>0</v>
      </c>
      <c r="K894" t="n">
        <v>0</v>
      </c>
      <c r="L894" t="n">
        <v>0</v>
      </c>
      <c r="M894" t="n">
        <v>0</v>
      </c>
      <c r="N894" t="n">
        <v>0</v>
      </c>
      <c r="O894" t="n">
        <v>0</v>
      </c>
      <c r="P894" t="n">
        <v>0</v>
      </c>
      <c r="Q894" t="n">
        <v>0</v>
      </c>
      <c r="R894" s="2" t="inlineStr"/>
    </row>
    <row r="895" ht="15" customHeight="1">
      <c r="A895" t="inlineStr">
        <is>
          <t>A 58817-2024</t>
        </is>
      </c>
      <c r="B895" s="1" t="n">
        <v>45636.35909722222</v>
      </c>
      <c r="C895" s="1" t="n">
        <v>46013</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59526-2024</t>
        </is>
      </c>
      <c r="B896" s="1" t="n">
        <v>45638.58019675926</v>
      </c>
      <c r="C896" s="1" t="n">
        <v>46013</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64752-2023</t>
        </is>
      </c>
      <c r="B897" s="1" t="n">
        <v>45281.92891203704</v>
      </c>
      <c r="C897" s="1" t="n">
        <v>46013</v>
      </c>
      <c r="D897" t="inlineStr">
        <is>
          <t>JÄMTLANDS LÄN</t>
        </is>
      </c>
      <c r="E897" t="inlineStr">
        <is>
          <t>BERG</t>
        </is>
      </c>
      <c r="F897" t="inlineStr">
        <is>
          <t>Övriga Aktiebolag</t>
        </is>
      </c>
      <c r="G897" t="n">
        <v>3.4</v>
      </c>
      <c r="H897" t="n">
        <v>0</v>
      </c>
      <c r="I897" t="n">
        <v>0</v>
      </c>
      <c r="J897" t="n">
        <v>0</v>
      </c>
      <c r="K897" t="n">
        <v>0</v>
      </c>
      <c r="L897" t="n">
        <v>0</v>
      </c>
      <c r="M897" t="n">
        <v>0</v>
      </c>
      <c r="N897" t="n">
        <v>0</v>
      </c>
      <c r="O897" t="n">
        <v>0</v>
      </c>
      <c r="P897" t="n">
        <v>0</v>
      </c>
      <c r="Q897" t="n">
        <v>0</v>
      </c>
      <c r="R897" s="2" t="inlineStr"/>
    </row>
    <row r="898" ht="15" customHeight="1">
      <c r="A898" t="inlineStr">
        <is>
          <t>A 8069-2024</t>
        </is>
      </c>
      <c r="B898" s="1" t="n">
        <v>45351.41600694445</v>
      </c>
      <c r="C898" s="1" t="n">
        <v>46013</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7447-2022</t>
        </is>
      </c>
      <c r="B899" s="1" t="n">
        <v>44606</v>
      </c>
      <c r="C899" s="1" t="n">
        <v>46013</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46013</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38-2024</t>
        </is>
      </c>
      <c r="B901" s="1" t="n">
        <v>45293</v>
      </c>
      <c r="C901" s="1" t="n">
        <v>46013</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31129-2024</t>
        </is>
      </c>
      <c r="B902" s="1" t="n">
        <v>45502</v>
      </c>
      <c r="C902" s="1" t="n">
        <v>46013</v>
      </c>
      <c r="D902" t="inlineStr">
        <is>
          <t>JÄMTLANDS LÄN</t>
        </is>
      </c>
      <c r="E902" t="inlineStr">
        <is>
          <t>BERG</t>
        </is>
      </c>
      <c r="G902" t="n">
        <v>1.3</v>
      </c>
      <c r="H902" t="n">
        <v>0</v>
      </c>
      <c r="I902" t="n">
        <v>0</v>
      </c>
      <c r="J902" t="n">
        <v>0</v>
      </c>
      <c r="K902" t="n">
        <v>0</v>
      </c>
      <c r="L902" t="n">
        <v>0</v>
      </c>
      <c r="M902" t="n">
        <v>0</v>
      </c>
      <c r="N902" t="n">
        <v>0</v>
      </c>
      <c r="O902" t="n">
        <v>0</v>
      </c>
      <c r="P902" t="n">
        <v>0</v>
      </c>
      <c r="Q902" t="n">
        <v>0</v>
      </c>
      <c r="R902" s="2" t="inlineStr"/>
    </row>
    <row r="903" ht="15" customHeight="1">
      <c r="A903" t="inlineStr">
        <is>
          <t>A 18007-2024</t>
        </is>
      </c>
      <c r="B903" s="1" t="n">
        <v>45419.94912037037</v>
      </c>
      <c r="C903" s="1" t="n">
        <v>46013</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53894-2023</t>
        </is>
      </c>
      <c r="B904" s="1" t="n">
        <v>45231.53321759259</v>
      </c>
      <c r="C904" s="1" t="n">
        <v>46013</v>
      </c>
      <c r="D904" t="inlineStr">
        <is>
          <t>JÄMTLANDS LÄN</t>
        </is>
      </c>
      <c r="E904" t="inlineStr">
        <is>
          <t>BERG</t>
        </is>
      </c>
      <c r="G904" t="n">
        <v>0.5</v>
      </c>
      <c r="H904" t="n">
        <v>0</v>
      </c>
      <c r="I904" t="n">
        <v>0</v>
      </c>
      <c r="J904" t="n">
        <v>0</v>
      </c>
      <c r="K904" t="n">
        <v>0</v>
      </c>
      <c r="L904" t="n">
        <v>0</v>
      </c>
      <c r="M904" t="n">
        <v>0</v>
      </c>
      <c r="N904" t="n">
        <v>0</v>
      </c>
      <c r="O904" t="n">
        <v>0</v>
      </c>
      <c r="P904" t="n">
        <v>0</v>
      </c>
      <c r="Q904" t="n">
        <v>0</v>
      </c>
      <c r="R904" s="2" t="inlineStr"/>
    </row>
    <row r="905" ht="15" customHeight="1">
      <c r="A905" t="inlineStr">
        <is>
          <t>A 6645-2025</t>
        </is>
      </c>
      <c r="B905" s="1" t="n">
        <v>45700.39645833334</v>
      </c>
      <c r="C905" s="1" t="n">
        <v>46013</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21717-2023</t>
        </is>
      </c>
      <c r="B906" s="1" t="n">
        <v>45063</v>
      </c>
      <c r="C906" s="1" t="n">
        <v>46013</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46858-2023</t>
        </is>
      </c>
      <c r="B907" s="1" t="n">
        <v>45199.97042824074</v>
      </c>
      <c r="C907" s="1" t="n">
        <v>46013</v>
      </c>
      <c r="D907" t="inlineStr">
        <is>
          <t>JÄMTLANDS LÄN</t>
        </is>
      </c>
      <c r="E907" t="inlineStr">
        <is>
          <t>BERG</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49225-2024</t>
        </is>
      </c>
      <c r="B908" s="1" t="n">
        <v>45595.4177662037</v>
      </c>
      <c r="C908" s="1" t="n">
        <v>46013</v>
      </c>
      <c r="D908" t="inlineStr">
        <is>
          <t>JÄMTLANDS LÄN</t>
        </is>
      </c>
      <c r="E908" t="inlineStr">
        <is>
          <t>BERG</t>
        </is>
      </c>
      <c r="G908" t="n">
        <v>2</v>
      </c>
      <c r="H908" t="n">
        <v>0</v>
      </c>
      <c r="I908" t="n">
        <v>0</v>
      </c>
      <c r="J908" t="n">
        <v>0</v>
      </c>
      <c r="K908" t="n">
        <v>0</v>
      </c>
      <c r="L908" t="n">
        <v>0</v>
      </c>
      <c r="M908" t="n">
        <v>0</v>
      </c>
      <c r="N908" t="n">
        <v>0</v>
      </c>
      <c r="O908" t="n">
        <v>0</v>
      </c>
      <c r="P908" t="n">
        <v>0</v>
      </c>
      <c r="Q908" t="n">
        <v>0</v>
      </c>
      <c r="R908" s="2" t="inlineStr"/>
    </row>
    <row r="909" ht="15" customHeight="1">
      <c r="A909" t="inlineStr">
        <is>
          <t>A 25565-2023</t>
        </is>
      </c>
      <c r="B909" s="1" t="n">
        <v>45082</v>
      </c>
      <c r="C909" s="1" t="n">
        <v>46013</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56226-2024</t>
        </is>
      </c>
      <c r="B910" s="1" t="n">
        <v>45624.61572916667</v>
      </c>
      <c r="C910" s="1" t="n">
        <v>46013</v>
      </c>
      <c r="D910" t="inlineStr">
        <is>
          <t>JÄMTLANDS LÄN</t>
        </is>
      </c>
      <c r="E910" t="inlineStr">
        <is>
          <t>BERG</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54863-2023</t>
        </is>
      </c>
      <c r="B911" s="1" t="n">
        <v>45236</v>
      </c>
      <c r="C911" s="1" t="n">
        <v>46013</v>
      </c>
      <c r="D911" t="inlineStr">
        <is>
          <t>JÄMTLANDS LÄN</t>
        </is>
      </c>
      <c r="E911" t="inlineStr">
        <is>
          <t>BERG</t>
        </is>
      </c>
      <c r="G911" t="n">
        <v>3.3</v>
      </c>
      <c r="H911" t="n">
        <v>0</v>
      </c>
      <c r="I911" t="n">
        <v>0</v>
      </c>
      <c r="J911" t="n">
        <v>0</v>
      </c>
      <c r="K911" t="n">
        <v>0</v>
      </c>
      <c r="L911" t="n">
        <v>0</v>
      </c>
      <c r="M911" t="n">
        <v>0</v>
      </c>
      <c r="N911" t="n">
        <v>0</v>
      </c>
      <c r="O911" t="n">
        <v>0</v>
      </c>
      <c r="P911" t="n">
        <v>0</v>
      </c>
      <c r="Q911" t="n">
        <v>0</v>
      </c>
      <c r="R911" s="2" t="inlineStr"/>
    </row>
    <row r="912" ht="15" customHeight="1">
      <c r="A912" t="inlineStr">
        <is>
          <t>A 48663-2023</t>
        </is>
      </c>
      <c r="B912" s="1" t="n">
        <v>45202</v>
      </c>
      <c r="C912" s="1" t="n">
        <v>46013</v>
      </c>
      <c r="D912" t="inlineStr">
        <is>
          <t>JÄMTLANDS LÄN</t>
        </is>
      </c>
      <c r="E912" t="inlineStr">
        <is>
          <t>BERG</t>
        </is>
      </c>
      <c r="G912" t="n">
        <v>1.6</v>
      </c>
      <c r="H912" t="n">
        <v>0</v>
      </c>
      <c r="I912" t="n">
        <v>0</v>
      </c>
      <c r="J912" t="n">
        <v>0</v>
      </c>
      <c r="K912" t="n">
        <v>0</v>
      </c>
      <c r="L912" t="n">
        <v>0</v>
      </c>
      <c r="M912" t="n">
        <v>0</v>
      </c>
      <c r="N912" t="n">
        <v>0</v>
      </c>
      <c r="O912" t="n">
        <v>0</v>
      </c>
      <c r="P912" t="n">
        <v>0</v>
      </c>
      <c r="Q912" t="n">
        <v>0</v>
      </c>
      <c r="R912" s="2" t="inlineStr"/>
    </row>
    <row r="913" ht="15" customHeight="1">
      <c r="A913" t="inlineStr">
        <is>
          <t>A 4476-2025</t>
        </is>
      </c>
      <c r="B913" s="1" t="n">
        <v>45686.62828703703</v>
      </c>
      <c r="C913" s="1" t="n">
        <v>46013</v>
      </c>
      <c r="D913" t="inlineStr">
        <is>
          <t>JÄMTLANDS LÄN</t>
        </is>
      </c>
      <c r="E913" t="inlineStr">
        <is>
          <t>BERG</t>
        </is>
      </c>
      <c r="G913" t="n">
        <v>1.3</v>
      </c>
      <c r="H913" t="n">
        <v>0</v>
      </c>
      <c r="I913" t="n">
        <v>0</v>
      </c>
      <c r="J913" t="n">
        <v>0</v>
      </c>
      <c r="K913" t="n">
        <v>0</v>
      </c>
      <c r="L913" t="n">
        <v>0</v>
      </c>
      <c r="M913" t="n">
        <v>0</v>
      </c>
      <c r="N913" t="n">
        <v>0</v>
      </c>
      <c r="O913" t="n">
        <v>0</v>
      </c>
      <c r="P913" t="n">
        <v>0</v>
      </c>
      <c r="Q913" t="n">
        <v>0</v>
      </c>
      <c r="R913" s="2" t="inlineStr"/>
    </row>
    <row r="914" ht="15" customHeight="1">
      <c r="A914" t="inlineStr">
        <is>
          <t>A 35792-2024</t>
        </is>
      </c>
      <c r="B914" s="1" t="n">
        <v>45532.62950231481</v>
      </c>
      <c r="C914" s="1" t="n">
        <v>46013</v>
      </c>
      <c r="D914" t="inlineStr">
        <is>
          <t>JÄMTLANDS LÄN</t>
        </is>
      </c>
      <c r="E914" t="inlineStr">
        <is>
          <t>BERG</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40990-2022</t>
        </is>
      </c>
      <c r="B915" s="1" t="n">
        <v>44823</v>
      </c>
      <c r="C915" s="1" t="n">
        <v>46013</v>
      </c>
      <c r="D915" t="inlineStr">
        <is>
          <t>JÄMTLANDS LÄN</t>
        </is>
      </c>
      <c r="E915" t="inlineStr">
        <is>
          <t>BERG</t>
        </is>
      </c>
      <c r="G915" t="n">
        <v>11.7</v>
      </c>
      <c r="H915" t="n">
        <v>0</v>
      </c>
      <c r="I915" t="n">
        <v>0</v>
      </c>
      <c r="J915" t="n">
        <v>0</v>
      </c>
      <c r="K915" t="n">
        <v>0</v>
      </c>
      <c r="L915" t="n">
        <v>0</v>
      </c>
      <c r="M915" t="n">
        <v>0</v>
      </c>
      <c r="N915" t="n">
        <v>0</v>
      </c>
      <c r="O915" t="n">
        <v>0</v>
      </c>
      <c r="P915" t="n">
        <v>0</v>
      </c>
      <c r="Q915" t="n">
        <v>0</v>
      </c>
      <c r="R915" s="2" t="inlineStr"/>
    </row>
    <row r="916" ht="15" customHeight="1">
      <c r="A916" t="inlineStr">
        <is>
          <t>A 8733-2024</t>
        </is>
      </c>
      <c r="B916" s="1" t="n">
        <v>45355</v>
      </c>
      <c r="C916" s="1" t="n">
        <v>46013</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18752-2024</t>
        </is>
      </c>
      <c r="B917" s="1" t="n">
        <v>45426.54224537037</v>
      </c>
      <c r="C917" s="1" t="n">
        <v>46013</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36287-2024</t>
        </is>
      </c>
      <c r="B918" s="1" t="n">
        <v>45534</v>
      </c>
      <c r="C918" s="1" t="n">
        <v>46013</v>
      </c>
      <c r="D918" t="inlineStr">
        <is>
          <t>JÄMTLANDS LÄN</t>
        </is>
      </c>
      <c r="E918" t="inlineStr">
        <is>
          <t>BERG</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13524-2024</t>
        </is>
      </c>
      <c r="B919" s="1" t="n">
        <v>45387.78174768519</v>
      </c>
      <c r="C919" s="1" t="n">
        <v>46013</v>
      </c>
      <c r="D919" t="inlineStr">
        <is>
          <t>JÄMTLANDS LÄN</t>
        </is>
      </c>
      <c r="E919" t="inlineStr">
        <is>
          <t>BERG</t>
        </is>
      </c>
      <c r="G919" t="n">
        <v>0.6</v>
      </c>
      <c r="H919" t="n">
        <v>0</v>
      </c>
      <c r="I919" t="n">
        <v>0</v>
      </c>
      <c r="J919" t="n">
        <v>0</v>
      </c>
      <c r="K919" t="n">
        <v>0</v>
      </c>
      <c r="L919" t="n">
        <v>0</v>
      </c>
      <c r="M919" t="n">
        <v>0</v>
      </c>
      <c r="N919" t="n">
        <v>0</v>
      </c>
      <c r="O919" t="n">
        <v>0</v>
      </c>
      <c r="P919" t="n">
        <v>0</v>
      </c>
      <c r="Q919" t="n">
        <v>0</v>
      </c>
      <c r="R919" s="2" t="inlineStr"/>
    </row>
    <row r="920" ht="15" customHeight="1">
      <c r="A920" t="inlineStr">
        <is>
          <t>A 8065-2024</t>
        </is>
      </c>
      <c r="B920" s="1" t="n">
        <v>45351.40697916667</v>
      </c>
      <c r="C920" s="1" t="n">
        <v>46013</v>
      </c>
      <c r="D920" t="inlineStr">
        <is>
          <t>JÄMTLANDS LÄN</t>
        </is>
      </c>
      <c r="E920" t="inlineStr">
        <is>
          <t>BERG</t>
        </is>
      </c>
      <c r="G920" t="n">
        <v>6.9</v>
      </c>
      <c r="H920" t="n">
        <v>0</v>
      </c>
      <c r="I920" t="n">
        <v>0</v>
      </c>
      <c r="J920" t="n">
        <v>0</v>
      </c>
      <c r="K920" t="n">
        <v>0</v>
      </c>
      <c r="L920" t="n">
        <v>0</v>
      </c>
      <c r="M920" t="n">
        <v>0</v>
      </c>
      <c r="N920" t="n">
        <v>0</v>
      </c>
      <c r="O920" t="n">
        <v>0</v>
      </c>
      <c r="P920" t="n">
        <v>0</v>
      </c>
      <c r="Q920" t="n">
        <v>0</v>
      </c>
      <c r="R920" s="2" t="inlineStr"/>
    </row>
    <row r="921" ht="15" customHeight="1">
      <c r="A921" t="inlineStr">
        <is>
          <t>A 29581-2024</t>
        </is>
      </c>
      <c r="B921" s="1" t="n">
        <v>45484.5740162037</v>
      </c>
      <c r="C921" s="1" t="n">
        <v>46013</v>
      </c>
      <c r="D921" t="inlineStr">
        <is>
          <t>JÄMTLANDS LÄN</t>
        </is>
      </c>
      <c r="E921" t="inlineStr">
        <is>
          <t>BERG</t>
        </is>
      </c>
      <c r="G921" t="n">
        <v>16.7</v>
      </c>
      <c r="H921" t="n">
        <v>0</v>
      </c>
      <c r="I921" t="n">
        <v>0</v>
      </c>
      <c r="J921" t="n">
        <v>0</v>
      </c>
      <c r="K921" t="n">
        <v>0</v>
      </c>
      <c r="L921" t="n">
        <v>0</v>
      </c>
      <c r="M921" t="n">
        <v>0</v>
      </c>
      <c r="N921" t="n">
        <v>0</v>
      </c>
      <c r="O921" t="n">
        <v>0</v>
      </c>
      <c r="P921" t="n">
        <v>0</v>
      </c>
      <c r="Q921" t="n">
        <v>0</v>
      </c>
      <c r="R921" s="2" t="inlineStr"/>
    </row>
    <row r="922" ht="15" customHeight="1">
      <c r="A922" t="inlineStr">
        <is>
          <t>A 14594-2025</t>
        </is>
      </c>
      <c r="B922" s="1" t="n">
        <v>45742.34414351852</v>
      </c>
      <c r="C922" s="1" t="n">
        <v>46013</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14596-2025</t>
        </is>
      </c>
      <c r="B923" s="1" t="n">
        <v>45742.34449074074</v>
      </c>
      <c r="C923" s="1" t="n">
        <v>46013</v>
      </c>
      <c r="D923" t="inlineStr">
        <is>
          <t>JÄMTLANDS LÄN</t>
        </is>
      </c>
      <c r="E923" t="inlineStr">
        <is>
          <t>BERG</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5644-2025</t>
        </is>
      </c>
      <c r="B924" s="1" t="n">
        <v>45693.6833449074</v>
      </c>
      <c r="C924" s="1" t="n">
        <v>46013</v>
      </c>
      <c r="D924" t="inlineStr">
        <is>
          <t>JÄMTLANDS LÄN</t>
        </is>
      </c>
      <c r="E924" t="inlineStr">
        <is>
          <t>BERG</t>
        </is>
      </c>
      <c r="G924" t="n">
        <v>2.1</v>
      </c>
      <c r="H924" t="n">
        <v>0</v>
      </c>
      <c r="I924" t="n">
        <v>0</v>
      </c>
      <c r="J924" t="n">
        <v>0</v>
      </c>
      <c r="K924" t="n">
        <v>0</v>
      </c>
      <c r="L924" t="n">
        <v>0</v>
      </c>
      <c r="M924" t="n">
        <v>0</v>
      </c>
      <c r="N924" t="n">
        <v>0</v>
      </c>
      <c r="O924" t="n">
        <v>0</v>
      </c>
      <c r="P924" t="n">
        <v>0</v>
      </c>
      <c r="Q924" t="n">
        <v>0</v>
      </c>
      <c r="R924" s="2" t="inlineStr"/>
    </row>
    <row r="925" ht="15" customHeight="1">
      <c r="A925" t="inlineStr">
        <is>
          <t>A 60076-2024</t>
        </is>
      </c>
      <c r="B925" s="1" t="n">
        <v>45642.53166666667</v>
      </c>
      <c r="C925" s="1" t="n">
        <v>46013</v>
      </c>
      <c r="D925" t="inlineStr">
        <is>
          <t>JÄMTLANDS LÄN</t>
        </is>
      </c>
      <c r="E925" t="inlineStr">
        <is>
          <t>BERG</t>
        </is>
      </c>
      <c r="G925" t="n">
        <v>1.1</v>
      </c>
      <c r="H925" t="n">
        <v>0</v>
      </c>
      <c r="I925" t="n">
        <v>0</v>
      </c>
      <c r="J925" t="n">
        <v>0</v>
      </c>
      <c r="K925" t="n">
        <v>0</v>
      </c>
      <c r="L925" t="n">
        <v>0</v>
      </c>
      <c r="M925" t="n">
        <v>0</v>
      </c>
      <c r="N925" t="n">
        <v>0</v>
      </c>
      <c r="O925" t="n">
        <v>0</v>
      </c>
      <c r="P925" t="n">
        <v>0</v>
      </c>
      <c r="Q925" t="n">
        <v>0</v>
      </c>
      <c r="R925" s="2" t="inlineStr"/>
    </row>
    <row r="926" ht="15" customHeight="1">
      <c r="A926" t="inlineStr">
        <is>
          <t>A 8238-2024</t>
        </is>
      </c>
      <c r="B926" s="1" t="n">
        <v>45351.98450231482</v>
      </c>
      <c r="C926" s="1" t="n">
        <v>46013</v>
      </c>
      <c r="D926" t="inlineStr">
        <is>
          <t>JÄMTLANDS LÄN</t>
        </is>
      </c>
      <c r="E926" t="inlineStr">
        <is>
          <t>BERG</t>
        </is>
      </c>
      <c r="F926" t="inlineStr">
        <is>
          <t>SCA</t>
        </is>
      </c>
      <c r="G926" t="n">
        <v>5.6</v>
      </c>
      <c r="H926" t="n">
        <v>0</v>
      </c>
      <c r="I926" t="n">
        <v>0</v>
      </c>
      <c r="J926" t="n">
        <v>0</v>
      </c>
      <c r="K926" t="n">
        <v>0</v>
      </c>
      <c r="L926" t="n">
        <v>0</v>
      </c>
      <c r="M926" t="n">
        <v>0</v>
      </c>
      <c r="N926" t="n">
        <v>0</v>
      </c>
      <c r="O926" t="n">
        <v>0</v>
      </c>
      <c r="P926" t="n">
        <v>0</v>
      </c>
      <c r="Q926" t="n">
        <v>0</v>
      </c>
      <c r="R926" s="2" t="inlineStr"/>
    </row>
    <row r="927" ht="15" customHeight="1">
      <c r="A927" t="inlineStr">
        <is>
          <t>A 43279-2024</t>
        </is>
      </c>
      <c r="B927" s="1" t="n">
        <v>45568.3975462963</v>
      </c>
      <c r="C927" s="1" t="n">
        <v>46013</v>
      </c>
      <c r="D927" t="inlineStr">
        <is>
          <t>JÄMTLANDS LÄN</t>
        </is>
      </c>
      <c r="E927" t="inlineStr">
        <is>
          <t>BERG</t>
        </is>
      </c>
      <c r="G927" t="n">
        <v>7.6</v>
      </c>
      <c r="H927" t="n">
        <v>0</v>
      </c>
      <c r="I927" t="n">
        <v>0</v>
      </c>
      <c r="J927" t="n">
        <v>0</v>
      </c>
      <c r="K927" t="n">
        <v>0</v>
      </c>
      <c r="L927" t="n">
        <v>0</v>
      </c>
      <c r="M927" t="n">
        <v>0</v>
      </c>
      <c r="N927" t="n">
        <v>0</v>
      </c>
      <c r="O927" t="n">
        <v>0</v>
      </c>
      <c r="P927" t="n">
        <v>0</v>
      </c>
      <c r="Q927" t="n">
        <v>0</v>
      </c>
      <c r="R927" s="2" t="inlineStr"/>
    </row>
    <row r="928" ht="15" customHeight="1">
      <c r="A928" t="inlineStr">
        <is>
          <t>A 37067-2023</t>
        </is>
      </c>
      <c r="B928" s="1" t="n">
        <v>45154</v>
      </c>
      <c r="C928" s="1" t="n">
        <v>46013</v>
      </c>
      <c r="D928" t="inlineStr">
        <is>
          <t>JÄMTLANDS LÄN</t>
        </is>
      </c>
      <c r="E928" t="inlineStr">
        <is>
          <t>BERG</t>
        </is>
      </c>
      <c r="G928" t="n">
        <v>7.4</v>
      </c>
      <c r="H928" t="n">
        <v>0</v>
      </c>
      <c r="I928" t="n">
        <v>0</v>
      </c>
      <c r="J928" t="n">
        <v>0</v>
      </c>
      <c r="K928" t="n">
        <v>0</v>
      </c>
      <c r="L928" t="n">
        <v>0</v>
      </c>
      <c r="M928" t="n">
        <v>0</v>
      </c>
      <c r="N928" t="n">
        <v>0</v>
      </c>
      <c r="O928" t="n">
        <v>0</v>
      </c>
      <c r="P928" t="n">
        <v>0</v>
      </c>
      <c r="Q928" t="n">
        <v>0</v>
      </c>
      <c r="R928" s="2" t="inlineStr"/>
    </row>
    <row r="929" ht="15" customHeight="1">
      <c r="A929" t="inlineStr">
        <is>
          <t>A 15992-2025</t>
        </is>
      </c>
      <c r="B929" s="1" t="n">
        <v>45749.58319444444</v>
      </c>
      <c r="C929" s="1" t="n">
        <v>46013</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60404-2023</t>
        </is>
      </c>
      <c r="B930" s="1" t="n">
        <v>45259.46332175926</v>
      </c>
      <c r="C930" s="1" t="n">
        <v>46013</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60587-2022</t>
        </is>
      </c>
      <c r="B931" s="1" t="n">
        <v>44911.58445601852</v>
      </c>
      <c r="C931" s="1" t="n">
        <v>46013</v>
      </c>
      <c r="D931" t="inlineStr">
        <is>
          <t>JÄMTLANDS LÄN</t>
        </is>
      </c>
      <c r="E931" t="inlineStr">
        <is>
          <t>BERG</t>
        </is>
      </c>
      <c r="G931" t="n">
        <v>4.8</v>
      </c>
      <c r="H931" t="n">
        <v>0</v>
      </c>
      <c r="I931" t="n">
        <v>0</v>
      </c>
      <c r="J931" t="n">
        <v>0</v>
      </c>
      <c r="K931" t="n">
        <v>0</v>
      </c>
      <c r="L931" t="n">
        <v>0</v>
      </c>
      <c r="M931" t="n">
        <v>0</v>
      </c>
      <c r="N931" t="n">
        <v>0</v>
      </c>
      <c r="O931" t="n">
        <v>0</v>
      </c>
      <c r="P931" t="n">
        <v>0</v>
      </c>
      <c r="Q931" t="n">
        <v>0</v>
      </c>
      <c r="R931" s="2" t="inlineStr"/>
    </row>
    <row r="932" ht="15" customHeight="1">
      <c r="A932" t="inlineStr">
        <is>
          <t>A 11274-2025</t>
        </is>
      </c>
      <c r="B932" s="1" t="n">
        <v>45726.40868055556</v>
      </c>
      <c r="C932" s="1" t="n">
        <v>46013</v>
      </c>
      <c r="D932" t="inlineStr">
        <is>
          <t>JÄMTLANDS LÄN</t>
        </is>
      </c>
      <c r="E932" t="inlineStr">
        <is>
          <t>BERG</t>
        </is>
      </c>
      <c r="G932" t="n">
        <v>3</v>
      </c>
      <c r="H932" t="n">
        <v>0</v>
      </c>
      <c r="I932" t="n">
        <v>0</v>
      </c>
      <c r="J932" t="n">
        <v>0</v>
      </c>
      <c r="K932" t="n">
        <v>0</v>
      </c>
      <c r="L932" t="n">
        <v>0</v>
      </c>
      <c r="M932" t="n">
        <v>0</v>
      </c>
      <c r="N932" t="n">
        <v>0</v>
      </c>
      <c r="O932" t="n">
        <v>0</v>
      </c>
      <c r="P932" t="n">
        <v>0</v>
      </c>
      <c r="Q932" t="n">
        <v>0</v>
      </c>
      <c r="R932" s="2" t="inlineStr"/>
    </row>
    <row r="933" ht="15" customHeight="1">
      <c r="A933" t="inlineStr">
        <is>
          <t>A 16553-2025</t>
        </is>
      </c>
      <c r="B933" s="1" t="n">
        <v>45751.69967592593</v>
      </c>
      <c r="C933" s="1" t="n">
        <v>46013</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50172-2023</t>
        </is>
      </c>
      <c r="B934" s="1" t="n">
        <v>45208</v>
      </c>
      <c r="C934" s="1" t="n">
        <v>46013</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59498-2024</t>
        </is>
      </c>
      <c r="B935" s="1" t="n">
        <v>45638.54635416667</v>
      </c>
      <c r="C935" s="1" t="n">
        <v>46013</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14834-2025</t>
        </is>
      </c>
      <c r="B936" s="1" t="n">
        <v>45743.38224537037</v>
      </c>
      <c r="C936" s="1" t="n">
        <v>46013</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4246-2025</t>
        </is>
      </c>
      <c r="B937" s="1" t="n">
        <v>45685.59083333334</v>
      </c>
      <c r="C937" s="1" t="n">
        <v>46013</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47674-2024</t>
        </is>
      </c>
      <c r="B938" s="1" t="n">
        <v>45588.40413194444</v>
      </c>
      <c r="C938" s="1" t="n">
        <v>46013</v>
      </c>
      <c r="D938" t="inlineStr">
        <is>
          <t>JÄMTLANDS LÄN</t>
        </is>
      </c>
      <c r="E938" t="inlineStr">
        <is>
          <t>BERG</t>
        </is>
      </c>
      <c r="G938" t="n">
        <v>0.5</v>
      </c>
      <c r="H938" t="n">
        <v>0</v>
      </c>
      <c r="I938" t="n">
        <v>0</v>
      </c>
      <c r="J938" t="n">
        <v>0</v>
      </c>
      <c r="K938" t="n">
        <v>0</v>
      </c>
      <c r="L938" t="n">
        <v>0</v>
      </c>
      <c r="M938" t="n">
        <v>0</v>
      </c>
      <c r="N938" t="n">
        <v>0</v>
      </c>
      <c r="O938" t="n">
        <v>0</v>
      </c>
      <c r="P938" t="n">
        <v>0</v>
      </c>
      <c r="Q938" t="n">
        <v>0</v>
      </c>
      <c r="R938" s="2" t="inlineStr"/>
    </row>
    <row r="939" ht="15" customHeight="1">
      <c r="A939" t="inlineStr">
        <is>
          <t>A 32711-2024</t>
        </is>
      </c>
      <c r="B939" s="1" t="n">
        <v>45516</v>
      </c>
      <c r="C939" s="1" t="n">
        <v>46013</v>
      </c>
      <c r="D939" t="inlineStr">
        <is>
          <t>JÄMTLANDS LÄN</t>
        </is>
      </c>
      <c r="E939" t="inlineStr">
        <is>
          <t>BERG</t>
        </is>
      </c>
      <c r="G939" t="n">
        <v>0</v>
      </c>
      <c r="H939" t="n">
        <v>0</v>
      </c>
      <c r="I939" t="n">
        <v>0</v>
      </c>
      <c r="J939" t="n">
        <v>0</v>
      </c>
      <c r="K939" t="n">
        <v>0</v>
      </c>
      <c r="L939" t="n">
        <v>0</v>
      </c>
      <c r="M939" t="n">
        <v>0</v>
      </c>
      <c r="N939" t="n">
        <v>0</v>
      </c>
      <c r="O939" t="n">
        <v>0</v>
      </c>
      <c r="P939" t="n">
        <v>0</v>
      </c>
      <c r="Q939" t="n">
        <v>0</v>
      </c>
      <c r="R939" s="2" t="inlineStr"/>
    </row>
    <row r="940" ht="15" customHeight="1">
      <c r="A940" t="inlineStr">
        <is>
          <t>A 14672-2025</t>
        </is>
      </c>
      <c r="B940" s="1" t="n">
        <v>45742.55269675926</v>
      </c>
      <c r="C940" s="1" t="n">
        <v>46013</v>
      </c>
      <c r="D940" t="inlineStr">
        <is>
          <t>JÄMTLANDS LÄN</t>
        </is>
      </c>
      <c r="E940" t="inlineStr">
        <is>
          <t>BERG</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51201-2023</t>
        </is>
      </c>
      <c r="B941" s="1" t="n">
        <v>45219.42320601852</v>
      </c>
      <c r="C941" s="1" t="n">
        <v>46013</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21472-2025</t>
        </is>
      </c>
      <c r="B942" s="1" t="n">
        <v>45782.59024305556</v>
      </c>
      <c r="C942" s="1" t="n">
        <v>46013</v>
      </c>
      <c r="D942" t="inlineStr">
        <is>
          <t>JÄMTLANDS LÄN</t>
        </is>
      </c>
      <c r="E942" t="inlineStr">
        <is>
          <t>BERG</t>
        </is>
      </c>
      <c r="G942" t="n">
        <v>21.9</v>
      </c>
      <c r="H942" t="n">
        <v>0</v>
      </c>
      <c r="I942" t="n">
        <v>0</v>
      </c>
      <c r="J942" t="n">
        <v>0</v>
      </c>
      <c r="K942" t="n">
        <v>0</v>
      </c>
      <c r="L942" t="n">
        <v>0</v>
      </c>
      <c r="M942" t="n">
        <v>0</v>
      </c>
      <c r="N942" t="n">
        <v>0</v>
      </c>
      <c r="O942" t="n">
        <v>0</v>
      </c>
      <c r="P942" t="n">
        <v>0</v>
      </c>
      <c r="Q942" t="n">
        <v>0</v>
      </c>
      <c r="R942" s="2" t="inlineStr"/>
    </row>
    <row r="943" ht="15" customHeight="1">
      <c r="A943" t="inlineStr">
        <is>
          <t>A 9478-2024</t>
        </is>
      </c>
      <c r="B943" s="1" t="n">
        <v>45359.5732175926</v>
      </c>
      <c r="C943" s="1" t="n">
        <v>46013</v>
      </c>
      <c r="D943" t="inlineStr">
        <is>
          <t>JÄMTLANDS LÄN</t>
        </is>
      </c>
      <c r="E943" t="inlineStr">
        <is>
          <t>BERG</t>
        </is>
      </c>
      <c r="G943" t="n">
        <v>6.2</v>
      </c>
      <c r="H943" t="n">
        <v>0</v>
      </c>
      <c r="I943" t="n">
        <v>0</v>
      </c>
      <c r="J943" t="n">
        <v>0</v>
      </c>
      <c r="K943" t="n">
        <v>0</v>
      </c>
      <c r="L943" t="n">
        <v>0</v>
      </c>
      <c r="M943" t="n">
        <v>0</v>
      </c>
      <c r="N943" t="n">
        <v>0</v>
      </c>
      <c r="O943" t="n">
        <v>0</v>
      </c>
      <c r="P943" t="n">
        <v>0</v>
      </c>
      <c r="Q943" t="n">
        <v>0</v>
      </c>
      <c r="R943" s="2" t="inlineStr"/>
    </row>
    <row r="944" ht="15" customHeight="1">
      <c r="A944" t="inlineStr">
        <is>
          <t>A 21292-2025</t>
        </is>
      </c>
      <c r="B944" s="1" t="n">
        <v>45780.39354166666</v>
      </c>
      <c r="C944" s="1" t="n">
        <v>46013</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21156-2025</t>
        </is>
      </c>
      <c r="B945" s="1" t="n">
        <v>45779.37599537037</v>
      </c>
      <c r="C945" s="1" t="n">
        <v>46013</v>
      </c>
      <c r="D945" t="inlineStr">
        <is>
          <t>JÄMTLANDS LÄN</t>
        </is>
      </c>
      <c r="E945" t="inlineStr">
        <is>
          <t>BERG</t>
        </is>
      </c>
      <c r="F945" t="inlineStr">
        <is>
          <t>Holmen skog AB</t>
        </is>
      </c>
      <c r="G945" t="n">
        <v>5.2</v>
      </c>
      <c r="H945" t="n">
        <v>0</v>
      </c>
      <c r="I945" t="n">
        <v>0</v>
      </c>
      <c r="J945" t="n">
        <v>0</v>
      </c>
      <c r="K945" t="n">
        <v>0</v>
      </c>
      <c r="L945" t="n">
        <v>0</v>
      </c>
      <c r="M945" t="n">
        <v>0</v>
      </c>
      <c r="N945" t="n">
        <v>0</v>
      </c>
      <c r="O945" t="n">
        <v>0</v>
      </c>
      <c r="P945" t="n">
        <v>0</v>
      </c>
      <c r="Q945" t="n">
        <v>0</v>
      </c>
      <c r="R945" s="2" t="inlineStr"/>
    </row>
    <row r="946" ht="15" customHeight="1">
      <c r="A946" t="inlineStr">
        <is>
          <t>A 60847-2023</t>
        </is>
      </c>
      <c r="B946" s="1" t="n">
        <v>45260</v>
      </c>
      <c r="C946" s="1" t="n">
        <v>46013</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21851-2025</t>
        </is>
      </c>
      <c r="B947" s="1" t="n">
        <v>45784.34417824074</v>
      </c>
      <c r="C947" s="1" t="n">
        <v>46013</v>
      </c>
      <c r="D947" t="inlineStr">
        <is>
          <t>JÄMTLANDS LÄN</t>
        </is>
      </c>
      <c r="E947" t="inlineStr">
        <is>
          <t>BERG</t>
        </is>
      </c>
      <c r="F947" t="inlineStr">
        <is>
          <t>SCA</t>
        </is>
      </c>
      <c r="G947" t="n">
        <v>10</v>
      </c>
      <c r="H947" t="n">
        <v>0</v>
      </c>
      <c r="I947" t="n">
        <v>0</v>
      </c>
      <c r="J947" t="n">
        <v>0</v>
      </c>
      <c r="K947" t="n">
        <v>0</v>
      </c>
      <c r="L947" t="n">
        <v>0</v>
      </c>
      <c r="M947" t="n">
        <v>0</v>
      </c>
      <c r="N947" t="n">
        <v>0</v>
      </c>
      <c r="O947" t="n">
        <v>0</v>
      </c>
      <c r="P947" t="n">
        <v>0</v>
      </c>
      <c r="Q947" t="n">
        <v>0</v>
      </c>
      <c r="R947" s="2" t="inlineStr"/>
    </row>
    <row r="948" ht="15" customHeight="1">
      <c r="A948" t="inlineStr">
        <is>
          <t>A 32020-2023</t>
        </is>
      </c>
      <c r="B948" s="1" t="n">
        <v>45119.49261574074</v>
      </c>
      <c r="C948" s="1" t="n">
        <v>46013</v>
      </c>
      <c r="D948" t="inlineStr">
        <is>
          <t>JÄMTLANDS LÄN</t>
        </is>
      </c>
      <c r="E948" t="inlineStr">
        <is>
          <t>BERG</t>
        </is>
      </c>
      <c r="G948" t="n">
        <v>10.3</v>
      </c>
      <c r="H948" t="n">
        <v>0</v>
      </c>
      <c r="I948" t="n">
        <v>0</v>
      </c>
      <c r="J948" t="n">
        <v>0</v>
      </c>
      <c r="K948" t="n">
        <v>0</v>
      </c>
      <c r="L948" t="n">
        <v>0</v>
      </c>
      <c r="M948" t="n">
        <v>0</v>
      </c>
      <c r="N948" t="n">
        <v>0</v>
      </c>
      <c r="O948" t="n">
        <v>0</v>
      </c>
      <c r="P948" t="n">
        <v>0</v>
      </c>
      <c r="Q948" t="n">
        <v>0</v>
      </c>
      <c r="R948" s="2" t="inlineStr"/>
    </row>
    <row r="949" ht="15" customHeight="1">
      <c r="A949" t="inlineStr">
        <is>
          <t>A 22180-2025</t>
        </is>
      </c>
      <c r="B949" s="1" t="n">
        <v>45785</v>
      </c>
      <c r="C949" s="1" t="n">
        <v>46013</v>
      </c>
      <c r="D949" t="inlineStr">
        <is>
          <t>JÄMTLANDS LÄN</t>
        </is>
      </c>
      <c r="E949" t="inlineStr">
        <is>
          <t>BERG</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22478-2025</t>
        </is>
      </c>
      <c r="B950" s="1" t="n">
        <v>45786.6349537037</v>
      </c>
      <c r="C950" s="1" t="n">
        <v>46013</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46366-2024</t>
        </is>
      </c>
      <c r="B951" s="1" t="n">
        <v>45582.36490740741</v>
      </c>
      <c r="C951" s="1" t="n">
        <v>46013</v>
      </c>
      <c r="D951" t="inlineStr">
        <is>
          <t>JÄMTLANDS LÄN</t>
        </is>
      </c>
      <c r="E951" t="inlineStr">
        <is>
          <t>BERG</t>
        </is>
      </c>
      <c r="G951" t="n">
        <v>5</v>
      </c>
      <c r="H951" t="n">
        <v>0</v>
      </c>
      <c r="I951" t="n">
        <v>0</v>
      </c>
      <c r="J951" t="n">
        <v>0</v>
      </c>
      <c r="K951" t="n">
        <v>0</v>
      </c>
      <c r="L951" t="n">
        <v>0</v>
      </c>
      <c r="M951" t="n">
        <v>0</v>
      </c>
      <c r="N951" t="n">
        <v>0</v>
      </c>
      <c r="O951" t="n">
        <v>0</v>
      </c>
      <c r="P951" t="n">
        <v>0</v>
      </c>
      <c r="Q951" t="n">
        <v>0</v>
      </c>
      <c r="R951" s="2" t="inlineStr"/>
    </row>
    <row r="952" ht="15" customHeight="1">
      <c r="A952" t="inlineStr">
        <is>
          <t>A 22724-2025</t>
        </is>
      </c>
      <c r="B952" s="1" t="n">
        <v>45789.57361111111</v>
      </c>
      <c r="C952" s="1" t="n">
        <v>46013</v>
      </c>
      <c r="D952" t="inlineStr">
        <is>
          <t>JÄMTLANDS LÄN</t>
        </is>
      </c>
      <c r="E952" t="inlineStr">
        <is>
          <t>BERG</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22672-2025</t>
        </is>
      </c>
      <c r="B953" s="1" t="n">
        <v>45789.4903587963</v>
      </c>
      <c r="C953" s="1" t="n">
        <v>46013</v>
      </c>
      <c r="D953" t="inlineStr">
        <is>
          <t>JÄMTLANDS LÄN</t>
        </is>
      </c>
      <c r="E953" t="inlineStr">
        <is>
          <t>BERG</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22653-2025</t>
        </is>
      </c>
      <c r="B954" s="1" t="n">
        <v>45789.46931712963</v>
      </c>
      <c r="C954" s="1" t="n">
        <v>46013</v>
      </c>
      <c r="D954" t="inlineStr">
        <is>
          <t>JÄMTLANDS LÄN</t>
        </is>
      </c>
      <c r="E954" t="inlineStr">
        <is>
          <t>BERG</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22995-2025</t>
        </is>
      </c>
      <c r="B955" s="1" t="n">
        <v>45790.58265046297</v>
      </c>
      <c r="C955" s="1" t="n">
        <v>46013</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23026-2025</t>
        </is>
      </c>
      <c r="B956" s="1" t="n">
        <v>45790.65690972222</v>
      </c>
      <c r="C956" s="1" t="n">
        <v>46013</v>
      </c>
      <c r="D956" t="inlineStr">
        <is>
          <t>JÄMTLANDS LÄN</t>
        </is>
      </c>
      <c r="E956" t="inlineStr">
        <is>
          <t>BERG</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22991-2025</t>
        </is>
      </c>
      <c r="B957" s="1" t="n">
        <v>45790.57836805555</v>
      </c>
      <c r="C957" s="1" t="n">
        <v>46013</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34650-2024</t>
        </is>
      </c>
      <c r="B958" s="1" t="n">
        <v>45526.48329861111</v>
      </c>
      <c r="C958" s="1" t="n">
        <v>46013</v>
      </c>
      <c r="D958" t="inlineStr">
        <is>
          <t>JÄMTLANDS LÄN</t>
        </is>
      </c>
      <c r="E958" t="inlineStr">
        <is>
          <t>BERG</t>
        </is>
      </c>
      <c r="G958" t="n">
        <v>4.9</v>
      </c>
      <c r="H958" t="n">
        <v>0</v>
      </c>
      <c r="I958" t="n">
        <v>0</v>
      </c>
      <c r="J958" t="n">
        <v>0</v>
      </c>
      <c r="K958" t="n">
        <v>0</v>
      </c>
      <c r="L958" t="n">
        <v>0</v>
      </c>
      <c r="M958" t="n">
        <v>0</v>
      </c>
      <c r="N958" t="n">
        <v>0</v>
      </c>
      <c r="O958" t="n">
        <v>0</v>
      </c>
      <c r="P958" t="n">
        <v>0</v>
      </c>
      <c r="Q958" t="n">
        <v>0</v>
      </c>
      <c r="R958" s="2" t="inlineStr"/>
    </row>
    <row r="959" ht="15" customHeight="1">
      <c r="A959" t="inlineStr">
        <is>
          <t>A 23902-2025</t>
        </is>
      </c>
      <c r="B959" s="1" t="n">
        <v>45794.34447916667</v>
      </c>
      <c r="C959" s="1" t="n">
        <v>46013</v>
      </c>
      <c r="D959" t="inlineStr">
        <is>
          <t>JÄMTLANDS LÄN</t>
        </is>
      </c>
      <c r="E959" t="inlineStr">
        <is>
          <t>BERG</t>
        </is>
      </c>
      <c r="F959" t="inlineStr">
        <is>
          <t>SCA</t>
        </is>
      </c>
      <c r="G959" t="n">
        <v>14.3</v>
      </c>
      <c r="H959" t="n">
        <v>0</v>
      </c>
      <c r="I959" t="n">
        <v>0</v>
      </c>
      <c r="J959" t="n">
        <v>0</v>
      </c>
      <c r="K959" t="n">
        <v>0</v>
      </c>
      <c r="L959" t="n">
        <v>0</v>
      </c>
      <c r="M959" t="n">
        <v>0</v>
      </c>
      <c r="N959" t="n">
        <v>0</v>
      </c>
      <c r="O959" t="n">
        <v>0</v>
      </c>
      <c r="P959" t="n">
        <v>0</v>
      </c>
      <c r="Q959" t="n">
        <v>0</v>
      </c>
      <c r="R959" s="2" t="inlineStr"/>
    </row>
    <row r="960">
      <c r="A960" t="inlineStr">
        <is>
          <t>A 23913-2025</t>
        </is>
      </c>
      <c r="B960" s="1" t="n">
        <v>45795.34442129629</v>
      </c>
      <c r="C960" s="1" t="n">
        <v>46013</v>
      </c>
      <c r="D960" t="inlineStr">
        <is>
          <t>JÄMTLANDS LÄN</t>
        </is>
      </c>
      <c r="E960" t="inlineStr">
        <is>
          <t>BERG</t>
        </is>
      </c>
      <c r="F960" t="inlineStr">
        <is>
          <t>SCA</t>
        </is>
      </c>
      <c r="G960" t="n">
        <v>1.9</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2025-12-22T10:27:25Z</dcterms:created>
  <dcterms:modified xmlns:dcterms="http://purl.org/dc/terms/" xmlns:xsi="http://www.w3.org/2001/XMLSchema-instance" xsi:type="dcterms:W3CDTF">2025-12-22T10:27:26Z</dcterms:modified>
</cp:coreProperties>
</file>