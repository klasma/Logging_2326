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45886</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45886</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45886</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45886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45886</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45886</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45886</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45886</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45886</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45886</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45886</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45886</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45886</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45886</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45886</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45886</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45886</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17109-2024</t>
        </is>
      </c>
      <c r="B26" s="1" t="n">
        <v>45412</v>
      </c>
      <c r="C26" s="1" t="n">
        <v>45886</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28615-2025</t>
        </is>
      </c>
      <c r="B27" s="1" t="n">
        <v>45819.60576388889</v>
      </c>
      <c r="C27" s="1" t="n">
        <v>45886</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45886</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45886</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32045-2025</t>
        </is>
      </c>
      <c r="B30" s="1" t="n">
        <v>45835.43947916666</v>
      </c>
      <c r="C30" s="1" t="n">
        <v>45886</v>
      </c>
      <c r="D30" t="inlineStr">
        <is>
          <t>JÄMTLANDS LÄN</t>
        </is>
      </c>
      <c r="E30" t="inlineStr">
        <is>
          <t>BERG</t>
        </is>
      </c>
      <c r="G30" t="n">
        <v>7.7</v>
      </c>
      <c r="H30" t="n">
        <v>3</v>
      </c>
      <c r="I30" t="n">
        <v>0</v>
      </c>
      <c r="J30" t="n">
        <v>8</v>
      </c>
      <c r="K30" t="n">
        <v>0</v>
      </c>
      <c r="L30" t="n">
        <v>0</v>
      </c>
      <c r="M30" t="n">
        <v>0</v>
      </c>
      <c r="N30" t="n">
        <v>0</v>
      </c>
      <c r="O30" t="n">
        <v>8</v>
      </c>
      <c r="P30" t="n">
        <v>0</v>
      </c>
      <c r="Q30" t="n">
        <v>10</v>
      </c>
      <c r="R30" s="2" t="inlineStr">
        <is>
          <t>Garnlav
Harticka
Rosenticka
Tallticka
Talltita
Ullticka
Vedtrappmossa
Vitgrynig nållav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9919-2021</t>
        </is>
      </c>
      <c r="B31" s="1" t="n">
        <v>44253</v>
      </c>
      <c r="C31" s="1" t="n">
        <v>45886</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20809-2025</t>
        </is>
      </c>
      <c r="B32" s="1" t="n">
        <v>45776</v>
      </c>
      <c r="C32" s="1" t="n">
        <v>45886</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45886</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45886</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45886</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45886</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45886</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45886</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45886</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45886</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45886</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17078-2024</t>
        </is>
      </c>
      <c r="B42" s="1" t="n">
        <v>45412</v>
      </c>
      <c r="C42" s="1" t="n">
        <v>45886</v>
      </c>
      <c r="D42" t="inlineStr">
        <is>
          <t>JÄMTLANDS LÄN</t>
        </is>
      </c>
      <c r="E42" t="inlineStr">
        <is>
          <t>BERG</t>
        </is>
      </c>
      <c r="G42" t="n">
        <v>17.8</v>
      </c>
      <c r="H42" t="n">
        <v>2</v>
      </c>
      <c r="I42" t="n">
        <v>2</v>
      </c>
      <c r="J42" t="n">
        <v>3</v>
      </c>
      <c r="K42" t="n">
        <v>1</v>
      </c>
      <c r="L42" t="n">
        <v>0</v>
      </c>
      <c r="M42" t="n">
        <v>0</v>
      </c>
      <c r="N42" t="n">
        <v>0</v>
      </c>
      <c r="O42" t="n">
        <v>4</v>
      </c>
      <c r="P42" t="n">
        <v>1</v>
      </c>
      <c r="Q42" t="n">
        <v>6</v>
      </c>
      <c r="R42" s="2" t="inlineStr">
        <is>
          <t>Rynkskinn
Granticka
Tretåig hackspett
Vitgrynig nållav
Spindelblomster
Ögonpyrola</t>
        </is>
      </c>
      <c r="S42">
        <f>HYPERLINK("https://klasma.github.io/Logging_2326/artfynd/A 17078-2024 artfynd.xlsx", "A 17078-2024")</f>
        <v/>
      </c>
      <c r="T42">
        <f>HYPERLINK("https://klasma.github.io/Logging_2326/kartor/A 17078-2024 karta.png", "A 17078-2024")</f>
        <v/>
      </c>
      <c r="V42">
        <f>HYPERLINK("https://klasma.github.io/Logging_2326/klagomål/A 17078-2024 FSC-klagomål.docx", "A 17078-2024")</f>
        <v/>
      </c>
      <c r="W42">
        <f>HYPERLINK("https://klasma.github.io/Logging_2326/klagomålsmail/A 17078-2024 FSC-klagomål mail.docx", "A 17078-2024")</f>
        <v/>
      </c>
      <c r="X42">
        <f>HYPERLINK("https://klasma.github.io/Logging_2326/tillsyn/A 17078-2024 tillsynsbegäran.docx", "A 17078-2024")</f>
        <v/>
      </c>
      <c r="Y42">
        <f>HYPERLINK("https://klasma.github.io/Logging_2326/tillsynsmail/A 17078-2024 tillsynsbegäran mail.docx", "A 17078-2024")</f>
        <v/>
      </c>
      <c r="Z42">
        <f>HYPERLINK("https://klasma.github.io/Logging_2326/fåglar/A 17078-2024 prioriterade fågelarter.docx", "A 17078-2024")</f>
        <v/>
      </c>
    </row>
    <row r="43" ht="15" customHeight="1">
      <c r="A43" t="inlineStr">
        <is>
          <t>A 24670-2025</t>
        </is>
      </c>
      <c r="B43" s="1" t="n">
        <v>45798.64947916667</v>
      </c>
      <c r="C43" s="1" t="n">
        <v>45886</v>
      </c>
      <c r="D43" t="inlineStr">
        <is>
          <t>JÄMTLANDS LÄN</t>
        </is>
      </c>
      <c r="E43" t="inlineStr">
        <is>
          <t>BERG</t>
        </is>
      </c>
      <c r="G43" t="n">
        <v>8.800000000000001</v>
      </c>
      <c r="H43" t="n">
        <v>1</v>
      </c>
      <c r="I43" t="n">
        <v>2</v>
      </c>
      <c r="J43" t="n">
        <v>2</v>
      </c>
      <c r="K43" t="n">
        <v>1</v>
      </c>
      <c r="L43" t="n">
        <v>0</v>
      </c>
      <c r="M43" t="n">
        <v>0</v>
      </c>
      <c r="N43" t="n">
        <v>0</v>
      </c>
      <c r="O43" t="n">
        <v>3</v>
      </c>
      <c r="P43" t="n">
        <v>1</v>
      </c>
      <c r="Q43" t="n">
        <v>6</v>
      </c>
      <c r="R43" s="2" t="inlineStr">
        <is>
          <t>Rynkskinn
Garnlav
Lunglav
Flagellkvastmossa
Vågbandad barkbock
Revlummer</t>
        </is>
      </c>
      <c r="S43">
        <f>HYPERLINK("https://klasma.github.io/Logging_2326/artfynd/A 24670-2025 artfynd.xlsx", "A 24670-2025")</f>
        <v/>
      </c>
      <c r="T43">
        <f>HYPERLINK("https://klasma.github.io/Logging_2326/kartor/A 24670-2025 karta.png", "A 24670-2025")</f>
        <v/>
      </c>
      <c r="V43">
        <f>HYPERLINK("https://klasma.github.io/Logging_2326/klagomål/A 24670-2025 FSC-klagomål.docx", "A 24670-2025")</f>
        <v/>
      </c>
      <c r="W43">
        <f>HYPERLINK("https://klasma.github.io/Logging_2326/klagomålsmail/A 24670-2025 FSC-klagomål mail.docx", "A 24670-2025")</f>
        <v/>
      </c>
      <c r="X43">
        <f>HYPERLINK("https://klasma.github.io/Logging_2326/tillsyn/A 24670-2025 tillsynsbegäran.docx", "A 24670-2025")</f>
        <v/>
      </c>
      <c r="Y43">
        <f>HYPERLINK("https://klasma.github.io/Logging_2326/tillsynsmail/A 24670-2025 tillsynsbegäran mail.docx", "A 24670-2025")</f>
        <v/>
      </c>
    </row>
    <row r="44" ht="15" customHeight="1">
      <c r="A44" t="inlineStr">
        <is>
          <t>A 16508-2021</t>
        </is>
      </c>
      <c r="B44" s="1" t="n">
        <v>44293</v>
      </c>
      <c r="C44" s="1" t="n">
        <v>45886</v>
      </c>
      <c r="D44" t="inlineStr">
        <is>
          <t>JÄMTLANDS LÄN</t>
        </is>
      </c>
      <c r="E44" t="inlineStr">
        <is>
          <t>BERG</t>
        </is>
      </c>
      <c r="G44" t="n">
        <v>18.9</v>
      </c>
      <c r="H44" t="n">
        <v>0</v>
      </c>
      <c r="I44" t="n">
        <v>1</v>
      </c>
      <c r="J44" t="n">
        <v>5</v>
      </c>
      <c r="K44" t="n">
        <v>0</v>
      </c>
      <c r="L44" t="n">
        <v>0</v>
      </c>
      <c r="M44" t="n">
        <v>0</v>
      </c>
      <c r="N44" t="n">
        <v>0</v>
      </c>
      <c r="O44" t="n">
        <v>5</v>
      </c>
      <c r="P44" t="n">
        <v>0</v>
      </c>
      <c r="Q44" t="n">
        <v>6</v>
      </c>
      <c r="R44" s="2" t="inlineStr">
        <is>
          <t>Gammelgransskål
Garnlav
Granticka
Knottrig blåslav
Rödbrun blekspik
Vedticka</t>
        </is>
      </c>
      <c r="S44">
        <f>HYPERLINK("https://klasma.github.io/Logging_2326/artfynd/A 16508-2021 artfynd.xlsx", "A 16508-2021")</f>
        <v/>
      </c>
      <c r="T44">
        <f>HYPERLINK("https://klasma.github.io/Logging_2326/kartor/A 16508-2021 karta.png", "A 16508-2021")</f>
        <v/>
      </c>
      <c r="V44">
        <f>HYPERLINK("https://klasma.github.io/Logging_2326/klagomål/A 16508-2021 FSC-klagomål.docx", "A 16508-2021")</f>
        <v/>
      </c>
      <c r="W44">
        <f>HYPERLINK("https://klasma.github.io/Logging_2326/klagomålsmail/A 16508-2021 FSC-klagomål mail.docx", "A 16508-2021")</f>
        <v/>
      </c>
      <c r="X44">
        <f>HYPERLINK("https://klasma.github.io/Logging_2326/tillsyn/A 16508-2021 tillsynsbegäran.docx", "A 16508-2021")</f>
        <v/>
      </c>
      <c r="Y44">
        <f>HYPERLINK("https://klasma.github.io/Logging_2326/tillsynsmail/A 16508-2021 tillsynsbegäran mail.docx", "A 16508-2021")</f>
        <v/>
      </c>
    </row>
    <row r="45" ht="15" customHeight="1">
      <c r="A45" t="inlineStr">
        <is>
          <t>A 27957-2025</t>
        </is>
      </c>
      <c r="B45" s="1" t="n">
        <v>45817.53871527778</v>
      </c>
      <c r="C45" s="1" t="n">
        <v>45886</v>
      </c>
      <c r="D45" t="inlineStr">
        <is>
          <t>JÄMTLANDS LÄN</t>
        </is>
      </c>
      <c r="E45" t="inlineStr">
        <is>
          <t>BERG</t>
        </is>
      </c>
      <c r="G45" t="n">
        <v>22.6</v>
      </c>
      <c r="H45" t="n">
        <v>1</v>
      </c>
      <c r="I45" t="n">
        <v>0</v>
      </c>
      <c r="J45" t="n">
        <v>5</v>
      </c>
      <c r="K45" t="n">
        <v>0</v>
      </c>
      <c r="L45" t="n">
        <v>0</v>
      </c>
      <c r="M45" t="n">
        <v>0</v>
      </c>
      <c r="N45" t="n">
        <v>0</v>
      </c>
      <c r="O45" t="n">
        <v>5</v>
      </c>
      <c r="P45" t="n">
        <v>0</v>
      </c>
      <c r="Q45" t="n">
        <v>6</v>
      </c>
      <c r="R45" s="2" t="inlineStr">
        <is>
          <t>Garnlav
Kolflarnlav
Lunglav
Mörk kolflarnlav
Skrovellav
Vanlig groda</t>
        </is>
      </c>
      <c r="S45">
        <f>HYPERLINK("https://klasma.github.io/Logging_2326/artfynd/A 27957-2025 artfynd.xlsx", "A 27957-2025")</f>
        <v/>
      </c>
      <c r="T45">
        <f>HYPERLINK("https://klasma.github.io/Logging_2326/kartor/A 27957-2025 karta.png", "A 27957-2025")</f>
        <v/>
      </c>
      <c r="V45">
        <f>HYPERLINK("https://klasma.github.io/Logging_2326/klagomål/A 27957-2025 FSC-klagomål.docx", "A 27957-2025")</f>
        <v/>
      </c>
      <c r="W45">
        <f>HYPERLINK("https://klasma.github.io/Logging_2326/klagomålsmail/A 27957-2025 FSC-klagomål mail.docx", "A 27957-2025")</f>
        <v/>
      </c>
      <c r="X45">
        <f>HYPERLINK("https://klasma.github.io/Logging_2326/tillsyn/A 27957-2025 tillsynsbegäran.docx", "A 27957-2025")</f>
        <v/>
      </c>
      <c r="Y45">
        <f>HYPERLINK("https://klasma.github.io/Logging_2326/tillsynsmail/A 27957-2025 tillsynsbegäran mail.docx", "A 27957-2025")</f>
        <v/>
      </c>
    </row>
    <row r="46" ht="15" customHeight="1">
      <c r="A46" t="inlineStr">
        <is>
          <t>A 54406-2023</t>
        </is>
      </c>
      <c r="B46" s="1" t="n">
        <v>45233.38612268519</v>
      </c>
      <c r="C46" s="1" t="n">
        <v>45886</v>
      </c>
      <c r="D46" t="inlineStr">
        <is>
          <t>JÄMTLANDS LÄN</t>
        </is>
      </c>
      <c r="E46" t="inlineStr">
        <is>
          <t>BERG</t>
        </is>
      </c>
      <c r="G46" t="n">
        <v>10.2</v>
      </c>
      <c r="H46" t="n">
        <v>1</v>
      </c>
      <c r="I46" t="n">
        <v>1</v>
      </c>
      <c r="J46" t="n">
        <v>4</v>
      </c>
      <c r="K46" t="n">
        <v>0</v>
      </c>
      <c r="L46" t="n">
        <v>0</v>
      </c>
      <c r="M46" t="n">
        <v>0</v>
      </c>
      <c r="N46" t="n">
        <v>0</v>
      </c>
      <c r="O46" t="n">
        <v>4</v>
      </c>
      <c r="P46" t="n">
        <v>0</v>
      </c>
      <c r="Q46" t="n">
        <v>6</v>
      </c>
      <c r="R46" s="2" t="inlineStr">
        <is>
          <t>Gammelgransskål
Garnlav
Granticka
Knottrig blåslav
Barkkornlav
Revlummer</t>
        </is>
      </c>
      <c r="S46">
        <f>HYPERLINK("https://klasma.github.io/Logging_2326/artfynd/A 54406-2023 artfynd.xlsx", "A 54406-2023")</f>
        <v/>
      </c>
      <c r="T46">
        <f>HYPERLINK("https://klasma.github.io/Logging_2326/kartor/A 54406-2023 karta.png", "A 54406-2023")</f>
        <v/>
      </c>
      <c r="V46">
        <f>HYPERLINK("https://klasma.github.io/Logging_2326/klagomål/A 54406-2023 FSC-klagomål.docx", "A 54406-2023")</f>
        <v/>
      </c>
      <c r="W46">
        <f>HYPERLINK("https://klasma.github.io/Logging_2326/klagomålsmail/A 54406-2023 FSC-klagomål mail.docx", "A 54406-2023")</f>
        <v/>
      </c>
      <c r="X46">
        <f>HYPERLINK("https://klasma.github.io/Logging_2326/tillsyn/A 54406-2023 tillsynsbegäran.docx", "A 54406-2023")</f>
        <v/>
      </c>
      <c r="Y46">
        <f>HYPERLINK("https://klasma.github.io/Logging_2326/tillsynsmail/A 54406-2023 tillsynsbegäran mail.docx", "A 54406-2023")</f>
        <v/>
      </c>
    </row>
    <row r="47" ht="15" customHeight="1">
      <c r="A47" t="inlineStr">
        <is>
          <t>A 27571-2025</t>
        </is>
      </c>
      <c r="B47" s="1" t="n">
        <v>45813.49040509259</v>
      </c>
      <c r="C47" s="1" t="n">
        <v>45886</v>
      </c>
      <c r="D47" t="inlineStr">
        <is>
          <t>JÄMTLANDS LÄN</t>
        </is>
      </c>
      <c r="E47" t="inlineStr">
        <is>
          <t>BERG</t>
        </is>
      </c>
      <c r="F47" t="inlineStr">
        <is>
          <t>SCA</t>
        </is>
      </c>
      <c r="G47" t="n">
        <v>20.7</v>
      </c>
      <c r="H47" t="n">
        <v>1</v>
      </c>
      <c r="I47" t="n">
        <v>0</v>
      </c>
      <c r="J47" t="n">
        <v>5</v>
      </c>
      <c r="K47" t="n">
        <v>1</v>
      </c>
      <c r="L47" t="n">
        <v>0</v>
      </c>
      <c r="M47" t="n">
        <v>0</v>
      </c>
      <c r="N47" t="n">
        <v>0</v>
      </c>
      <c r="O47" t="n">
        <v>6</v>
      </c>
      <c r="P47" t="n">
        <v>1</v>
      </c>
      <c r="Q47" t="n">
        <v>6</v>
      </c>
      <c r="R47" s="2" t="inlineStr">
        <is>
          <t>Gräddporing
Dvärgbägarlav
Granticka
Harticka
Tretåig hackspett
Vedflamlav</t>
        </is>
      </c>
      <c r="S47">
        <f>HYPERLINK("https://klasma.github.io/Logging_2326/artfynd/A 27571-2025 artfynd.xlsx", "A 27571-2025")</f>
        <v/>
      </c>
      <c r="T47">
        <f>HYPERLINK("https://klasma.github.io/Logging_2326/kartor/A 27571-2025 karta.png", "A 27571-2025")</f>
        <v/>
      </c>
      <c r="V47">
        <f>HYPERLINK("https://klasma.github.io/Logging_2326/klagomål/A 27571-2025 FSC-klagomål.docx", "A 27571-2025")</f>
        <v/>
      </c>
      <c r="W47">
        <f>HYPERLINK("https://klasma.github.io/Logging_2326/klagomålsmail/A 27571-2025 FSC-klagomål mail.docx", "A 27571-2025")</f>
        <v/>
      </c>
      <c r="X47">
        <f>HYPERLINK("https://klasma.github.io/Logging_2326/tillsyn/A 27571-2025 tillsynsbegäran.docx", "A 27571-2025")</f>
        <v/>
      </c>
      <c r="Y47">
        <f>HYPERLINK("https://klasma.github.io/Logging_2326/tillsynsmail/A 27571-2025 tillsynsbegäran mail.docx", "A 27571-2025")</f>
        <v/>
      </c>
      <c r="Z47">
        <f>HYPERLINK("https://klasma.github.io/Logging_2326/fåglar/A 27571-2025 prioriterade fågelarter.docx", "A 27571-2025")</f>
        <v/>
      </c>
    </row>
    <row r="48" ht="15" customHeight="1">
      <c r="A48" t="inlineStr">
        <is>
          <t>A 7473-2023</t>
        </is>
      </c>
      <c r="B48" s="1" t="n">
        <v>44966</v>
      </c>
      <c r="C48" s="1" t="n">
        <v>45886</v>
      </c>
      <c r="D48" t="inlineStr">
        <is>
          <t>JÄMTLANDS LÄN</t>
        </is>
      </c>
      <c r="E48" t="inlineStr">
        <is>
          <t>BERG</t>
        </is>
      </c>
      <c r="G48" t="n">
        <v>26.8</v>
      </c>
      <c r="H48" t="n">
        <v>1</v>
      </c>
      <c r="I48" t="n">
        <v>3</v>
      </c>
      <c r="J48" t="n">
        <v>3</v>
      </c>
      <c r="K48" t="n">
        <v>0</v>
      </c>
      <c r="L48" t="n">
        <v>0</v>
      </c>
      <c r="M48" t="n">
        <v>0</v>
      </c>
      <c r="N48" t="n">
        <v>0</v>
      </c>
      <c r="O48" t="n">
        <v>3</v>
      </c>
      <c r="P48" t="n">
        <v>0</v>
      </c>
      <c r="Q48" t="n">
        <v>6</v>
      </c>
      <c r="R48" s="2" t="inlineStr">
        <is>
          <t>Blågrå svartspik
Tretåig hackspett
Vedflamlav
Dropptaggsvamp
Mindre märgborre
Stuplav</t>
        </is>
      </c>
      <c r="S48">
        <f>HYPERLINK("https://klasma.github.io/Logging_2326/artfynd/A 7473-2023 artfynd.xlsx", "A 7473-2023")</f>
        <v/>
      </c>
      <c r="T48">
        <f>HYPERLINK("https://klasma.github.io/Logging_2326/kartor/A 7473-2023 karta.png", "A 7473-2023")</f>
        <v/>
      </c>
      <c r="V48">
        <f>HYPERLINK("https://klasma.github.io/Logging_2326/klagomål/A 7473-2023 FSC-klagomål.docx", "A 7473-2023")</f>
        <v/>
      </c>
      <c r="W48">
        <f>HYPERLINK("https://klasma.github.io/Logging_2326/klagomålsmail/A 7473-2023 FSC-klagomål mail.docx", "A 7473-2023")</f>
        <v/>
      </c>
      <c r="X48">
        <f>HYPERLINK("https://klasma.github.io/Logging_2326/tillsyn/A 7473-2023 tillsynsbegäran.docx", "A 7473-2023")</f>
        <v/>
      </c>
      <c r="Y48">
        <f>HYPERLINK("https://klasma.github.io/Logging_2326/tillsynsmail/A 7473-2023 tillsynsbegäran mail.docx", "A 7473-2023")</f>
        <v/>
      </c>
      <c r="Z48">
        <f>HYPERLINK("https://klasma.github.io/Logging_2326/fåglar/A 7473-2023 prioriterade fågelarter.docx", "A 7473-2023")</f>
        <v/>
      </c>
    </row>
    <row r="49" ht="15" customHeight="1">
      <c r="A49" t="inlineStr">
        <is>
          <t>A 12431-2025</t>
        </is>
      </c>
      <c r="B49" s="1" t="n">
        <v>45730</v>
      </c>
      <c r="C49" s="1" t="n">
        <v>45886</v>
      </c>
      <c r="D49" t="inlineStr">
        <is>
          <t>JÄMTLANDS LÄN</t>
        </is>
      </c>
      <c r="E49" t="inlineStr">
        <is>
          <t>BERG</t>
        </is>
      </c>
      <c r="G49" t="n">
        <v>21.9</v>
      </c>
      <c r="H49" t="n">
        <v>1</v>
      </c>
      <c r="I49" t="n">
        <v>0</v>
      </c>
      <c r="J49" t="n">
        <v>5</v>
      </c>
      <c r="K49" t="n">
        <v>1</v>
      </c>
      <c r="L49" t="n">
        <v>0</v>
      </c>
      <c r="M49" t="n">
        <v>0</v>
      </c>
      <c r="N49" t="n">
        <v>0</v>
      </c>
      <c r="O49" t="n">
        <v>6</v>
      </c>
      <c r="P49" t="n">
        <v>1</v>
      </c>
      <c r="Q49" t="n">
        <v>6</v>
      </c>
      <c r="R49" s="2" t="inlineStr">
        <is>
          <t>Sprickporing
Doftskinn
Garnlav
Knottrig blåslav
Tretåig hackspett
Ullticka</t>
        </is>
      </c>
      <c r="S49">
        <f>HYPERLINK("https://klasma.github.io/Logging_2326/artfynd/A 12431-2025 artfynd.xlsx", "A 12431-2025")</f>
        <v/>
      </c>
      <c r="T49">
        <f>HYPERLINK("https://klasma.github.io/Logging_2326/kartor/A 12431-2025 karta.png", "A 12431-2025")</f>
        <v/>
      </c>
      <c r="V49">
        <f>HYPERLINK("https://klasma.github.io/Logging_2326/klagomål/A 12431-2025 FSC-klagomål.docx", "A 12431-2025")</f>
        <v/>
      </c>
      <c r="W49">
        <f>HYPERLINK("https://klasma.github.io/Logging_2326/klagomålsmail/A 12431-2025 FSC-klagomål mail.docx", "A 12431-2025")</f>
        <v/>
      </c>
      <c r="X49">
        <f>HYPERLINK("https://klasma.github.io/Logging_2326/tillsyn/A 12431-2025 tillsynsbegäran.docx", "A 12431-2025")</f>
        <v/>
      </c>
      <c r="Y49">
        <f>HYPERLINK("https://klasma.github.io/Logging_2326/tillsynsmail/A 12431-2025 tillsynsbegäran mail.docx", "A 12431-2025")</f>
        <v/>
      </c>
      <c r="Z49">
        <f>HYPERLINK("https://klasma.github.io/Logging_2326/fåglar/A 12431-2025 prioriterade fågelarter.docx", "A 12431-2025")</f>
        <v/>
      </c>
    </row>
    <row r="50" ht="15" customHeight="1">
      <c r="A50" t="inlineStr">
        <is>
          <t>A 31719-2022</t>
        </is>
      </c>
      <c r="B50" s="1" t="n">
        <v>44776</v>
      </c>
      <c r="C50" s="1" t="n">
        <v>45886</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37398-2022</t>
        </is>
      </c>
      <c r="B51" s="1" t="n">
        <v>44806</v>
      </c>
      <c r="C51" s="1" t="n">
        <v>45886</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49626-2024</t>
        </is>
      </c>
      <c r="B52" s="1" t="n">
        <v>45596.59109953704</v>
      </c>
      <c r="C52" s="1" t="n">
        <v>45886</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12973-2024</t>
        </is>
      </c>
      <c r="B53" s="1" t="n">
        <v>45385.51104166666</v>
      </c>
      <c r="C53" s="1" t="n">
        <v>45886</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12966-2024</t>
        </is>
      </c>
      <c r="B54" s="1" t="n">
        <v>45385.50025462963</v>
      </c>
      <c r="C54" s="1" t="n">
        <v>45886</v>
      </c>
      <c r="D54" t="inlineStr">
        <is>
          <t>JÄMTLANDS LÄN</t>
        </is>
      </c>
      <c r="E54" t="inlineStr">
        <is>
          <t>BERG</t>
        </is>
      </c>
      <c r="G54" t="n">
        <v>6.3</v>
      </c>
      <c r="H54" t="n">
        <v>1</v>
      </c>
      <c r="I54" t="n">
        <v>0</v>
      </c>
      <c r="J54" t="n">
        <v>5</v>
      </c>
      <c r="K54" t="n">
        <v>0</v>
      </c>
      <c r="L54" t="n">
        <v>0</v>
      </c>
      <c r="M54" t="n">
        <v>0</v>
      </c>
      <c r="N54" t="n">
        <v>0</v>
      </c>
      <c r="O54" t="n">
        <v>5</v>
      </c>
      <c r="P54" t="n">
        <v>0</v>
      </c>
      <c r="Q54" t="n">
        <v>5</v>
      </c>
      <c r="R54" s="2" t="inlineStr">
        <is>
          <t>Garnlav
Granticka
Lunglav
Skrovellav
Tretåig hackspett</t>
        </is>
      </c>
      <c r="S54">
        <f>HYPERLINK("https://klasma.github.io/Logging_2326/artfynd/A 12966-2024 artfynd.xlsx", "A 12966-2024")</f>
        <v/>
      </c>
      <c r="T54">
        <f>HYPERLINK("https://klasma.github.io/Logging_2326/kartor/A 12966-2024 karta.png", "A 12966-2024")</f>
        <v/>
      </c>
      <c r="V54">
        <f>HYPERLINK("https://klasma.github.io/Logging_2326/klagomål/A 12966-2024 FSC-klagomål.docx", "A 12966-2024")</f>
        <v/>
      </c>
      <c r="W54">
        <f>HYPERLINK("https://klasma.github.io/Logging_2326/klagomålsmail/A 12966-2024 FSC-klagomål mail.docx", "A 12966-2024")</f>
        <v/>
      </c>
      <c r="X54">
        <f>HYPERLINK("https://klasma.github.io/Logging_2326/tillsyn/A 12966-2024 tillsynsbegäran.docx", "A 12966-2024")</f>
        <v/>
      </c>
      <c r="Y54">
        <f>HYPERLINK("https://klasma.github.io/Logging_2326/tillsynsmail/A 12966-2024 tillsynsbegäran mail.docx", "A 12966-2024")</f>
        <v/>
      </c>
      <c r="Z54">
        <f>HYPERLINK("https://klasma.github.io/Logging_2326/fåglar/A 12966-2024 prioriterade fågelarter.docx", "A 12966-2024")</f>
        <v/>
      </c>
    </row>
    <row r="55" ht="15" customHeight="1">
      <c r="A55" t="inlineStr">
        <is>
          <t>A 24204-2024</t>
        </is>
      </c>
      <c r="B55" s="1" t="n">
        <v>45456</v>
      </c>
      <c r="C55" s="1" t="n">
        <v>45886</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45886</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28659-2025</t>
        </is>
      </c>
      <c r="B57" s="1" t="n">
        <v>45819.65783564815</v>
      </c>
      <c r="C57" s="1" t="n">
        <v>45886</v>
      </c>
      <c r="D57" t="inlineStr">
        <is>
          <t>JÄMTLANDS LÄN</t>
        </is>
      </c>
      <c r="E57" t="inlineStr">
        <is>
          <t>BERG</t>
        </is>
      </c>
      <c r="G57" t="n">
        <v>4.8</v>
      </c>
      <c r="H57" t="n">
        <v>2</v>
      </c>
      <c r="I57" t="n">
        <v>2</v>
      </c>
      <c r="J57" t="n">
        <v>3</v>
      </c>
      <c r="K57" t="n">
        <v>0</v>
      </c>
      <c r="L57" t="n">
        <v>0</v>
      </c>
      <c r="M57" t="n">
        <v>0</v>
      </c>
      <c r="N57" t="n">
        <v>0</v>
      </c>
      <c r="O57" t="n">
        <v>3</v>
      </c>
      <c r="P57" t="n">
        <v>0</v>
      </c>
      <c r="Q57" t="n">
        <v>5</v>
      </c>
      <c r="R57" s="2" t="inlineStr">
        <is>
          <t>Garnlav
Lunglav
Vitgrynig nållav
Korallrot
Spindelblomster</t>
        </is>
      </c>
      <c r="S57">
        <f>HYPERLINK("https://klasma.github.io/Logging_2326/artfynd/A 28659-2025 artfynd.xlsx", "A 28659-2025")</f>
        <v/>
      </c>
      <c r="T57">
        <f>HYPERLINK("https://klasma.github.io/Logging_2326/kartor/A 28659-2025 karta.png", "A 28659-2025")</f>
        <v/>
      </c>
      <c r="V57">
        <f>HYPERLINK("https://klasma.github.io/Logging_2326/klagomål/A 28659-2025 FSC-klagomål.docx", "A 28659-2025")</f>
        <v/>
      </c>
      <c r="W57">
        <f>HYPERLINK("https://klasma.github.io/Logging_2326/klagomålsmail/A 28659-2025 FSC-klagomål mail.docx", "A 28659-2025")</f>
        <v/>
      </c>
      <c r="X57">
        <f>HYPERLINK("https://klasma.github.io/Logging_2326/tillsyn/A 28659-2025 tillsynsbegäran.docx", "A 28659-2025")</f>
        <v/>
      </c>
      <c r="Y57">
        <f>HYPERLINK("https://klasma.github.io/Logging_2326/tillsynsmail/A 28659-2025 tillsynsbegäran mail.docx", "A 28659-2025")</f>
        <v/>
      </c>
    </row>
    <row r="58" ht="15" customHeight="1">
      <c r="A58" t="inlineStr">
        <is>
          <t>A 56203-2021</t>
        </is>
      </c>
      <c r="B58" s="1" t="n">
        <v>44477</v>
      </c>
      <c r="C58" s="1" t="n">
        <v>45886</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20337-2025</t>
        </is>
      </c>
      <c r="B59" s="1" t="n">
        <v>45775.36545138889</v>
      </c>
      <c r="C59" s="1" t="n">
        <v>45886</v>
      </c>
      <c r="D59" t="inlineStr">
        <is>
          <t>JÄMTLANDS LÄN</t>
        </is>
      </c>
      <c r="E59" t="inlineStr">
        <is>
          <t>BERG</t>
        </is>
      </c>
      <c r="F59" t="inlineStr">
        <is>
          <t>SCA</t>
        </is>
      </c>
      <c r="G59" t="n">
        <v>13.8</v>
      </c>
      <c r="H59" t="n">
        <v>0</v>
      </c>
      <c r="I59" t="n">
        <v>0</v>
      </c>
      <c r="J59" t="n">
        <v>3</v>
      </c>
      <c r="K59" t="n">
        <v>2</v>
      </c>
      <c r="L59" t="n">
        <v>0</v>
      </c>
      <c r="M59" t="n">
        <v>0</v>
      </c>
      <c r="N59" t="n">
        <v>0</v>
      </c>
      <c r="O59" t="n">
        <v>5</v>
      </c>
      <c r="P59" t="n">
        <v>2</v>
      </c>
      <c r="Q59" t="n">
        <v>5</v>
      </c>
      <c r="R59" s="2" t="inlineStr">
        <is>
          <t>Gräddporing
Tajgataggsvamp
Dvärgbägarlav
Nordtagging
Vaddporing</t>
        </is>
      </c>
      <c r="S59">
        <f>HYPERLINK("https://klasma.github.io/Logging_2326/artfynd/A 20337-2025 artfynd.xlsx", "A 20337-2025")</f>
        <v/>
      </c>
      <c r="T59">
        <f>HYPERLINK("https://klasma.github.io/Logging_2326/kartor/A 20337-2025 karta.png", "A 20337-2025")</f>
        <v/>
      </c>
      <c r="V59">
        <f>HYPERLINK("https://klasma.github.io/Logging_2326/klagomål/A 20337-2025 FSC-klagomål.docx", "A 20337-2025")</f>
        <v/>
      </c>
      <c r="W59">
        <f>HYPERLINK("https://klasma.github.io/Logging_2326/klagomålsmail/A 20337-2025 FSC-klagomål mail.docx", "A 20337-2025")</f>
        <v/>
      </c>
      <c r="X59">
        <f>HYPERLINK("https://klasma.github.io/Logging_2326/tillsyn/A 20337-2025 tillsynsbegäran.docx", "A 20337-2025")</f>
        <v/>
      </c>
      <c r="Y59">
        <f>HYPERLINK("https://klasma.github.io/Logging_2326/tillsynsmail/A 20337-2025 tillsynsbegäran mail.docx", "A 20337-2025")</f>
        <v/>
      </c>
    </row>
    <row r="60" ht="15" customHeight="1">
      <c r="A60" t="inlineStr">
        <is>
          <t>A 41872-2020</t>
        </is>
      </c>
      <c r="B60" s="1" t="n">
        <v>44074</v>
      </c>
      <c r="C60" s="1" t="n">
        <v>45886</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45886</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35742-2022</t>
        </is>
      </c>
      <c r="B62" s="1" t="n">
        <v>44799</v>
      </c>
      <c r="C62" s="1" t="n">
        <v>45886</v>
      </c>
      <c r="D62" t="inlineStr">
        <is>
          <t>JÄMTLANDS LÄN</t>
        </is>
      </c>
      <c r="E62" t="inlineStr">
        <is>
          <t>BERG</t>
        </is>
      </c>
      <c r="F62" t="inlineStr">
        <is>
          <t>SCA</t>
        </is>
      </c>
      <c r="G62" t="n">
        <v>16.6</v>
      </c>
      <c r="H62" t="n">
        <v>1</v>
      </c>
      <c r="I62" t="n">
        <v>1</v>
      </c>
      <c r="J62" t="n">
        <v>3</v>
      </c>
      <c r="K62" t="n">
        <v>0</v>
      </c>
      <c r="L62" t="n">
        <v>0</v>
      </c>
      <c r="M62" t="n">
        <v>0</v>
      </c>
      <c r="N62" t="n">
        <v>0</v>
      </c>
      <c r="O62" t="n">
        <v>3</v>
      </c>
      <c r="P62" t="n">
        <v>0</v>
      </c>
      <c r="Q62" t="n">
        <v>4</v>
      </c>
      <c r="R62" s="2" t="inlineStr">
        <is>
          <t>Dvärgbägarlav
Vedflamlav
Vedskivlav
Plattlummer</t>
        </is>
      </c>
      <c r="S62">
        <f>HYPERLINK("https://klasma.github.io/Logging_2326/artfynd/A 35742-2022 artfynd.xlsx", "A 35742-2022")</f>
        <v/>
      </c>
      <c r="T62">
        <f>HYPERLINK("https://klasma.github.io/Logging_2326/kartor/A 35742-2022 karta.png", "A 35742-2022")</f>
        <v/>
      </c>
      <c r="V62">
        <f>HYPERLINK("https://klasma.github.io/Logging_2326/klagomål/A 35742-2022 FSC-klagomål.docx", "A 35742-2022")</f>
        <v/>
      </c>
      <c r="W62">
        <f>HYPERLINK("https://klasma.github.io/Logging_2326/klagomålsmail/A 35742-2022 FSC-klagomål mail.docx", "A 35742-2022")</f>
        <v/>
      </c>
      <c r="X62">
        <f>HYPERLINK("https://klasma.github.io/Logging_2326/tillsyn/A 35742-2022 tillsynsbegäran.docx", "A 35742-2022")</f>
        <v/>
      </c>
      <c r="Y62">
        <f>HYPERLINK("https://klasma.github.io/Logging_2326/tillsynsmail/A 35742-2022 tillsynsbegäran mail.docx", "A 35742-2022")</f>
        <v/>
      </c>
    </row>
    <row r="63" ht="15" customHeight="1">
      <c r="A63" t="inlineStr">
        <is>
          <t>A 22333-2022</t>
        </is>
      </c>
      <c r="B63" s="1" t="n">
        <v>44712</v>
      </c>
      <c r="C63" s="1" t="n">
        <v>45886</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12962-2024</t>
        </is>
      </c>
      <c r="B64" s="1" t="n">
        <v>45385.49314814815</v>
      </c>
      <c r="C64" s="1" t="n">
        <v>45886</v>
      </c>
      <c r="D64" t="inlineStr">
        <is>
          <t>JÄMTLANDS LÄN</t>
        </is>
      </c>
      <c r="E64" t="inlineStr">
        <is>
          <t>BERG</t>
        </is>
      </c>
      <c r="G64" t="n">
        <v>7.3</v>
      </c>
      <c r="H64" t="n">
        <v>1</v>
      </c>
      <c r="I64" t="n">
        <v>0</v>
      </c>
      <c r="J64" t="n">
        <v>4</v>
      </c>
      <c r="K64" t="n">
        <v>0</v>
      </c>
      <c r="L64" t="n">
        <v>0</v>
      </c>
      <c r="M64" t="n">
        <v>0</v>
      </c>
      <c r="N64" t="n">
        <v>0</v>
      </c>
      <c r="O64" t="n">
        <v>4</v>
      </c>
      <c r="P64" t="n">
        <v>0</v>
      </c>
      <c r="Q64" t="n">
        <v>4</v>
      </c>
      <c r="R64" s="2" t="inlineStr">
        <is>
          <t>Granticka
Lunglav
Skrovellav
Tretåig hackspett</t>
        </is>
      </c>
      <c r="S64">
        <f>HYPERLINK("https://klasma.github.io/Logging_2326/artfynd/A 12962-2024 artfynd.xlsx", "A 12962-2024")</f>
        <v/>
      </c>
      <c r="T64">
        <f>HYPERLINK("https://klasma.github.io/Logging_2326/kartor/A 12962-2024 karta.png", "A 12962-2024")</f>
        <v/>
      </c>
      <c r="V64">
        <f>HYPERLINK("https://klasma.github.io/Logging_2326/klagomål/A 12962-2024 FSC-klagomål.docx", "A 12962-2024")</f>
        <v/>
      </c>
      <c r="W64">
        <f>HYPERLINK("https://klasma.github.io/Logging_2326/klagomålsmail/A 12962-2024 FSC-klagomål mail.docx", "A 12962-2024")</f>
        <v/>
      </c>
      <c r="X64">
        <f>HYPERLINK("https://klasma.github.io/Logging_2326/tillsyn/A 12962-2024 tillsynsbegäran.docx", "A 12962-2024")</f>
        <v/>
      </c>
      <c r="Y64">
        <f>HYPERLINK("https://klasma.github.io/Logging_2326/tillsynsmail/A 12962-2024 tillsynsbegäran mail.docx", "A 12962-2024")</f>
        <v/>
      </c>
      <c r="Z64">
        <f>HYPERLINK("https://klasma.github.io/Logging_2326/fåglar/A 12962-2024 prioriterade fågelarter.docx", "A 12962-2024")</f>
        <v/>
      </c>
    </row>
    <row r="65" ht="15" customHeight="1">
      <c r="A65" t="inlineStr">
        <is>
          <t>A 25871-2025</t>
        </is>
      </c>
      <c r="B65" s="1" t="n">
        <v>45804.4903125</v>
      </c>
      <c r="C65" s="1" t="n">
        <v>45886</v>
      </c>
      <c r="D65" t="inlineStr">
        <is>
          <t>JÄMTLANDS LÄN</t>
        </is>
      </c>
      <c r="E65" t="inlineStr">
        <is>
          <t>BERG</t>
        </is>
      </c>
      <c r="F65" t="inlineStr">
        <is>
          <t>SCA</t>
        </is>
      </c>
      <c r="G65" t="n">
        <v>15.9</v>
      </c>
      <c r="H65" t="n">
        <v>0</v>
      </c>
      <c r="I65" t="n">
        <v>1</v>
      </c>
      <c r="J65" t="n">
        <v>3</v>
      </c>
      <c r="K65" t="n">
        <v>0</v>
      </c>
      <c r="L65" t="n">
        <v>0</v>
      </c>
      <c r="M65" t="n">
        <v>0</v>
      </c>
      <c r="N65" t="n">
        <v>0</v>
      </c>
      <c r="O65" t="n">
        <v>3</v>
      </c>
      <c r="P65" t="n">
        <v>0</v>
      </c>
      <c r="Q65" t="n">
        <v>4</v>
      </c>
      <c r="R65" s="2" t="inlineStr">
        <is>
          <t>Kolflarnlav
Mörk kolflarnlav
Vedflamlav
Skarp dropptaggsvamp</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27574-2025</t>
        </is>
      </c>
      <c r="B66" s="1" t="n">
        <v>45813.49072916667</v>
      </c>
      <c r="C66" s="1" t="n">
        <v>45886</v>
      </c>
      <c r="D66" t="inlineStr">
        <is>
          <t>JÄMTLANDS LÄN</t>
        </is>
      </c>
      <c r="E66" t="inlineStr">
        <is>
          <t>BERG</t>
        </is>
      </c>
      <c r="F66" t="inlineStr">
        <is>
          <t>SCA</t>
        </is>
      </c>
      <c r="G66" t="n">
        <v>23.6</v>
      </c>
      <c r="H66" t="n">
        <v>0</v>
      </c>
      <c r="I66" t="n">
        <v>1</v>
      </c>
      <c r="J66" t="n">
        <v>2</v>
      </c>
      <c r="K66" t="n">
        <v>1</v>
      </c>
      <c r="L66" t="n">
        <v>0</v>
      </c>
      <c r="M66" t="n">
        <v>0</v>
      </c>
      <c r="N66" t="n">
        <v>0</v>
      </c>
      <c r="O66" t="n">
        <v>3</v>
      </c>
      <c r="P66" t="n">
        <v>1</v>
      </c>
      <c r="Q66" t="n">
        <v>4</v>
      </c>
      <c r="R66" s="2" t="inlineStr">
        <is>
          <t>Fläckporing
Dvärgbägarlav
Vedskivlav
Kambräken</t>
        </is>
      </c>
      <c r="S66">
        <f>HYPERLINK("https://klasma.github.io/Logging_2326/artfynd/A 27574-2025 artfynd.xlsx", "A 27574-2025")</f>
        <v/>
      </c>
      <c r="T66">
        <f>HYPERLINK("https://klasma.github.io/Logging_2326/kartor/A 27574-2025 karta.png", "A 27574-2025")</f>
        <v/>
      </c>
      <c r="V66">
        <f>HYPERLINK("https://klasma.github.io/Logging_2326/klagomål/A 27574-2025 FSC-klagomål.docx", "A 27574-2025")</f>
        <v/>
      </c>
      <c r="W66">
        <f>HYPERLINK("https://klasma.github.io/Logging_2326/klagomålsmail/A 27574-2025 FSC-klagomål mail.docx", "A 27574-2025")</f>
        <v/>
      </c>
      <c r="X66">
        <f>HYPERLINK("https://klasma.github.io/Logging_2326/tillsyn/A 27574-2025 tillsynsbegäran.docx", "A 27574-2025")</f>
        <v/>
      </c>
      <c r="Y66">
        <f>HYPERLINK("https://klasma.github.io/Logging_2326/tillsynsmail/A 27574-2025 tillsynsbegäran mail.docx", "A 27574-2025")</f>
        <v/>
      </c>
    </row>
    <row r="67" ht="15" customHeight="1">
      <c r="A67" t="inlineStr">
        <is>
          <t>A 13487-2024</t>
        </is>
      </c>
      <c r="B67" s="1" t="n">
        <v>45387</v>
      </c>
      <c r="C67" s="1" t="n">
        <v>45886</v>
      </c>
      <c r="D67" t="inlineStr">
        <is>
          <t>JÄMTLANDS LÄN</t>
        </is>
      </c>
      <c r="E67" t="inlineStr">
        <is>
          <t>BERG</t>
        </is>
      </c>
      <c r="G67" t="n">
        <v>13.1</v>
      </c>
      <c r="H67" t="n">
        <v>2</v>
      </c>
      <c r="I67" t="n">
        <v>0</v>
      </c>
      <c r="J67" t="n">
        <v>3</v>
      </c>
      <c r="K67" t="n">
        <v>1</v>
      </c>
      <c r="L67" t="n">
        <v>0</v>
      </c>
      <c r="M67" t="n">
        <v>0</v>
      </c>
      <c r="N67" t="n">
        <v>0</v>
      </c>
      <c r="O67" t="n">
        <v>4</v>
      </c>
      <c r="P67" t="n">
        <v>1</v>
      </c>
      <c r="Q67" t="n">
        <v>4</v>
      </c>
      <c r="R67" s="2" t="inlineStr">
        <is>
          <t>Doftticka
Garnlav
Lunglav
Tretåig hackspett</t>
        </is>
      </c>
      <c r="S67">
        <f>HYPERLINK("https://klasma.github.io/Logging_2326/artfynd/A 13487-2024 artfynd.xlsx", "A 13487-2024")</f>
        <v/>
      </c>
      <c r="T67">
        <f>HYPERLINK("https://klasma.github.io/Logging_2326/kartor/A 13487-2024 karta.png", "A 13487-2024")</f>
        <v/>
      </c>
      <c r="V67">
        <f>HYPERLINK("https://klasma.github.io/Logging_2326/klagomål/A 13487-2024 FSC-klagomål.docx", "A 13487-2024")</f>
        <v/>
      </c>
      <c r="W67">
        <f>HYPERLINK("https://klasma.github.io/Logging_2326/klagomålsmail/A 13487-2024 FSC-klagomål mail.docx", "A 13487-2024")</f>
        <v/>
      </c>
      <c r="X67">
        <f>HYPERLINK("https://klasma.github.io/Logging_2326/tillsyn/A 13487-2024 tillsynsbegäran.docx", "A 13487-2024")</f>
        <v/>
      </c>
      <c r="Y67">
        <f>HYPERLINK("https://klasma.github.io/Logging_2326/tillsynsmail/A 13487-2024 tillsynsbegäran mail.docx", "A 13487-2024")</f>
        <v/>
      </c>
      <c r="Z67">
        <f>HYPERLINK("https://klasma.github.io/Logging_2326/fåglar/A 13487-2024 prioriterade fågelarter.docx", "A 13487-2024")</f>
        <v/>
      </c>
    </row>
    <row r="68" ht="15" customHeight="1">
      <c r="A68" t="inlineStr">
        <is>
          <t>A 38156-2024</t>
        </is>
      </c>
      <c r="B68" s="1" t="n">
        <v>45545</v>
      </c>
      <c r="C68" s="1" t="n">
        <v>45886</v>
      </c>
      <c r="D68" t="inlineStr">
        <is>
          <t>JÄMTLANDS LÄN</t>
        </is>
      </c>
      <c r="E68" t="inlineStr">
        <is>
          <t>BERG</t>
        </is>
      </c>
      <c r="G68" t="n">
        <v>0.4</v>
      </c>
      <c r="H68" t="n">
        <v>1</v>
      </c>
      <c r="I68" t="n">
        <v>1</v>
      </c>
      <c r="J68" t="n">
        <v>2</v>
      </c>
      <c r="K68" t="n">
        <v>1</v>
      </c>
      <c r="L68" t="n">
        <v>0</v>
      </c>
      <c r="M68" t="n">
        <v>0</v>
      </c>
      <c r="N68" t="n">
        <v>0</v>
      </c>
      <c r="O68" t="n">
        <v>3</v>
      </c>
      <c r="P68" t="n">
        <v>1</v>
      </c>
      <c r="Q68" t="n">
        <v>4</v>
      </c>
      <c r="R68" s="2" t="inlineStr">
        <is>
          <t>Knärot
Garnlav
Tallticka
Vedticka</t>
        </is>
      </c>
      <c r="S68">
        <f>HYPERLINK("https://klasma.github.io/Logging_2326/artfynd/A 38156-2024 artfynd.xlsx", "A 38156-2024")</f>
        <v/>
      </c>
      <c r="T68">
        <f>HYPERLINK("https://klasma.github.io/Logging_2326/kartor/A 38156-2024 karta.png", "A 38156-2024")</f>
        <v/>
      </c>
      <c r="U68">
        <f>HYPERLINK("https://klasma.github.io/Logging_2326/knärot/A 38156-2024 karta knärot.png", "A 38156-2024")</f>
        <v/>
      </c>
      <c r="V68">
        <f>HYPERLINK("https://klasma.github.io/Logging_2326/klagomål/A 38156-2024 FSC-klagomål.docx", "A 38156-2024")</f>
        <v/>
      </c>
      <c r="W68">
        <f>HYPERLINK("https://klasma.github.io/Logging_2326/klagomålsmail/A 38156-2024 FSC-klagomål mail.docx", "A 38156-2024")</f>
        <v/>
      </c>
      <c r="X68">
        <f>HYPERLINK("https://klasma.github.io/Logging_2326/tillsyn/A 38156-2024 tillsynsbegäran.docx", "A 38156-2024")</f>
        <v/>
      </c>
      <c r="Y68">
        <f>HYPERLINK("https://klasma.github.io/Logging_2326/tillsynsmail/A 38156-2024 tillsynsbegäran mail.docx", "A 38156-2024")</f>
        <v/>
      </c>
    </row>
    <row r="69" ht="15" customHeight="1">
      <c r="A69" t="inlineStr">
        <is>
          <t>A 27100-2025</t>
        </is>
      </c>
      <c r="B69" s="1" t="n">
        <v>45811.67803240741</v>
      </c>
      <c r="C69" s="1" t="n">
        <v>45886</v>
      </c>
      <c r="D69" t="inlineStr">
        <is>
          <t>JÄMTLANDS LÄN</t>
        </is>
      </c>
      <c r="E69" t="inlineStr">
        <is>
          <t>BERG</t>
        </is>
      </c>
      <c r="F69" t="inlineStr">
        <is>
          <t>SCA</t>
        </is>
      </c>
      <c r="G69" t="n">
        <v>6.1</v>
      </c>
      <c r="H69" t="n">
        <v>3</v>
      </c>
      <c r="I69" t="n">
        <v>0</v>
      </c>
      <c r="J69" t="n">
        <v>3</v>
      </c>
      <c r="K69" t="n">
        <v>0</v>
      </c>
      <c r="L69" t="n">
        <v>0</v>
      </c>
      <c r="M69" t="n">
        <v>0</v>
      </c>
      <c r="N69" t="n">
        <v>0</v>
      </c>
      <c r="O69" t="n">
        <v>3</v>
      </c>
      <c r="P69" t="n">
        <v>0</v>
      </c>
      <c r="Q69" t="n">
        <v>4</v>
      </c>
      <c r="R69" s="2" t="inlineStr">
        <is>
          <t>Granticka
Kungsörn
Tretåig hackspett
Lavskrika</t>
        </is>
      </c>
      <c r="S69">
        <f>HYPERLINK("https://klasma.github.io/Logging_2326/artfynd/A 27100-2025 artfynd.xlsx", "A 27100-2025")</f>
        <v/>
      </c>
      <c r="T69">
        <f>HYPERLINK("https://klasma.github.io/Logging_2326/kartor/A 27100-2025 karta.png", "A 27100-2025")</f>
        <v/>
      </c>
      <c r="V69">
        <f>HYPERLINK("https://klasma.github.io/Logging_2326/klagomål/A 27100-2025 FSC-klagomål.docx", "A 27100-2025")</f>
        <v/>
      </c>
      <c r="W69">
        <f>HYPERLINK("https://klasma.github.io/Logging_2326/klagomålsmail/A 27100-2025 FSC-klagomål mail.docx", "A 27100-2025")</f>
        <v/>
      </c>
      <c r="X69">
        <f>HYPERLINK("https://klasma.github.io/Logging_2326/tillsyn/A 27100-2025 tillsynsbegäran.docx", "A 27100-2025")</f>
        <v/>
      </c>
      <c r="Y69">
        <f>HYPERLINK("https://klasma.github.io/Logging_2326/tillsynsmail/A 27100-2025 tillsynsbegäran mail.docx", "A 27100-2025")</f>
        <v/>
      </c>
      <c r="Z69">
        <f>HYPERLINK("https://klasma.github.io/Logging_2326/fåglar/A 27100-2025 prioriterade fågelarter.docx", "A 27100-2025")</f>
        <v/>
      </c>
    </row>
    <row r="70" ht="15" customHeight="1">
      <c r="A70" t="inlineStr">
        <is>
          <t>A 31715-2025</t>
        </is>
      </c>
      <c r="B70" s="1" t="n">
        <v>45834.45671296296</v>
      </c>
      <c r="C70" s="1" t="n">
        <v>45886</v>
      </c>
      <c r="D70" t="inlineStr">
        <is>
          <t>JÄMTLANDS LÄN</t>
        </is>
      </c>
      <c r="E70" t="inlineStr">
        <is>
          <t>BERG</t>
        </is>
      </c>
      <c r="G70" t="n">
        <v>1.6</v>
      </c>
      <c r="H70" t="n">
        <v>1</v>
      </c>
      <c r="I70" t="n">
        <v>1</v>
      </c>
      <c r="J70" t="n">
        <v>2</v>
      </c>
      <c r="K70" t="n">
        <v>1</v>
      </c>
      <c r="L70" t="n">
        <v>0</v>
      </c>
      <c r="M70" t="n">
        <v>0</v>
      </c>
      <c r="N70" t="n">
        <v>0</v>
      </c>
      <c r="O70" t="n">
        <v>3</v>
      </c>
      <c r="P70" t="n">
        <v>1</v>
      </c>
      <c r="Q70" t="n">
        <v>4</v>
      </c>
      <c r="R70" s="2" t="inlineStr">
        <is>
          <t>Knärot
Gammelgransskål
Garnlav
Norrlandslav</t>
        </is>
      </c>
      <c r="S70">
        <f>HYPERLINK("https://klasma.github.io/Logging_2326/artfynd/A 31715-2025 artfynd.xlsx", "A 31715-2025")</f>
        <v/>
      </c>
      <c r="T70">
        <f>HYPERLINK("https://klasma.github.io/Logging_2326/kartor/A 31715-2025 karta.png", "A 31715-2025")</f>
        <v/>
      </c>
      <c r="U70">
        <f>HYPERLINK("https://klasma.github.io/Logging_2326/knärot/A 31715-2025 karta knärot.png", "A 31715-2025")</f>
        <v/>
      </c>
      <c r="V70">
        <f>HYPERLINK("https://klasma.github.io/Logging_2326/klagomål/A 31715-2025 FSC-klagomål.docx", "A 31715-2025")</f>
        <v/>
      </c>
      <c r="W70">
        <f>HYPERLINK("https://klasma.github.io/Logging_2326/klagomålsmail/A 31715-2025 FSC-klagomål mail.docx", "A 31715-2025")</f>
        <v/>
      </c>
      <c r="X70">
        <f>HYPERLINK("https://klasma.github.io/Logging_2326/tillsyn/A 31715-2025 tillsynsbegäran.docx", "A 31715-2025")</f>
        <v/>
      </c>
      <c r="Y70">
        <f>HYPERLINK("https://klasma.github.io/Logging_2326/tillsynsmail/A 31715-2025 tillsynsbegäran mail.docx", "A 31715-2025")</f>
        <v/>
      </c>
    </row>
    <row r="71" ht="15" customHeight="1">
      <c r="A71" t="inlineStr">
        <is>
          <t>A 31742-2025</t>
        </is>
      </c>
      <c r="B71" s="1" t="n">
        <v>45834.47548611111</v>
      </c>
      <c r="C71" s="1" t="n">
        <v>45886</v>
      </c>
      <c r="D71" t="inlineStr">
        <is>
          <t>JÄMTLANDS LÄN</t>
        </is>
      </c>
      <c r="E71" t="inlineStr">
        <is>
          <t>BERG</t>
        </is>
      </c>
      <c r="G71" t="n">
        <v>10.7</v>
      </c>
      <c r="H71" t="n">
        <v>0</v>
      </c>
      <c r="I71" t="n">
        <v>0</v>
      </c>
      <c r="J71" t="n">
        <v>4</v>
      </c>
      <c r="K71" t="n">
        <v>0</v>
      </c>
      <c r="L71" t="n">
        <v>0</v>
      </c>
      <c r="M71" t="n">
        <v>0</v>
      </c>
      <c r="N71" t="n">
        <v>0</v>
      </c>
      <c r="O71" t="n">
        <v>4</v>
      </c>
      <c r="P71" t="n">
        <v>0</v>
      </c>
      <c r="Q71" t="n">
        <v>4</v>
      </c>
      <c r="R71" s="2" t="inlineStr">
        <is>
          <t>Blågrå svartspik
Dvärgbägarlav
Kolflarnlav
Mörk kolflarnlav</t>
        </is>
      </c>
      <c r="S71">
        <f>HYPERLINK("https://klasma.github.io/Logging_2326/artfynd/A 31742-2025 artfynd.xlsx", "A 31742-2025")</f>
        <v/>
      </c>
      <c r="T71">
        <f>HYPERLINK("https://klasma.github.io/Logging_2326/kartor/A 31742-2025 karta.png", "A 31742-2025")</f>
        <v/>
      </c>
      <c r="V71">
        <f>HYPERLINK("https://klasma.github.io/Logging_2326/klagomål/A 31742-2025 FSC-klagomål.docx", "A 31742-2025")</f>
        <v/>
      </c>
      <c r="W71">
        <f>HYPERLINK("https://klasma.github.io/Logging_2326/klagomålsmail/A 31742-2025 FSC-klagomål mail.docx", "A 31742-2025")</f>
        <v/>
      </c>
      <c r="X71">
        <f>HYPERLINK("https://klasma.github.io/Logging_2326/tillsyn/A 31742-2025 tillsynsbegäran.docx", "A 31742-2025")</f>
        <v/>
      </c>
      <c r="Y71">
        <f>HYPERLINK("https://klasma.github.io/Logging_2326/tillsynsmail/A 31742-2025 tillsynsbegäran mail.docx", "A 31742-2025")</f>
        <v/>
      </c>
    </row>
    <row r="72" ht="15" customHeight="1">
      <c r="A72" t="inlineStr">
        <is>
          <t>A 45424-2024</t>
        </is>
      </c>
      <c r="B72" s="1" t="n">
        <v>45576.60398148148</v>
      </c>
      <c r="C72" s="1" t="n">
        <v>45886</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45886</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7891-2022</t>
        </is>
      </c>
      <c r="B74" s="1" t="n">
        <v>44607</v>
      </c>
      <c r="C74" s="1" t="n">
        <v>45886</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45886</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59823-2022</t>
        </is>
      </c>
      <c r="B76" s="1" t="n">
        <v>44900</v>
      </c>
      <c r="C76" s="1" t="n">
        <v>45886</v>
      </c>
      <c r="D76" t="inlineStr">
        <is>
          <t>JÄMTLANDS LÄN</t>
        </is>
      </c>
      <c r="E76" t="inlineStr">
        <is>
          <t>BERG</t>
        </is>
      </c>
      <c r="G76" t="n">
        <v>14.8</v>
      </c>
      <c r="H76" t="n">
        <v>2</v>
      </c>
      <c r="I76" t="n">
        <v>0</v>
      </c>
      <c r="J76" t="n">
        <v>2</v>
      </c>
      <c r="K76" t="n">
        <v>0</v>
      </c>
      <c r="L76" t="n">
        <v>0</v>
      </c>
      <c r="M76" t="n">
        <v>0</v>
      </c>
      <c r="N76" t="n">
        <v>0</v>
      </c>
      <c r="O76" t="n">
        <v>2</v>
      </c>
      <c r="P76" t="n">
        <v>0</v>
      </c>
      <c r="Q76" t="n">
        <v>4</v>
      </c>
      <c r="R76" s="2" t="inlineStr">
        <is>
          <t>Garnlav
Granticka
Orre
Fläcknycklar</t>
        </is>
      </c>
      <c r="S76">
        <f>HYPERLINK("https://klasma.github.io/Logging_2326/artfynd/A 59823-2022 artfynd.xlsx", "A 59823-2022")</f>
        <v/>
      </c>
      <c r="T76">
        <f>HYPERLINK("https://klasma.github.io/Logging_2326/kartor/A 59823-2022 karta.png", "A 59823-2022")</f>
        <v/>
      </c>
      <c r="V76">
        <f>HYPERLINK("https://klasma.github.io/Logging_2326/klagomål/A 59823-2022 FSC-klagomål.docx", "A 59823-2022")</f>
        <v/>
      </c>
      <c r="W76">
        <f>HYPERLINK("https://klasma.github.io/Logging_2326/klagomålsmail/A 59823-2022 FSC-klagomål mail.docx", "A 59823-2022")</f>
        <v/>
      </c>
      <c r="X76">
        <f>HYPERLINK("https://klasma.github.io/Logging_2326/tillsyn/A 59823-2022 tillsynsbegäran.docx", "A 59823-2022")</f>
        <v/>
      </c>
      <c r="Y76">
        <f>HYPERLINK("https://klasma.github.io/Logging_2326/tillsynsmail/A 59823-2022 tillsynsbegäran mail.docx", "A 59823-2022")</f>
        <v/>
      </c>
      <c r="Z76">
        <f>HYPERLINK("https://klasma.github.io/Logging_2326/fåglar/A 59823-2022 prioriterade fågelarter.docx", "A 59823-2022")</f>
        <v/>
      </c>
    </row>
    <row r="77" ht="15" customHeight="1">
      <c r="A77" t="inlineStr">
        <is>
          <t>A 16830-2021</t>
        </is>
      </c>
      <c r="B77" s="1" t="n">
        <v>44293</v>
      </c>
      <c r="C77" s="1" t="n">
        <v>45886</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45886</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45886</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35925-2024</t>
        </is>
      </c>
      <c r="B80" s="1" t="n">
        <v>45533.43868055556</v>
      </c>
      <c r="C80" s="1" t="n">
        <v>45886</v>
      </c>
      <c r="D80" t="inlineStr">
        <is>
          <t>JÄMTLANDS LÄN</t>
        </is>
      </c>
      <c r="E80" t="inlineStr">
        <is>
          <t>BERG</t>
        </is>
      </c>
      <c r="G80" t="n">
        <v>21.3</v>
      </c>
      <c r="H80" t="n">
        <v>0</v>
      </c>
      <c r="I80" t="n">
        <v>1</v>
      </c>
      <c r="J80" t="n">
        <v>2</v>
      </c>
      <c r="K80" t="n">
        <v>0</v>
      </c>
      <c r="L80" t="n">
        <v>0</v>
      </c>
      <c r="M80" t="n">
        <v>0</v>
      </c>
      <c r="N80" t="n">
        <v>0</v>
      </c>
      <c r="O80" t="n">
        <v>2</v>
      </c>
      <c r="P80" t="n">
        <v>0</v>
      </c>
      <c r="Q80" t="n">
        <v>3</v>
      </c>
      <c r="R80" s="2" t="inlineStr">
        <is>
          <t>Lunglav
Parknål
Bårdlav</t>
        </is>
      </c>
      <c r="S80">
        <f>HYPERLINK("https://klasma.github.io/Logging_2326/artfynd/A 35925-2024 artfynd.xlsx", "A 35925-2024")</f>
        <v/>
      </c>
      <c r="T80">
        <f>HYPERLINK("https://klasma.github.io/Logging_2326/kartor/A 35925-2024 karta.png", "A 35925-2024")</f>
        <v/>
      </c>
      <c r="V80">
        <f>HYPERLINK("https://klasma.github.io/Logging_2326/klagomål/A 35925-2024 FSC-klagomål.docx", "A 35925-2024")</f>
        <v/>
      </c>
      <c r="W80">
        <f>HYPERLINK("https://klasma.github.io/Logging_2326/klagomålsmail/A 35925-2024 FSC-klagomål mail.docx", "A 35925-2024")</f>
        <v/>
      </c>
      <c r="X80">
        <f>HYPERLINK("https://klasma.github.io/Logging_2326/tillsyn/A 35925-2024 tillsynsbegäran.docx", "A 35925-2024")</f>
        <v/>
      </c>
      <c r="Y80">
        <f>HYPERLINK("https://klasma.github.io/Logging_2326/tillsynsmail/A 35925-2024 tillsynsbegäran mail.docx", "A 35925-2024")</f>
        <v/>
      </c>
    </row>
    <row r="81" ht="15" customHeight="1">
      <c r="A81" t="inlineStr">
        <is>
          <t>A 52189-2024</t>
        </is>
      </c>
      <c r="B81" s="1" t="n">
        <v>45608</v>
      </c>
      <c r="C81" s="1" t="n">
        <v>45886</v>
      </c>
      <c r="D81" t="inlineStr">
        <is>
          <t>JÄMTLANDS LÄN</t>
        </is>
      </c>
      <c r="E81" t="inlineStr">
        <is>
          <t>BERG</t>
        </is>
      </c>
      <c r="G81" t="n">
        <v>10.6</v>
      </c>
      <c r="H81" t="n">
        <v>0</v>
      </c>
      <c r="I81" t="n">
        <v>0</v>
      </c>
      <c r="J81" t="n">
        <v>3</v>
      </c>
      <c r="K81" t="n">
        <v>0</v>
      </c>
      <c r="L81" t="n">
        <v>0</v>
      </c>
      <c r="M81" t="n">
        <v>0</v>
      </c>
      <c r="N81" t="n">
        <v>0</v>
      </c>
      <c r="O81" t="n">
        <v>3</v>
      </c>
      <c r="P81" t="n">
        <v>0</v>
      </c>
      <c r="Q81" t="n">
        <v>3</v>
      </c>
      <c r="R81" s="2" t="inlineStr">
        <is>
          <t>Granticka
Gränsticka
Vitgrynig nållav</t>
        </is>
      </c>
      <c r="S81">
        <f>HYPERLINK("https://klasma.github.io/Logging_2326/artfynd/A 52189-2024 artfynd.xlsx", "A 52189-2024")</f>
        <v/>
      </c>
      <c r="T81">
        <f>HYPERLINK("https://klasma.github.io/Logging_2326/kartor/A 52189-2024 karta.png", "A 52189-2024")</f>
        <v/>
      </c>
      <c r="V81">
        <f>HYPERLINK("https://klasma.github.io/Logging_2326/klagomål/A 52189-2024 FSC-klagomål.docx", "A 52189-2024")</f>
        <v/>
      </c>
      <c r="W81">
        <f>HYPERLINK("https://klasma.github.io/Logging_2326/klagomålsmail/A 52189-2024 FSC-klagomål mail.docx", "A 52189-2024")</f>
        <v/>
      </c>
      <c r="X81">
        <f>HYPERLINK("https://klasma.github.io/Logging_2326/tillsyn/A 52189-2024 tillsynsbegäran.docx", "A 52189-2024")</f>
        <v/>
      </c>
      <c r="Y81">
        <f>HYPERLINK("https://klasma.github.io/Logging_2326/tillsynsmail/A 52189-2024 tillsynsbegäran mail.docx", "A 52189-2024")</f>
        <v/>
      </c>
    </row>
    <row r="82" ht="15" customHeight="1">
      <c r="A82" t="inlineStr">
        <is>
          <t>A 3062-2025</t>
        </is>
      </c>
      <c r="B82" s="1" t="n">
        <v>45678</v>
      </c>
      <c r="C82" s="1" t="n">
        <v>45886</v>
      </c>
      <c r="D82" t="inlineStr">
        <is>
          <t>JÄMTLANDS LÄN</t>
        </is>
      </c>
      <c r="E82" t="inlineStr">
        <is>
          <t>BERG</t>
        </is>
      </c>
      <c r="G82" t="n">
        <v>2.4</v>
      </c>
      <c r="H82" t="n">
        <v>3</v>
      </c>
      <c r="I82" t="n">
        <v>2</v>
      </c>
      <c r="J82" t="n">
        <v>0</v>
      </c>
      <c r="K82" t="n">
        <v>0</v>
      </c>
      <c r="L82" t="n">
        <v>0</v>
      </c>
      <c r="M82" t="n">
        <v>0</v>
      </c>
      <c r="N82" t="n">
        <v>0</v>
      </c>
      <c r="O82" t="n">
        <v>0</v>
      </c>
      <c r="P82" t="n">
        <v>0</v>
      </c>
      <c r="Q82" t="n">
        <v>3</v>
      </c>
      <c r="R82" s="2" t="inlineStr">
        <is>
          <t>Korallrot
Spindelblomster
Fläcknycklar</t>
        </is>
      </c>
      <c r="S82">
        <f>HYPERLINK("https://klasma.github.io/Logging_2326/artfynd/A 3062-2025 artfynd.xlsx", "A 3062-2025")</f>
        <v/>
      </c>
      <c r="T82">
        <f>HYPERLINK("https://klasma.github.io/Logging_2326/kartor/A 3062-2025 karta.png", "A 3062-2025")</f>
        <v/>
      </c>
      <c r="V82">
        <f>HYPERLINK("https://klasma.github.io/Logging_2326/klagomål/A 3062-2025 FSC-klagomål.docx", "A 3062-2025")</f>
        <v/>
      </c>
      <c r="W82">
        <f>HYPERLINK("https://klasma.github.io/Logging_2326/klagomålsmail/A 3062-2025 FSC-klagomål mail.docx", "A 3062-2025")</f>
        <v/>
      </c>
      <c r="X82">
        <f>HYPERLINK("https://klasma.github.io/Logging_2326/tillsyn/A 3062-2025 tillsynsbegäran.docx", "A 3062-2025")</f>
        <v/>
      </c>
      <c r="Y82">
        <f>HYPERLINK("https://klasma.github.io/Logging_2326/tillsynsmail/A 3062-2025 tillsynsbegäran mail.docx", "A 3062-2025")</f>
        <v/>
      </c>
    </row>
    <row r="83" ht="15" customHeight="1">
      <c r="A83" t="inlineStr">
        <is>
          <t>A 12995-2024</t>
        </is>
      </c>
      <c r="B83" s="1" t="n">
        <v>45385.56458333333</v>
      </c>
      <c r="C83" s="1" t="n">
        <v>45886</v>
      </c>
      <c r="D83" t="inlineStr">
        <is>
          <t>JÄMTLANDS LÄN</t>
        </is>
      </c>
      <c r="E83" t="inlineStr">
        <is>
          <t>BERG</t>
        </is>
      </c>
      <c r="G83" t="n">
        <v>2.1</v>
      </c>
      <c r="H83" t="n">
        <v>1</v>
      </c>
      <c r="I83" t="n">
        <v>0</v>
      </c>
      <c r="J83" t="n">
        <v>3</v>
      </c>
      <c r="K83" t="n">
        <v>0</v>
      </c>
      <c r="L83" t="n">
        <v>0</v>
      </c>
      <c r="M83" t="n">
        <v>0</v>
      </c>
      <c r="N83" t="n">
        <v>0</v>
      </c>
      <c r="O83" t="n">
        <v>3</v>
      </c>
      <c r="P83" t="n">
        <v>0</v>
      </c>
      <c r="Q83" t="n">
        <v>3</v>
      </c>
      <c r="R83" s="2" t="inlineStr">
        <is>
          <t>Granticka
Tretåig hackspett
Ullticka</t>
        </is>
      </c>
      <c r="S83">
        <f>HYPERLINK("https://klasma.github.io/Logging_2326/artfynd/A 12995-2024 artfynd.xlsx", "A 12995-2024")</f>
        <v/>
      </c>
      <c r="T83">
        <f>HYPERLINK("https://klasma.github.io/Logging_2326/kartor/A 12995-2024 karta.png", "A 12995-2024")</f>
        <v/>
      </c>
      <c r="V83">
        <f>HYPERLINK("https://klasma.github.io/Logging_2326/klagomål/A 12995-2024 FSC-klagomål.docx", "A 12995-2024")</f>
        <v/>
      </c>
      <c r="W83">
        <f>HYPERLINK("https://klasma.github.io/Logging_2326/klagomålsmail/A 12995-2024 FSC-klagomål mail.docx", "A 12995-2024")</f>
        <v/>
      </c>
      <c r="X83">
        <f>HYPERLINK("https://klasma.github.io/Logging_2326/tillsyn/A 12995-2024 tillsynsbegäran.docx", "A 12995-2024")</f>
        <v/>
      </c>
      <c r="Y83">
        <f>HYPERLINK("https://klasma.github.io/Logging_2326/tillsynsmail/A 12995-2024 tillsynsbegäran mail.docx", "A 12995-2024")</f>
        <v/>
      </c>
      <c r="Z83">
        <f>HYPERLINK("https://klasma.github.io/Logging_2326/fåglar/A 12995-2024 prioriterade fågelarter.docx", "A 12995-2024")</f>
        <v/>
      </c>
    </row>
    <row r="84" ht="15" customHeight="1">
      <c r="A84" t="inlineStr">
        <is>
          <t>A 6784-2022</t>
        </is>
      </c>
      <c r="B84" s="1" t="n">
        <v>44602</v>
      </c>
      <c r="C84" s="1" t="n">
        <v>45886</v>
      </c>
      <c r="D84" t="inlineStr">
        <is>
          <t>JÄMTLANDS LÄN</t>
        </is>
      </c>
      <c r="E84" t="inlineStr">
        <is>
          <t>BERG</t>
        </is>
      </c>
      <c r="G84" t="n">
        <v>4</v>
      </c>
      <c r="H84" t="n">
        <v>2</v>
      </c>
      <c r="I84" t="n">
        <v>0</v>
      </c>
      <c r="J84" t="n">
        <v>1</v>
      </c>
      <c r="K84" t="n">
        <v>0</v>
      </c>
      <c r="L84" t="n">
        <v>0</v>
      </c>
      <c r="M84" t="n">
        <v>0</v>
      </c>
      <c r="N84" t="n">
        <v>0</v>
      </c>
      <c r="O84" t="n">
        <v>1</v>
      </c>
      <c r="P84" t="n">
        <v>0</v>
      </c>
      <c r="Q84" t="n">
        <v>3</v>
      </c>
      <c r="R84" s="2" t="inlineStr">
        <is>
          <t>Brunklöver
Jorduggla
Brudsporre</t>
        </is>
      </c>
      <c r="S84">
        <f>HYPERLINK("https://klasma.github.io/Logging_2326/artfynd/A 6784-2022 artfynd.xlsx", "A 6784-2022")</f>
        <v/>
      </c>
      <c r="T84">
        <f>HYPERLINK("https://klasma.github.io/Logging_2326/kartor/A 6784-2022 karta.png", "A 6784-2022")</f>
        <v/>
      </c>
      <c r="V84">
        <f>HYPERLINK("https://klasma.github.io/Logging_2326/klagomål/A 6784-2022 FSC-klagomål.docx", "A 6784-2022")</f>
        <v/>
      </c>
      <c r="W84">
        <f>HYPERLINK("https://klasma.github.io/Logging_2326/klagomålsmail/A 6784-2022 FSC-klagomål mail.docx", "A 6784-2022")</f>
        <v/>
      </c>
      <c r="X84">
        <f>HYPERLINK("https://klasma.github.io/Logging_2326/tillsyn/A 6784-2022 tillsynsbegäran.docx", "A 6784-2022")</f>
        <v/>
      </c>
      <c r="Y84">
        <f>HYPERLINK("https://klasma.github.io/Logging_2326/tillsynsmail/A 6784-2022 tillsynsbegäran mail.docx", "A 6784-2022")</f>
        <v/>
      </c>
      <c r="Z84">
        <f>HYPERLINK("https://klasma.github.io/Logging_2326/fåglar/A 6784-2022 prioriterade fågelarter.docx", "A 6784-2022")</f>
        <v/>
      </c>
    </row>
    <row r="85" ht="15" customHeight="1">
      <c r="A85" t="inlineStr">
        <is>
          <t>A 56368-2024</t>
        </is>
      </c>
      <c r="B85" s="1" t="n">
        <v>45625.32978009259</v>
      </c>
      <c r="C85" s="1" t="n">
        <v>45886</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54802-2021</t>
        </is>
      </c>
      <c r="B86" s="1" t="n">
        <v>44473</v>
      </c>
      <c r="C86" s="1" t="n">
        <v>45886</v>
      </c>
      <c r="D86" t="inlineStr">
        <is>
          <t>JÄMTLANDS LÄN</t>
        </is>
      </c>
      <c r="E86" t="inlineStr">
        <is>
          <t>BERG</t>
        </is>
      </c>
      <c r="F86" t="inlineStr">
        <is>
          <t>SCA</t>
        </is>
      </c>
      <c r="G86" t="n">
        <v>2.8</v>
      </c>
      <c r="H86" t="n">
        <v>1</v>
      </c>
      <c r="I86" t="n">
        <v>0</v>
      </c>
      <c r="J86" t="n">
        <v>3</v>
      </c>
      <c r="K86" t="n">
        <v>0</v>
      </c>
      <c r="L86" t="n">
        <v>0</v>
      </c>
      <c r="M86" t="n">
        <v>0</v>
      </c>
      <c r="N86" t="n">
        <v>0</v>
      </c>
      <c r="O86" t="n">
        <v>3</v>
      </c>
      <c r="P86" t="n">
        <v>0</v>
      </c>
      <c r="Q86" t="n">
        <v>3</v>
      </c>
      <c r="R86" s="2" t="inlineStr">
        <is>
          <t>Garnlav
Granticka
Tretåig hackspett</t>
        </is>
      </c>
      <c r="S86">
        <f>HYPERLINK("https://klasma.github.io/Logging_2326/artfynd/A 54802-2021 artfynd.xlsx", "A 54802-2021")</f>
        <v/>
      </c>
      <c r="T86">
        <f>HYPERLINK("https://klasma.github.io/Logging_2326/kartor/A 54802-2021 karta.png", "A 54802-2021")</f>
        <v/>
      </c>
      <c r="V86">
        <f>HYPERLINK("https://klasma.github.io/Logging_2326/klagomål/A 54802-2021 FSC-klagomål.docx", "A 54802-2021")</f>
        <v/>
      </c>
      <c r="W86">
        <f>HYPERLINK("https://klasma.github.io/Logging_2326/klagomålsmail/A 54802-2021 FSC-klagomål mail.docx", "A 54802-2021")</f>
        <v/>
      </c>
      <c r="X86">
        <f>HYPERLINK("https://klasma.github.io/Logging_2326/tillsyn/A 54802-2021 tillsynsbegäran.docx", "A 54802-2021")</f>
        <v/>
      </c>
      <c r="Y86">
        <f>HYPERLINK("https://klasma.github.io/Logging_2326/tillsynsmail/A 54802-2021 tillsynsbegäran mail.docx", "A 54802-2021")</f>
        <v/>
      </c>
      <c r="Z86">
        <f>HYPERLINK("https://klasma.github.io/Logging_2326/fåglar/A 54802-2021 prioriterade fågelarter.docx", "A 54802-2021")</f>
        <v/>
      </c>
    </row>
    <row r="87" ht="15" customHeight="1">
      <c r="A87" t="inlineStr">
        <is>
          <t>A 54999-2023</t>
        </is>
      </c>
      <c r="B87" s="1" t="n">
        <v>45236</v>
      </c>
      <c r="C87" s="1" t="n">
        <v>45886</v>
      </c>
      <c r="D87" t="inlineStr">
        <is>
          <t>JÄMTLANDS LÄN</t>
        </is>
      </c>
      <c r="E87" t="inlineStr">
        <is>
          <t>BERG</t>
        </is>
      </c>
      <c r="F87" t="inlineStr">
        <is>
          <t>SCA</t>
        </is>
      </c>
      <c r="G87" t="n">
        <v>2.6</v>
      </c>
      <c r="H87" t="n">
        <v>0</v>
      </c>
      <c r="I87" t="n">
        <v>0</v>
      </c>
      <c r="J87" t="n">
        <v>2</v>
      </c>
      <c r="K87" t="n">
        <v>1</v>
      </c>
      <c r="L87" t="n">
        <v>0</v>
      </c>
      <c r="M87" t="n">
        <v>0</v>
      </c>
      <c r="N87" t="n">
        <v>0</v>
      </c>
      <c r="O87" t="n">
        <v>3</v>
      </c>
      <c r="P87" t="n">
        <v>1</v>
      </c>
      <c r="Q87" t="n">
        <v>3</v>
      </c>
      <c r="R87" s="2" t="inlineStr">
        <is>
          <t>Gräddporing
Blågrå svartspik
Dvärgbägarlav</t>
        </is>
      </c>
      <c r="S87">
        <f>HYPERLINK("https://klasma.github.io/Logging_2326/artfynd/A 54999-2023 artfynd.xlsx", "A 54999-2023")</f>
        <v/>
      </c>
      <c r="T87">
        <f>HYPERLINK("https://klasma.github.io/Logging_2326/kartor/A 54999-2023 karta.png", "A 54999-2023")</f>
        <v/>
      </c>
      <c r="V87">
        <f>HYPERLINK("https://klasma.github.io/Logging_2326/klagomål/A 54999-2023 FSC-klagomål.docx", "A 54999-2023")</f>
        <v/>
      </c>
      <c r="W87">
        <f>HYPERLINK("https://klasma.github.io/Logging_2326/klagomålsmail/A 54999-2023 FSC-klagomål mail.docx", "A 54999-2023")</f>
        <v/>
      </c>
      <c r="X87">
        <f>HYPERLINK("https://klasma.github.io/Logging_2326/tillsyn/A 54999-2023 tillsynsbegäran.docx", "A 54999-2023")</f>
        <v/>
      </c>
      <c r="Y87">
        <f>HYPERLINK("https://klasma.github.io/Logging_2326/tillsynsmail/A 54999-2023 tillsynsbegäran mail.docx", "A 54999-2023")</f>
        <v/>
      </c>
    </row>
    <row r="88" ht="15" customHeight="1">
      <c r="A88" t="inlineStr">
        <is>
          <t>A 37063-2025</t>
        </is>
      </c>
      <c r="B88" s="1" t="n">
        <v>45875.38596064815</v>
      </c>
      <c r="C88" s="1" t="n">
        <v>45886</v>
      </c>
      <c r="D88" t="inlineStr">
        <is>
          <t>JÄMTLANDS LÄN</t>
        </is>
      </c>
      <c r="E88" t="inlineStr">
        <is>
          <t>BERG</t>
        </is>
      </c>
      <c r="F88" t="inlineStr">
        <is>
          <t>SCA</t>
        </is>
      </c>
      <c r="G88" t="n">
        <v>10.4</v>
      </c>
      <c r="H88" t="n">
        <v>0</v>
      </c>
      <c r="I88" t="n">
        <v>0</v>
      </c>
      <c r="J88" t="n">
        <v>2</v>
      </c>
      <c r="K88" t="n">
        <v>1</v>
      </c>
      <c r="L88" t="n">
        <v>0</v>
      </c>
      <c r="M88" t="n">
        <v>0</v>
      </c>
      <c r="N88" t="n">
        <v>0</v>
      </c>
      <c r="O88" t="n">
        <v>3</v>
      </c>
      <c r="P88" t="n">
        <v>1</v>
      </c>
      <c r="Q88" t="n">
        <v>3</v>
      </c>
      <c r="R88" s="2" t="inlineStr">
        <is>
          <t>Fläckporing
Dvärgbägarlav
Kolflarnlav</t>
        </is>
      </c>
      <c r="S88">
        <f>HYPERLINK("https://klasma.github.io/Logging_2326/artfynd/A 37063-2025 artfynd.xlsx", "A 37063-2025")</f>
        <v/>
      </c>
      <c r="T88">
        <f>HYPERLINK("https://klasma.github.io/Logging_2326/kartor/A 37063-2025 karta.png", "A 37063-2025")</f>
        <v/>
      </c>
      <c r="V88">
        <f>HYPERLINK("https://klasma.github.io/Logging_2326/klagomål/A 37063-2025 FSC-klagomål.docx", "A 37063-2025")</f>
        <v/>
      </c>
      <c r="W88">
        <f>HYPERLINK("https://klasma.github.io/Logging_2326/klagomålsmail/A 37063-2025 FSC-klagomål mail.docx", "A 37063-2025")</f>
        <v/>
      </c>
      <c r="X88">
        <f>HYPERLINK("https://klasma.github.io/Logging_2326/tillsyn/A 37063-2025 tillsynsbegäran.docx", "A 37063-2025")</f>
        <v/>
      </c>
      <c r="Y88">
        <f>HYPERLINK("https://klasma.github.io/Logging_2326/tillsynsmail/A 37063-2025 tillsynsbegäran mail.docx", "A 37063-2025")</f>
        <v/>
      </c>
    </row>
    <row r="89" ht="15" customHeight="1">
      <c r="A89" t="inlineStr">
        <is>
          <t>A 47122-2024</t>
        </is>
      </c>
      <c r="B89" s="1" t="n">
        <v>45586.5674074074</v>
      </c>
      <c r="C89" s="1" t="n">
        <v>45886</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20242-2025</t>
        </is>
      </c>
      <c r="B90" s="1" t="n">
        <v>45772.69864583333</v>
      </c>
      <c r="C90" s="1" t="n">
        <v>45886</v>
      </c>
      <c r="D90" t="inlineStr">
        <is>
          <t>JÄMTLANDS LÄN</t>
        </is>
      </c>
      <c r="E90" t="inlineStr">
        <is>
          <t>BERG</t>
        </is>
      </c>
      <c r="F90" t="inlineStr">
        <is>
          <t>SCA</t>
        </is>
      </c>
      <c r="G90" t="n">
        <v>4.3</v>
      </c>
      <c r="H90" t="n">
        <v>2</v>
      </c>
      <c r="I90" t="n">
        <v>0</v>
      </c>
      <c r="J90" t="n">
        <v>2</v>
      </c>
      <c r="K90" t="n">
        <v>0</v>
      </c>
      <c r="L90" t="n">
        <v>0</v>
      </c>
      <c r="M90" t="n">
        <v>0</v>
      </c>
      <c r="N90" t="n">
        <v>0</v>
      </c>
      <c r="O90" t="n">
        <v>2</v>
      </c>
      <c r="P90" t="n">
        <v>0</v>
      </c>
      <c r="Q90" t="n">
        <v>3</v>
      </c>
      <c r="R90" s="2" t="inlineStr">
        <is>
          <t>Kolflarnlav
Tretåig hackspett
Fläcknycklar</t>
        </is>
      </c>
      <c r="S90">
        <f>HYPERLINK("https://klasma.github.io/Logging_2326/artfynd/A 20242-2025 artfynd.xlsx", "A 20242-2025")</f>
        <v/>
      </c>
      <c r="T90">
        <f>HYPERLINK("https://klasma.github.io/Logging_2326/kartor/A 20242-2025 karta.png", "A 20242-2025")</f>
        <v/>
      </c>
      <c r="V90">
        <f>HYPERLINK("https://klasma.github.io/Logging_2326/klagomål/A 20242-2025 FSC-klagomål.docx", "A 20242-2025")</f>
        <v/>
      </c>
      <c r="W90">
        <f>HYPERLINK("https://klasma.github.io/Logging_2326/klagomålsmail/A 20242-2025 FSC-klagomål mail.docx", "A 20242-2025")</f>
        <v/>
      </c>
      <c r="X90">
        <f>HYPERLINK("https://klasma.github.io/Logging_2326/tillsyn/A 20242-2025 tillsynsbegäran.docx", "A 20242-2025")</f>
        <v/>
      </c>
      <c r="Y90">
        <f>HYPERLINK("https://klasma.github.io/Logging_2326/tillsynsmail/A 20242-2025 tillsynsbegäran mail.docx", "A 20242-2025")</f>
        <v/>
      </c>
      <c r="Z90">
        <f>HYPERLINK("https://klasma.github.io/Logging_2326/fåglar/A 20242-2025 prioriterade fågelarter.docx", "A 20242-2025")</f>
        <v/>
      </c>
    </row>
    <row r="91" ht="15" customHeight="1">
      <c r="A91" t="inlineStr">
        <is>
          <t>A 14218-2021</t>
        </is>
      </c>
      <c r="B91" s="1" t="n">
        <v>44277</v>
      </c>
      <c r="C91" s="1" t="n">
        <v>45886</v>
      </c>
      <c r="D91" t="inlineStr">
        <is>
          <t>JÄMTLANDS LÄN</t>
        </is>
      </c>
      <c r="E91" t="inlineStr">
        <is>
          <t>BERG</t>
        </is>
      </c>
      <c r="G91" t="n">
        <v>19.9</v>
      </c>
      <c r="H91" t="n">
        <v>1</v>
      </c>
      <c r="I91" t="n">
        <v>0</v>
      </c>
      <c r="J91" t="n">
        <v>2</v>
      </c>
      <c r="K91" t="n">
        <v>1</v>
      </c>
      <c r="L91" t="n">
        <v>0</v>
      </c>
      <c r="M91" t="n">
        <v>0</v>
      </c>
      <c r="N91" t="n">
        <v>0</v>
      </c>
      <c r="O91" t="n">
        <v>3</v>
      </c>
      <c r="P91" t="n">
        <v>1</v>
      </c>
      <c r="Q91" t="n">
        <v>3</v>
      </c>
      <c r="R91" s="2" t="inlineStr">
        <is>
          <t>Sprickporing
Tretåig hackspett
Ullticka</t>
        </is>
      </c>
      <c r="S91">
        <f>HYPERLINK("https://klasma.github.io/Logging_2326/artfynd/A 14218-2021 artfynd.xlsx", "A 14218-2021")</f>
        <v/>
      </c>
      <c r="T91">
        <f>HYPERLINK("https://klasma.github.io/Logging_2326/kartor/A 14218-2021 karta.png", "A 14218-2021")</f>
        <v/>
      </c>
      <c r="V91">
        <f>HYPERLINK("https://klasma.github.io/Logging_2326/klagomål/A 14218-2021 FSC-klagomål.docx", "A 14218-2021")</f>
        <v/>
      </c>
      <c r="W91">
        <f>HYPERLINK("https://klasma.github.io/Logging_2326/klagomålsmail/A 14218-2021 FSC-klagomål mail.docx", "A 14218-2021")</f>
        <v/>
      </c>
      <c r="X91">
        <f>HYPERLINK("https://klasma.github.io/Logging_2326/tillsyn/A 14218-2021 tillsynsbegäran.docx", "A 14218-2021")</f>
        <v/>
      </c>
      <c r="Y91">
        <f>HYPERLINK("https://klasma.github.io/Logging_2326/tillsynsmail/A 14218-2021 tillsynsbegäran mail.docx", "A 14218-2021")</f>
        <v/>
      </c>
      <c r="Z91">
        <f>HYPERLINK("https://klasma.github.io/Logging_2326/fåglar/A 14218-2021 prioriterade fågelarter.docx", "A 14218-2021")</f>
        <v/>
      </c>
    </row>
    <row r="92" ht="15" customHeight="1">
      <c r="A92" t="inlineStr">
        <is>
          <t>A 14599-2021</t>
        </is>
      </c>
      <c r="B92" s="1" t="n">
        <v>44279</v>
      </c>
      <c r="C92" s="1" t="n">
        <v>45886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68433-2021</t>
        </is>
      </c>
      <c r="B93" s="1" t="n">
        <v>44529</v>
      </c>
      <c r="C93" s="1" t="n">
        <v>45886</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19848-2025</t>
        </is>
      </c>
      <c r="B94" s="1" t="n">
        <v>45771.49020833334</v>
      </c>
      <c r="C94" s="1" t="n">
        <v>45886</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51950-2021</t>
        </is>
      </c>
      <c r="B95" s="1" t="n">
        <v>44462.9562037037</v>
      </c>
      <c r="C95" s="1" t="n">
        <v>45886</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45886</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27919-2024</t>
        </is>
      </c>
      <c r="B97" s="1" t="n">
        <v>45475.94865740741</v>
      </c>
      <c r="C97" s="1" t="n">
        <v>45886</v>
      </c>
      <c r="D97" t="inlineStr">
        <is>
          <t>JÄMTLANDS LÄN</t>
        </is>
      </c>
      <c r="E97" t="inlineStr">
        <is>
          <t>BERG</t>
        </is>
      </c>
      <c r="F97" t="inlineStr">
        <is>
          <t>SCA</t>
        </is>
      </c>
      <c r="G97" t="n">
        <v>17.2</v>
      </c>
      <c r="H97" t="n">
        <v>0</v>
      </c>
      <c r="I97" t="n">
        <v>1</v>
      </c>
      <c r="J97" t="n">
        <v>1</v>
      </c>
      <c r="K97" t="n">
        <v>0</v>
      </c>
      <c r="L97" t="n">
        <v>0</v>
      </c>
      <c r="M97" t="n">
        <v>0</v>
      </c>
      <c r="N97" t="n">
        <v>0</v>
      </c>
      <c r="O97" t="n">
        <v>1</v>
      </c>
      <c r="P97" t="n">
        <v>0</v>
      </c>
      <c r="Q97" t="n">
        <v>2</v>
      </c>
      <c r="R97" s="2" t="inlineStr">
        <is>
          <t>Reliktbock
Dropptaggsvamp</t>
        </is>
      </c>
      <c r="S97">
        <f>HYPERLINK("https://klasma.github.io/Logging_2326/artfynd/A 27919-2024 artfynd.xlsx", "A 27919-2024")</f>
        <v/>
      </c>
      <c r="T97">
        <f>HYPERLINK("https://klasma.github.io/Logging_2326/kartor/A 27919-2024 karta.png", "A 27919-2024")</f>
        <v/>
      </c>
      <c r="V97">
        <f>HYPERLINK("https://klasma.github.io/Logging_2326/klagomål/A 27919-2024 FSC-klagomål.docx", "A 27919-2024")</f>
        <v/>
      </c>
      <c r="W97">
        <f>HYPERLINK("https://klasma.github.io/Logging_2326/klagomålsmail/A 27919-2024 FSC-klagomål mail.docx", "A 27919-2024")</f>
        <v/>
      </c>
      <c r="X97">
        <f>HYPERLINK("https://klasma.github.io/Logging_2326/tillsyn/A 27919-2024 tillsynsbegäran.docx", "A 27919-2024")</f>
        <v/>
      </c>
      <c r="Y97">
        <f>HYPERLINK("https://klasma.github.io/Logging_2326/tillsynsmail/A 27919-2024 tillsynsbegäran mail.docx", "A 27919-2024")</f>
        <v/>
      </c>
    </row>
    <row r="98" ht="15" customHeight="1">
      <c r="A98" t="inlineStr">
        <is>
          <t>A 21518-2025</t>
        </is>
      </c>
      <c r="B98" s="1" t="n">
        <v>45782</v>
      </c>
      <c r="C98" s="1" t="n">
        <v>45886</v>
      </c>
      <c r="D98" t="inlineStr">
        <is>
          <t>JÄMTLANDS LÄN</t>
        </is>
      </c>
      <c r="E98" t="inlineStr">
        <is>
          <t>BERG</t>
        </is>
      </c>
      <c r="F98" t="inlineStr">
        <is>
          <t>SCA</t>
        </is>
      </c>
      <c r="G98" t="n">
        <v>3.6</v>
      </c>
      <c r="H98" t="n">
        <v>0</v>
      </c>
      <c r="I98" t="n">
        <v>1</v>
      </c>
      <c r="J98" t="n">
        <v>1</v>
      </c>
      <c r="K98" t="n">
        <v>0</v>
      </c>
      <c r="L98" t="n">
        <v>0</v>
      </c>
      <c r="M98" t="n">
        <v>0</v>
      </c>
      <c r="N98" t="n">
        <v>0</v>
      </c>
      <c r="O98" t="n">
        <v>1</v>
      </c>
      <c r="P98" t="n">
        <v>0</v>
      </c>
      <c r="Q98" t="n">
        <v>2</v>
      </c>
      <c r="R98" s="2" t="inlineStr">
        <is>
          <t>Dvärgbägarlav
Skarp dropptaggsvamp</t>
        </is>
      </c>
      <c r="S98">
        <f>HYPERLINK("https://klasma.github.io/Logging_2326/artfynd/A 21518-2025 artfynd.xlsx", "A 21518-2025")</f>
        <v/>
      </c>
      <c r="T98">
        <f>HYPERLINK("https://klasma.github.io/Logging_2326/kartor/A 21518-2025 karta.png", "A 21518-2025")</f>
        <v/>
      </c>
      <c r="V98">
        <f>HYPERLINK("https://klasma.github.io/Logging_2326/klagomål/A 21518-2025 FSC-klagomål.docx", "A 21518-2025")</f>
        <v/>
      </c>
      <c r="W98">
        <f>HYPERLINK("https://klasma.github.io/Logging_2326/klagomålsmail/A 21518-2025 FSC-klagomål mail.docx", "A 21518-2025")</f>
        <v/>
      </c>
      <c r="X98">
        <f>HYPERLINK("https://klasma.github.io/Logging_2326/tillsyn/A 21518-2025 tillsynsbegäran.docx", "A 21518-2025")</f>
        <v/>
      </c>
      <c r="Y98">
        <f>HYPERLINK("https://klasma.github.io/Logging_2326/tillsynsmail/A 21518-2025 tillsynsbegäran mail.docx", "A 21518-2025")</f>
        <v/>
      </c>
    </row>
    <row r="99" ht="15" customHeight="1">
      <c r="A99" t="inlineStr">
        <is>
          <t>A 60333-2024</t>
        </is>
      </c>
      <c r="B99" s="1" t="n">
        <v>45643</v>
      </c>
      <c r="C99" s="1" t="n">
        <v>45886</v>
      </c>
      <c r="D99" t="inlineStr">
        <is>
          <t>JÄMTLANDS LÄN</t>
        </is>
      </c>
      <c r="E99" t="inlineStr">
        <is>
          <t>BERG</t>
        </is>
      </c>
      <c r="G99" t="n">
        <v>25.5</v>
      </c>
      <c r="H99" t="n">
        <v>0</v>
      </c>
      <c r="I99" t="n">
        <v>2</v>
      </c>
      <c r="J99" t="n">
        <v>0</v>
      </c>
      <c r="K99" t="n">
        <v>0</v>
      </c>
      <c r="L99" t="n">
        <v>0</v>
      </c>
      <c r="M99" t="n">
        <v>0</v>
      </c>
      <c r="N99" t="n">
        <v>0</v>
      </c>
      <c r="O99" t="n">
        <v>0</v>
      </c>
      <c r="P99" t="n">
        <v>0</v>
      </c>
      <c r="Q99" t="n">
        <v>2</v>
      </c>
      <c r="R99" s="2" t="inlineStr">
        <is>
          <t>Honungsvaxing
Ängsvaxskivling</t>
        </is>
      </c>
      <c r="S99">
        <f>HYPERLINK("https://klasma.github.io/Logging_2326/artfynd/A 60333-2024 artfynd.xlsx", "A 60333-2024")</f>
        <v/>
      </c>
      <c r="T99">
        <f>HYPERLINK("https://klasma.github.io/Logging_2326/kartor/A 60333-2024 karta.png", "A 60333-2024")</f>
        <v/>
      </c>
      <c r="V99">
        <f>HYPERLINK("https://klasma.github.io/Logging_2326/klagomål/A 60333-2024 FSC-klagomål.docx", "A 60333-2024")</f>
        <v/>
      </c>
      <c r="W99">
        <f>HYPERLINK("https://klasma.github.io/Logging_2326/klagomålsmail/A 60333-2024 FSC-klagomål mail.docx", "A 60333-2024")</f>
        <v/>
      </c>
      <c r="X99">
        <f>HYPERLINK("https://klasma.github.io/Logging_2326/tillsyn/A 60333-2024 tillsynsbegäran.docx", "A 60333-2024")</f>
        <v/>
      </c>
      <c r="Y99">
        <f>HYPERLINK("https://klasma.github.io/Logging_2326/tillsynsmail/A 60333-2024 tillsynsbegäran mail.docx", "A 60333-2024")</f>
        <v/>
      </c>
    </row>
    <row r="100" ht="15" customHeight="1">
      <c r="A100" t="inlineStr">
        <is>
          <t>A 14344-2025</t>
        </is>
      </c>
      <c r="B100" s="1" t="n">
        <v>45741</v>
      </c>
      <c r="C100" s="1" t="n">
        <v>45886</v>
      </c>
      <c r="D100" t="inlineStr">
        <is>
          <t>JÄMTLANDS LÄN</t>
        </is>
      </c>
      <c r="E100" t="inlineStr">
        <is>
          <t>BERG</t>
        </is>
      </c>
      <c r="G100" t="n">
        <v>3.4</v>
      </c>
      <c r="H100" t="n">
        <v>1</v>
      </c>
      <c r="I100" t="n">
        <v>1</v>
      </c>
      <c r="J100" t="n">
        <v>0</v>
      </c>
      <c r="K100" t="n">
        <v>0</v>
      </c>
      <c r="L100" t="n">
        <v>0</v>
      </c>
      <c r="M100" t="n">
        <v>0</v>
      </c>
      <c r="N100" t="n">
        <v>0</v>
      </c>
      <c r="O100" t="n">
        <v>0</v>
      </c>
      <c r="P100" t="n">
        <v>0</v>
      </c>
      <c r="Q100" t="n">
        <v>2</v>
      </c>
      <c r="R100" s="2" t="inlineStr">
        <is>
          <t>Svart trolldruva
Revlummer</t>
        </is>
      </c>
      <c r="S100">
        <f>HYPERLINK("https://klasma.github.io/Logging_2326/artfynd/A 14344-2025 artfynd.xlsx", "A 14344-2025")</f>
        <v/>
      </c>
      <c r="T100">
        <f>HYPERLINK("https://klasma.github.io/Logging_2326/kartor/A 14344-2025 karta.png", "A 14344-2025")</f>
        <v/>
      </c>
      <c r="V100">
        <f>HYPERLINK("https://klasma.github.io/Logging_2326/klagomål/A 14344-2025 FSC-klagomål.docx", "A 14344-2025")</f>
        <v/>
      </c>
      <c r="W100">
        <f>HYPERLINK("https://klasma.github.io/Logging_2326/klagomålsmail/A 14344-2025 FSC-klagomål mail.docx", "A 14344-2025")</f>
        <v/>
      </c>
      <c r="X100">
        <f>HYPERLINK("https://klasma.github.io/Logging_2326/tillsyn/A 14344-2025 tillsynsbegäran.docx", "A 14344-2025")</f>
        <v/>
      </c>
      <c r="Y100">
        <f>HYPERLINK("https://klasma.github.io/Logging_2326/tillsynsmail/A 14344-2025 tillsynsbegäran mail.docx", "A 14344-2025")</f>
        <v/>
      </c>
    </row>
    <row r="101" ht="15" customHeight="1">
      <c r="A101" t="inlineStr">
        <is>
          <t>A 12734-2024</t>
        </is>
      </c>
      <c r="B101" s="1" t="n">
        <v>45384</v>
      </c>
      <c r="C101" s="1" t="n">
        <v>45886</v>
      </c>
      <c r="D101" t="inlineStr">
        <is>
          <t>JÄMTLANDS LÄN</t>
        </is>
      </c>
      <c r="E101" t="inlineStr">
        <is>
          <t>BERG</t>
        </is>
      </c>
      <c r="G101" t="n">
        <v>7.2</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HYPERLINK("https://klasma.github.io/Logging_2326/artfynd/A 12734-2024 artfynd.xlsx", "A 12734-2024")</f>
        <v/>
      </c>
      <c r="T101">
        <f>HYPERLINK("https://klasma.github.io/Logging_2326/kartor/A 12734-2024 karta.png", "A 12734-2024")</f>
        <v/>
      </c>
      <c r="V101">
        <f>HYPERLINK("https://klasma.github.io/Logging_2326/klagomål/A 12734-2024 FSC-klagomål.docx", "A 12734-2024")</f>
        <v/>
      </c>
      <c r="W101">
        <f>HYPERLINK("https://klasma.github.io/Logging_2326/klagomålsmail/A 12734-2024 FSC-klagomål mail.docx", "A 12734-2024")</f>
        <v/>
      </c>
      <c r="X101">
        <f>HYPERLINK("https://klasma.github.io/Logging_2326/tillsyn/A 12734-2024 tillsynsbegäran.docx", "A 12734-2024")</f>
        <v/>
      </c>
      <c r="Y101">
        <f>HYPERLINK("https://klasma.github.io/Logging_2326/tillsynsmail/A 12734-2024 tillsynsbegäran mail.docx", "A 12734-2024")</f>
        <v/>
      </c>
      <c r="Z101">
        <f>HYPERLINK("https://klasma.github.io/Logging_2326/fåglar/A 12734-2024 prioriterade fågelarter.docx", "A 12734-2024")</f>
        <v/>
      </c>
    </row>
    <row r="102" ht="15" customHeight="1">
      <c r="A102" t="inlineStr">
        <is>
          <t>A 12745-2024</t>
        </is>
      </c>
      <c r="B102" s="1" t="n">
        <v>45384</v>
      </c>
      <c r="C102" s="1" t="n">
        <v>45886</v>
      </c>
      <c r="D102" t="inlineStr">
        <is>
          <t>JÄMTLANDS LÄN</t>
        </is>
      </c>
      <c r="E102" t="inlineStr">
        <is>
          <t>BERG</t>
        </is>
      </c>
      <c r="G102" t="n">
        <v>8.5</v>
      </c>
      <c r="H102" t="n">
        <v>1</v>
      </c>
      <c r="I102" t="n">
        <v>0</v>
      </c>
      <c r="J102" t="n">
        <v>2</v>
      </c>
      <c r="K102" t="n">
        <v>0</v>
      </c>
      <c r="L102" t="n">
        <v>0</v>
      </c>
      <c r="M102" t="n">
        <v>0</v>
      </c>
      <c r="N102" t="n">
        <v>0</v>
      </c>
      <c r="O102" t="n">
        <v>2</v>
      </c>
      <c r="P102" t="n">
        <v>0</v>
      </c>
      <c r="Q102" t="n">
        <v>2</v>
      </c>
      <c r="R102" s="2" t="inlineStr">
        <is>
          <t>Lunglav
Tretåig hackspett</t>
        </is>
      </c>
      <c r="S102">
        <f>HYPERLINK("https://klasma.github.io/Logging_2326/artfynd/A 12745-2024 artfynd.xlsx", "A 12745-2024")</f>
        <v/>
      </c>
      <c r="T102">
        <f>HYPERLINK("https://klasma.github.io/Logging_2326/kartor/A 12745-2024 karta.png", "A 12745-2024")</f>
        <v/>
      </c>
      <c r="V102">
        <f>HYPERLINK("https://klasma.github.io/Logging_2326/klagomål/A 12745-2024 FSC-klagomål.docx", "A 12745-2024")</f>
        <v/>
      </c>
      <c r="W102">
        <f>HYPERLINK("https://klasma.github.io/Logging_2326/klagomålsmail/A 12745-2024 FSC-klagomål mail.docx", "A 12745-2024")</f>
        <v/>
      </c>
      <c r="X102">
        <f>HYPERLINK("https://klasma.github.io/Logging_2326/tillsyn/A 12745-2024 tillsynsbegäran.docx", "A 12745-2024")</f>
        <v/>
      </c>
      <c r="Y102">
        <f>HYPERLINK("https://klasma.github.io/Logging_2326/tillsynsmail/A 12745-2024 tillsynsbegäran mail.docx", "A 12745-2024")</f>
        <v/>
      </c>
      <c r="Z102">
        <f>HYPERLINK("https://klasma.github.io/Logging_2326/fåglar/A 12745-2024 prioriterade fågelarter.docx", "A 12745-2024")</f>
        <v/>
      </c>
    </row>
    <row r="103" ht="15" customHeight="1">
      <c r="A103" t="inlineStr">
        <is>
          <t>A 26944-2024</t>
        </is>
      </c>
      <c r="B103" s="1" t="n">
        <v>45470.96880787037</v>
      </c>
      <c r="C103" s="1" t="n">
        <v>45886</v>
      </c>
      <c r="D103" t="inlineStr">
        <is>
          <t>JÄMTLANDS LÄN</t>
        </is>
      </c>
      <c r="E103" t="inlineStr">
        <is>
          <t>BERG</t>
        </is>
      </c>
      <c r="F103" t="inlineStr">
        <is>
          <t>SCA</t>
        </is>
      </c>
      <c r="G103" t="n">
        <v>5.7</v>
      </c>
      <c r="H103" t="n">
        <v>0</v>
      </c>
      <c r="I103" t="n">
        <v>0</v>
      </c>
      <c r="J103" t="n">
        <v>2</v>
      </c>
      <c r="K103" t="n">
        <v>0</v>
      </c>
      <c r="L103" t="n">
        <v>0</v>
      </c>
      <c r="M103" t="n">
        <v>0</v>
      </c>
      <c r="N103" t="n">
        <v>0</v>
      </c>
      <c r="O103" t="n">
        <v>2</v>
      </c>
      <c r="P103" t="n">
        <v>0</v>
      </c>
      <c r="Q103" t="n">
        <v>2</v>
      </c>
      <c r="R103" s="2" t="inlineStr">
        <is>
          <t>Blå taggsvamp
Gammelgransskål</t>
        </is>
      </c>
      <c r="S103">
        <f>HYPERLINK("https://klasma.github.io/Logging_2326/artfynd/A 26944-2024 artfynd.xlsx", "A 26944-2024")</f>
        <v/>
      </c>
      <c r="T103">
        <f>HYPERLINK("https://klasma.github.io/Logging_2326/kartor/A 26944-2024 karta.png", "A 26944-2024")</f>
        <v/>
      </c>
      <c r="V103">
        <f>HYPERLINK("https://klasma.github.io/Logging_2326/klagomål/A 26944-2024 FSC-klagomål.docx", "A 26944-2024")</f>
        <v/>
      </c>
      <c r="W103">
        <f>HYPERLINK("https://klasma.github.io/Logging_2326/klagomålsmail/A 26944-2024 FSC-klagomål mail.docx", "A 26944-2024")</f>
        <v/>
      </c>
      <c r="X103">
        <f>HYPERLINK("https://klasma.github.io/Logging_2326/tillsyn/A 26944-2024 tillsynsbegäran.docx", "A 26944-2024")</f>
        <v/>
      </c>
      <c r="Y103">
        <f>HYPERLINK("https://klasma.github.io/Logging_2326/tillsynsmail/A 26944-2024 tillsynsbegäran mail.docx", "A 26944-2024")</f>
        <v/>
      </c>
    </row>
    <row r="104" ht="15" customHeight="1">
      <c r="A104" t="inlineStr">
        <is>
          <t>A 28769-2024</t>
        </is>
      </c>
      <c r="B104" s="1" t="n">
        <v>45478</v>
      </c>
      <c r="C104" s="1" t="n">
        <v>45886</v>
      </c>
      <c r="D104" t="inlineStr">
        <is>
          <t>JÄMTLANDS LÄN</t>
        </is>
      </c>
      <c r="E104" t="inlineStr">
        <is>
          <t>BERG</t>
        </is>
      </c>
      <c r="F104" t="inlineStr">
        <is>
          <t>Sveaskog</t>
        </is>
      </c>
      <c r="G104" t="n">
        <v>2.2</v>
      </c>
      <c r="H104" t="n">
        <v>1</v>
      </c>
      <c r="I104" t="n">
        <v>0</v>
      </c>
      <c r="J104" t="n">
        <v>1</v>
      </c>
      <c r="K104" t="n">
        <v>0</v>
      </c>
      <c r="L104" t="n">
        <v>0</v>
      </c>
      <c r="M104" t="n">
        <v>0</v>
      </c>
      <c r="N104" t="n">
        <v>0</v>
      </c>
      <c r="O104" t="n">
        <v>1</v>
      </c>
      <c r="P104" t="n">
        <v>0</v>
      </c>
      <c r="Q104" t="n">
        <v>2</v>
      </c>
      <c r="R104" s="2" t="inlineStr">
        <is>
          <t>Lunglav
Fläcknycklar</t>
        </is>
      </c>
      <c r="S104">
        <f>HYPERLINK("https://klasma.github.io/Logging_2326/artfynd/A 28769-2024 artfynd.xlsx", "A 28769-2024")</f>
        <v/>
      </c>
      <c r="T104">
        <f>HYPERLINK("https://klasma.github.io/Logging_2326/kartor/A 28769-2024 karta.png", "A 28769-2024")</f>
        <v/>
      </c>
      <c r="V104">
        <f>HYPERLINK("https://klasma.github.io/Logging_2326/klagomål/A 28769-2024 FSC-klagomål.docx", "A 28769-2024")</f>
        <v/>
      </c>
      <c r="W104">
        <f>HYPERLINK("https://klasma.github.io/Logging_2326/klagomålsmail/A 28769-2024 FSC-klagomål mail.docx", "A 28769-2024")</f>
        <v/>
      </c>
      <c r="X104">
        <f>HYPERLINK("https://klasma.github.io/Logging_2326/tillsyn/A 28769-2024 tillsynsbegäran.docx", "A 28769-2024")</f>
        <v/>
      </c>
      <c r="Y104">
        <f>HYPERLINK("https://klasma.github.io/Logging_2326/tillsynsmail/A 28769-2024 tillsynsbegäran mail.docx", "A 28769-2024")</f>
        <v/>
      </c>
    </row>
    <row r="105" ht="15" customHeight="1">
      <c r="A105" t="inlineStr">
        <is>
          <t>A 26748-2025</t>
        </is>
      </c>
      <c r="B105" s="1" t="n">
        <v>45810.53988425926</v>
      </c>
      <c r="C105" s="1" t="n">
        <v>45886</v>
      </c>
      <c r="D105" t="inlineStr">
        <is>
          <t>JÄMTLANDS LÄN</t>
        </is>
      </c>
      <c r="E105" t="inlineStr">
        <is>
          <t>BERG</t>
        </is>
      </c>
      <c r="G105" t="n">
        <v>17.4</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26748-2025 artfynd.xlsx", "A 26748-2025")</f>
        <v/>
      </c>
      <c r="T105">
        <f>HYPERLINK("https://klasma.github.io/Logging_2326/kartor/A 26748-2025 karta.png", "A 26748-2025")</f>
        <v/>
      </c>
      <c r="V105">
        <f>HYPERLINK("https://klasma.github.io/Logging_2326/klagomål/A 26748-2025 FSC-klagomål.docx", "A 26748-2025")</f>
        <v/>
      </c>
      <c r="W105">
        <f>HYPERLINK("https://klasma.github.io/Logging_2326/klagomålsmail/A 26748-2025 FSC-klagomål mail.docx", "A 26748-2025")</f>
        <v/>
      </c>
      <c r="X105">
        <f>HYPERLINK("https://klasma.github.io/Logging_2326/tillsyn/A 26748-2025 tillsynsbegäran.docx", "A 26748-2025")</f>
        <v/>
      </c>
      <c r="Y105">
        <f>HYPERLINK("https://klasma.github.io/Logging_2326/tillsynsmail/A 26748-2025 tillsynsbegäran mail.docx", "A 26748-2025")</f>
        <v/>
      </c>
      <c r="Z105">
        <f>HYPERLINK("https://klasma.github.io/Logging_2326/fåglar/A 26748-2025 prioriterade fågelarter.docx", "A 26748-2025")</f>
        <v/>
      </c>
    </row>
    <row r="106" ht="15" customHeight="1">
      <c r="A106" t="inlineStr">
        <is>
          <t>A 27647-2025</t>
        </is>
      </c>
      <c r="B106" s="1" t="n">
        <v>45813.59454861111</v>
      </c>
      <c r="C106" s="1" t="n">
        <v>45886</v>
      </c>
      <c r="D106" t="inlineStr">
        <is>
          <t>JÄMTLANDS LÄN</t>
        </is>
      </c>
      <c r="E106" t="inlineStr">
        <is>
          <t>BERG</t>
        </is>
      </c>
      <c r="F106" t="inlineStr">
        <is>
          <t>SCA</t>
        </is>
      </c>
      <c r="G106" t="n">
        <v>3.1</v>
      </c>
      <c r="H106" t="n">
        <v>0</v>
      </c>
      <c r="I106" t="n">
        <v>0</v>
      </c>
      <c r="J106" t="n">
        <v>1</v>
      </c>
      <c r="K106" t="n">
        <v>1</v>
      </c>
      <c r="L106" t="n">
        <v>0</v>
      </c>
      <c r="M106" t="n">
        <v>0</v>
      </c>
      <c r="N106" t="n">
        <v>0</v>
      </c>
      <c r="O106" t="n">
        <v>2</v>
      </c>
      <c r="P106" t="n">
        <v>1</v>
      </c>
      <c r="Q106" t="n">
        <v>2</v>
      </c>
      <c r="R106" s="2" t="inlineStr">
        <is>
          <t>Gräddporing
Dvärgbägarlav</t>
        </is>
      </c>
      <c r="S106">
        <f>HYPERLINK("https://klasma.github.io/Logging_2326/artfynd/A 27647-2025 artfynd.xlsx", "A 27647-2025")</f>
        <v/>
      </c>
      <c r="T106">
        <f>HYPERLINK("https://klasma.github.io/Logging_2326/kartor/A 27647-2025 karta.png", "A 27647-2025")</f>
        <v/>
      </c>
      <c r="V106">
        <f>HYPERLINK("https://klasma.github.io/Logging_2326/klagomål/A 27647-2025 FSC-klagomål.docx", "A 27647-2025")</f>
        <v/>
      </c>
      <c r="W106">
        <f>HYPERLINK("https://klasma.github.io/Logging_2326/klagomålsmail/A 27647-2025 FSC-klagomål mail.docx", "A 27647-2025")</f>
        <v/>
      </c>
      <c r="X106">
        <f>HYPERLINK("https://klasma.github.io/Logging_2326/tillsyn/A 27647-2025 tillsynsbegäran.docx", "A 27647-2025")</f>
        <v/>
      </c>
      <c r="Y106">
        <f>HYPERLINK("https://klasma.github.io/Logging_2326/tillsynsmail/A 27647-2025 tillsynsbegäran mail.docx", "A 27647-2025")</f>
        <v/>
      </c>
    </row>
    <row r="107" ht="15" customHeight="1">
      <c r="A107" t="inlineStr">
        <is>
          <t>A 59786-2020</t>
        </is>
      </c>
      <c r="B107" s="1" t="n">
        <v>44148</v>
      </c>
      <c r="C107" s="1" t="n">
        <v>45886</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33009-2024</t>
        </is>
      </c>
      <c r="B108" s="1" t="n">
        <v>45517.50332175926</v>
      </c>
      <c r="C108" s="1" t="n">
        <v>45886</v>
      </c>
      <c r="D108" t="inlineStr">
        <is>
          <t>JÄMTLANDS LÄN</t>
        </is>
      </c>
      <c r="E108" t="inlineStr">
        <is>
          <t>BERG</t>
        </is>
      </c>
      <c r="G108" t="n">
        <v>2.7</v>
      </c>
      <c r="H108" t="n">
        <v>1</v>
      </c>
      <c r="I108" t="n">
        <v>0</v>
      </c>
      <c r="J108" t="n">
        <v>2</v>
      </c>
      <c r="K108" t="n">
        <v>0</v>
      </c>
      <c r="L108" t="n">
        <v>0</v>
      </c>
      <c r="M108" t="n">
        <v>0</v>
      </c>
      <c r="N108" t="n">
        <v>0</v>
      </c>
      <c r="O108" t="n">
        <v>2</v>
      </c>
      <c r="P108" t="n">
        <v>0</v>
      </c>
      <c r="Q108" t="n">
        <v>2</v>
      </c>
      <c r="R108" s="2" t="inlineStr">
        <is>
          <t>Garnlav
Talltita</t>
        </is>
      </c>
      <c r="S108">
        <f>HYPERLINK("https://klasma.github.io/Logging_2326/artfynd/A 33009-2024 artfynd.xlsx", "A 33009-2024")</f>
        <v/>
      </c>
      <c r="T108">
        <f>HYPERLINK("https://klasma.github.io/Logging_2326/kartor/A 33009-2024 karta.png", "A 33009-2024")</f>
        <v/>
      </c>
      <c r="V108">
        <f>HYPERLINK("https://klasma.github.io/Logging_2326/klagomål/A 33009-2024 FSC-klagomål.docx", "A 33009-2024")</f>
        <v/>
      </c>
      <c r="W108">
        <f>HYPERLINK("https://klasma.github.io/Logging_2326/klagomålsmail/A 33009-2024 FSC-klagomål mail.docx", "A 33009-2024")</f>
        <v/>
      </c>
      <c r="X108">
        <f>HYPERLINK("https://klasma.github.io/Logging_2326/tillsyn/A 33009-2024 tillsynsbegäran.docx", "A 33009-2024")</f>
        <v/>
      </c>
      <c r="Y108">
        <f>HYPERLINK("https://klasma.github.io/Logging_2326/tillsynsmail/A 33009-2024 tillsynsbegäran mail.docx", "A 33009-2024")</f>
        <v/>
      </c>
      <c r="Z108">
        <f>HYPERLINK("https://klasma.github.io/Logging_2326/fåglar/A 33009-2024 prioriterade fågelarter.docx", "A 33009-2024")</f>
        <v/>
      </c>
    </row>
    <row r="109" ht="15" customHeight="1">
      <c r="A109" t="inlineStr">
        <is>
          <t>A 30334-2024</t>
        </is>
      </c>
      <c r="B109" s="1" t="n">
        <v>45490.95396990741</v>
      </c>
      <c r="C109" s="1" t="n">
        <v>45886</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31709-2025</t>
        </is>
      </c>
      <c r="B110" s="1" t="n">
        <v>45834.42543981481</v>
      </c>
      <c r="C110" s="1" t="n">
        <v>45886</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19948-2025</t>
        </is>
      </c>
      <c r="B111" s="1" t="n">
        <v>45771.65668981482</v>
      </c>
      <c r="C111" s="1" t="n">
        <v>45886</v>
      </c>
      <c r="D111" t="inlineStr">
        <is>
          <t>JÄMTLANDS LÄN</t>
        </is>
      </c>
      <c r="E111" t="inlineStr">
        <is>
          <t>BERG</t>
        </is>
      </c>
      <c r="F111" t="inlineStr">
        <is>
          <t>SCA</t>
        </is>
      </c>
      <c r="G111" t="n">
        <v>23.3</v>
      </c>
      <c r="H111" t="n">
        <v>2</v>
      </c>
      <c r="I111" t="n">
        <v>1</v>
      </c>
      <c r="J111" t="n">
        <v>1</v>
      </c>
      <c r="K111" t="n">
        <v>0</v>
      </c>
      <c r="L111" t="n">
        <v>0</v>
      </c>
      <c r="M111" t="n">
        <v>0</v>
      </c>
      <c r="N111" t="n">
        <v>0</v>
      </c>
      <c r="O111" t="n">
        <v>1</v>
      </c>
      <c r="P111" t="n">
        <v>0</v>
      </c>
      <c r="Q111" t="n">
        <v>2</v>
      </c>
      <c r="R111" s="2" t="inlineStr">
        <is>
          <t>Tretåig hackspett
Plattlummer</t>
        </is>
      </c>
      <c r="S111">
        <f>HYPERLINK("https://klasma.github.io/Logging_2326/artfynd/A 19948-2025 artfynd.xlsx", "A 19948-2025")</f>
        <v/>
      </c>
      <c r="T111">
        <f>HYPERLINK("https://klasma.github.io/Logging_2326/kartor/A 19948-2025 karta.png", "A 19948-2025")</f>
        <v/>
      </c>
      <c r="V111">
        <f>HYPERLINK("https://klasma.github.io/Logging_2326/klagomål/A 19948-2025 FSC-klagomål.docx", "A 19948-2025")</f>
        <v/>
      </c>
      <c r="W111">
        <f>HYPERLINK("https://klasma.github.io/Logging_2326/klagomålsmail/A 19948-2025 FSC-klagomål mail.docx", "A 19948-2025")</f>
        <v/>
      </c>
      <c r="X111">
        <f>HYPERLINK("https://klasma.github.io/Logging_2326/tillsyn/A 19948-2025 tillsynsbegäran.docx", "A 19948-2025")</f>
        <v/>
      </c>
      <c r="Y111">
        <f>HYPERLINK("https://klasma.github.io/Logging_2326/tillsynsmail/A 19948-2025 tillsynsbegäran mail.docx", "A 19948-2025")</f>
        <v/>
      </c>
      <c r="Z111">
        <f>HYPERLINK("https://klasma.github.io/Logging_2326/fåglar/A 19948-2025 prioriterade fågelarter.docx", "A 19948-2025")</f>
        <v/>
      </c>
    </row>
    <row r="112" ht="15" customHeight="1">
      <c r="A112" t="inlineStr">
        <is>
          <t>A 55331-2023</t>
        </is>
      </c>
      <c r="B112" s="1" t="n">
        <v>45237</v>
      </c>
      <c r="C112" s="1" t="n">
        <v>45886</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8734-2025</t>
        </is>
      </c>
      <c r="B113" s="1" t="n">
        <v>45712.53209490741</v>
      </c>
      <c r="C113" s="1" t="n">
        <v>45886</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10133-2023</t>
        </is>
      </c>
      <c r="B114" s="1" t="n">
        <v>44986</v>
      </c>
      <c r="C114" s="1" t="n">
        <v>45886</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37387-2022</t>
        </is>
      </c>
      <c r="B115" s="1" t="n">
        <v>44806</v>
      </c>
      <c r="C115" s="1" t="n">
        <v>45886</v>
      </c>
      <c r="D115" t="inlineStr">
        <is>
          <t>JÄMTLANDS LÄN</t>
        </is>
      </c>
      <c r="E115" t="inlineStr">
        <is>
          <t>BERG</t>
        </is>
      </c>
      <c r="G115" t="n">
        <v>20.2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HYPERLINK("https://klasma.github.io/Logging_2326/artfynd/A 37387-2022 artfynd.xlsx", "A 37387-2022")</f>
        <v/>
      </c>
      <c r="T115">
        <f>HYPERLINK("https://klasma.github.io/Logging_2326/kartor/A 37387-2022 karta.png", "A 37387-2022")</f>
        <v/>
      </c>
      <c r="V115">
        <f>HYPERLINK("https://klasma.github.io/Logging_2326/klagomål/A 37387-2022 FSC-klagomål.docx", "A 37387-2022")</f>
        <v/>
      </c>
      <c r="W115">
        <f>HYPERLINK("https://klasma.github.io/Logging_2326/klagomålsmail/A 37387-2022 FSC-klagomål mail.docx", "A 37387-2022")</f>
        <v/>
      </c>
      <c r="X115">
        <f>HYPERLINK("https://klasma.github.io/Logging_2326/tillsyn/A 37387-2022 tillsynsbegäran.docx", "A 37387-2022")</f>
        <v/>
      </c>
      <c r="Y115">
        <f>HYPERLINK("https://klasma.github.io/Logging_2326/tillsynsmail/A 37387-2022 tillsynsbegäran mail.docx", "A 37387-2022")</f>
        <v/>
      </c>
      <c r="Z115">
        <f>HYPERLINK("https://klasma.github.io/Logging_2326/fåglar/A 37387-2022 prioriterade fågelarter.docx", "A 37387-2022")</f>
        <v/>
      </c>
    </row>
    <row r="116" ht="15" customHeight="1">
      <c r="A116" t="inlineStr">
        <is>
          <t>A 48880-2023</t>
        </is>
      </c>
      <c r="B116" s="1" t="n">
        <v>45209</v>
      </c>
      <c r="C116" s="1" t="n">
        <v>45886</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34271-2022</t>
        </is>
      </c>
      <c r="B117" s="1" t="n">
        <v>44791.94581018519</v>
      </c>
      <c r="C117" s="1" t="n">
        <v>45886</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41317-2022</t>
        </is>
      </c>
      <c r="B118" s="1" t="n">
        <v>44826</v>
      </c>
      <c r="C118" s="1" t="n">
        <v>45886</v>
      </c>
      <c r="D118" t="inlineStr">
        <is>
          <t>JÄMTLANDS LÄN</t>
        </is>
      </c>
      <c r="E118" t="inlineStr">
        <is>
          <t>BERG</t>
        </is>
      </c>
      <c r="G118" t="n">
        <v>0.5</v>
      </c>
      <c r="H118" t="n">
        <v>1</v>
      </c>
      <c r="I118" t="n">
        <v>0</v>
      </c>
      <c r="J118" t="n">
        <v>0</v>
      </c>
      <c r="K118" t="n">
        <v>0</v>
      </c>
      <c r="L118" t="n">
        <v>0</v>
      </c>
      <c r="M118" t="n">
        <v>0</v>
      </c>
      <c r="N118" t="n">
        <v>0</v>
      </c>
      <c r="O118" t="n">
        <v>0</v>
      </c>
      <c r="P118" t="n">
        <v>0</v>
      </c>
      <c r="Q118" t="n">
        <v>1</v>
      </c>
      <c r="R118" s="2" t="inlineStr">
        <is>
          <t>Fläcknycklar</t>
        </is>
      </c>
      <c r="S118">
        <f>HYPERLINK("https://klasma.github.io/Logging_2326/artfynd/A 41317-2022 artfynd.xlsx", "A 41317-2022")</f>
        <v/>
      </c>
      <c r="T118">
        <f>HYPERLINK("https://klasma.github.io/Logging_2326/kartor/A 41317-2022 karta.png", "A 41317-2022")</f>
        <v/>
      </c>
      <c r="V118">
        <f>HYPERLINK("https://klasma.github.io/Logging_2326/klagomål/A 41317-2022 FSC-klagomål.docx", "A 41317-2022")</f>
        <v/>
      </c>
      <c r="W118">
        <f>HYPERLINK("https://klasma.github.io/Logging_2326/klagomålsmail/A 41317-2022 FSC-klagomål mail.docx", "A 41317-2022")</f>
        <v/>
      </c>
      <c r="X118">
        <f>HYPERLINK("https://klasma.github.io/Logging_2326/tillsyn/A 41317-2022 tillsynsbegäran.docx", "A 41317-2022")</f>
        <v/>
      </c>
      <c r="Y118">
        <f>HYPERLINK("https://klasma.github.io/Logging_2326/tillsynsmail/A 41317-2022 tillsynsbegäran mail.docx", "A 41317-2022")</f>
        <v/>
      </c>
    </row>
    <row r="119" ht="15" customHeight="1">
      <c r="A119" t="inlineStr">
        <is>
          <t>A 16834-2021</t>
        </is>
      </c>
      <c r="B119" s="1" t="n">
        <v>44293</v>
      </c>
      <c r="C119" s="1" t="n">
        <v>45886</v>
      </c>
      <c r="D119" t="inlineStr">
        <is>
          <t>JÄMTLANDS LÄN</t>
        </is>
      </c>
      <c r="E119" t="inlineStr">
        <is>
          <t>BERG</t>
        </is>
      </c>
      <c r="G119" t="n">
        <v>18.7</v>
      </c>
      <c r="H119" t="n">
        <v>0</v>
      </c>
      <c r="I119" t="n">
        <v>0</v>
      </c>
      <c r="J119" t="n">
        <v>1</v>
      </c>
      <c r="K119" t="n">
        <v>0</v>
      </c>
      <c r="L119" t="n">
        <v>0</v>
      </c>
      <c r="M119" t="n">
        <v>0</v>
      </c>
      <c r="N119" t="n">
        <v>0</v>
      </c>
      <c r="O119" t="n">
        <v>1</v>
      </c>
      <c r="P119" t="n">
        <v>0</v>
      </c>
      <c r="Q119" t="n">
        <v>1</v>
      </c>
      <c r="R119" s="2" t="inlineStr">
        <is>
          <t>Gränsticka</t>
        </is>
      </c>
      <c r="S119">
        <f>HYPERLINK("https://klasma.github.io/Logging_2326/artfynd/A 16834-2021 artfynd.xlsx", "A 16834-2021")</f>
        <v/>
      </c>
      <c r="T119">
        <f>HYPERLINK("https://klasma.github.io/Logging_2326/kartor/A 16834-2021 karta.png", "A 16834-2021")</f>
        <v/>
      </c>
      <c r="V119">
        <f>HYPERLINK("https://klasma.github.io/Logging_2326/klagomål/A 16834-2021 FSC-klagomål.docx", "A 16834-2021")</f>
        <v/>
      </c>
      <c r="W119">
        <f>HYPERLINK("https://klasma.github.io/Logging_2326/klagomålsmail/A 16834-2021 FSC-klagomål mail.docx", "A 16834-2021")</f>
        <v/>
      </c>
      <c r="X119">
        <f>HYPERLINK("https://klasma.github.io/Logging_2326/tillsyn/A 16834-2021 tillsynsbegäran.docx", "A 16834-2021")</f>
        <v/>
      </c>
      <c r="Y119">
        <f>HYPERLINK("https://klasma.github.io/Logging_2326/tillsynsmail/A 16834-2021 tillsynsbegäran mail.docx", "A 16834-2021")</f>
        <v/>
      </c>
    </row>
    <row r="120" ht="15" customHeight="1">
      <c r="A120" t="inlineStr">
        <is>
          <t>A 20444-2025</t>
        </is>
      </c>
      <c r="B120" s="1" t="n">
        <v>45775.48989583334</v>
      </c>
      <c r="C120" s="1" t="n">
        <v>45886</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45886</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21681-2025</t>
        </is>
      </c>
      <c r="B122" s="1" t="n">
        <v>45783.49015046296</v>
      </c>
      <c r="C122" s="1" t="n">
        <v>45886</v>
      </c>
      <c r="D122" t="inlineStr">
        <is>
          <t>JÄMTLANDS LÄN</t>
        </is>
      </c>
      <c r="E122" t="inlineStr">
        <is>
          <t>BERG</t>
        </is>
      </c>
      <c r="F122" t="inlineStr">
        <is>
          <t>SCA</t>
        </is>
      </c>
      <c r="G122" t="n">
        <v>10.2</v>
      </c>
      <c r="H122" t="n">
        <v>0</v>
      </c>
      <c r="I122" t="n">
        <v>0</v>
      </c>
      <c r="J122" t="n">
        <v>0</v>
      </c>
      <c r="K122" t="n">
        <v>1</v>
      </c>
      <c r="L122" t="n">
        <v>0</v>
      </c>
      <c r="M122" t="n">
        <v>0</v>
      </c>
      <c r="N122" t="n">
        <v>0</v>
      </c>
      <c r="O122" t="n">
        <v>1</v>
      </c>
      <c r="P122" t="n">
        <v>1</v>
      </c>
      <c r="Q122" t="n">
        <v>1</v>
      </c>
      <c r="R122" s="2" t="inlineStr">
        <is>
          <t>Gräddporing</t>
        </is>
      </c>
      <c r="S122">
        <f>HYPERLINK("https://klasma.github.io/Logging_2326/artfynd/A 21681-2025 artfynd.xlsx", "A 21681-2025")</f>
        <v/>
      </c>
      <c r="T122">
        <f>HYPERLINK("https://klasma.github.io/Logging_2326/kartor/A 21681-2025 karta.png", "A 21681-2025")</f>
        <v/>
      </c>
      <c r="V122">
        <f>HYPERLINK("https://klasma.github.io/Logging_2326/klagomål/A 21681-2025 FSC-klagomål.docx", "A 21681-2025")</f>
        <v/>
      </c>
      <c r="W122">
        <f>HYPERLINK("https://klasma.github.io/Logging_2326/klagomålsmail/A 21681-2025 FSC-klagomål mail.docx", "A 21681-2025")</f>
        <v/>
      </c>
      <c r="X122">
        <f>HYPERLINK("https://klasma.github.io/Logging_2326/tillsyn/A 21681-2025 tillsynsbegäran.docx", "A 21681-2025")</f>
        <v/>
      </c>
      <c r="Y122">
        <f>HYPERLINK("https://klasma.github.io/Logging_2326/tillsynsmail/A 21681-2025 tillsynsbegäran mail.docx", "A 21681-2025")</f>
        <v/>
      </c>
    </row>
    <row r="123" ht="15" customHeight="1">
      <c r="A123" t="inlineStr">
        <is>
          <t>A 53708-2024</t>
        </is>
      </c>
      <c r="B123" s="1" t="n">
        <v>45615.40983796296</v>
      </c>
      <c r="C123" s="1" t="n">
        <v>45886</v>
      </c>
      <c r="D123" t="inlineStr">
        <is>
          <t>JÄMTLANDS LÄN</t>
        </is>
      </c>
      <c r="E123" t="inlineStr">
        <is>
          <t>BERG</t>
        </is>
      </c>
      <c r="G123" t="n">
        <v>8.199999999999999</v>
      </c>
      <c r="H123" t="n">
        <v>0</v>
      </c>
      <c r="I123" t="n">
        <v>0</v>
      </c>
      <c r="J123" t="n">
        <v>1</v>
      </c>
      <c r="K123" t="n">
        <v>0</v>
      </c>
      <c r="L123" t="n">
        <v>0</v>
      </c>
      <c r="M123" t="n">
        <v>0</v>
      </c>
      <c r="N123" t="n">
        <v>0</v>
      </c>
      <c r="O123" t="n">
        <v>1</v>
      </c>
      <c r="P123" t="n">
        <v>0</v>
      </c>
      <c r="Q123" t="n">
        <v>1</v>
      </c>
      <c r="R123" s="2" t="inlineStr">
        <is>
          <t>Lunglav</t>
        </is>
      </c>
      <c r="S123">
        <f>HYPERLINK("https://klasma.github.io/Logging_2326/artfynd/A 53708-2024 artfynd.xlsx", "A 53708-2024")</f>
        <v/>
      </c>
      <c r="T123">
        <f>HYPERLINK("https://klasma.github.io/Logging_2326/kartor/A 53708-2024 karta.png", "A 53708-2024")</f>
        <v/>
      </c>
      <c r="V123">
        <f>HYPERLINK("https://klasma.github.io/Logging_2326/klagomål/A 53708-2024 FSC-klagomål.docx", "A 53708-2024")</f>
        <v/>
      </c>
      <c r="W123">
        <f>HYPERLINK("https://klasma.github.io/Logging_2326/klagomålsmail/A 53708-2024 FSC-klagomål mail.docx", "A 53708-2024")</f>
        <v/>
      </c>
      <c r="X123">
        <f>HYPERLINK("https://klasma.github.io/Logging_2326/tillsyn/A 53708-2024 tillsynsbegäran.docx", "A 53708-2024")</f>
        <v/>
      </c>
      <c r="Y123">
        <f>HYPERLINK("https://klasma.github.io/Logging_2326/tillsynsmail/A 53708-2024 tillsynsbegäran mail.docx", "A 53708-2024")</f>
        <v/>
      </c>
    </row>
    <row r="124" ht="15" customHeight="1">
      <c r="A124" t="inlineStr">
        <is>
          <t>A 33126-2024</t>
        </is>
      </c>
      <c r="B124" s="1" t="n">
        <v>45517.9575462963</v>
      </c>
      <c r="C124" s="1" t="n">
        <v>45886</v>
      </c>
      <c r="D124" t="inlineStr">
        <is>
          <t>JÄMTLANDS LÄN</t>
        </is>
      </c>
      <c r="E124" t="inlineStr">
        <is>
          <t>BERG</t>
        </is>
      </c>
      <c r="F124" t="inlineStr">
        <is>
          <t>SCA</t>
        </is>
      </c>
      <c r="G124" t="n">
        <v>4.2</v>
      </c>
      <c r="H124" t="n">
        <v>0</v>
      </c>
      <c r="I124" t="n">
        <v>0</v>
      </c>
      <c r="J124" t="n">
        <v>0</v>
      </c>
      <c r="K124" t="n">
        <v>1</v>
      </c>
      <c r="L124" t="n">
        <v>0</v>
      </c>
      <c r="M124" t="n">
        <v>0</v>
      </c>
      <c r="N124" t="n">
        <v>0</v>
      </c>
      <c r="O124" t="n">
        <v>1</v>
      </c>
      <c r="P124" t="n">
        <v>1</v>
      </c>
      <c r="Q124" t="n">
        <v>1</v>
      </c>
      <c r="R124" s="2" t="inlineStr">
        <is>
          <t>Gräddporing</t>
        </is>
      </c>
      <c r="S124">
        <f>HYPERLINK("https://klasma.github.io/Logging_2326/artfynd/A 33126-2024 artfynd.xlsx", "A 33126-2024")</f>
        <v/>
      </c>
      <c r="T124">
        <f>HYPERLINK("https://klasma.github.io/Logging_2326/kartor/A 33126-2024 karta.png", "A 33126-2024")</f>
        <v/>
      </c>
      <c r="V124">
        <f>HYPERLINK("https://klasma.github.io/Logging_2326/klagomål/A 33126-2024 FSC-klagomål.docx", "A 33126-2024")</f>
        <v/>
      </c>
      <c r="W124">
        <f>HYPERLINK("https://klasma.github.io/Logging_2326/klagomålsmail/A 33126-2024 FSC-klagomål mail.docx", "A 33126-2024")</f>
        <v/>
      </c>
      <c r="X124">
        <f>HYPERLINK("https://klasma.github.io/Logging_2326/tillsyn/A 33126-2024 tillsynsbegäran.docx", "A 33126-2024")</f>
        <v/>
      </c>
      <c r="Y124">
        <f>HYPERLINK("https://klasma.github.io/Logging_2326/tillsynsmail/A 33126-2024 tillsynsbegäran mail.docx", "A 33126-2024")</f>
        <v/>
      </c>
    </row>
    <row r="125" ht="15" customHeight="1">
      <c r="A125" t="inlineStr">
        <is>
          <t>A 47-2023</t>
        </is>
      </c>
      <c r="B125" s="1" t="n">
        <v>44928</v>
      </c>
      <c r="C125" s="1" t="n">
        <v>45886</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20808-2024</t>
        </is>
      </c>
      <c r="B126" s="1" t="n">
        <v>45439</v>
      </c>
      <c r="C126" s="1" t="n">
        <v>45886</v>
      </c>
      <c r="D126" t="inlineStr">
        <is>
          <t>JÄMTLANDS LÄN</t>
        </is>
      </c>
      <c r="E126" t="inlineStr">
        <is>
          <t>BERG</t>
        </is>
      </c>
      <c r="G126" t="n">
        <v>1.4</v>
      </c>
      <c r="H126" t="n">
        <v>1</v>
      </c>
      <c r="I126" t="n">
        <v>0</v>
      </c>
      <c r="J126" t="n">
        <v>1</v>
      </c>
      <c r="K126" t="n">
        <v>0</v>
      </c>
      <c r="L126" t="n">
        <v>0</v>
      </c>
      <c r="M126" t="n">
        <v>0</v>
      </c>
      <c r="N126" t="n">
        <v>0</v>
      </c>
      <c r="O126" t="n">
        <v>1</v>
      </c>
      <c r="P126" t="n">
        <v>0</v>
      </c>
      <c r="Q126" t="n">
        <v>1</v>
      </c>
      <c r="R126" s="2" t="inlineStr">
        <is>
          <t>Tretåig hackspett</t>
        </is>
      </c>
      <c r="S126">
        <f>HYPERLINK("https://klasma.github.io/Logging_2326/artfynd/A 20808-2024 artfynd.xlsx", "A 20808-2024")</f>
        <v/>
      </c>
      <c r="T126">
        <f>HYPERLINK("https://klasma.github.io/Logging_2326/kartor/A 20808-2024 karta.png", "A 20808-2024")</f>
        <v/>
      </c>
      <c r="V126">
        <f>HYPERLINK("https://klasma.github.io/Logging_2326/klagomål/A 20808-2024 FSC-klagomål.docx", "A 20808-2024")</f>
        <v/>
      </c>
      <c r="W126">
        <f>HYPERLINK("https://klasma.github.io/Logging_2326/klagomålsmail/A 20808-2024 FSC-klagomål mail.docx", "A 20808-2024")</f>
        <v/>
      </c>
      <c r="X126">
        <f>HYPERLINK("https://klasma.github.io/Logging_2326/tillsyn/A 20808-2024 tillsynsbegäran.docx", "A 20808-2024")</f>
        <v/>
      </c>
      <c r="Y126">
        <f>HYPERLINK("https://klasma.github.io/Logging_2326/tillsynsmail/A 20808-2024 tillsynsbegäran mail.docx", "A 20808-2024")</f>
        <v/>
      </c>
      <c r="Z126">
        <f>HYPERLINK("https://klasma.github.io/Logging_2326/fåglar/A 20808-2024 prioriterade fågelarter.docx", "A 20808-2024")</f>
        <v/>
      </c>
    </row>
    <row r="127" ht="15" customHeight="1">
      <c r="A127" t="inlineStr">
        <is>
          <t>A 24331-2025</t>
        </is>
      </c>
      <c r="B127" s="1" t="n">
        <v>45797</v>
      </c>
      <c r="C127" s="1" t="n">
        <v>45886</v>
      </c>
      <c r="D127" t="inlineStr">
        <is>
          <t>JÄMTLANDS LÄN</t>
        </is>
      </c>
      <c r="E127" t="inlineStr">
        <is>
          <t>BERG</t>
        </is>
      </c>
      <c r="G127" t="n">
        <v>9</v>
      </c>
      <c r="H127" t="n">
        <v>1</v>
      </c>
      <c r="I127" t="n">
        <v>0</v>
      </c>
      <c r="J127" t="n">
        <v>0</v>
      </c>
      <c r="K127" t="n">
        <v>0</v>
      </c>
      <c r="L127" t="n">
        <v>0</v>
      </c>
      <c r="M127" t="n">
        <v>0</v>
      </c>
      <c r="N127" t="n">
        <v>0</v>
      </c>
      <c r="O127" t="n">
        <v>0</v>
      </c>
      <c r="P127" t="n">
        <v>0</v>
      </c>
      <c r="Q127" t="n">
        <v>1</v>
      </c>
      <c r="R127" s="2" t="inlineStr">
        <is>
          <t>Blåsippa</t>
        </is>
      </c>
      <c r="S127">
        <f>HYPERLINK("https://klasma.github.io/Logging_2326/artfynd/A 24331-2025 artfynd.xlsx", "A 24331-2025")</f>
        <v/>
      </c>
      <c r="T127">
        <f>HYPERLINK("https://klasma.github.io/Logging_2326/kartor/A 24331-2025 karta.png", "A 24331-2025")</f>
        <v/>
      </c>
      <c r="V127">
        <f>HYPERLINK("https://klasma.github.io/Logging_2326/klagomål/A 24331-2025 FSC-klagomål.docx", "A 24331-2025")</f>
        <v/>
      </c>
      <c r="W127">
        <f>HYPERLINK("https://klasma.github.io/Logging_2326/klagomålsmail/A 24331-2025 FSC-klagomål mail.docx", "A 24331-2025")</f>
        <v/>
      </c>
      <c r="X127">
        <f>HYPERLINK("https://klasma.github.io/Logging_2326/tillsyn/A 24331-2025 tillsynsbegäran.docx", "A 24331-2025")</f>
        <v/>
      </c>
      <c r="Y127">
        <f>HYPERLINK("https://klasma.github.io/Logging_2326/tillsynsmail/A 24331-2025 tillsynsbegäran mail.docx", "A 24331-2025")</f>
        <v/>
      </c>
    </row>
    <row r="128" ht="15" customHeight="1">
      <c r="A128" t="inlineStr">
        <is>
          <t>A 49049-2024</t>
        </is>
      </c>
      <c r="B128" s="1" t="n">
        <v>45594.5742824074</v>
      </c>
      <c r="C128" s="1" t="n">
        <v>45886</v>
      </c>
      <c r="D128" t="inlineStr">
        <is>
          <t>JÄMTLANDS LÄN</t>
        </is>
      </c>
      <c r="E128" t="inlineStr">
        <is>
          <t>BERG</t>
        </is>
      </c>
      <c r="G128" t="n">
        <v>0.8</v>
      </c>
      <c r="H128" t="n">
        <v>1</v>
      </c>
      <c r="I128" t="n">
        <v>1</v>
      </c>
      <c r="J128" t="n">
        <v>0</v>
      </c>
      <c r="K128" t="n">
        <v>0</v>
      </c>
      <c r="L128" t="n">
        <v>0</v>
      </c>
      <c r="M128" t="n">
        <v>0</v>
      </c>
      <c r="N128" t="n">
        <v>0</v>
      </c>
      <c r="O128" t="n">
        <v>0</v>
      </c>
      <c r="P128" t="n">
        <v>0</v>
      </c>
      <c r="Q128" t="n">
        <v>1</v>
      </c>
      <c r="R128" s="2" t="inlineStr">
        <is>
          <t>Korallrot</t>
        </is>
      </c>
      <c r="S128">
        <f>HYPERLINK("https://klasma.github.io/Logging_2326/artfynd/A 49049-2024 artfynd.xlsx", "A 49049-2024")</f>
        <v/>
      </c>
      <c r="T128">
        <f>HYPERLINK("https://klasma.github.io/Logging_2326/kartor/A 49049-2024 karta.png", "A 49049-2024")</f>
        <v/>
      </c>
      <c r="V128">
        <f>HYPERLINK("https://klasma.github.io/Logging_2326/klagomål/A 49049-2024 FSC-klagomål.docx", "A 49049-2024")</f>
        <v/>
      </c>
      <c r="W128">
        <f>HYPERLINK("https://klasma.github.io/Logging_2326/klagomålsmail/A 49049-2024 FSC-klagomål mail.docx", "A 49049-2024")</f>
        <v/>
      </c>
      <c r="X128">
        <f>HYPERLINK("https://klasma.github.io/Logging_2326/tillsyn/A 49049-2024 tillsynsbegäran.docx", "A 49049-2024")</f>
        <v/>
      </c>
      <c r="Y128">
        <f>HYPERLINK("https://klasma.github.io/Logging_2326/tillsynsmail/A 49049-2024 tillsynsbegäran mail.docx", "A 49049-2024")</f>
        <v/>
      </c>
    </row>
    <row r="129" ht="15" customHeight="1">
      <c r="A129" t="inlineStr">
        <is>
          <t>A 50556-2024</t>
        </is>
      </c>
      <c r="B129" s="1" t="n">
        <v>45601.59604166666</v>
      </c>
      <c r="C129" s="1" t="n">
        <v>45886</v>
      </c>
      <c r="D129" t="inlineStr">
        <is>
          <t>JÄMTLANDS LÄN</t>
        </is>
      </c>
      <c r="E129" t="inlineStr">
        <is>
          <t>BERG</t>
        </is>
      </c>
      <c r="G129" t="n">
        <v>5.7</v>
      </c>
      <c r="H129" t="n">
        <v>0</v>
      </c>
      <c r="I129" t="n">
        <v>0</v>
      </c>
      <c r="J129" t="n">
        <v>1</v>
      </c>
      <c r="K129" t="n">
        <v>0</v>
      </c>
      <c r="L129" t="n">
        <v>0</v>
      </c>
      <c r="M129" t="n">
        <v>0</v>
      </c>
      <c r="N129" t="n">
        <v>0</v>
      </c>
      <c r="O129" t="n">
        <v>1</v>
      </c>
      <c r="P129" t="n">
        <v>0</v>
      </c>
      <c r="Q129" t="n">
        <v>1</v>
      </c>
      <c r="R129" s="2" t="inlineStr">
        <is>
          <t>Kalkbräken</t>
        </is>
      </c>
      <c r="S129">
        <f>HYPERLINK("https://klasma.github.io/Logging_2326/artfynd/A 50556-2024 artfynd.xlsx", "A 50556-2024")</f>
        <v/>
      </c>
      <c r="T129">
        <f>HYPERLINK("https://klasma.github.io/Logging_2326/kartor/A 50556-2024 karta.png", "A 50556-2024")</f>
        <v/>
      </c>
      <c r="V129">
        <f>HYPERLINK("https://klasma.github.io/Logging_2326/klagomål/A 50556-2024 FSC-klagomål.docx", "A 50556-2024")</f>
        <v/>
      </c>
      <c r="W129">
        <f>HYPERLINK("https://klasma.github.io/Logging_2326/klagomålsmail/A 50556-2024 FSC-klagomål mail.docx", "A 50556-2024")</f>
        <v/>
      </c>
      <c r="X129">
        <f>HYPERLINK("https://klasma.github.io/Logging_2326/tillsyn/A 50556-2024 tillsynsbegäran.docx", "A 50556-2024")</f>
        <v/>
      </c>
      <c r="Y129">
        <f>HYPERLINK("https://klasma.github.io/Logging_2326/tillsynsmail/A 50556-2024 tillsynsbegäran mail.docx", "A 50556-2024")</f>
        <v/>
      </c>
    </row>
    <row r="130" ht="15" customHeight="1">
      <c r="A130" t="inlineStr">
        <is>
          <t>A 25556-2025</t>
        </is>
      </c>
      <c r="B130" s="1" t="n">
        <v>45803.45106481481</v>
      </c>
      <c r="C130" s="1" t="n">
        <v>45886</v>
      </c>
      <c r="D130" t="inlineStr">
        <is>
          <t>JÄMTLANDS LÄN</t>
        </is>
      </c>
      <c r="E130" t="inlineStr">
        <is>
          <t>BERG</t>
        </is>
      </c>
      <c r="G130" t="n">
        <v>6.2</v>
      </c>
      <c r="H130" t="n">
        <v>1</v>
      </c>
      <c r="I130" t="n">
        <v>0</v>
      </c>
      <c r="J130" t="n">
        <v>1</v>
      </c>
      <c r="K130" t="n">
        <v>0</v>
      </c>
      <c r="L130" t="n">
        <v>0</v>
      </c>
      <c r="M130" t="n">
        <v>0</v>
      </c>
      <c r="N130" t="n">
        <v>0</v>
      </c>
      <c r="O130" t="n">
        <v>1</v>
      </c>
      <c r="P130" t="n">
        <v>0</v>
      </c>
      <c r="Q130" t="n">
        <v>1</v>
      </c>
      <c r="R130" s="2" t="inlineStr">
        <is>
          <t>Tretåig hackspett</t>
        </is>
      </c>
      <c r="S130">
        <f>HYPERLINK("https://klasma.github.io/Logging_2326/artfynd/A 25556-2025 artfynd.xlsx", "A 25556-2025")</f>
        <v/>
      </c>
      <c r="T130">
        <f>HYPERLINK("https://klasma.github.io/Logging_2326/kartor/A 25556-2025 karta.png", "A 25556-2025")</f>
        <v/>
      </c>
      <c r="V130">
        <f>HYPERLINK("https://klasma.github.io/Logging_2326/klagomål/A 25556-2025 FSC-klagomål.docx", "A 25556-2025")</f>
        <v/>
      </c>
      <c r="W130">
        <f>HYPERLINK("https://klasma.github.io/Logging_2326/klagomålsmail/A 25556-2025 FSC-klagomål mail.docx", "A 25556-2025")</f>
        <v/>
      </c>
      <c r="X130">
        <f>HYPERLINK("https://klasma.github.io/Logging_2326/tillsyn/A 25556-2025 tillsynsbegäran.docx", "A 25556-2025")</f>
        <v/>
      </c>
      <c r="Y130">
        <f>HYPERLINK("https://klasma.github.io/Logging_2326/tillsynsmail/A 25556-2025 tillsynsbegäran mail.docx", "A 25556-2025")</f>
        <v/>
      </c>
      <c r="Z130">
        <f>HYPERLINK("https://klasma.github.io/Logging_2326/fåglar/A 25556-2025 prioriterade fågelarter.docx", "A 25556-2025")</f>
        <v/>
      </c>
    </row>
    <row r="131" ht="15" customHeight="1">
      <c r="A131" t="inlineStr">
        <is>
          <t>A 56202-2021</t>
        </is>
      </c>
      <c r="B131" s="1" t="n">
        <v>44477</v>
      </c>
      <c r="C131" s="1" t="n">
        <v>45886</v>
      </c>
      <c r="D131" t="inlineStr">
        <is>
          <t>JÄMTLANDS LÄN</t>
        </is>
      </c>
      <c r="E131" t="inlineStr">
        <is>
          <t>BERG</t>
        </is>
      </c>
      <c r="F131" t="inlineStr">
        <is>
          <t>SCA</t>
        </is>
      </c>
      <c r="G131" t="n">
        <v>1.1</v>
      </c>
      <c r="H131" t="n">
        <v>1</v>
      </c>
      <c r="I131" t="n">
        <v>0</v>
      </c>
      <c r="J131" t="n">
        <v>0</v>
      </c>
      <c r="K131" t="n">
        <v>1</v>
      </c>
      <c r="L131" t="n">
        <v>0</v>
      </c>
      <c r="M131" t="n">
        <v>0</v>
      </c>
      <c r="N131" t="n">
        <v>0</v>
      </c>
      <c r="O131" t="n">
        <v>1</v>
      </c>
      <c r="P131" t="n">
        <v>1</v>
      </c>
      <c r="Q131" t="n">
        <v>1</v>
      </c>
      <c r="R131" s="2" t="inlineStr">
        <is>
          <t>Knärot</t>
        </is>
      </c>
      <c r="S131">
        <f>HYPERLINK("https://klasma.github.io/Logging_2326/artfynd/A 56202-2021 artfynd.xlsx", "A 56202-2021")</f>
        <v/>
      </c>
      <c r="T131">
        <f>HYPERLINK("https://klasma.github.io/Logging_2326/kartor/A 56202-2021 karta.png", "A 56202-2021")</f>
        <v/>
      </c>
      <c r="U131">
        <f>HYPERLINK("https://klasma.github.io/Logging_2326/knärot/A 56202-2021 karta knärot.png", "A 56202-2021")</f>
        <v/>
      </c>
      <c r="V131">
        <f>HYPERLINK("https://klasma.github.io/Logging_2326/klagomål/A 56202-2021 FSC-klagomål.docx", "A 56202-2021")</f>
        <v/>
      </c>
      <c r="W131">
        <f>HYPERLINK("https://klasma.github.io/Logging_2326/klagomålsmail/A 56202-2021 FSC-klagomål mail.docx", "A 56202-2021")</f>
        <v/>
      </c>
      <c r="X131">
        <f>HYPERLINK("https://klasma.github.io/Logging_2326/tillsyn/A 56202-2021 tillsynsbegäran.docx", "A 56202-2021")</f>
        <v/>
      </c>
      <c r="Y131">
        <f>HYPERLINK("https://klasma.github.io/Logging_2326/tillsynsmail/A 56202-2021 tillsynsbegäran mail.docx", "A 56202-2021")</f>
        <v/>
      </c>
    </row>
    <row r="132" ht="15" customHeight="1">
      <c r="A132" t="inlineStr">
        <is>
          <t>A 24309-2023</t>
        </is>
      </c>
      <c r="B132" s="1" t="n">
        <v>45079</v>
      </c>
      <c r="C132" s="1" t="n">
        <v>45886</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35211-2025</t>
        </is>
      </c>
      <c r="B133" s="1" t="n">
        <v>45853.45060185185</v>
      </c>
      <c r="C133" s="1" t="n">
        <v>45886</v>
      </c>
      <c r="D133" t="inlineStr">
        <is>
          <t>JÄMTLANDS LÄN</t>
        </is>
      </c>
      <c r="E133" t="inlineStr">
        <is>
          <t>BERG</t>
        </is>
      </c>
      <c r="G133" t="n">
        <v>0.8</v>
      </c>
      <c r="H133" t="n">
        <v>1</v>
      </c>
      <c r="I133" t="n">
        <v>0</v>
      </c>
      <c r="J133" t="n">
        <v>0</v>
      </c>
      <c r="K133" t="n">
        <v>1</v>
      </c>
      <c r="L133" t="n">
        <v>0</v>
      </c>
      <c r="M133" t="n">
        <v>0</v>
      </c>
      <c r="N133" t="n">
        <v>0</v>
      </c>
      <c r="O133" t="n">
        <v>1</v>
      </c>
      <c r="P133" t="n">
        <v>1</v>
      </c>
      <c r="Q133" t="n">
        <v>1</v>
      </c>
      <c r="R133" s="2" t="inlineStr">
        <is>
          <t>Knärot</t>
        </is>
      </c>
      <c r="S133">
        <f>HYPERLINK("https://klasma.github.io/Logging_2326/artfynd/A 35211-2025 artfynd.xlsx", "A 35211-2025")</f>
        <v/>
      </c>
      <c r="T133">
        <f>HYPERLINK("https://klasma.github.io/Logging_2326/kartor/A 35211-2025 karta.png", "A 35211-2025")</f>
        <v/>
      </c>
      <c r="U133">
        <f>HYPERLINK("https://klasma.github.io/Logging_2326/knärot/A 35211-2025 karta knärot.png", "A 35211-2025")</f>
        <v/>
      </c>
      <c r="V133">
        <f>HYPERLINK("https://klasma.github.io/Logging_2326/klagomål/A 35211-2025 FSC-klagomål.docx", "A 35211-2025")</f>
        <v/>
      </c>
      <c r="W133">
        <f>HYPERLINK("https://klasma.github.io/Logging_2326/klagomålsmail/A 35211-2025 FSC-klagomål mail.docx", "A 35211-2025")</f>
        <v/>
      </c>
      <c r="X133">
        <f>HYPERLINK("https://klasma.github.io/Logging_2326/tillsyn/A 35211-2025 tillsynsbegäran.docx", "A 35211-2025")</f>
        <v/>
      </c>
      <c r="Y133">
        <f>HYPERLINK("https://klasma.github.io/Logging_2326/tillsynsmail/A 35211-2025 tillsynsbegäran mail.docx", "A 35211-2025")</f>
        <v/>
      </c>
    </row>
    <row r="134" ht="15" customHeight="1">
      <c r="A134" t="inlineStr">
        <is>
          <t>A 35535-2025</t>
        </is>
      </c>
      <c r="B134" s="1" t="n">
        <v>45856.45047453704</v>
      </c>
      <c r="C134" s="1" t="n">
        <v>45886</v>
      </c>
      <c r="D134" t="inlineStr">
        <is>
          <t>JÄMTLANDS LÄN</t>
        </is>
      </c>
      <c r="E134" t="inlineStr">
        <is>
          <t>BERG</t>
        </is>
      </c>
      <c r="F134" t="inlineStr">
        <is>
          <t>Sveaskog</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HYPERLINK("https://klasma.github.io/Logging_2326/artfynd/A 35535-2025 artfynd.xlsx", "A 35535-2025")</f>
        <v/>
      </c>
      <c r="T134">
        <f>HYPERLINK("https://klasma.github.io/Logging_2326/kartor/A 35535-2025 karta.png", "A 35535-2025")</f>
        <v/>
      </c>
      <c r="V134">
        <f>HYPERLINK("https://klasma.github.io/Logging_2326/klagomål/A 35535-2025 FSC-klagomål.docx", "A 35535-2025")</f>
        <v/>
      </c>
      <c r="W134">
        <f>HYPERLINK("https://klasma.github.io/Logging_2326/klagomålsmail/A 35535-2025 FSC-klagomål mail.docx", "A 35535-2025")</f>
        <v/>
      </c>
      <c r="X134">
        <f>HYPERLINK("https://klasma.github.io/Logging_2326/tillsyn/A 35535-2025 tillsynsbegäran.docx", "A 35535-2025")</f>
        <v/>
      </c>
      <c r="Y134">
        <f>HYPERLINK("https://klasma.github.io/Logging_2326/tillsynsmail/A 35535-2025 tillsynsbegäran mail.docx", "A 35535-2025")</f>
        <v/>
      </c>
    </row>
    <row r="135" ht="15" customHeight="1">
      <c r="A135" t="inlineStr">
        <is>
          <t>A 33083-2024</t>
        </is>
      </c>
      <c r="B135" s="1" t="n">
        <v>45517.675</v>
      </c>
      <c r="C135" s="1" t="n">
        <v>45886</v>
      </c>
      <c r="D135" t="inlineStr">
        <is>
          <t>JÄMTLANDS LÄN</t>
        </is>
      </c>
      <c r="E135" t="inlineStr">
        <is>
          <t>BERG</t>
        </is>
      </c>
      <c r="G135" t="n">
        <v>0.2</v>
      </c>
      <c r="H135" t="n">
        <v>0</v>
      </c>
      <c r="I135" t="n">
        <v>0</v>
      </c>
      <c r="J135" t="n">
        <v>1</v>
      </c>
      <c r="K135" t="n">
        <v>0</v>
      </c>
      <c r="L135" t="n">
        <v>0</v>
      </c>
      <c r="M135" t="n">
        <v>0</v>
      </c>
      <c r="N135" t="n">
        <v>0</v>
      </c>
      <c r="O135" t="n">
        <v>1</v>
      </c>
      <c r="P135" t="n">
        <v>0</v>
      </c>
      <c r="Q135" t="n">
        <v>1</v>
      </c>
      <c r="R135" s="2" t="inlineStr">
        <is>
          <t>Garnlav</t>
        </is>
      </c>
      <c r="S135">
        <f>HYPERLINK("https://klasma.github.io/Logging_2326/artfynd/A 33083-2024 artfynd.xlsx", "A 33083-2024")</f>
        <v/>
      </c>
      <c r="T135">
        <f>HYPERLINK("https://klasma.github.io/Logging_2326/kartor/A 33083-2024 karta.png", "A 33083-2024")</f>
        <v/>
      </c>
      <c r="V135">
        <f>HYPERLINK("https://klasma.github.io/Logging_2326/klagomål/A 33083-2024 FSC-klagomål.docx", "A 33083-2024")</f>
        <v/>
      </c>
      <c r="W135">
        <f>HYPERLINK("https://klasma.github.io/Logging_2326/klagomålsmail/A 33083-2024 FSC-klagomål mail.docx", "A 33083-2024")</f>
        <v/>
      </c>
      <c r="X135">
        <f>HYPERLINK("https://klasma.github.io/Logging_2326/tillsyn/A 33083-2024 tillsynsbegäran.docx", "A 33083-2024")</f>
        <v/>
      </c>
      <c r="Y135">
        <f>HYPERLINK("https://klasma.github.io/Logging_2326/tillsynsmail/A 33083-2024 tillsynsbegäran mail.docx", "A 33083-2024")</f>
        <v/>
      </c>
    </row>
    <row r="136" ht="15" customHeight="1">
      <c r="A136" t="inlineStr">
        <is>
          <t>A 32171-2024</t>
        </is>
      </c>
      <c r="B136" s="1" t="n">
        <v>45511</v>
      </c>
      <c r="C136" s="1" t="n">
        <v>45886</v>
      </c>
      <c r="D136" t="inlineStr">
        <is>
          <t>JÄMTLANDS LÄN</t>
        </is>
      </c>
      <c r="E136" t="inlineStr">
        <is>
          <t>BERG</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32171-2024 artfynd.xlsx", "A 32171-2024")</f>
        <v/>
      </c>
      <c r="T136">
        <f>HYPERLINK("https://klasma.github.io/Logging_2326/kartor/A 32171-2024 karta.png", "A 32171-2024")</f>
        <v/>
      </c>
      <c r="V136">
        <f>HYPERLINK("https://klasma.github.io/Logging_2326/klagomål/A 32171-2024 FSC-klagomål.docx", "A 32171-2024")</f>
        <v/>
      </c>
      <c r="W136">
        <f>HYPERLINK("https://klasma.github.io/Logging_2326/klagomålsmail/A 32171-2024 FSC-klagomål mail.docx", "A 32171-2024")</f>
        <v/>
      </c>
      <c r="X136">
        <f>HYPERLINK("https://klasma.github.io/Logging_2326/tillsyn/A 32171-2024 tillsynsbegäran.docx", "A 32171-2024")</f>
        <v/>
      </c>
      <c r="Y136">
        <f>HYPERLINK("https://klasma.github.io/Logging_2326/tillsynsmail/A 32171-2024 tillsynsbegäran mail.docx", "A 32171-2024")</f>
        <v/>
      </c>
      <c r="Z136">
        <f>HYPERLINK("https://klasma.github.io/Logging_2326/fåglar/A 32171-2024 prioriterade fågelarter.docx", "A 32171-2024")</f>
        <v/>
      </c>
    </row>
    <row r="137" ht="15" customHeight="1">
      <c r="A137" t="inlineStr">
        <is>
          <t>A 52193-2024</t>
        </is>
      </c>
      <c r="B137" s="1" t="n">
        <v>45608</v>
      </c>
      <c r="C137" s="1" t="n">
        <v>45886</v>
      </c>
      <c r="D137" t="inlineStr">
        <is>
          <t>JÄMTLANDS LÄN</t>
        </is>
      </c>
      <c r="E137" t="inlineStr">
        <is>
          <t>BERG</t>
        </is>
      </c>
      <c r="G137" t="n">
        <v>7.4</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52193-2024 artfynd.xlsx", "A 52193-2024")</f>
        <v/>
      </c>
      <c r="T137">
        <f>HYPERLINK("https://klasma.github.io/Logging_2326/kartor/A 52193-2024 karta.png", "A 52193-2024")</f>
        <v/>
      </c>
      <c r="V137">
        <f>HYPERLINK("https://klasma.github.io/Logging_2326/klagomål/A 52193-2024 FSC-klagomål.docx", "A 52193-2024")</f>
        <v/>
      </c>
      <c r="W137">
        <f>HYPERLINK("https://klasma.github.io/Logging_2326/klagomålsmail/A 52193-2024 FSC-klagomål mail.docx", "A 52193-2024")</f>
        <v/>
      </c>
      <c r="X137">
        <f>HYPERLINK("https://klasma.github.io/Logging_2326/tillsyn/A 52193-2024 tillsynsbegäran.docx", "A 52193-2024")</f>
        <v/>
      </c>
      <c r="Y137">
        <f>HYPERLINK("https://klasma.github.io/Logging_2326/tillsynsmail/A 52193-2024 tillsynsbegäran mail.docx", "A 52193-2024")</f>
        <v/>
      </c>
      <c r="Z137">
        <f>HYPERLINK("https://klasma.github.io/Logging_2326/fåglar/A 52193-2024 prioriterade fågelarter.docx", "A 52193-2024")</f>
        <v/>
      </c>
    </row>
    <row r="138" ht="15" customHeight="1">
      <c r="A138" t="inlineStr">
        <is>
          <t>A 44259-2024</t>
        </is>
      </c>
      <c r="B138" s="1" t="n">
        <v>45573</v>
      </c>
      <c r="C138" s="1" t="n">
        <v>45886</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44259-2024 artfynd.xlsx", "A 44259-2024")</f>
        <v/>
      </c>
      <c r="T138">
        <f>HYPERLINK("https://klasma.github.io/Logging_2326/kartor/A 44259-2024 karta.png", "A 44259-2024")</f>
        <v/>
      </c>
      <c r="V138">
        <f>HYPERLINK("https://klasma.github.io/Logging_2326/klagomål/A 44259-2024 FSC-klagomål.docx", "A 44259-2024")</f>
        <v/>
      </c>
      <c r="W138">
        <f>HYPERLINK("https://klasma.github.io/Logging_2326/klagomålsmail/A 44259-2024 FSC-klagomål mail.docx", "A 44259-2024")</f>
        <v/>
      </c>
      <c r="X138">
        <f>HYPERLINK("https://klasma.github.io/Logging_2326/tillsyn/A 44259-2024 tillsynsbegäran.docx", "A 44259-2024")</f>
        <v/>
      </c>
      <c r="Y138">
        <f>HYPERLINK("https://klasma.github.io/Logging_2326/tillsynsmail/A 44259-2024 tillsynsbegäran mail.docx", "A 44259-2024")</f>
        <v/>
      </c>
      <c r="Z138">
        <f>HYPERLINK("https://klasma.github.io/Logging_2326/fåglar/A 44259-2024 prioriterade fågelarter.docx", "A 44259-2024")</f>
        <v/>
      </c>
    </row>
    <row r="139" ht="15" customHeight="1">
      <c r="A139" t="inlineStr">
        <is>
          <t>A 25853-2025</t>
        </is>
      </c>
      <c r="B139" s="1" t="n">
        <v>45804.46908564815</v>
      </c>
      <c r="C139" s="1" t="n">
        <v>45886</v>
      </c>
      <c r="D139" t="inlineStr">
        <is>
          <t>JÄMTLANDS LÄN</t>
        </is>
      </c>
      <c r="E139" t="inlineStr">
        <is>
          <t>BERG</t>
        </is>
      </c>
      <c r="F139" t="inlineStr">
        <is>
          <t>SCA</t>
        </is>
      </c>
      <c r="G139" t="n">
        <v>24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25853-2025 artfynd.xlsx", "A 25853-2025")</f>
        <v/>
      </c>
      <c r="T139">
        <f>HYPERLINK("https://klasma.github.io/Logging_2326/kartor/A 25853-2025 karta.png", "A 25853-2025")</f>
        <v/>
      </c>
      <c r="V139">
        <f>HYPERLINK("https://klasma.github.io/Logging_2326/klagomål/A 25853-2025 FSC-klagomål.docx", "A 25853-2025")</f>
        <v/>
      </c>
      <c r="W139">
        <f>HYPERLINK("https://klasma.github.io/Logging_2326/klagomålsmail/A 25853-2025 FSC-klagomål mail.docx", "A 25853-2025")</f>
        <v/>
      </c>
      <c r="X139">
        <f>HYPERLINK("https://klasma.github.io/Logging_2326/tillsyn/A 25853-2025 tillsynsbegäran.docx", "A 25853-2025")</f>
        <v/>
      </c>
      <c r="Y139">
        <f>HYPERLINK("https://klasma.github.io/Logging_2326/tillsynsmail/A 25853-2025 tillsynsbegäran mail.docx", "A 25853-2025")</f>
        <v/>
      </c>
      <c r="Z139">
        <f>HYPERLINK("https://klasma.github.io/Logging_2326/fåglar/A 25853-2025 prioriterade fågelarter.docx", "A 25853-2025")</f>
        <v/>
      </c>
    </row>
    <row r="140" ht="15" customHeight="1">
      <c r="A140" t="inlineStr">
        <is>
          <t>A 31837-2025</t>
        </is>
      </c>
      <c r="B140" s="1" t="n">
        <v>45834.59467592592</v>
      </c>
      <c r="C140" s="1" t="n">
        <v>45886</v>
      </c>
      <c r="D140" t="inlineStr">
        <is>
          <t>JÄMTLANDS LÄN</t>
        </is>
      </c>
      <c r="E140" t="inlineStr">
        <is>
          <t>BERG</t>
        </is>
      </c>
      <c r="F140" t="inlineStr">
        <is>
          <t>SCA</t>
        </is>
      </c>
      <c r="G140" t="n">
        <v>12.2</v>
      </c>
      <c r="H140" t="n">
        <v>0</v>
      </c>
      <c r="I140" t="n">
        <v>0</v>
      </c>
      <c r="J140" t="n">
        <v>0</v>
      </c>
      <c r="K140" t="n">
        <v>1</v>
      </c>
      <c r="L140" t="n">
        <v>0</v>
      </c>
      <c r="M140" t="n">
        <v>0</v>
      </c>
      <c r="N140" t="n">
        <v>0</v>
      </c>
      <c r="O140" t="n">
        <v>1</v>
      </c>
      <c r="P140" t="n">
        <v>1</v>
      </c>
      <c r="Q140" t="n">
        <v>1</v>
      </c>
      <c r="R140" s="2" t="inlineStr">
        <is>
          <t>Gräddporing</t>
        </is>
      </c>
      <c r="S140">
        <f>HYPERLINK("https://klasma.github.io/Logging_2326/artfynd/A 31837-2025 artfynd.xlsx", "A 31837-2025")</f>
        <v/>
      </c>
      <c r="T140">
        <f>HYPERLINK("https://klasma.github.io/Logging_2326/kartor/A 31837-2025 karta.png", "A 31837-2025")</f>
        <v/>
      </c>
      <c r="V140">
        <f>HYPERLINK("https://klasma.github.io/Logging_2326/klagomål/A 31837-2025 FSC-klagomål.docx", "A 31837-2025")</f>
        <v/>
      </c>
      <c r="W140">
        <f>HYPERLINK("https://klasma.github.io/Logging_2326/klagomålsmail/A 31837-2025 FSC-klagomål mail.docx", "A 31837-2025")</f>
        <v/>
      </c>
      <c r="X140">
        <f>HYPERLINK("https://klasma.github.io/Logging_2326/tillsyn/A 31837-2025 tillsynsbegäran.docx", "A 31837-2025")</f>
        <v/>
      </c>
      <c r="Y140">
        <f>HYPERLINK("https://klasma.github.io/Logging_2326/tillsynsmail/A 31837-2025 tillsynsbegäran mail.docx", "A 31837-2025")</f>
        <v/>
      </c>
    </row>
    <row r="141" ht="15" customHeight="1">
      <c r="A141" t="inlineStr">
        <is>
          <t>A 41635-2024</t>
        </is>
      </c>
      <c r="B141" s="1" t="n">
        <v>45560.61601851852</v>
      </c>
      <c r="C141" s="1" t="n">
        <v>45886</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37651-2025</t>
        </is>
      </c>
      <c r="B142" s="1" t="n">
        <v>45880.49006944444</v>
      </c>
      <c r="C142" s="1" t="n">
        <v>45886</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37513-2025</t>
        </is>
      </c>
      <c r="B143" s="1" t="n">
        <v>45877.69828703703</v>
      </c>
      <c r="C143" s="1" t="n">
        <v>45886</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21632-2025</t>
        </is>
      </c>
      <c r="B144" s="1" t="n">
        <v>45783.42753472222</v>
      </c>
      <c r="C144" s="1" t="n">
        <v>45886</v>
      </c>
      <c r="D144" t="inlineStr">
        <is>
          <t>JÄMTLANDS LÄN</t>
        </is>
      </c>
      <c r="E144" t="inlineStr">
        <is>
          <t>BERG</t>
        </is>
      </c>
      <c r="F144" t="inlineStr">
        <is>
          <t>SCA</t>
        </is>
      </c>
      <c r="G144" t="n">
        <v>2.9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21632-2025 artfynd.xlsx", "A 21632-2025")</f>
        <v/>
      </c>
      <c r="T144">
        <f>HYPERLINK("https://klasma.github.io/Logging_2326/kartor/A 21632-2025 karta.png", "A 21632-2025")</f>
        <v/>
      </c>
      <c r="V144">
        <f>HYPERLINK("https://klasma.github.io/Logging_2326/klagomål/A 21632-2025 FSC-klagomål.docx", "A 21632-2025")</f>
        <v/>
      </c>
      <c r="W144">
        <f>HYPERLINK("https://klasma.github.io/Logging_2326/klagomålsmail/A 21632-2025 FSC-klagomål mail.docx", "A 21632-2025")</f>
        <v/>
      </c>
      <c r="X144">
        <f>HYPERLINK("https://klasma.github.io/Logging_2326/tillsyn/A 21632-2025 tillsynsbegäran.docx", "A 21632-2025")</f>
        <v/>
      </c>
      <c r="Y144">
        <f>HYPERLINK("https://klasma.github.io/Logging_2326/tillsynsmail/A 21632-2025 tillsynsbegäran mail.docx", "A 21632-2025")</f>
        <v/>
      </c>
      <c r="Z144">
        <f>HYPERLINK("https://klasma.github.io/Logging_2326/fåglar/A 21632-2025 prioriterade fågelarter.docx", "A 21632-2025")</f>
        <v/>
      </c>
    </row>
    <row r="145" ht="15" customHeight="1">
      <c r="A145" t="inlineStr">
        <is>
          <t>A 49276-2024</t>
        </is>
      </c>
      <c r="B145" s="1" t="n">
        <v>45595.50819444445</v>
      </c>
      <c r="C145" s="1" t="n">
        <v>45886</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49276-2024 artfynd.xlsx", "A 49276-2024")</f>
        <v/>
      </c>
      <c r="T145">
        <f>HYPERLINK("https://klasma.github.io/Logging_2326/kartor/A 49276-2024 karta.png", "A 49276-2024")</f>
        <v/>
      </c>
      <c r="V145">
        <f>HYPERLINK("https://klasma.github.io/Logging_2326/klagomål/A 49276-2024 FSC-klagomål.docx", "A 49276-2024")</f>
        <v/>
      </c>
      <c r="W145">
        <f>HYPERLINK("https://klasma.github.io/Logging_2326/klagomålsmail/A 49276-2024 FSC-klagomål mail.docx", "A 49276-2024")</f>
        <v/>
      </c>
      <c r="X145">
        <f>HYPERLINK("https://klasma.github.io/Logging_2326/tillsyn/A 49276-2024 tillsynsbegäran.docx", "A 49276-2024")</f>
        <v/>
      </c>
      <c r="Y145">
        <f>HYPERLINK("https://klasma.github.io/Logging_2326/tillsynsmail/A 49276-2024 tillsynsbegäran mail.docx", "A 49276-2024")</f>
        <v/>
      </c>
    </row>
    <row r="146" ht="15" customHeight="1">
      <c r="A146" t="inlineStr">
        <is>
          <t>A 33501-2025</t>
        </is>
      </c>
      <c r="B146" s="1" t="n">
        <v>45841</v>
      </c>
      <c r="C146" s="1" t="n">
        <v>45886</v>
      </c>
      <c r="D146" t="inlineStr">
        <is>
          <t>JÄMTLANDS LÄN</t>
        </is>
      </c>
      <c r="E146" t="inlineStr">
        <is>
          <t>BERG</t>
        </is>
      </c>
      <c r="G146" t="n">
        <v>6.9</v>
      </c>
      <c r="H146" t="n">
        <v>1</v>
      </c>
      <c r="I146" t="n">
        <v>1</v>
      </c>
      <c r="J146" t="n">
        <v>0</v>
      </c>
      <c r="K146" t="n">
        <v>0</v>
      </c>
      <c r="L146" t="n">
        <v>0</v>
      </c>
      <c r="M146" t="n">
        <v>0</v>
      </c>
      <c r="N146" t="n">
        <v>0</v>
      </c>
      <c r="O146" t="n">
        <v>0</v>
      </c>
      <c r="P146" t="n">
        <v>0</v>
      </c>
      <c r="Q146" t="n">
        <v>1</v>
      </c>
      <c r="R146" s="2" t="inlineStr">
        <is>
          <t>Korallrot</t>
        </is>
      </c>
      <c r="S146">
        <f>HYPERLINK("https://klasma.github.io/Logging_2326/artfynd/A 33501-2025 artfynd.xlsx", "A 33501-2025")</f>
        <v/>
      </c>
      <c r="T146">
        <f>HYPERLINK("https://klasma.github.io/Logging_2326/kartor/A 33501-2025 karta.png", "A 33501-2025")</f>
        <v/>
      </c>
      <c r="V146">
        <f>HYPERLINK("https://klasma.github.io/Logging_2326/klagomål/A 33501-2025 FSC-klagomål.docx", "A 33501-2025")</f>
        <v/>
      </c>
      <c r="W146">
        <f>HYPERLINK("https://klasma.github.io/Logging_2326/klagomålsmail/A 33501-2025 FSC-klagomål mail.docx", "A 33501-2025")</f>
        <v/>
      </c>
      <c r="X146">
        <f>HYPERLINK("https://klasma.github.io/Logging_2326/tillsyn/A 33501-2025 tillsynsbegäran.docx", "A 33501-2025")</f>
        <v/>
      </c>
      <c r="Y146">
        <f>HYPERLINK("https://klasma.github.io/Logging_2326/tillsynsmail/A 33501-2025 tillsynsbegäran mail.docx", "A 33501-2025")</f>
        <v/>
      </c>
    </row>
    <row r="147" ht="15" customHeight="1">
      <c r="A147" t="inlineStr">
        <is>
          <t>A 54595-2024</t>
        </is>
      </c>
      <c r="B147" s="1" t="n">
        <v>45617.67353009259</v>
      </c>
      <c r="C147" s="1" t="n">
        <v>45886</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21370-2025</t>
        </is>
      </c>
      <c r="B148" s="1" t="n">
        <v>45782.4484375</v>
      </c>
      <c r="C148" s="1" t="n">
        <v>45886</v>
      </c>
      <c r="D148" t="inlineStr">
        <is>
          <t>JÄMTLANDS LÄN</t>
        </is>
      </c>
      <c r="E148" t="inlineStr">
        <is>
          <t>BERG</t>
        </is>
      </c>
      <c r="F148" t="inlineStr">
        <is>
          <t>SCA</t>
        </is>
      </c>
      <c r="G148" t="n">
        <v>14.6</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21370-2025 artfynd.xlsx", "A 21370-2025")</f>
        <v/>
      </c>
      <c r="T148">
        <f>HYPERLINK("https://klasma.github.io/Logging_2326/kartor/A 21370-2025 karta.png", "A 21370-2025")</f>
        <v/>
      </c>
      <c r="V148">
        <f>HYPERLINK("https://klasma.github.io/Logging_2326/klagomål/A 21370-2025 FSC-klagomål.docx", "A 21370-2025")</f>
        <v/>
      </c>
      <c r="W148">
        <f>HYPERLINK("https://klasma.github.io/Logging_2326/klagomålsmail/A 21370-2025 FSC-klagomål mail.docx", "A 21370-2025")</f>
        <v/>
      </c>
      <c r="X148">
        <f>HYPERLINK("https://klasma.github.io/Logging_2326/tillsyn/A 21370-2025 tillsynsbegäran.docx", "A 21370-2025")</f>
        <v/>
      </c>
      <c r="Y148">
        <f>HYPERLINK("https://klasma.github.io/Logging_2326/tillsynsmail/A 21370-2025 tillsynsbegäran mail.docx", "A 21370-2025")</f>
        <v/>
      </c>
      <c r="Z148">
        <f>HYPERLINK("https://klasma.github.io/Logging_2326/fåglar/A 21370-2025 prioriterade fågelarter.docx", "A 21370-2025")</f>
        <v/>
      </c>
    </row>
    <row r="149" ht="15" customHeight="1">
      <c r="A149" t="inlineStr">
        <is>
          <t>A 12733-2024</t>
        </is>
      </c>
      <c r="B149" s="1" t="n">
        <v>45384</v>
      </c>
      <c r="C149" s="1" t="n">
        <v>45886</v>
      </c>
      <c r="D149" t="inlineStr">
        <is>
          <t>JÄMTLANDS LÄN</t>
        </is>
      </c>
      <c r="E149" t="inlineStr">
        <is>
          <t>BERG</t>
        </is>
      </c>
      <c r="G149" t="n">
        <v>9.9</v>
      </c>
      <c r="H149" t="n">
        <v>0</v>
      </c>
      <c r="I149" t="n">
        <v>0</v>
      </c>
      <c r="J149" t="n">
        <v>1</v>
      </c>
      <c r="K149" t="n">
        <v>0</v>
      </c>
      <c r="L149" t="n">
        <v>0</v>
      </c>
      <c r="M149" t="n">
        <v>0</v>
      </c>
      <c r="N149" t="n">
        <v>0</v>
      </c>
      <c r="O149" t="n">
        <v>1</v>
      </c>
      <c r="P149" t="n">
        <v>0</v>
      </c>
      <c r="Q149" t="n">
        <v>1</v>
      </c>
      <c r="R149" s="2" t="inlineStr">
        <is>
          <t>Lunglav</t>
        </is>
      </c>
      <c r="S149">
        <f>HYPERLINK("https://klasma.github.io/Logging_2326/artfynd/A 12733-2024 artfynd.xlsx", "A 12733-2024")</f>
        <v/>
      </c>
      <c r="T149">
        <f>HYPERLINK("https://klasma.github.io/Logging_2326/kartor/A 12733-2024 karta.png", "A 12733-2024")</f>
        <v/>
      </c>
      <c r="V149">
        <f>HYPERLINK("https://klasma.github.io/Logging_2326/klagomål/A 12733-2024 FSC-klagomål.docx", "A 12733-2024")</f>
        <v/>
      </c>
      <c r="W149">
        <f>HYPERLINK("https://klasma.github.io/Logging_2326/klagomålsmail/A 12733-2024 FSC-klagomål mail.docx", "A 12733-2024")</f>
        <v/>
      </c>
      <c r="X149">
        <f>HYPERLINK("https://klasma.github.io/Logging_2326/tillsyn/A 12733-2024 tillsynsbegäran.docx", "A 12733-2024")</f>
        <v/>
      </c>
      <c r="Y149">
        <f>HYPERLINK("https://klasma.github.io/Logging_2326/tillsynsmail/A 12733-2024 tillsynsbegäran mail.docx", "A 12733-2024")</f>
        <v/>
      </c>
    </row>
    <row r="150" ht="15" customHeight="1">
      <c r="A150" t="inlineStr">
        <is>
          <t>A 40382-2024</t>
        </is>
      </c>
      <c r="B150" s="1" t="n">
        <v>45555.42225694445</v>
      </c>
      <c r="C150" s="1" t="n">
        <v>45886</v>
      </c>
      <c r="D150" t="inlineStr">
        <is>
          <t>JÄMTLANDS LÄN</t>
        </is>
      </c>
      <c r="E150" t="inlineStr">
        <is>
          <t>BERG</t>
        </is>
      </c>
      <c r="G150" t="n">
        <v>1.5</v>
      </c>
      <c r="H150" t="n">
        <v>0</v>
      </c>
      <c r="I150" t="n">
        <v>0</v>
      </c>
      <c r="J150" t="n">
        <v>1</v>
      </c>
      <c r="K150" t="n">
        <v>0</v>
      </c>
      <c r="L150" t="n">
        <v>0</v>
      </c>
      <c r="M150" t="n">
        <v>0</v>
      </c>
      <c r="N150" t="n">
        <v>0</v>
      </c>
      <c r="O150" t="n">
        <v>1</v>
      </c>
      <c r="P150" t="n">
        <v>0</v>
      </c>
      <c r="Q150" t="n">
        <v>1</v>
      </c>
      <c r="R150" s="2" t="inlineStr">
        <is>
          <t>Backruta</t>
        </is>
      </c>
      <c r="S150">
        <f>HYPERLINK("https://klasma.github.io/Logging_2326/artfynd/A 40382-2024 artfynd.xlsx", "A 40382-2024")</f>
        <v/>
      </c>
      <c r="T150">
        <f>HYPERLINK("https://klasma.github.io/Logging_2326/kartor/A 40382-2024 karta.png", "A 40382-2024")</f>
        <v/>
      </c>
      <c r="V150">
        <f>HYPERLINK("https://klasma.github.io/Logging_2326/klagomål/A 40382-2024 FSC-klagomål.docx", "A 40382-2024")</f>
        <v/>
      </c>
      <c r="W150">
        <f>HYPERLINK("https://klasma.github.io/Logging_2326/klagomålsmail/A 40382-2024 FSC-klagomål mail.docx", "A 40382-2024")</f>
        <v/>
      </c>
      <c r="X150">
        <f>HYPERLINK("https://klasma.github.io/Logging_2326/tillsyn/A 40382-2024 tillsynsbegäran.docx", "A 40382-2024")</f>
        <v/>
      </c>
      <c r="Y150">
        <f>HYPERLINK("https://klasma.github.io/Logging_2326/tillsynsmail/A 40382-2024 tillsynsbegäran mail.docx", "A 40382-2024")</f>
        <v/>
      </c>
    </row>
    <row r="151" ht="15" customHeight="1">
      <c r="A151" t="inlineStr">
        <is>
          <t>A 53086-2024</t>
        </is>
      </c>
      <c r="B151" s="1" t="n">
        <v>45611.51084490741</v>
      </c>
      <c r="C151" s="1" t="n">
        <v>45886</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40440-2024</t>
        </is>
      </c>
      <c r="B152" s="1" t="n">
        <v>45555.48267361111</v>
      </c>
      <c r="C152" s="1" t="n">
        <v>45886</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9657-2023</t>
        </is>
      </c>
      <c r="B153" s="1" t="n">
        <v>44978</v>
      </c>
      <c r="C153" s="1" t="n">
        <v>45886</v>
      </c>
      <c r="D153" t="inlineStr">
        <is>
          <t>JÄMTLANDS LÄN</t>
        </is>
      </c>
      <c r="E153" t="inlineStr">
        <is>
          <t>BERG</t>
        </is>
      </c>
      <c r="G153" t="n">
        <v>2.7</v>
      </c>
      <c r="H153" t="n">
        <v>0</v>
      </c>
      <c r="I153" t="n">
        <v>0</v>
      </c>
      <c r="J153" t="n">
        <v>1</v>
      </c>
      <c r="K153" t="n">
        <v>0</v>
      </c>
      <c r="L153" t="n">
        <v>0</v>
      </c>
      <c r="M153" t="n">
        <v>0</v>
      </c>
      <c r="N153" t="n">
        <v>0</v>
      </c>
      <c r="O153" t="n">
        <v>1</v>
      </c>
      <c r="P153" t="n">
        <v>0</v>
      </c>
      <c r="Q153" t="n">
        <v>1</v>
      </c>
      <c r="R153" s="2" t="inlineStr">
        <is>
          <t>Garnlav</t>
        </is>
      </c>
      <c r="S153">
        <f>HYPERLINK("https://klasma.github.io/Logging_2326/artfynd/A 9657-2023 artfynd.xlsx", "A 9657-2023")</f>
        <v/>
      </c>
      <c r="T153">
        <f>HYPERLINK("https://klasma.github.io/Logging_2326/kartor/A 9657-2023 karta.png", "A 9657-2023")</f>
        <v/>
      </c>
      <c r="V153">
        <f>HYPERLINK("https://klasma.github.io/Logging_2326/klagomål/A 9657-2023 FSC-klagomål.docx", "A 9657-2023")</f>
        <v/>
      </c>
      <c r="W153">
        <f>HYPERLINK("https://klasma.github.io/Logging_2326/klagomålsmail/A 9657-2023 FSC-klagomål mail.docx", "A 9657-2023")</f>
        <v/>
      </c>
      <c r="X153">
        <f>HYPERLINK("https://klasma.github.io/Logging_2326/tillsyn/A 9657-2023 tillsynsbegäran.docx", "A 9657-2023")</f>
        <v/>
      </c>
      <c r="Y153">
        <f>HYPERLINK("https://klasma.github.io/Logging_2326/tillsynsmail/A 9657-2023 tillsynsbegäran mail.docx", "A 9657-2023")</f>
        <v/>
      </c>
    </row>
    <row r="154" ht="15" customHeight="1">
      <c r="A154" t="inlineStr">
        <is>
          <t>A 68434-2021</t>
        </is>
      </c>
      <c r="B154" s="1" t="n">
        <v>44529</v>
      </c>
      <c r="C154" s="1" t="n">
        <v>45886</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53014-2022</t>
        </is>
      </c>
      <c r="B155" s="1" t="n">
        <v>44875</v>
      </c>
      <c r="C155" s="1" t="n">
        <v>45886</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50224-2023</t>
        </is>
      </c>
      <c r="B156" s="1" t="n">
        <v>45215</v>
      </c>
      <c r="C156" s="1" t="n">
        <v>45886</v>
      </c>
      <c r="D156" t="inlineStr">
        <is>
          <t>JÄMTLANDS LÄN</t>
        </is>
      </c>
      <c r="E156" t="inlineStr">
        <is>
          <t>BERG</t>
        </is>
      </c>
      <c r="F156" t="inlineStr">
        <is>
          <t>SCA</t>
        </is>
      </c>
      <c r="G156" t="n">
        <v>10.3</v>
      </c>
      <c r="H156" t="n">
        <v>0</v>
      </c>
      <c r="I156" t="n">
        <v>0</v>
      </c>
      <c r="J156" t="n">
        <v>1</v>
      </c>
      <c r="K156" t="n">
        <v>0</v>
      </c>
      <c r="L156" t="n">
        <v>0</v>
      </c>
      <c r="M156" t="n">
        <v>0</v>
      </c>
      <c r="N156" t="n">
        <v>0</v>
      </c>
      <c r="O156" t="n">
        <v>1</v>
      </c>
      <c r="P156" t="n">
        <v>0</v>
      </c>
      <c r="Q156" t="n">
        <v>1</v>
      </c>
      <c r="R156" s="2" t="inlineStr">
        <is>
          <t>Kolflarnlav</t>
        </is>
      </c>
      <c r="S156">
        <f>HYPERLINK("https://klasma.github.io/Logging_2326/artfynd/A 50224-2023 artfynd.xlsx", "A 50224-2023")</f>
        <v/>
      </c>
      <c r="T156">
        <f>HYPERLINK("https://klasma.github.io/Logging_2326/kartor/A 50224-2023 karta.png", "A 50224-2023")</f>
        <v/>
      </c>
      <c r="V156">
        <f>HYPERLINK("https://klasma.github.io/Logging_2326/klagomål/A 50224-2023 FSC-klagomål.docx", "A 50224-2023")</f>
        <v/>
      </c>
      <c r="W156">
        <f>HYPERLINK("https://klasma.github.io/Logging_2326/klagomålsmail/A 50224-2023 FSC-klagomål mail.docx", "A 50224-2023")</f>
        <v/>
      </c>
      <c r="X156">
        <f>HYPERLINK("https://klasma.github.io/Logging_2326/tillsyn/A 50224-2023 tillsynsbegäran.docx", "A 50224-2023")</f>
        <v/>
      </c>
      <c r="Y156">
        <f>HYPERLINK("https://klasma.github.io/Logging_2326/tillsynsmail/A 50224-2023 tillsynsbegäran mail.docx", "A 50224-2023")</f>
        <v/>
      </c>
    </row>
    <row r="157" ht="15" customHeight="1">
      <c r="A157" t="inlineStr">
        <is>
          <t>A 49196-2022</t>
        </is>
      </c>
      <c r="B157" s="1" t="n">
        <v>44860.95508101852</v>
      </c>
      <c r="C157" s="1" t="n">
        <v>45886</v>
      </c>
      <c r="D157" t="inlineStr">
        <is>
          <t>JÄMTLANDS LÄN</t>
        </is>
      </c>
      <c r="E157" t="inlineStr">
        <is>
          <t>BERG</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54511-2020</t>
        </is>
      </c>
      <c r="B158" s="1" t="n">
        <v>44126</v>
      </c>
      <c r="C158" s="1" t="n">
        <v>45886</v>
      </c>
      <c r="D158" t="inlineStr">
        <is>
          <t>JÄMTLANDS LÄN</t>
        </is>
      </c>
      <c r="E158" t="inlineStr">
        <is>
          <t>BERG</t>
        </is>
      </c>
      <c r="G158" t="n">
        <v>0.8</v>
      </c>
      <c r="H158" t="n">
        <v>0</v>
      </c>
      <c r="I158" t="n">
        <v>0</v>
      </c>
      <c r="J158" t="n">
        <v>0</v>
      </c>
      <c r="K158" t="n">
        <v>0</v>
      </c>
      <c r="L158" t="n">
        <v>0</v>
      </c>
      <c r="M158" t="n">
        <v>0</v>
      </c>
      <c r="N158" t="n">
        <v>0</v>
      </c>
      <c r="O158" t="n">
        <v>0</v>
      </c>
      <c r="P158" t="n">
        <v>0</v>
      </c>
      <c r="Q158" t="n">
        <v>0</v>
      </c>
      <c r="R158" s="2" t="inlineStr"/>
    </row>
    <row r="159" ht="15" customHeight="1">
      <c r="A159" t="inlineStr">
        <is>
          <t>A 39220-2020</t>
        </is>
      </c>
      <c r="B159" s="1" t="n">
        <v>44063</v>
      </c>
      <c r="C159" s="1" t="n">
        <v>45886</v>
      </c>
      <c r="D159" t="inlineStr">
        <is>
          <t>JÄMTLANDS LÄN</t>
        </is>
      </c>
      <c r="E159" t="inlineStr">
        <is>
          <t>BERG</t>
        </is>
      </c>
      <c r="G159" t="n">
        <v>1.9</v>
      </c>
      <c r="H159" t="n">
        <v>0</v>
      </c>
      <c r="I159" t="n">
        <v>0</v>
      </c>
      <c r="J159" t="n">
        <v>0</v>
      </c>
      <c r="K159" t="n">
        <v>0</v>
      </c>
      <c r="L159" t="n">
        <v>0</v>
      </c>
      <c r="M159" t="n">
        <v>0</v>
      </c>
      <c r="N159" t="n">
        <v>0</v>
      </c>
      <c r="O159" t="n">
        <v>0</v>
      </c>
      <c r="P159" t="n">
        <v>0</v>
      </c>
      <c r="Q159" t="n">
        <v>0</v>
      </c>
      <c r="R159" s="2" t="inlineStr"/>
    </row>
    <row r="160" ht="15" customHeight="1">
      <c r="A160" t="inlineStr">
        <is>
          <t>A 72926-2021</t>
        </is>
      </c>
      <c r="B160" s="1" t="n">
        <v>44546</v>
      </c>
      <c r="C160" s="1" t="n">
        <v>45886</v>
      </c>
      <c r="D160" t="inlineStr">
        <is>
          <t>JÄMTLANDS LÄN</t>
        </is>
      </c>
      <c r="E160" t="inlineStr">
        <is>
          <t>BERG</t>
        </is>
      </c>
      <c r="G160" t="n">
        <v>4.6</v>
      </c>
      <c r="H160" t="n">
        <v>0</v>
      </c>
      <c r="I160" t="n">
        <v>0</v>
      </c>
      <c r="J160" t="n">
        <v>0</v>
      </c>
      <c r="K160" t="n">
        <v>0</v>
      </c>
      <c r="L160" t="n">
        <v>0</v>
      </c>
      <c r="M160" t="n">
        <v>0</v>
      </c>
      <c r="N160" t="n">
        <v>0</v>
      </c>
      <c r="O160" t="n">
        <v>0</v>
      </c>
      <c r="P160" t="n">
        <v>0</v>
      </c>
      <c r="Q160" t="n">
        <v>0</v>
      </c>
      <c r="R160" s="2" t="inlineStr"/>
    </row>
    <row r="161" ht="15" customHeight="1">
      <c r="A161" t="inlineStr">
        <is>
          <t>A 62490-2020</t>
        </is>
      </c>
      <c r="B161" s="1" t="n">
        <v>44160</v>
      </c>
      <c r="C161" s="1" t="n">
        <v>45886</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3801-2022</t>
        </is>
      </c>
      <c r="B162" s="1" t="n">
        <v>44586.93952546296</v>
      </c>
      <c r="C162" s="1" t="n">
        <v>45886</v>
      </c>
      <c r="D162" t="inlineStr">
        <is>
          <t>JÄMTLANDS LÄN</t>
        </is>
      </c>
      <c r="E162" t="inlineStr">
        <is>
          <t>BERG</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35867-2021</t>
        </is>
      </c>
      <c r="B163" s="1" t="n">
        <v>44386.93510416667</v>
      </c>
      <c r="C163" s="1" t="n">
        <v>45886</v>
      </c>
      <c r="D163" t="inlineStr">
        <is>
          <t>JÄMTLANDS LÄN</t>
        </is>
      </c>
      <c r="E163" t="inlineStr">
        <is>
          <t>BERG</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15277-2021</t>
        </is>
      </c>
      <c r="B164" s="1" t="n">
        <v>44284.57520833334</v>
      </c>
      <c r="C164" s="1" t="n">
        <v>45886</v>
      </c>
      <c r="D164" t="inlineStr">
        <is>
          <t>JÄMTLANDS LÄN</t>
        </is>
      </c>
      <c r="E164" t="inlineStr">
        <is>
          <t>BERG</t>
        </is>
      </c>
      <c r="G164" t="n">
        <v>1</v>
      </c>
      <c r="H164" t="n">
        <v>0</v>
      </c>
      <c r="I164" t="n">
        <v>0</v>
      </c>
      <c r="J164" t="n">
        <v>0</v>
      </c>
      <c r="K164" t="n">
        <v>0</v>
      </c>
      <c r="L164" t="n">
        <v>0</v>
      </c>
      <c r="M164" t="n">
        <v>0</v>
      </c>
      <c r="N164" t="n">
        <v>0</v>
      </c>
      <c r="O164" t="n">
        <v>0</v>
      </c>
      <c r="P164" t="n">
        <v>0</v>
      </c>
      <c r="Q164" t="n">
        <v>0</v>
      </c>
      <c r="R164" s="2" t="inlineStr"/>
    </row>
    <row r="165" ht="15" customHeight="1">
      <c r="A165" t="inlineStr">
        <is>
          <t>A 2010-2022</t>
        </is>
      </c>
      <c r="B165" s="1" t="n">
        <v>44575.5847337963</v>
      </c>
      <c r="C165" s="1" t="n">
        <v>45886</v>
      </c>
      <c r="D165" t="inlineStr">
        <is>
          <t>JÄMTLANDS LÄN</t>
        </is>
      </c>
      <c r="E165" t="inlineStr">
        <is>
          <t>BERG</t>
        </is>
      </c>
      <c r="G165" t="n">
        <v>1.6</v>
      </c>
      <c r="H165" t="n">
        <v>0</v>
      </c>
      <c r="I165" t="n">
        <v>0</v>
      </c>
      <c r="J165" t="n">
        <v>0</v>
      </c>
      <c r="K165" t="n">
        <v>0</v>
      </c>
      <c r="L165" t="n">
        <v>0</v>
      </c>
      <c r="M165" t="n">
        <v>0</v>
      </c>
      <c r="N165" t="n">
        <v>0</v>
      </c>
      <c r="O165" t="n">
        <v>0</v>
      </c>
      <c r="P165" t="n">
        <v>0</v>
      </c>
      <c r="Q165" t="n">
        <v>0</v>
      </c>
      <c r="R165" s="2" t="inlineStr"/>
    </row>
    <row r="166" ht="15" customHeight="1">
      <c r="A166" t="inlineStr">
        <is>
          <t>A 24843-2021</t>
        </is>
      </c>
      <c r="B166" s="1" t="n">
        <v>44340.82405092593</v>
      </c>
      <c r="C166" s="1" t="n">
        <v>45886</v>
      </c>
      <c r="D166" t="inlineStr">
        <is>
          <t>JÄMTLANDS LÄN</t>
        </is>
      </c>
      <c r="E166" t="inlineStr">
        <is>
          <t>BERG</t>
        </is>
      </c>
      <c r="G166" t="n">
        <v>3.8</v>
      </c>
      <c r="H166" t="n">
        <v>0</v>
      </c>
      <c r="I166" t="n">
        <v>0</v>
      </c>
      <c r="J166" t="n">
        <v>0</v>
      </c>
      <c r="K166" t="n">
        <v>0</v>
      </c>
      <c r="L166" t="n">
        <v>0</v>
      </c>
      <c r="M166" t="n">
        <v>0</v>
      </c>
      <c r="N166" t="n">
        <v>0</v>
      </c>
      <c r="O166" t="n">
        <v>0</v>
      </c>
      <c r="P166" t="n">
        <v>0</v>
      </c>
      <c r="Q166" t="n">
        <v>0</v>
      </c>
      <c r="R166" s="2" t="inlineStr"/>
    </row>
    <row r="167" ht="15" customHeight="1">
      <c r="A167" t="inlineStr">
        <is>
          <t>A 70463-2021</t>
        </is>
      </c>
      <c r="B167" s="1" t="n">
        <v>44536.65293981481</v>
      </c>
      <c r="C167" s="1" t="n">
        <v>45886</v>
      </c>
      <c r="D167" t="inlineStr">
        <is>
          <t>JÄMTLANDS LÄN</t>
        </is>
      </c>
      <c r="E167" t="inlineStr">
        <is>
          <t>BERG</t>
        </is>
      </c>
      <c r="G167" t="n">
        <v>10.8</v>
      </c>
      <c r="H167" t="n">
        <v>0</v>
      </c>
      <c r="I167" t="n">
        <v>0</v>
      </c>
      <c r="J167" t="n">
        <v>0</v>
      </c>
      <c r="K167" t="n">
        <v>0</v>
      </c>
      <c r="L167" t="n">
        <v>0</v>
      </c>
      <c r="M167" t="n">
        <v>0</v>
      </c>
      <c r="N167" t="n">
        <v>0</v>
      </c>
      <c r="O167" t="n">
        <v>0</v>
      </c>
      <c r="P167" t="n">
        <v>0</v>
      </c>
      <c r="Q167" t="n">
        <v>0</v>
      </c>
      <c r="R167" s="2" t="inlineStr"/>
    </row>
    <row r="168" ht="15" customHeight="1">
      <c r="A168" t="inlineStr">
        <is>
          <t>A 28883-2021</t>
        </is>
      </c>
      <c r="B168" s="1" t="n">
        <v>44357</v>
      </c>
      <c r="C168" s="1" t="n">
        <v>45886</v>
      </c>
      <c r="D168" t="inlineStr">
        <is>
          <t>JÄMTLANDS LÄN</t>
        </is>
      </c>
      <c r="E168" t="inlineStr">
        <is>
          <t>BERG</t>
        </is>
      </c>
      <c r="F168" t="inlineStr">
        <is>
          <t>Kyrkan</t>
        </is>
      </c>
      <c r="G168" t="n">
        <v>7.3</v>
      </c>
      <c r="H168" t="n">
        <v>0</v>
      </c>
      <c r="I168" t="n">
        <v>0</v>
      </c>
      <c r="J168" t="n">
        <v>0</v>
      </c>
      <c r="K168" t="n">
        <v>0</v>
      </c>
      <c r="L168" t="n">
        <v>0</v>
      </c>
      <c r="M168" t="n">
        <v>0</v>
      </c>
      <c r="N168" t="n">
        <v>0</v>
      </c>
      <c r="O168" t="n">
        <v>0</v>
      </c>
      <c r="P168" t="n">
        <v>0</v>
      </c>
      <c r="Q168" t="n">
        <v>0</v>
      </c>
      <c r="R168" s="2" t="inlineStr"/>
    </row>
    <row r="169" ht="15" customHeight="1">
      <c r="A169" t="inlineStr">
        <is>
          <t>A 37591-2021</t>
        </is>
      </c>
      <c r="B169" s="1" t="n">
        <v>44399</v>
      </c>
      <c r="C169" s="1" t="n">
        <v>45886</v>
      </c>
      <c r="D169" t="inlineStr">
        <is>
          <t>JÄMTLANDS LÄN</t>
        </is>
      </c>
      <c r="E169" t="inlineStr">
        <is>
          <t>BERG</t>
        </is>
      </c>
      <c r="G169" t="n">
        <v>1.9</v>
      </c>
      <c r="H169" t="n">
        <v>0</v>
      </c>
      <c r="I169" t="n">
        <v>0</v>
      </c>
      <c r="J169" t="n">
        <v>0</v>
      </c>
      <c r="K169" t="n">
        <v>0</v>
      </c>
      <c r="L169" t="n">
        <v>0</v>
      </c>
      <c r="M169" t="n">
        <v>0</v>
      </c>
      <c r="N169" t="n">
        <v>0</v>
      </c>
      <c r="O169" t="n">
        <v>0</v>
      </c>
      <c r="P169" t="n">
        <v>0</v>
      </c>
      <c r="Q169" t="n">
        <v>0</v>
      </c>
      <c r="R169" s="2" t="inlineStr"/>
    </row>
    <row r="170" ht="15" customHeight="1">
      <c r="A170" t="inlineStr">
        <is>
          <t>A 2544-2022</t>
        </is>
      </c>
      <c r="B170" s="1" t="n">
        <v>44579.9719212963</v>
      </c>
      <c r="C170" s="1" t="n">
        <v>45886</v>
      </c>
      <c r="D170" t="inlineStr">
        <is>
          <t>JÄMTLANDS LÄN</t>
        </is>
      </c>
      <c r="E170" t="inlineStr">
        <is>
          <t>BERG</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43296-2022</t>
        </is>
      </c>
      <c r="B171" s="1" t="n">
        <v>44834</v>
      </c>
      <c r="C171" s="1" t="n">
        <v>45886</v>
      </c>
      <c r="D171" t="inlineStr">
        <is>
          <t>JÄMTLANDS LÄN</t>
        </is>
      </c>
      <c r="E171" t="inlineStr">
        <is>
          <t>BERG</t>
        </is>
      </c>
      <c r="G171" t="n">
        <v>3.7</v>
      </c>
      <c r="H171" t="n">
        <v>0</v>
      </c>
      <c r="I171" t="n">
        <v>0</v>
      </c>
      <c r="J171" t="n">
        <v>0</v>
      </c>
      <c r="K171" t="n">
        <v>0</v>
      </c>
      <c r="L171" t="n">
        <v>0</v>
      </c>
      <c r="M171" t="n">
        <v>0</v>
      </c>
      <c r="N171" t="n">
        <v>0</v>
      </c>
      <c r="O171" t="n">
        <v>0</v>
      </c>
      <c r="P171" t="n">
        <v>0</v>
      </c>
      <c r="Q171" t="n">
        <v>0</v>
      </c>
      <c r="R171" s="2" t="inlineStr"/>
    </row>
    <row r="172" ht="15" customHeight="1">
      <c r="A172" t="inlineStr">
        <is>
          <t>A 16828-2021</t>
        </is>
      </c>
      <c r="B172" s="1" t="n">
        <v>44293</v>
      </c>
      <c r="C172" s="1" t="n">
        <v>45886</v>
      </c>
      <c r="D172" t="inlineStr">
        <is>
          <t>JÄMTLANDS LÄN</t>
        </is>
      </c>
      <c r="E172" t="inlineStr">
        <is>
          <t>BERG</t>
        </is>
      </c>
      <c r="G172" t="n">
        <v>2.2</v>
      </c>
      <c r="H172" t="n">
        <v>0</v>
      </c>
      <c r="I172" t="n">
        <v>0</v>
      </c>
      <c r="J172" t="n">
        <v>0</v>
      </c>
      <c r="K172" t="n">
        <v>0</v>
      </c>
      <c r="L172" t="n">
        <v>0</v>
      </c>
      <c r="M172" t="n">
        <v>0</v>
      </c>
      <c r="N172" t="n">
        <v>0</v>
      </c>
      <c r="O172" t="n">
        <v>0</v>
      </c>
      <c r="P172" t="n">
        <v>0</v>
      </c>
      <c r="Q172" t="n">
        <v>0</v>
      </c>
      <c r="R172" s="2" t="inlineStr"/>
    </row>
    <row r="173" ht="15" customHeight="1">
      <c r="A173" t="inlineStr">
        <is>
          <t>A 36373-2022</t>
        </is>
      </c>
      <c r="B173" s="1" t="n">
        <v>44803</v>
      </c>
      <c r="C173" s="1" t="n">
        <v>45886</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3870-2022</t>
        </is>
      </c>
      <c r="B174" s="1" t="n">
        <v>44587</v>
      </c>
      <c r="C174" s="1" t="n">
        <v>45886</v>
      </c>
      <c r="D174" t="inlineStr">
        <is>
          <t>JÄMTLANDS LÄN</t>
        </is>
      </c>
      <c r="E174" t="inlineStr">
        <is>
          <t>BERG</t>
        </is>
      </c>
      <c r="G174" t="n">
        <v>2</v>
      </c>
      <c r="H174" t="n">
        <v>0</v>
      </c>
      <c r="I174" t="n">
        <v>0</v>
      </c>
      <c r="J174" t="n">
        <v>0</v>
      </c>
      <c r="K174" t="n">
        <v>0</v>
      </c>
      <c r="L174" t="n">
        <v>0</v>
      </c>
      <c r="M174" t="n">
        <v>0</v>
      </c>
      <c r="N174" t="n">
        <v>0</v>
      </c>
      <c r="O174" t="n">
        <v>0</v>
      </c>
      <c r="P174" t="n">
        <v>0</v>
      </c>
      <c r="Q174" t="n">
        <v>0</v>
      </c>
      <c r="R174" s="2" t="inlineStr"/>
    </row>
    <row r="175" ht="15" customHeight="1">
      <c r="A175" t="inlineStr">
        <is>
          <t>A 3511-2021</t>
        </is>
      </c>
      <c r="B175" s="1" t="n">
        <v>44218</v>
      </c>
      <c r="C175" s="1" t="n">
        <v>45886</v>
      </c>
      <c r="D175" t="inlineStr">
        <is>
          <t>JÄMTLANDS LÄN</t>
        </is>
      </c>
      <c r="E175" t="inlineStr">
        <is>
          <t>BERG</t>
        </is>
      </c>
      <c r="G175" t="n">
        <v>3.9</v>
      </c>
      <c r="H175" t="n">
        <v>0</v>
      </c>
      <c r="I175" t="n">
        <v>0</v>
      </c>
      <c r="J175" t="n">
        <v>0</v>
      </c>
      <c r="K175" t="n">
        <v>0</v>
      </c>
      <c r="L175" t="n">
        <v>0</v>
      </c>
      <c r="M175" t="n">
        <v>0</v>
      </c>
      <c r="N175" t="n">
        <v>0</v>
      </c>
      <c r="O175" t="n">
        <v>0</v>
      </c>
      <c r="P175" t="n">
        <v>0</v>
      </c>
      <c r="Q175" t="n">
        <v>0</v>
      </c>
      <c r="R175" s="2" t="inlineStr"/>
    </row>
    <row r="176" ht="15" customHeight="1">
      <c r="A176" t="inlineStr">
        <is>
          <t>A 68450-2021</t>
        </is>
      </c>
      <c r="B176" s="1" t="n">
        <v>44529</v>
      </c>
      <c r="C176" s="1" t="n">
        <v>45886</v>
      </c>
      <c r="D176" t="inlineStr">
        <is>
          <t>JÄMTLANDS LÄN</t>
        </is>
      </c>
      <c r="E176" t="inlineStr">
        <is>
          <t>BERG</t>
        </is>
      </c>
      <c r="G176" t="n">
        <v>7.3</v>
      </c>
      <c r="H176" t="n">
        <v>0</v>
      </c>
      <c r="I176" t="n">
        <v>0</v>
      </c>
      <c r="J176" t="n">
        <v>0</v>
      </c>
      <c r="K176" t="n">
        <v>0</v>
      </c>
      <c r="L176" t="n">
        <v>0</v>
      </c>
      <c r="M176" t="n">
        <v>0</v>
      </c>
      <c r="N176" t="n">
        <v>0</v>
      </c>
      <c r="O176" t="n">
        <v>0</v>
      </c>
      <c r="P176" t="n">
        <v>0</v>
      </c>
      <c r="Q176" t="n">
        <v>0</v>
      </c>
      <c r="R176" s="2" t="inlineStr"/>
    </row>
    <row r="177" ht="15" customHeight="1">
      <c r="A177" t="inlineStr">
        <is>
          <t>A 44443-2022</t>
        </is>
      </c>
      <c r="B177" s="1" t="n">
        <v>44839.95467592592</v>
      </c>
      <c r="C177" s="1" t="n">
        <v>45886</v>
      </c>
      <c r="D177" t="inlineStr">
        <is>
          <t>JÄMTLANDS LÄN</t>
        </is>
      </c>
      <c r="E177" t="inlineStr">
        <is>
          <t>BERG</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25265-2022</t>
        </is>
      </c>
      <c r="B178" s="1" t="n">
        <v>44729.94224537037</v>
      </c>
      <c r="C178" s="1" t="n">
        <v>45886</v>
      </c>
      <c r="D178" t="inlineStr">
        <is>
          <t>JÄMTLANDS LÄN</t>
        </is>
      </c>
      <c r="E178" t="inlineStr">
        <is>
          <t>BERG</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36720-2021</t>
        </is>
      </c>
      <c r="B179" s="1" t="n">
        <v>44392</v>
      </c>
      <c r="C179" s="1" t="n">
        <v>45886</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16822-2021</t>
        </is>
      </c>
      <c r="B180" s="1" t="n">
        <v>44293</v>
      </c>
      <c r="C180" s="1" t="n">
        <v>45886</v>
      </c>
      <c r="D180" t="inlineStr">
        <is>
          <t>JÄMTLANDS LÄN</t>
        </is>
      </c>
      <c r="E180" t="inlineStr">
        <is>
          <t>BERG</t>
        </is>
      </c>
      <c r="G180" t="n">
        <v>4.5</v>
      </c>
      <c r="H180" t="n">
        <v>0</v>
      </c>
      <c r="I180" t="n">
        <v>0</v>
      </c>
      <c r="J180" t="n">
        <v>0</v>
      </c>
      <c r="K180" t="n">
        <v>0</v>
      </c>
      <c r="L180" t="n">
        <v>0</v>
      </c>
      <c r="M180" t="n">
        <v>0</v>
      </c>
      <c r="N180" t="n">
        <v>0</v>
      </c>
      <c r="O180" t="n">
        <v>0</v>
      </c>
      <c r="P180" t="n">
        <v>0</v>
      </c>
      <c r="Q180" t="n">
        <v>0</v>
      </c>
      <c r="R180" s="2" t="inlineStr"/>
    </row>
    <row r="181" ht="15" customHeight="1">
      <c r="A181" t="inlineStr">
        <is>
          <t>A 16825-2021</t>
        </is>
      </c>
      <c r="B181" s="1" t="n">
        <v>44293</v>
      </c>
      <c r="C181" s="1" t="n">
        <v>45886</v>
      </c>
      <c r="D181" t="inlineStr">
        <is>
          <t>JÄMTLANDS LÄN</t>
        </is>
      </c>
      <c r="E181" t="inlineStr">
        <is>
          <t>BERG</t>
        </is>
      </c>
      <c r="G181" t="n">
        <v>20</v>
      </c>
      <c r="H181" t="n">
        <v>0</v>
      </c>
      <c r="I181" t="n">
        <v>0</v>
      </c>
      <c r="J181" t="n">
        <v>0</v>
      </c>
      <c r="K181" t="n">
        <v>0</v>
      </c>
      <c r="L181" t="n">
        <v>0</v>
      </c>
      <c r="M181" t="n">
        <v>0</v>
      </c>
      <c r="N181" t="n">
        <v>0</v>
      </c>
      <c r="O181" t="n">
        <v>0</v>
      </c>
      <c r="P181" t="n">
        <v>0</v>
      </c>
      <c r="Q181" t="n">
        <v>0</v>
      </c>
      <c r="R181" s="2" t="inlineStr"/>
    </row>
    <row r="182" ht="15" customHeight="1">
      <c r="A182" t="inlineStr">
        <is>
          <t>A 55311-2020</t>
        </is>
      </c>
      <c r="B182" s="1" t="n">
        <v>44130</v>
      </c>
      <c r="C182" s="1" t="n">
        <v>45886</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46937-2021</t>
        </is>
      </c>
      <c r="B183" s="1" t="n">
        <v>44446</v>
      </c>
      <c r="C183" s="1" t="n">
        <v>45886</v>
      </c>
      <c r="D183" t="inlineStr">
        <is>
          <t>JÄMTLANDS LÄN</t>
        </is>
      </c>
      <c r="E183" t="inlineStr">
        <is>
          <t>BERG</t>
        </is>
      </c>
      <c r="G183" t="n">
        <v>3</v>
      </c>
      <c r="H183" t="n">
        <v>0</v>
      </c>
      <c r="I183" t="n">
        <v>0</v>
      </c>
      <c r="J183" t="n">
        <v>0</v>
      </c>
      <c r="K183" t="n">
        <v>0</v>
      </c>
      <c r="L183" t="n">
        <v>0</v>
      </c>
      <c r="M183" t="n">
        <v>0</v>
      </c>
      <c r="N183" t="n">
        <v>0</v>
      </c>
      <c r="O183" t="n">
        <v>0</v>
      </c>
      <c r="P183" t="n">
        <v>0</v>
      </c>
      <c r="Q183" t="n">
        <v>0</v>
      </c>
      <c r="R183" s="2" t="inlineStr"/>
    </row>
    <row r="184" ht="15" customHeight="1">
      <c r="A184" t="inlineStr">
        <is>
          <t>A 14163-2021</t>
        </is>
      </c>
      <c r="B184" s="1" t="n">
        <v>44277</v>
      </c>
      <c r="C184" s="1" t="n">
        <v>45886</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14224-2021</t>
        </is>
      </c>
      <c r="B185" s="1" t="n">
        <v>44277</v>
      </c>
      <c r="C185" s="1" t="n">
        <v>45886</v>
      </c>
      <c r="D185" t="inlineStr">
        <is>
          <t>JÄMTLANDS LÄN</t>
        </is>
      </c>
      <c r="E185" t="inlineStr">
        <is>
          <t>BERG</t>
        </is>
      </c>
      <c r="G185" t="n">
        <v>24.9</v>
      </c>
      <c r="H185" t="n">
        <v>0</v>
      </c>
      <c r="I185" t="n">
        <v>0</v>
      </c>
      <c r="J185" t="n">
        <v>0</v>
      </c>
      <c r="K185" t="n">
        <v>0</v>
      </c>
      <c r="L185" t="n">
        <v>0</v>
      </c>
      <c r="M185" t="n">
        <v>0</v>
      </c>
      <c r="N185" t="n">
        <v>0</v>
      </c>
      <c r="O185" t="n">
        <v>0</v>
      </c>
      <c r="P185" t="n">
        <v>0</v>
      </c>
      <c r="Q185" t="n">
        <v>0</v>
      </c>
      <c r="R185" s="2" t="inlineStr"/>
    </row>
    <row r="186" ht="15" customHeight="1">
      <c r="A186" t="inlineStr">
        <is>
          <t>A 24136-2021</t>
        </is>
      </c>
      <c r="B186" s="1" t="n">
        <v>44336.540625</v>
      </c>
      <c r="C186" s="1" t="n">
        <v>45886</v>
      </c>
      <c r="D186" t="inlineStr">
        <is>
          <t>JÄMTLANDS LÄN</t>
        </is>
      </c>
      <c r="E186" t="inlineStr">
        <is>
          <t>BERG</t>
        </is>
      </c>
      <c r="G186" t="n">
        <v>12.6</v>
      </c>
      <c r="H186" t="n">
        <v>0</v>
      </c>
      <c r="I186" t="n">
        <v>0</v>
      </c>
      <c r="J186" t="n">
        <v>0</v>
      </c>
      <c r="K186" t="n">
        <v>0</v>
      </c>
      <c r="L186" t="n">
        <v>0</v>
      </c>
      <c r="M186" t="n">
        <v>0</v>
      </c>
      <c r="N186" t="n">
        <v>0</v>
      </c>
      <c r="O186" t="n">
        <v>0</v>
      </c>
      <c r="P186" t="n">
        <v>0</v>
      </c>
      <c r="Q186" t="n">
        <v>0</v>
      </c>
      <c r="R186" s="2" t="inlineStr"/>
    </row>
    <row r="187" ht="15" customHeight="1">
      <c r="A187" t="inlineStr">
        <is>
          <t>A 46635-2020</t>
        </is>
      </c>
      <c r="B187" s="1" t="n">
        <v>44095</v>
      </c>
      <c r="C187" s="1" t="n">
        <v>45886</v>
      </c>
      <c r="D187" t="inlineStr">
        <is>
          <t>JÄMTLANDS LÄN</t>
        </is>
      </c>
      <c r="E187" t="inlineStr">
        <is>
          <t>BERG</t>
        </is>
      </c>
      <c r="F187" t="inlineStr">
        <is>
          <t>Kommuner</t>
        </is>
      </c>
      <c r="G187" t="n">
        <v>14.5</v>
      </c>
      <c r="H187" t="n">
        <v>0</v>
      </c>
      <c r="I187" t="n">
        <v>0</v>
      </c>
      <c r="J187" t="n">
        <v>0</v>
      </c>
      <c r="K187" t="n">
        <v>0</v>
      </c>
      <c r="L187" t="n">
        <v>0</v>
      </c>
      <c r="M187" t="n">
        <v>0</v>
      </c>
      <c r="N187" t="n">
        <v>0</v>
      </c>
      <c r="O187" t="n">
        <v>0</v>
      </c>
      <c r="P187" t="n">
        <v>0</v>
      </c>
      <c r="Q187" t="n">
        <v>0</v>
      </c>
      <c r="R187" s="2" t="inlineStr"/>
    </row>
    <row r="188" ht="15" customHeight="1">
      <c r="A188" t="inlineStr">
        <is>
          <t>A 27144-2021</t>
        </is>
      </c>
      <c r="B188" s="1" t="n">
        <v>44350</v>
      </c>
      <c r="C188" s="1" t="n">
        <v>45886</v>
      </c>
      <c r="D188" t="inlineStr">
        <is>
          <t>JÄMTLANDS LÄN</t>
        </is>
      </c>
      <c r="E188" t="inlineStr">
        <is>
          <t>BERG</t>
        </is>
      </c>
      <c r="F188" t="inlineStr">
        <is>
          <t>Sveaskog</t>
        </is>
      </c>
      <c r="G188" t="n">
        <v>10.2</v>
      </c>
      <c r="H188" t="n">
        <v>0</v>
      </c>
      <c r="I188" t="n">
        <v>0</v>
      </c>
      <c r="J188" t="n">
        <v>0</v>
      </c>
      <c r="K188" t="n">
        <v>0</v>
      </c>
      <c r="L188" t="n">
        <v>0</v>
      </c>
      <c r="M188" t="n">
        <v>0</v>
      </c>
      <c r="N188" t="n">
        <v>0</v>
      </c>
      <c r="O188" t="n">
        <v>0</v>
      </c>
      <c r="P188" t="n">
        <v>0</v>
      </c>
      <c r="Q188" t="n">
        <v>0</v>
      </c>
      <c r="R188" s="2" t="inlineStr"/>
    </row>
    <row r="189" ht="15" customHeight="1">
      <c r="A189" t="inlineStr">
        <is>
          <t>A 33558-2021</t>
        </is>
      </c>
      <c r="B189" s="1" t="n">
        <v>44377</v>
      </c>
      <c r="C189" s="1" t="n">
        <v>45886</v>
      </c>
      <c r="D189" t="inlineStr">
        <is>
          <t>JÄMTLANDS LÄN</t>
        </is>
      </c>
      <c r="E189" t="inlineStr">
        <is>
          <t>BERG</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52927-2022</t>
        </is>
      </c>
      <c r="B190" s="1" t="n">
        <v>44872</v>
      </c>
      <c r="C190" s="1" t="n">
        <v>45886</v>
      </c>
      <c r="D190" t="inlineStr">
        <is>
          <t>JÄMTLANDS LÄN</t>
        </is>
      </c>
      <c r="E190" t="inlineStr">
        <is>
          <t>BERG</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41819-2021</t>
        </is>
      </c>
      <c r="B191" s="1" t="n">
        <v>44425.85641203704</v>
      </c>
      <c r="C191" s="1" t="n">
        <v>45886</v>
      </c>
      <c r="D191" t="inlineStr">
        <is>
          <t>JÄMTLANDS LÄN</t>
        </is>
      </c>
      <c r="E191" t="inlineStr">
        <is>
          <t>BERG</t>
        </is>
      </c>
      <c r="G191" t="n">
        <v>1.5</v>
      </c>
      <c r="H191" t="n">
        <v>0</v>
      </c>
      <c r="I191" t="n">
        <v>0</v>
      </c>
      <c r="J191" t="n">
        <v>0</v>
      </c>
      <c r="K191" t="n">
        <v>0</v>
      </c>
      <c r="L191" t="n">
        <v>0</v>
      </c>
      <c r="M191" t="n">
        <v>0</v>
      </c>
      <c r="N191" t="n">
        <v>0</v>
      </c>
      <c r="O191" t="n">
        <v>0</v>
      </c>
      <c r="P191" t="n">
        <v>0</v>
      </c>
      <c r="Q191" t="n">
        <v>0</v>
      </c>
      <c r="R191" s="2" t="inlineStr"/>
    </row>
    <row r="192" ht="15" customHeight="1">
      <c r="A192" t="inlineStr">
        <is>
          <t>A 62494-2020</t>
        </is>
      </c>
      <c r="B192" s="1" t="n">
        <v>44160</v>
      </c>
      <c r="C192" s="1" t="n">
        <v>45886</v>
      </c>
      <c r="D192" t="inlineStr">
        <is>
          <t>JÄMTLANDS LÄN</t>
        </is>
      </c>
      <c r="E192" t="inlineStr">
        <is>
          <t>BERG</t>
        </is>
      </c>
      <c r="G192" t="n">
        <v>7.5</v>
      </c>
      <c r="H192" t="n">
        <v>0</v>
      </c>
      <c r="I192" t="n">
        <v>0</v>
      </c>
      <c r="J192" t="n">
        <v>0</v>
      </c>
      <c r="K192" t="n">
        <v>0</v>
      </c>
      <c r="L192" t="n">
        <v>0</v>
      </c>
      <c r="M192" t="n">
        <v>0</v>
      </c>
      <c r="N192" t="n">
        <v>0</v>
      </c>
      <c r="O192" t="n">
        <v>0</v>
      </c>
      <c r="P192" t="n">
        <v>0</v>
      </c>
      <c r="Q192" t="n">
        <v>0</v>
      </c>
      <c r="R192" s="2" t="inlineStr"/>
    </row>
    <row r="193" ht="15" customHeight="1">
      <c r="A193" t="inlineStr">
        <is>
          <t>A 39212-2020</t>
        </is>
      </c>
      <c r="B193" s="1" t="n">
        <v>44063</v>
      </c>
      <c r="C193" s="1" t="n">
        <v>45886</v>
      </c>
      <c r="D193" t="inlineStr">
        <is>
          <t>JÄMTLANDS LÄN</t>
        </is>
      </c>
      <c r="E193" t="inlineStr">
        <is>
          <t>BERG</t>
        </is>
      </c>
      <c r="G193" t="n">
        <v>0.9</v>
      </c>
      <c r="H193" t="n">
        <v>0</v>
      </c>
      <c r="I193" t="n">
        <v>0</v>
      </c>
      <c r="J193" t="n">
        <v>0</v>
      </c>
      <c r="K193" t="n">
        <v>0</v>
      </c>
      <c r="L193" t="n">
        <v>0</v>
      </c>
      <c r="M193" t="n">
        <v>0</v>
      </c>
      <c r="N193" t="n">
        <v>0</v>
      </c>
      <c r="O193" t="n">
        <v>0</v>
      </c>
      <c r="P193" t="n">
        <v>0</v>
      </c>
      <c r="Q193" t="n">
        <v>0</v>
      </c>
      <c r="R193" s="2" t="inlineStr"/>
    </row>
    <row r="194" ht="15" customHeight="1">
      <c r="A194" t="inlineStr">
        <is>
          <t>A 164-2022</t>
        </is>
      </c>
      <c r="B194" s="1" t="n">
        <v>44564</v>
      </c>
      <c r="C194" s="1" t="n">
        <v>45886</v>
      </c>
      <c r="D194" t="inlineStr">
        <is>
          <t>JÄMTLANDS LÄN</t>
        </is>
      </c>
      <c r="E194" t="inlineStr">
        <is>
          <t>BERG</t>
        </is>
      </c>
      <c r="G194" t="n">
        <v>12.4</v>
      </c>
      <c r="H194" t="n">
        <v>0</v>
      </c>
      <c r="I194" t="n">
        <v>0</v>
      </c>
      <c r="J194" t="n">
        <v>0</v>
      </c>
      <c r="K194" t="n">
        <v>0</v>
      </c>
      <c r="L194" t="n">
        <v>0</v>
      </c>
      <c r="M194" t="n">
        <v>0</v>
      </c>
      <c r="N194" t="n">
        <v>0</v>
      </c>
      <c r="O194" t="n">
        <v>0</v>
      </c>
      <c r="P194" t="n">
        <v>0</v>
      </c>
      <c r="Q194" t="n">
        <v>0</v>
      </c>
      <c r="R194" s="2" t="inlineStr"/>
    </row>
    <row r="195" ht="15" customHeight="1">
      <c r="A195" t="inlineStr">
        <is>
          <t>A 70468-2021</t>
        </is>
      </c>
      <c r="B195" s="1" t="n">
        <v>44536.66070601852</v>
      </c>
      <c r="C195" s="1" t="n">
        <v>45886</v>
      </c>
      <c r="D195" t="inlineStr">
        <is>
          <t>JÄMTLANDS LÄN</t>
        </is>
      </c>
      <c r="E195" t="inlineStr">
        <is>
          <t>BERG</t>
        </is>
      </c>
      <c r="G195" t="n">
        <v>3.9</v>
      </c>
      <c r="H195" t="n">
        <v>0</v>
      </c>
      <c r="I195" t="n">
        <v>0</v>
      </c>
      <c r="J195" t="n">
        <v>0</v>
      </c>
      <c r="K195" t="n">
        <v>0</v>
      </c>
      <c r="L195" t="n">
        <v>0</v>
      </c>
      <c r="M195" t="n">
        <v>0</v>
      </c>
      <c r="N195" t="n">
        <v>0</v>
      </c>
      <c r="O195" t="n">
        <v>0</v>
      </c>
      <c r="P195" t="n">
        <v>0</v>
      </c>
      <c r="Q195" t="n">
        <v>0</v>
      </c>
      <c r="R195" s="2" t="inlineStr"/>
    </row>
    <row r="196" ht="15" customHeight="1">
      <c r="A196" t="inlineStr">
        <is>
          <t>A 9114-2022</t>
        </is>
      </c>
      <c r="B196" s="1" t="n">
        <v>44615</v>
      </c>
      <c r="C196" s="1" t="n">
        <v>45886</v>
      </c>
      <c r="D196" t="inlineStr">
        <is>
          <t>JÄMTLANDS LÄN</t>
        </is>
      </c>
      <c r="E196" t="inlineStr">
        <is>
          <t>BERG</t>
        </is>
      </c>
      <c r="G196" t="n">
        <v>2.9</v>
      </c>
      <c r="H196" t="n">
        <v>0</v>
      </c>
      <c r="I196" t="n">
        <v>0</v>
      </c>
      <c r="J196" t="n">
        <v>0</v>
      </c>
      <c r="K196" t="n">
        <v>0</v>
      </c>
      <c r="L196" t="n">
        <v>0</v>
      </c>
      <c r="M196" t="n">
        <v>0</v>
      </c>
      <c r="N196" t="n">
        <v>0</v>
      </c>
      <c r="O196" t="n">
        <v>0</v>
      </c>
      <c r="P196" t="n">
        <v>0</v>
      </c>
      <c r="Q196" t="n">
        <v>0</v>
      </c>
      <c r="R196" s="2" t="inlineStr"/>
    </row>
    <row r="197" ht="15" customHeight="1">
      <c r="A197" t="inlineStr">
        <is>
          <t>A 46199-2022</t>
        </is>
      </c>
      <c r="B197" s="1" t="n">
        <v>44847.53822916667</v>
      </c>
      <c r="C197" s="1" t="n">
        <v>45886</v>
      </c>
      <c r="D197" t="inlineStr">
        <is>
          <t>JÄMTLANDS LÄN</t>
        </is>
      </c>
      <c r="E197" t="inlineStr">
        <is>
          <t>BERG</t>
        </is>
      </c>
      <c r="G197" t="n">
        <v>5.6</v>
      </c>
      <c r="H197" t="n">
        <v>0</v>
      </c>
      <c r="I197" t="n">
        <v>0</v>
      </c>
      <c r="J197" t="n">
        <v>0</v>
      </c>
      <c r="K197" t="n">
        <v>0</v>
      </c>
      <c r="L197" t="n">
        <v>0</v>
      </c>
      <c r="M197" t="n">
        <v>0</v>
      </c>
      <c r="N197" t="n">
        <v>0</v>
      </c>
      <c r="O197" t="n">
        <v>0</v>
      </c>
      <c r="P197" t="n">
        <v>0</v>
      </c>
      <c r="Q197" t="n">
        <v>0</v>
      </c>
      <c r="R197" s="2" t="inlineStr"/>
    </row>
    <row r="198" ht="15" customHeight="1">
      <c r="A198" t="inlineStr">
        <is>
          <t>A 46115-2021</t>
        </is>
      </c>
      <c r="B198" s="1" t="n">
        <v>44441</v>
      </c>
      <c r="C198" s="1" t="n">
        <v>45886</v>
      </c>
      <c r="D198" t="inlineStr">
        <is>
          <t>JÄMTLANDS LÄN</t>
        </is>
      </c>
      <c r="E198" t="inlineStr">
        <is>
          <t>BERG</t>
        </is>
      </c>
      <c r="G198" t="n">
        <v>15.1</v>
      </c>
      <c r="H198" t="n">
        <v>0</v>
      </c>
      <c r="I198" t="n">
        <v>0</v>
      </c>
      <c r="J198" t="n">
        <v>0</v>
      </c>
      <c r="K198" t="n">
        <v>0</v>
      </c>
      <c r="L198" t="n">
        <v>0</v>
      </c>
      <c r="M198" t="n">
        <v>0</v>
      </c>
      <c r="N198" t="n">
        <v>0</v>
      </c>
      <c r="O198" t="n">
        <v>0</v>
      </c>
      <c r="P198" t="n">
        <v>0</v>
      </c>
      <c r="Q198" t="n">
        <v>0</v>
      </c>
      <c r="R198" s="2" t="inlineStr"/>
    </row>
    <row r="199" ht="15" customHeight="1">
      <c r="A199" t="inlineStr">
        <is>
          <t>A 19809-2022</t>
        </is>
      </c>
      <c r="B199" s="1" t="n">
        <v>44694</v>
      </c>
      <c r="C199" s="1" t="n">
        <v>45886</v>
      </c>
      <c r="D199" t="inlineStr">
        <is>
          <t>JÄMTLANDS LÄN</t>
        </is>
      </c>
      <c r="E199" t="inlineStr">
        <is>
          <t>BERG</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58088-2021</t>
        </is>
      </c>
      <c r="B200" s="1" t="n">
        <v>44487.50133101852</v>
      </c>
      <c r="C200" s="1" t="n">
        <v>45886</v>
      </c>
      <c r="D200" t="inlineStr">
        <is>
          <t>JÄMTLANDS LÄN</t>
        </is>
      </c>
      <c r="E200" t="inlineStr">
        <is>
          <t>BERG</t>
        </is>
      </c>
      <c r="F200" t="inlineStr">
        <is>
          <t>Sveaskog</t>
        </is>
      </c>
      <c r="G200" t="n">
        <v>10.7</v>
      </c>
      <c r="H200" t="n">
        <v>0</v>
      </c>
      <c r="I200" t="n">
        <v>0</v>
      </c>
      <c r="J200" t="n">
        <v>0</v>
      </c>
      <c r="K200" t="n">
        <v>0</v>
      </c>
      <c r="L200" t="n">
        <v>0</v>
      </c>
      <c r="M200" t="n">
        <v>0</v>
      </c>
      <c r="N200" t="n">
        <v>0</v>
      </c>
      <c r="O200" t="n">
        <v>0</v>
      </c>
      <c r="P200" t="n">
        <v>0</v>
      </c>
      <c r="Q200" t="n">
        <v>0</v>
      </c>
      <c r="R200" s="2" t="inlineStr"/>
    </row>
    <row r="201" ht="15" customHeight="1">
      <c r="A201" t="inlineStr">
        <is>
          <t>A 13636-2022</t>
        </is>
      </c>
      <c r="B201" s="1" t="n">
        <v>44648</v>
      </c>
      <c r="C201" s="1" t="n">
        <v>45886</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48756-2022</t>
        </is>
      </c>
      <c r="B202" s="1" t="n">
        <v>44859</v>
      </c>
      <c r="C202" s="1" t="n">
        <v>45886</v>
      </c>
      <c r="D202" t="inlineStr">
        <is>
          <t>JÄMTLANDS LÄN</t>
        </is>
      </c>
      <c r="E202" t="inlineStr">
        <is>
          <t>BERG</t>
        </is>
      </c>
      <c r="G202" t="n">
        <v>10.8</v>
      </c>
      <c r="H202" t="n">
        <v>0</v>
      </c>
      <c r="I202" t="n">
        <v>0</v>
      </c>
      <c r="J202" t="n">
        <v>0</v>
      </c>
      <c r="K202" t="n">
        <v>0</v>
      </c>
      <c r="L202" t="n">
        <v>0</v>
      </c>
      <c r="M202" t="n">
        <v>0</v>
      </c>
      <c r="N202" t="n">
        <v>0</v>
      </c>
      <c r="O202" t="n">
        <v>0</v>
      </c>
      <c r="P202" t="n">
        <v>0</v>
      </c>
      <c r="Q202" t="n">
        <v>0</v>
      </c>
      <c r="R202" s="2" t="inlineStr"/>
    </row>
    <row r="203" ht="15" customHeight="1">
      <c r="A203" t="inlineStr">
        <is>
          <t>A 37726-2022</t>
        </is>
      </c>
      <c r="B203" s="1" t="n">
        <v>44810.56636574074</v>
      </c>
      <c r="C203" s="1" t="n">
        <v>45886</v>
      </c>
      <c r="D203" t="inlineStr">
        <is>
          <t>JÄMTLANDS LÄN</t>
        </is>
      </c>
      <c r="E203" t="inlineStr">
        <is>
          <t>BERG</t>
        </is>
      </c>
      <c r="G203" t="n">
        <v>1.4</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45886</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45886</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46660-2020</t>
        </is>
      </c>
      <c r="B206" s="1" t="n">
        <v>44095.59981481481</v>
      </c>
      <c r="C206" s="1" t="n">
        <v>45886</v>
      </c>
      <c r="D206" t="inlineStr">
        <is>
          <t>JÄMTLANDS LÄN</t>
        </is>
      </c>
      <c r="E206" t="inlineStr">
        <is>
          <t>BERG</t>
        </is>
      </c>
      <c r="F206" t="inlineStr">
        <is>
          <t>Kommuner</t>
        </is>
      </c>
      <c r="G206" t="n">
        <v>2.1</v>
      </c>
      <c r="H206" t="n">
        <v>0</v>
      </c>
      <c r="I206" t="n">
        <v>0</v>
      </c>
      <c r="J206" t="n">
        <v>0</v>
      </c>
      <c r="K206" t="n">
        <v>0</v>
      </c>
      <c r="L206" t="n">
        <v>0</v>
      </c>
      <c r="M206" t="n">
        <v>0</v>
      </c>
      <c r="N206" t="n">
        <v>0</v>
      </c>
      <c r="O206" t="n">
        <v>0</v>
      </c>
      <c r="P206" t="n">
        <v>0</v>
      </c>
      <c r="Q206" t="n">
        <v>0</v>
      </c>
      <c r="R206" s="2" t="inlineStr"/>
    </row>
    <row r="207" ht="15" customHeight="1">
      <c r="A207" t="inlineStr">
        <is>
          <t>A 44442-2022</t>
        </is>
      </c>
      <c r="B207" s="1" t="n">
        <v>44839</v>
      </c>
      <c r="C207" s="1" t="n">
        <v>45886</v>
      </c>
      <c r="D207" t="inlineStr">
        <is>
          <t>JÄMTLANDS LÄN</t>
        </is>
      </c>
      <c r="E207" t="inlineStr">
        <is>
          <t>BERG</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45886</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3891-2022</t>
        </is>
      </c>
      <c r="B209" s="1" t="n">
        <v>44587</v>
      </c>
      <c r="C209" s="1" t="n">
        <v>45886</v>
      </c>
      <c r="D209" t="inlineStr">
        <is>
          <t>JÄMTLANDS LÄN</t>
        </is>
      </c>
      <c r="E209" t="inlineStr">
        <is>
          <t>BERG</t>
        </is>
      </c>
      <c r="G209" t="n">
        <v>2.6</v>
      </c>
      <c r="H209" t="n">
        <v>0</v>
      </c>
      <c r="I209" t="n">
        <v>0</v>
      </c>
      <c r="J209" t="n">
        <v>0</v>
      </c>
      <c r="K209" t="n">
        <v>0</v>
      </c>
      <c r="L209" t="n">
        <v>0</v>
      </c>
      <c r="M209" t="n">
        <v>0</v>
      </c>
      <c r="N209" t="n">
        <v>0</v>
      </c>
      <c r="O209" t="n">
        <v>0</v>
      </c>
      <c r="P209" t="n">
        <v>0</v>
      </c>
      <c r="Q209" t="n">
        <v>0</v>
      </c>
      <c r="R209" s="2" t="inlineStr"/>
    </row>
    <row r="210" ht="15" customHeight="1">
      <c r="A210" t="inlineStr">
        <is>
          <t>A 5221-2022</t>
        </is>
      </c>
      <c r="B210" s="1" t="n">
        <v>44594.48864583333</v>
      </c>
      <c r="C210" s="1" t="n">
        <v>45886</v>
      </c>
      <c r="D210" t="inlineStr">
        <is>
          <t>JÄMTLANDS LÄN</t>
        </is>
      </c>
      <c r="E210" t="inlineStr">
        <is>
          <t>BERG</t>
        </is>
      </c>
      <c r="G210" t="n">
        <v>4.9</v>
      </c>
      <c r="H210" t="n">
        <v>0</v>
      </c>
      <c r="I210" t="n">
        <v>0</v>
      </c>
      <c r="J210" t="n">
        <v>0</v>
      </c>
      <c r="K210" t="n">
        <v>0</v>
      </c>
      <c r="L210" t="n">
        <v>0</v>
      </c>
      <c r="M210" t="n">
        <v>0</v>
      </c>
      <c r="N210" t="n">
        <v>0</v>
      </c>
      <c r="O210" t="n">
        <v>0</v>
      </c>
      <c r="P210" t="n">
        <v>0</v>
      </c>
      <c r="Q210" t="n">
        <v>0</v>
      </c>
      <c r="R210" s="2" t="inlineStr"/>
    </row>
    <row r="211" ht="15" customHeight="1">
      <c r="A211" t="inlineStr">
        <is>
          <t>A 5222-2022</t>
        </is>
      </c>
      <c r="B211" s="1" t="n">
        <v>44594.4892824074</v>
      </c>
      <c r="C211" s="1" t="n">
        <v>45886</v>
      </c>
      <c r="D211" t="inlineStr">
        <is>
          <t>JÄMTLANDS LÄN</t>
        </is>
      </c>
      <c r="E211" t="inlineStr">
        <is>
          <t>BERG</t>
        </is>
      </c>
      <c r="G211" t="n">
        <v>12.3</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45886</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45886</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45886</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9920-2021</t>
        </is>
      </c>
      <c r="B215" s="1" t="n">
        <v>44253</v>
      </c>
      <c r="C215" s="1" t="n">
        <v>45886</v>
      </c>
      <c r="D215" t="inlineStr">
        <is>
          <t>JÄMTLANDS LÄN</t>
        </is>
      </c>
      <c r="E215" t="inlineStr">
        <is>
          <t>BERG</t>
        </is>
      </c>
      <c r="G215" t="n">
        <v>3.5</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45886</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45886</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45886</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63002-2020</t>
        </is>
      </c>
      <c r="B219" s="1" t="n">
        <v>44162.47145833333</v>
      </c>
      <c r="C219" s="1" t="n">
        <v>45886</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63009-2020</t>
        </is>
      </c>
      <c r="B220" s="1" t="n">
        <v>44162.48234953704</v>
      </c>
      <c r="C220" s="1" t="n">
        <v>45886</v>
      </c>
      <c r="D220" t="inlineStr">
        <is>
          <t>JÄMTLANDS LÄN</t>
        </is>
      </c>
      <c r="E220" t="inlineStr">
        <is>
          <t>BERG</t>
        </is>
      </c>
      <c r="G220" t="n">
        <v>4.9</v>
      </c>
      <c r="H220" t="n">
        <v>0</v>
      </c>
      <c r="I220" t="n">
        <v>0</v>
      </c>
      <c r="J220" t="n">
        <v>0</v>
      </c>
      <c r="K220" t="n">
        <v>0</v>
      </c>
      <c r="L220" t="n">
        <v>0</v>
      </c>
      <c r="M220" t="n">
        <v>0</v>
      </c>
      <c r="N220" t="n">
        <v>0</v>
      </c>
      <c r="O220" t="n">
        <v>0</v>
      </c>
      <c r="P220" t="n">
        <v>0</v>
      </c>
      <c r="Q220" t="n">
        <v>0</v>
      </c>
      <c r="R220" s="2" t="inlineStr"/>
    </row>
    <row r="221" ht="15" customHeight="1">
      <c r="A221" t="inlineStr">
        <is>
          <t>A 40333-2020</t>
        </is>
      </c>
      <c r="B221" s="1" t="n">
        <v>44068</v>
      </c>
      <c r="C221" s="1" t="n">
        <v>45886</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68483-2021</t>
        </is>
      </c>
      <c r="B222" s="1" t="n">
        <v>44529</v>
      </c>
      <c r="C222" s="1" t="n">
        <v>45886</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45886</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45886</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46657-2020</t>
        </is>
      </c>
      <c r="B225" s="1" t="n">
        <v>44095</v>
      </c>
      <c r="C225" s="1" t="n">
        <v>45886</v>
      </c>
      <c r="D225" t="inlineStr">
        <is>
          <t>JÄMTLANDS LÄN</t>
        </is>
      </c>
      <c r="E225" t="inlineStr">
        <is>
          <t>BERG</t>
        </is>
      </c>
      <c r="F225" t="inlineStr">
        <is>
          <t>Kommuner</t>
        </is>
      </c>
      <c r="G225" t="n">
        <v>3.8</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45886</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46515-2021</t>
        </is>
      </c>
      <c r="B227" s="1" t="n">
        <v>44445</v>
      </c>
      <c r="C227" s="1" t="n">
        <v>45886</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68896-2020</t>
        </is>
      </c>
      <c r="B228" s="1" t="n">
        <v>44187</v>
      </c>
      <c r="C228" s="1" t="n">
        <v>45886</v>
      </c>
      <c r="D228" t="inlineStr">
        <is>
          <t>JÄMTLANDS LÄN</t>
        </is>
      </c>
      <c r="E228" t="inlineStr">
        <is>
          <t>BERG</t>
        </is>
      </c>
      <c r="G228" t="n">
        <v>9.6</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45886</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34803-2022</t>
        </is>
      </c>
      <c r="B230" s="1" t="n">
        <v>44795.94754629629</v>
      </c>
      <c r="C230" s="1" t="n">
        <v>45886</v>
      </c>
      <c r="D230" t="inlineStr">
        <is>
          <t>JÄMTLANDS LÄN</t>
        </is>
      </c>
      <c r="E230" t="inlineStr">
        <is>
          <t>BERG</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45886</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18567-2021</t>
        </is>
      </c>
      <c r="B232" s="1" t="n">
        <v>44306.55199074074</v>
      </c>
      <c r="C232" s="1" t="n">
        <v>45886</v>
      </c>
      <c r="D232" t="inlineStr">
        <is>
          <t>JÄMTLANDS LÄN</t>
        </is>
      </c>
      <c r="E232" t="inlineStr">
        <is>
          <t>BERG</t>
        </is>
      </c>
      <c r="G232" t="n">
        <v>3</v>
      </c>
      <c r="H232" t="n">
        <v>0</v>
      </c>
      <c r="I232" t="n">
        <v>0</v>
      </c>
      <c r="J232" t="n">
        <v>0</v>
      </c>
      <c r="K232" t="n">
        <v>0</v>
      </c>
      <c r="L232" t="n">
        <v>0</v>
      </c>
      <c r="M232" t="n">
        <v>0</v>
      </c>
      <c r="N232" t="n">
        <v>0</v>
      </c>
      <c r="O232" t="n">
        <v>0</v>
      </c>
      <c r="P232" t="n">
        <v>0</v>
      </c>
      <c r="Q232" t="n">
        <v>0</v>
      </c>
      <c r="R232" s="2" t="inlineStr"/>
    </row>
    <row r="233" ht="15" customHeight="1">
      <c r="A233" t="inlineStr">
        <is>
          <t>A 18569-2021</t>
        </is>
      </c>
      <c r="B233" s="1" t="n">
        <v>44306.55394675926</v>
      </c>
      <c r="C233" s="1" t="n">
        <v>45886</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45886</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45886</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45886</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45886</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45886</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35308-2021</t>
        </is>
      </c>
      <c r="B239" s="1" t="n">
        <v>44384</v>
      </c>
      <c r="C239" s="1" t="n">
        <v>45886</v>
      </c>
      <c r="D239" t="inlineStr">
        <is>
          <t>JÄMTLANDS LÄN</t>
        </is>
      </c>
      <c r="E239" t="inlineStr">
        <is>
          <t>BERG</t>
        </is>
      </c>
      <c r="G239" t="n">
        <v>2.9</v>
      </c>
      <c r="H239" t="n">
        <v>0</v>
      </c>
      <c r="I239" t="n">
        <v>0</v>
      </c>
      <c r="J239" t="n">
        <v>0</v>
      </c>
      <c r="K239" t="n">
        <v>0</v>
      </c>
      <c r="L239" t="n">
        <v>0</v>
      </c>
      <c r="M239" t="n">
        <v>0</v>
      </c>
      <c r="N239" t="n">
        <v>0</v>
      </c>
      <c r="O239" t="n">
        <v>0</v>
      </c>
      <c r="P239" t="n">
        <v>0</v>
      </c>
      <c r="Q239" t="n">
        <v>0</v>
      </c>
      <c r="R239" s="2" t="inlineStr"/>
      <c r="U239">
        <f>HYPERLINK("https://klasma.github.io/Logging_2326/knärot/A 35308-2021 karta knärot.png", "A 35308-2021")</f>
        <v/>
      </c>
      <c r="V239">
        <f>HYPERLINK("https://klasma.github.io/Logging_2326/klagomål/A 35308-2021 FSC-klagomål.docx", "A 35308-2021")</f>
        <v/>
      </c>
      <c r="W239">
        <f>HYPERLINK("https://klasma.github.io/Logging_2326/klagomålsmail/A 35308-2021 FSC-klagomål mail.docx", "A 35308-2021")</f>
        <v/>
      </c>
      <c r="X239">
        <f>HYPERLINK("https://klasma.github.io/Logging_2326/tillsyn/A 35308-2021 tillsynsbegäran.docx", "A 35308-2021")</f>
        <v/>
      </c>
      <c r="Y239">
        <f>HYPERLINK("https://klasma.github.io/Logging_2326/tillsynsmail/A 35308-2021 tillsynsbegäran mail.docx", "A 35308-2021")</f>
        <v/>
      </c>
    </row>
    <row r="240" ht="15" customHeight="1">
      <c r="A240" t="inlineStr">
        <is>
          <t>A 54071-2023</t>
        </is>
      </c>
      <c r="B240" s="1" t="n">
        <v>45231</v>
      </c>
      <c r="C240" s="1" t="n">
        <v>45886</v>
      </c>
      <c r="D240" t="inlineStr">
        <is>
          <t>JÄMTLANDS LÄN</t>
        </is>
      </c>
      <c r="E240" t="inlineStr">
        <is>
          <t>BERG</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34601-2024</t>
        </is>
      </c>
      <c r="B241" s="1" t="n">
        <v>45526.4034375</v>
      </c>
      <c r="C241" s="1" t="n">
        <v>45886</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33481-2023</t>
        </is>
      </c>
      <c r="B242" s="1" t="n">
        <v>45131</v>
      </c>
      <c r="C242" s="1" t="n">
        <v>45886</v>
      </c>
      <c r="D242" t="inlineStr">
        <is>
          <t>JÄMTLANDS LÄN</t>
        </is>
      </c>
      <c r="E242" t="inlineStr">
        <is>
          <t>BERG</t>
        </is>
      </c>
      <c r="F242" t="inlineStr">
        <is>
          <t>Sveaskog</t>
        </is>
      </c>
      <c r="G242" t="n">
        <v>4</v>
      </c>
      <c r="H242" t="n">
        <v>0</v>
      </c>
      <c r="I242" t="n">
        <v>0</v>
      </c>
      <c r="J242" t="n">
        <v>0</v>
      </c>
      <c r="K242" t="n">
        <v>0</v>
      </c>
      <c r="L242" t="n">
        <v>0</v>
      </c>
      <c r="M242" t="n">
        <v>0</v>
      </c>
      <c r="N242" t="n">
        <v>0</v>
      </c>
      <c r="O242" t="n">
        <v>0</v>
      </c>
      <c r="P242" t="n">
        <v>0</v>
      </c>
      <c r="Q242" t="n">
        <v>0</v>
      </c>
      <c r="R242" s="2" t="inlineStr"/>
    </row>
    <row r="243" ht="15" customHeight="1">
      <c r="A243" t="inlineStr">
        <is>
          <t>A 64490-2023</t>
        </is>
      </c>
      <c r="B243" s="1" t="n">
        <v>45280</v>
      </c>
      <c r="C243" s="1" t="n">
        <v>45886</v>
      </c>
      <c r="D243" t="inlineStr">
        <is>
          <t>JÄMTLANDS LÄN</t>
        </is>
      </c>
      <c r="E243" t="inlineStr">
        <is>
          <t>BERG</t>
        </is>
      </c>
      <c r="F243" t="inlineStr">
        <is>
          <t>Övriga Aktiebolag</t>
        </is>
      </c>
      <c r="G243" t="n">
        <v>7.7</v>
      </c>
      <c r="H243" t="n">
        <v>0</v>
      </c>
      <c r="I243" t="n">
        <v>0</v>
      </c>
      <c r="J243" t="n">
        <v>0</v>
      </c>
      <c r="K243" t="n">
        <v>0</v>
      </c>
      <c r="L243" t="n">
        <v>0</v>
      </c>
      <c r="M243" t="n">
        <v>0</v>
      </c>
      <c r="N243" t="n">
        <v>0</v>
      </c>
      <c r="O243" t="n">
        <v>0</v>
      </c>
      <c r="P243" t="n">
        <v>0</v>
      </c>
      <c r="Q243" t="n">
        <v>0</v>
      </c>
      <c r="R243" s="2" t="inlineStr"/>
    </row>
    <row r="244" ht="15" customHeight="1">
      <c r="A244" t="inlineStr">
        <is>
          <t>A 29511-2021</t>
        </is>
      </c>
      <c r="B244" s="1" t="n">
        <v>44361</v>
      </c>
      <c r="C244" s="1" t="n">
        <v>45886</v>
      </c>
      <c r="D244" t="inlineStr">
        <is>
          <t>JÄMTLANDS LÄN</t>
        </is>
      </c>
      <c r="E244" t="inlineStr">
        <is>
          <t>BERG</t>
        </is>
      </c>
      <c r="G244" t="n">
        <v>5.6</v>
      </c>
      <c r="H244" t="n">
        <v>0</v>
      </c>
      <c r="I244" t="n">
        <v>0</v>
      </c>
      <c r="J244" t="n">
        <v>0</v>
      </c>
      <c r="K244" t="n">
        <v>0</v>
      </c>
      <c r="L244" t="n">
        <v>0</v>
      </c>
      <c r="M244" t="n">
        <v>0</v>
      </c>
      <c r="N244" t="n">
        <v>0</v>
      </c>
      <c r="O244" t="n">
        <v>0</v>
      </c>
      <c r="P244" t="n">
        <v>0</v>
      </c>
      <c r="Q244" t="n">
        <v>0</v>
      </c>
      <c r="R244" s="2" t="inlineStr"/>
    </row>
    <row r="245" ht="15" customHeight="1">
      <c r="A245" t="inlineStr">
        <is>
          <t>A 64486-2023</t>
        </is>
      </c>
      <c r="B245" s="1" t="n">
        <v>45280</v>
      </c>
      <c r="C245" s="1" t="n">
        <v>45886</v>
      </c>
      <c r="D245" t="inlineStr">
        <is>
          <t>JÄMTLANDS LÄN</t>
        </is>
      </c>
      <c r="E245" t="inlineStr">
        <is>
          <t>BERG</t>
        </is>
      </c>
      <c r="G245" t="n">
        <v>2</v>
      </c>
      <c r="H245" t="n">
        <v>0</v>
      </c>
      <c r="I245" t="n">
        <v>0</v>
      </c>
      <c r="J245" t="n">
        <v>0</v>
      </c>
      <c r="K245" t="n">
        <v>0</v>
      </c>
      <c r="L245" t="n">
        <v>0</v>
      </c>
      <c r="M245" t="n">
        <v>0</v>
      </c>
      <c r="N245" t="n">
        <v>0</v>
      </c>
      <c r="O245" t="n">
        <v>0</v>
      </c>
      <c r="P245" t="n">
        <v>0</v>
      </c>
      <c r="Q245" t="n">
        <v>0</v>
      </c>
      <c r="R245" s="2" t="inlineStr"/>
    </row>
    <row r="246" ht="15" customHeight="1">
      <c r="A246" t="inlineStr">
        <is>
          <t>A 64488-2023</t>
        </is>
      </c>
      <c r="B246" s="1" t="n">
        <v>45280.92618055556</v>
      </c>
      <c r="C246" s="1" t="n">
        <v>45886</v>
      </c>
      <c r="D246" t="inlineStr">
        <is>
          <t>JÄMTLANDS LÄN</t>
        </is>
      </c>
      <c r="E246" t="inlineStr">
        <is>
          <t>BERG</t>
        </is>
      </c>
      <c r="F246" t="inlineStr">
        <is>
          <t>Övriga Aktiebolag</t>
        </is>
      </c>
      <c r="G246" t="n">
        <v>7.1</v>
      </c>
      <c r="H246" t="n">
        <v>0</v>
      </c>
      <c r="I246" t="n">
        <v>0</v>
      </c>
      <c r="J246" t="n">
        <v>0</v>
      </c>
      <c r="K246" t="n">
        <v>0</v>
      </c>
      <c r="L246" t="n">
        <v>0</v>
      </c>
      <c r="M246" t="n">
        <v>0</v>
      </c>
      <c r="N246" t="n">
        <v>0</v>
      </c>
      <c r="O246" t="n">
        <v>0</v>
      </c>
      <c r="P246" t="n">
        <v>0</v>
      </c>
      <c r="Q246" t="n">
        <v>0</v>
      </c>
      <c r="R246" s="2" t="inlineStr"/>
    </row>
    <row r="247" ht="15" customHeight="1">
      <c r="A247" t="inlineStr">
        <is>
          <t>A 17929-2024</t>
        </is>
      </c>
      <c r="B247" s="1" t="n">
        <v>45419.60266203704</v>
      </c>
      <c r="C247" s="1" t="n">
        <v>45886</v>
      </c>
      <c r="D247" t="inlineStr">
        <is>
          <t>JÄMTLANDS LÄN</t>
        </is>
      </c>
      <c r="E247" t="inlineStr">
        <is>
          <t>BERG</t>
        </is>
      </c>
      <c r="F247" t="inlineStr">
        <is>
          <t>Holmen skog AB</t>
        </is>
      </c>
      <c r="G247" t="n">
        <v>3</v>
      </c>
      <c r="H247" t="n">
        <v>0</v>
      </c>
      <c r="I247" t="n">
        <v>0</v>
      </c>
      <c r="J247" t="n">
        <v>0</v>
      </c>
      <c r="K247" t="n">
        <v>0</v>
      </c>
      <c r="L247" t="n">
        <v>0</v>
      </c>
      <c r="M247" t="n">
        <v>0</v>
      </c>
      <c r="N247" t="n">
        <v>0</v>
      </c>
      <c r="O247" t="n">
        <v>0</v>
      </c>
      <c r="P247" t="n">
        <v>0</v>
      </c>
      <c r="Q247" t="n">
        <v>0</v>
      </c>
      <c r="R247" s="2" t="inlineStr"/>
    </row>
    <row r="248" ht="15" customHeight="1">
      <c r="A248" t="inlineStr">
        <is>
          <t>A 4522-2024</t>
        </is>
      </c>
      <c r="B248" s="1" t="n">
        <v>45327</v>
      </c>
      <c r="C248" s="1" t="n">
        <v>45886</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14834-2025</t>
        </is>
      </c>
      <c r="B249" s="1" t="n">
        <v>45743.38224537037</v>
      </c>
      <c r="C249" s="1" t="n">
        <v>45886</v>
      </c>
      <c r="D249" t="inlineStr">
        <is>
          <t>JÄMTLANDS LÄN</t>
        </is>
      </c>
      <c r="E249" t="inlineStr">
        <is>
          <t>BERG</t>
        </is>
      </c>
      <c r="G249" t="n">
        <v>3.8</v>
      </c>
      <c r="H249" t="n">
        <v>0</v>
      </c>
      <c r="I249" t="n">
        <v>0</v>
      </c>
      <c r="J249" t="n">
        <v>0</v>
      </c>
      <c r="K249" t="n">
        <v>0</v>
      </c>
      <c r="L249" t="n">
        <v>0</v>
      </c>
      <c r="M249" t="n">
        <v>0</v>
      </c>
      <c r="N249" t="n">
        <v>0</v>
      </c>
      <c r="O249" t="n">
        <v>0</v>
      </c>
      <c r="P249" t="n">
        <v>0</v>
      </c>
      <c r="Q249" t="n">
        <v>0</v>
      </c>
      <c r="R249" s="2" t="inlineStr"/>
    </row>
    <row r="250" ht="15" customHeight="1">
      <c r="A250" t="inlineStr">
        <is>
          <t>A 20268-2024</t>
        </is>
      </c>
      <c r="B250" s="1" t="n">
        <v>45434.94887731481</v>
      </c>
      <c r="C250" s="1" t="n">
        <v>45886</v>
      </c>
      <c r="D250" t="inlineStr">
        <is>
          <t>JÄMTLANDS LÄN</t>
        </is>
      </c>
      <c r="E250" t="inlineStr">
        <is>
          <t>BERG</t>
        </is>
      </c>
      <c r="F250" t="inlineStr">
        <is>
          <t>SCA</t>
        </is>
      </c>
      <c r="G250" t="n">
        <v>4.9</v>
      </c>
      <c r="H250" t="n">
        <v>0</v>
      </c>
      <c r="I250" t="n">
        <v>0</v>
      </c>
      <c r="J250" t="n">
        <v>0</v>
      </c>
      <c r="K250" t="n">
        <v>0</v>
      </c>
      <c r="L250" t="n">
        <v>0</v>
      </c>
      <c r="M250" t="n">
        <v>0</v>
      </c>
      <c r="N250" t="n">
        <v>0</v>
      </c>
      <c r="O250" t="n">
        <v>0</v>
      </c>
      <c r="P250" t="n">
        <v>0</v>
      </c>
      <c r="Q250" t="n">
        <v>0</v>
      </c>
      <c r="R250" s="2" t="inlineStr"/>
    </row>
    <row r="251" ht="15" customHeight="1">
      <c r="A251" t="inlineStr">
        <is>
          <t>A 16247-2024</t>
        </is>
      </c>
      <c r="B251" s="1" t="n">
        <v>45407.05797453703</v>
      </c>
      <c r="C251" s="1" t="n">
        <v>45886</v>
      </c>
      <c r="D251" t="inlineStr">
        <is>
          <t>JÄMTLANDS LÄN</t>
        </is>
      </c>
      <c r="E251" t="inlineStr">
        <is>
          <t>BERG</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25306-2023</t>
        </is>
      </c>
      <c r="B252" s="1" t="n">
        <v>45086</v>
      </c>
      <c r="C252" s="1" t="n">
        <v>45886</v>
      </c>
      <c r="D252" t="inlineStr">
        <is>
          <t>JÄMTLANDS LÄN</t>
        </is>
      </c>
      <c r="E252" t="inlineStr">
        <is>
          <t>BERG</t>
        </is>
      </c>
      <c r="G252" t="n">
        <v>23.3</v>
      </c>
      <c r="H252" t="n">
        <v>0</v>
      </c>
      <c r="I252" t="n">
        <v>0</v>
      </c>
      <c r="J252" t="n">
        <v>0</v>
      </c>
      <c r="K252" t="n">
        <v>0</v>
      </c>
      <c r="L252" t="n">
        <v>0</v>
      </c>
      <c r="M252" t="n">
        <v>0</v>
      </c>
      <c r="N252" t="n">
        <v>0</v>
      </c>
      <c r="O252" t="n">
        <v>0</v>
      </c>
      <c r="P252" t="n">
        <v>0</v>
      </c>
      <c r="Q252" t="n">
        <v>0</v>
      </c>
      <c r="R252" s="2" t="inlineStr"/>
    </row>
    <row r="253" ht="15" customHeight="1">
      <c r="A253" t="inlineStr">
        <is>
          <t>A 46167-2022</t>
        </is>
      </c>
      <c r="B253" s="1" t="n">
        <v>44845</v>
      </c>
      <c r="C253" s="1" t="n">
        <v>45886</v>
      </c>
      <c r="D253" t="inlineStr">
        <is>
          <t>JÄMTLANDS LÄN</t>
        </is>
      </c>
      <c r="E253" t="inlineStr">
        <is>
          <t>BERG</t>
        </is>
      </c>
      <c r="G253" t="n">
        <v>35.2</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45886</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15156-2024</t>
        </is>
      </c>
      <c r="B255" s="1" t="n">
        <v>45399.94496527778</v>
      </c>
      <c r="C255" s="1" t="n">
        <v>45886</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4246-2025</t>
        </is>
      </c>
      <c r="B256" s="1" t="n">
        <v>45685.59083333334</v>
      </c>
      <c r="C256" s="1" t="n">
        <v>45886</v>
      </c>
      <c r="D256" t="inlineStr">
        <is>
          <t>JÄMTLANDS LÄN</t>
        </is>
      </c>
      <c r="E256" t="inlineStr">
        <is>
          <t>BERG</t>
        </is>
      </c>
      <c r="G256" t="n">
        <v>2.4</v>
      </c>
      <c r="H256" t="n">
        <v>0</v>
      </c>
      <c r="I256" t="n">
        <v>0</v>
      </c>
      <c r="J256" t="n">
        <v>0</v>
      </c>
      <c r="K256" t="n">
        <v>0</v>
      </c>
      <c r="L256" t="n">
        <v>0</v>
      </c>
      <c r="M256" t="n">
        <v>0</v>
      </c>
      <c r="N256" t="n">
        <v>0</v>
      </c>
      <c r="O256" t="n">
        <v>0</v>
      </c>
      <c r="P256" t="n">
        <v>0</v>
      </c>
      <c r="Q256" t="n">
        <v>0</v>
      </c>
      <c r="R256" s="2" t="inlineStr"/>
    </row>
    <row r="257" ht="15" customHeight="1">
      <c r="A257" t="inlineStr">
        <is>
          <t>A 10465-2023</t>
        </is>
      </c>
      <c r="B257" s="1" t="n">
        <v>44987.60319444445</v>
      </c>
      <c r="C257" s="1" t="n">
        <v>45886</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47674-2024</t>
        </is>
      </c>
      <c r="B258" s="1" t="n">
        <v>45588.40413194444</v>
      </c>
      <c r="C258" s="1" t="n">
        <v>45886</v>
      </c>
      <c r="D258" t="inlineStr">
        <is>
          <t>JÄMTLANDS LÄN</t>
        </is>
      </c>
      <c r="E258" t="inlineStr">
        <is>
          <t>BERG</t>
        </is>
      </c>
      <c r="G258" t="n">
        <v>0.5</v>
      </c>
      <c r="H258" t="n">
        <v>0</v>
      </c>
      <c r="I258" t="n">
        <v>0</v>
      </c>
      <c r="J258" t="n">
        <v>0</v>
      </c>
      <c r="K258" t="n">
        <v>0</v>
      </c>
      <c r="L258" t="n">
        <v>0</v>
      </c>
      <c r="M258" t="n">
        <v>0</v>
      </c>
      <c r="N258" t="n">
        <v>0</v>
      </c>
      <c r="O258" t="n">
        <v>0</v>
      </c>
      <c r="P258" t="n">
        <v>0</v>
      </c>
      <c r="Q258" t="n">
        <v>0</v>
      </c>
      <c r="R258" s="2" t="inlineStr"/>
    </row>
    <row r="259" ht="15" customHeight="1">
      <c r="A259" t="inlineStr">
        <is>
          <t>A 3625-2024</t>
        </is>
      </c>
      <c r="B259" s="1" t="n">
        <v>45320</v>
      </c>
      <c r="C259" s="1" t="n">
        <v>45886</v>
      </c>
      <c r="D259" t="inlineStr">
        <is>
          <t>JÄMTLANDS LÄN</t>
        </is>
      </c>
      <c r="E259" t="inlineStr">
        <is>
          <t>BERG</t>
        </is>
      </c>
      <c r="F259" t="inlineStr">
        <is>
          <t>SCA</t>
        </is>
      </c>
      <c r="G259" t="n">
        <v>23.7</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45886</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13436-2024</t>
        </is>
      </c>
      <c r="B261" s="1" t="n">
        <v>45387.4865625</v>
      </c>
      <c r="C261" s="1" t="n">
        <v>45886</v>
      </c>
      <c r="D261" t="inlineStr">
        <is>
          <t>JÄMTLANDS LÄN</t>
        </is>
      </c>
      <c r="E261" t="inlineStr">
        <is>
          <t>BERG</t>
        </is>
      </c>
      <c r="G261" t="n">
        <v>28.9</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45886</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23165-2024</t>
        </is>
      </c>
      <c r="B263" s="1" t="n">
        <v>45450</v>
      </c>
      <c r="C263" s="1" t="n">
        <v>45886</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18833-2024</t>
        </is>
      </c>
      <c r="B264" s="1" t="n">
        <v>45426.65157407407</v>
      </c>
      <c r="C264" s="1" t="n">
        <v>45886</v>
      </c>
      <c r="D264" t="inlineStr">
        <is>
          <t>JÄMTLANDS LÄN</t>
        </is>
      </c>
      <c r="E264" t="inlineStr">
        <is>
          <t>BERG</t>
        </is>
      </c>
      <c r="G264" t="n">
        <v>1.3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45886</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45886</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51201-2023</t>
        </is>
      </c>
      <c r="B267" s="1" t="n">
        <v>45219.42320601852</v>
      </c>
      <c r="C267" s="1" t="n">
        <v>45886</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65207-2023</t>
        </is>
      </c>
      <c r="B268" s="1" t="n">
        <v>45289</v>
      </c>
      <c r="C268" s="1" t="n">
        <v>45886</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45886</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60249-2022</t>
        </is>
      </c>
      <c r="B270" s="1" t="n">
        <v>44903</v>
      </c>
      <c r="C270" s="1" t="n">
        <v>45886</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50612-2023</t>
        </is>
      </c>
      <c r="B271" s="1" t="n">
        <v>45217.444375</v>
      </c>
      <c r="C271" s="1" t="n">
        <v>45886</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45886</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21472-2025</t>
        </is>
      </c>
      <c r="B273" s="1" t="n">
        <v>45782.59024305556</v>
      </c>
      <c r="C273" s="1" t="n">
        <v>45886</v>
      </c>
      <c r="D273" t="inlineStr">
        <is>
          <t>JÄMTLANDS LÄN</t>
        </is>
      </c>
      <c r="E273" t="inlineStr">
        <is>
          <t>BERG</t>
        </is>
      </c>
      <c r="G273" t="n">
        <v>21.9</v>
      </c>
      <c r="H273" t="n">
        <v>0</v>
      </c>
      <c r="I273" t="n">
        <v>0</v>
      </c>
      <c r="J273" t="n">
        <v>0</v>
      </c>
      <c r="K273" t="n">
        <v>0</v>
      </c>
      <c r="L273" t="n">
        <v>0</v>
      </c>
      <c r="M273" t="n">
        <v>0</v>
      </c>
      <c r="N273" t="n">
        <v>0</v>
      </c>
      <c r="O273" t="n">
        <v>0</v>
      </c>
      <c r="P273" t="n">
        <v>0</v>
      </c>
      <c r="Q273" t="n">
        <v>0</v>
      </c>
      <c r="R273" s="2" t="inlineStr"/>
    </row>
    <row r="274" ht="15" customHeight="1">
      <c r="A274" t="inlineStr">
        <is>
          <t>A 9478-2024</t>
        </is>
      </c>
      <c r="B274" s="1" t="n">
        <v>45359.5732175926</v>
      </c>
      <c r="C274" s="1" t="n">
        <v>45886</v>
      </c>
      <c r="D274" t="inlineStr">
        <is>
          <t>JÄMTLANDS LÄN</t>
        </is>
      </c>
      <c r="E274" t="inlineStr">
        <is>
          <t>BERG</t>
        </is>
      </c>
      <c r="G274" t="n">
        <v>6.2</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45419.49334490741</v>
      </c>
      <c r="C275" s="1" t="n">
        <v>45886</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7483-2023</t>
        </is>
      </c>
      <c r="B276" s="1" t="n">
        <v>44966</v>
      </c>
      <c r="C276" s="1" t="n">
        <v>45886</v>
      </c>
      <c r="D276" t="inlineStr">
        <is>
          <t>JÄMTLANDS LÄN</t>
        </is>
      </c>
      <c r="E276" t="inlineStr">
        <is>
          <t>BERG</t>
        </is>
      </c>
      <c r="G276" t="n">
        <v>20.1</v>
      </c>
      <c r="H276" t="n">
        <v>0</v>
      </c>
      <c r="I276" t="n">
        <v>0</v>
      </c>
      <c r="J276" t="n">
        <v>0</v>
      </c>
      <c r="K276" t="n">
        <v>0</v>
      </c>
      <c r="L276" t="n">
        <v>0</v>
      </c>
      <c r="M276" t="n">
        <v>0</v>
      </c>
      <c r="N276" t="n">
        <v>0</v>
      </c>
      <c r="O276" t="n">
        <v>0</v>
      </c>
      <c r="P276" t="n">
        <v>0</v>
      </c>
      <c r="Q276" t="n">
        <v>0</v>
      </c>
      <c r="R276" s="2" t="inlineStr"/>
    </row>
    <row r="277" ht="15" customHeight="1">
      <c r="A277" t="inlineStr">
        <is>
          <t>A 21292-2025</t>
        </is>
      </c>
      <c r="B277" s="1" t="n">
        <v>45780.39354166666</v>
      </c>
      <c r="C277" s="1" t="n">
        <v>45886</v>
      </c>
      <c r="D277" t="inlineStr">
        <is>
          <t>JÄMTLANDS LÄN</t>
        </is>
      </c>
      <c r="E277" t="inlineStr">
        <is>
          <t>BERG</t>
        </is>
      </c>
      <c r="G277" t="n">
        <v>1.6</v>
      </c>
      <c r="H277" t="n">
        <v>0</v>
      </c>
      <c r="I277" t="n">
        <v>0</v>
      </c>
      <c r="J277" t="n">
        <v>0</v>
      </c>
      <c r="K277" t="n">
        <v>0</v>
      </c>
      <c r="L277" t="n">
        <v>0</v>
      </c>
      <c r="M277" t="n">
        <v>0</v>
      </c>
      <c r="N277" t="n">
        <v>0</v>
      </c>
      <c r="O277" t="n">
        <v>0</v>
      </c>
      <c r="P277" t="n">
        <v>0</v>
      </c>
      <c r="Q277" t="n">
        <v>0</v>
      </c>
      <c r="R277" s="2" t="inlineStr"/>
    </row>
    <row r="278" ht="15" customHeight="1">
      <c r="A278" t="inlineStr">
        <is>
          <t>A 19181-2025</t>
        </is>
      </c>
      <c r="B278" s="1" t="n">
        <v>45769.40174768519</v>
      </c>
      <c r="C278" s="1" t="n">
        <v>45886</v>
      </c>
      <c r="D278" t="inlineStr">
        <is>
          <t>JÄMTLANDS LÄN</t>
        </is>
      </c>
      <c r="E278" t="inlineStr">
        <is>
          <t>BERG</t>
        </is>
      </c>
      <c r="G278" t="n">
        <v>4.4</v>
      </c>
      <c r="H278" t="n">
        <v>0</v>
      </c>
      <c r="I278" t="n">
        <v>0</v>
      </c>
      <c r="J278" t="n">
        <v>0</v>
      </c>
      <c r="K278" t="n">
        <v>0</v>
      </c>
      <c r="L278" t="n">
        <v>0</v>
      </c>
      <c r="M278" t="n">
        <v>0</v>
      </c>
      <c r="N278" t="n">
        <v>0</v>
      </c>
      <c r="O278" t="n">
        <v>0</v>
      </c>
      <c r="P278" t="n">
        <v>0</v>
      </c>
      <c r="Q278" t="n">
        <v>0</v>
      </c>
      <c r="R278" s="2" t="inlineStr"/>
    </row>
    <row r="279" ht="15" customHeight="1">
      <c r="A279" t="inlineStr">
        <is>
          <t>A 21156-2025</t>
        </is>
      </c>
      <c r="B279" s="1" t="n">
        <v>45779.37599537037</v>
      </c>
      <c r="C279" s="1" t="n">
        <v>45886</v>
      </c>
      <c r="D279" t="inlineStr">
        <is>
          <t>JÄMTLANDS LÄN</t>
        </is>
      </c>
      <c r="E279" t="inlineStr">
        <is>
          <t>BERG</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45886</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18775-2024</t>
        </is>
      </c>
      <c r="B281" s="1" t="n">
        <v>45426</v>
      </c>
      <c r="C281" s="1" t="n">
        <v>45886</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21851-2025</t>
        </is>
      </c>
      <c r="B282" s="1" t="n">
        <v>45784.34417824074</v>
      </c>
      <c r="C282" s="1" t="n">
        <v>45886</v>
      </c>
      <c r="D282" t="inlineStr">
        <is>
          <t>JÄMTLANDS LÄN</t>
        </is>
      </c>
      <c r="E282" t="inlineStr">
        <is>
          <t>BERG</t>
        </is>
      </c>
      <c r="F282" t="inlineStr">
        <is>
          <t>SCA</t>
        </is>
      </c>
      <c r="G282" t="n">
        <v>10</v>
      </c>
      <c r="H282" t="n">
        <v>0</v>
      </c>
      <c r="I282" t="n">
        <v>0</v>
      </c>
      <c r="J282" t="n">
        <v>0</v>
      </c>
      <c r="K282" t="n">
        <v>0</v>
      </c>
      <c r="L282" t="n">
        <v>0</v>
      </c>
      <c r="M282" t="n">
        <v>0</v>
      </c>
      <c r="N282" t="n">
        <v>0</v>
      </c>
      <c r="O282" t="n">
        <v>0</v>
      </c>
      <c r="P282" t="n">
        <v>0</v>
      </c>
      <c r="Q282" t="n">
        <v>0</v>
      </c>
      <c r="R282" s="2" t="inlineStr"/>
    </row>
    <row r="283" ht="15" customHeight="1">
      <c r="A283" t="inlineStr">
        <is>
          <t>A 32020-2023</t>
        </is>
      </c>
      <c r="B283" s="1" t="n">
        <v>45119.49261574074</v>
      </c>
      <c r="C283" s="1" t="n">
        <v>45886</v>
      </c>
      <c r="D283" t="inlineStr">
        <is>
          <t>JÄMTLANDS LÄN</t>
        </is>
      </c>
      <c r="E283" t="inlineStr">
        <is>
          <t>BERG</t>
        </is>
      </c>
      <c r="G283" t="n">
        <v>10.3</v>
      </c>
      <c r="H283" t="n">
        <v>0</v>
      </c>
      <c r="I283" t="n">
        <v>0</v>
      </c>
      <c r="J283" t="n">
        <v>0</v>
      </c>
      <c r="K283" t="n">
        <v>0</v>
      </c>
      <c r="L283" t="n">
        <v>0</v>
      </c>
      <c r="M283" t="n">
        <v>0</v>
      </c>
      <c r="N283" t="n">
        <v>0</v>
      </c>
      <c r="O283" t="n">
        <v>0</v>
      </c>
      <c r="P283" t="n">
        <v>0</v>
      </c>
      <c r="Q283" t="n">
        <v>0</v>
      </c>
      <c r="R283" s="2" t="inlineStr"/>
    </row>
    <row r="284" ht="15" customHeight="1">
      <c r="A284" t="inlineStr">
        <is>
          <t>A 41868-2024</t>
        </is>
      </c>
      <c r="B284" s="1" t="n">
        <v>45561.46900462963</v>
      </c>
      <c r="C284" s="1" t="n">
        <v>45886</v>
      </c>
      <c r="D284" t="inlineStr">
        <is>
          <t>JÄMTLANDS LÄN</t>
        </is>
      </c>
      <c r="E284" t="inlineStr">
        <is>
          <t>BERG</t>
        </is>
      </c>
      <c r="G284" t="n">
        <v>2.3</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45886</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22030-2025</t>
        </is>
      </c>
      <c r="B286" s="1" t="n">
        <v>45785.25814814815</v>
      </c>
      <c r="C286" s="1" t="n">
        <v>45886</v>
      </c>
      <c r="D286" t="inlineStr">
        <is>
          <t>JÄMTLANDS LÄN</t>
        </is>
      </c>
      <c r="E286" t="inlineStr">
        <is>
          <t>BERG</t>
        </is>
      </c>
      <c r="G286" t="n">
        <v>5</v>
      </c>
      <c r="H286" t="n">
        <v>0</v>
      </c>
      <c r="I286" t="n">
        <v>0</v>
      </c>
      <c r="J286" t="n">
        <v>0</v>
      </c>
      <c r="K286" t="n">
        <v>0</v>
      </c>
      <c r="L286" t="n">
        <v>0</v>
      </c>
      <c r="M286" t="n">
        <v>0</v>
      </c>
      <c r="N286" t="n">
        <v>0</v>
      </c>
      <c r="O286" t="n">
        <v>0</v>
      </c>
      <c r="P286" t="n">
        <v>0</v>
      </c>
      <c r="Q286" t="n">
        <v>0</v>
      </c>
      <c r="R286" s="2" t="inlineStr"/>
    </row>
    <row r="287" ht="15" customHeight="1">
      <c r="A287" t="inlineStr">
        <is>
          <t>A 31330-2024</t>
        </is>
      </c>
      <c r="B287" s="1" t="n">
        <v>45504</v>
      </c>
      <c r="C287" s="1" t="n">
        <v>45886</v>
      </c>
      <c r="D287" t="inlineStr">
        <is>
          <t>JÄMTLANDS LÄN</t>
        </is>
      </c>
      <c r="E287" t="inlineStr">
        <is>
          <t>BERG</t>
        </is>
      </c>
      <c r="G287" t="n">
        <v>30.5</v>
      </c>
      <c r="H287" t="n">
        <v>0</v>
      </c>
      <c r="I287" t="n">
        <v>0</v>
      </c>
      <c r="J287" t="n">
        <v>0</v>
      </c>
      <c r="K287" t="n">
        <v>0</v>
      </c>
      <c r="L287" t="n">
        <v>0</v>
      </c>
      <c r="M287" t="n">
        <v>0</v>
      </c>
      <c r="N287" t="n">
        <v>0</v>
      </c>
      <c r="O287" t="n">
        <v>0</v>
      </c>
      <c r="P287" t="n">
        <v>0</v>
      </c>
      <c r="Q287" t="n">
        <v>0</v>
      </c>
      <c r="R287" s="2" t="inlineStr"/>
    </row>
    <row r="288" ht="15" customHeight="1">
      <c r="A288" t="inlineStr">
        <is>
          <t>A 22180-2025</t>
        </is>
      </c>
      <c r="B288" s="1" t="n">
        <v>45785</v>
      </c>
      <c r="C288" s="1" t="n">
        <v>45886</v>
      </c>
      <c r="D288" t="inlineStr">
        <is>
          <t>JÄMTLANDS LÄN</t>
        </is>
      </c>
      <c r="E288" t="inlineStr">
        <is>
          <t>BERG</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22478-2025</t>
        </is>
      </c>
      <c r="B289" s="1" t="n">
        <v>45786.6349537037</v>
      </c>
      <c r="C289" s="1" t="n">
        <v>45886</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34367-2024</t>
        </is>
      </c>
      <c r="B290" s="1" t="n">
        <v>45525.38040509259</v>
      </c>
      <c r="C290" s="1" t="n">
        <v>45886</v>
      </c>
      <c r="D290" t="inlineStr">
        <is>
          <t>JÄMTLANDS LÄN</t>
        </is>
      </c>
      <c r="E290" t="inlineStr">
        <is>
          <t>BERG</t>
        </is>
      </c>
      <c r="G290" t="n">
        <v>0.4</v>
      </c>
      <c r="H290" t="n">
        <v>0</v>
      </c>
      <c r="I290" t="n">
        <v>0</v>
      </c>
      <c r="J290" t="n">
        <v>0</v>
      </c>
      <c r="K290" t="n">
        <v>0</v>
      </c>
      <c r="L290" t="n">
        <v>0</v>
      </c>
      <c r="M290" t="n">
        <v>0</v>
      </c>
      <c r="N290" t="n">
        <v>0</v>
      </c>
      <c r="O290" t="n">
        <v>0</v>
      </c>
      <c r="P290" t="n">
        <v>0</v>
      </c>
      <c r="Q290" t="n">
        <v>0</v>
      </c>
      <c r="R290" s="2" t="inlineStr"/>
    </row>
    <row r="291" ht="15" customHeight="1">
      <c r="A291" t="inlineStr">
        <is>
          <t>A 34369-2024</t>
        </is>
      </c>
      <c r="B291" s="1" t="n">
        <v>45525.38228009259</v>
      </c>
      <c r="C291" s="1" t="n">
        <v>45886</v>
      </c>
      <c r="D291" t="inlineStr">
        <is>
          <t>JÄMTLANDS LÄN</t>
        </is>
      </c>
      <c r="E291" t="inlineStr">
        <is>
          <t>BERG</t>
        </is>
      </c>
      <c r="G291" t="n">
        <v>0.6</v>
      </c>
      <c r="H291" t="n">
        <v>0</v>
      </c>
      <c r="I291" t="n">
        <v>0</v>
      </c>
      <c r="J291" t="n">
        <v>0</v>
      </c>
      <c r="K291" t="n">
        <v>0</v>
      </c>
      <c r="L291" t="n">
        <v>0</v>
      </c>
      <c r="M291" t="n">
        <v>0</v>
      </c>
      <c r="N291" t="n">
        <v>0</v>
      </c>
      <c r="O291" t="n">
        <v>0</v>
      </c>
      <c r="P291" t="n">
        <v>0</v>
      </c>
      <c r="Q291" t="n">
        <v>0</v>
      </c>
      <c r="R291" s="2" t="inlineStr"/>
    </row>
    <row r="292" ht="15" customHeight="1">
      <c r="A292" t="inlineStr">
        <is>
          <t>A 13108-2025</t>
        </is>
      </c>
      <c r="B292" s="1" t="n">
        <v>45734</v>
      </c>
      <c r="C292" s="1" t="n">
        <v>45886</v>
      </c>
      <c r="D292" t="inlineStr">
        <is>
          <t>JÄMTLANDS LÄN</t>
        </is>
      </c>
      <c r="E292" t="inlineStr">
        <is>
          <t>BERG</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46366-2024</t>
        </is>
      </c>
      <c r="B293" s="1" t="n">
        <v>45582.36490740741</v>
      </c>
      <c r="C293" s="1" t="n">
        <v>45886</v>
      </c>
      <c r="D293" t="inlineStr">
        <is>
          <t>JÄMTLANDS LÄN</t>
        </is>
      </c>
      <c r="E293" t="inlineStr">
        <is>
          <t>BERG</t>
        </is>
      </c>
      <c r="G293" t="n">
        <v>5</v>
      </c>
      <c r="H293" t="n">
        <v>0</v>
      </c>
      <c r="I293" t="n">
        <v>0</v>
      </c>
      <c r="J293" t="n">
        <v>0</v>
      </c>
      <c r="K293" t="n">
        <v>0</v>
      </c>
      <c r="L293" t="n">
        <v>0</v>
      </c>
      <c r="M293" t="n">
        <v>0</v>
      </c>
      <c r="N293" t="n">
        <v>0</v>
      </c>
      <c r="O293" t="n">
        <v>0</v>
      </c>
      <c r="P293" t="n">
        <v>0</v>
      </c>
      <c r="Q293" t="n">
        <v>0</v>
      </c>
      <c r="R293" s="2" t="inlineStr"/>
    </row>
    <row r="294" ht="15" customHeight="1">
      <c r="A294" t="inlineStr">
        <is>
          <t>A 18153-2024</t>
        </is>
      </c>
      <c r="B294" s="1" t="n">
        <v>45420</v>
      </c>
      <c r="C294" s="1" t="n">
        <v>45886</v>
      </c>
      <c r="D294" t="inlineStr">
        <is>
          <t>JÄMTLANDS LÄN</t>
        </is>
      </c>
      <c r="E294" t="inlineStr">
        <is>
          <t>BERG</t>
        </is>
      </c>
      <c r="F294" t="inlineStr">
        <is>
          <t>Holmen skog AB</t>
        </is>
      </c>
      <c r="G294" t="n">
        <v>2.8</v>
      </c>
      <c r="H294" t="n">
        <v>0</v>
      </c>
      <c r="I294" t="n">
        <v>0</v>
      </c>
      <c r="J294" t="n">
        <v>0</v>
      </c>
      <c r="K294" t="n">
        <v>0</v>
      </c>
      <c r="L294" t="n">
        <v>0</v>
      </c>
      <c r="M294" t="n">
        <v>0</v>
      </c>
      <c r="N294" t="n">
        <v>0</v>
      </c>
      <c r="O294" t="n">
        <v>0</v>
      </c>
      <c r="P294" t="n">
        <v>0</v>
      </c>
      <c r="Q294" t="n">
        <v>0</v>
      </c>
      <c r="R294" s="2" t="inlineStr"/>
    </row>
    <row r="295" ht="15" customHeight="1">
      <c r="A295" t="inlineStr">
        <is>
          <t>A 65210-2023</t>
        </is>
      </c>
      <c r="B295" s="1" t="n">
        <v>45289</v>
      </c>
      <c r="C295" s="1" t="n">
        <v>45886</v>
      </c>
      <c r="D295" t="inlineStr">
        <is>
          <t>JÄMTLANDS LÄN</t>
        </is>
      </c>
      <c r="E295" t="inlineStr">
        <is>
          <t>BERG</t>
        </is>
      </c>
      <c r="G295" t="n">
        <v>0.4</v>
      </c>
      <c r="H295" t="n">
        <v>0</v>
      </c>
      <c r="I295" t="n">
        <v>0</v>
      </c>
      <c r="J295" t="n">
        <v>0</v>
      </c>
      <c r="K295" t="n">
        <v>0</v>
      </c>
      <c r="L295" t="n">
        <v>0</v>
      </c>
      <c r="M295" t="n">
        <v>0</v>
      </c>
      <c r="N295" t="n">
        <v>0</v>
      </c>
      <c r="O295" t="n">
        <v>0</v>
      </c>
      <c r="P295" t="n">
        <v>0</v>
      </c>
      <c r="Q295" t="n">
        <v>0</v>
      </c>
      <c r="R295" s="2" t="inlineStr"/>
    </row>
    <row r="296" ht="15" customHeight="1">
      <c r="A296" t="inlineStr">
        <is>
          <t>A 22724-2025</t>
        </is>
      </c>
      <c r="B296" s="1" t="n">
        <v>45789.57361111111</v>
      </c>
      <c r="C296" s="1" t="n">
        <v>45886</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27239-2023</t>
        </is>
      </c>
      <c r="B297" s="1" t="n">
        <v>45092</v>
      </c>
      <c r="C297" s="1" t="n">
        <v>45886</v>
      </c>
      <c r="D297" t="inlineStr">
        <is>
          <t>JÄMTLANDS LÄN</t>
        </is>
      </c>
      <c r="E297" t="inlineStr">
        <is>
          <t>BERG</t>
        </is>
      </c>
      <c r="G297" t="n">
        <v>5.3</v>
      </c>
      <c r="H297" t="n">
        <v>0</v>
      </c>
      <c r="I297" t="n">
        <v>0</v>
      </c>
      <c r="J297" t="n">
        <v>0</v>
      </c>
      <c r="K297" t="n">
        <v>0</v>
      </c>
      <c r="L297" t="n">
        <v>0</v>
      </c>
      <c r="M297" t="n">
        <v>0</v>
      </c>
      <c r="N297" t="n">
        <v>0</v>
      </c>
      <c r="O297" t="n">
        <v>0</v>
      </c>
      <c r="P297" t="n">
        <v>0</v>
      </c>
      <c r="Q297" t="n">
        <v>0</v>
      </c>
      <c r="R297" s="2" t="inlineStr"/>
    </row>
    <row r="298" ht="15" customHeight="1">
      <c r="A298" t="inlineStr">
        <is>
          <t>A 22672-2025</t>
        </is>
      </c>
      <c r="B298" s="1" t="n">
        <v>45789.4903587963</v>
      </c>
      <c r="C298" s="1" t="n">
        <v>45886</v>
      </c>
      <c r="D298" t="inlineStr">
        <is>
          <t>JÄMTLANDS LÄN</t>
        </is>
      </c>
      <c r="E298" t="inlineStr">
        <is>
          <t>BERG</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22968-2025</t>
        </is>
      </c>
      <c r="B299" s="1" t="n">
        <v>45790.55288194444</v>
      </c>
      <c r="C299" s="1" t="n">
        <v>45886</v>
      </c>
      <c r="D299" t="inlineStr">
        <is>
          <t>JÄMTLANDS LÄN</t>
        </is>
      </c>
      <c r="E299" t="inlineStr">
        <is>
          <t>BERG</t>
        </is>
      </c>
      <c r="G299" t="n">
        <v>4</v>
      </c>
      <c r="H299" t="n">
        <v>0</v>
      </c>
      <c r="I299" t="n">
        <v>0</v>
      </c>
      <c r="J299" t="n">
        <v>0</v>
      </c>
      <c r="K299" t="n">
        <v>0</v>
      </c>
      <c r="L299" t="n">
        <v>0</v>
      </c>
      <c r="M299" t="n">
        <v>0</v>
      </c>
      <c r="N299" t="n">
        <v>0</v>
      </c>
      <c r="O299" t="n">
        <v>0</v>
      </c>
      <c r="P299" t="n">
        <v>0</v>
      </c>
      <c r="Q299" t="n">
        <v>0</v>
      </c>
      <c r="R299" s="2" t="inlineStr"/>
    </row>
    <row r="300" ht="15" customHeight="1">
      <c r="A300" t="inlineStr">
        <is>
          <t>A 59459-2024</t>
        </is>
      </c>
      <c r="B300" s="1" t="n">
        <v>45638</v>
      </c>
      <c r="C300" s="1" t="n">
        <v>45886</v>
      </c>
      <c r="D300" t="inlineStr">
        <is>
          <t>JÄMTLANDS LÄN</t>
        </is>
      </c>
      <c r="E300" t="inlineStr">
        <is>
          <t>BERG</t>
        </is>
      </c>
      <c r="G300" t="n">
        <v>1.1</v>
      </c>
      <c r="H300" t="n">
        <v>0</v>
      </c>
      <c r="I300" t="n">
        <v>0</v>
      </c>
      <c r="J300" t="n">
        <v>0</v>
      </c>
      <c r="K300" t="n">
        <v>0</v>
      </c>
      <c r="L300" t="n">
        <v>0</v>
      </c>
      <c r="M300" t="n">
        <v>0</v>
      </c>
      <c r="N300" t="n">
        <v>0</v>
      </c>
      <c r="O300" t="n">
        <v>0</v>
      </c>
      <c r="P300" t="n">
        <v>0</v>
      </c>
      <c r="Q300" t="n">
        <v>0</v>
      </c>
      <c r="R300" s="2" t="inlineStr"/>
    </row>
    <row r="301" ht="15" customHeight="1">
      <c r="A301" t="inlineStr">
        <is>
          <t>A 22653-2025</t>
        </is>
      </c>
      <c r="B301" s="1" t="n">
        <v>45789.46931712963</v>
      </c>
      <c r="C301" s="1" t="n">
        <v>45886</v>
      </c>
      <c r="D301" t="inlineStr">
        <is>
          <t>JÄMTLANDS LÄN</t>
        </is>
      </c>
      <c r="E301" t="inlineStr">
        <is>
          <t>BERG</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33750-2023</t>
        </is>
      </c>
      <c r="B302" s="1" t="n">
        <v>45120</v>
      </c>
      <c r="C302" s="1" t="n">
        <v>45886</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11599-2025</t>
        </is>
      </c>
      <c r="B303" s="1" t="n">
        <v>45727.4261574074</v>
      </c>
      <c r="C303" s="1" t="n">
        <v>45886</v>
      </c>
      <c r="D303" t="inlineStr">
        <is>
          <t>JÄMTLANDS LÄN</t>
        </is>
      </c>
      <c r="E303" t="inlineStr">
        <is>
          <t>BERG</t>
        </is>
      </c>
      <c r="G303" t="n">
        <v>1.4</v>
      </c>
      <c r="H303" t="n">
        <v>0</v>
      </c>
      <c r="I303" t="n">
        <v>0</v>
      </c>
      <c r="J303" t="n">
        <v>0</v>
      </c>
      <c r="K303" t="n">
        <v>0</v>
      </c>
      <c r="L303" t="n">
        <v>0</v>
      </c>
      <c r="M303" t="n">
        <v>0</v>
      </c>
      <c r="N303" t="n">
        <v>0</v>
      </c>
      <c r="O303" t="n">
        <v>0</v>
      </c>
      <c r="P303" t="n">
        <v>0</v>
      </c>
      <c r="Q303" t="n">
        <v>0</v>
      </c>
      <c r="R303" s="2" t="inlineStr"/>
    </row>
    <row r="304" ht="15" customHeight="1">
      <c r="A304" t="inlineStr">
        <is>
          <t>A 37086-2024</t>
        </is>
      </c>
      <c r="B304" s="1" t="n">
        <v>45539.49776620371</v>
      </c>
      <c r="C304" s="1" t="n">
        <v>45886</v>
      </c>
      <c r="D304" t="inlineStr">
        <is>
          <t>JÄMTLANDS LÄN</t>
        </is>
      </c>
      <c r="E304" t="inlineStr">
        <is>
          <t>BERG</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45886</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43762-2023</t>
        </is>
      </c>
      <c r="B306" s="1" t="n">
        <v>45182</v>
      </c>
      <c r="C306" s="1" t="n">
        <v>45886</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22972-2025</t>
        </is>
      </c>
      <c r="B307" s="1" t="n">
        <v>45790.55957175926</v>
      </c>
      <c r="C307" s="1" t="n">
        <v>45886</v>
      </c>
      <c r="D307" t="inlineStr">
        <is>
          <t>JÄMTLANDS LÄN</t>
        </is>
      </c>
      <c r="E307" t="inlineStr">
        <is>
          <t>BERG</t>
        </is>
      </c>
      <c r="G307" t="n">
        <v>2.9</v>
      </c>
      <c r="H307" t="n">
        <v>0</v>
      </c>
      <c r="I307" t="n">
        <v>0</v>
      </c>
      <c r="J307" t="n">
        <v>0</v>
      </c>
      <c r="K307" t="n">
        <v>0</v>
      </c>
      <c r="L307" t="n">
        <v>0</v>
      </c>
      <c r="M307" t="n">
        <v>0</v>
      </c>
      <c r="N307" t="n">
        <v>0</v>
      </c>
      <c r="O307" t="n">
        <v>0</v>
      </c>
      <c r="P307" t="n">
        <v>0</v>
      </c>
      <c r="Q307" t="n">
        <v>0</v>
      </c>
      <c r="R307" s="2" t="inlineStr"/>
    </row>
    <row r="308" ht="15" customHeight="1">
      <c r="A308" t="inlineStr">
        <is>
          <t>A 22977-2025</t>
        </is>
      </c>
      <c r="B308" s="1" t="n">
        <v>45790.5657175926</v>
      </c>
      <c r="C308" s="1" t="n">
        <v>45886</v>
      </c>
      <c r="D308" t="inlineStr">
        <is>
          <t>JÄMTLANDS LÄN</t>
        </is>
      </c>
      <c r="E308" t="inlineStr">
        <is>
          <t>BERG</t>
        </is>
      </c>
      <c r="G308" t="n">
        <v>3</v>
      </c>
      <c r="H308" t="n">
        <v>0</v>
      </c>
      <c r="I308" t="n">
        <v>0</v>
      </c>
      <c r="J308" t="n">
        <v>0</v>
      </c>
      <c r="K308" t="n">
        <v>0</v>
      </c>
      <c r="L308" t="n">
        <v>0</v>
      </c>
      <c r="M308" t="n">
        <v>0</v>
      </c>
      <c r="N308" t="n">
        <v>0</v>
      </c>
      <c r="O308" t="n">
        <v>0</v>
      </c>
      <c r="P308" t="n">
        <v>0</v>
      </c>
      <c r="Q308" t="n">
        <v>0</v>
      </c>
      <c r="R308" s="2" t="inlineStr"/>
    </row>
    <row r="309" ht="15" customHeight="1">
      <c r="A309" t="inlineStr">
        <is>
          <t>A 23026-2025</t>
        </is>
      </c>
      <c r="B309" s="1" t="n">
        <v>45790.65690972222</v>
      </c>
      <c r="C309" s="1" t="n">
        <v>45886</v>
      </c>
      <c r="D309" t="inlineStr">
        <is>
          <t>JÄMTLANDS LÄN</t>
        </is>
      </c>
      <c r="E309" t="inlineStr">
        <is>
          <t>BERG</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22991-2025</t>
        </is>
      </c>
      <c r="B310" s="1" t="n">
        <v>45790.57836805555</v>
      </c>
      <c r="C310" s="1" t="n">
        <v>45886</v>
      </c>
      <c r="D310" t="inlineStr">
        <is>
          <t>JÄMTLANDS LÄN</t>
        </is>
      </c>
      <c r="E310" t="inlineStr">
        <is>
          <t>BERG</t>
        </is>
      </c>
      <c r="G310" t="n">
        <v>1.2</v>
      </c>
      <c r="H310" t="n">
        <v>0</v>
      </c>
      <c r="I310" t="n">
        <v>0</v>
      </c>
      <c r="J310" t="n">
        <v>0</v>
      </c>
      <c r="K310" t="n">
        <v>0</v>
      </c>
      <c r="L310" t="n">
        <v>0</v>
      </c>
      <c r="M310" t="n">
        <v>0</v>
      </c>
      <c r="N310" t="n">
        <v>0</v>
      </c>
      <c r="O310" t="n">
        <v>0</v>
      </c>
      <c r="P310" t="n">
        <v>0</v>
      </c>
      <c r="Q310" t="n">
        <v>0</v>
      </c>
      <c r="R310" s="2" t="inlineStr"/>
    </row>
    <row r="311" ht="15" customHeight="1">
      <c r="A311" t="inlineStr">
        <is>
          <t>A 39102-2024</t>
        </is>
      </c>
      <c r="B311" s="1" t="n">
        <v>45548</v>
      </c>
      <c r="C311" s="1" t="n">
        <v>45886</v>
      </c>
      <c r="D311" t="inlineStr">
        <is>
          <t>JÄMTLANDS LÄN</t>
        </is>
      </c>
      <c r="E311" t="inlineStr">
        <is>
          <t>BERG</t>
        </is>
      </c>
      <c r="G311" t="n">
        <v>193</v>
      </c>
      <c r="H311" t="n">
        <v>0</v>
      </c>
      <c r="I311" t="n">
        <v>0</v>
      </c>
      <c r="J311" t="n">
        <v>0</v>
      </c>
      <c r="K311" t="n">
        <v>0</v>
      </c>
      <c r="L311" t="n">
        <v>0</v>
      </c>
      <c r="M311" t="n">
        <v>0</v>
      </c>
      <c r="N311" t="n">
        <v>0</v>
      </c>
      <c r="O311" t="n">
        <v>0</v>
      </c>
      <c r="P311" t="n">
        <v>0</v>
      </c>
      <c r="Q311" t="n">
        <v>0</v>
      </c>
      <c r="R311" s="2" t="inlineStr"/>
    </row>
    <row r="312" ht="15" customHeight="1">
      <c r="A312" t="inlineStr">
        <is>
          <t>A 31155-2024</t>
        </is>
      </c>
      <c r="B312" s="1" t="n">
        <v>45503</v>
      </c>
      <c r="C312" s="1" t="n">
        <v>45886</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35921-2024</t>
        </is>
      </c>
      <c r="B313" s="1" t="n">
        <v>45533.42659722222</v>
      </c>
      <c r="C313" s="1" t="n">
        <v>45886</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34650-2024</t>
        </is>
      </c>
      <c r="B314" s="1" t="n">
        <v>45526.48329861111</v>
      </c>
      <c r="C314" s="1" t="n">
        <v>45886</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13373-2024</t>
        </is>
      </c>
      <c r="B315" s="1" t="n">
        <v>45387.37010416666</v>
      </c>
      <c r="C315" s="1" t="n">
        <v>45886</v>
      </c>
      <c r="D315" t="inlineStr">
        <is>
          <t>JÄMTLANDS LÄN</t>
        </is>
      </c>
      <c r="E315" t="inlineStr">
        <is>
          <t>BERG</t>
        </is>
      </c>
      <c r="G315" t="n">
        <v>3.8</v>
      </c>
      <c r="H315" t="n">
        <v>0</v>
      </c>
      <c r="I315" t="n">
        <v>0</v>
      </c>
      <c r="J315" t="n">
        <v>0</v>
      </c>
      <c r="K315" t="n">
        <v>0</v>
      </c>
      <c r="L315" t="n">
        <v>0</v>
      </c>
      <c r="M315" t="n">
        <v>0</v>
      </c>
      <c r="N315" t="n">
        <v>0</v>
      </c>
      <c r="O315" t="n">
        <v>0</v>
      </c>
      <c r="P315" t="n">
        <v>0</v>
      </c>
      <c r="Q315" t="n">
        <v>0</v>
      </c>
      <c r="R315" s="2" t="inlineStr"/>
    </row>
    <row r="316" ht="15" customHeight="1">
      <c r="A316" t="inlineStr">
        <is>
          <t>A 23902-2025</t>
        </is>
      </c>
      <c r="B316" s="1" t="n">
        <v>45794.34447916667</v>
      </c>
      <c r="C316" s="1" t="n">
        <v>45886</v>
      </c>
      <c r="D316" t="inlineStr">
        <is>
          <t>JÄMTLANDS LÄN</t>
        </is>
      </c>
      <c r="E316" t="inlineStr">
        <is>
          <t>BERG</t>
        </is>
      </c>
      <c r="F316" t="inlineStr">
        <is>
          <t>SCA</t>
        </is>
      </c>
      <c r="G316" t="n">
        <v>14.3</v>
      </c>
      <c r="H316" t="n">
        <v>0</v>
      </c>
      <c r="I316" t="n">
        <v>0</v>
      </c>
      <c r="J316" t="n">
        <v>0</v>
      </c>
      <c r="K316" t="n">
        <v>0</v>
      </c>
      <c r="L316" t="n">
        <v>0</v>
      </c>
      <c r="M316" t="n">
        <v>0</v>
      </c>
      <c r="N316" t="n">
        <v>0</v>
      </c>
      <c r="O316" t="n">
        <v>0</v>
      </c>
      <c r="P316" t="n">
        <v>0</v>
      </c>
      <c r="Q316" t="n">
        <v>0</v>
      </c>
      <c r="R316" s="2" t="inlineStr"/>
    </row>
    <row r="317" ht="15" customHeight="1">
      <c r="A317" t="inlineStr">
        <is>
          <t>A 23913-2025</t>
        </is>
      </c>
      <c r="B317" s="1" t="n">
        <v>45795.34442129629</v>
      </c>
      <c r="C317" s="1" t="n">
        <v>45886</v>
      </c>
      <c r="D317" t="inlineStr">
        <is>
          <t>JÄMTLANDS LÄN</t>
        </is>
      </c>
      <c r="E317" t="inlineStr">
        <is>
          <t>BERG</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13936-2024</t>
        </is>
      </c>
      <c r="B318" s="1" t="n">
        <v>45391.9533912037</v>
      </c>
      <c r="C318" s="1" t="n">
        <v>45886</v>
      </c>
      <c r="D318" t="inlineStr">
        <is>
          <t>JÄMTLANDS LÄN</t>
        </is>
      </c>
      <c r="E318" t="inlineStr">
        <is>
          <t>BERG</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29087-2024</t>
        </is>
      </c>
      <c r="B319" s="1" t="n">
        <v>45481.92946759259</v>
      </c>
      <c r="C319" s="1" t="n">
        <v>45886</v>
      </c>
      <c r="D319" t="inlineStr">
        <is>
          <t>JÄMTLANDS LÄN</t>
        </is>
      </c>
      <c r="E319" t="inlineStr">
        <is>
          <t>BERG</t>
        </is>
      </c>
      <c r="G319" t="n">
        <v>10.7</v>
      </c>
      <c r="H319" t="n">
        <v>0</v>
      </c>
      <c r="I319" t="n">
        <v>0</v>
      </c>
      <c r="J319" t="n">
        <v>0</v>
      </c>
      <c r="K319" t="n">
        <v>0</v>
      </c>
      <c r="L319" t="n">
        <v>0</v>
      </c>
      <c r="M319" t="n">
        <v>0</v>
      </c>
      <c r="N319" t="n">
        <v>0</v>
      </c>
      <c r="O319" t="n">
        <v>0</v>
      </c>
      <c r="P319" t="n">
        <v>0</v>
      </c>
      <c r="Q319" t="n">
        <v>0</v>
      </c>
      <c r="R319" s="2" t="inlineStr"/>
    </row>
    <row r="320" ht="15" customHeight="1">
      <c r="A320" t="inlineStr">
        <is>
          <t>A 23900-2025</t>
        </is>
      </c>
      <c r="B320" s="1" t="n">
        <v>45794.34425925926</v>
      </c>
      <c r="C320" s="1" t="n">
        <v>45886</v>
      </c>
      <c r="D320" t="inlineStr">
        <is>
          <t>JÄMTLANDS LÄN</t>
        </is>
      </c>
      <c r="E320" t="inlineStr">
        <is>
          <t>BERG</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23915-2025</t>
        </is>
      </c>
      <c r="B321" s="1" t="n">
        <v>45795.3446412037</v>
      </c>
      <c r="C321" s="1" t="n">
        <v>45886</v>
      </c>
      <c r="D321" t="inlineStr">
        <is>
          <t>JÄMTLANDS LÄN</t>
        </is>
      </c>
      <c r="E321" t="inlineStr">
        <is>
          <t>BERG</t>
        </is>
      </c>
      <c r="F321" t="inlineStr">
        <is>
          <t>SCA</t>
        </is>
      </c>
      <c r="G321" t="n">
        <v>16.7</v>
      </c>
      <c r="H321" t="n">
        <v>0</v>
      </c>
      <c r="I321" t="n">
        <v>0</v>
      </c>
      <c r="J321" t="n">
        <v>0</v>
      </c>
      <c r="K321" t="n">
        <v>0</v>
      </c>
      <c r="L321" t="n">
        <v>0</v>
      </c>
      <c r="M321" t="n">
        <v>0</v>
      </c>
      <c r="N321" t="n">
        <v>0</v>
      </c>
      <c r="O321" t="n">
        <v>0</v>
      </c>
      <c r="P321" t="n">
        <v>0</v>
      </c>
      <c r="Q321" t="n">
        <v>0</v>
      </c>
      <c r="R321" s="2" t="inlineStr"/>
    </row>
    <row r="322" ht="15" customHeight="1">
      <c r="A322" t="inlineStr">
        <is>
          <t>A 23916-2025</t>
        </is>
      </c>
      <c r="B322" s="1" t="n">
        <v>45795.34472222222</v>
      </c>
      <c r="C322" s="1" t="n">
        <v>45886</v>
      </c>
      <c r="D322" t="inlineStr">
        <is>
          <t>JÄMTLANDS LÄN</t>
        </is>
      </c>
      <c r="E322" t="inlineStr">
        <is>
          <t>BERG</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5014-2024</t>
        </is>
      </c>
      <c r="B323" s="1" t="n">
        <v>45329</v>
      </c>
      <c r="C323" s="1" t="n">
        <v>45886</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45886</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23901-2025</t>
        </is>
      </c>
      <c r="B325" s="1" t="n">
        <v>45794.34436342592</v>
      </c>
      <c r="C325" s="1" t="n">
        <v>45886</v>
      </c>
      <c r="D325" t="inlineStr">
        <is>
          <t>JÄMTLANDS LÄN</t>
        </is>
      </c>
      <c r="E325" t="inlineStr">
        <is>
          <t>BERG</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23919-2025</t>
        </is>
      </c>
      <c r="B326" s="1" t="n">
        <v>45795.34497685185</v>
      </c>
      <c r="C326" s="1" t="n">
        <v>45886</v>
      </c>
      <c r="D326" t="inlineStr">
        <is>
          <t>JÄMTLANDS LÄN</t>
        </is>
      </c>
      <c r="E326" t="inlineStr">
        <is>
          <t>BERG</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24060-2025</t>
        </is>
      </c>
      <c r="B327" s="1" t="n">
        <v>45796.5216087963</v>
      </c>
      <c r="C327" s="1" t="n">
        <v>45886</v>
      </c>
      <c r="D327" t="inlineStr">
        <is>
          <t>JÄMTLANDS LÄN</t>
        </is>
      </c>
      <c r="E327" t="inlineStr">
        <is>
          <t>BERG</t>
        </is>
      </c>
      <c r="G327" t="n">
        <v>4.7</v>
      </c>
      <c r="H327" t="n">
        <v>0</v>
      </c>
      <c r="I327" t="n">
        <v>0</v>
      </c>
      <c r="J327" t="n">
        <v>0</v>
      </c>
      <c r="K327" t="n">
        <v>0</v>
      </c>
      <c r="L327" t="n">
        <v>0</v>
      </c>
      <c r="M327" t="n">
        <v>0</v>
      </c>
      <c r="N327" t="n">
        <v>0</v>
      </c>
      <c r="O327" t="n">
        <v>0</v>
      </c>
      <c r="P327" t="n">
        <v>0</v>
      </c>
      <c r="Q327" t="n">
        <v>0</v>
      </c>
      <c r="R327" s="2" t="inlineStr"/>
    </row>
    <row r="328" ht="15" customHeight="1">
      <c r="A328" t="inlineStr">
        <is>
          <t>A 45346-2023</t>
        </is>
      </c>
      <c r="B328" s="1" t="n">
        <v>45191</v>
      </c>
      <c r="C328" s="1" t="n">
        <v>45886</v>
      </c>
      <c r="D328" t="inlineStr">
        <is>
          <t>JÄMTLANDS LÄN</t>
        </is>
      </c>
      <c r="E328" t="inlineStr">
        <is>
          <t>BERG</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51039-2024</t>
        </is>
      </c>
      <c r="B329" s="1" t="n">
        <v>45603.43164351852</v>
      </c>
      <c r="C329" s="1" t="n">
        <v>45886</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20882-2023</t>
        </is>
      </c>
      <c r="B330" s="1" t="n">
        <v>45058</v>
      </c>
      <c r="C330" s="1" t="n">
        <v>45886</v>
      </c>
      <c r="D330" t="inlineStr">
        <is>
          <t>JÄMTLANDS LÄN</t>
        </is>
      </c>
      <c r="E330" t="inlineStr">
        <is>
          <t>BERG</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59521-2024</t>
        </is>
      </c>
      <c r="B331" s="1" t="n">
        <v>45638.57283564815</v>
      </c>
      <c r="C331" s="1" t="n">
        <v>45886</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48307-2024</t>
        </is>
      </c>
      <c r="B332" s="1" t="n">
        <v>45590.47684027778</v>
      </c>
      <c r="C332" s="1" t="n">
        <v>45886</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46874-2023</t>
        </is>
      </c>
      <c r="B333" s="1" t="n">
        <v>45200</v>
      </c>
      <c r="C333" s="1" t="n">
        <v>45886</v>
      </c>
      <c r="D333" t="inlineStr">
        <is>
          <t>JÄMTLANDS LÄN</t>
        </is>
      </c>
      <c r="E333" t="inlineStr">
        <is>
          <t>BERG</t>
        </is>
      </c>
      <c r="F333" t="inlineStr">
        <is>
          <t>Naturvårdsverket</t>
        </is>
      </c>
      <c r="G333" t="n">
        <v>1.1</v>
      </c>
      <c r="H333" t="n">
        <v>0</v>
      </c>
      <c r="I333" t="n">
        <v>0</v>
      </c>
      <c r="J333" t="n">
        <v>0</v>
      </c>
      <c r="K333" t="n">
        <v>0</v>
      </c>
      <c r="L333" t="n">
        <v>0</v>
      </c>
      <c r="M333" t="n">
        <v>0</v>
      </c>
      <c r="N333" t="n">
        <v>0</v>
      </c>
      <c r="O333" t="n">
        <v>0</v>
      </c>
      <c r="P333" t="n">
        <v>0</v>
      </c>
      <c r="Q333" t="n">
        <v>0</v>
      </c>
      <c r="R333" s="2" t="inlineStr"/>
    </row>
    <row r="334" ht="15" customHeight="1">
      <c r="A334" t="inlineStr">
        <is>
          <t>A 23766-2025</t>
        </is>
      </c>
      <c r="B334" s="1" t="n">
        <v>45793.46954861111</v>
      </c>
      <c r="C334" s="1" t="n">
        <v>45886</v>
      </c>
      <c r="D334" t="inlineStr">
        <is>
          <t>JÄMTLANDS LÄN</t>
        </is>
      </c>
      <c r="E334" t="inlineStr">
        <is>
          <t>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1495-2025</t>
        </is>
      </c>
      <c r="B335" s="1" t="n">
        <v>45670.40652777778</v>
      </c>
      <c r="C335" s="1" t="n">
        <v>45886</v>
      </c>
      <c r="D335" t="inlineStr">
        <is>
          <t>JÄMTLANDS LÄN</t>
        </is>
      </c>
      <c r="E335" t="inlineStr">
        <is>
          <t>BERG</t>
        </is>
      </c>
      <c r="G335" t="n">
        <v>0.3</v>
      </c>
      <c r="H335" t="n">
        <v>0</v>
      </c>
      <c r="I335" t="n">
        <v>0</v>
      </c>
      <c r="J335" t="n">
        <v>0</v>
      </c>
      <c r="K335" t="n">
        <v>0</v>
      </c>
      <c r="L335" t="n">
        <v>0</v>
      </c>
      <c r="M335" t="n">
        <v>0</v>
      </c>
      <c r="N335" t="n">
        <v>0</v>
      </c>
      <c r="O335" t="n">
        <v>0</v>
      </c>
      <c r="P335" t="n">
        <v>0</v>
      </c>
      <c r="Q335" t="n">
        <v>0</v>
      </c>
      <c r="R335" s="2" t="inlineStr"/>
    </row>
    <row r="336" ht="15" customHeight="1">
      <c r="A336" t="inlineStr">
        <is>
          <t>A 24360-2025</t>
        </is>
      </c>
      <c r="B336" s="1" t="n">
        <v>45797.59502314815</v>
      </c>
      <c r="C336" s="1" t="n">
        <v>45886</v>
      </c>
      <c r="D336" t="inlineStr">
        <is>
          <t>JÄMTLANDS LÄN</t>
        </is>
      </c>
      <c r="E336" t="inlineStr">
        <is>
          <t>BERG</t>
        </is>
      </c>
      <c r="F336" t="inlineStr">
        <is>
          <t>SCA</t>
        </is>
      </c>
      <c r="G336" t="n">
        <v>10.5</v>
      </c>
      <c r="H336" t="n">
        <v>0</v>
      </c>
      <c r="I336" t="n">
        <v>0</v>
      </c>
      <c r="J336" t="n">
        <v>0</v>
      </c>
      <c r="K336" t="n">
        <v>0</v>
      </c>
      <c r="L336" t="n">
        <v>0</v>
      </c>
      <c r="M336" t="n">
        <v>0</v>
      </c>
      <c r="N336" t="n">
        <v>0</v>
      </c>
      <c r="O336" t="n">
        <v>0</v>
      </c>
      <c r="P336" t="n">
        <v>0</v>
      </c>
      <c r="Q336" t="n">
        <v>0</v>
      </c>
      <c r="R336" s="2" t="inlineStr"/>
    </row>
    <row r="337" ht="15" customHeight="1">
      <c r="A337" t="inlineStr">
        <is>
          <t>A 24324-2025</t>
        </is>
      </c>
      <c r="B337" s="1" t="n">
        <v>45797.56049768518</v>
      </c>
      <c r="C337" s="1" t="n">
        <v>45886</v>
      </c>
      <c r="D337" t="inlineStr">
        <is>
          <t>JÄMTLANDS LÄN</t>
        </is>
      </c>
      <c r="E337" t="inlineStr">
        <is>
          <t>BERG</t>
        </is>
      </c>
      <c r="G337" t="n">
        <v>1.6</v>
      </c>
      <c r="H337" t="n">
        <v>0</v>
      </c>
      <c r="I337" t="n">
        <v>0</v>
      </c>
      <c r="J337" t="n">
        <v>0</v>
      </c>
      <c r="K337" t="n">
        <v>0</v>
      </c>
      <c r="L337" t="n">
        <v>0</v>
      </c>
      <c r="M337" t="n">
        <v>0</v>
      </c>
      <c r="N337" t="n">
        <v>0</v>
      </c>
      <c r="O337" t="n">
        <v>0</v>
      </c>
      <c r="P337" t="n">
        <v>0</v>
      </c>
      <c r="Q337" t="n">
        <v>0</v>
      </c>
      <c r="R337" s="2" t="inlineStr"/>
    </row>
    <row r="338" ht="15" customHeight="1">
      <c r="A338" t="inlineStr">
        <is>
          <t>A 35986-2023</t>
        </is>
      </c>
      <c r="B338" s="1" t="n">
        <v>45148</v>
      </c>
      <c r="C338" s="1" t="n">
        <v>45886</v>
      </c>
      <c r="D338" t="inlineStr">
        <is>
          <t>JÄMTLANDS LÄN</t>
        </is>
      </c>
      <c r="E338" t="inlineStr">
        <is>
          <t>BERG</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24390-2025</t>
        </is>
      </c>
      <c r="B339" s="1" t="n">
        <v>45797.63576388889</v>
      </c>
      <c r="C339" s="1" t="n">
        <v>45886</v>
      </c>
      <c r="D339" t="inlineStr">
        <is>
          <t>JÄMTLANDS LÄN</t>
        </is>
      </c>
      <c r="E339" t="inlineStr">
        <is>
          <t>BERG</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24442-2025</t>
        </is>
      </c>
      <c r="B340" s="1" t="n">
        <v>45797.96236111111</v>
      </c>
      <c r="C340" s="1" t="n">
        <v>45886</v>
      </c>
      <c r="D340" t="inlineStr">
        <is>
          <t>JÄMTLANDS LÄN</t>
        </is>
      </c>
      <c r="E340" t="inlineStr">
        <is>
          <t>BERG</t>
        </is>
      </c>
      <c r="G340" t="n">
        <v>9</v>
      </c>
      <c r="H340" t="n">
        <v>0</v>
      </c>
      <c r="I340" t="n">
        <v>0</v>
      </c>
      <c r="J340" t="n">
        <v>0</v>
      </c>
      <c r="K340" t="n">
        <v>0</v>
      </c>
      <c r="L340" t="n">
        <v>0</v>
      </c>
      <c r="M340" t="n">
        <v>0</v>
      </c>
      <c r="N340" t="n">
        <v>0</v>
      </c>
      <c r="O340" t="n">
        <v>0</v>
      </c>
      <c r="P340" t="n">
        <v>0</v>
      </c>
      <c r="Q340" t="n">
        <v>0</v>
      </c>
      <c r="R340" s="2" t="inlineStr"/>
    </row>
    <row r="341" ht="15" customHeight="1">
      <c r="A341" t="inlineStr">
        <is>
          <t>A 24644-2025</t>
        </is>
      </c>
      <c r="B341" s="1" t="n">
        <v>45798.63278935185</v>
      </c>
      <c r="C341" s="1" t="n">
        <v>45886</v>
      </c>
      <c r="D341" t="inlineStr">
        <is>
          <t>JÄMTLANDS LÄN</t>
        </is>
      </c>
      <c r="E341" t="inlineStr">
        <is>
          <t>BERG</t>
        </is>
      </c>
      <c r="G341" t="n">
        <v>24.4</v>
      </c>
      <c r="H341" t="n">
        <v>0</v>
      </c>
      <c r="I341" t="n">
        <v>0</v>
      </c>
      <c r="J341" t="n">
        <v>0</v>
      </c>
      <c r="K341" t="n">
        <v>0</v>
      </c>
      <c r="L341" t="n">
        <v>0</v>
      </c>
      <c r="M341" t="n">
        <v>0</v>
      </c>
      <c r="N341" t="n">
        <v>0</v>
      </c>
      <c r="O341" t="n">
        <v>0</v>
      </c>
      <c r="P341" t="n">
        <v>0</v>
      </c>
      <c r="Q341" t="n">
        <v>0</v>
      </c>
      <c r="R341" s="2" t="inlineStr"/>
    </row>
    <row r="342" ht="15" customHeight="1">
      <c r="A342" t="inlineStr">
        <is>
          <t>A 57661-2024</t>
        </is>
      </c>
      <c r="B342" s="1" t="n">
        <v>45630.6140162037</v>
      </c>
      <c r="C342" s="1" t="n">
        <v>45886</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21508-2024</t>
        </is>
      </c>
      <c r="B343" s="1" t="n">
        <v>45441.56905092593</v>
      </c>
      <c r="C343" s="1" t="n">
        <v>45886</v>
      </c>
      <c r="D343" t="inlineStr">
        <is>
          <t>JÄMTLANDS LÄN</t>
        </is>
      </c>
      <c r="E343" t="inlineStr">
        <is>
          <t>BERG</t>
        </is>
      </c>
      <c r="G343" t="n">
        <v>3.2</v>
      </c>
      <c r="H343" t="n">
        <v>0</v>
      </c>
      <c r="I343" t="n">
        <v>0</v>
      </c>
      <c r="J343" t="n">
        <v>0</v>
      </c>
      <c r="K343" t="n">
        <v>0</v>
      </c>
      <c r="L343" t="n">
        <v>0</v>
      </c>
      <c r="M343" t="n">
        <v>0</v>
      </c>
      <c r="N343" t="n">
        <v>0</v>
      </c>
      <c r="O343" t="n">
        <v>0</v>
      </c>
      <c r="P343" t="n">
        <v>0</v>
      </c>
      <c r="Q343" t="n">
        <v>0</v>
      </c>
      <c r="R343" s="2" t="inlineStr"/>
    </row>
    <row r="344" ht="15" customHeight="1">
      <c r="A344" t="inlineStr">
        <is>
          <t>A 29378-2024</t>
        </is>
      </c>
      <c r="B344" s="1" t="n">
        <v>45483.59328703704</v>
      </c>
      <c r="C344" s="1" t="n">
        <v>45886</v>
      </c>
      <c r="D344" t="inlineStr">
        <is>
          <t>JÄMTLANDS LÄN</t>
        </is>
      </c>
      <c r="E344" t="inlineStr">
        <is>
          <t>BERG</t>
        </is>
      </c>
      <c r="G344" t="n">
        <v>5.6</v>
      </c>
      <c r="H344" t="n">
        <v>0</v>
      </c>
      <c r="I344" t="n">
        <v>0</v>
      </c>
      <c r="J344" t="n">
        <v>0</v>
      </c>
      <c r="K344" t="n">
        <v>0</v>
      </c>
      <c r="L344" t="n">
        <v>0</v>
      </c>
      <c r="M344" t="n">
        <v>0</v>
      </c>
      <c r="N344" t="n">
        <v>0</v>
      </c>
      <c r="O344" t="n">
        <v>0</v>
      </c>
      <c r="P344" t="n">
        <v>0</v>
      </c>
      <c r="Q344" t="n">
        <v>0</v>
      </c>
      <c r="R344" s="2" t="inlineStr"/>
    </row>
    <row r="345" ht="15" customHeight="1">
      <c r="A345" t="inlineStr">
        <is>
          <t>A 58176-2024</t>
        </is>
      </c>
      <c r="B345" s="1" t="n">
        <v>45632.46771990741</v>
      </c>
      <c r="C345" s="1" t="n">
        <v>45886</v>
      </c>
      <c r="D345" t="inlineStr">
        <is>
          <t>JÄMTLANDS LÄN</t>
        </is>
      </c>
      <c r="E345" t="inlineStr">
        <is>
          <t>BERG</t>
        </is>
      </c>
      <c r="G345" t="n">
        <v>14.4</v>
      </c>
      <c r="H345" t="n">
        <v>0</v>
      </c>
      <c r="I345" t="n">
        <v>0</v>
      </c>
      <c r="J345" t="n">
        <v>0</v>
      </c>
      <c r="K345" t="n">
        <v>0</v>
      </c>
      <c r="L345" t="n">
        <v>0</v>
      </c>
      <c r="M345" t="n">
        <v>0</v>
      </c>
      <c r="N345" t="n">
        <v>0</v>
      </c>
      <c r="O345" t="n">
        <v>0</v>
      </c>
      <c r="P345" t="n">
        <v>0</v>
      </c>
      <c r="Q345" t="n">
        <v>0</v>
      </c>
      <c r="R345" s="2" t="inlineStr"/>
    </row>
    <row r="346" ht="15" customHeight="1">
      <c r="A346" t="inlineStr">
        <is>
          <t>A 24786-2025</t>
        </is>
      </c>
      <c r="B346" s="1" t="n">
        <v>45799.42777777778</v>
      </c>
      <c r="C346" s="1" t="n">
        <v>45886</v>
      </c>
      <c r="D346" t="inlineStr">
        <is>
          <t>JÄMTLANDS LÄN</t>
        </is>
      </c>
      <c r="E346" t="inlineStr">
        <is>
          <t>BERG</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7021-2025</t>
        </is>
      </c>
      <c r="B347" s="1" t="n">
        <v>45701.61520833334</v>
      </c>
      <c r="C347" s="1" t="n">
        <v>45886</v>
      </c>
      <c r="D347" t="inlineStr">
        <is>
          <t>JÄMTLANDS LÄN</t>
        </is>
      </c>
      <c r="E347" t="inlineStr">
        <is>
          <t>BERG</t>
        </is>
      </c>
      <c r="G347" t="n">
        <v>4.2</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45886</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24849-2025</t>
        </is>
      </c>
      <c r="B349" s="1" t="n">
        <v>45799.46949074074</v>
      </c>
      <c r="C349" s="1" t="n">
        <v>45886</v>
      </c>
      <c r="D349" t="inlineStr">
        <is>
          <t>JÄMTLANDS LÄN</t>
        </is>
      </c>
      <c r="E349" t="inlineStr">
        <is>
          <t>BERG</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23177-2024</t>
        </is>
      </c>
      <c r="B350" s="1" t="n">
        <v>45450</v>
      </c>
      <c r="C350" s="1" t="n">
        <v>45886</v>
      </c>
      <c r="D350" t="inlineStr">
        <is>
          <t>JÄMTLANDS LÄN</t>
        </is>
      </c>
      <c r="E350" t="inlineStr">
        <is>
          <t>BERG</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24869-2025</t>
        </is>
      </c>
      <c r="B351" s="1" t="n">
        <v>45799.48994212963</v>
      </c>
      <c r="C351" s="1" t="n">
        <v>45886</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14431-2025</t>
        </is>
      </c>
      <c r="B352" s="1" t="n">
        <v>45741</v>
      </c>
      <c r="C352" s="1" t="n">
        <v>45886</v>
      </c>
      <c r="D352" t="inlineStr">
        <is>
          <t>JÄMTLANDS LÄN</t>
        </is>
      </c>
      <c r="E352" t="inlineStr">
        <is>
          <t>BERG</t>
        </is>
      </c>
      <c r="G352" t="n">
        <v>1.7</v>
      </c>
      <c r="H352" t="n">
        <v>0</v>
      </c>
      <c r="I352" t="n">
        <v>0</v>
      </c>
      <c r="J352" t="n">
        <v>0</v>
      </c>
      <c r="K352" t="n">
        <v>0</v>
      </c>
      <c r="L352" t="n">
        <v>0</v>
      </c>
      <c r="M352" t="n">
        <v>0</v>
      </c>
      <c r="N352" t="n">
        <v>0</v>
      </c>
      <c r="O352" t="n">
        <v>0</v>
      </c>
      <c r="P352" t="n">
        <v>0</v>
      </c>
      <c r="Q352" t="n">
        <v>0</v>
      </c>
      <c r="R352" s="2" t="inlineStr"/>
    </row>
    <row r="353" ht="15" customHeight="1">
      <c r="A353" t="inlineStr">
        <is>
          <t>A 60409-2023</t>
        </is>
      </c>
      <c r="B353" s="1" t="n">
        <v>45259.47972222222</v>
      </c>
      <c r="C353" s="1" t="n">
        <v>45886</v>
      </c>
      <c r="D353" t="inlineStr">
        <is>
          <t>JÄMTLANDS LÄN</t>
        </is>
      </c>
      <c r="E353" t="inlineStr">
        <is>
          <t>BERG</t>
        </is>
      </c>
      <c r="G353" t="n">
        <v>5.8</v>
      </c>
      <c r="H353" t="n">
        <v>0</v>
      </c>
      <c r="I353" t="n">
        <v>0</v>
      </c>
      <c r="J353" t="n">
        <v>0</v>
      </c>
      <c r="K353" t="n">
        <v>0</v>
      </c>
      <c r="L353" t="n">
        <v>0</v>
      </c>
      <c r="M353" t="n">
        <v>0</v>
      </c>
      <c r="N353" t="n">
        <v>0</v>
      </c>
      <c r="O353" t="n">
        <v>0</v>
      </c>
      <c r="P353" t="n">
        <v>0</v>
      </c>
      <c r="Q353" t="n">
        <v>0</v>
      </c>
      <c r="R353" s="2" t="inlineStr"/>
    </row>
    <row r="354" ht="15" customHeight="1">
      <c r="A354" t="inlineStr">
        <is>
          <t>A 24954-2025</t>
        </is>
      </c>
      <c r="B354" s="1" t="n">
        <v>45799.57385416667</v>
      </c>
      <c r="C354" s="1" t="n">
        <v>45886</v>
      </c>
      <c r="D354" t="inlineStr">
        <is>
          <t>JÄMTLANDS LÄN</t>
        </is>
      </c>
      <c r="E354" t="inlineStr">
        <is>
          <t>BERG</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49048-2024</t>
        </is>
      </c>
      <c r="B355" s="1" t="n">
        <v>45594.57427083333</v>
      </c>
      <c r="C355" s="1" t="n">
        <v>45886</v>
      </c>
      <c r="D355" t="inlineStr">
        <is>
          <t>JÄMTLANDS LÄN</t>
        </is>
      </c>
      <c r="E355" t="inlineStr">
        <is>
          <t>BERG</t>
        </is>
      </c>
      <c r="G355" t="n">
        <v>1.3</v>
      </c>
      <c r="H355" t="n">
        <v>0</v>
      </c>
      <c r="I355" t="n">
        <v>0</v>
      </c>
      <c r="J355" t="n">
        <v>0</v>
      </c>
      <c r="K355" t="n">
        <v>0</v>
      </c>
      <c r="L355" t="n">
        <v>0</v>
      </c>
      <c r="M355" t="n">
        <v>0</v>
      </c>
      <c r="N355" t="n">
        <v>0</v>
      </c>
      <c r="O355" t="n">
        <v>0</v>
      </c>
      <c r="P355" t="n">
        <v>0</v>
      </c>
      <c r="Q355" t="n">
        <v>0</v>
      </c>
      <c r="R355" s="2" t="inlineStr"/>
    </row>
    <row r="356" ht="15" customHeight="1">
      <c r="A356" t="inlineStr">
        <is>
          <t>A 64709-2021</t>
        </is>
      </c>
      <c r="B356" s="1" t="n">
        <v>44512</v>
      </c>
      <c r="C356" s="1" t="n">
        <v>45886</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40414-2023</t>
        </is>
      </c>
      <c r="B357" s="1" t="n">
        <v>45169</v>
      </c>
      <c r="C357" s="1" t="n">
        <v>45886</v>
      </c>
      <c r="D357" t="inlineStr">
        <is>
          <t>JÄMTLANDS LÄN</t>
        </is>
      </c>
      <c r="E357" t="inlineStr">
        <is>
          <t>BERG</t>
        </is>
      </c>
      <c r="F357" t="inlineStr">
        <is>
          <t>SCA</t>
        </is>
      </c>
      <c r="G357" t="n">
        <v>6.6</v>
      </c>
      <c r="H357" t="n">
        <v>0</v>
      </c>
      <c r="I357" t="n">
        <v>0</v>
      </c>
      <c r="J357" t="n">
        <v>0</v>
      </c>
      <c r="K357" t="n">
        <v>0</v>
      </c>
      <c r="L357" t="n">
        <v>0</v>
      </c>
      <c r="M357" t="n">
        <v>0</v>
      </c>
      <c r="N357" t="n">
        <v>0</v>
      </c>
      <c r="O357" t="n">
        <v>0</v>
      </c>
      <c r="P357" t="n">
        <v>0</v>
      </c>
      <c r="Q357" t="n">
        <v>0</v>
      </c>
      <c r="R357" s="2" t="inlineStr"/>
    </row>
    <row r="358" ht="15" customHeight="1">
      <c r="A358" t="inlineStr">
        <is>
          <t>A 34030-2025</t>
        </is>
      </c>
      <c r="B358" s="1" t="n">
        <v>45845.3633912037</v>
      </c>
      <c r="C358" s="1" t="n">
        <v>45886</v>
      </c>
      <c r="D358" t="inlineStr">
        <is>
          <t>JÄMTLANDS LÄN</t>
        </is>
      </c>
      <c r="E358" t="inlineStr">
        <is>
          <t>BERG</t>
        </is>
      </c>
      <c r="G358" t="n">
        <v>13.5</v>
      </c>
      <c r="H358" t="n">
        <v>0</v>
      </c>
      <c r="I358" t="n">
        <v>0</v>
      </c>
      <c r="J358" t="n">
        <v>0</v>
      </c>
      <c r="K358" t="n">
        <v>0</v>
      </c>
      <c r="L358" t="n">
        <v>0</v>
      </c>
      <c r="M358" t="n">
        <v>0</v>
      </c>
      <c r="N358" t="n">
        <v>0</v>
      </c>
      <c r="O358" t="n">
        <v>0</v>
      </c>
      <c r="P358" t="n">
        <v>0</v>
      </c>
      <c r="Q358" t="n">
        <v>0</v>
      </c>
      <c r="R358" s="2" t="inlineStr"/>
    </row>
    <row r="359" ht="15" customHeight="1">
      <c r="A359" t="inlineStr">
        <is>
          <t>A 25938-2025</t>
        </is>
      </c>
      <c r="B359" s="1" t="n">
        <v>45804.59414351852</v>
      </c>
      <c r="C359" s="1" t="n">
        <v>45886</v>
      </c>
      <c r="D359" t="inlineStr">
        <is>
          <t>JÄMTLANDS LÄN</t>
        </is>
      </c>
      <c r="E359" t="inlineStr">
        <is>
          <t>BERG</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34036-2025</t>
        </is>
      </c>
      <c r="B360" s="1" t="n">
        <v>45845.36954861111</v>
      </c>
      <c r="C360" s="1" t="n">
        <v>45886</v>
      </c>
      <c r="D360" t="inlineStr">
        <is>
          <t>JÄMTLANDS LÄN</t>
        </is>
      </c>
      <c r="E360" t="inlineStr">
        <is>
          <t>BERG</t>
        </is>
      </c>
      <c r="G360" t="n">
        <v>4.8</v>
      </c>
      <c r="H360" t="n">
        <v>0</v>
      </c>
      <c r="I360" t="n">
        <v>0</v>
      </c>
      <c r="J360" t="n">
        <v>0</v>
      </c>
      <c r="K360" t="n">
        <v>0</v>
      </c>
      <c r="L360" t="n">
        <v>0</v>
      </c>
      <c r="M360" t="n">
        <v>0</v>
      </c>
      <c r="N360" t="n">
        <v>0</v>
      </c>
      <c r="O360" t="n">
        <v>0</v>
      </c>
      <c r="P360" t="n">
        <v>0</v>
      </c>
      <c r="Q360" t="n">
        <v>0</v>
      </c>
      <c r="R360" s="2" t="inlineStr"/>
    </row>
    <row r="361" ht="15" customHeight="1">
      <c r="A361" t="inlineStr">
        <is>
          <t>A 25960-2025</t>
        </is>
      </c>
      <c r="B361" s="1" t="n">
        <v>45804.60972222222</v>
      </c>
      <c r="C361" s="1" t="n">
        <v>45886</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25976-2025</t>
        </is>
      </c>
      <c r="B362" s="1" t="n">
        <v>45804.63596064815</v>
      </c>
      <c r="C362" s="1" t="n">
        <v>45886</v>
      </c>
      <c r="D362" t="inlineStr">
        <is>
          <t>JÄMTLANDS LÄN</t>
        </is>
      </c>
      <c r="E362" t="inlineStr">
        <is>
          <t>BERG</t>
        </is>
      </c>
      <c r="F362" t="inlineStr">
        <is>
          <t>SCA</t>
        </is>
      </c>
      <c r="G362" t="n">
        <v>5.5</v>
      </c>
      <c r="H362" t="n">
        <v>0</v>
      </c>
      <c r="I362" t="n">
        <v>0</v>
      </c>
      <c r="J362" t="n">
        <v>0</v>
      </c>
      <c r="K362" t="n">
        <v>0</v>
      </c>
      <c r="L362" t="n">
        <v>0</v>
      </c>
      <c r="M362" t="n">
        <v>0</v>
      </c>
      <c r="N362" t="n">
        <v>0</v>
      </c>
      <c r="O362" t="n">
        <v>0</v>
      </c>
      <c r="P362" t="n">
        <v>0</v>
      </c>
      <c r="Q362" t="n">
        <v>0</v>
      </c>
      <c r="R362" s="2" t="inlineStr"/>
    </row>
    <row r="363" ht="15" customHeight="1">
      <c r="A363" t="inlineStr">
        <is>
          <t>A 25979-2025</t>
        </is>
      </c>
      <c r="B363" s="1" t="n">
        <v>45804.63642361111</v>
      </c>
      <c r="C363" s="1" t="n">
        <v>45886</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25885-2025</t>
        </is>
      </c>
      <c r="B364" s="1" t="n">
        <v>45804.51075231482</v>
      </c>
      <c r="C364" s="1" t="n">
        <v>45886</v>
      </c>
      <c r="D364" t="inlineStr">
        <is>
          <t>JÄMTLANDS LÄN</t>
        </is>
      </c>
      <c r="E364" t="inlineStr">
        <is>
          <t>BERG</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25887-2025</t>
        </is>
      </c>
      <c r="B365" s="1" t="n">
        <v>45804.51104166666</v>
      </c>
      <c r="C365" s="1" t="n">
        <v>45886</v>
      </c>
      <c r="D365" t="inlineStr">
        <is>
          <t>JÄMTLANDS LÄN</t>
        </is>
      </c>
      <c r="E365" t="inlineStr">
        <is>
          <t>BERG</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25886-2025</t>
        </is>
      </c>
      <c r="B366" s="1" t="n">
        <v>45804.51092592593</v>
      </c>
      <c r="C366" s="1" t="n">
        <v>45886</v>
      </c>
      <c r="D366" t="inlineStr">
        <is>
          <t>JÄMTLANDS LÄN</t>
        </is>
      </c>
      <c r="E366" t="inlineStr">
        <is>
          <t>BERG</t>
        </is>
      </c>
      <c r="F366" t="inlineStr">
        <is>
          <t>SCA</t>
        </is>
      </c>
      <c r="G366" t="n">
        <v>18.3</v>
      </c>
      <c r="H366" t="n">
        <v>0</v>
      </c>
      <c r="I366" t="n">
        <v>0</v>
      </c>
      <c r="J366" t="n">
        <v>0</v>
      </c>
      <c r="K366" t="n">
        <v>0</v>
      </c>
      <c r="L366" t="n">
        <v>0</v>
      </c>
      <c r="M366" t="n">
        <v>0</v>
      </c>
      <c r="N366" t="n">
        <v>0</v>
      </c>
      <c r="O366" t="n">
        <v>0</v>
      </c>
      <c r="P366" t="n">
        <v>0</v>
      </c>
      <c r="Q366" t="n">
        <v>0</v>
      </c>
      <c r="R366" s="2" t="inlineStr"/>
    </row>
    <row r="367" ht="15" customHeight="1">
      <c r="A367" t="inlineStr">
        <is>
          <t>A 25951-2025</t>
        </is>
      </c>
      <c r="B367" s="1" t="n">
        <v>45804.5984375</v>
      </c>
      <c r="C367" s="1" t="n">
        <v>45886</v>
      </c>
      <c r="D367" t="inlineStr">
        <is>
          <t>JÄMTLANDS LÄN</t>
        </is>
      </c>
      <c r="E367" t="inlineStr">
        <is>
          <t>BERG</t>
        </is>
      </c>
      <c r="G367" t="n">
        <v>0.9</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45155.954375</v>
      </c>
      <c r="C368" s="1" t="n">
        <v>45886</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25980-2025</t>
        </is>
      </c>
      <c r="B369" s="1" t="n">
        <v>45804.63658564815</v>
      </c>
      <c r="C369" s="1" t="n">
        <v>45886</v>
      </c>
      <c r="D369" t="inlineStr">
        <is>
          <t>JÄMTLANDS LÄN</t>
        </is>
      </c>
      <c r="E369" t="inlineStr">
        <is>
          <t>BERG</t>
        </is>
      </c>
      <c r="F369" t="inlineStr">
        <is>
          <t>SCA</t>
        </is>
      </c>
      <c r="G369" t="n">
        <v>8.9</v>
      </c>
      <c r="H369" t="n">
        <v>0</v>
      </c>
      <c r="I369" t="n">
        <v>0</v>
      </c>
      <c r="J369" t="n">
        <v>0</v>
      </c>
      <c r="K369" t="n">
        <v>0</v>
      </c>
      <c r="L369" t="n">
        <v>0</v>
      </c>
      <c r="M369" t="n">
        <v>0</v>
      </c>
      <c r="N369" t="n">
        <v>0</v>
      </c>
      <c r="O369" t="n">
        <v>0</v>
      </c>
      <c r="P369" t="n">
        <v>0</v>
      </c>
      <c r="Q369" t="n">
        <v>0</v>
      </c>
      <c r="R369" s="2" t="inlineStr"/>
    </row>
    <row r="370" ht="15" customHeight="1">
      <c r="A370" t="inlineStr">
        <is>
          <t>A 25441-2025</t>
        </is>
      </c>
      <c r="B370" s="1" t="n">
        <v>45801.34476851852</v>
      </c>
      <c r="C370" s="1" t="n">
        <v>45886</v>
      </c>
      <c r="D370" t="inlineStr">
        <is>
          <t>JÄMTLANDS LÄN</t>
        </is>
      </c>
      <c r="E370" t="inlineStr">
        <is>
          <t>BERG</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25454-2025</t>
        </is>
      </c>
      <c r="B371" s="1" t="n">
        <v>45802.34460648148</v>
      </c>
      <c r="C371" s="1" t="n">
        <v>45886</v>
      </c>
      <c r="D371" t="inlineStr">
        <is>
          <t>JÄMTLANDS LÄN</t>
        </is>
      </c>
      <c r="E371" t="inlineStr">
        <is>
          <t>BERG</t>
        </is>
      </c>
      <c r="F371" t="inlineStr">
        <is>
          <t>SCA</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44422-2020</t>
        </is>
      </c>
      <c r="B372" s="1" t="n">
        <v>44084</v>
      </c>
      <c r="C372" s="1" t="n">
        <v>45886</v>
      </c>
      <c r="D372" t="inlineStr">
        <is>
          <t>JÄMTLANDS LÄN</t>
        </is>
      </c>
      <c r="E372" t="inlineStr">
        <is>
          <t>BERG</t>
        </is>
      </c>
      <c r="G372" t="n">
        <v>6.9</v>
      </c>
      <c r="H372" t="n">
        <v>0</v>
      </c>
      <c r="I372" t="n">
        <v>0</v>
      </c>
      <c r="J372" t="n">
        <v>0</v>
      </c>
      <c r="K372" t="n">
        <v>0</v>
      </c>
      <c r="L372" t="n">
        <v>0</v>
      </c>
      <c r="M372" t="n">
        <v>0</v>
      </c>
      <c r="N372" t="n">
        <v>0</v>
      </c>
      <c r="O372" t="n">
        <v>0</v>
      </c>
      <c r="P372" t="n">
        <v>0</v>
      </c>
      <c r="Q372" t="n">
        <v>0</v>
      </c>
      <c r="R372" s="2" t="inlineStr"/>
    </row>
    <row r="373" ht="15" customHeight="1">
      <c r="A373" t="inlineStr">
        <is>
          <t>A 2855-2025</t>
        </is>
      </c>
      <c r="B373" s="1" t="n">
        <v>45678</v>
      </c>
      <c r="C373" s="1" t="n">
        <v>45886</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26013-2025</t>
        </is>
      </c>
      <c r="B374" s="1" t="n">
        <v>45804.67760416667</v>
      </c>
      <c r="C374" s="1" t="n">
        <v>45886</v>
      </c>
      <c r="D374" t="inlineStr">
        <is>
          <t>JÄMTLANDS LÄN</t>
        </is>
      </c>
      <c r="E374" t="inlineStr">
        <is>
          <t>BERG</t>
        </is>
      </c>
      <c r="F374" t="inlineStr">
        <is>
          <t>SCA</t>
        </is>
      </c>
      <c r="G374" t="n">
        <v>11.7</v>
      </c>
      <c r="H374" t="n">
        <v>0</v>
      </c>
      <c r="I374" t="n">
        <v>0</v>
      </c>
      <c r="J374" t="n">
        <v>0</v>
      </c>
      <c r="K374" t="n">
        <v>0</v>
      </c>
      <c r="L374" t="n">
        <v>0</v>
      </c>
      <c r="M374" t="n">
        <v>0</v>
      </c>
      <c r="N374" t="n">
        <v>0</v>
      </c>
      <c r="O374" t="n">
        <v>0</v>
      </c>
      <c r="P374" t="n">
        <v>0</v>
      </c>
      <c r="Q374" t="n">
        <v>0</v>
      </c>
      <c r="R374" s="2" t="inlineStr"/>
    </row>
    <row r="375" ht="15" customHeight="1">
      <c r="A375" t="inlineStr">
        <is>
          <t>A 25452-2025</t>
        </is>
      </c>
      <c r="B375" s="1" t="n">
        <v>45802.34440972222</v>
      </c>
      <c r="C375" s="1" t="n">
        <v>45886</v>
      </c>
      <c r="D375" t="inlineStr">
        <is>
          <t>JÄMTLANDS LÄN</t>
        </is>
      </c>
      <c r="E375" t="inlineStr">
        <is>
          <t>BERG</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25453-2025</t>
        </is>
      </c>
      <c r="B376" s="1" t="n">
        <v>45802.34451388889</v>
      </c>
      <c r="C376" s="1" t="n">
        <v>45886</v>
      </c>
      <c r="D376" t="inlineStr">
        <is>
          <t>JÄMTLANDS LÄN</t>
        </is>
      </c>
      <c r="E376" t="inlineStr">
        <is>
          <t>BERG</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26128-2025</t>
        </is>
      </c>
      <c r="B377" s="1" t="n">
        <v>45805.40478009259</v>
      </c>
      <c r="C377" s="1" t="n">
        <v>45886</v>
      </c>
      <c r="D377" t="inlineStr">
        <is>
          <t>JÄMTLANDS LÄN</t>
        </is>
      </c>
      <c r="E377" t="inlineStr">
        <is>
          <t>BERG</t>
        </is>
      </c>
      <c r="G377" t="n">
        <v>21.2</v>
      </c>
      <c r="H377" t="n">
        <v>0</v>
      </c>
      <c r="I377" t="n">
        <v>0</v>
      </c>
      <c r="J377" t="n">
        <v>0</v>
      </c>
      <c r="K377" t="n">
        <v>0</v>
      </c>
      <c r="L377" t="n">
        <v>0</v>
      </c>
      <c r="M377" t="n">
        <v>0</v>
      </c>
      <c r="N377" t="n">
        <v>0</v>
      </c>
      <c r="O377" t="n">
        <v>0</v>
      </c>
      <c r="P377" t="n">
        <v>0</v>
      </c>
      <c r="Q377" t="n">
        <v>0</v>
      </c>
      <c r="R377" s="2" t="inlineStr"/>
    </row>
    <row r="378" ht="15" customHeight="1">
      <c r="A378" t="inlineStr">
        <is>
          <t>A 7482-2022</t>
        </is>
      </c>
      <c r="B378" s="1" t="n">
        <v>44606</v>
      </c>
      <c r="C378" s="1" t="n">
        <v>45886</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61085-2024</t>
        </is>
      </c>
      <c r="B379" s="1" t="n">
        <v>45645.53202546296</v>
      </c>
      <c r="C379" s="1" t="n">
        <v>45886</v>
      </c>
      <c r="D379" t="inlineStr">
        <is>
          <t>JÄMTLANDS LÄN</t>
        </is>
      </c>
      <c r="E379" t="inlineStr">
        <is>
          <t>BERG</t>
        </is>
      </c>
      <c r="F379" t="inlineStr">
        <is>
          <t>SCA</t>
        </is>
      </c>
      <c r="G379" t="n">
        <v>12.2</v>
      </c>
      <c r="H379" t="n">
        <v>0</v>
      </c>
      <c r="I379" t="n">
        <v>0</v>
      </c>
      <c r="J379" t="n">
        <v>0</v>
      </c>
      <c r="K379" t="n">
        <v>0</v>
      </c>
      <c r="L379" t="n">
        <v>0</v>
      </c>
      <c r="M379" t="n">
        <v>0</v>
      </c>
      <c r="N379" t="n">
        <v>0</v>
      </c>
      <c r="O379" t="n">
        <v>0</v>
      </c>
      <c r="P379" t="n">
        <v>0</v>
      </c>
      <c r="Q379" t="n">
        <v>0</v>
      </c>
      <c r="R379" s="2" t="inlineStr"/>
    </row>
    <row r="380" ht="15" customHeight="1">
      <c r="A380" t="inlineStr">
        <is>
          <t>A 3961-2025</t>
        </is>
      </c>
      <c r="B380" s="1" t="n">
        <v>45684.50217592593</v>
      </c>
      <c r="C380" s="1" t="n">
        <v>45886</v>
      </c>
      <c r="D380" t="inlineStr">
        <is>
          <t>JÄMTLANDS LÄN</t>
        </is>
      </c>
      <c r="E380" t="inlineStr">
        <is>
          <t>BERG</t>
        </is>
      </c>
      <c r="G380" t="n">
        <v>14.9</v>
      </c>
      <c r="H380" t="n">
        <v>0</v>
      </c>
      <c r="I380" t="n">
        <v>0</v>
      </c>
      <c r="J380" t="n">
        <v>0</v>
      </c>
      <c r="K380" t="n">
        <v>0</v>
      </c>
      <c r="L380" t="n">
        <v>0</v>
      </c>
      <c r="M380" t="n">
        <v>0</v>
      </c>
      <c r="N380" t="n">
        <v>0</v>
      </c>
      <c r="O380" t="n">
        <v>0</v>
      </c>
      <c r="P380" t="n">
        <v>0</v>
      </c>
      <c r="Q380" t="n">
        <v>0</v>
      </c>
      <c r="R380" s="2" t="inlineStr"/>
    </row>
    <row r="381" ht="15" customHeight="1">
      <c r="A381" t="inlineStr">
        <is>
          <t>A 43616-2024</t>
        </is>
      </c>
      <c r="B381" s="1" t="n">
        <v>45569</v>
      </c>
      <c r="C381" s="1" t="n">
        <v>45886</v>
      </c>
      <c r="D381" t="inlineStr">
        <is>
          <t>JÄMTLANDS LÄN</t>
        </is>
      </c>
      <c r="E381" t="inlineStr">
        <is>
          <t>BERG</t>
        </is>
      </c>
      <c r="G381" t="n">
        <v>12.3</v>
      </c>
      <c r="H381" t="n">
        <v>0</v>
      </c>
      <c r="I381" t="n">
        <v>0</v>
      </c>
      <c r="J381" t="n">
        <v>0</v>
      </c>
      <c r="K381" t="n">
        <v>0</v>
      </c>
      <c r="L381" t="n">
        <v>0</v>
      </c>
      <c r="M381" t="n">
        <v>0</v>
      </c>
      <c r="N381" t="n">
        <v>0</v>
      </c>
      <c r="O381" t="n">
        <v>0</v>
      </c>
      <c r="P381" t="n">
        <v>0</v>
      </c>
      <c r="Q381" t="n">
        <v>0</v>
      </c>
      <c r="R381" s="2" t="inlineStr"/>
    </row>
    <row r="382" ht="15" customHeight="1">
      <c r="A382" t="inlineStr">
        <is>
          <t>A 3964-2025</t>
        </is>
      </c>
      <c r="B382" s="1" t="n">
        <v>45684.50761574074</v>
      </c>
      <c r="C382" s="1" t="n">
        <v>45886</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17266-2025</t>
        </is>
      </c>
      <c r="B383" s="1" t="n">
        <v>45756</v>
      </c>
      <c r="C383" s="1" t="n">
        <v>45886</v>
      </c>
      <c r="D383" t="inlineStr">
        <is>
          <t>JÄMTLANDS LÄN</t>
        </is>
      </c>
      <c r="E383" t="inlineStr">
        <is>
          <t>BERG</t>
        </is>
      </c>
      <c r="G383" t="n">
        <v>20.1</v>
      </c>
      <c r="H383" t="n">
        <v>0</v>
      </c>
      <c r="I383" t="n">
        <v>0</v>
      </c>
      <c r="J383" t="n">
        <v>0</v>
      </c>
      <c r="K383" t="n">
        <v>0</v>
      </c>
      <c r="L383" t="n">
        <v>0</v>
      </c>
      <c r="M383" t="n">
        <v>0</v>
      </c>
      <c r="N383" t="n">
        <v>0</v>
      </c>
      <c r="O383" t="n">
        <v>0</v>
      </c>
      <c r="P383" t="n">
        <v>0</v>
      </c>
      <c r="Q383" t="n">
        <v>0</v>
      </c>
      <c r="R383" s="2" t="inlineStr"/>
    </row>
    <row r="384" ht="15" customHeight="1">
      <c r="A384" t="inlineStr">
        <is>
          <t>A 35911-2024</t>
        </is>
      </c>
      <c r="B384" s="1" t="n">
        <v>45533.41498842592</v>
      </c>
      <c r="C384" s="1" t="n">
        <v>45886</v>
      </c>
      <c r="D384" t="inlineStr">
        <is>
          <t>JÄMTLANDS LÄN</t>
        </is>
      </c>
      <c r="E384" t="inlineStr">
        <is>
          <t>BERG</t>
        </is>
      </c>
      <c r="G384" t="n">
        <v>4.1</v>
      </c>
      <c r="H384" t="n">
        <v>0</v>
      </c>
      <c r="I384" t="n">
        <v>0</v>
      </c>
      <c r="J384" t="n">
        <v>0</v>
      </c>
      <c r="K384" t="n">
        <v>0</v>
      </c>
      <c r="L384" t="n">
        <v>0</v>
      </c>
      <c r="M384" t="n">
        <v>0</v>
      </c>
      <c r="N384" t="n">
        <v>0</v>
      </c>
      <c r="O384" t="n">
        <v>0</v>
      </c>
      <c r="P384" t="n">
        <v>0</v>
      </c>
      <c r="Q384" t="n">
        <v>0</v>
      </c>
      <c r="R384" s="2" t="inlineStr"/>
    </row>
    <row r="385" ht="15" customHeight="1">
      <c r="A385" t="inlineStr">
        <is>
          <t>A 26378-2025</t>
        </is>
      </c>
      <c r="B385" s="1" t="n">
        <v>45806.48989583334</v>
      </c>
      <c r="C385" s="1" t="n">
        <v>45886</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61788-2023</t>
        </is>
      </c>
      <c r="B386" s="1" t="n">
        <v>45265.9577199074</v>
      </c>
      <c r="C386" s="1" t="n">
        <v>45886</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26275-2025</t>
        </is>
      </c>
      <c r="B387" s="1" t="n">
        <v>45805.60230324074</v>
      </c>
      <c r="C387" s="1" t="n">
        <v>45886</v>
      </c>
      <c r="D387" t="inlineStr">
        <is>
          <t>JÄMTLANDS LÄN</t>
        </is>
      </c>
      <c r="E387" t="inlineStr">
        <is>
          <t>BERG</t>
        </is>
      </c>
      <c r="G387" t="n">
        <v>10.2</v>
      </c>
      <c r="H387" t="n">
        <v>0</v>
      </c>
      <c r="I387" t="n">
        <v>0</v>
      </c>
      <c r="J387" t="n">
        <v>0</v>
      </c>
      <c r="K387" t="n">
        <v>0</v>
      </c>
      <c r="L387" t="n">
        <v>0</v>
      </c>
      <c r="M387" t="n">
        <v>0</v>
      </c>
      <c r="N387" t="n">
        <v>0</v>
      </c>
      <c r="O387" t="n">
        <v>0</v>
      </c>
      <c r="P387" t="n">
        <v>0</v>
      </c>
      <c r="Q387" t="n">
        <v>0</v>
      </c>
      <c r="R387" s="2" t="inlineStr"/>
    </row>
    <row r="388" ht="15" customHeight="1">
      <c r="A388" t="inlineStr">
        <is>
          <t>A 26053-2025</t>
        </is>
      </c>
      <c r="B388" s="1" t="n">
        <v>45804.75445601852</v>
      </c>
      <c r="C388" s="1" t="n">
        <v>45886</v>
      </c>
      <c r="D388" t="inlineStr">
        <is>
          <t>JÄMTLANDS LÄN</t>
        </is>
      </c>
      <c r="E388" t="inlineStr">
        <is>
          <t>BERG</t>
        </is>
      </c>
      <c r="G388" t="n">
        <v>6</v>
      </c>
      <c r="H388" t="n">
        <v>0</v>
      </c>
      <c r="I388" t="n">
        <v>0</v>
      </c>
      <c r="J388" t="n">
        <v>0</v>
      </c>
      <c r="K388" t="n">
        <v>0</v>
      </c>
      <c r="L388" t="n">
        <v>0</v>
      </c>
      <c r="M388" t="n">
        <v>0</v>
      </c>
      <c r="N388" t="n">
        <v>0</v>
      </c>
      <c r="O388" t="n">
        <v>0</v>
      </c>
      <c r="P388" t="n">
        <v>0</v>
      </c>
      <c r="Q388" t="n">
        <v>0</v>
      </c>
      <c r="R388" s="2" t="inlineStr"/>
    </row>
    <row r="389" ht="15" customHeight="1">
      <c r="A389" t="inlineStr">
        <is>
          <t>A 47982-2022</t>
        </is>
      </c>
      <c r="B389" s="1" t="n">
        <v>44853</v>
      </c>
      <c r="C389" s="1" t="n">
        <v>45886</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58157-2021</t>
        </is>
      </c>
      <c r="B390" s="1" t="n">
        <v>44487.60703703704</v>
      </c>
      <c r="C390" s="1" t="n">
        <v>45886</v>
      </c>
      <c r="D390" t="inlineStr">
        <is>
          <t>JÄMTLANDS LÄN</t>
        </is>
      </c>
      <c r="E390" t="inlineStr">
        <is>
          <t>BERG</t>
        </is>
      </c>
      <c r="G390" t="n">
        <v>4.5</v>
      </c>
      <c r="H390" t="n">
        <v>0</v>
      </c>
      <c r="I390" t="n">
        <v>0</v>
      </c>
      <c r="J390" t="n">
        <v>0</v>
      </c>
      <c r="K390" t="n">
        <v>0</v>
      </c>
      <c r="L390" t="n">
        <v>0</v>
      </c>
      <c r="M390" t="n">
        <v>0</v>
      </c>
      <c r="N390" t="n">
        <v>0</v>
      </c>
      <c r="O390" t="n">
        <v>0</v>
      </c>
      <c r="P390" t="n">
        <v>0</v>
      </c>
      <c r="Q390" t="n">
        <v>0</v>
      </c>
      <c r="R390" s="2" t="inlineStr"/>
    </row>
    <row r="391" ht="15" customHeight="1">
      <c r="A391" t="inlineStr">
        <is>
          <t>A 26374-2025</t>
        </is>
      </c>
      <c r="B391" s="1" t="n">
        <v>45806.42745370371</v>
      </c>
      <c r="C391" s="1" t="n">
        <v>45886</v>
      </c>
      <c r="D391" t="inlineStr">
        <is>
          <t>JÄMTLANDS LÄN</t>
        </is>
      </c>
      <c r="E391" t="inlineStr">
        <is>
          <t>BERG</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13149-2025</t>
        </is>
      </c>
      <c r="B392" s="1" t="n">
        <v>45735.34424768519</v>
      </c>
      <c r="C392" s="1" t="n">
        <v>45886</v>
      </c>
      <c r="D392" t="inlineStr">
        <is>
          <t>JÄMTLANDS LÄN</t>
        </is>
      </c>
      <c r="E392" t="inlineStr">
        <is>
          <t>BERG</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53085-2024</t>
        </is>
      </c>
      <c r="B393" s="1" t="n">
        <v>45611.51072916666</v>
      </c>
      <c r="C393" s="1" t="n">
        <v>45886</v>
      </c>
      <c r="D393" t="inlineStr">
        <is>
          <t>JÄMTLANDS LÄN</t>
        </is>
      </c>
      <c r="E393" t="inlineStr">
        <is>
          <t>BERG</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26186-2025</t>
        </is>
      </c>
      <c r="B394" s="1" t="n">
        <v>45805.47840277778</v>
      </c>
      <c r="C394" s="1" t="n">
        <v>45886</v>
      </c>
      <c r="D394" t="inlineStr">
        <is>
          <t>JÄMTLANDS LÄN</t>
        </is>
      </c>
      <c r="E394" t="inlineStr">
        <is>
          <t>BERG</t>
        </is>
      </c>
      <c r="G394" t="n">
        <v>5.3</v>
      </c>
      <c r="H394" t="n">
        <v>0</v>
      </c>
      <c r="I394" t="n">
        <v>0</v>
      </c>
      <c r="J394" t="n">
        <v>0</v>
      </c>
      <c r="K394" t="n">
        <v>0</v>
      </c>
      <c r="L394" t="n">
        <v>0</v>
      </c>
      <c r="M394" t="n">
        <v>0</v>
      </c>
      <c r="N394" t="n">
        <v>0</v>
      </c>
      <c r="O394" t="n">
        <v>0</v>
      </c>
      <c r="P394" t="n">
        <v>0</v>
      </c>
      <c r="Q394" t="n">
        <v>0</v>
      </c>
      <c r="R394" s="2" t="inlineStr"/>
    </row>
    <row r="395" ht="15" customHeight="1">
      <c r="A395" t="inlineStr">
        <is>
          <t>A 34892-2025</t>
        </is>
      </c>
      <c r="B395" s="1" t="n">
        <v>45849.49047453704</v>
      </c>
      <c r="C395" s="1" t="n">
        <v>45886</v>
      </c>
      <c r="D395" t="inlineStr">
        <is>
          <t>JÄMTLANDS LÄN</t>
        </is>
      </c>
      <c r="E395" t="inlineStr">
        <is>
          <t>BERG</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45886</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53883-2023</t>
        </is>
      </c>
      <c r="B397" s="1" t="n">
        <v>45231.5221875</v>
      </c>
      <c r="C397" s="1" t="n">
        <v>45886</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2247-2025</t>
        </is>
      </c>
      <c r="B398" s="1" t="n">
        <v>45673.49039351852</v>
      </c>
      <c r="C398" s="1" t="n">
        <v>45886</v>
      </c>
      <c r="D398" t="inlineStr">
        <is>
          <t>JÄMTLANDS LÄN</t>
        </is>
      </c>
      <c r="E398" t="inlineStr">
        <is>
          <t>BERG</t>
        </is>
      </c>
      <c r="F398" t="inlineStr">
        <is>
          <t>SCA</t>
        </is>
      </c>
      <c r="G398" t="n">
        <v>13.3</v>
      </c>
      <c r="H398" t="n">
        <v>0</v>
      </c>
      <c r="I398" t="n">
        <v>0</v>
      </c>
      <c r="J398" t="n">
        <v>0</v>
      </c>
      <c r="K398" t="n">
        <v>0</v>
      </c>
      <c r="L398" t="n">
        <v>0</v>
      </c>
      <c r="M398" t="n">
        <v>0</v>
      </c>
      <c r="N398" t="n">
        <v>0</v>
      </c>
      <c r="O398" t="n">
        <v>0</v>
      </c>
      <c r="P398" t="n">
        <v>0</v>
      </c>
      <c r="Q398" t="n">
        <v>0</v>
      </c>
      <c r="R398" s="2" t="inlineStr"/>
    </row>
    <row r="399" ht="15" customHeight="1">
      <c r="A399" t="inlineStr">
        <is>
          <t>A 33962-2024</t>
        </is>
      </c>
      <c r="B399" s="1" t="n">
        <v>45523.48854166667</v>
      </c>
      <c r="C399" s="1" t="n">
        <v>45886</v>
      </c>
      <c r="D399" t="inlineStr">
        <is>
          <t>JÄMTLANDS LÄN</t>
        </is>
      </c>
      <c r="E399" t="inlineStr">
        <is>
          <t>BERG</t>
        </is>
      </c>
      <c r="G399" t="n">
        <v>2.2</v>
      </c>
      <c r="H399" t="n">
        <v>0</v>
      </c>
      <c r="I399" t="n">
        <v>0</v>
      </c>
      <c r="J399" t="n">
        <v>0</v>
      </c>
      <c r="K399" t="n">
        <v>0</v>
      </c>
      <c r="L399" t="n">
        <v>0</v>
      </c>
      <c r="M399" t="n">
        <v>0</v>
      </c>
      <c r="N399" t="n">
        <v>0</v>
      </c>
      <c r="O399" t="n">
        <v>0</v>
      </c>
      <c r="P399" t="n">
        <v>0</v>
      </c>
      <c r="Q399" t="n">
        <v>0</v>
      </c>
      <c r="R399" s="2" t="inlineStr"/>
    </row>
    <row r="400" ht="15" customHeight="1">
      <c r="A400" t="inlineStr">
        <is>
          <t>A 64251-2023</t>
        </is>
      </c>
      <c r="B400" s="1" t="n">
        <v>45279.92756944444</v>
      </c>
      <c r="C400" s="1" t="n">
        <v>45886</v>
      </c>
      <c r="D400" t="inlineStr">
        <is>
          <t>JÄMTLANDS LÄN</t>
        </is>
      </c>
      <c r="E400" t="inlineStr">
        <is>
          <t>BERG</t>
        </is>
      </c>
      <c r="G400" t="n">
        <v>0.4</v>
      </c>
      <c r="H400" t="n">
        <v>0</v>
      </c>
      <c r="I400" t="n">
        <v>0</v>
      </c>
      <c r="J400" t="n">
        <v>0</v>
      </c>
      <c r="K400" t="n">
        <v>0</v>
      </c>
      <c r="L400" t="n">
        <v>0</v>
      </c>
      <c r="M400" t="n">
        <v>0</v>
      </c>
      <c r="N400" t="n">
        <v>0</v>
      </c>
      <c r="O400" t="n">
        <v>0</v>
      </c>
      <c r="P400" t="n">
        <v>0</v>
      </c>
      <c r="Q400" t="n">
        <v>0</v>
      </c>
      <c r="R400" s="2" t="inlineStr"/>
    </row>
    <row r="401" ht="15" customHeight="1">
      <c r="A401" t="inlineStr">
        <is>
          <t>A 4527-2025</t>
        </is>
      </c>
      <c r="B401" s="1" t="n">
        <v>45686</v>
      </c>
      <c r="C401" s="1" t="n">
        <v>45886</v>
      </c>
      <c r="D401" t="inlineStr">
        <is>
          <t>JÄMTLANDS LÄN</t>
        </is>
      </c>
      <c r="E401" t="inlineStr">
        <is>
          <t>BERG</t>
        </is>
      </c>
      <c r="G401" t="n">
        <v>17.8</v>
      </c>
      <c r="H401" t="n">
        <v>0</v>
      </c>
      <c r="I401" t="n">
        <v>0</v>
      </c>
      <c r="J401" t="n">
        <v>0</v>
      </c>
      <c r="K401" t="n">
        <v>0</v>
      </c>
      <c r="L401" t="n">
        <v>0</v>
      </c>
      <c r="M401" t="n">
        <v>0</v>
      </c>
      <c r="N401" t="n">
        <v>0</v>
      </c>
      <c r="O401" t="n">
        <v>0</v>
      </c>
      <c r="P401" t="n">
        <v>0</v>
      </c>
      <c r="Q401" t="n">
        <v>0</v>
      </c>
      <c r="R401" s="2" t="inlineStr"/>
    </row>
    <row r="402" ht="15" customHeight="1">
      <c r="A402" t="inlineStr">
        <is>
          <t>A 1646-2021</t>
        </is>
      </c>
      <c r="B402" s="1" t="n">
        <v>44209</v>
      </c>
      <c r="C402" s="1" t="n">
        <v>45886</v>
      </c>
      <c r="D402" t="inlineStr">
        <is>
          <t>JÄMTLANDS LÄN</t>
        </is>
      </c>
      <c r="E402" t="inlineStr">
        <is>
          <t>BERG</t>
        </is>
      </c>
      <c r="G402" t="n">
        <v>0.1</v>
      </c>
      <c r="H402" t="n">
        <v>0</v>
      </c>
      <c r="I402" t="n">
        <v>0</v>
      </c>
      <c r="J402" t="n">
        <v>0</v>
      </c>
      <c r="K402" t="n">
        <v>0</v>
      </c>
      <c r="L402" t="n">
        <v>0</v>
      </c>
      <c r="M402" t="n">
        <v>0</v>
      </c>
      <c r="N402" t="n">
        <v>0</v>
      </c>
      <c r="O402" t="n">
        <v>0</v>
      </c>
      <c r="P402" t="n">
        <v>0</v>
      </c>
      <c r="Q402" t="n">
        <v>0</v>
      </c>
      <c r="R402" s="2" t="inlineStr"/>
    </row>
    <row r="403" ht="15" customHeight="1">
      <c r="A403" t="inlineStr">
        <is>
          <t>A 57226-2022</t>
        </is>
      </c>
      <c r="B403" s="1" t="n">
        <v>44895.66629629629</v>
      </c>
      <c r="C403" s="1" t="n">
        <v>45886</v>
      </c>
      <c r="D403" t="inlineStr">
        <is>
          <t>JÄMTLANDS LÄN</t>
        </is>
      </c>
      <c r="E403" t="inlineStr">
        <is>
          <t>BERG</t>
        </is>
      </c>
      <c r="G403" t="n">
        <v>4.6</v>
      </c>
      <c r="H403" t="n">
        <v>0</v>
      </c>
      <c r="I403" t="n">
        <v>0</v>
      </c>
      <c r="J403" t="n">
        <v>0</v>
      </c>
      <c r="K403" t="n">
        <v>0</v>
      </c>
      <c r="L403" t="n">
        <v>0</v>
      </c>
      <c r="M403" t="n">
        <v>0</v>
      </c>
      <c r="N403" t="n">
        <v>0</v>
      </c>
      <c r="O403" t="n">
        <v>0</v>
      </c>
      <c r="P403" t="n">
        <v>0</v>
      </c>
      <c r="Q403" t="n">
        <v>0</v>
      </c>
      <c r="R403" s="2" t="inlineStr"/>
    </row>
    <row r="404" ht="15" customHeight="1">
      <c r="A404" t="inlineStr">
        <is>
          <t>A 23560-2024</t>
        </is>
      </c>
      <c r="B404" s="1" t="n">
        <v>45453.95467592592</v>
      </c>
      <c r="C404" s="1" t="n">
        <v>45886</v>
      </c>
      <c r="D404" t="inlineStr">
        <is>
          <t>JÄMTLANDS LÄN</t>
        </is>
      </c>
      <c r="E404" t="inlineStr">
        <is>
          <t>BERG</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35866-2024</t>
        </is>
      </c>
      <c r="B405" s="1" t="n">
        <v>45533.3422337963</v>
      </c>
      <c r="C405" s="1" t="n">
        <v>45886</v>
      </c>
      <c r="D405" t="inlineStr">
        <is>
          <t>JÄMTLANDS LÄN</t>
        </is>
      </c>
      <c r="E405" t="inlineStr">
        <is>
          <t>BERG</t>
        </is>
      </c>
      <c r="G405" t="n">
        <v>2.5</v>
      </c>
      <c r="H405" t="n">
        <v>0</v>
      </c>
      <c r="I405" t="n">
        <v>0</v>
      </c>
      <c r="J405" t="n">
        <v>0</v>
      </c>
      <c r="K405" t="n">
        <v>0</v>
      </c>
      <c r="L405" t="n">
        <v>0</v>
      </c>
      <c r="M405" t="n">
        <v>0</v>
      </c>
      <c r="N405" t="n">
        <v>0</v>
      </c>
      <c r="O405" t="n">
        <v>0</v>
      </c>
      <c r="P405" t="n">
        <v>0</v>
      </c>
      <c r="Q405" t="n">
        <v>0</v>
      </c>
      <c r="R405" s="2" t="inlineStr"/>
    </row>
    <row r="406" ht="15" customHeight="1">
      <c r="A406" t="inlineStr">
        <is>
          <t>A 17922-2024</t>
        </is>
      </c>
      <c r="B406" s="1" t="n">
        <v>45419.5853587963</v>
      </c>
      <c r="C406" s="1" t="n">
        <v>45886</v>
      </c>
      <c r="D406" t="inlineStr">
        <is>
          <t>JÄMTLANDS LÄN</t>
        </is>
      </c>
      <c r="E406" t="inlineStr">
        <is>
          <t>BERG</t>
        </is>
      </c>
      <c r="F406" t="inlineStr">
        <is>
          <t>Holmen skog AB</t>
        </is>
      </c>
      <c r="G406" t="n">
        <v>6.8</v>
      </c>
      <c r="H406" t="n">
        <v>0</v>
      </c>
      <c r="I406" t="n">
        <v>0</v>
      </c>
      <c r="J406" t="n">
        <v>0</v>
      </c>
      <c r="K406" t="n">
        <v>0</v>
      </c>
      <c r="L406" t="n">
        <v>0</v>
      </c>
      <c r="M406" t="n">
        <v>0</v>
      </c>
      <c r="N406" t="n">
        <v>0</v>
      </c>
      <c r="O406" t="n">
        <v>0</v>
      </c>
      <c r="P406" t="n">
        <v>0</v>
      </c>
      <c r="Q406" t="n">
        <v>0</v>
      </c>
      <c r="R406" s="2" t="inlineStr"/>
    </row>
    <row r="407" ht="15" customHeight="1">
      <c r="A407" t="inlineStr">
        <is>
          <t>A 48069-2023</t>
        </is>
      </c>
      <c r="B407" s="1" t="n">
        <v>45204</v>
      </c>
      <c r="C407" s="1" t="n">
        <v>45886</v>
      </c>
      <c r="D407" t="inlineStr">
        <is>
          <t>JÄMTLANDS LÄN</t>
        </is>
      </c>
      <c r="E407" t="inlineStr">
        <is>
          <t>BERG</t>
        </is>
      </c>
      <c r="F407" t="inlineStr">
        <is>
          <t>SCA</t>
        </is>
      </c>
      <c r="G407" t="n">
        <v>11.2</v>
      </c>
      <c r="H407" t="n">
        <v>0</v>
      </c>
      <c r="I407" t="n">
        <v>0</v>
      </c>
      <c r="J407" t="n">
        <v>0</v>
      </c>
      <c r="K407" t="n">
        <v>0</v>
      </c>
      <c r="L407" t="n">
        <v>0</v>
      </c>
      <c r="M407" t="n">
        <v>0</v>
      </c>
      <c r="N407" t="n">
        <v>0</v>
      </c>
      <c r="O407" t="n">
        <v>0</v>
      </c>
      <c r="P407" t="n">
        <v>0</v>
      </c>
      <c r="Q407" t="n">
        <v>0</v>
      </c>
      <c r="R407" s="2" t="inlineStr"/>
    </row>
    <row r="408" ht="15" customHeight="1">
      <c r="A408" t="inlineStr">
        <is>
          <t>A 54799-2021</t>
        </is>
      </c>
      <c r="B408" s="1" t="n">
        <v>44473</v>
      </c>
      <c r="C408" s="1" t="n">
        <v>45886</v>
      </c>
      <c r="D408" t="inlineStr">
        <is>
          <t>JÄMTLANDS LÄN</t>
        </is>
      </c>
      <c r="E408" t="inlineStr">
        <is>
          <t>BERG</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53958-2020</t>
        </is>
      </c>
      <c r="B409" s="1" t="n">
        <v>44123</v>
      </c>
      <c r="C409" s="1" t="n">
        <v>45886</v>
      </c>
      <c r="D409" t="inlineStr">
        <is>
          <t>JÄMTLANDS LÄN</t>
        </is>
      </c>
      <c r="E409" t="inlineStr">
        <is>
          <t>BERG</t>
        </is>
      </c>
      <c r="G409" t="n">
        <v>27.9</v>
      </c>
      <c r="H409" t="n">
        <v>0</v>
      </c>
      <c r="I409" t="n">
        <v>0</v>
      </c>
      <c r="J409" t="n">
        <v>0</v>
      </c>
      <c r="K409" t="n">
        <v>0</v>
      </c>
      <c r="L409" t="n">
        <v>0</v>
      </c>
      <c r="M409" t="n">
        <v>0</v>
      </c>
      <c r="N409" t="n">
        <v>0</v>
      </c>
      <c r="O409" t="n">
        <v>0</v>
      </c>
      <c r="P409" t="n">
        <v>0</v>
      </c>
      <c r="Q409" t="n">
        <v>0</v>
      </c>
      <c r="R409" s="2" t="inlineStr"/>
    </row>
    <row r="410" ht="15" customHeight="1">
      <c r="A410" t="inlineStr">
        <is>
          <t>A 34819-2023</t>
        </is>
      </c>
      <c r="B410" s="1" t="n">
        <v>45140</v>
      </c>
      <c r="C410" s="1" t="n">
        <v>45886</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36708-2023</t>
        </is>
      </c>
      <c r="B411" s="1" t="n">
        <v>45153.65226851852</v>
      </c>
      <c r="C411" s="1" t="n">
        <v>45886</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29540-2024</t>
        </is>
      </c>
      <c r="B412" s="1" t="n">
        <v>45484</v>
      </c>
      <c r="C412" s="1" t="n">
        <v>45886</v>
      </c>
      <c r="D412" t="inlineStr">
        <is>
          <t>JÄMTLANDS LÄN</t>
        </is>
      </c>
      <c r="E412" t="inlineStr">
        <is>
          <t>BERG</t>
        </is>
      </c>
      <c r="F412" t="inlineStr">
        <is>
          <t>Sveaskog</t>
        </is>
      </c>
      <c r="G412" t="n">
        <v>3.6</v>
      </c>
      <c r="H412" t="n">
        <v>0</v>
      </c>
      <c r="I412" t="n">
        <v>0</v>
      </c>
      <c r="J412" t="n">
        <v>0</v>
      </c>
      <c r="K412" t="n">
        <v>0</v>
      </c>
      <c r="L412" t="n">
        <v>0</v>
      </c>
      <c r="M412" t="n">
        <v>0</v>
      </c>
      <c r="N412" t="n">
        <v>0</v>
      </c>
      <c r="O412" t="n">
        <v>0</v>
      </c>
      <c r="P412" t="n">
        <v>0</v>
      </c>
      <c r="Q412" t="n">
        <v>0</v>
      </c>
      <c r="R412" s="2" t="inlineStr"/>
    </row>
    <row r="413" ht="15" customHeight="1">
      <c r="A413" t="inlineStr">
        <is>
          <t>A 28098-2024</t>
        </is>
      </c>
      <c r="B413" s="1" t="n">
        <v>45476.61347222222</v>
      </c>
      <c r="C413" s="1" t="n">
        <v>45886</v>
      </c>
      <c r="D413" t="inlineStr">
        <is>
          <t>JÄMTLANDS LÄN</t>
        </is>
      </c>
      <c r="E413" t="inlineStr">
        <is>
          <t>BERG</t>
        </is>
      </c>
      <c r="G413" t="n">
        <v>0.4</v>
      </c>
      <c r="H413" t="n">
        <v>0</v>
      </c>
      <c r="I413" t="n">
        <v>0</v>
      </c>
      <c r="J413" t="n">
        <v>0</v>
      </c>
      <c r="K413" t="n">
        <v>0</v>
      </c>
      <c r="L413" t="n">
        <v>0</v>
      </c>
      <c r="M413" t="n">
        <v>0</v>
      </c>
      <c r="N413" t="n">
        <v>0</v>
      </c>
      <c r="O413" t="n">
        <v>0</v>
      </c>
      <c r="P413" t="n">
        <v>0</v>
      </c>
      <c r="Q413" t="n">
        <v>0</v>
      </c>
      <c r="R413" s="2" t="inlineStr"/>
    </row>
    <row r="414" ht="15" customHeight="1">
      <c r="A414" t="inlineStr">
        <is>
          <t>A 38682-2023</t>
        </is>
      </c>
      <c r="B414" s="1" t="n">
        <v>45162</v>
      </c>
      <c r="C414" s="1" t="n">
        <v>45886</v>
      </c>
      <c r="D414" t="inlineStr">
        <is>
          <t>JÄMTLANDS LÄN</t>
        </is>
      </c>
      <c r="E414" t="inlineStr">
        <is>
          <t>BERG</t>
        </is>
      </c>
      <c r="F414" t="inlineStr">
        <is>
          <t>SCA</t>
        </is>
      </c>
      <c r="G414" t="n">
        <v>21.3</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45810.53163194445</v>
      </c>
      <c r="C415" s="1" t="n">
        <v>45886</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1520-2022</t>
        </is>
      </c>
      <c r="B416" s="1" t="n">
        <v>44572</v>
      </c>
      <c r="C416" s="1" t="n">
        <v>45886</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27312-2025</t>
        </is>
      </c>
      <c r="B417" s="1" t="n">
        <v>45812.58002314815</v>
      </c>
      <c r="C417" s="1" t="n">
        <v>45886</v>
      </c>
      <c r="D417" t="inlineStr">
        <is>
          <t>JÄMTLANDS LÄN</t>
        </is>
      </c>
      <c r="E417" t="inlineStr">
        <is>
          <t>BERG</t>
        </is>
      </c>
      <c r="G417" t="n">
        <v>6</v>
      </c>
      <c r="H417" t="n">
        <v>0</v>
      </c>
      <c r="I417" t="n">
        <v>0</v>
      </c>
      <c r="J417" t="n">
        <v>0</v>
      </c>
      <c r="K417" t="n">
        <v>0</v>
      </c>
      <c r="L417" t="n">
        <v>0</v>
      </c>
      <c r="M417" t="n">
        <v>0</v>
      </c>
      <c r="N417" t="n">
        <v>0</v>
      </c>
      <c r="O417" t="n">
        <v>0</v>
      </c>
      <c r="P417" t="n">
        <v>0</v>
      </c>
      <c r="Q417" t="n">
        <v>0</v>
      </c>
      <c r="R417" s="2" t="inlineStr"/>
    </row>
    <row r="418" ht="15" customHeight="1">
      <c r="A418" t="inlineStr">
        <is>
          <t>A 29424-2024</t>
        </is>
      </c>
      <c r="B418" s="1" t="n">
        <v>45483.71451388889</v>
      </c>
      <c r="C418" s="1" t="n">
        <v>45886</v>
      </c>
      <c r="D418" t="inlineStr">
        <is>
          <t>JÄMTLANDS LÄN</t>
        </is>
      </c>
      <c r="E418" t="inlineStr">
        <is>
          <t>BERG</t>
        </is>
      </c>
      <c r="G418" t="n">
        <v>4</v>
      </c>
      <c r="H418" t="n">
        <v>0</v>
      </c>
      <c r="I418" t="n">
        <v>0</v>
      </c>
      <c r="J418" t="n">
        <v>0</v>
      </c>
      <c r="K418" t="n">
        <v>0</v>
      </c>
      <c r="L418" t="n">
        <v>0</v>
      </c>
      <c r="M418" t="n">
        <v>0</v>
      </c>
      <c r="N418" t="n">
        <v>0</v>
      </c>
      <c r="O418" t="n">
        <v>0</v>
      </c>
      <c r="P418" t="n">
        <v>0</v>
      </c>
      <c r="Q418" t="n">
        <v>0</v>
      </c>
      <c r="R418" s="2" t="inlineStr"/>
    </row>
    <row r="419" ht="15" customHeight="1">
      <c r="A419" t="inlineStr">
        <is>
          <t>A 30917-2024</t>
        </is>
      </c>
      <c r="B419" s="1" t="n">
        <v>45498.66611111111</v>
      </c>
      <c r="C419" s="1" t="n">
        <v>45886</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30992-2024</t>
        </is>
      </c>
      <c r="B420" s="1" t="n">
        <v>45499</v>
      </c>
      <c r="C420" s="1" t="n">
        <v>45886</v>
      </c>
      <c r="D420" t="inlineStr">
        <is>
          <t>JÄMTLANDS LÄN</t>
        </is>
      </c>
      <c r="E420" t="inlineStr">
        <is>
          <t>BERG</t>
        </is>
      </c>
      <c r="F420" t="inlineStr">
        <is>
          <t>Sveaskog</t>
        </is>
      </c>
      <c r="G420" t="n">
        <v>5.1</v>
      </c>
      <c r="H420" t="n">
        <v>0</v>
      </c>
      <c r="I420" t="n">
        <v>0</v>
      </c>
      <c r="J420" t="n">
        <v>0</v>
      </c>
      <c r="K420" t="n">
        <v>0</v>
      </c>
      <c r="L420" t="n">
        <v>0</v>
      </c>
      <c r="M420" t="n">
        <v>0</v>
      </c>
      <c r="N420" t="n">
        <v>0</v>
      </c>
      <c r="O420" t="n">
        <v>0</v>
      </c>
      <c r="P420" t="n">
        <v>0</v>
      </c>
      <c r="Q420" t="n">
        <v>0</v>
      </c>
      <c r="R420" s="2" t="inlineStr"/>
    </row>
    <row r="421" ht="15" customHeight="1">
      <c r="A421" t="inlineStr">
        <is>
          <t>A 45081-2022</t>
        </is>
      </c>
      <c r="B421" s="1" t="n">
        <v>44841</v>
      </c>
      <c r="C421" s="1" t="n">
        <v>45886</v>
      </c>
      <c r="D421" t="inlineStr">
        <is>
          <t>JÄMTLANDS LÄN</t>
        </is>
      </c>
      <c r="E421" t="inlineStr">
        <is>
          <t>BERG</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27317-2025</t>
        </is>
      </c>
      <c r="B422" s="1" t="n">
        <v>45812.59011574074</v>
      </c>
      <c r="C422" s="1" t="n">
        <v>45886</v>
      </c>
      <c r="D422" t="inlineStr">
        <is>
          <t>JÄMTLANDS LÄN</t>
        </is>
      </c>
      <c r="E422" t="inlineStr">
        <is>
          <t>BERG</t>
        </is>
      </c>
      <c r="G422" t="n">
        <v>6.2</v>
      </c>
      <c r="H422" t="n">
        <v>0</v>
      </c>
      <c r="I422" t="n">
        <v>0</v>
      </c>
      <c r="J422" t="n">
        <v>0</v>
      </c>
      <c r="K422" t="n">
        <v>0</v>
      </c>
      <c r="L422" t="n">
        <v>0</v>
      </c>
      <c r="M422" t="n">
        <v>0</v>
      </c>
      <c r="N422" t="n">
        <v>0</v>
      </c>
      <c r="O422" t="n">
        <v>0</v>
      </c>
      <c r="P422" t="n">
        <v>0</v>
      </c>
      <c r="Q422" t="n">
        <v>0</v>
      </c>
      <c r="R422" s="2" t="inlineStr"/>
    </row>
    <row r="423" ht="15" customHeight="1">
      <c r="A423" t="inlineStr">
        <is>
          <t>A 35363-2025</t>
        </is>
      </c>
      <c r="B423" s="1" t="n">
        <v>45854.67538194444</v>
      </c>
      <c r="C423" s="1" t="n">
        <v>45886</v>
      </c>
      <c r="D423" t="inlineStr">
        <is>
          <t>JÄMTLANDS LÄN</t>
        </is>
      </c>
      <c r="E423" t="inlineStr">
        <is>
          <t>BERG</t>
        </is>
      </c>
      <c r="G423" t="n">
        <v>9.5</v>
      </c>
      <c r="H423" t="n">
        <v>0</v>
      </c>
      <c r="I423" t="n">
        <v>0</v>
      </c>
      <c r="J423" t="n">
        <v>0</v>
      </c>
      <c r="K423" t="n">
        <v>0</v>
      </c>
      <c r="L423" t="n">
        <v>0</v>
      </c>
      <c r="M423" t="n">
        <v>0</v>
      </c>
      <c r="N423" t="n">
        <v>0</v>
      </c>
      <c r="O423" t="n">
        <v>0</v>
      </c>
      <c r="P423" t="n">
        <v>0</v>
      </c>
      <c r="Q423" t="n">
        <v>0</v>
      </c>
      <c r="R423" s="2" t="inlineStr"/>
    </row>
    <row r="424" ht="15" customHeight="1">
      <c r="A424" t="inlineStr">
        <is>
          <t>A 35183-2025</t>
        </is>
      </c>
      <c r="B424" s="1" t="n">
        <v>45853.29931712963</v>
      </c>
      <c r="C424" s="1" t="n">
        <v>45886</v>
      </c>
      <c r="D424" t="inlineStr">
        <is>
          <t>JÄMTLANDS LÄN</t>
        </is>
      </c>
      <c r="E424" t="inlineStr">
        <is>
          <t>BERG</t>
        </is>
      </c>
      <c r="G424" t="n">
        <v>2.8</v>
      </c>
      <c r="H424" t="n">
        <v>0</v>
      </c>
      <c r="I424" t="n">
        <v>0</v>
      </c>
      <c r="J424" t="n">
        <v>0</v>
      </c>
      <c r="K424" t="n">
        <v>0</v>
      </c>
      <c r="L424" t="n">
        <v>0</v>
      </c>
      <c r="M424" t="n">
        <v>0</v>
      </c>
      <c r="N424" t="n">
        <v>0</v>
      </c>
      <c r="O424" t="n">
        <v>0</v>
      </c>
      <c r="P424" t="n">
        <v>0</v>
      </c>
      <c r="Q424" t="n">
        <v>0</v>
      </c>
      <c r="R424" s="2" t="inlineStr"/>
    </row>
    <row r="425" ht="15" customHeight="1">
      <c r="A425" t="inlineStr">
        <is>
          <t>A 5911-2024</t>
        </is>
      </c>
      <c r="B425" s="1" t="n">
        <v>45335</v>
      </c>
      <c r="C425" s="1" t="n">
        <v>45886</v>
      </c>
      <c r="D425" t="inlineStr">
        <is>
          <t>JÄMTLANDS LÄN</t>
        </is>
      </c>
      <c r="E425" t="inlineStr">
        <is>
          <t>BERG</t>
        </is>
      </c>
      <c r="F425" t="inlineStr">
        <is>
          <t>SCA</t>
        </is>
      </c>
      <c r="G425" t="n">
        <v>28.6</v>
      </c>
      <c r="H425" t="n">
        <v>0</v>
      </c>
      <c r="I425" t="n">
        <v>0</v>
      </c>
      <c r="J425" t="n">
        <v>0</v>
      </c>
      <c r="K425" t="n">
        <v>0</v>
      </c>
      <c r="L425" t="n">
        <v>0</v>
      </c>
      <c r="M425" t="n">
        <v>0</v>
      </c>
      <c r="N425" t="n">
        <v>0</v>
      </c>
      <c r="O425" t="n">
        <v>0</v>
      </c>
      <c r="P425" t="n">
        <v>0</v>
      </c>
      <c r="Q425" t="n">
        <v>0</v>
      </c>
      <c r="R425" s="2" t="inlineStr"/>
    </row>
    <row r="426" ht="15" customHeight="1">
      <c r="A426" t="inlineStr">
        <is>
          <t>A 1983-2022</t>
        </is>
      </c>
      <c r="B426" s="1" t="n">
        <v>44575</v>
      </c>
      <c r="C426" s="1" t="n">
        <v>45886</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2002-2022</t>
        </is>
      </c>
      <c r="B427" s="1" t="n">
        <v>44575</v>
      </c>
      <c r="C427" s="1" t="n">
        <v>45886</v>
      </c>
      <c r="D427" t="inlineStr">
        <is>
          <t>JÄMTLANDS LÄN</t>
        </is>
      </c>
      <c r="E427" t="inlineStr">
        <is>
          <t>BERG</t>
        </is>
      </c>
      <c r="G427" t="n">
        <v>11.3</v>
      </c>
      <c r="H427" t="n">
        <v>0</v>
      </c>
      <c r="I427" t="n">
        <v>0</v>
      </c>
      <c r="J427" t="n">
        <v>0</v>
      </c>
      <c r="K427" t="n">
        <v>0</v>
      </c>
      <c r="L427" t="n">
        <v>0</v>
      </c>
      <c r="M427" t="n">
        <v>0</v>
      </c>
      <c r="N427" t="n">
        <v>0</v>
      </c>
      <c r="O427" t="n">
        <v>0</v>
      </c>
      <c r="P427" t="n">
        <v>0</v>
      </c>
      <c r="Q427" t="n">
        <v>0</v>
      </c>
      <c r="R427" s="2" t="inlineStr"/>
    </row>
    <row r="428" ht="15" customHeight="1">
      <c r="A428" t="inlineStr">
        <is>
          <t>A 27063-2025</t>
        </is>
      </c>
      <c r="B428" s="1" t="n">
        <v>45811.63626157407</v>
      </c>
      <c r="C428" s="1" t="n">
        <v>45886</v>
      </c>
      <c r="D428" t="inlineStr">
        <is>
          <t>JÄMTLANDS LÄN</t>
        </is>
      </c>
      <c r="E428" t="inlineStr">
        <is>
          <t>BERG</t>
        </is>
      </c>
      <c r="F428" t="inlineStr">
        <is>
          <t>SCA</t>
        </is>
      </c>
      <c r="G428" t="n">
        <v>18.9</v>
      </c>
      <c r="H428" t="n">
        <v>0</v>
      </c>
      <c r="I428" t="n">
        <v>0</v>
      </c>
      <c r="J428" t="n">
        <v>0</v>
      </c>
      <c r="K428" t="n">
        <v>0</v>
      </c>
      <c r="L428" t="n">
        <v>0</v>
      </c>
      <c r="M428" t="n">
        <v>0</v>
      </c>
      <c r="N428" t="n">
        <v>0</v>
      </c>
      <c r="O428" t="n">
        <v>0</v>
      </c>
      <c r="P428" t="n">
        <v>0</v>
      </c>
      <c r="Q428" t="n">
        <v>0</v>
      </c>
      <c r="R428" s="2" t="inlineStr"/>
    </row>
    <row r="429" ht="15" customHeight="1">
      <c r="A429" t="inlineStr">
        <is>
          <t>A 39186-2024</t>
        </is>
      </c>
      <c r="B429" s="1" t="n">
        <v>45548.66489583333</v>
      </c>
      <c r="C429" s="1" t="n">
        <v>45886</v>
      </c>
      <c r="D429" t="inlineStr">
        <is>
          <t>JÄMTLANDS LÄN</t>
        </is>
      </c>
      <c r="E429" t="inlineStr">
        <is>
          <t>BERG</t>
        </is>
      </c>
      <c r="G429" t="n">
        <v>38.4</v>
      </c>
      <c r="H429" t="n">
        <v>0</v>
      </c>
      <c r="I429" t="n">
        <v>0</v>
      </c>
      <c r="J429" t="n">
        <v>0</v>
      </c>
      <c r="K429" t="n">
        <v>0</v>
      </c>
      <c r="L429" t="n">
        <v>0</v>
      </c>
      <c r="M429" t="n">
        <v>0</v>
      </c>
      <c r="N429" t="n">
        <v>0</v>
      </c>
      <c r="O429" t="n">
        <v>0</v>
      </c>
      <c r="P429" t="n">
        <v>0</v>
      </c>
      <c r="Q429" t="n">
        <v>0</v>
      </c>
      <c r="R429" s="2" t="inlineStr"/>
    </row>
    <row r="430" ht="15" customHeight="1">
      <c r="A430" t="inlineStr">
        <is>
          <t>A 35360-2025</t>
        </is>
      </c>
      <c r="B430" s="1" t="n">
        <v>45854.66877314815</v>
      </c>
      <c r="C430" s="1" t="n">
        <v>45886</v>
      </c>
      <c r="D430" t="inlineStr">
        <is>
          <t>JÄMTLANDS LÄN</t>
        </is>
      </c>
      <c r="E430" t="inlineStr">
        <is>
          <t>BERG</t>
        </is>
      </c>
      <c r="G430" t="n">
        <v>3.7</v>
      </c>
      <c r="H430" t="n">
        <v>0</v>
      </c>
      <c r="I430" t="n">
        <v>0</v>
      </c>
      <c r="J430" t="n">
        <v>0</v>
      </c>
      <c r="K430" t="n">
        <v>0</v>
      </c>
      <c r="L430" t="n">
        <v>0</v>
      </c>
      <c r="M430" t="n">
        <v>0</v>
      </c>
      <c r="N430" t="n">
        <v>0</v>
      </c>
      <c r="O430" t="n">
        <v>0</v>
      </c>
      <c r="P430" t="n">
        <v>0</v>
      </c>
      <c r="Q430" t="n">
        <v>0</v>
      </c>
      <c r="R430" s="2" t="inlineStr"/>
    </row>
    <row r="431" ht="15" customHeight="1">
      <c r="A431" t="inlineStr">
        <is>
          <t>A 35184-2025</t>
        </is>
      </c>
      <c r="B431" s="1" t="n">
        <v>45853.30270833334</v>
      </c>
      <c r="C431" s="1" t="n">
        <v>45886</v>
      </c>
      <c r="D431" t="inlineStr">
        <is>
          <t>JÄMTLANDS LÄN</t>
        </is>
      </c>
      <c r="E431" t="inlineStr">
        <is>
          <t>BERG</t>
        </is>
      </c>
      <c r="G431" t="n">
        <v>1.4</v>
      </c>
      <c r="H431" t="n">
        <v>0</v>
      </c>
      <c r="I431" t="n">
        <v>0</v>
      </c>
      <c r="J431" t="n">
        <v>0</v>
      </c>
      <c r="K431" t="n">
        <v>0</v>
      </c>
      <c r="L431" t="n">
        <v>0</v>
      </c>
      <c r="M431" t="n">
        <v>0</v>
      </c>
      <c r="N431" t="n">
        <v>0</v>
      </c>
      <c r="O431" t="n">
        <v>0</v>
      </c>
      <c r="P431" t="n">
        <v>0</v>
      </c>
      <c r="Q431" t="n">
        <v>0</v>
      </c>
      <c r="R431" s="2" t="inlineStr"/>
    </row>
    <row r="432" ht="15" customHeight="1">
      <c r="A432" t="inlineStr">
        <is>
          <t>A 35213-2025</t>
        </is>
      </c>
      <c r="B432" s="1" t="n">
        <v>45853.46494212963</v>
      </c>
      <c r="C432" s="1" t="n">
        <v>45886</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27044-2025</t>
        </is>
      </c>
      <c r="B433" s="1" t="n">
        <v>45811.61496527777</v>
      </c>
      <c r="C433" s="1" t="n">
        <v>45886</v>
      </c>
      <c r="D433" t="inlineStr">
        <is>
          <t>JÄMTLANDS LÄN</t>
        </is>
      </c>
      <c r="E433" t="inlineStr">
        <is>
          <t>BERG</t>
        </is>
      </c>
      <c r="F433" t="inlineStr">
        <is>
          <t>SCA</t>
        </is>
      </c>
      <c r="G433" t="n">
        <v>26.1</v>
      </c>
      <c r="H433" t="n">
        <v>0</v>
      </c>
      <c r="I433" t="n">
        <v>0</v>
      </c>
      <c r="J433" t="n">
        <v>0</v>
      </c>
      <c r="K433" t="n">
        <v>0</v>
      </c>
      <c r="L433" t="n">
        <v>0</v>
      </c>
      <c r="M433" t="n">
        <v>0</v>
      </c>
      <c r="N433" t="n">
        <v>0</v>
      </c>
      <c r="O433" t="n">
        <v>0</v>
      </c>
      <c r="P433" t="n">
        <v>0</v>
      </c>
      <c r="Q433" t="n">
        <v>0</v>
      </c>
      <c r="R433" s="2" t="inlineStr"/>
    </row>
    <row r="434" ht="15" customHeight="1">
      <c r="A434" t="inlineStr">
        <is>
          <t>A 27575-2025</t>
        </is>
      </c>
      <c r="B434" s="1" t="n">
        <v>45813.49083333334</v>
      </c>
      <c r="C434" s="1" t="n">
        <v>45886</v>
      </c>
      <c r="D434" t="inlineStr">
        <is>
          <t>JÄMTLANDS LÄN</t>
        </is>
      </c>
      <c r="E434" t="inlineStr">
        <is>
          <t>BERG</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46816-2023</t>
        </is>
      </c>
      <c r="B435" s="1" t="n">
        <v>45198</v>
      </c>
      <c r="C435" s="1" t="n">
        <v>45886</v>
      </c>
      <c r="D435" t="inlineStr">
        <is>
          <t>JÄMTLANDS LÄN</t>
        </is>
      </c>
      <c r="E435" t="inlineStr">
        <is>
          <t>BERG</t>
        </is>
      </c>
      <c r="F435" t="inlineStr">
        <is>
          <t>SCA</t>
        </is>
      </c>
      <c r="G435" t="n">
        <v>66.2</v>
      </c>
      <c r="H435" t="n">
        <v>0</v>
      </c>
      <c r="I435" t="n">
        <v>0</v>
      </c>
      <c r="J435" t="n">
        <v>0</v>
      </c>
      <c r="K435" t="n">
        <v>0</v>
      </c>
      <c r="L435" t="n">
        <v>0</v>
      </c>
      <c r="M435" t="n">
        <v>0</v>
      </c>
      <c r="N435" t="n">
        <v>0</v>
      </c>
      <c r="O435" t="n">
        <v>0</v>
      </c>
      <c r="P435" t="n">
        <v>0</v>
      </c>
      <c r="Q435" t="n">
        <v>0</v>
      </c>
      <c r="R435" s="2" t="inlineStr"/>
    </row>
    <row r="436" ht="15" customHeight="1">
      <c r="A436" t="inlineStr">
        <is>
          <t>A 27603-2025</t>
        </is>
      </c>
      <c r="B436" s="1" t="n">
        <v>45813.53174768519</v>
      </c>
      <c r="C436" s="1" t="n">
        <v>45886</v>
      </c>
      <c r="D436" t="inlineStr">
        <is>
          <t>JÄMTLANDS LÄN</t>
        </is>
      </c>
      <c r="E436" t="inlineStr">
        <is>
          <t>BERG</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31641-2022</t>
        </is>
      </c>
      <c r="B437" s="1" t="n">
        <v>44775.94119212963</v>
      </c>
      <c r="C437" s="1" t="n">
        <v>45886</v>
      </c>
      <c r="D437" t="inlineStr">
        <is>
          <t>JÄMTLANDS LÄN</t>
        </is>
      </c>
      <c r="E437" t="inlineStr">
        <is>
          <t>BERG</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35538-2025</t>
        </is>
      </c>
      <c r="B438" s="1" t="n">
        <v>45856.4552662037</v>
      </c>
      <c r="C438" s="1" t="n">
        <v>45886</v>
      </c>
      <c r="D438" t="inlineStr">
        <is>
          <t>JÄMTLANDS LÄN</t>
        </is>
      </c>
      <c r="E438" t="inlineStr">
        <is>
          <t>BERG</t>
        </is>
      </c>
      <c r="F438" t="inlineStr">
        <is>
          <t>Sveaskog</t>
        </is>
      </c>
      <c r="G438" t="n">
        <v>9.6</v>
      </c>
      <c r="H438" t="n">
        <v>0</v>
      </c>
      <c r="I438" t="n">
        <v>0</v>
      </c>
      <c r="J438" t="n">
        <v>0</v>
      </c>
      <c r="K438" t="n">
        <v>0</v>
      </c>
      <c r="L438" t="n">
        <v>0</v>
      </c>
      <c r="M438" t="n">
        <v>0</v>
      </c>
      <c r="N438" t="n">
        <v>0</v>
      </c>
      <c r="O438" t="n">
        <v>0</v>
      </c>
      <c r="P438" t="n">
        <v>0</v>
      </c>
      <c r="Q438" t="n">
        <v>0</v>
      </c>
      <c r="R438" s="2" t="inlineStr"/>
    </row>
    <row r="439" ht="15" customHeight="1">
      <c r="A439" t="inlineStr">
        <is>
          <t>A 27569-2025</t>
        </is>
      </c>
      <c r="B439" s="1" t="n">
        <v>45813.49018518518</v>
      </c>
      <c r="C439" s="1" t="n">
        <v>45886</v>
      </c>
      <c r="D439" t="inlineStr">
        <is>
          <t>JÄMTLANDS LÄN</t>
        </is>
      </c>
      <c r="E439" t="inlineStr">
        <is>
          <t>BERG</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27459-2025</t>
        </is>
      </c>
      <c r="B440" s="1" t="n">
        <v>45813.34561342592</v>
      </c>
      <c r="C440" s="1" t="n">
        <v>45886</v>
      </c>
      <c r="D440" t="inlineStr">
        <is>
          <t>JÄMTLANDS LÄN</t>
        </is>
      </c>
      <c r="E440" t="inlineStr">
        <is>
          <t>BERG</t>
        </is>
      </c>
      <c r="F440" t="inlineStr">
        <is>
          <t>SCA</t>
        </is>
      </c>
      <c r="G440" t="n">
        <v>19.2</v>
      </c>
      <c r="H440" t="n">
        <v>0</v>
      </c>
      <c r="I440" t="n">
        <v>0</v>
      </c>
      <c r="J440" t="n">
        <v>0</v>
      </c>
      <c r="K440" t="n">
        <v>0</v>
      </c>
      <c r="L440" t="n">
        <v>0</v>
      </c>
      <c r="M440" t="n">
        <v>0</v>
      </c>
      <c r="N440" t="n">
        <v>0</v>
      </c>
      <c r="O440" t="n">
        <v>0</v>
      </c>
      <c r="P440" t="n">
        <v>0</v>
      </c>
      <c r="Q440" t="n">
        <v>0</v>
      </c>
      <c r="R440" s="2" t="inlineStr"/>
    </row>
    <row r="441" ht="15" customHeight="1">
      <c r="A441" t="inlineStr">
        <is>
          <t>A 32879-2024</t>
        </is>
      </c>
      <c r="B441" s="1" t="n">
        <v>45516.68450231481</v>
      </c>
      <c r="C441" s="1" t="n">
        <v>45886</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19345-2024</t>
        </is>
      </c>
      <c r="B442" s="1" t="n">
        <v>45428.97185185185</v>
      </c>
      <c r="C442" s="1" t="n">
        <v>45886</v>
      </c>
      <c r="D442" t="inlineStr">
        <is>
          <t>JÄMTLANDS LÄN</t>
        </is>
      </c>
      <c r="E442" t="inlineStr">
        <is>
          <t>BERG</t>
        </is>
      </c>
      <c r="F442" t="inlineStr">
        <is>
          <t>SCA</t>
        </is>
      </c>
      <c r="G442" t="n">
        <v>14.7</v>
      </c>
      <c r="H442" t="n">
        <v>0</v>
      </c>
      <c r="I442" t="n">
        <v>0</v>
      </c>
      <c r="J442" t="n">
        <v>0</v>
      </c>
      <c r="K442" t="n">
        <v>0</v>
      </c>
      <c r="L442" t="n">
        <v>0</v>
      </c>
      <c r="M442" t="n">
        <v>0</v>
      </c>
      <c r="N442" t="n">
        <v>0</v>
      </c>
      <c r="O442" t="n">
        <v>0</v>
      </c>
      <c r="P442" t="n">
        <v>0</v>
      </c>
      <c r="Q442" t="n">
        <v>0</v>
      </c>
      <c r="R442" s="2" t="inlineStr"/>
    </row>
    <row r="443" ht="15" customHeight="1">
      <c r="A443" t="inlineStr">
        <is>
          <t>A 53456-2022</t>
        </is>
      </c>
      <c r="B443" s="1" t="n">
        <v>44874</v>
      </c>
      <c r="C443" s="1" t="n">
        <v>45886</v>
      </c>
      <c r="D443" t="inlineStr">
        <is>
          <t>JÄMTLANDS LÄN</t>
        </is>
      </c>
      <c r="E443" t="inlineStr">
        <is>
          <t>BERG</t>
        </is>
      </c>
      <c r="G443" t="n">
        <v>13.3</v>
      </c>
      <c r="H443" t="n">
        <v>0</v>
      </c>
      <c r="I443" t="n">
        <v>0</v>
      </c>
      <c r="J443" t="n">
        <v>0</v>
      </c>
      <c r="K443" t="n">
        <v>0</v>
      </c>
      <c r="L443" t="n">
        <v>0</v>
      </c>
      <c r="M443" t="n">
        <v>0</v>
      </c>
      <c r="N443" t="n">
        <v>0</v>
      </c>
      <c r="O443" t="n">
        <v>0</v>
      </c>
      <c r="P443" t="n">
        <v>0</v>
      </c>
      <c r="Q443" t="n">
        <v>0</v>
      </c>
      <c r="R443" s="2" t="inlineStr"/>
    </row>
    <row r="444" ht="15" customHeight="1">
      <c r="A444" t="inlineStr">
        <is>
          <t>A 44314-2023</t>
        </is>
      </c>
      <c r="B444" s="1" t="n">
        <v>45188.65167824074</v>
      </c>
      <c r="C444" s="1" t="n">
        <v>45886</v>
      </c>
      <c r="D444" t="inlineStr">
        <is>
          <t>JÄMTLANDS LÄN</t>
        </is>
      </c>
      <c r="E444" t="inlineStr">
        <is>
          <t>BERG</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171-2022</t>
        </is>
      </c>
      <c r="B445" s="1" t="n">
        <v>44564</v>
      </c>
      <c r="C445" s="1" t="n">
        <v>45886</v>
      </c>
      <c r="D445" t="inlineStr">
        <is>
          <t>JÄMTLANDS LÄN</t>
        </is>
      </c>
      <c r="E445" t="inlineStr">
        <is>
          <t>BERG</t>
        </is>
      </c>
      <c r="G445" t="n">
        <v>2.3</v>
      </c>
      <c r="H445" t="n">
        <v>0</v>
      </c>
      <c r="I445" t="n">
        <v>0</v>
      </c>
      <c r="J445" t="n">
        <v>0</v>
      </c>
      <c r="K445" t="n">
        <v>0</v>
      </c>
      <c r="L445" t="n">
        <v>0</v>
      </c>
      <c r="M445" t="n">
        <v>0</v>
      </c>
      <c r="N445" t="n">
        <v>0</v>
      </c>
      <c r="O445" t="n">
        <v>0</v>
      </c>
      <c r="P445" t="n">
        <v>0</v>
      </c>
      <c r="Q445" t="n">
        <v>0</v>
      </c>
      <c r="R445" s="2" t="inlineStr"/>
    </row>
    <row r="446" ht="15" customHeight="1">
      <c r="A446" t="inlineStr">
        <is>
          <t>A 38962-2024</t>
        </is>
      </c>
      <c r="B446" s="1" t="n">
        <v>45548.36175925926</v>
      </c>
      <c r="C446" s="1" t="n">
        <v>45886</v>
      </c>
      <c r="D446" t="inlineStr">
        <is>
          <t>JÄMTLANDS LÄN</t>
        </is>
      </c>
      <c r="E446" t="inlineStr">
        <is>
          <t>BERG</t>
        </is>
      </c>
      <c r="G446" t="n">
        <v>2.2</v>
      </c>
      <c r="H446" t="n">
        <v>0</v>
      </c>
      <c r="I446" t="n">
        <v>0</v>
      </c>
      <c r="J446" t="n">
        <v>0</v>
      </c>
      <c r="K446" t="n">
        <v>0</v>
      </c>
      <c r="L446" t="n">
        <v>0</v>
      </c>
      <c r="M446" t="n">
        <v>0</v>
      </c>
      <c r="N446" t="n">
        <v>0</v>
      </c>
      <c r="O446" t="n">
        <v>0</v>
      </c>
      <c r="P446" t="n">
        <v>0</v>
      </c>
      <c r="Q446" t="n">
        <v>0</v>
      </c>
      <c r="R446" s="2" t="inlineStr"/>
    </row>
    <row r="447" ht="15" customHeight="1">
      <c r="A447" t="inlineStr">
        <is>
          <t>A 27716-2025</t>
        </is>
      </c>
      <c r="B447" s="1" t="n">
        <v>45813.961875</v>
      </c>
      <c r="C447" s="1" t="n">
        <v>45886</v>
      </c>
      <c r="D447" t="inlineStr">
        <is>
          <t>JÄMTLANDS LÄN</t>
        </is>
      </c>
      <c r="E447" t="inlineStr">
        <is>
          <t>BERG</t>
        </is>
      </c>
      <c r="G447" t="n">
        <v>6.7</v>
      </c>
      <c r="H447" t="n">
        <v>0</v>
      </c>
      <c r="I447" t="n">
        <v>0</v>
      </c>
      <c r="J447" t="n">
        <v>0</v>
      </c>
      <c r="K447" t="n">
        <v>0</v>
      </c>
      <c r="L447" t="n">
        <v>0</v>
      </c>
      <c r="M447" t="n">
        <v>0</v>
      </c>
      <c r="N447" t="n">
        <v>0</v>
      </c>
      <c r="O447" t="n">
        <v>0</v>
      </c>
      <c r="P447" t="n">
        <v>0</v>
      </c>
      <c r="Q447" t="n">
        <v>0</v>
      </c>
      <c r="R447" s="2" t="inlineStr"/>
    </row>
    <row r="448" ht="15" customHeight="1">
      <c r="A448" t="inlineStr">
        <is>
          <t>A 35576-2025</t>
        </is>
      </c>
      <c r="B448" s="1" t="n">
        <v>45856.63608796296</v>
      </c>
      <c r="C448" s="1" t="n">
        <v>45886</v>
      </c>
      <c r="D448" t="inlineStr">
        <is>
          <t>JÄMTLANDS LÄN</t>
        </is>
      </c>
      <c r="E448" t="inlineStr">
        <is>
          <t>BERG</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46872-2023</t>
        </is>
      </c>
      <c r="B449" s="1" t="n">
        <v>45200</v>
      </c>
      <c r="C449" s="1" t="n">
        <v>45886</v>
      </c>
      <c r="D449" t="inlineStr">
        <is>
          <t>JÄMTLANDS LÄN</t>
        </is>
      </c>
      <c r="E449" t="inlineStr">
        <is>
          <t>BERG</t>
        </is>
      </c>
      <c r="F449" t="inlineStr">
        <is>
          <t>Naturvårdsverket</t>
        </is>
      </c>
      <c r="G449" t="n">
        <v>1.2</v>
      </c>
      <c r="H449" t="n">
        <v>0</v>
      </c>
      <c r="I449" t="n">
        <v>0</v>
      </c>
      <c r="J449" t="n">
        <v>0</v>
      </c>
      <c r="K449" t="n">
        <v>0</v>
      </c>
      <c r="L449" t="n">
        <v>0</v>
      </c>
      <c r="M449" t="n">
        <v>0</v>
      </c>
      <c r="N449" t="n">
        <v>0</v>
      </c>
      <c r="O449" t="n">
        <v>0</v>
      </c>
      <c r="P449" t="n">
        <v>0</v>
      </c>
      <c r="Q449" t="n">
        <v>0</v>
      </c>
      <c r="R449" s="2" t="inlineStr"/>
      <c r="U449">
        <f>HYPERLINK("https://klasma.github.io/Logging_2326/knärot/A 46872-2023 karta knärot.png", "A 46872-2023")</f>
        <v/>
      </c>
      <c r="V449">
        <f>HYPERLINK("https://klasma.github.io/Logging_2326/klagomål/A 46872-2023 FSC-klagomål.docx", "A 46872-2023")</f>
        <v/>
      </c>
      <c r="W449">
        <f>HYPERLINK("https://klasma.github.io/Logging_2326/klagomålsmail/A 46872-2023 FSC-klagomål mail.docx", "A 46872-2023")</f>
        <v/>
      </c>
      <c r="X449">
        <f>HYPERLINK("https://klasma.github.io/Logging_2326/tillsyn/A 46872-2023 tillsynsbegäran.docx", "A 46872-2023")</f>
        <v/>
      </c>
      <c r="Y449">
        <f>HYPERLINK("https://klasma.github.io/Logging_2326/tillsynsmail/A 46872-2023 tillsynsbegäran mail.docx", "A 46872-2023")</f>
        <v/>
      </c>
    </row>
    <row r="450" ht="15" customHeight="1">
      <c r="A450" t="inlineStr">
        <is>
          <t>A 59968-2024</t>
        </is>
      </c>
      <c r="B450" s="1" t="n">
        <v>45642</v>
      </c>
      <c r="C450" s="1" t="n">
        <v>45886</v>
      </c>
      <c r="D450" t="inlineStr">
        <is>
          <t>JÄMTLANDS LÄN</t>
        </is>
      </c>
      <c r="E450" t="inlineStr">
        <is>
          <t>BERG</t>
        </is>
      </c>
      <c r="G450" t="n">
        <v>4.7</v>
      </c>
      <c r="H450" t="n">
        <v>0</v>
      </c>
      <c r="I450" t="n">
        <v>0</v>
      </c>
      <c r="J450" t="n">
        <v>0</v>
      </c>
      <c r="K450" t="n">
        <v>0</v>
      </c>
      <c r="L450" t="n">
        <v>0</v>
      </c>
      <c r="M450" t="n">
        <v>0</v>
      </c>
      <c r="N450" t="n">
        <v>0</v>
      </c>
      <c r="O450" t="n">
        <v>0</v>
      </c>
      <c r="P450" t="n">
        <v>0</v>
      </c>
      <c r="Q450" t="n">
        <v>0</v>
      </c>
      <c r="R450" s="2" t="inlineStr"/>
    </row>
    <row r="451" ht="15" customHeight="1">
      <c r="A451" t="inlineStr">
        <is>
          <t>A 35681-2025</t>
        </is>
      </c>
      <c r="B451" s="1" t="n">
        <v>45859.77703703703</v>
      </c>
      <c r="C451" s="1" t="n">
        <v>45886</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162-2024</t>
        </is>
      </c>
      <c r="B452" s="1" t="n">
        <v>45294</v>
      </c>
      <c r="C452" s="1" t="n">
        <v>45886</v>
      </c>
      <c r="D452" t="inlineStr">
        <is>
          <t>JÄMTLANDS LÄN</t>
        </is>
      </c>
      <c r="E452" t="inlineStr">
        <is>
          <t>BERG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28232-2025</t>
        </is>
      </c>
      <c r="B453" s="1" t="n">
        <v>45818.48989583334</v>
      </c>
      <c r="C453" s="1" t="n">
        <v>45886</v>
      </c>
      <c r="D453" t="inlineStr">
        <is>
          <t>JÄMTLANDS LÄN</t>
        </is>
      </c>
      <c r="E453" t="inlineStr">
        <is>
          <t>BERG</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525-2023</t>
        </is>
      </c>
      <c r="B454" s="1" t="n">
        <v>44924</v>
      </c>
      <c r="C454" s="1" t="n">
        <v>45886</v>
      </c>
      <c r="D454" t="inlineStr">
        <is>
          <t>JÄMTLANDS LÄN</t>
        </is>
      </c>
      <c r="E454" t="inlineStr">
        <is>
          <t>BERG</t>
        </is>
      </c>
      <c r="G454" t="n">
        <v>4</v>
      </c>
      <c r="H454" t="n">
        <v>0</v>
      </c>
      <c r="I454" t="n">
        <v>0</v>
      </c>
      <c r="J454" t="n">
        <v>0</v>
      </c>
      <c r="K454" t="n">
        <v>0</v>
      </c>
      <c r="L454" t="n">
        <v>0</v>
      </c>
      <c r="M454" t="n">
        <v>0</v>
      </c>
      <c r="N454" t="n">
        <v>0</v>
      </c>
      <c r="O454" t="n">
        <v>0</v>
      </c>
      <c r="P454" t="n">
        <v>0</v>
      </c>
      <c r="Q454" t="n">
        <v>0</v>
      </c>
      <c r="R454" s="2" t="inlineStr"/>
    </row>
    <row r="455" ht="15" customHeight="1">
      <c r="A455" t="inlineStr">
        <is>
          <t>A 28157-2025</t>
        </is>
      </c>
      <c r="B455" s="1" t="n">
        <v>45818.36512731481</v>
      </c>
      <c r="C455" s="1" t="n">
        <v>45886</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61239-2022</t>
        </is>
      </c>
      <c r="B456" s="1" t="n">
        <v>44909</v>
      </c>
      <c r="C456" s="1" t="n">
        <v>45886</v>
      </c>
      <c r="D456" t="inlineStr">
        <is>
          <t>JÄMTLANDS LÄN</t>
        </is>
      </c>
      <c r="E456" t="inlineStr">
        <is>
          <t>BERG</t>
        </is>
      </c>
      <c r="G456" t="n">
        <v>13.5</v>
      </c>
      <c r="H456" t="n">
        <v>0</v>
      </c>
      <c r="I456" t="n">
        <v>0</v>
      </c>
      <c r="J456" t="n">
        <v>0</v>
      </c>
      <c r="K456" t="n">
        <v>0</v>
      </c>
      <c r="L456" t="n">
        <v>0</v>
      </c>
      <c r="M456" t="n">
        <v>0</v>
      </c>
      <c r="N456" t="n">
        <v>0</v>
      </c>
      <c r="O456" t="n">
        <v>0</v>
      </c>
      <c r="P456" t="n">
        <v>0</v>
      </c>
      <c r="Q456" t="n">
        <v>0</v>
      </c>
      <c r="R456" s="2" t="inlineStr"/>
    </row>
    <row r="457" ht="15" customHeight="1">
      <c r="A457" t="inlineStr">
        <is>
          <t>A 61251-2022</t>
        </is>
      </c>
      <c r="B457" s="1" t="n">
        <v>44909</v>
      </c>
      <c r="C457" s="1" t="n">
        <v>45886</v>
      </c>
      <c r="D457" t="inlineStr">
        <is>
          <t>JÄMTLANDS LÄN</t>
        </is>
      </c>
      <c r="E457" t="inlineStr">
        <is>
          <t>BERG</t>
        </is>
      </c>
      <c r="G457" t="n">
        <v>3</v>
      </c>
      <c r="H457" t="n">
        <v>0</v>
      </c>
      <c r="I457" t="n">
        <v>0</v>
      </c>
      <c r="J457" t="n">
        <v>0</v>
      </c>
      <c r="K457" t="n">
        <v>0</v>
      </c>
      <c r="L457" t="n">
        <v>0</v>
      </c>
      <c r="M457" t="n">
        <v>0</v>
      </c>
      <c r="N457" t="n">
        <v>0</v>
      </c>
      <c r="O457" t="n">
        <v>0</v>
      </c>
      <c r="P457" t="n">
        <v>0</v>
      </c>
      <c r="Q457" t="n">
        <v>0</v>
      </c>
      <c r="R457" s="2" t="inlineStr"/>
    </row>
    <row r="458" ht="15" customHeight="1">
      <c r="A458" t="inlineStr">
        <is>
          <t>A 61255-2022</t>
        </is>
      </c>
      <c r="B458" s="1" t="n">
        <v>44909</v>
      </c>
      <c r="C458" s="1" t="n">
        <v>45886</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28196-2025</t>
        </is>
      </c>
      <c r="B459" s="1" t="n">
        <v>45818.42753472222</v>
      </c>
      <c r="C459" s="1" t="n">
        <v>45886</v>
      </c>
      <c r="D459" t="inlineStr">
        <is>
          <t>JÄMTLANDS LÄN</t>
        </is>
      </c>
      <c r="E459" t="inlineStr">
        <is>
          <t>BERG</t>
        </is>
      </c>
      <c r="F459" t="inlineStr">
        <is>
          <t>SCA</t>
        </is>
      </c>
      <c r="G459" t="n">
        <v>6.6</v>
      </c>
      <c r="H459" t="n">
        <v>0</v>
      </c>
      <c r="I459" t="n">
        <v>0</v>
      </c>
      <c r="J459" t="n">
        <v>0</v>
      </c>
      <c r="K459" t="n">
        <v>0</v>
      </c>
      <c r="L459" t="n">
        <v>0</v>
      </c>
      <c r="M459" t="n">
        <v>0</v>
      </c>
      <c r="N459" t="n">
        <v>0</v>
      </c>
      <c r="O459" t="n">
        <v>0</v>
      </c>
      <c r="P459" t="n">
        <v>0</v>
      </c>
      <c r="Q459" t="n">
        <v>0</v>
      </c>
      <c r="R459" s="2" t="inlineStr"/>
    </row>
    <row r="460" ht="15" customHeight="1">
      <c r="A460" t="inlineStr">
        <is>
          <t>A 8388-2022</t>
        </is>
      </c>
      <c r="B460" s="1" t="n">
        <v>44610</v>
      </c>
      <c r="C460" s="1" t="n">
        <v>45886</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35684-2025</t>
        </is>
      </c>
      <c r="B461" s="1" t="n">
        <v>45859.88079861111</v>
      </c>
      <c r="C461" s="1" t="n">
        <v>45886</v>
      </c>
      <c r="D461" t="inlineStr">
        <is>
          <t>JÄMTLANDS LÄN</t>
        </is>
      </c>
      <c r="E461" t="inlineStr">
        <is>
          <t>BERG</t>
        </is>
      </c>
      <c r="G461" t="n">
        <v>6.1</v>
      </c>
      <c r="H461" t="n">
        <v>0</v>
      </c>
      <c r="I461" t="n">
        <v>0</v>
      </c>
      <c r="J461" t="n">
        <v>0</v>
      </c>
      <c r="K461" t="n">
        <v>0</v>
      </c>
      <c r="L461" t="n">
        <v>0</v>
      </c>
      <c r="M461" t="n">
        <v>0</v>
      </c>
      <c r="N461" t="n">
        <v>0</v>
      </c>
      <c r="O461" t="n">
        <v>0</v>
      </c>
      <c r="P461" t="n">
        <v>0</v>
      </c>
      <c r="Q461" t="n">
        <v>0</v>
      </c>
      <c r="R461" s="2" t="inlineStr"/>
    </row>
    <row r="462" ht="15" customHeight="1">
      <c r="A462" t="inlineStr">
        <is>
          <t>A 39269-2024</t>
        </is>
      </c>
      <c r="B462" s="1" t="n">
        <v>45551.34488425926</v>
      </c>
      <c r="C462" s="1" t="n">
        <v>45886</v>
      </c>
      <c r="D462" t="inlineStr">
        <is>
          <t>JÄMTLANDS LÄN</t>
        </is>
      </c>
      <c r="E462" t="inlineStr">
        <is>
          <t>BERG</t>
        </is>
      </c>
      <c r="G462" t="n">
        <v>3.1</v>
      </c>
      <c r="H462" t="n">
        <v>0</v>
      </c>
      <c r="I462" t="n">
        <v>0</v>
      </c>
      <c r="J462" t="n">
        <v>0</v>
      </c>
      <c r="K462" t="n">
        <v>0</v>
      </c>
      <c r="L462" t="n">
        <v>0</v>
      </c>
      <c r="M462" t="n">
        <v>0</v>
      </c>
      <c r="N462" t="n">
        <v>0</v>
      </c>
      <c r="O462" t="n">
        <v>0</v>
      </c>
      <c r="P462" t="n">
        <v>0</v>
      </c>
      <c r="Q462" t="n">
        <v>0</v>
      </c>
      <c r="R462" s="2" t="inlineStr"/>
    </row>
    <row r="463" ht="15" customHeight="1">
      <c r="A463" t="inlineStr">
        <is>
          <t>A 28079-2025</t>
        </is>
      </c>
      <c r="B463" s="1" t="n">
        <v>45817.69681712963</v>
      </c>
      <c r="C463" s="1" t="n">
        <v>45886</v>
      </c>
      <c r="D463" t="inlineStr">
        <is>
          <t>JÄMTLANDS LÄN</t>
        </is>
      </c>
      <c r="E463" t="inlineStr">
        <is>
          <t>BERG</t>
        </is>
      </c>
      <c r="G463" t="n">
        <v>3.7</v>
      </c>
      <c r="H463" t="n">
        <v>0</v>
      </c>
      <c r="I463" t="n">
        <v>0</v>
      </c>
      <c r="J463" t="n">
        <v>0</v>
      </c>
      <c r="K463" t="n">
        <v>0</v>
      </c>
      <c r="L463" t="n">
        <v>0</v>
      </c>
      <c r="M463" t="n">
        <v>0</v>
      </c>
      <c r="N463" t="n">
        <v>0</v>
      </c>
      <c r="O463" t="n">
        <v>0</v>
      </c>
      <c r="P463" t="n">
        <v>0</v>
      </c>
      <c r="Q463" t="n">
        <v>0</v>
      </c>
      <c r="R463" s="2" t="inlineStr"/>
    </row>
    <row r="464" ht="15" customHeight="1">
      <c r="A464" t="inlineStr">
        <is>
          <t>A 22275-2022</t>
        </is>
      </c>
      <c r="B464" s="1" t="n">
        <v>44712</v>
      </c>
      <c r="C464" s="1" t="n">
        <v>45886</v>
      </c>
      <c r="D464" t="inlineStr">
        <is>
          <t>JÄMTLANDS LÄN</t>
        </is>
      </c>
      <c r="E464" t="inlineStr">
        <is>
          <t>BERG</t>
        </is>
      </c>
      <c r="G464" t="n">
        <v>2.1</v>
      </c>
      <c r="H464" t="n">
        <v>0</v>
      </c>
      <c r="I464" t="n">
        <v>0</v>
      </c>
      <c r="J464" t="n">
        <v>0</v>
      </c>
      <c r="K464" t="n">
        <v>0</v>
      </c>
      <c r="L464" t="n">
        <v>0</v>
      </c>
      <c r="M464" t="n">
        <v>0</v>
      </c>
      <c r="N464" t="n">
        <v>0</v>
      </c>
      <c r="O464" t="n">
        <v>0</v>
      </c>
      <c r="P464" t="n">
        <v>0</v>
      </c>
      <c r="Q464" t="n">
        <v>0</v>
      </c>
      <c r="R464" s="2" t="inlineStr"/>
    </row>
    <row r="465" ht="15" customHeight="1">
      <c r="A465" t="inlineStr">
        <is>
          <t>A 27750-2025</t>
        </is>
      </c>
      <c r="B465" s="1" t="n">
        <v>45815.68543981481</v>
      </c>
      <c r="C465" s="1" t="n">
        <v>45886</v>
      </c>
      <c r="D465" t="inlineStr">
        <is>
          <t>JÄMTLANDS LÄN</t>
        </is>
      </c>
      <c r="E465" t="inlineStr">
        <is>
          <t>BERG</t>
        </is>
      </c>
      <c r="G465" t="n">
        <v>2.4</v>
      </c>
      <c r="H465" t="n">
        <v>0</v>
      </c>
      <c r="I465" t="n">
        <v>0</v>
      </c>
      <c r="J465" t="n">
        <v>0</v>
      </c>
      <c r="K465" t="n">
        <v>0</v>
      </c>
      <c r="L465" t="n">
        <v>0</v>
      </c>
      <c r="M465" t="n">
        <v>0</v>
      </c>
      <c r="N465" t="n">
        <v>0</v>
      </c>
      <c r="O465" t="n">
        <v>0</v>
      </c>
      <c r="P465" t="n">
        <v>0</v>
      </c>
      <c r="Q465" t="n">
        <v>0</v>
      </c>
      <c r="R465" s="2" t="inlineStr"/>
    </row>
    <row r="466" ht="15" customHeight="1">
      <c r="A466" t="inlineStr">
        <is>
          <t>A 28257-2025</t>
        </is>
      </c>
      <c r="B466" s="1" t="n">
        <v>45818.55263888889</v>
      </c>
      <c r="C466" s="1" t="n">
        <v>45886</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31682-2022</t>
        </is>
      </c>
      <c r="B467" s="1" t="n">
        <v>44776</v>
      </c>
      <c r="C467" s="1" t="n">
        <v>45886</v>
      </c>
      <c r="D467" t="inlineStr">
        <is>
          <t>JÄMTLANDS LÄN</t>
        </is>
      </c>
      <c r="E467" t="inlineStr">
        <is>
          <t>BERG</t>
        </is>
      </c>
      <c r="G467" t="n">
        <v>8</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45886</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28077-2025</t>
        </is>
      </c>
      <c r="B469" s="1" t="n">
        <v>45817.68596064814</v>
      </c>
      <c r="C469" s="1" t="n">
        <v>45886</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35691-2025</t>
        </is>
      </c>
      <c r="B470" s="1" t="n">
        <v>45860.344375</v>
      </c>
      <c r="C470" s="1" t="n">
        <v>45886</v>
      </c>
      <c r="D470" t="inlineStr">
        <is>
          <t>JÄMTLANDS LÄN</t>
        </is>
      </c>
      <c r="E470" t="inlineStr">
        <is>
          <t>BERG</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37098-2024</t>
        </is>
      </c>
      <c r="B471" s="1" t="n">
        <v>45539.50243055556</v>
      </c>
      <c r="C471" s="1" t="n">
        <v>45886</v>
      </c>
      <c r="D471" t="inlineStr">
        <is>
          <t>JÄMTLANDS LÄN</t>
        </is>
      </c>
      <c r="E471" t="inlineStr">
        <is>
          <t>BERG</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37101-2024</t>
        </is>
      </c>
      <c r="B472" s="1" t="n">
        <v>45539.5029050926</v>
      </c>
      <c r="C472" s="1" t="n">
        <v>45886</v>
      </c>
      <c r="D472" t="inlineStr">
        <is>
          <t>JÄMTLANDS LÄN</t>
        </is>
      </c>
      <c r="E472" t="inlineStr">
        <is>
          <t>BERG</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4561-2024</t>
        </is>
      </c>
      <c r="B473" s="1" t="n">
        <v>45327</v>
      </c>
      <c r="C473" s="1" t="n">
        <v>45886</v>
      </c>
      <c r="D473" t="inlineStr">
        <is>
          <t>JÄMTLANDS LÄN</t>
        </is>
      </c>
      <c r="E473" t="inlineStr">
        <is>
          <t>BERG</t>
        </is>
      </c>
      <c r="G473" t="n">
        <v>7.4</v>
      </c>
      <c r="H473" t="n">
        <v>0</v>
      </c>
      <c r="I473" t="n">
        <v>0</v>
      </c>
      <c r="J473" t="n">
        <v>0</v>
      </c>
      <c r="K473" t="n">
        <v>0</v>
      </c>
      <c r="L473" t="n">
        <v>0</v>
      </c>
      <c r="M473" t="n">
        <v>0</v>
      </c>
      <c r="N473" t="n">
        <v>0</v>
      </c>
      <c r="O473" t="n">
        <v>0</v>
      </c>
      <c r="P473" t="n">
        <v>0</v>
      </c>
      <c r="Q473" t="n">
        <v>0</v>
      </c>
      <c r="R473" s="2" t="inlineStr"/>
    </row>
    <row r="474" ht="15" customHeight="1">
      <c r="A474" t="inlineStr">
        <is>
          <t>A 49174-2020</t>
        </is>
      </c>
      <c r="B474" s="1" t="n">
        <v>44104</v>
      </c>
      <c r="C474" s="1" t="n">
        <v>45886</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511-2025</t>
        </is>
      </c>
      <c r="B475" s="1" t="n">
        <v>45664.47284722222</v>
      </c>
      <c r="C475" s="1" t="n">
        <v>45886</v>
      </c>
      <c r="D475" t="inlineStr">
        <is>
          <t>JÄMTLANDS LÄN</t>
        </is>
      </c>
      <c r="E475" t="inlineStr">
        <is>
          <t>BERG</t>
        </is>
      </c>
      <c r="G475" t="n">
        <v>4.5</v>
      </c>
      <c r="H475" t="n">
        <v>0</v>
      </c>
      <c r="I475" t="n">
        <v>0</v>
      </c>
      <c r="J475" t="n">
        <v>0</v>
      </c>
      <c r="K475" t="n">
        <v>0</v>
      </c>
      <c r="L475" t="n">
        <v>0</v>
      </c>
      <c r="M475" t="n">
        <v>0</v>
      </c>
      <c r="N475" t="n">
        <v>0</v>
      </c>
      <c r="O475" t="n">
        <v>0</v>
      </c>
      <c r="P475" t="n">
        <v>0</v>
      </c>
      <c r="Q475" t="n">
        <v>0</v>
      </c>
      <c r="R475" s="2" t="inlineStr"/>
    </row>
    <row r="476" ht="15" customHeight="1">
      <c r="A476" t="inlineStr">
        <is>
          <t>A 53877-2020</t>
        </is>
      </c>
      <c r="B476" s="1" t="n">
        <v>44123</v>
      </c>
      <c r="C476" s="1" t="n">
        <v>45886</v>
      </c>
      <c r="D476" t="inlineStr">
        <is>
          <t>JÄMTLANDS LÄN</t>
        </is>
      </c>
      <c r="E476" t="inlineStr">
        <is>
          <t>BERG</t>
        </is>
      </c>
      <c r="G476" t="n">
        <v>32.8</v>
      </c>
      <c r="H476" t="n">
        <v>0</v>
      </c>
      <c r="I476" t="n">
        <v>0</v>
      </c>
      <c r="J476" t="n">
        <v>0</v>
      </c>
      <c r="K476" t="n">
        <v>0</v>
      </c>
      <c r="L476" t="n">
        <v>0</v>
      </c>
      <c r="M476" t="n">
        <v>0</v>
      </c>
      <c r="N476" t="n">
        <v>0</v>
      </c>
      <c r="O476" t="n">
        <v>0</v>
      </c>
      <c r="P476" t="n">
        <v>0</v>
      </c>
      <c r="Q476" t="n">
        <v>0</v>
      </c>
      <c r="R476" s="2" t="inlineStr"/>
    </row>
    <row r="477" ht="15" customHeight="1">
      <c r="A477" t="inlineStr">
        <is>
          <t>A 28454-2025</t>
        </is>
      </c>
      <c r="B477" s="1" t="n">
        <v>45819.40679398148</v>
      </c>
      <c r="C477" s="1" t="n">
        <v>45886</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28401-2025</t>
        </is>
      </c>
      <c r="B478" s="1" t="n">
        <v>45819.34469907408</v>
      </c>
      <c r="C478" s="1" t="n">
        <v>45886</v>
      </c>
      <c r="D478" t="inlineStr">
        <is>
          <t>JÄMTLANDS LÄN</t>
        </is>
      </c>
      <c r="E478" t="inlineStr">
        <is>
          <t>BERG</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35683-2025</t>
        </is>
      </c>
      <c r="B479" s="1" t="n">
        <v>45859</v>
      </c>
      <c r="C479" s="1" t="n">
        <v>45886</v>
      </c>
      <c r="D479" t="inlineStr">
        <is>
          <t>JÄMTLANDS LÄN</t>
        </is>
      </c>
      <c r="E479" t="inlineStr">
        <is>
          <t>BERG</t>
        </is>
      </c>
      <c r="G479" t="n">
        <v>3.4</v>
      </c>
      <c r="H479" t="n">
        <v>0</v>
      </c>
      <c r="I479" t="n">
        <v>0</v>
      </c>
      <c r="J479" t="n">
        <v>0</v>
      </c>
      <c r="K479" t="n">
        <v>0</v>
      </c>
      <c r="L479" t="n">
        <v>0</v>
      </c>
      <c r="M479" t="n">
        <v>0</v>
      </c>
      <c r="N479" t="n">
        <v>0</v>
      </c>
      <c r="O479" t="n">
        <v>0</v>
      </c>
      <c r="P479" t="n">
        <v>0</v>
      </c>
      <c r="Q479" t="n">
        <v>0</v>
      </c>
      <c r="R479" s="2" t="inlineStr"/>
    </row>
    <row r="480" ht="15" customHeight="1">
      <c r="A480" t="inlineStr">
        <is>
          <t>A 28453-2025</t>
        </is>
      </c>
      <c r="B480" s="1" t="n">
        <v>45819.40668981482</v>
      </c>
      <c r="C480" s="1" t="n">
        <v>45886</v>
      </c>
      <c r="D480" t="inlineStr">
        <is>
          <t>JÄMTLANDS LÄN</t>
        </is>
      </c>
      <c r="E480" t="inlineStr">
        <is>
          <t>BERG</t>
        </is>
      </c>
      <c r="G480" t="n">
        <v>4.1</v>
      </c>
      <c r="H480" t="n">
        <v>0</v>
      </c>
      <c r="I480" t="n">
        <v>0</v>
      </c>
      <c r="J480" t="n">
        <v>0</v>
      </c>
      <c r="K480" t="n">
        <v>0</v>
      </c>
      <c r="L480" t="n">
        <v>0</v>
      </c>
      <c r="M480" t="n">
        <v>0</v>
      </c>
      <c r="N480" t="n">
        <v>0</v>
      </c>
      <c r="O480" t="n">
        <v>0</v>
      </c>
      <c r="P480" t="n">
        <v>0</v>
      </c>
      <c r="Q480" t="n">
        <v>0</v>
      </c>
      <c r="R480" s="2" t="inlineStr"/>
    </row>
    <row r="481" ht="15" customHeight="1">
      <c r="A481" t="inlineStr">
        <is>
          <t>A 28657-2025</t>
        </is>
      </c>
      <c r="B481" s="1" t="n">
        <v>45819.65709490741</v>
      </c>
      <c r="C481" s="1" t="n">
        <v>45886</v>
      </c>
      <c r="D481" t="inlineStr">
        <is>
          <t>JÄMTLANDS LÄN</t>
        </is>
      </c>
      <c r="E481" t="inlineStr">
        <is>
          <t>BERG</t>
        </is>
      </c>
      <c r="G481" t="n">
        <v>2.4</v>
      </c>
      <c r="H481" t="n">
        <v>0</v>
      </c>
      <c r="I481" t="n">
        <v>0</v>
      </c>
      <c r="J481" t="n">
        <v>0</v>
      </c>
      <c r="K481" t="n">
        <v>0</v>
      </c>
      <c r="L481" t="n">
        <v>0</v>
      </c>
      <c r="M481" t="n">
        <v>0</v>
      </c>
      <c r="N481" t="n">
        <v>0</v>
      </c>
      <c r="O481" t="n">
        <v>0</v>
      </c>
      <c r="P481" t="n">
        <v>0</v>
      </c>
      <c r="Q481" t="n">
        <v>0</v>
      </c>
      <c r="R481" s="2" t="inlineStr"/>
    </row>
    <row r="482" ht="15" customHeight="1">
      <c r="A482" t="inlineStr">
        <is>
          <t>A 28538-2025</t>
        </is>
      </c>
      <c r="B482" s="1" t="n">
        <v>45819.51086805556</v>
      </c>
      <c r="C482" s="1" t="n">
        <v>45886</v>
      </c>
      <c r="D482" t="inlineStr">
        <is>
          <t>JÄMTLANDS LÄN</t>
        </is>
      </c>
      <c r="E482" t="inlineStr">
        <is>
          <t>BERG</t>
        </is>
      </c>
      <c r="G482" t="n">
        <v>4.9</v>
      </c>
      <c r="H482" t="n">
        <v>0</v>
      </c>
      <c r="I482" t="n">
        <v>0</v>
      </c>
      <c r="J482" t="n">
        <v>0</v>
      </c>
      <c r="K482" t="n">
        <v>0</v>
      </c>
      <c r="L482" t="n">
        <v>0</v>
      </c>
      <c r="M482" t="n">
        <v>0</v>
      </c>
      <c r="N482" t="n">
        <v>0</v>
      </c>
      <c r="O482" t="n">
        <v>0</v>
      </c>
      <c r="P482" t="n">
        <v>0</v>
      </c>
      <c r="Q482" t="n">
        <v>0</v>
      </c>
      <c r="R482" s="2" t="inlineStr"/>
    </row>
    <row r="483" ht="15" customHeight="1">
      <c r="A483" t="inlineStr">
        <is>
          <t>A 50706-2023</t>
        </is>
      </c>
      <c r="B483" s="1" t="n">
        <v>45217.55832175926</v>
      </c>
      <c r="C483" s="1" t="n">
        <v>45886</v>
      </c>
      <c r="D483" t="inlineStr">
        <is>
          <t>JÄMTLANDS LÄN</t>
        </is>
      </c>
      <c r="E483" t="inlineStr">
        <is>
          <t>BERG</t>
        </is>
      </c>
      <c r="G483" t="n">
        <v>4.1</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45233.40039351852</v>
      </c>
      <c r="C484" s="1" t="n">
        <v>45886</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47176-2023</t>
        </is>
      </c>
      <c r="B485" s="1" t="n">
        <v>45201.94844907407</v>
      </c>
      <c r="C485" s="1" t="n">
        <v>45886</v>
      </c>
      <c r="D485" t="inlineStr">
        <is>
          <t>JÄMTLANDS LÄN</t>
        </is>
      </c>
      <c r="E485" t="inlineStr">
        <is>
          <t>BERG</t>
        </is>
      </c>
      <c r="F485" t="inlineStr">
        <is>
          <t>SCA</t>
        </is>
      </c>
      <c r="G485" t="n">
        <v>32.3</v>
      </c>
      <c r="H485" t="n">
        <v>0</v>
      </c>
      <c r="I485" t="n">
        <v>0</v>
      </c>
      <c r="J485" t="n">
        <v>0</v>
      </c>
      <c r="K485" t="n">
        <v>0</v>
      </c>
      <c r="L485" t="n">
        <v>0</v>
      </c>
      <c r="M485" t="n">
        <v>0</v>
      </c>
      <c r="N485" t="n">
        <v>0</v>
      </c>
      <c r="O485" t="n">
        <v>0</v>
      </c>
      <c r="P485" t="n">
        <v>0</v>
      </c>
      <c r="Q485" t="n">
        <v>0</v>
      </c>
      <c r="R485" s="2" t="inlineStr"/>
    </row>
    <row r="486" ht="15" customHeight="1">
      <c r="A486" t="inlineStr">
        <is>
          <t>A 29197-2025</t>
        </is>
      </c>
      <c r="B486" s="1" t="n">
        <v>45823.34438657408</v>
      </c>
      <c r="C486" s="1" t="n">
        <v>45886</v>
      </c>
      <c r="D486" t="inlineStr">
        <is>
          <t>JÄMTLANDS LÄN</t>
        </is>
      </c>
      <c r="E486" t="inlineStr">
        <is>
          <t>BERG</t>
        </is>
      </c>
      <c r="F486" t="inlineStr">
        <is>
          <t>SCA</t>
        </is>
      </c>
      <c r="G486" t="n">
        <v>10</v>
      </c>
      <c r="H486" t="n">
        <v>0</v>
      </c>
      <c r="I486" t="n">
        <v>0</v>
      </c>
      <c r="J486" t="n">
        <v>0</v>
      </c>
      <c r="K486" t="n">
        <v>0</v>
      </c>
      <c r="L486" t="n">
        <v>0</v>
      </c>
      <c r="M486" t="n">
        <v>0</v>
      </c>
      <c r="N486" t="n">
        <v>0</v>
      </c>
      <c r="O486" t="n">
        <v>0</v>
      </c>
      <c r="P486" t="n">
        <v>0</v>
      </c>
      <c r="Q486" t="n">
        <v>0</v>
      </c>
      <c r="R486" s="2" t="inlineStr"/>
    </row>
    <row r="487" ht="15" customHeight="1">
      <c r="A487" t="inlineStr">
        <is>
          <t>A 36142-2025</t>
        </is>
      </c>
      <c r="B487" s="1" t="n">
        <v>45866.67741898148</v>
      </c>
      <c r="C487" s="1" t="n">
        <v>45886</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29279-2025</t>
        </is>
      </c>
      <c r="B488" s="1" t="n">
        <v>45824.42381944445</v>
      </c>
      <c r="C488" s="1" t="n">
        <v>45886</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41098-2023</t>
        </is>
      </c>
      <c r="B489" s="1" t="n">
        <v>45170</v>
      </c>
      <c r="C489" s="1" t="n">
        <v>45886</v>
      </c>
      <c r="D489" t="inlineStr">
        <is>
          <t>JÄMTLANDS LÄN</t>
        </is>
      </c>
      <c r="E489" t="inlineStr">
        <is>
          <t>BERG</t>
        </is>
      </c>
      <c r="G489" t="n">
        <v>3.1</v>
      </c>
      <c r="H489" t="n">
        <v>0</v>
      </c>
      <c r="I489" t="n">
        <v>0</v>
      </c>
      <c r="J489" t="n">
        <v>0</v>
      </c>
      <c r="K489" t="n">
        <v>0</v>
      </c>
      <c r="L489" t="n">
        <v>0</v>
      </c>
      <c r="M489" t="n">
        <v>0</v>
      </c>
      <c r="N489" t="n">
        <v>0</v>
      </c>
      <c r="O489" t="n">
        <v>0</v>
      </c>
      <c r="P489" t="n">
        <v>0</v>
      </c>
      <c r="Q489" t="n">
        <v>0</v>
      </c>
      <c r="R489" s="2" t="inlineStr"/>
    </row>
    <row r="490" ht="15" customHeight="1">
      <c r="A490" t="inlineStr">
        <is>
          <t>A 29310-2025</t>
        </is>
      </c>
      <c r="B490" s="1" t="n">
        <v>45824.46353009259</v>
      </c>
      <c r="C490" s="1" t="n">
        <v>45886</v>
      </c>
      <c r="D490" t="inlineStr">
        <is>
          <t>JÄMTLANDS LÄN</t>
        </is>
      </c>
      <c r="E490" t="inlineStr">
        <is>
          <t>BERG</t>
        </is>
      </c>
      <c r="G490" t="n">
        <v>5.6</v>
      </c>
      <c r="H490" t="n">
        <v>0</v>
      </c>
      <c r="I490" t="n">
        <v>0</v>
      </c>
      <c r="J490" t="n">
        <v>0</v>
      </c>
      <c r="K490" t="n">
        <v>0</v>
      </c>
      <c r="L490" t="n">
        <v>0</v>
      </c>
      <c r="M490" t="n">
        <v>0</v>
      </c>
      <c r="N490" t="n">
        <v>0</v>
      </c>
      <c r="O490" t="n">
        <v>0</v>
      </c>
      <c r="P490" t="n">
        <v>0</v>
      </c>
      <c r="Q490" t="n">
        <v>0</v>
      </c>
      <c r="R490" s="2" t="inlineStr"/>
    </row>
    <row r="491" ht="15" customHeight="1">
      <c r="A491" t="inlineStr">
        <is>
          <t>A 41106-2023</t>
        </is>
      </c>
      <c r="B491" s="1" t="n">
        <v>45170</v>
      </c>
      <c r="C491" s="1" t="n">
        <v>45886</v>
      </c>
      <c r="D491" t="inlineStr">
        <is>
          <t>JÄMTLANDS LÄN</t>
        </is>
      </c>
      <c r="E491" t="inlineStr">
        <is>
          <t>BERG</t>
        </is>
      </c>
      <c r="G491" t="n">
        <v>0.7</v>
      </c>
      <c r="H491" t="n">
        <v>0</v>
      </c>
      <c r="I491" t="n">
        <v>0</v>
      </c>
      <c r="J491" t="n">
        <v>0</v>
      </c>
      <c r="K491" t="n">
        <v>0</v>
      </c>
      <c r="L491" t="n">
        <v>0</v>
      </c>
      <c r="M491" t="n">
        <v>0</v>
      </c>
      <c r="N491" t="n">
        <v>0</v>
      </c>
      <c r="O491" t="n">
        <v>0</v>
      </c>
      <c r="P491" t="n">
        <v>0</v>
      </c>
      <c r="Q491" t="n">
        <v>0</v>
      </c>
      <c r="R491" s="2" t="inlineStr"/>
    </row>
    <row r="492" ht="15" customHeight="1">
      <c r="A492" t="inlineStr">
        <is>
          <t>A 40415-2023</t>
        </is>
      </c>
      <c r="B492" s="1" t="n">
        <v>45169.93925925926</v>
      </c>
      <c r="C492" s="1" t="n">
        <v>45886</v>
      </c>
      <c r="D492" t="inlineStr">
        <is>
          <t>JÄMTLANDS LÄN</t>
        </is>
      </c>
      <c r="E492" t="inlineStr">
        <is>
          <t>BERG</t>
        </is>
      </c>
      <c r="F492" t="inlineStr">
        <is>
          <t>SCA</t>
        </is>
      </c>
      <c r="G492" t="n">
        <v>10.2</v>
      </c>
      <c r="H492" t="n">
        <v>0</v>
      </c>
      <c r="I492" t="n">
        <v>0</v>
      </c>
      <c r="J492" t="n">
        <v>0</v>
      </c>
      <c r="K492" t="n">
        <v>0</v>
      </c>
      <c r="L492" t="n">
        <v>0</v>
      </c>
      <c r="M492" t="n">
        <v>0</v>
      </c>
      <c r="N492" t="n">
        <v>0</v>
      </c>
      <c r="O492" t="n">
        <v>0</v>
      </c>
      <c r="P492" t="n">
        <v>0</v>
      </c>
      <c r="Q492" t="n">
        <v>0</v>
      </c>
      <c r="R492" s="2" t="inlineStr"/>
    </row>
    <row r="493" ht="15" customHeight="1">
      <c r="A493" t="inlineStr">
        <is>
          <t>A 29198-2025</t>
        </is>
      </c>
      <c r="B493" s="1" t="n">
        <v>45823.34451388889</v>
      </c>
      <c r="C493" s="1" t="n">
        <v>45886</v>
      </c>
      <c r="D493" t="inlineStr">
        <is>
          <t>JÄMTLANDS LÄN</t>
        </is>
      </c>
      <c r="E493" t="inlineStr">
        <is>
          <t>BERG</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29199-2025</t>
        </is>
      </c>
      <c r="B494" s="1" t="n">
        <v>45823.34459490741</v>
      </c>
      <c r="C494" s="1" t="n">
        <v>45886</v>
      </c>
      <c r="D494" t="inlineStr">
        <is>
          <t>JÄMTLANDS LÄN</t>
        </is>
      </c>
      <c r="E494" t="inlineStr">
        <is>
          <t>BERG</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54998-2023</t>
        </is>
      </c>
      <c r="B495" s="1" t="n">
        <v>45236</v>
      </c>
      <c r="C495" s="1" t="n">
        <v>45886</v>
      </c>
      <c r="D495" t="inlineStr">
        <is>
          <t>JÄMTLANDS LÄN</t>
        </is>
      </c>
      <c r="E495" t="inlineStr">
        <is>
          <t>BERG</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34891-2024</t>
        </is>
      </c>
      <c r="B496" s="1" t="n">
        <v>45527.36498842593</v>
      </c>
      <c r="C496" s="1" t="n">
        <v>45886</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29836-2025</t>
        </is>
      </c>
      <c r="B497" s="1" t="n">
        <v>45825.9468287037</v>
      </c>
      <c r="C497" s="1" t="n">
        <v>45886</v>
      </c>
      <c r="D497" t="inlineStr">
        <is>
          <t>JÄMTLANDS LÄN</t>
        </is>
      </c>
      <c r="E497" t="inlineStr">
        <is>
          <t>BERG</t>
        </is>
      </c>
      <c r="G497" t="n">
        <v>12.7</v>
      </c>
      <c r="H497" t="n">
        <v>0</v>
      </c>
      <c r="I497" t="n">
        <v>0</v>
      </c>
      <c r="J497" t="n">
        <v>0</v>
      </c>
      <c r="K497" t="n">
        <v>0</v>
      </c>
      <c r="L497" t="n">
        <v>0</v>
      </c>
      <c r="M497" t="n">
        <v>0</v>
      </c>
      <c r="N497" t="n">
        <v>0</v>
      </c>
      <c r="O497" t="n">
        <v>0</v>
      </c>
      <c r="P497" t="n">
        <v>0</v>
      </c>
      <c r="Q497" t="n">
        <v>0</v>
      </c>
      <c r="R497" s="2" t="inlineStr"/>
    </row>
    <row r="498" ht="15" customHeight="1">
      <c r="A498" t="inlineStr">
        <is>
          <t>A 26944-2022</t>
        </is>
      </c>
      <c r="B498" s="1" t="n">
        <v>44740</v>
      </c>
      <c r="C498" s="1" t="n">
        <v>45886</v>
      </c>
      <c r="D498" t="inlineStr">
        <is>
          <t>JÄMTLANDS LÄN</t>
        </is>
      </c>
      <c r="E498" t="inlineStr">
        <is>
          <t>BERG</t>
        </is>
      </c>
      <c r="G498" t="n">
        <v>3.3</v>
      </c>
      <c r="H498" t="n">
        <v>0</v>
      </c>
      <c r="I498" t="n">
        <v>0</v>
      </c>
      <c r="J498" t="n">
        <v>0</v>
      </c>
      <c r="K498" t="n">
        <v>0</v>
      </c>
      <c r="L498" t="n">
        <v>0</v>
      </c>
      <c r="M498" t="n">
        <v>0</v>
      </c>
      <c r="N498" t="n">
        <v>0</v>
      </c>
      <c r="O498" t="n">
        <v>0</v>
      </c>
      <c r="P498" t="n">
        <v>0</v>
      </c>
      <c r="Q498" t="n">
        <v>0</v>
      </c>
      <c r="R498" s="2" t="inlineStr"/>
    </row>
    <row r="499" ht="15" customHeight="1">
      <c r="A499" t="inlineStr">
        <is>
          <t>A 63819-2023</t>
        </is>
      </c>
      <c r="B499" s="1" t="n">
        <v>45278.44128472222</v>
      </c>
      <c r="C499" s="1" t="n">
        <v>45886</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30017-2025</t>
        </is>
      </c>
      <c r="B500" s="1" t="n">
        <v>45826.55306712963</v>
      </c>
      <c r="C500" s="1" t="n">
        <v>45886</v>
      </c>
      <c r="D500" t="inlineStr">
        <is>
          <t>JÄMTLANDS LÄN</t>
        </is>
      </c>
      <c r="E500" t="inlineStr">
        <is>
          <t>BERG</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29908-2025</t>
        </is>
      </c>
      <c r="B501" s="1" t="n">
        <v>45826</v>
      </c>
      <c r="C501" s="1" t="n">
        <v>45886</v>
      </c>
      <c r="D501" t="inlineStr">
        <is>
          <t>JÄMTLANDS LÄN</t>
        </is>
      </c>
      <c r="E501" t="inlineStr">
        <is>
          <t>BERG</t>
        </is>
      </c>
      <c r="G501" t="n">
        <v>2.2</v>
      </c>
      <c r="H501" t="n">
        <v>0</v>
      </c>
      <c r="I501" t="n">
        <v>0</v>
      </c>
      <c r="J501" t="n">
        <v>0</v>
      </c>
      <c r="K501" t="n">
        <v>0</v>
      </c>
      <c r="L501" t="n">
        <v>0</v>
      </c>
      <c r="M501" t="n">
        <v>0</v>
      </c>
      <c r="N501" t="n">
        <v>0</v>
      </c>
      <c r="O501" t="n">
        <v>0</v>
      </c>
      <c r="P501" t="n">
        <v>0</v>
      </c>
      <c r="Q501" t="n">
        <v>0</v>
      </c>
      <c r="R501" s="2" t="inlineStr"/>
    </row>
    <row r="502" ht="15" customHeight="1">
      <c r="A502" t="inlineStr">
        <is>
          <t>A 36377-2025</t>
        </is>
      </c>
      <c r="B502" s="1" t="n">
        <v>45868.57342592593</v>
      </c>
      <c r="C502" s="1" t="n">
        <v>45886</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14697-2025</t>
        </is>
      </c>
      <c r="B503" s="1" t="n">
        <v>45742.59415509259</v>
      </c>
      <c r="C503" s="1" t="n">
        <v>45886</v>
      </c>
      <c r="D503" t="inlineStr">
        <is>
          <t>JÄMTLANDS LÄN</t>
        </is>
      </c>
      <c r="E503" t="inlineStr">
        <is>
          <t>BERG</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29533-2025</t>
        </is>
      </c>
      <c r="B504" s="1" t="n">
        <v>45825.34466435185</v>
      </c>
      <c r="C504" s="1" t="n">
        <v>45886</v>
      </c>
      <c r="D504" t="inlineStr">
        <is>
          <t>JÄMTLANDS LÄN</t>
        </is>
      </c>
      <c r="E504" t="inlineStr">
        <is>
          <t>BERG</t>
        </is>
      </c>
      <c r="F504" t="inlineStr">
        <is>
          <t>SCA</t>
        </is>
      </c>
      <c r="G504" t="n">
        <v>10</v>
      </c>
      <c r="H504" t="n">
        <v>0</v>
      </c>
      <c r="I504" t="n">
        <v>0</v>
      </c>
      <c r="J504" t="n">
        <v>0</v>
      </c>
      <c r="K504" t="n">
        <v>0</v>
      </c>
      <c r="L504" t="n">
        <v>0</v>
      </c>
      <c r="M504" t="n">
        <v>0</v>
      </c>
      <c r="N504" t="n">
        <v>0</v>
      </c>
      <c r="O504" t="n">
        <v>0</v>
      </c>
      <c r="P504" t="n">
        <v>0</v>
      </c>
      <c r="Q504" t="n">
        <v>0</v>
      </c>
      <c r="R504" s="2" t="inlineStr"/>
    </row>
    <row r="505" ht="15" customHeight="1">
      <c r="A505" t="inlineStr">
        <is>
          <t>A 29538-2025</t>
        </is>
      </c>
      <c r="B505" s="1" t="n">
        <v>45825.34517361111</v>
      </c>
      <c r="C505" s="1" t="n">
        <v>45886</v>
      </c>
      <c r="D505" t="inlineStr">
        <is>
          <t>JÄMTLANDS LÄN</t>
        </is>
      </c>
      <c r="E505" t="inlineStr">
        <is>
          <t>BERG</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44088-2021</t>
        </is>
      </c>
      <c r="B506" s="1" t="n">
        <v>44434</v>
      </c>
      <c r="C506" s="1" t="n">
        <v>45886</v>
      </c>
      <c r="D506" t="inlineStr">
        <is>
          <t>JÄMTLANDS LÄN</t>
        </is>
      </c>
      <c r="E506" t="inlineStr">
        <is>
          <t>BERG</t>
        </is>
      </c>
      <c r="G506" t="n">
        <v>1.1</v>
      </c>
      <c r="H506" t="n">
        <v>0</v>
      </c>
      <c r="I506" t="n">
        <v>0</v>
      </c>
      <c r="J506" t="n">
        <v>0</v>
      </c>
      <c r="K506" t="n">
        <v>0</v>
      </c>
      <c r="L506" t="n">
        <v>0</v>
      </c>
      <c r="M506" t="n">
        <v>0</v>
      </c>
      <c r="N506" t="n">
        <v>0</v>
      </c>
      <c r="O506" t="n">
        <v>0</v>
      </c>
      <c r="P506" t="n">
        <v>0</v>
      </c>
      <c r="Q506" t="n">
        <v>0</v>
      </c>
      <c r="R506" s="2" t="inlineStr"/>
    </row>
    <row r="507" ht="15" customHeight="1">
      <c r="A507" t="inlineStr">
        <is>
          <t>A 32064-2023</t>
        </is>
      </c>
      <c r="B507" s="1" t="n">
        <v>45119.57108796296</v>
      </c>
      <c r="C507" s="1" t="n">
        <v>45886</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39510-2023</t>
        </is>
      </c>
      <c r="B508" s="1" t="n">
        <v>45166</v>
      </c>
      <c r="C508" s="1" t="n">
        <v>45886</v>
      </c>
      <c r="D508" t="inlineStr">
        <is>
          <t>JÄMTLANDS LÄN</t>
        </is>
      </c>
      <c r="E508" t="inlineStr">
        <is>
          <t>BERG</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41886-2024</t>
        </is>
      </c>
      <c r="B509" s="1" t="n">
        <v>45561.48825231481</v>
      </c>
      <c r="C509" s="1" t="n">
        <v>45886</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13672-2024</t>
        </is>
      </c>
      <c r="B510" s="1" t="n">
        <v>45390</v>
      </c>
      <c r="C510" s="1" t="n">
        <v>45886</v>
      </c>
      <c r="D510" t="inlineStr">
        <is>
          <t>JÄMTLANDS LÄN</t>
        </is>
      </c>
      <c r="E510" t="inlineStr">
        <is>
          <t>BERG</t>
        </is>
      </c>
      <c r="G510" t="n">
        <v>0.3</v>
      </c>
      <c r="H510" t="n">
        <v>0</v>
      </c>
      <c r="I510" t="n">
        <v>0</v>
      </c>
      <c r="J510" t="n">
        <v>0</v>
      </c>
      <c r="K510" t="n">
        <v>0</v>
      </c>
      <c r="L510" t="n">
        <v>0</v>
      </c>
      <c r="M510" t="n">
        <v>0</v>
      </c>
      <c r="N510" t="n">
        <v>0</v>
      </c>
      <c r="O510" t="n">
        <v>0</v>
      </c>
      <c r="P510" t="n">
        <v>0</v>
      </c>
      <c r="Q510" t="n">
        <v>0</v>
      </c>
      <c r="R510" s="2" t="inlineStr"/>
    </row>
    <row r="511" ht="15" customHeight="1">
      <c r="A511" t="inlineStr">
        <is>
          <t>A 29902-2025</t>
        </is>
      </c>
      <c r="B511" s="1" t="n">
        <v>45826</v>
      </c>
      <c r="C511" s="1" t="n">
        <v>45886</v>
      </c>
      <c r="D511" t="inlineStr">
        <is>
          <t>JÄMTLANDS LÄN</t>
        </is>
      </c>
      <c r="E511" t="inlineStr">
        <is>
          <t>BERG</t>
        </is>
      </c>
      <c r="G511" t="n">
        <v>9.1</v>
      </c>
      <c r="H511" t="n">
        <v>0</v>
      </c>
      <c r="I511" t="n">
        <v>0</v>
      </c>
      <c r="J511" t="n">
        <v>0</v>
      </c>
      <c r="K511" t="n">
        <v>0</v>
      </c>
      <c r="L511" t="n">
        <v>0</v>
      </c>
      <c r="M511" t="n">
        <v>0</v>
      </c>
      <c r="N511" t="n">
        <v>0</v>
      </c>
      <c r="O511" t="n">
        <v>0</v>
      </c>
      <c r="P511" t="n">
        <v>0</v>
      </c>
      <c r="Q511" t="n">
        <v>0</v>
      </c>
      <c r="R511" s="2" t="inlineStr"/>
    </row>
    <row r="512" ht="15" customHeight="1">
      <c r="A512" t="inlineStr">
        <is>
          <t>A 19513-2025</t>
        </is>
      </c>
      <c r="B512" s="1" t="n">
        <v>45770.42762731481</v>
      </c>
      <c r="C512" s="1" t="n">
        <v>45886</v>
      </c>
      <c r="D512" t="inlineStr">
        <is>
          <t>JÄMTLANDS LÄN</t>
        </is>
      </c>
      <c r="E512" t="inlineStr">
        <is>
          <t>BERG</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45886</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19530-2025</t>
        </is>
      </c>
      <c r="B514" s="1" t="n">
        <v>45770.46903935185</v>
      </c>
      <c r="C514" s="1" t="n">
        <v>45886</v>
      </c>
      <c r="D514" t="inlineStr">
        <is>
          <t>JÄMTLANDS LÄN</t>
        </is>
      </c>
      <c r="E514" t="inlineStr">
        <is>
          <t>BERG</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36192-2024</t>
        </is>
      </c>
      <c r="B515" s="1" t="n">
        <v>45534.42809027778</v>
      </c>
      <c r="C515" s="1" t="n">
        <v>45886</v>
      </c>
      <c r="D515" t="inlineStr">
        <is>
          <t>JÄMTLANDS LÄN</t>
        </is>
      </c>
      <c r="E515" t="inlineStr">
        <is>
          <t>BERG</t>
        </is>
      </c>
      <c r="G515" t="n">
        <v>1.4</v>
      </c>
      <c r="H515" t="n">
        <v>0</v>
      </c>
      <c r="I515" t="n">
        <v>0</v>
      </c>
      <c r="J515" t="n">
        <v>0</v>
      </c>
      <c r="K515" t="n">
        <v>0</v>
      </c>
      <c r="L515" t="n">
        <v>0</v>
      </c>
      <c r="M515" t="n">
        <v>0</v>
      </c>
      <c r="N515" t="n">
        <v>0</v>
      </c>
      <c r="O515" t="n">
        <v>0</v>
      </c>
      <c r="P515" t="n">
        <v>0</v>
      </c>
      <c r="Q515" t="n">
        <v>0</v>
      </c>
      <c r="R515" s="2" t="inlineStr"/>
    </row>
    <row r="516" ht="15" customHeight="1">
      <c r="A516" t="inlineStr">
        <is>
          <t>A 41875-2024</t>
        </is>
      </c>
      <c r="B516" s="1" t="n">
        <v>45561.47431712963</v>
      </c>
      <c r="C516" s="1" t="n">
        <v>45886</v>
      </c>
      <c r="D516" t="inlineStr">
        <is>
          <t>JÄMTLANDS LÄN</t>
        </is>
      </c>
      <c r="E516" t="inlineStr">
        <is>
          <t>BERG</t>
        </is>
      </c>
      <c r="G516" t="n">
        <v>1.3</v>
      </c>
      <c r="H516" t="n">
        <v>0</v>
      </c>
      <c r="I516" t="n">
        <v>0</v>
      </c>
      <c r="J516" t="n">
        <v>0</v>
      </c>
      <c r="K516" t="n">
        <v>0</v>
      </c>
      <c r="L516" t="n">
        <v>0</v>
      </c>
      <c r="M516" t="n">
        <v>0</v>
      </c>
      <c r="N516" t="n">
        <v>0</v>
      </c>
      <c r="O516" t="n">
        <v>0</v>
      </c>
      <c r="P516" t="n">
        <v>0</v>
      </c>
      <c r="Q516" t="n">
        <v>0</v>
      </c>
      <c r="R516" s="2" t="inlineStr"/>
    </row>
    <row r="517" ht="15" customHeight="1">
      <c r="A517" t="inlineStr">
        <is>
          <t>A 30314-2025</t>
        </is>
      </c>
      <c r="B517" s="1" t="n">
        <v>45827.49047453704</v>
      </c>
      <c r="C517" s="1" t="n">
        <v>45886</v>
      </c>
      <c r="D517" t="inlineStr">
        <is>
          <t>JÄMTLANDS LÄN</t>
        </is>
      </c>
      <c r="E517" t="inlineStr">
        <is>
          <t>BERG</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166-2024</t>
        </is>
      </c>
      <c r="B518" s="1" t="n">
        <v>45294</v>
      </c>
      <c r="C518" s="1" t="n">
        <v>45886</v>
      </c>
      <c r="D518" t="inlineStr">
        <is>
          <t>JÄMTLANDS LÄN</t>
        </is>
      </c>
      <c r="E518" t="inlineStr">
        <is>
          <t>BERG</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8722-2024</t>
        </is>
      </c>
      <c r="B519" s="1" t="n">
        <v>45355</v>
      </c>
      <c r="C519" s="1" t="n">
        <v>45886</v>
      </c>
      <c r="D519" t="inlineStr">
        <is>
          <t>JÄMTLANDS LÄN</t>
        </is>
      </c>
      <c r="E519" t="inlineStr">
        <is>
          <t>BERG</t>
        </is>
      </c>
      <c r="G519" t="n">
        <v>2.4</v>
      </c>
      <c r="H519" t="n">
        <v>0</v>
      </c>
      <c r="I519" t="n">
        <v>0</v>
      </c>
      <c r="J519" t="n">
        <v>0</v>
      </c>
      <c r="K519" t="n">
        <v>0</v>
      </c>
      <c r="L519" t="n">
        <v>0</v>
      </c>
      <c r="M519" t="n">
        <v>0</v>
      </c>
      <c r="N519" t="n">
        <v>0</v>
      </c>
      <c r="O519" t="n">
        <v>0</v>
      </c>
      <c r="P519" t="n">
        <v>0</v>
      </c>
      <c r="Q519" t="n">
        <v>0</v>
      </c>
      <c r="R519" s="2" t="inlineStr"/>
    </row>
    <row r="520" ht="15" customHeight="1">
      <c r="A520" t="inlineStr">
        <is>
          <t>A 8726-2024</t>
        </is>
      </c>
      <c r="B520" s="1" t="n">
        <v>45355</v>
      </c>
      <c r="C520" s="1" t="n">
        <v>45886</v>
      </c>
      <c r="D520" t="inlineStr">
        <is>
          <t>JÄMTLANDS LÄN</t>
        </is>
      </c>
      <c r="E520" t="inlineStr">
        <is>
          <t>BERG</t>
        </is>
      </c>
      <c r="G520" t="n">
        <v>1.3</v>
      </c>
      <c r="H520" t="n">
        <v>0</v>
      </c>
      <c r="I520" t="n">
        <v>0</v>
      </c>
      <c r="J520" t="n">
        <v>0</v>
      </c>
      <c r="K520" t="n">
        <v>0</v>
      </c>
      <c r="L520" t="n">
        <v>0</v>
      </c>
      <c r="M520" t="n">
        <v>0</v>
      </c>
      <c r="N520" t="n">
        <v>0</v>
      </c>
      <c r="O520" t="n">
        <v>0</v>
      </c>
      <c r="P520" t="n">
        <v>0</v>
      </c>
      <c r="Q520" t="n">
        <v>0</v>
      </c>
      <c r="R520" s="2" t="inlineStr"/>
    </row>
    <row r="521" ht="15" customHeight="1">
      <c r="A521" t="inlineStr">
        <is>
          <t>A 18408-2025</t>
        </is>
      </c>
      <c r="B521" s="1" t="n">
        <v>45762.61128472222</v>
      </c>
      <c r="C521" s="1" t="n">
        <v>45886</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45886</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7040-2024</t>
        </is>
      </c>
      <c r="B523" s="1" t="n">
        <v>45343</v>
      </c>
      <c r="C523" s="1" t="n">
        <v>45886</v>
      </c>
      <c r="D523" t="inlineStr">
        <is>
          <t>JÄMTLANDS LÄN</t>
        </is>
      </c>
      <c r="E523" t="inlineStr">
        <is>
          <t>BERG</t>
        </is>
      </c>
      <c r="G523" t="n">
        <v>15.9</v>
      </c>
      <c r="H523" t="n">
        <v>0</v>
      </c>
      <c r="I523" t="n">
        <v>0</v>
      </c>
      <c r="J523" t="n">
        <v>0</v>
      </c>
      <c r="K523" t="n">
        <v>0</v>
      </c>
      <c r="L523" t="n">
        <v>0</v>
      </c>
      <c r="M523" t="n">
        <v>0</v>
      </c>
      <c r="N523" t="n">
        <v>0</v>
      </c>
      <c r="O523" t="n">
        <v>0</v>
      </c>
      <c r="P523" t="n">
        <v>0</v>
      </c>
      <c r="Q523" t="n">
        <v>0</v>
      </c>
      <c r="R523" s="2" t="inlineStr"/>
    </row>
    <row r="524" ht="15" customHeight="1">
      <c r="A524" t="inlineStr">
        <is>
          <t>A 5215-2024</t>
        </is>
      </c>
      <c r="B524" s="1" t="n">
        <v>45330</v>
      </c>
      <c r="C524" s="1" t="n">
        <v>45886</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14341-2025</t>
        </is>
      </c>
      <c r="B525" s="1" t="n">
        <v>45741.26008101852</v>
      </c>
      <c r="C525" s="1" t="n">
        <v>45886</v>
      </c>
      <c r="D525" t="inlineStr">
        <is>
          <t>JÄMTLANDS LÄN</t>
        </is>
      </c>
      <c r="E525" t="inlineStr">
        <is>
          <t>BERG</t>
        </is>
      </c>
      <c r="G525" t="n">
        <v>3.8</v>
      </c>
      <c r="H525" t="n">
        <v>0</v>
      </c>
      <c r="I525" t="n">
        <v>0</v>
      </c>
      <c r="J525" t="n">
        <v>0</v>
      </c>
      <c r="K525" t="n">
        <v>0</v>
      </c>
      <c r="L525" t="n">
        <v>0</v>
      </c>
      <c r="M525" t="n">
        <v>0</v>
      </c>
      <c r="N525" t="n">
        <v>0</v>
      </c>
      <c r="O525" t="n">
        <v>0</v>
      </c>
      <c r="P525" t="n">
        <v>0</v>
      </c>
      <c r="Q525" t="n">
        <v>0</v>
      </c>
      <c r="R525" s="2" t="inlineStr"/>
    </row>
    <row r="526" ht="15" customHeight="1">
      <c r="A526" t="inlineStr">
        <is>
          <t>A 57669-2024</t>
        </is>
      </c>
      <c r="B526" s="1" t="n">
        <v>45630.62520833333</v>
      </c>
      <c r="C526" s="1" t="n">
        <v>45886</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5219-2022</t>
        </is>
      </c>
      <c r="B527" s="1" t="n">
        <v>44594.48569444445</v>
      </c>
      <c r="C527" s="1" t="n">
        <v>45886</v>
      </c>
      <c r="D527" t="inlineStr">
        <is>
          <t>JÄMTLANDS LÄN</t>
        </is>
      </c>
      <c r="E527" t="inlineStr">
        <is>
          <t>BERG</t>
        </is>
      </c>
      <c r="G527" t="n">
        <v>1.9</v>
      </c>
      <c r="H527" t="n">
        <v>0</v>
      </c>
      <c r="I527" t="n">
        <v>0</v>
      </c>
      <c r="J527" t="n">
        <v>0</v>
      </c>
      <c r="K527" t="n">
        <v>0</v>
      </c>
      <c r="L527" t="n">
        <v>0</v>
      </c>
      <c r="M527" t="n">
        <v>0</v>
      </c>
      <c r="N527" t="n">
        <v>0</v>
      </c>
      <c r="O527" t="n">
        <v>0</v>
      </c>
      <c r="P527" t="n">
        <v>0</v>
      </c>
      <c r="Q527" t="n">
        <v>0</v>
      </c>
      <c r="R527" s="2" t="inlineStr"/>
    </row>
    <row r="528" ht="15" customHeight="1">
      <c r="A528" t="inlineStr">
        <is>
          <t>A 36668-2025</t>
        </is>
      </c>
      <c r="B528" s="1" t="n">
        <v>45873.38351851852</v>
      </c>
      <c r="C528" s="1" t="n">
        <v>45886</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31024-2025</t>
        </is>
      </c>
      <c r="B529" s="1" t="n">
        <v>45832.52571759259</v>
      </c>
      <c r="C529" s="1" t="n">
        <v>45886</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36896-2025</t>
        </is>
      </c>
      <c r="B530" s="1" t="n">
        <v>45874.4740625</v>
      </c>
      <c r="C530" s="1" t="n">
        <v>45886</v>
      </c>
      <c r="D530" t="inlineStr">
        <is>
          <t>JÄMTLANDS LÄN</t>
        </is>
      </c>
      <c r="E530" t="inlineStr">
        <is>
          <t>BERG</t>
        </is>
      </c>
      <c r="G530" t="n">
        <v>3.2</v>
      </c>
      <c r="H530" t="n">
        <v>0</v>
      </c>
      <c r="I530" t="n">
        <v>0</v>
      </c>
      <c r="J530" t="n">
        <v>0</v>
      </c>
      <c r="K530" t="n">
        <v>0</v>
      </c>
      <c r="L530" t="n">
        <v>0</v>
      </c>
      <c r="M530" t="n">
        <v>0</v>
      </c>
      <c r="N530" t="n">
        <v>0</v>
      </c>
      <c r="O530" t="n">
        <v>0</v>
      </c>
      <c r="P530" t="n">
        <v>0</v>
      </c>
      <c r="Q530" t="n">
        <v>0</v>
      </c>
      <c r="R530" s="2" t="inlineStr"/>
    </row>
    <row r="531" ht="15" customHeight="1">
      <c r="A531" t="inlineStr">
        <is>
          <t>A 18217-2023</t>
        </is>
      </c>
      <c r="B531" s="1" t="n">
        <v>45040</v>
      </c>
      <c r="C531" s="1" t="n">
        <v>45886</v>
      </c>
      <c r="D531" t="inlineStr">
        <is>
          <t>JÄMTLANDS LÄN</t>
        </is>
      </c>
      <c r="E531" t="inlineStr">
        <is>
          <t>BERG</t>
        </is>
      </c>
      <c r="G531" t="n">
        <v>4.5</v>
      </c>
      <c r="H531" t="n">
        <v>0</v>
      </c>
      <c r="I531" t="n">
        <v>0</v>
      </c>
      <c r="J531" t="n">
        <v>0</v>
      </c>
      <c r="K531" t="n">
        <v>0</v>
      </c>
      <c r="L531" t="n">
        <v>0</v>
      </c>
      <c r="M531" t="n">
        <v>0</v>
      </c>
      <c r="N531" t="n">
        <v>0</v>
      </c>
      <c r="O531" t="n">
        <v>0</v>
      </c>
      <c r="P531" t="n">
        <v>0</v>
      </c>
      <c r="Q531" t="n">
        <v>0</v>
      </c>
      <c r="R531" s="2" t="inlineStr"/>
    </row>
    <row r="532" ht="15" customHeight="1">
      <c r="A532" t="inlineStr">
        <is>
          <t>A 18112-2024</t>
        </is>
      </c>
      <c r="B532" s="1" t="n">
        <v>45420.49851851852</v>
      </c>
      <c r="C532" s="1" t="n">
        <v>45886</v>
      </c>
      <c r="D532" t="inlineStr">
        <is>
          <t>JÄMTLANDS LÄN</t>
        </is>
      </c>
      <c r="E532" t="inlineStr">
        <is>
          <t>BERG</t>
        </is>
      </c>
      <c r="F532" t="inlineStr">
        <is>
          <t>Holmen skog AB</t>
        </is>
      </c>
      <c r="G532" t="n">
        <v>16.6</v>
      </c>
      <c r="H532" t="n">
        <v>0</v>
      </c>
      <c r="I532" t="n">
        <v>0</v>
      </c>
      <c r="J532" t="n">
        <v>0</v>
      </c>
      <c r="K532" t="n">
        <v>0</v>
      </c>
      <c r="L532" t="n">
        <v>0</v>
      </c>
      <c r="M532" t="n">
        <v>0</v>
      </c>
      <c r="N532" t="n">
        <v>0</v>
      </c>
      <c r="O532" t="n">
        <v>0</v>
      </c>
      <c r="P532" t="n">
        <v>0</v>
      </c>
      <c r="Q532" t="n">
        <v>0</v>
      </c>
      <c r="R532" s="2" t="inlineStr"/>
    </row>
    <row r="533" ht="15" customHeight="1">
      <c r="A533" t="inlineStr">
        <is>
          <t>A 3842-2023</t>
        </is>
      </c>
      <c r="B533" s="1" t="n">
        <v>44951</v>
      </c>
      <c r="C533" s="1" t="n">
        <v>45886</v>
      </c>
      <c r="D533" t="inlineStr">
        <is>
          <t>JÄMTLANDS LÄN</t>
        </is>
      </c>
      <c r="E533" t="inlineStr">
        <is>
          <t>BERG</t>
        </is>
      </c>
      <c r="G533" t="n">
        <v>0.3</v>
      </c>
      <c r="H533" t="n">
        <v>0</v>
      </c>
      <c r="I533" t="n">
        <v>0</v>
      </c>
      <c r="J533" t="n">
        <v>0</v>
      </c>
      <c r="K533" t="n">
        <v>0</v>
      </c>
      <c r="L533" t="n">
        <v>0</v>
      </c>
      <c r="M533" t="n">
        <v>0</v>
      </c>
      <c r="N533" t="n">
        <v>0</v>
      </c>
      <c r="O533" t="n">
        <v>0</v>
      </c>
      <c r="P533" t="n">
        <v>0</v>
      </c>
      <c r="Q533" t="n">
        <v>0</v>
      </c>
      <c r="R533" s="2" t="inlineStr"/>
    </row>
    <row r="534" ht="15" customHeight="1">
      <c r="A534" t="inlineStr">
        <is>
          <t>A 36718-2025</t>
        </is>
      </c>
      <c r="B534" s="1" t="n">
        <v>45873.47069444445</v>
      </c>
      <c r="C534" s="1" t="n">
        <v>45886</v>
      </c>
      <c r="D534" t="inlineStr">
        <is>
          <t>JÄMTLANDS LÄN</t>
        </is>
      </c>
      <c r="E534" t="inlineStr">
        <is>
          <t>BERG</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14190-2023</t>
        </is>
      </c>
      <c r="B535" s="1" t="n">
        <v>45009.56106481481</v>
      </c>
      <c r="C535" s="1" t="n">
        <v>45886</v>
      </c>
      <c r="D535" t="inlineStr">
        <is>
          <t>JÄMTLANDS LÄN</t>
        </is>
      </c>
      <c r="E535" t="inlineStr">
        <is>
          <t>BERG</t>
        </is>
      </c>
      <c r="G535" t="n">
        <v>3.8</v>
      </c>
      <c r="H535" t="n">
        <v>0</v>
      </c>
      <c r="I535" t="n">
        <v>0</v>
      </c>
      <c r="J535" t="n">
        <v>0</v>
      </c>
      <c r="K535" t="n">
        <v>0</v>
      </c>
      <c r="L535" t="n">
        <v>0</v>
      </c>
      <c r="M535" t="n">
        <v>0</v>
      </c>
      <c r="N535" t="n">
        <v>0</v>
      </c>
      <c r="O535" t="n">
        <v>0</v>
      </c>
      <c r="P535" t="n">
        <v>0</v>
      </c>
      <c r="Q535" t="n">
        <v>0</v>
      </c>
      <c r="R535" s="2" t="inlineStr"/>
    </row>
    <row r="536" ht="15" customHeight="1">
      <c r="A536" t="inlineStr">
        <is>
          <t>A 31015-2025</t>
        </is>
      </c>
      <c r="B536" s="1" t="n">
        <v>45832.51086805556</v>
      </c>
      <c r="C536" s="1" t="n">
        <v>45886</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31017-2025</t>
        </is>
      </c>
      <c r="B537" s="1" t="n">
        <v>45832.51111111111</v>
      </c>
      <c r="C537" s="1" t="n">
        <v>45886</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31136-2025</t>
        </is>
      </c>
      <c r="B538" s="1" t="n">
        <v>45832.63599537037</v>
      </c>
      <c r="C538" s="1" t="n">
        <v>45886</v>
      </c>
      <c r="D538" t="inlineStr">
        <is>
          <t>JÄMTLANDS LÄN</t>
        </is>
      </c>
      <c r="E538" t="inlineStr">
        <is>
          <t>BERG</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31131-2024</t>
        </is>
      </c>
      <c r="B539" s="1" t="n">
        <v>45502</v>
      </c>
      <c r="C539" s="1" t="n">
        <v>45886</v>
      </c>
      <c r="D539" t="inlineStr">
        <is>
          <t>JÄMTLANDS LÄN</t>
        </is>
      </c>
      <c r="E539" t="inlineStr">
        <is>
          <t>BERG</t>
        </is>
      </c>
      <c r="G539" t="n">
        <v>2.1</v>
      </c>
      <c r="H539" t="n">
        <v>0</v>
      </c>
      <c r="I539" t="n">
        <v>0</v>
      </c>
      <c r="J539" t="n">
        <v>0</v>
      </c>
      <c r="K539" t="n">
        <v>0</v>
      </c>
      <c r="L539" t="n">
        <v>0</v>
      </c>
      <c r="M539" t="n">
        <v>0</v>
      </c>
      <c r="N539" t="n">
        <v>0</v>
      </c>
      <c r="O539" t="n">
        <v>0</v>
      </c>
      <c r="P539" t="n">
        <v>0</v>
      </c>
      <c r="Q539" t="n">
        <v>0</v>
      </c>
      <c r="R539" s="2" t="inlineStr"/>
    </row>
    <row r="540" ht="15" customHeight="1">
      <c r="A540" t="inlineStr">
        <is>
          <t>A 31154-2024</t>
        </is>
      </c>
      <c r="B540" s="1" t="n">
        <v>45503.32976851852</v>
      </c>
      <c r="C540" s="1" t="n">
        <v>45886</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31070-2025</t>
        </is>
      </c>
      <c r="B541" s="1" t="n">
        <v>45832.57887731482</v>
      </c>
      <c r="C541" s="1" t="n">
        <v>45886</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36714-2025</t>
        </is>
      </c>
      <c r="B542" s="1" t="n">
        <v>45873.46881944445</v>
      </c>
      <c r="C542" s="1" t="n">
        <v>45886</v>
      </c>
      <c r="D542" t="inlineStr">
        <is>
          <t>JÄMTLANDS LÄN</t>
        </is>
      </c>
      <c r="E542" t="inlineStr">
        <is>
          <t>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31090-2025</t>
        </is>
      </c>
      <c r="B543" s="1" t="n">
        <v>45832.59436342592</v>
      </c>
      <c r="C543" s="1" t="n">
        <v>45886</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31092-2025</t>
        </is>
      </c>
      <c r="B544" s="1" t="n">
        <v>45832.59510416666</v>
      </c>
      <c r="C544" s="1" t="n">
        <v>45886</v>
      </c>
      <c r="D544" t="inlineStr">
        <is>
          <t>JÄMTLANDS LÄN</t>
        </is>
      </c>
      <c r="E544" t="inlineStr">
        <is>
          <t>BERG</t>
        </is>
      </c>
      <c r="F544" t="inlineStr">
        <is>
          <t>SCA</t>
        </is>
      </c>
      <c r="G544" t="n">
        <v>11.9</v>
      </c>
      <c r="H544" t="n">
        <v>0</v>
      </c>
      <c r="I544" t="n">
        <v>0</v>
      </c>
      <c r="J544" t="n">
        <v>0</v>
      </c>
      <c r="K544" t="n">
        <v>0</v>
      </c>
      <c r="L544" t="n">
        <v>0</v>
      </c>
      <c r="M544" t="n">
        <v>0</v>
      </c>
      <c r="N544" t="n">
        <v>0</v>
      </c>
      <c r="O544" t="n">
        <v>0</v>
      </c>
      <c r="P544" t="n">
        <v>0</v>
      </c>
      <c r="Q544" t="n">
        <v>0</v>
      </c>
      <c r="R544" s="2" t="inlineStr"/>
    </row>
    <row r="545" ht="15" customHeight="1">
      <c r="A545" t="inlineStr">
        <is>
          <t>A 36341-2025</t>
        </is>
      </c>
      <c r="B545" s="1" t="n">
        <v>45868</v>
      </c>
      <c r="C545" s="1" t="n">
        <v>45886</v>
      </c>
      <c r="D545" t="inlineStr">
        <is>
          <t>JÄMTLANDS LÄN</t>
        </is>
      </c>
      <c r="E545" t="inlineStr">
        <is>
          <t>BERG</t>
        </is>
      </c>
      <c r="G545" t="n">
        <v>3.1</v>
      </c>
      <c r="H545" t="n">
        <v>0</v>
      </c>
      <c r="I545" t="n">
        <v>0</v>
      </c>
      <c r="J545" t="n">
        <v>0</v>
      </c>
      <c r="K545" t="n">
        <v>0</v>
      </c>
      <c r="L545" t="n">
        <v>0</v>
      </c>
      <c r="M545" t="n">
        <v>0</v>
      </c>
      <c r="N545" t="n">
        <v>0</v>
      </c>
      <c r="O545" t="n">
        <v>0</v>
      </c>
      <c r="P545" t="n">
        <v>0</v>
      </c>
      <c r="Q545" t="n">
        <v>0</v>
      </c>
      <c r="R545" s="2" t="inlineStr"/>
    </row>
    <row r="546" ht="15" customHeight="1">
      <c r="A546" t="inlineStr">
        <is>
          <t>A 37201-2025</t>
        </is>
      </c>
      <c r="B546" s="1" t="n">
        <v>45875.67797453704</v>
      </c>
      <c r="C546" s="1" t="n">
        <v>45886</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37062-2025</t>
        </is>
      </c>
      <c r="B547" s="1" t="n">
        <v>45875.38579861111</v>
      </c>
      <c r="C547" s="1" t="n">
        <v>45886</v>
      </c>
      <c r="D547" t="inlineStr">
        <is>
          <t>JÄMTLANDS LÄN</t>
        </is>
      </c>
      <c r="E547" t="inlineStr">
        <is>
          <t>BERG</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19538-2023</t>
        </is>
      </c>
      <c r="B548" s="1" t="n">
        <v>45050</v>
      </c>
      <c r="C548" s="1" t="n">
        <v>45886</v>
      </c>
      <c r="D548" t="inlineStr">
        <is>
          <t>JÄMTLANDS LÄN</t>
        </is>
      </c>
      <c r="E548" t="inlineStr">
        <is>
          <t>BERG</t>
        </is>
      </c>
      <c r="G548" t="n">
        <v>1.4</v>
      </c>
      <c r="H548" t="n">
        <v>0</v>
      </c>
      <c r="I548" t="n">
        <v>0</v>
      </c>
      <c r="J548" t="n">
        <v>0</v>
      </c>
      <c r="K548" t="n">
        <v>0</v>
      </c>
      <c r="L548" t="n">
        <v>0</v>
      </c>
      <c r="M548" t="n">
        <v>0</v>
      </c>
      <c r="N548" t="n">
        <v>0</v>
      </c>
      <c r="O548" t="n">
        <v>0</v>
      </c>
      <c r="P548" t="n">
        <v>0</v>
      </c>
      <c r="Q548" t="n">
        <v>0</v>
      </c>
      <c r="R548" s="2" t="inlineStr"/>
    </row>
    <row r="549" ht="15" customHeight="1">
      <c r="A549" t="inlineStr">
        <is>
          <t>A 13473-2025</t>
        </is>
      </c>
      <c r="B549" s="1" t="n">
        <v>45736.40671296296</v>
      </c>
      <c r="C549" s="1" t="n">
        <v>45886</v>
      </c>
      <c r="D549" t="inlineStr">
        <is>
          <t>JÄMTLANDS LÄN</t>
        </is>
      </c>
      <c r="E549" t="inlineStr">
        <is>
          <t>BERG</t>
        </is>
      </c>
      <c r="F549" t="inlineStr">
        <is>
          <t>SCA</t>
        </is>
      </c>
      <c r="G549" t="n">
        <v>13.7</v>
      </c>
      <c r="H549" t="n">
        <v>0</v>
      </c>
      <c r="I549" t="n">
        <v>0</v>
      </c>
      <c r="J549" t="n">
        <v>0</v>
      </c>
      <c r="K549" t="n">
        <v>0</v>
      </c>
      <c r="L549" t="n">
        <v>0</v>
      </c>
      <c r="M549" t="n">
        <v>0</v>
      </c>
      <c r="N549" t="n">
        <v>0</v>
      </c>
      <c r="O549" t="n">
        <v>0</v>
      </c>
      <c r="P549" t="n">
        <v>0</v>
      </c>
      <c r="Q549" t="n">
        <v>0</v>
      </c>
      <c r="R549" s="2" t="inlineStr"/>
    </row>
    <row r="550" ht="15" customHeight="1">
      <c r="A550" t="inlineStr">
        <is>
          <t>A 18551-2025</t>
        </is>
      </c>
      <c r="B550" s="1" t="n">
        <v>45763.43650462963</v>
      </c>
      <c r="C550" s="1" t="n">
        <v>45886</v>
      </c>
      <c r="D550" t="inlineStr">
        <is>
          <t>JÄMTLANDS LÄN</t>
        </is>
      </c>
      <c r="E550" t="inlineStr">
        <is>
          <t>BERG</t>
        </is>
      </c>
      <c r="G550" t="n">
        <v>3.5</v>
      </c>
      <c r="H550" t="n">
        <v>0</v>
      </c>
      <c r="I550" t="n">
        <v>0</v>
      </c>
      <c r="J550" t="n">
        <v>0</v>
      </c>
      <c r="K550" t="n">
        <v>0</v>
      </c>
      <c r="L550" t="n">
        <v>0</v>
      </c>
      <c r="M550" t="n">
        <v>0</v>
      </c>
      <c r="N550" t="n">
        <v>0</v>
      </c>
      <c r="O550" t="n">
        <v>0</v>
      </c>
      <c r="P550" t="n">
        <v>0</v>
      </c>
      <c r="Q550" t="n">
        <v>0</v>
      </c>
      <c r="R550" s="2" t="inlineStr"/>
    </row>
    <row r="551" ht="15" customHeight="1">
      <c r="A551" t="inlineStr">
        <is>
          <t>A 7488-2023</t>
        </is>
      </c>
      <c r="B551" s="1" t="n">
        <v>44966</v>
      </c>
      <c r="C551" s="1" t="n">
        <v>45886</v>
      </c>
      <c r="D551" t="inlineStr">
        <is>
          <t>JÄMTLANDS LÄN</t>
        </is>
      </c>
      <c r="E551" t="inlineStr">
        <is>
          <t>BERG</t>
        </is>
      </c>
      <c r="G551" t="n">
        <v>19.5</v>
      </c>
      <c r="H551" t="n">
        <v>0</v>
      </c>
      <c r="I551" t="n">
        <v>0</v>
      </c>
      <c r="J551" t="n">
        <v>0</v>
      </c>
      <c r="K551" t="n">
        <v>0</v>
      </c>
      <c r="L551" t="n">
        <v>0</v>
      </c>
      <c r="M551" t="n">
        <v>0</v>
      </c>
      <c r="N551" t="n">
        <v>0</v>
      </c>
      <c r="O551" t="n">
        <v>0</v>
      </c>
      <c r="P551" t="n">
        <v>0</v>
      </c>
      <c r="Q551" t="n">
        <v>0</v>
      </c>
      <c r="R551" s="2" t="inlineStr"/>
    </row>
    <row r="552" ht="15" customHeight="1">
      <c r="A552" t="inlineStr">
        <is>
          <t>A 37066-2025</t>
        </is>
      </c>
      <c r="B552" s="1" t="n">
        <v>45875.3862962963</v>
      </c>
      <c r="C552" s="1" t="n">
        <v>45886</v>
      </c>
      <c r="D552" t="inlineStr">
        <is>
          <t>JÄMTLANDS LÄN</t>
        </is>
      </c>
      <c r="E552" t="inlineStr">
        <is>
          <t>BERG</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45208-2024</t>
        </is>
      </c>
      <c r="B553" s="1" t="n">
        <v>45575.7077662037</v>
      </c>
      <c r="C553" s="1" t="n">
        <v>45886</v>
      </c>
      <c r="D553" t="inlineStr">
        <is>
          <t>JÄMTLANDS LÄN</t>
        </is>
      </c>
      <c r="E553" t="inlineStr">
        <is>
          <t>BERG</t>
        </is>
      </c>
      <c r="G553" t="n">
        <v>1.9</v>
      </c>
      <c r="H553" t="n">
        <v>0</v>
      </c>
      <c r="I553" t="n">
        <v>0</v>
      </c>
      <c r="J553" t="n">
        <v>0</v>
      </c>
      <c r="K553" t="n">
        <v>0</v>
      </c>
      <c r="L553" t="n">
        <v>0</v>
      </c>
      <c r="M553" t="n">
        <v>0</v>
      </c>
      <c r="N553" t="n">
        <v>0</v>
      </c>
      <c r="O553" t="n">
        <v>0</v>
      </c>
      <c r="P553" t="n">
        <v>0</v>
      </c>
      <c r="Q553" t="n">
        <v>0</v>
      </c>
      <c r="R553" s="2" t="inlineStr"/>
    </row>
    <row r="554" ht="15" customHeight="1">
      <c r="A554" t="inlineStr">
        <is>
          <t>A 16491-2023</t>
        </is>
      </c>
      <c r="B554" s="1" t="n">
        <v>45027</v>
      </c>
      <c r="C554" s="1" t="n">
        <v>45886</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8239-2024</t>
        </is>
      </c>
      <c r="B555" s="1" t="n">
        <v>45351</v>
      </c>
      <c r="C555" s="1" t="n">
        <v>45886</v>
      </c>
      <c r="D555" t="inlineStr">
        <is>
          <t>JÄMTLANDS LÄN</t>
        </is>
      </c>
      <c r="E555" t="inlineStr">
        <is>
          <t>BERG</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64247-2023</t>
        </is>
      </c>
      <c r="B556" s="1" t="n">
        <v>45279.92739583334</v>
      </c>
      <c r="C556" s="1" t="n">
        <v>45886</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31820-2025</t>
        </is>
      </c>
      <c r="B557" s="1" t="n">
        <v>45834.57930555556</v>
      </c>
      <c r="C557" s="1" t="n">
        <v>45886</v>
      </c>
      <c r="D557" t="inlineStr">
        <is>
          <t>JÄMTLANDS LÄN</t>
        </is>
      </c>
      <c r="E557" t="inlineStr">
        <is>
          <t>BERG</t>
        </is>
      </c>
      <c r="G557" t="n">
        <v>13.9</v>
      </c>
      <c r="H557" t="n">
        <v>0</v>
      </c>
      <c r="I557" t="n">
        <v>0</v>
      </c>
      <c r="J557" t="n">
        <v>0</v>
      </c>
      <c r="K557" t="n">
        <v>0</v>
      </c>
      <c r="L557" t="n">
        <v>0</v>
      </c>
      <c r="M557" t="n">
        <v>0</v>
      </c>
      <c r="N557" t="n">
        <v>0</v>
      </c>
      <c r="O557" t="n">
        <v>0</v>
      </c>
      <c r="P557" t="n">
        <v>0</v>
      </c>
      <c r="Q557" t="n">
        <v>0</v>
      </c>
      <c r="R557" s="2" t="inlineStr"/>
    </row>
    <row r="558" ht="15" customHeight="1">
      <c r="A558" t="inlineStr">
        <is>
          <t>A 32654-2025</t>
        </is>
      </c>
      <c r="B558" s="1" t="n">
        <v>45838.6778587963</v>
      </c>
      <c r="C558" s="1" t="n">
        <v>45886</v>
      </c>
      <c r="D558" t="inlineStr">
        <is>
          <t>JÄMTLANDS LÄN</t>
        </is>
      </c>
      <c r="E558" t="inlineStr">
        <is>
          <t>BERG</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62555-2023</t>
        </is>
      </c>
      <c r="B559" s="1" t="n">
        <v>45268.9262962963</v>
      </c>
      <c r="C559" s="1" t="n">
        <v>45886</v>
      </c>
      <c r="D559" t="inlineStr">
        <is>
          <t>JÄMTLANDS LÄN</t>
        </is>
      </c>
      <c r="E559" t="inlineStr">
        <is>
          <t>BERG</t>
        </is>
      </c>
      <c r="G559" t="n">
        <v>5</v>
      </c>
      <c r="H559" t="n">
        <v>0</v>
      </c>
      <c r="I559" t="n">
        <v>0</v>
      </c>
      <c r="J559" t="n">
        <v>0</v>
      </c>
      <c r="K559" t="n">
        <v>0</v>
      </c>
      <c r="L559" t="n">
        <v>0</v>
      </c>
      <c r="M559" t="n">
        <v>0</v>
      </c>
      <c r="N559" t="n">
        <v>0</v>
      </c>
      <c r="O559" t="n">
        <v>0</v>
      </c>
      <c r="P559" t="n">
        <v>0</v>
      </c>
      <c r="Q559" t="n">
        <v>0</v>
      </c>
      <c r="R559" s="2" t="inlineStr"/>
    </row>
    <row r="560" ht="15" customHeight="1">
      <c r="A560" t="inlineStr">
        <is>
          <t>A 41634-2024</t>
        </is>
      </c>
      <c r="B560" s="1" t="n">
        <v>45560.61496527777</v>
      </c>
      <c r="C560" s="1" t="n">
        <v>45886</v>
      </c>
      <c r="D560" t="inlineStr">
        <is>
          <t>JÄMTLANDS LÄN</t>
        </is>
      </c>
      <c r="E560" t="inlineStr">
        <is>
          <t>BERG</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36-2024</t>
        </is>
      </c>
      <c r="B561" s="1" t="n">
        <v>45293</v>
      </c>
      <c r="C561" s="1" t="n">
        <v>45886</v>
      </c>
      <c r="D561" t="inlineStr">
        <is>
          <t>JÄMTLANDS LÄN</t>
        </is>
      </c>
      <c r="E561" t="inlineStr">
        <is>
          <t>BERG</t>
        </is>
      </c>
      <c r="G561" t="n">
        <v>2.6</v>
      </c>
      <c r="H561" t="n">
        <v>0</v>
      </c>
      <c r="I561" t="n">
        <v>0</v>
      </c>
      <c r="J561" t="n">
        <v>0</v>
      </c>
      <c r="K561" t="n">
        <v>0</v>
      </c>
      <c r="L561" t="n">
        <v>0</v>
      </c>
      <c r="M561" t="n">
        <v>0</v>
      </c>
      <c r="N561" t="n">
        <v>0</v>
      </c>
      <c r="O561" t="n">
        <v>0</v>
      </c>
      <c r="P561" t="n">
        <v>0</v>
      </c>
      <c r="Q561" t="n">
        <v>0</v>
      </c>
      <c r="R561" s="2" t="inlineStr"/>
    </row>
    <row r="562" ht="15" customHeight="1">
      <c r="A562" t="inlineStr">
        <is>
          <t>A 592-2021</t>
        </is>
      </c>
      <c r="B562" s="1" t="n">
        <v>44201</v>
      </c>
      <c r="C562" s="1" t="n">
        <v>45886</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31079-2024</t>
        </is>
      </c>
      <c r="B563" s="1" t="n">
        <v>45502.46423611111</v>
      </c>
      <c r="C563" s="1" t="n">
        <v>45886</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37455-2025</t>
        </is>
      </c>
      <c r="B564" s="1" t="n">
        <v>45877.56710648148</v>
      </c>
      <c r="C564" s="1" t="n">
        <v>45886</v>
      </c>
      <c r="D564" t="inlineStr">
        <is>
          <t>JÄMTLANDS LÄN</t>
        </is>
      </c>
      <c r="E564" t="inlineStr">
        <is>
          <t>BERG</t>
        </is>
      </c>
      <c r="G564" t="n">
        <v>5.6</v>
      </c>
      <c r="H564" t="n">
        <v>0</v>
      </c>
      <c r="I564" t="n">
        <v>0</v>
      </c>
      <c r="J564" t="n">
        <v>0</v>
      </c>
      <c r="K564" t="n">
        <v>0</v>
      </c>
      <c r="L564" t="n">
        <v>0</v>
      </c>
      <c r="M564" t="n">
        <v>0</v>
      </c>
      <c r="N564" t="n">
        <v>0</v>
      </c>
      <c r="O564" t="n">
        <v>0</v>
      </c>
      <c r="P564" t="n">
        <v>0</v>
      </c>
      <c r="Q564" t="n">
        <v>0</v>
      </c>
      <c r="R564" s="2" t="inlineStr"/>
    </row>
    <row r="565" ht="15" customHeight="1">
      <c r="A565" t="inlineStr">
        <is>
          <t>A 16002-2025</t>
        </is>
      </c>
      <c r="B565" s="1" t="n">
        <v>45749.59398148148</v>
      </c>
      <c r="C565" s="1" t="n">
        <v>45886</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32160-2025</t>
        </is>
      </c>
      <c r="B566" s="1" t="n">
        <v>45835.54142361111</v>
      </c>
      <c r="C566" s="1" t="n">
        <v>45886</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49413-2024</t>
        </is>
      </c>
      <c r="B567" s="1" t="n">
        <v>45595.69810185185</v>
      </c>
      <c r="C567" s="1" t="n">
        <v>45886</v>
      </c>
      <c r="D567" t="inlineStr">
        <is>
          <t>JÄMTLANDS LÄN</t>
        </is>
      </c>
      <c r="E567" t="inlineStr">
        <is>
          <t>BERG</t>
        </is>
      </c>
      <c r="G567" t="n">
        <v>12.6</v>
      </c>
      <c r="H567" t="n">
        <v>0</v>
      </c>
      <c r="I567" t="n">
        <v>0</v>
      </c>
      <c r="J567" t="n">
        <v>0</v>
      </c>
      <c r="K567" t="n">
        <v>0</v>
      </c>
      <c r="L567" t="n">
        <v>0</v>
      </c>
      <c r="M567" t="n">
        <v>0</v>
      </c>
      <c r="N567" t="n">
        <v>0</v>
      </c>
      <c r="O567" t="n">
        <v>0</v>
      </c>
      <c r="P567" t="n">
        <v>0</v>
      </c>
      <c r="Q567" t="n">
        <v>0</v>
      </c>
      <c r="R567" s="2" t="inlineStr"/>
    </row>
    <row r="568" ht="15" customHeight="1">
      <c r="A568" t="inlineStr">
        <is>
          <t>A 14226-2021</t>
        </is>
      </c>
      <c r="B568" s="1" t="n">
        <v>44277</v>
      </c>
      <c r="C568" s="1" t="n">
        <v>45886</v>
      </c>
      <c r="D568" t="inlineStr">
        <is>
          <t>JÄMTLANDS LÄN</t>
        </is>
      </c>
      <c r="E568" t="inlineStr">
        <is>
          <t>BERG</t>
        </is>
      </c>
      <c r="G568" t="n">
        <v>23.7</v>
      </c>
      <c r="H568" t="n">
        <v>0</v>
      </c>
      <c r="I568" t="n">
        <v>0</v>
      </c>
      <c r="J568" t="n">
        <v>0</v>
      </c>
      <c r="K568" t="n">
        <v>0</v>
      </c>
      <c r="L568" t="n">
        <v>0</v>
      </c>
      <c r="M568" t="n">
        <v>0</v>
      </c>
      <c r="N568" t="n">
        <v>0</v>
      </c>
      <c r="O568" t="n">
        <v>0</v>
      </c>
      <c r="P568" t="n">
        <v>0</v>
      </c>
      <c r="Q568" t="n">
        <v>0</v>
      </c>
      <c r="R568" s="2" t="inlineStr"/>
    </row>
    <row r="569" ht="15" customHeight="1">
      <c r="A569" t="inlineStr">
        <is>
          <t>A 37431-2025</t>
        </is>
      </c>
      <c r="B569" s="1" t="n">
        <v>45877.51092592593</v>
      </c>
      <c r="C569" s="1" t="n">
        <v>45886</v>
      </c>
      <c r="D569" t="inlineStr">
        <is>
          <t>JÄMTLANDS LÄN</t>
        </is>
      </c>
      <c r="E569" t="inlineStr">
        <is>
          <t>BERG</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37463-2025</t>
        </is>
      </c>
      <c r="B570" s="1" t="n">
        <v>45877.5738425926</v>
      </c>
      <c r="C570" s="1" t="n">
        <v>45886</v>
      </c>
      <c r="D570" t="inlineStr">
        <is>
          <t>JÄMTLANDS LÄN</t>
        </is>
      </c>
      <c r="E570" t="inlineStr">
        <is>
          <t>BERG</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32919-2025</t>
        </is>
      </c>
      <c r="B571" s="1" t="n">
        <v>45839.64721064815</v>
      </c>
      <c r="C571" s="1" t="n">
        <v>45886</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33054-2025</t>
        </is>
      </c>
      <c r="B572" s="1" t="n">
        <v>45840.42746527777</v>
      </c>
      <c r="C572" s="1" t="n">
        <v>45886</v>
      </c>
      <c r="D572" t="inlineStr">
        <is>
          <t>JÄMTLANDS LÄN</t>
        </is>
      </c>
      <c r="E572" t="inlineStr">
        <is>
          <t>BERG</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47407-2024</t>
        </is>
      </c>
      <c r="B573" s="1" t="n">
        <v>45587.47828703704</v>
      </c>
      <c r="C573" s="1" t="n">
        <v>45886</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47083-2024</t>
        </is>
      </c>
      <c r="B574" s="1" t="n">
        <v>45586.50625</v>
      </c>
      <c r="C574" s="1" t="n">
        <v>45886</v>
      </c>
      <c r="D574" t="inlineStr">
        <is>
          <t>JÄMTLANDS LÄN</t>
        </is>
      </c>
      <c r="E574" t="inlineStr">
        <is>
          <t>BERG</t>
        </is>
      </c>
      <c r="G574" t="n">
        <v>1.9</v>
      </c>
      <c r="H574" t="n">
        <v>0</v>
      </c>
      <c r="I574" t="n">
        <v>0</v>
      </c>
      <c r="J574" t="n">
        <v>0</v>
      </c>
      <c r="K574" t="n">
        <v>0</v>
      </c>
      <c r="L574" t="n">
        <v>0</v>
      </c>
      <c r="M574" t="n">
        <v>0</v>
      </c>
      <c r="N574" t="n">
        <v>0</v>
      </c>
      <c r="O574" t="n">
        <v>0</v>
      </c>
      <c r="P574" t="n">
        <v>0</v>
      </c>
      <c r="Q574" t="n">
        <v>0</v>
      </c>
      <c r="R574" s="2" t="inlineStr"/>
    </row>
    <row r="575" ht="15" customHeight="1">
      <c r="A575" t="inlineStr">
        <is>
          <t>A 47099-2024</t>
        </is>
      </c>
      <c r="B575" s="1" t="n">
        <v>45586.53743055555</v>
      </c>
      <c r="C575" s="1" t="n">
        <v>45886</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37488-2025</t>
        </is>
      </c>
      <c r="B576" s="1" t="n">
        <v>45877.63582175926</v>
      </c>
      <c r="C576" s="1" t="n">
        <v>45886</v>
      </c>
      <c r="D576" t="inlineStr">
        <is>
          <t>JÄMTLANDS LÄN</t>
        </is>
      </c>
      <c r="E576" t="inlineStr">
        <is>
          <t>BERG</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14930-2025</t>
        </is>
      </c>
      <c r="B577" s="1" t="n">
        <v>45743</v>
      </c>
      <c r="C577" s="1" t="n">
        <v>45886</v>
      </c>
      <c r="D577" t="inlineStr">
        <is>
          <t>JÄMTLANDS LÄN</t>
        </is>
      </c>
      <c r="E577" t="inlineStr">
        <is>
          <t>BERG</t>
        </is>
      </c>
      <c r="F577" t="inlineStr">
        <is>
          <t>SCA</t>
        </is>
      </c>
      <c r="G577" t="n">
        <v>27.8</v>
      </c>
      <c r="H577" t="n">
        <v>0</v>
      </c>
      <c r="I577" t="n">
        <v>0</v>
      </c>
      <c r="J577" t="n">
        <v>0</v>
      </c>
      <c r="K577" t="n">
        <v>0</v>
      </c>
      <c r="L577" t="n">
        <v>0</v>
      </c>
      <c r="M577" t="n">
        <v>0</v>
      </c>
      <c r="N577" t="n">
        <v>0</v>
      </c>
      <c r="O577" t="n">
        <v>0</v>
      </c>
      <c r="P577" t="n">
        <v>0</v>
      </c>
      <c r="Q577" t="n">
        <v>0</v>
      </c>
      <c r="R577" s="2" t="inlineStr"/>
    </row>
    <row r="578" ht="15" customHeight="1">
      <c r="A578" t="inlineStr">
        <is>
          <t>A 28403-2025</t>
        </is>
      </c>
      <c r="B578" s="1" t="n">
        <v>45819</v>
      </c>
      <c r="C578" s="1" t="n">
        <v>45886</v>
      </c>
      <c r="D578" t="inlineStr">
        <is>
          <t>JÄMTLANDS LÄN</t>
        </is>
      </c>
      <c r="E578" t="inlineStr">
        <is>
          <t>BERG</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29756-2024</t>
        </is>
      </c>
      <c r="B579" s="1" t="n">
        <v>45485.43171296296</v>
      </c>
      <c r="C579" s="1" t="n">
        <v>45886</v>
      </c>
      <c r="D579" t="inlineStr">
        <is>
          <t>JÄMTLANDS LÄN</t>
        </is>
      </c>
      <c r="E579" t="inlineStr">
        <is>
          <t>BERG</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32713-2025</t>
        </is>
      </c>
      <c r="B580" s="1" t="n">
        <v>45839.36935185185</v>
      </c>
      <c r="C580" s="1" t="n">
        <v>45886</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38080-2025</t>
        </is>
      </c>
      <c r="B581" s="1" t="n">
        <v>45882.46950231482</v>
      </c>
      <c r="C581" s="1" t="n">
        <v>45886</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38082-2025</t>
        </is>
      </c>
      <c r="B582" s="1" t="n">
        <v>45882.46979166667</v>
      </c>
      <c r="C582" s="1" t="n">
        <v>45886</v>
      </c>
      <c r="D582" t="inlineStr">
        <is>
          <t>JÄMTLANDS LÄN</t>
        </is>
      </c>
      <c r="E582" t="inlineStr">
        <is>
          <t>BERG</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33753-2025</t>
        </is>
      </c>
      <c r="B583" s="1" t="n">
        <v>45842.37199074074</v>
      </c>
      <c r="C583" s="1" t="n">
        <v>45886</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44907.9645949074</v>
      </c>
      <c r="C584" s="1" t="n">
        <v>45886</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45886</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57905-2024</t>
        </is>
      </c>
      <c r="B586" s="1" t="n">
        <v>45631.48989583334</v>
      </c>
      <c r="C586" s="1" t="n">
        <v>45886</v>
      </c>
      <c r="D586" t="inlineStr">
        <is>
          <t>JÄMTLANDS LÄN</t>
        </is>
      </c>
      <c r="E586" t="inlineStr">
        <is>
          <t>BERG</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9482-2024</t>
        </is>
      </c>
      <c r="B587" s="1" t="n">
        <v>45359.57847222222</v>
      </c>
      <c r="C587" s="1" t="n">
        <v>45886</v>
      </c>
      <c r="D587" t="inlineStr">
        <is>
          <t>JÄMTLANDS LÄN</t>
        </is>
      </c>
      <c r="E587" t="inlineStr">
        <is>
          <t>BERG</t>
        </is>
      </c>
      <c r="G587" t="n">
        <v>3</v>
      </c>
      <c r="H587" t="n">
        <v>0</v>
      </c>
      <c r="I587" t="n">
        <v>0</v>
      </c>
      <c r="J587" t="n">
        <v>0</v>
      </c>
      <c r="K587" t="n">
        <v>0</v>
      </c>
      <c r="L587" t="n">
        <v>0</v>
      </c>
      <c r="M587" t="n">
        <v>0</v>
      </c>
      <c r="N587" t="n">
        <v>0</v>
      </c>
      <c r="O587" t="n">
        <v>0</v>
      </c>
      <c r="P587" t="n">
        <v>0</v>
      </c>
      <c r="Q587" t="n">
        <v>0</v>
      </c>
      <c r="R587" s="2" t="inlineStr"/>
    </row>
    <row r="588" ht="15" customHeight="1">
      <c r="A588" t="inlineStr">
        <is>
          <t>A 33748-2025</t>
        </is>
      </c>
      <c r="B588" s="1" t="n">
        <v>45842.35685185185</v>
      </c>
      <c r="C588" s="1" t="n">
        <v>45886</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26959-2022</t>
        </is>
      </c>
      <c r="B589" s="1" t="n">
        <v>44740.66048611111</v>
      </c>
      <c r="C589" s="1" t="n">
        <v>45886</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3173-2025</t>
        </is>
      </c>
      <c r="B590" s="1" t="n">
        <v>45679.38309027778</v>
      </c>
      <c r="C590" s="1" t="n">
        <v>45886</v>
      </c>
      <c r="D590" t="inlineStr">
        <is>
          <t>JÄMTLANDS LÄN</t>
        </is>
      </c>
      <c r="E590" t="inlineStr">
        <is>
          <t>BERG</t>
        </is>
      </c>
      <c r="G590" t="n">
        <v>8.9</v>
      </c>
      <c r="H590" t="n">
        <v>0</v>
      </c>
      <c r="I590" t="n">
        <v>0</v>
      </c>
      <c r="J590" t="n">
        <v>0</v>
      </c>
      <c r="K590" t="n">
        <v>0</v>
      </c>
      <c r="L590" t="n">
        <v>0</v>
      </c>
      <c r="M590" t="n">
        <v>0</v>
      </c>
      <c r="N590" t="n">
        <v>0</v>
      </c>
      <c r="O590" t="n">
        <v>0</v>
      </c>
      <c r="P590" t="n">
        <v>0</v>
      </c>
      <c r="Q590" t="n">
        <v>0</v>
      </c>
      <c r="R590" s="2" t="inlineStr"/>
    </row>
    <row r="591" ht="15" customHeight="1">
      <c r="A591" t="inlineStr">
        <is>
          <t>A 38388-2025</t>
        </is>
      </c>
      <c r="B591" s="1" t="n">
        <v>45883.57467592593</v>
      </c>
      <c r="C591" s="1" t="n">
        <v>45886</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44997-2021</t>
        </is>
      </c>
      <c r="B592" s="1" t="n">
        <v>44438</v>
      </c>
      <c r="C592" s="1" t="n">
        <v>45886</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39785-2024</t>
        </is>
      </c>
      <c r="B593" s="1" t="n">
        <v>45553.29927083333</v>
      </c>
      <c r="C593" s="1" t="n">
        <v>45886</v>
      </c>
      <c r="D593" t="inlineStr">
        <is>
          <t>JÄMTLANDS LÄN</t>
        </is>
      </c>
      <c r="E593" t="inlineStr">
        <is>
          <t>BERG</t>
        </is>
      </c>
      <c r="G593" t="n">
        <v>16.1</v>
      </c>
      <c r="H593" t="n">
        <v>0</v>
      </c>
      <c r="I593" t="n">
        <v>0</v>
      </c>
      <c r="J593" t="n">
        <v>0</v>
      </c>
      <c r="K593" t="n">
        <v>0</v>
      </c>
      <c r="L593" t="n">
        <v>0</v>
      </c>
      <c r="M593" t="n">
        <v>0</v>
      </c>
      <c r="N593" t="n">
        <v>0</v>
      </c>
      <c r="O593" t="n">
        <v>0</v>
      </c>
      <c r="P593" t="n">
        <v>0</v>
      </c>
      <c r="Q593" t="n">
        <v>0</v>
      </c>
      <c r="R593" s="2" t="inlineStr"/>
    </row>
    <row r="594" ht="15" customHeight="1">
      <c r="A594" t="inlineStr">
        <is>
          <t>A 26918-2024</t>
        </is>
      </c>
      <c r="B594" s="1" t="n">
        <v>45470</v>
      </c>
      <c r="C594" s="1" t="n">
        <v>45886</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19429-2025</t>
        </is>
      </c>
      <c r="B595" s="1" t="n">
        <v>45769.8025462963</v>
      </c>
      <c r="C595" s="1" t="n">
        <v>45886</v>
      </c>
      <c r="D595" t="inlineStr">
        <is>
          <t>JÄMTLANDS LÄN</t>
        </is>
      </c>
      <c r="E595" t="inlineStr">
        <is>
          <t>BERG</t>
        </is>
      </c>
      <c r="G595" t="n">
        <v>2</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45886</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13805-2024</t>
        </is>
      </c>
      <c r="B597" s="1" t="n">
        <v>45390</v>
      </c>
      <c r="C597" s="1" t="n">
        <v>45886</v>
      </c>
      <c r="D597" t="inlineStr">
        <is>
          <t>JÄMTLANDS LÄN</t>
        </is>
      </c>
      <c r="E597" t="inlineStr">
        <is>
          <t>BERG</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62104-2023</t>
        </is>
      </c>
      <c r="B598" s="1" t="n">
        <v>45266.95052083334</v>
      </c>
      <c r="C598" s="1" t="n">
        <v>45886</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62105-2023</t>
        </is>
      </c>
      <c r="B599" s="1" t="n">
        <v>45266.95074074074</v>
      </c>
      <c r="C599" s="1" t="n">
        <v>45886</v>
      </c>
      <c r="D599" t="inlineStr">
        <is>
          <t>JÄMTLANDS LÄN</t>
        </is>
      </c>
      <c r="E599" t="inlineStr">
        <is>
          <t>BERG</t>
        </is>
      </c>
      <c r="F599" t="inlineStr">
        <is>
          <t>SCA</t>
        </is>
      </c>
      <c r="G599" t="n">
        <v>13.1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45886</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38428-2025</t>
        </is>
      </c>
      <c r="B601" s="1" t="n">
        <v>45883.63628472222</v>
      </c>
      <c r="C601" s="1" t="n">
        <v>45886</v>
      </c>
      <c r="D601" t="inlineStr">
        <is>
          <t>JÄMTLANDS LÄN</t>
        </is>
      </c>
      <c r="E601" t="inlineStr">
        <is>
          <t>BERG</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37589-2021</t>
        </is>
      </c>
      <c r="B602" s="1" t="n">
        <v>44399</v>
      </c>
      <c r="C602" s="1" t="n">
        <v>45886</v>
      </c>
      <c r="D602" t="inlineStr">
        <is>
          <t>JÄMTLANDS LÄN</t>
        </is>
      </c>
      <c r="E602" t="inlineStr">
        <is>
          <t>BERG</t>
        </is>
      </c>
      <c r="G602" t="n">
        <v>8.6</v>
      </c>
      <c r="H602" t="n">
        <v>0</v>
      </c>
      <c r="I602" t="n">
        <v>0</v>
      </c>
      <c r="J602" t="n">
        <v>0</v>
      </c>
      <c r="K602" t="n">
        <v>0</v>
      </c>
      <c r="L602" t="n">
        <v>0</v>
      </c>
      <c r="M602" t="n">
        <v>0</v>
      </c>
      <c r="N602" t="n">
        <v>0</v>
      </c>
      <c r="O602" t="n">
        <v>0</v>
      </c>
      <c r="P602" t="n">
        <v>0</v>
      </c>
      <c r="Q602" t="n">
        <v>0</v>
      </c>
      <c r="R602" s="2" t="inlineStr"/>
    </row>
    <row r="603" ht="15" customHeight="1">
      <c r="A603" t="inlineStr">
        <is>
          <t>A 1657-2021</t>
        </is>
      </c>
      <c r="B603" s="1" t="n">
        <v>44209</v>
      </c>
      <c r="C603" s="1" t="n">
        <v>45886</v>
      </c>
      <c r="D603" t="inlineStr">
        <is>
          <t>JÄMTLANDS LÄN</t>
        </is>
      </c>
      <c r="E603" t="inlineStr">
        <is>
          <t>BERG</t>
        </is>
      </c>
      <c r="G603" t="n">
        <v>0.1</v>
      </c>
      <c r="H603" t="n">
        <v>0</v>
      </c>
      <c r="I603" t="n">
        <v>0</v>
      </c>
      <c r="J603" t="n">
        <v>0</v>
      </c>
      <c r="K603" t="n">
        <v>0</v>
      </c>
      <c r="L603" t="n">
        <v>0</v>
      </c>
      <c r="M603" t="n">
        <v>0</v>
      </c>
      <c r="N603" t="n">
        <v>0</v>
      </c>
      <c r="O603" t="n">
        <v>0</v>
      </c>
      <c r="P603" t="n">
        <v>0</v>
      </c>
      <c r="Q603" t="n">
        <v>0</v>
      </c>
      <c r="R603" s="2" t="inlineStr"/>
    </row>
    <row r="604" ht="15" customHeight="1">
      <c r="A604" t="inlineStr">
        <is>
          <t>A 33750-2025</t>
        </is>
      </c>
      <c r="B604" s="1" t="n">
        <v>45842.36243055556</v>
      </c>
      <c r="C604" s="1" t="n">
        <v>45886</v>
      </c>
      <c r="D604" t="inlineStr">
        <is>
          <t>JÄMTLANDS LÄN</t>
        </is>
      </c>
      <c r="E604" t="inlineStr">
        <is>
          <t>BERG</t>
        </is>
      </c>
      <c r="G604" t="n">
        <v>0.9</v>
      </c>
      <c r="H604" t="n">
        <v>0</v>
      </c>
      <c r="I604" t="n">
        <v>0</v>
      </c>
      <c r="J604" t="n">
        <v>0</v>
      </c>
      <c r="K604" t="n">
        <v>0</v>
      </c>
      <c r="L604" t="n">
        <v>0</v>
      </c>
      <c r="M604" t="n">
        <v>0</v>
      </c>
      <c r="N604" t="n">
        <v>0</v>
      </c>
      <c r="O604" t="n">
        <v>0</v>
      </c>
      <c r="P604" t="n">
        <v>0</v>
      </c>
      <c r="Q604" t="n">
        <v>0</v>
      </c>
      <c r="R604" s="2" t="inlineStr"/>
    </row>
    <row r="605" ht="15" customHeight="1">
      <c r="A605" t="inlineStr">
        <is>
          <t>A 32147-2024</t>
        </is>
      </c>
      <c r="B605" s="1" t="n">
        <v>45511.55600694445</v>
      </c>
      <c r="C605" s="1" t="n">
        <v>45886</v>
      </c>
      <c r="D605" t="inlineStr">
        <is>
          <t>JÄMTLANDS LÄN</t>
        </is>
      </c>
      <c r="E605" t="inlineStr">
        <is>
          <t>BERG</t>
        </is>
      </c>
      <c r="G605" t="n">
        <v>2.3</v>
      </c>
      <c r="H605" t="n">
        <v>0</v>
      </c>
      <c r="I605" t="n">
        <v>0</v>
      </c>
      <c r="J605" t="n">
        <v>0</v>
      </c>
      <c r="K605" t="n">
        <v>0</v>
      </c>
      <c r="L605" t="n">
        <v>0</v>
      </c>
      <c r="M605" t="n">
        <v>0</v>
      </c>
      <c r="N605" t="n">
        <v>0</v>
      </c>
      <c r="O605" t="n">
        <v>0</v>
      </c>
      <c r="P605" t="n">
        <v>0</v>
      </c>
      <c r="Q605" t="n">
        <v>0</v>
      </c>
      <c r="R605" s="2" t="inlineStr"/>
    </row>
    <row r="606" ht="15" customHeight="1">
      <c r="A606" t="inlineStr">
        <is>
          <t>A 32156-2024</t>
        </is>
      </c>
      <c r="B606" s="1" t="n">
        <v>45511</v>
      </c>
      <c r="C606" s="1" t="n">
        <v>45886</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62360-2023</t>
        </is>
      </c>
      <c r="B607" s="1" t="n">
        <v>45267</v>
      </c>
      <c r="C607" s="1" t="n">
        <v>45886</v>
      </c>
      <c r="D607" t="inlineStr">
        <is>
          <t>JÄMTLANDS LÄN</t>
        </is>
      </c>
      <c r="E607" t="inlineStr">
        <is>
          <t>BERG</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18685-2024</t>
        </is>
      </c>
      <c r="B608" s="1" t="n">
        <v>45426.38322916667</v>
      </c>
      <c r="C608" s="1" t="n">
        <v>45886</v>
      </c>
      <c r="D608" t="inlineStr">
        <is>
          <t>JÄMTLANDS LÄN</t>
        </is>
      </c>
      <c r="E608" t="inlineStr">
        <is>
          <t>BERG</t>
        </is>
      </c>
      <c r="G608" t="n">
        <v>5.1</v>
      </c>
      <c r="H608" t="n">
        <v>0</v>
      </c>
      <c r="I608" t="n">
        <v>0</v>
      </c>
      <c r="J608" t="n">
        <v>0</v>
      </c>
      <c r="K608" t="n">
        <v>0</v>
      </c>
      <c r="L608" t="n">
        <v>0</v>
      </c>
      <c r="M608" t="n">
        <v>0</v>
      </c>
      <c r="N608" t="n">
        <v>0</v>
      </c>
      <c r="O608" t="n">
        <v>0</v>
      </c>
      <c r="P608" t="n">
        <v>0</v>
      </c>
      <c r="Q608" t="n">
        <v>0</v>
      </c>
      <c r="R608" s="2" t="inlineStr"/>
    </row>
    <row r="609" ht="15" customHeight="1">
      <c r="A609" t="inlineStr">
        <is>
          <t>A 11704-2023</t>
        </is>
      </c>
      <c r="B609" s="1" t="n">
        <v>44994.54274305556</v>
      </c>
      <c r="C609" s="1" t="n">
        <v>45886</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39103-2024</t>
        </is>
      </c>
      <c r="B610" s="1" t="n">
        <v>45548.57025462963</v>
      </c>
      <c r="C610" s="1" t="n">
        <v>45886</v>
      </c>
      <c r="D610" t="inlineStr">
        <is>
          <t>JÄMTLANDS LÄN</t>
        </is>
      </c>
      <c r="E610" t="inlineStr">
        <is>
          <t>BERG</t>
        </is>
      </c>
      <c r="G610" t="n">
        <v>38.4</v>
      </c>
      <c r="H610" t="n">
        <v>0</v>
      </c>
      <c r="I610" t="n">
        <v>0</v>
      </c>
      <c r="J610" t="n">
        <v>0</v>
      </c>
      <c r="K610" t="n">
        <v>0</v>
      </c>
      <c r="L610" t="n">
        <v>0</v>
      </c>
      <c r="M610" t="n">
        <v>0</v>
      </c>
      <c r="N610" t="n">
        <v>0</v>
      </c>
      <c r="O610" t="n">
        <v>0</v>
      </c>
      <c r="P610" t="n">
        <v>0</v>
      </c>
      <c r="Q610" t="n">
        <v>0</v>
      </c>
      <c r="R610" s="2" t="inlineStr"/>
    </row>
    <row r="611" ht="15" customHeight="1">
      <c r="A611" t="inlineStr">
        <is>
          <t>A 41782-2024</t>
        </is>
      </c>
      <c r="B611" s="1" t="n">
        <v>45561</v>
      </c>
      <c r="C611" s="1" t="n">
        <v>45886</v>
      </c>
      <c r="D611" t="inlineStr">
        <is>
          <t>JÄMTLANDS LÄN</t>
        </is>
      </c>
      <c r="E611" t="inlineStr">
        <is>
          <t>BERG</t>
        </is>
      </c>
      <c r="F611" t="inlineStr">
        <is>
          <t>SCA</t>
        </is>
      </c>
      <c r="G611" t="n">
        <v>0.1</v>
      </c>
      <c r="H611" t="n">
        <v>0</v>
      </c>
      <c r="I611" t="n">
        <v>0</v>
      </c>
      <c r="J611" t="n">
        <v>0</v>
      </c>
      <c r="K611" t="n">
        <v>0</v>
      </c>
      <c r="L611" t="n">
        <v>0</v>
      </c>
      <c r="M611" t="n">
        <v>0</v>
      </c>
      <c r="N611" t="n">
        <v>0</v>
      </c>
      <c r="O611" t="n">
        <v>0</v>
      </c>
      <c r="P611" t="n">
        <v>0</v>
      </c>
      <c r="Q611" t="n">
        <v>0</v>
      </c>
      <c r="R611" s="2" t="inlineStr"/>
    </row>
    <row r="612" ht="15" customHeight="1">
      <c r="A612" t="inlineStr">
        <is>
          <t>A 16246-2024</t>
        </is>
      </c>
      <c r="B612" s="1" t="n">
        <v>45407.05788194444</v>
      </c>
      <c r="C612" s="1" t="n">
        <v>45886</v>
      </c>
      <c r="D612" t="inlineStr">
        <is>
          <t>JÄMTLANDS LÄN</t>
        </is>
      </c>
      <c r="E612" t="inlineStr">
        <is>
          <t>BERG</t>
        </is>
      </c>
      <c r="F612" t="inlineStr">
        <is>
          <t>SCA</t>
        </is>
      </c>
      <c r="G612" t="n">
        <v>19.1</v>
      </c>
      <c r="H612" t="n">
        <v>0</v>
      </c>
      <c r="I612" t="n">
        <v>0</v>
      </c>
      <c r="J612" t="n">
        <v>0</v>
      </c>
      <c r="K612" t="n">
        <v>0</v>
      </c>
      <c r="L612" t="n">
        <v>0</v>
      </c>
      <c r="M612" t="n">
        <v>0</v>
      </c>
      <c r="N612" t="n">
        <v>0</v>
      </c>
      <c r="O612" t="n">
        <v>0</v>
      </c>
      <c r="P612" t="n">
        <v>0</v>
      </c>
      <c r="Q612" t="n">
        <v>0</v>
      </c>
      <c r="R612" s="2" t="inlineStr"/>
    </row>
    <row r="613" ht="15" customHeight="1">
      <c r="A613" t="inlineStr">
        <is>
          <t>A 14728-2025</t>
        </is>
      </c>
      <c r="B613" s="1" t="n">
        <v>45742.63574074074</v>
      </c>
      <c r="C613" s="1" t="n">
        <v>45886</v>
      </c>
      <c r="D613" t="inlineStr">
        <is>
          <t>JÄMTLANDS LÄN</t>
        </is>
      </c>
      <c r="E613" t="inlineStr">
        <is>
          <t>BERG</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12499-2021</t>
        </is>
      </c>
      <c r="B614" s="1" t="n">
        <v>44267</v>
      </c>
      <c r="C614" s="1" t="n">
        <v>45886</v>
      </c>
      <c r="D614" t="inlineStr">
        <is>
          <t>JÄMTLANDS LÄN</t>
        </is>
      </c>
      <c r="E614" t="inlineStr">
        <is>
          <t>BERG</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12611-2025</t>
        </is>
      </c>
      <c r="B615" s="1" t="n">
        <v>45733.33921296296</v>
      </c>
      <c r="C615" s="1" t="n">
        <v>45886</v>
      </c>
      <c r="D615" t="inlineStr">
        <is>
          <t>JÄMTLANDS LÄN</t>
        </is>
      </c>
      <c r="E615" t="inlineStr">
        <is>
          <t>BERG</t>
        </is>
      </c>
      <c r="G615" t="n">
        <v>7.7</v>
      </c>
      <c r="H615" t="n">
        <v>0</v>
      </c>
      <c r="I615" t="n">
        <v>0</v>
      </c>
      <c r="J615" t="n">
        <v>0</v>
      </c>
      <c r="K615" t="n">
        <v>0</v>
      </c>
      <c r="L615" t="n">
        <v>0</v>
      </c>
      <c r="M615" t="n">
        <v>0</v>
      </c>
      <c r="N615" t="n">
        <v>0</v>
      </c>
      <c r="O615" t="n">
        <v>0</v>
      </c>
      <c r="P615" t="n">
        <v>0</v>
      </c>
      <c r="Q615" t="n">
        <v>0</v>
      </c>
      <c r="R615" s="2" t="inlineStr"/>
    </row>
    <row r="616" ht="15" customHeight="1">
      <c r="A616" t="inlineStr">
        <is>
          <t>A 45206-2024</t>
        </is>
      </c>
      <c r="B616" s="1" t="n">
        <v>45575.69966435185</v>
      </c>
      <c r="C616" s="1" t="n">
        <v>45886</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34225-2024</t>
        </is>
      </c>
      <c r="B617" s="1" t="n">
        <v>45524.55398148148</v>
      </c>
      <c r="C617" s="1" t="n">
        <v>45886</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14153-2023</t>
        </is>
      </c>
      <c r="B618" s="1" t="n">
        <v>45008</v>
      </c>
      <c r="C618" s="1" t="n">
        <v>45886</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41636-2024</t>
        </is>
      </c>
      <c r="B619" s="1" t="n">
        <v>45560.61606481481</v>
      </c>
      <c r="C619" s="1" t="n">
        <v>45886</v>
      </c>
      <c r="D619" t="inlineStr">
        <is>
          <t>JÄMTLANDS LÄN</t>
        </is>
      </c>
      <c r="E619" t="inlineStr">
        <is>
          <t>BERG</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18032-2024</t>
        </is>
      </c>
      <c r="B620" s="1" t="n">
        <v>45420.34979166667</v>
      </c>
      <c r="C620" s="1" t="n">
        <v>45886</v>
      </c>
      <c r="D620" t="inlineStr">
        <is>
          <t>JÄMTLANDS LÄN</t>
        </is>
      </c>
      <c r="E620" t="inlineStr">
        <is>
          <t>BERG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14772-2021</t>
        </is>
      </c>
      <c r="B621" s="1" t="n">
        <v>44280.62068287037</v>
      </c>
      <c r="C621" s="1" t="n">
        <v>45886</v>
      </c>
      <c r="D621" t="inlineStr">
        <is>
          <t>JÄMTLANDS LÄN</t>
        </is>
      </c>
      <c r="E621" t="inlineStr">
        <is>
          <t>BERG</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62340-2020</t>
        </is>
      </c>
      <c r="B622" s="1" t="n">
        <v>44158</v>
      </c>
      <c r="C622" s="1" t="n">
        <v>45886</v>
      </c>
      <c r="D622" t="inlineStr">
        <is>
          <t>JÄMTLANDS LÄN</t>
        </is>
      </c>
      <c r="E622" t="inlineStr">
        <is>
          <t>BERG</t>
        </is>
      </c>
      <c r="G622" t="n">
        <v>2.5</v>
      </c>
      <c r="H622" t="n">
        <v>0</v>
      </c>
      <c r="I622" t="n">
        <v>0</v>
      </c>
      <c r="J622" t="n">
        <v>0</v>
      </c>
      <c r="K622" t="n">
        <v>0</v>
      </c>
      <c r="L622" t="n">
        <v>0</v>
      </c>
      <c r="M622" t="n">
        <v>0</v>
      </c>
      <c r="N622" t="n">
        <v>0</v>
      </c>
      <c r="O622" t="n">
        <v>0</v>
      </c>
      <c r="P622" t="n">
        <v>0</v>
      </c>
      <c r="Q622" t="n">
        <v>0</v>
      </c>
      <c r="R622" s="2" t="inlineStr"/>
    </row>
    <row r="623" ht="15" customHeight="1">
      <c r="A623" t="inlineStr">
        <is>
          <t>A 22947-2022</t>
        </is>
      </c>
      <c r="B623" s="1" t="n">
        <v>44715.92443287037</v>
      </c>
      <c r="C623" s="1" t="n">
        <v>45886</v>
      </c>
      <c r="D623" t="inlineStr">
        <is>
          <t>JÄMTLANDS LÄN</t>
        </is>
      </c>
      <c r="E623" t="inlineStr">
        <is>
          <t>BERG</t>
        </is>
      </c>
      <c r="G623" t="n">
        <v>1</v>
      </c>
      <c r="H623" t="n">
        <v>0</v>
      </c>
      <c r="I623" t="n">
        <v>0</v>
      </c>
      <c r="J623" t="n">
        <v>0</v>
      </c>
      <c r="K623" t="n">
        <v>0</v>
      </c>
      <c r="L623" t="n">
        <v>0</v>
      </c>
      <c r="M623" t="n">
        <v>0</v>
      </c>
      <c r="N623" t="n">
        <v>0</v>
      </c>
      <c r="O623" t="n">
        <v>0</v>
      </c>
      <c r="P623" t="n">
        <v>0</v>
      </c>
      <c r="Q623" t="n">
        <v>0</v>
      </c>
      <c r="R623" s="2" t="inlineStr"/>
    </row>
    <row r="624" ht="15" customHeight="1">
      <c r="A624" t="inlineStr">
        <is>
          <t>A 149-2024</t>
        </is>
      </c>
      <c r="B624" s="1" t="n">
        <v>45294</v>
      </c>
      <c r="C624" s="1" t="n">
        <v>45886</v>
      </c>
      <c r="D624" t="inlineStr">
        <is>
          <t>JÄMTLANDS LÄN</t>
        </is>
      </c>
      <c r="E624" t="inlineStr">
        <is>
          <t>BERG</t>
        </is>
      </c>
      <c r="F624" t="inlineStr">
        <is>
          <t>Kyrkan</t>
        </is>
      </c>
      <c r="G624" t="n">
        <v>3.7</v>
      </c>
      <c r="H624" t="n">
        <v>0</v>
      </c>
      <c r="I624" t="n">
        <v>0</v>
      </c>
      <c r="J624" t="n">
        <v>0</v>
      </c>
      <c r="K624" t="n">
        <v>0</v>
      </c>
      <c r="L624" t="n">
        <v>0</v>
      </c>
      <c r="M624" t="n">
        <v>0</v>
      </c>
      <c r="N624" t="n">
        <v>0</v>
      </c>
      <c r="O624" t="n">
        <v>0</v>
      </c>
      <c r="P624" t="n">
        <v>0</v>
      </c>
      <c r="Q624" t="n">
        <v>0</v>
      </c>
      <c r="R624" s="2" t="inlineStr"/>
    </row>
    <row r="625" ht="15" customHeight="1">
      <c r="A625" t="inlineStr">
        <is>
          <t>A 52774-2023</t>
        </is>
      </c>
      <c r="B625" s="1" t="n">
        <v>45219</v>
      </c>
      <c r="C625" s="1" t="n">
        <v>45886</v>
      </c>
      <c r="D625" t="inlineStr">
        <is>
          <t>JÄMTLANDS LÄN</t>
        </is>
      </c>
      <c r="E625" t="inlineStr">
        <is>
          <t>BERG</t>
        </is>
      </c>
      <c r="G625" t="n">
        <v>1.1</v>
      </c>
      <c r="H625" t="n">
        <v>0</v>
      </c>
      <c r="I625" t="n">
        <v>0</v>
      </c>
      <c r="J625" t="n">
        <v>0</v>
      </c>
      <c r="K625" t="n">
        <v>0</v>
      </c>
      <c r="L625" t="n">
        <v>0</v>
      </c>
      <c r="M625" t="n">
        <v>0</v>
      </c>
      <c r="N625" t="n">
        <v>0</v>
      </c>
      <c r="O625" t="n">
        <v>0</v>
      </c>
      <c r="P625" t="n">
        <v>0</v>
      </c>
      <c r="Q625" t="n">
        <v>0</v>
      </c>
      <c r="R625" s="2" t="inlineStr"/>
    </row>
    <row r="626" ht="15" customHeight="1">
      <c r="A626" t="inlineStr">
        <is>
          <t>A 46902-2024</t>
        </is>
      </c>
      <c r="B626" s="1" t="n">
        <v>45583.69847222222</v>
      </c>
      <c r="C626" s="1" t="n">
        <v>45886</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45347-2023</t>
        </is>
      </c>
      <c r="B627" s="1" t="n">
        <v>45191</v>
      </c>
      <c r="C627" s="1" t="n">
        <v>45886</v>
      </c>
      <c r="D627" t="inlineStr">
        <is>
          <t>JÄMTLANDS LÄN</t>
        </is>
      </c>
      <c r="E627" t="inlineStr">
        <is>
          <t>BERG</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36079-2024</t>
        </is>
      </c>
      <c r="B628" s="1" t="n">
        <v>45533.66685185185</v>
      </c>
      <c r="C628" s="1" t="n">
        <v>45886</v>
      </c>
      <c r="D628" t="inlineStr">
        <is>
          <t>JÄMTLANDS LÄN</t>
        </is>
      </c>
      <c r="E628" t="inlineStr">
        <is>
          <t>BERG</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51172-2024</t>
        </is>
      </c>
      <c r="B629" s="1" t="n">
        <v>45603.59056712963</v>
      </c>
      <c r="C629" s="1" t="n">
        <v>45886</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9077-2023</t>
        </is>
      </c>
      <c r="B630" s="1" t="n">
        <v>44979</v>
      </c>
      <c r="C630" s="1" t="n">
        <v>45886</v>
      </c>
      <c r="D630" t="inlineStr">
        <is>
          <t>JÄMTLANDS LÄN</t>
        </is>
      </c>
      <c r="E630" t="inlineStr">
        <is>
          <t>BERG</t>
        </is>
      </c>
      <c r="G630" t="n">
        <v>3.6</v>
      </c>
      <c r="H630" t="n">
        <v>0</v>
      </c>
      <c r="I630" t="n">
        <v>0</v>
      </c>
      <c r="J630" t="n">
        <v>0</v>
      </c>
      <c r="K630" t="n">
        <v>0</v>
      </c>
      <c r="L630" t="n">
        <v>0</v>
      </c>
      <c r="M630" t="n">
        <v>0</v>
      </c>
      <c r="N630" t="n">
        <v>0</v>
      </c>
      <c r="O630" t="n">
        <v>0</v>
      </c>
      <c r="P630" t="n">
        <v>0</v>
      </c>
      <c r="Q630" t="n">
        <v>0</v>
      </c>
      <c r="R630" s="2" t="inlineStr"/>
    </row>
    <row r="631" ht="15" customHeight="1">
      <c r="A631" t="inlineStr">
        <is>
          <t>A 60028-2022</t>
        </is>
      </c>
      <c r="B631" s="1" t="n">
        <v>44902</v>
      </c>
      <c r="C631" s="1" t="n">
        <v>45886</v>
      </c>
      <c r="D631" t="inlineStr">
        <is>
          <t>JÄMTLANDS LÄN</t>
        </is>
      </c>
      <c r="E631" t="inlineStr">
        <is>
          <t>BERG</t>
        </is>
      </c>
      <c r="G631" t="n">
        <v>20</v>
      </c>
      <c r="H631" t="n">
        <v>0</v>
      </c>
      <c r="I631" t="n">
        <v>0</v>
      </c>
      <c r="J631" t="n">
        <v>0</v>
      </c>
      <c r="K631" t="n">
        <v>0</v>
      </c>
      <c r="L631" t="n">
        <v>0</v>
      </c>
      <c r="M631" t="n">
        <v>0</v>
      </c>
      <c r="N631" t="n">
        <v>0</v>
      </c>
      <c r="O631" t="n">
        <v>0</v>
      </c>
      <c r="P631" t="n">
        <v>0</v>
      </c>
      <c r="Q631" t="n">
        <v>0</v>
      </c>
      <c r="R631" s="2" t="inlineStr"/>
    </row>
    <row r="632" ht="15" customHeight="1">
      <c r="A632" t="inlineStr">
        <is>
          <t>A 12342-2023</t>
        </is>
      </c>
      <c r="B632" s="1" t="n">
        <v>44998</v>
      </c>
      <c r="C632" s="1" t="n">
        <v>45886</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46298-2024</t>
        </is>
      </c>
      <c r="B633" s="1" t="n">
        <v>45581.67739583334</v>
      </c>
      <c r="C633" s="1" t="n">
        <v>45886</v>
      </c>
      <c r="D633" t="inlineStr">
        <is>
          <t>JÄMTLANDS LÄN</t>
        </is>
      </c>
      <c r="E633" t="inlineStr">
        <is>
          <t>BERG</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12774-2023</t>
        </is>
      </c>
      <c r="B634" s="1" t="n">
        <v>45001</v>
      </c>
      <c r="C634" s="1" t="n">
        <v>45886</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64487-2023</t>
        </is>
      </c>
      <c r="B635" s="1" t="n">
        <v>45280.92613425926</v>
      </c>
      <c r="C635" s="1" t="n">
        <v>45886</v>
      </c>
      <c r="D635" t="inlineStr">
        <is>
          <t>JÄMTLANDS LÄN</t>
        </is>
      </c>
      <c r="E635" t="inlineStr">
        <is>
          <t>BERG</t>
        </is>
      </c>
      <c r="F635" t="inlineStr">
        <is>
          <t>Övriga Aktiebolag</t>
        </is>
      </c>
      <c r="G635" t="n">
        <v>7.6</v>
      </c>
      <c r="H635" t="n">
        <v>0</v>
      </c>
      <c r="I635" t="n">
        <v>0</v>
      </c>
      <c r="J635" t="n">
        <v>0</v>
      </c>
      <c r="K635" t="n">
        <v>0</v>
      </c>
      <c r="L635" t="n">
        <v>0</v>
      </c>
      <c r="M635" t="n">
        <v>0</v>
      </c>
      <c r="N635" t="n">
        <v>0</v>
      </c>
      <c r="O635" t="n">
        <v>0</v>
      </c>
      <c r="P635" t="n">
        <v>0</v>
      </c>
      <c r="Q635" t="n">
        <v>0</v>
      </c>
      <c r="R635" s="2" t="inlineStr"/>
    </row>
    <row r="636" ht="15" customHeight="1">
      <c r="A636" t="inlineStr">
        <is>
          <t>A 64489-2023</t>
        </is>
      </c>
      <c r="B636" s="1" t="n">
        <v>45280</v>
      </c>
      <c r="C636" s="1" t="n">
        <v>45886</v>
      </c>
      <c r="D636" t="inlineStr">
        <is>
          <t>JÄMTLANDS LÄN</t>
        </is>
      </c>
      <c r="E636" t="inlineStr">
        <is>
          <t>BERG</t>
        </is>
      </c>
      <c r="F636" t="inlineStr">
        <is>
          <t>Övriga Aktiebolag</t>
        </is>
      </c>
      <c r="G636" t="n">
        <v>14.1</v>
      </c>
      <c r="H636" t="n">
        <v>0</v>
      </c>
      <c r="I636" t="n">
        <v>0</v>
      </c>
      <c r="J636" t="n">
        <v>0</v>
      </c>
      <c r="K636" t="n">
        <v>0</v>
      </c>
      <c r="L636" t="n">
        <v>0</v>
      </c>
      <c r="M636" t="n">
        <v>0</v>
      </c>
      <c r="N636" t="n">
        <v>0</v>
      </c>
      <c r="O636" t="n">
        <v>0</v>
      </c>
      <c r="P636" t="n">
        <v>0</v>
      </c>
      <c r="Q636" t="n">
        <v>0</v>
      </c>
      <c r="R636" s="2" t="inlineStr"/>
    </row>
    <row r="637" ht="15" customHeight="1">
      <c r="A637" t="inlineStr">
        <is>
          <t>A 692-2021</t>
        </is>
      </c>
      <c r="B637" s="1" t="n">
        <v>44203</v>
      </c>
      <c r="C637" s="1" t="n">
        <v>45886</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60068-2022</t>
        </is>
      </c>
      <c r="B638" s="1" t="n">
        <v>44902</v>
      </c>
      <c r="C638" s="1" t="n">
        <v>45886</v>
      </c>
      <c r="D638" t="inlineStr">
        <is>
          <t>JÄMTLANDS LÄN</t>
        </is>
      </c>
      <c r="E638" t="inlineStr">
        <is>
          <t>BERG</t>
        </is>
      </c>
      <c r="G638" t="n">
        <v>5.2</v>
      </c>
      <c r="H638" t="n">
        <v>0</v>
      </c>
      <c r="I638" t="n">
        <v>0</v>
      </c>
      <c r="J638" t="n">
        <v>0</v>
      </c>
      <c r="K638" t="n">
        <v>0</v>
      </c>
      <c r="L638" t="n">
        <v>0</v>
      </c>
      <c r="M638" t="n">
        <v>0</v>
      </c>
      <c r="N638" t="n">
        <v>0</v>
      </c>
      <c r="O638" t="n">
        <v>0</v>
      </c>
      <c r="P638" t="n">
        <v>0</v>
      </c>
      <c r="Q638" t="n">
        <v>0</v>
      </c>
      <c r="R638" s="2" t="inlineStr"/>
    </row>
    <row r="639" ht="15" customHeight="1">
      <c r="A639" t="inlineStr">
        <is>
          <t>A 32178-2024</t>
        </is>
      </c>
      <c r="B639" s="1" t="n">
        <v>45511</v>
      </c>
      <c r="C639" s="1" t="n">
        <v>45886</v>
      </c>
      <c r="D639" t="inlineStr">
        <is>
          <t>JÄMTLANDS LÄN</t>
        </is>
      </c>
      <c r="E639" t="inlineStr">
        <is>
          <t>BERG</t>
        </is>
      </c>
      <c r="G639" t="n">
        <v>11.4</v>
      </c>
      <c r="H639" t="n">
        <v>0</v>
      </c>
      <c r="I639" t="n">
        <v>0</v>
      </c>
      <c r="J639" t="n">
        <v>0</v>
      </c>
      <c r="K639" t="n">
        <v>0</v>
      </c>
      <c r="L639" t="n">
        <v>0</v>
      </c>
      <c r="M639" t="n">
        <v>0</v>
      </c>
      <c r="N639" t="n">
        <v>0</v>
      </c>
      <c r="O639" t="n">
        <v>0</v>
      </c>
      <c r="P639" t="n">
        <v>0</v>
      </c>
      <c r="Q639" t="n">
        <v>0</v>
      </c>
      <c r="R639" s="2" t="inlineStr"/>
    </row>
    <row r="640" ht="15" customHeight="1">
      <c r="A640" t="inlineStr">
        <is>
          <t>A 47289-2023</t>
        </is>
      </c>
      <c r="B640" s="1" t="n">
        <v>45202.46581018518</v>
      </c>
      <c r="C640" s="1" t="n">
        <v>45886</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3798-2022</t>
        </is>
      </c>
      <c r="B641" s="1" t="n">
        <v>44586</v>
      </c>
      <c r="C641" s="1" t="n">
        <v>45886</v>
      </c>
      <c r="D641" t="inlineStr">
        <is>
          <t>JÄMTLANDS LÄN</t>
        </is>
      </c>
      <c r="E641" t="inlineStr">
        <is>
          <t>BERG</t>
        </is>
      </c>
      <c r="G641" t="n">
        <v>0.1</v>
      </c>
      <c r="H641" t="n">
        <v>0</v>
      </c>
      <c r="I641" t="n">
        <v>0</v>
      </c>
      <c r="J641" t="n">
        <v>0</v>
      </c>
      <c r="K641" t="n">
        <v>0</v>
      </c>
      <c r="L641" t="n">
        <v>0</v>
      </c>
      <c r="M641" t="n">
        <v>0</v>
      </c>
      <c r="N641" t="n">
        <v>0</v>
      </c>
      <c r="O641" t="n">
        <v>0</v>
      </c>
      <c r="P641" t="n">
        <v>0</v>
      </c>
      <c r="Q641" t="n">
        <v>0</v>
      </c>
      <c r="R641" s="2" t="inlineStr"/>
    </row>
    <row r="642" ht="15" customHeight="1">
      <c r="A642" t="inlineStr">
        <is>
          <t>A 22297-2022</t>
        </is>
      </c>
      <c r="B642" s="1" t="n">
        <v>44712</v>
      </c>
      <c r="C642" s="1" t="n">
        <v>45886</v>
      </c>
      <c r="D642" t="inlineStr">
        <is>
          <t>JÄMTLANDS LÄN</t>
        </is>
      </c>
      <c r="E642" t="inlineStr">
        <is>
          <t>BERG</t>
        </is>
      </c>
      <c r="G642" t="n">
        <v>1</v>
      </c>
      <c r="H642" t="n">
        <v>0</v>
      </c>
      <c r="I642" t="n">
        <v>0</v>
      </c>
      <c r="J642" t="n">
        <v>0</v>
      </c>
      <c r="K642" t="n">
        <v>0</v>
      </c>
      <c r="L642" t="n">
        <v>0</v>
      </c>
      <c r="M642" t="n">
        <v>0</v>
      </c>
      <c r="N642" t="n">
        <v>0</v>
      </c>
      <c r="O642" t="n">
        <v>0</v>
      </c>
      <c r="P642" t="n">
        <v>0</v>
      </c>
      <c r="Q642" t="n">
        <v>0</v>
      </c>
      <c r="R642" s="2" t="inlineStr"/>
    </row>
    <row r="643" ht="15" customHeight="1">
      <c r="A643" t="inlineStr">
        <is>
          <t>A 8711-2024</t>
        </is>
      </c>
      <c r="B643" s="1" t="n">
        <v>45356</v>
      </c>
      <c r="C643" s="1" t="n">
        <v>45886</v>
      </c>
      <c r="D643" t="inlineStr">
        <is>
          <t>JÄMTLANDS LÄN</t>
        </is>
      </c>
      <c r="E643" t="inlineStr">
        <is>
          <t>BERG</t>
        </is>
      </c>
      <c r="G643" t="n">
        <v>5.2</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45020.94496527778</v>
      </c>
      <c r="C644" s="1" t="n">
        <v>45886</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35636-2023</t>
        </is>
      </c>
      <c r="B645" s="1" t="n">
        <v>45147</v>
      </c>
      <c r="C645" s="1" t="n">
        <v>45886</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54992-2023</t>
        </is>
      </c>
      <c r="B646" s="1" t="n">
        <v>45236.96789351852</v>
      </c>
      <c r="C646" s="1" t="n">
        <v>45886</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54994-2023</t>
        </is>
      </c>
      <c r="B647" s="1" t="n">
        <v>45236</v>
      </c>
      <c r="C647" s="1" t="n">
        <v>45886</v>
      </c>
      <c r="D647" t="inlineStr">
        <is>
          <t>JÄMTLANDS LÄN</t>
        </is>
      </c>
      <c r="E647" t="inlineStr">
        <is>
          <t>BERG</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461-2023</t>
        </is>
      </c>
      <c r="B648" s="1" t="n">
        <v>44929</v>
      </c>
      <c r="C648" s="1" t="n">
        <v>45886</v>
      </c>
      <c r="D648" t="inlineStr">
        <is>
          <t>JÄMTLANDS LÄN</t>
        </is>
      </c>
      <c r="E648" t="inlineStr">
        <is>
          <t>BERG</t>
        </is>
      </c>
      <c r="G648" t="n">
        <v>5.8</v>
      </c>
      <c r="H648" t="n">
        <v>0</v>
      </c>
      <c r="I648" t="n">
        <v>0</v>
      </c>
      <c r="J648" t="n">
        <v>0</v>
      </c>
      <c r="K648" t="n">
        <v>0</v>
      </c>
      <c r="L648" t="n">
        <v>0</v>
      </c>
      <c r="M648" t="n">
        <v>0</v>
      </c>
      <c r="N648" t="n">
        <v>0</v>
      </c>
      <c r="O648" t="n">
        <v>0</v>
      </c>
      <c r="P648" t="n">
        <v>0</v>
      </c>
      <c r="Q648" t="n">
        <v>0</v>
      </c>
      <c r="R648" s="2" t="inlineStr"/>
    </row>
    <row r="649" ht="15" customHeight="1">
      <c r="A649" t="inlineStr">
        <is>
          <t>A 27395-2021</t>
        </is>
      </c>
      <c r="B649" s="1" t="n">
        <v>44350</v>
      </c>
      <c r="C649" s="1" t="n">
        <v>45886</v>
      </c>
      <c r="D649" t="inlineStr">
        <is>
          <t>JÄMTLANDS LÄN</t>
        </is>
      </c>
      <c r="E649" t="inlineStr">
        <is>
          <t>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32248-2024</t>
        </is>
      </c>
      <c r="B650" s="1" t="n">
        <v>45511.95144675926</v>
      </c>
      <c r="C650" s="1" t="n">
        <v>45886</v>
      </c>
      <c r="D650" t="inlineStr">
        <is>
          <t>JÄMTLANDS LÄN</t>
        </is>
      </c>
      <c r="E650" t="inlineStr">
        <is>
          <t>BERG</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8733-2025</t>
        </is>
      </c>
      <c r="B651" s="1" t="n">
        <v>45712.53197916667</v>
      </c>
      <c r="C651" s="1" t="n">
        <v>45886</v>
      </c>
      <c r="D651" t="inlineStr">
        <is>
          <t>JÄMTLANDS LÄN</t>
        </is>
      </c>
      <c r="E651" t="inlineStr">
        <is>
          <t>BERG</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51548-2023</t>
        </is>
      </c>
      <c r="B652" s="1" t="n">
        <v>45215</v>
      </c>
      <c r="C652" s="1" t="n">
        <v>45886</v>
      </c>
      <c r="D652" t="inlineStr">
        <is>
          <t>JÄMTLANDS LÄN</t>
        </is>
      </c>
      <c r="E652" t="inlineStr">
        <is>
          <t>BERG</t>
        </is>
      </c>
      <c r="G652" t="n">
        <v>4.8</v>
      </c>
      <c r="H652" t="n">
        <v>0</v>
      </c>
      <c r="I652" t="n">
        <v>0</v>
      </c>
      <c r="J652" t="n">
        <v>0</v>
      </c>
      <c r="K652" t="n">
        <v>0</v>
      </c>
      <c r="L652" t="n">
        <v>0</v>
      </c>
      <c r="M652" t="n">
        <v>0</v>
      </c>
      <c r="N652" t="n">
        <v>0</v>
      </c>
      <c r="O652" t="n">
        <v>0</v>
      </c>
      <c r="P652" t="n">
        <v>0</v>
      </c>
      <c r="Q652" t="n">
        <v>0</v>
      </c>
      <c r="R652" s="2" t="inlineStr"/>
    </row>
    <row r="653" ht="15" customHeight="1">
      <c r="A653" t="inlineStr">
        <is>
          <t>A 23877-2024</t>
        </is>
      </c>
      <c r="B653" s="1" t="n">
        <v>45455.63024305556</v>
      </c>
      <c r="C653" s="1" t="n">
        <v>45886</v>
      </c>
      <c r="D653" t="inlineStr">
        <is>
          <t>JÄMTLANDS LÄN</t>
        </is>
      </c>
      <c r="E653" t="inlineStr">
        <is>
          <t>BERG</t>
        </is>
      </c>
      <c r="G653" t="n">
        <v>2</v>
      </c>
      <c r="H653" t="n">
        <v>0</v>
      </c>
      <c r="I653" t="n">
        <v>0</v>
      </c>
      <c r="J653" t="n">
        <v>0</v>
      </c>
      <c r="K653" t="n">
        <v>0</v>
      </c>
      <c r="L653" t="n">
        <v>0</v>
      </c>
      <c r="M653" t="n">
        <v>0</v>
      </c>
      <c r="N653" t="n">
        <v>0</v>
      </c>
      <c r="O653" t="n">
        <v>0</v>
      </c>
      <c r="P653" t="n">
        <v>0</v>
      </c>
      <c r="Q653" t="n">
        <v>0</v>
      </c>
      <c r="R653" s="2" t="inlineStr"/>
    </row>
    <row r="654" ht="15" customHeight="1">
      <c r="A654" t="inlineStr">
        <is>
          <t>A 23880-2024</t>
        </is>
      </c>
      <c r="B654" s="1" t="n">
        <v>45455.63731481481</v>
      </c>
      <c r="C654" s="1" t="n">
        <v>45886</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17056-2025</t>
        </is>
      </c>
      <c r="B655" s="1" t="n">
        <v>45755.60469907407</v>
      </c>
      <c r="C655" s="1" t="n">
        <v>45886</v>
      </c>
      <c r="D655" t="inlineStr">
        <is>
          <t>JÄMTLANDS LÄN</t>
        </is>
      </c>
      <c r="E655" t="inlineStr">
        <is>
          <t>BERG</t>
        </is>
      </c>
      <c r="G655" t="n">
        <v>13.9</v>
      </c>
      <c r="H655" t="n">
        <v>0</v>
      </c>
      <c r="I655" t="n">
        <v>0</v>
      </c>
      <c r="J655" t="n">
        <v>0</v>
      </c>
      <c r="K655" t="n">
        <v>0</v>
      </c>
      <c r="L655" t="n">
        <v>0</v>
      </c>
      <c r="M655" t="n">
        <v>0</v>
      </c>
      <c r="N655" t="n">
        <v>0</v>
      </c>
      <c r="O655" t="n">
        <v>0</v>
      </c>
      <c r="P655" t="n">
        <v>0</v>
      </c>
      <c r="Q655" t="n">
        <v>0</v>
      </c>
      <c r="R655" s="2" t="inlineStr"/>
    </row>
    <row r="656" ht="15" customHeight="1">
      <c r="A656" t="inlineStr">
        <is>
          <t>A 13540-2024</t>
        </is>
      </c>
      <c r="B656" s="1" t="n">
        <v>45387.92591435185</v>
      </c>
      <c r="C656" s="1" t="n">
        <v>45886</v>
      </c>
      <c r="D656" t="inlineStr">
        <is>
          <t>JÄMTLANDS LÄN</t>
        </is>
      </c>
      <c r="E656" t="inlineStr">
        <is>
          <t>BERG</t>
        </is>
      </c>
      <c r="G656" t="n">
        <v>2.2</v>
      </c>
      <c r="H656" t="n">
        <v>0</v>
      </c>
      <c r="I656" t="n">
        <v>0</v>
      </c>
      <c r="J656" t="n">
        <v>0</v>
      </c>
      <c r="K656" t="n">
        <v>0</v>
      </c>
      <c r="L656" t="n">
        <v>0</v>
      </c>
      <c r="M656" t="n">
        <v>0</v>
      </c>
      <c r="N656" t="n">
        <v>0</v>
      </c>
      <c r="O656" t="n">
        <v>0</v>
      </c>
      <c r="P656" t="n">
        <v>0</v>
      </c>
      <c r="Q656" t="n">
        <v>0</v>
      </c>
      <c r="R656" s="2" t="inlineStr"/>
    </row>
    <row r="657" ht="15" customHeight="1">
      <c r="A657" t="inlineStr">
        <is>
          <t>A 2472-2025</t>
        </is>
      </c>
      <c r="B657" s="1" t="n">
        <v>45674.47341435185</v>
      </c>
      <c r="C657" s="1" t="n">
        <v>45886</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2474-2025</t>
        </is>
      </c>
      <c r="B658" s="1" t="n">
        <v>45674.47496527778</v>
      </c>
      <c r="C658" s="1" t="n">
        <v>45886</v>
      </c>
      <c r="D658" t="inlineStr">
        <is>
          <t>JÄMTLANDS LÄN</t>
        </is>
      </c>
      <c r="E658" t="inlineStr">
        <is>
          <t>BERG</t>
        </is>
      </c>
      <c r="G658" t="n">
        <v>1.2</v>
      </c>
      <c r="H658" t="n">
        <v>0</v>
      </c>
      <c r="I658" t="n">
        <v>0</v>
      </c>
      <c r="J658" t="n">
        <v>0</v>
      </c>
      <c r="K658" t="n">
        <v>0</v>
      </c>
      <c r="L658" t="n">
        <v>0</v>
      </c>
      <c r="M658" t="n">
        <v>0</v>
      </c>
      <c r="N658" t="n">
        <v>0</v>
      </c>
      <c r="O658" t="n">
        <v>0</v>
      </c>
      <c r="P658" t="n">
        <v>0</v>
      </c>
      <c r="Q658" t="n">
        <v>0</v>
      </c>
      <c r="R658" s="2" t="inlineStr"/>
    </row>
    <row r="659" ht="15" customHeight="1">
      <c r="A659" t="inlineStr">
        <is>
          <t>A 18872-2023</t>
        </is>
      </c>
      <c r="B659" s="1" t="n">
        <v>45042</v>
      </c>
      <c r="C659" s="1" t="n">
        <v>45886</v>
      </c>
      <c r="D659" t="inlineStr">
        <is>
          <t>JÄMTLANDS LÄN</t>
        </is>
      </c>
      <c r="E659" t="inlineStr">
        <is>
          <t>BERG</t>
        </is>
      </c>
      <c r="G659" t="n">
        <v>13.2</v>
      </c>
      <c r="H659" t="n">
        <v>0</v>
      </c>
      <c r="I659" t="n">
        <v>0</v>
      </c>
      <c r="J659" t="n">
        <v>0</v>
      </c>
      <c r="K659" t="n">
        <v>0</v>
      </c>
      <c r="L659" t="n">
        <v>0</v>
      </c>
      <c r="M659" t="n">
        <v>0</v>
      </c>
      <c r="N659" t="n">
        <v>0</v>
      </c>
      <c r="O659" t="n">
        <v>0</v>
      </c>
      <c r="P659" t="n">
        <v>0</v>
      </c>
      <c r="Q659" t="n">
        <v>0</v>
      </c>
      <c r="R659" s="2" t="inlineStr"/>
    </row>
    <row r="660" ht="15" customHeight="1">
      <c r="A660" t="inlineStr">
        <is>
          <t>A 50780-2021</t>
        </is>
      </c>
      <c r="B660" s="1" t="n">
        <v>44459</v>
      </c>
      <c r="C660" s="1" t="n">
        <v>45886</v>
      </c>
      <c r="D660" t="inlineStr">
        <is>
          <t>JÄMTLANDS LÄN</t>
        </is>
      </c>
      <c r="E660" t="inlineStr">
        <is>
          <t>BERG</t>
        </is>
      </c>
      <c r="G660" t="n">
        <v>3.5</v>
      </c>
      <c r="H660" t="n">
        <v>0</v>
      </c>
      <c r="I660" t="n">
        <v>0</v>
      </c>
      <c r="J660" t="n">
        <v>0</v>
      </c>
      <c r="K660" t="n">
        <v>0</v>
      </c>
      <c r="L660" t="n">
        <v>0</v>
      </c>
      <c r="M660" t="n">
        <v>0</v>
      </c>
      <c r="N660" t="n">
        <v>0</v>
      </c>
      <c r="O660" t="n">
        <v>0</v>
      </c>
      <c r="P660" t="n">
        <v>0</v>
      </c>
      <c r="Q660" t="n">
        <v>0</v>
      </c>
      <c r="R660" s="2" t="inlineStr"/>
    </row>
    <row r="661" ht="15" customHeight="1">
      <c r="A661" t="inlineStr">
        <is>
          <t>A 40824-2023</t>
        </is>
      </c>
      <c r="B661" s="1" t="n">
        <v>45171</v>
      </c>
      <c r="C661" s="1" t="n">
        <v>45886</v>
      </c>
      <c r="D661" t="inlineStr">
        <is>
          <t>JÄMTLANDS LÄN</t>
        </is>
      </c>
      <c r="E661" t="inlineStr">
        <is>
          <t>BERG</t>
        </is>
      </c>
      <c r="G661" t="n">
        <v>0.5</v>
      </c>
      <c r="H661" t="n">
        <v>0</v>
      </c>
      <c r="I661" t="n">
        <v>0</v>
      </c>
      <c r="J661" t="n">
        <v>0</v>
      </c>
      <c r="K661" t="n">
        <v>0</v>
      </c>
      <c r="L661" t="n">
        <v>0</v>
      </c>
      <c r="M661" t="n">
        <v>0</v>
      </c>
      <c r="N661" t="n">
        <v>0</v>
      </c>
      <c r="O661" t="n">
        <v>0</v>
      </c>
      <c r="P661" t="n">
        <v>0</v>
      </c>
      <c r="Q661" t="n">
        <v>0</v>
      </c>
      <c r="R661" s="2" t="inlineStr"/>
    </row>
    <row r="662" ht="15" customHeight="1">
      <c r="A662" t="inlineStr">
        <is>
          <t>A 47119-2024</t>
        </is>
      </c>
      <c r="B662" s="1" t="n">
        <v>45586.56431712963</v>
      </c>
      <c r="C662" s="1" t="n">
        <v>45886</v>
      </c>
      <c r="D662" t="inlineStr">
        <is>
          <t>JÄMTLANDS LÄN</t>
        </is>
      </c>
      <c r="E662" t="inlineStr">
        <is>
          <t>BERG</t>
        </is>
      </c>
      <c r="G662" t="n">
        <v>5</v>
      </c>
      <c r="H662" t="n">
        <v>0</v>
      </c>
      <c r="I662" t="n">
        <v>0</v>
      </c>
      <c r="J662" t="n">
        <v>0</v>
      </c>
      <c r="K662" t="n">
        <v>0</v>
      </c>
      <c r="L662" t="n">
        <v>0</v>
      </c>
      <c r="M662" t="n">
        <v>0</v>
      </c>
      <c r="N662" t="n">
        <v>0</v>
      </c>
      <c r="O662" t="n">
        <v>0</v>
      </c>
      <c r="P662" t="n">
        <v>0</v>
      </c>
      <c r="Q662" t="n">
        <v>0</v>
      </c>
      <c r="R662" s="2" t="inlineStr"/>
    </row>
    <row r="663" ht="15" customHeight="1">
      <c r="A663" t="inlineStr">
        <is>
          <t>A 1982-2022</t>
        </is>
      </c>
      <c r="B663" s="1" t="n">
        <v>44575</v>
      </c>
      <c r="C663" s="1" t="n">
        <v>45886</v>
      </c>
      <c r="D663" t="inlineStr">
        <is>
          <t>JÄMTLANDS LÄN</t>
        </is>
      </c>
      <c r="E663" t="inlineStr">
        <is>
          <t>BERG</t>
        </is>
      </c>
      <c r="G663" t="n">
        <v>1.6</v>
      </c>
      <c r="H663" t="n">
        <v>0</v>
      </c>
      <c r="I663" t="n">
        <v>0</v>
      </c>
      <c r="J663" t="n">
        <v>0</v>
      </c>
      <c r="K663" t="n">
        <v>0</v>
      </c>
      <c r="L663" t="n">
        <v>0</v>
      </c>
      <c r="M663" t="n">
        <v>0</v>
      </c>
      <c r="N663" t="n">
        <v>0</v>
      </c>
      <c r="O663" t="n">
        <v>0</v>
      </c>
      <c r="P663" t="n">
        <v>0</v>
      </c>
      <c r="Q663" t="n">
        <v>0</v>
      </c>
      <c r="R663" s="2" t="inlineStr"/>
    </row>
    <row r="664" ht="15" customHeight="1">
      <c r="A664" t="inlineStr">
        <is>
          <t>A 1989-2022</t>
        </is>
      </c>
      <c r="B664" s="1" t="n">
        <v>44575.55935185185</v>
      </c>
      <c r="C664" s="1" t="n">
        <v>45886</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15785-2021</t>
        </is>
      </c>
      <c r="B665" s="1" t="n">
        <v>44286.58679398148</v>
      </c>
      <c r="C665" s="1" t="n">
        <v>45886</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12254-2025</t>
        </is>
      </c>
      <c r="B666" s="1" t="n">
        <v>45729</v>
      </c>
      <c r="C666" s="1" t="n">
        <v>45886</v>
      </c>
      <c r="D666" t="inlineStr">
        <is>
          <t>JÄMTLANDS LÄN</t>
        </is>
      </c>
      <c r="E666" t="inlineStr">
        <is>
          <t>BERG</t>
        </is>
      </c>
      <c r="G666" t="n">
        <v>26.3</v>
      </c>
      <c r="H666" t="n">
        <v>0</v>
      </c>
      <c r="I666" t="n">
        <v>0</v>
      </c>
      <c r="J666" t="n">
        <v>0</v>
      </c>
      <c r="K666" t="n">
        <v>0</v>
      </c>
      <c r="L666" t="n">
        <v>0</v>
      </c>
      <c r="M666" t="n">
        <v>0</v>
      </c>
      <c r="N666" t="n">
        <v>0</v>
      </c>
      <c r="O666" t="n">
        <v>0</v>
      </c>
      <c r="P666" t="n">
        <v>0</v>
      </c>
      <c r="Q666" t="n">
        <v>0</v>
      </c>
      <c r="R666" s="2" t="inlineStr"/>
    </row>
    <row r="667" ht="15" customHeight="1">
      <c r="A667" t="inlineStr">
        <is>
          <t>A 61652-2024</t>
        </is>
      </c>
      <c r="B667" s="1" t="n">
        <v>45646.72293981481</v>
      </c>
      <c r="C667" s="1" t="n">
        <v>45886</v>
      </c>
      <c r="D667" t="inlineStr">
        <is>
          <t>JÄMTLANDS LÄN</t>
        </is>
      </c>
      <c r="E667" t="inlineStr">
        <is>
          <t>BERG</t>
        </is>
      </c>
      <c r="G667" t="n">
        <v>6.4</v>
      </c>
      <c r="H667" t="n">
        <v>0</v>
      </c>
      <c r="I667" t="n">
        <v>0</v>
      </c>
      <c r="J667" t="n">
        <v>0</v>
      </c>
      <c r="K667" t="n">
        <v>0</v>
      </c>
      <c r="L667" t="n">
        <v>0</v>
      </c>
      <c r="M667" t="n">
        <v>0</v>
      </c>
      <c r="N667" t="n">
        <v>0</v>
      </c>
      <c r="O667" t="n">
        <v>0</v>
      </c>
      <c r="P667" t="n">
        <v>0</v>
      </c>
      <c r="Q667" t="n">
        <v>0</v>
      </c>
      <c r="R667" s="2" t="inlineStr"/>
    </row>
    <row r="668" ht="15" customHeight="1">
      <c r="A668" t="inlineStr">
        <is>
          <t>A 41866-2024</t>
        </is>
      </c>
      <c r="B668" s="1" t="n">
        <v>45561.46454861111</v>
      </c>
      <c r="C668" s="1" t="n">
        <v>45886</v>
      </c>
      <c r="D668" t="inlineStr">
        <is>
          <t>JÄMTLANDS LÄN</t>
        </is>
      </c>
      <c r="E668" t="inlineStr">
        <is>
          <t>BERG</t>
        </is>
      </c>
      <c r="G668" t="n">
        <v>2.8</v>
      </c>
      <c r="H668" t="n">
        <v>0</v>
      </c>
      <c r="I668" t="n">
        <v>0</v>
      </c>
      <c r="J668" t="n">
        <v>0</v>
      </c>
      <c r="K668" t="n">
        <v>0</v>
      </c>
      <c r="L668" t="n">
        <v>0</v>
      </c>
      <c r="M668" t="n">
        <v>0</v>
      </c>
      <c r="N668" t="n">
        <v>0</v>
      </c>
      <c r="O668" t="n">
        <v>0</v>
      </c>
      <c r="P668" t="n">
        <v>0</v>
      </c>
      <c r="Q668" t="n">
        <v>0</v>
      </c>
      <c r="R668" s="2" t="inlineStr"/>
    </row>
    <row r="669" ht="15" customHeight="1">
      <c r="A669" t="inlineStr">
        <is>
          <t>A 14198-2023</t>
        </is>
      </c>
      <c r="B669" s="1" t="n">
        <v>45009.57518518518</v>
      </c>
      <c r="C669" s="1" t="n">
        <v>45886</v>
      </c>
      <c r="D669" t="inlineStr">
        <is>
          <t>JÄMTLANDS LÄN</t>
        </is>
      </c>
      <c r="E669" t="inlineStr">
        <is>
          <t>BERG</t>
        </is>
      </c>
      <c r="G669" t="n">
        <v>2.3</v>
      </c>
      <c r="H669" t="n">
        <v>0</v>
      </c>
      <c r="I669" t="n">
        <v>0</v>
      </c>
      <c r="J669" t="n">
        <v>0</v>
      </c>
      <c r="K669" t="n">
        <v>0</v>
      </c>
      <c r="L669" t="n">
        <v>0</v>
      </c>
      <c r="M669" t="n">
        <v>0</v>
      </c>
      <c r="N669" t="n">
        <v>0</v>
      </c>
      <c r="O669" t="n">
        <v>0</v>
      </c>
      <c r="P669" t="n">
        <v>0</v>
      </c>
      <c r="Q669" t="n">
        <v>0</v>
      </c>
      <c r="R669" s="2" t="inlineStr"/>
    </row>
    <row r="670" ht="15" customHeight="1">
      <c r="A670" t="inlineStr">
        <is>
          <t>A 58817-2024</t>
        </is>
      </c>
      <c r="B670" s="1" t="n">
        <v>45636.35909722222</v>
      </c>
      <c r="C670" s="1" t="n">
        <v>45886</v>
      </c>
      <c r="D670" t="inlineStr">
        <is>
          <t>JÄMTLANDS LÄN</t>
        </is>
      </c>
      <c r="E670" t="inlineStr">
        <is>
          <t>BERG</t>
        </is>
      </c>
      <c r="G670" t="n">
        <v>1.5</v>
      </c>
      <c r="H670" t="n">
        <v>0</v>
      </c>
      <c r="I670" t="n">
        <v>0</v>
      </c>
      <c r="J670" t="n">
        <v>0</v>
      </c>
      <c r="K670" t="n">
        <v>0</v>
      </c>
      <c r="L670" t="n">
        <v>0</v>
      </c>
      <c r="M670" t="n">
        <v>0</v>
      </c>
      <c r="N670" t="n">
        <v>0</v>
      </c>
      <c r="O670" t="n">
        <v>0</v>
      </c>
      <c r="P670" t="n">
        <v>0</v>
      </c>
      <c r="Q670" t="n">
        <v>0</v>
      </c>
      <c r="R670" s="2" t="inlineStr"/>
    </row>
    <row r="671" ht="15" customHeight="1">
      <c r="A671" t="inlineStr">
        <is>
          <t>A 21679-2023</t>
        </is>
      </c>
      <c r="B671" s="1" t="n">
        <v>45063.94199074074</v>
      </c>
      <c r="C671" s="1" t="n">
        <v>45886</v>
      </c>
      <c r="D671" t="inlineStr">
        <is>
          <t>JÄMTLANDS LÄN</t>
        </is>
      </c>
      <c r="E671" t="inlineStr">
        <is>
          <t>BERG</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59526-2024</t>
        </is>
      </c>
      <c r="B672" s="1" t="n">
        <v>45638.58019675926</v>
      </c>
      <c r="C672" s="1" t="n">
        <v>45886</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41105-2023</t>
        </is>
      </c>
      <c r="B673" s="1" t="n">
        <v>45170</v>
      </c>
      <c r="C673" s="1" t="n">
        <v>45886</v>
      </c>
      <c r="D673" t="inlineStr">
        <is>
          <t>JÄMTLANDS LÄN</t>
        </is>
      </c>
      <c r="E673" t="inlineStr">
        <is>
          <t>BERG</t>
        </is>
      </c>
      <c r="G673" t="n">
        <v>0.9</v>
      </c>
      <c r="H673" t="n">
        <v>0</v>
      </c>
      <c r="I673" t="n">
        <v>0</v>
      </c>
      <c r="J673" t="n">
        <v>0</v>
      </c>
      <c r="K673" t="n">
        <v>0</v>
      </c>
      <c r="L673" t="n">
        <v>0</v>
      </c>
      <c r="M673" t="n">
        <v>0</v>
      </c>
      <c r="N673" t="n">
        <v>0</v>
      </c>
      <c r="O673" t="n">
        <v>0</v>
      </c>
      <c r="P673" t="n">
        <v>0</v>
      </c>
      <c r="Q673" t="n">
        <v>0</v>
      </c>
      <c r="R673" s="2" t="inlineStr"/>
    </row>
    <row r="674" ht="15" customHeight="1">
      <c r="A674" t="inlineStr">
        <is>
          <t>A 43403-2023</t>
        </is>
      </c>
      <c r="B674" s="1" t="n">
        <v>45183</v>
      </c>
      <c r="C674" s="1" t="n">
        <v>45886</v>
      </c>
      <c r="D674" t="inlineStr">
        <is>
          <t>JÄMTLANDS LÄN</t>
        </is>
      </c>
      <c r="E674" t="inlineStr">
        <is>
          <t>BERG</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64752-2023</t>
        </is>
      </c>
      <c r="B675" s="1" t="n">
        <v>45281.92891203704</v>
      </c>
      <c r="C675" s="1" t="n">
        <v>45886</v>
      </c>
      <c r="D675" t="inlineStr">
        <is>
          <t>JÄMTLANDS LÄN</t>
        </is>
      </c>
      <c r="E675" t="inlineStr">
        <is>
          <t>BERG</t>
        </is>
      </c>
      <c r="F675" t="inlineStr">
        <is>
          <t>Övriga Aktiebolag</t>
        </is>
      </c>
      <c r="G675" t="n">
        <v>3.4</v>
      </c>
      <c r="H675" t="n">
        <v>0</v>
      </c>
      <c r="I675" t="n">
        <v>0</v>
      </c>
      <c r="J675" t="n">
        <v>0</v>
      </c>
      <c r="K675" t="n">
        <v>0</v>
      </c>
      <c r="L675" t="n">
        <v>0</v>
      </c>
      <c r="M675" t="n">
        <v>0</v>
      </c>
      <c r="N675" t="n">
        <v>0</v>
      </c>
      <c r="O675" t="n">
        <v>0</v>
      </c>
      <c r="P675" t="n">
        <v>0</v>
      </c>
      <c r="Q675" t="n">
        <v>0</v>
      </c>
      <c r="R675" s="2" t="inlineStr"/>
    </row>
    <row r="676" ht="15" customHeight="1">
      <c r="A676" t="inlineStr">
        <is>
          <t>A 6982-2025</t>
        </is>
      </c>
      <c r="B676" s="1" t="n">
        <v>45701.55769675926</v>
      </c>
      <c r="C676" s="1" t="n">
        <v>45886</v>
      </c>
      <c r="D676" t="inlineStr">
        <is>
          <t>JÄMTLANDS LÄN</t>
        </is>
      </c>
      <c r="E676" t="inlineStr">
        <is>
          <t>BERG</t>
        </is>
      </c>
      <c r="G676" t="n">
        <v>6.8</v>
      </c>
      <c r="H676" t="n">
        <v>0</v>
      </c>
      <c r="I676" t="n">
        <v>0</v>
      </c>
      <c r="J676" t="n">
        <v>0</v>
      </c>
      <c r="K676" t="n">
        <v>0</v>
      </c>
      <c r="L676" t="n">
        <v>0</v>
      </c>
      <c r="M676" t="n">
        <v>0</v>
      </c>
      <c r="N676" t="n">
        <v>0</v>
      </c>
      <c r="O676" t="n">
        <v>0</v>
      </c>
      <c r="P676" t="n">
        <v>0</v>
      </c>
      <c r="Q676" t="n">
        <v>0</v>
      </c>
      <c r="R676" s="2" t="inlineStr"/>
    </row>
    <row r="677" ht="15" customHeight="1">
      <c r="A677" t="inlineStr">
        <is>
          <t>A 53950-2020</t>
        </is>
      </c>
      <c r="B677" s="1" t="n">
        <v>44123</v>
      </c>
      <c r="C677" s="1" t="n">
        <v>45886</v>
      </c>
      <c r="D677" t="inlineStr">
        <is>
          <t>JÄMTLANDS LÄN</t>
        </is>
      </c>
      <c r="E677" t="inlineStr">
        <is>
          <t>BERG</t>
        </is>
      </c>
      <c r="G677" t="n">
        <v>11.8</v>
      </c>
      <c r="H677" t="n">
        <v>0</v>
      </c>
      <c r="I677" t="n">
        <v>0</v>
      </c>
      <c r="J677" t="n">
        <v>0</v>
      </c>
      <c r="K677" t="n">
        <v>0</v>
      </c>
      <c r="L677" t="n">
        <v>0</v>
      </c>
      <c r="M677" t="n">
        <v>0</v>
      </c>
      <c r="N677" t="n">
        <v>0</v>
      </c>
      <c r="O677" t="n">
        <v>0</v>
      </c>
      <c r="P677" t="n">
        <v>0</v>
      </c>
      <c r="Q677" t="n">
        <v>0</v>
      </c>
      <c r="R677" s="2" t="inlineStr"/>
    </row>
    <row r="678" ht="15" customHeight="1">
      <c r="A678" t="inlineStr">
        <is>
          <t>A 433-2023</t>
        </is>
      </c>
      <c r="B678" s="1" t="n">
        <v>44923</v>
      </c>
      <c r="C678" s="1" t="n">
        <v>45886</v>
      </c>
      <c r="D678" t="inlineStr">
        <is>
          <t>JÄMTLANDS LÄN</t>
        </is>
      </c>
      <c r="E678" t="inlineStr">
        <is>
          <t>BERG</t>
        </is>
      </c>
      <c r="G678" t="n">
        <v>1.5</v>
      </c>
      <c r="H678" t="n">
        <v>0</v>
      </c>
      <c r="I678" t="n">
        <v>0</v>
      </c>
      <c r="J678" t="n">
        <v>0</v>
      </c>
      <c r="K678" t="n">
        <v>0</v>
      </c>
      <c r="L678" t="n">
        <v>0</v>
      </c>
      <c r="M678" t="n">
        <v>0</v>
      </c>
      <c r="N678" t="n">
        <v>0</v>
      </c>
      <c r="O678" t="n">
        <v>0</v>
      </c>
      <c r="P678" t="n">
        <v>0</v>
      </c>
      <c r="Q678" t="n">
        <v>0</v>
      </c>
      <c r="R678" s="2" t="inlineStr"/>
    </row>
    <row r="679" ht="15" customHeight="1">
      <c r="A679" t="inlineStr">
        <is>
          <t>A 61980-2024</t>
        </is>
      </c>
      <c r="B679" s="1" t="n">
        <v>45653.66269675926</v>
      </c>
      <c r="C679" s="1" t="n">
        <v>45886</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8069-2024</t>
        </is>
      </c>
      <c r="B680" s="1" t="n">
        <v>45351.41600694445</v>
      </c>
      <c r="C680" s="1" t="n">
        <v>45886</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8191-2025</t>
        </is>
      </c>
      <c r="B681" s="1" t="n">
        <v>45708.40821759259</v>
      </c>
      <c r="C681" s="1" t="n">
        <v>45886</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56490-2024</t>
        </is>
      </c>
      <c r="B682" s="1" t="n">
        <v>45625.48765046296</v>
      </c>
      <c r="C682" s="1" t="n">
        <v>45886</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24011-2023</t>
        </is>
      </c>
      <c r="B683" s="1" t="n">
        <v>45078</v>
      </c>
      <c r="C683" s="1" t="n">
        <v>45886</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60075-2024</t>
        </is>
      </c>
      <c r="B684" s="1" t="n">
        <v>45642.53162037037</v>
      </c>
      <c r="C684" s="1" t="n">
        <v>45886</v>
      </c>
      <c r="D684" t="inlineStr">
        <is>
          <t>JÄMTLANDS LÄN</t>
        </is>
      </c>
      <c r="E684" t="inlineStr">
        <is>
          <t>BERG</t>
        </is>
      </c>
      <c r="G684" t="n">
        <v>3.6</v>
      </c>
      <c r="H684" t="n">
        <v>0</v>
      </c>
      <c r="I684" t="n">
        <v>0</v>
      </c>
      <c r="J684" t="n">
        <v>0</v>
      </c>
      <c r="K684" t="n">
        <v>0</v>
      </c>
      <c r="L684" t="n">
        <v>0</v>
      </c>
      <c r="M684" t="n">
        <v>0</v>
      </c>
      <c r="N684" t="n">
        <v>0</v>
      </c>
      <c r="O684" t="n">
        <v>0</v>
      </c>
      <c r="P684" t="n">
        <v>0</v>
      </c>
      <c r="Q684" t="n">
        <v>0</v>
      </c>
      <c r="R684" s="2" t="inlineStr"/>
    </row>
    <row r="685" ht="15" customHeight="1">
      <c r="A685" t="inlineStr">
        <is>
          <t>A 7447-2022</t>
        </is>
      </c>
      <c r="B685" s="1" t="n">
        <v>44606</v>
      </c>
      <c r="C685" s="1" t="n">
        <v>45886</v>
      </c>
      <c r="D685" t="inlineStr">
        <is>
          <t>JÄMTLANDS LÄN</t>
        </is>
      </c>
      <c r="E685" t="inlineStr">
        <is>
          <t>BERG</t>
        </is>
      </c>
      <c r="G685" t="n">
        <v>0.9</v>
      </c>
      <c r="H685" t="n">
        <v>0</v>
      </c>
      <c r="I685" t="n">
        <v>0</v>
      </c>
      <c r="J685" t="n">
        <v>0</v>
      </c>
      <c r="K685" t="n">
        <v>0</v>
      </c>
      <c r="L685" t="n">
        <v>0</v>
      </c>
      <c r="M685" t="n">
        <v>0</v>
      </c>
      <c r="N685" t="n">
        <v>0</v>
      </c>
      <c r="O685" t="n">
        <v>0</v>
      </c>
      <c r="P685" t="n">
        <v>0</v>
      </c>
      <c r="Q685" t="n">
        <v>0</v>
      </c>
      <c r="R685" s="2" t="inlineStr"/>
    </row>
    <row r="686" ht="15" customHeight="1">
      <c r="A686" t="inlineStr">
        <is>
          <t>A 15013-2025</t>
        </is>
      </c>
      <c r="B686" s="1" t="n">
        <v>45743.62734953704</v>
      </c>
      <c r="C686" s="1" t="n">
        <v>45886</v>
      </c>
      <c r="D686" t="inlineStr">
        <is>
          <t>JÄMTLANDS LÄN</t>
        </is>
      </c>
      <c r="E686" t="inlineStr">
        <is>
          <t>BERG</t>
        </is>
      </c>
      <c r="G686" t="n">
        <v>4.6</v>
      </c>
      <c r="H686" t="n">
        <v>0</v>
      </c>
      <c r="I686" t="n">
        <v>0</v>
      </c>
      <c r="J686" t="n">
        <v>0</v>
      </c>
      <c r="K686" t="n">
        <v>0</v>
      </c>
      <c r="L686" t="n">
        <v>0</v>
      </c>
      <c r="M686" t="n">
        <v>0</v>
      </c>
      <c r="N686" t="n">
        <v>0</v>
      </c>
      <c r="O686" t="n">
        <v>0</v>
      </c>
      <c r="P686" t="n">
        <v>0</v>
      </c>
      <c r="Q686" t="n">
        <v>0</v>
      </c>
      <c r="R686" s="2" t="inlineStr"/>
    </row>
    <row r="687" ht="15" customHeight="1">
      <c r="A687" t="inlineStr">
        <is>
          <t>A 3419-2025</t>
        </is>
      </c>
      <c r="B687" s="1" t="n">
        <v>45680.4165625</v>
      </c>
      <c r="C687" s="1" t="n">
        <v>45886</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41927-2023</t>
        </is>
      </c>
      <c r="B688" s="1" t="n">
        <v>45176</v>
      </c>
      <c r="C688" s="1" t="n">
        <v>45886</v>
      </c>
      <c r="D688" t="inlineStr">
        <is>
          <t>JÄMTLANDS LÄN</t>
        </is>
      </c>
      <c r="E688" t="inlineStr">
        <is>
          <t>BERG</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45188.6505787037</v>
      </c>
      <c r="C689" s="1" t="n">
        <v>45886</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38-2024</t>
        </is>
      </c>
      <c r="B690" s="1" t="n">
        <v>45293</v>
      </c>
      <c r="C690" s="1" t="n">
        <v>45886</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5187-2025</t>
        </is>
      </c>
      <c r="B691" s="1" t="n">
        <v>45691.64266203704</v>
      </c>
      <c r="C691" s="1" t="n">
        <v>45886</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46991-2024</t>
        </is>
      </c>
      <c r="B692" s="1" t="n">
        <v>45586.365625</v>
      </c>
      <c r="C692" s="1" t="n">
        <v>45886</v>
      </c>
      <c r="D692" t="inlineStr">
        <is>
          <t>JÄMTLANDS LÄN</t>
        </is>
      </c>
      <c r="E692" t="inlineStr">
        <is>
          <t>BERG</t>
        </is>
      </c>
      <c r="G692" t="n">
        <v>2.9</v>
      </c>
      <c r="H692" t="n">
        <v>0</v>
      </c>
      <c r="I692" t="n">
        <v>0</v>
      </c>
      <c r="J692" t="n">
        <v>0</v>
      </c>
      <c r="K692" t="n">
        <v>0</v>
      </c>
      <c r="L692" t="n">
        <v>0</v>
      </c>
      <c r="M692" t="n">
        <v>0</v>
      </c>
      <c r="N692" t="n">
        <v>0</v>
      </c>
      <c r="O692" t="n">
        <v>0</v>
      </c>
      <c r="P692" t="n">
        <v>0</v>
      </c>
      <c r="Q692" t="n">
        <v>0</v>
      </c>
      <c r="R692" s="2" t="inlineStr"/>
    </row>
    <row r="693" ht="15" customHeight="1">
      <c r="A693" t="inlineStr">
        <is>
          <t>A 19891-2025</t>
        </is>
      </c>
      <c r="B693" s="1" t="n">
        <v>45771.5743287037</v>
      </c>
      <c r="C693" s="1" t="n">
        <v>45886</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31129-2024</t>
        </is>
      </c>
      <c r="B694" s="1" t="n">
        <v>45502</v>
      </c>
      <c r="C694" s="1" t="n">
        <v>45886</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18007-2024</t>
        </is>
      </c>
      <c r="B695" s="1" t="n">
        <v>45419.94912037037</v>
      </c>
      <c r="C695" s="1" t="n">
        <v>45886</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46268-2023</t>
        </is>
      </c>
      <c r="B696" s="1" t="n">
        <v>45196</v>
      </c>
      <c r="C696" s="1" t="n">
        <v>45886</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14820-2025</t>
        </is>
      </c>
      <c r="B697" s="1" t="n">
        <v>45743.35984953704</v>
      </c>
      <c r="C697" s="1" t="n">
        <v>45886</v>
      </c>
      <c r="D697" t="inlineStr">
        <is>
          <t>JÄMTLANDS LÄN</t>
        </is>
      </c>
      <c r="E697" t="inlineStr">
        <is>
          <t>BERG</t>
        </is>
      </c>
      <c r="G697" t="n">
        <v>1.3</v>
      </c>
      <c r="H697" t="n">
        <v>0</v>
      </c>
      <c r="I697" t="n">
        <v>0</v>
      </c>
      <c r="J697" t="n">
        <v>0</v>
      </c>
      <c r="K697" t="n">
        <v>0</v>
      </c>
      <c r="L697" t="n">
        <v>0</v>
      </c>
      <c r="M697" t="n">
        <v>0</v>
      </c>
      <c r="N697" t="n">
        <v>0</v>
      </c>
      <c r="O697" t="n">
        <v>0</v>
      </c>
      <c r="P697" t="n">
        <v>0</v>
      </c>
      <c r="Q697" t="n">
        <v>0</v>
      </c>
      <c r="R697" s="2" t="inlineStr"/>
    </row>
    <row r="698" ht="15" customHeight="1">
      <c r="A698" t="inlineStr">
        <is>
          <t>A 32465-2024</t>
        </is>
      </c>
      <c r="B698" s="1" t="n">
        <v>45512.96096064815</v>
      </c>
      <c r="C698" s="1" t="n">
        <v>45886</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45886</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53894-2023</t>
        </is>
      </c>
      <c r="B700" s="1" t="n">
        <v>45231.53321759259</v>
      </c>
      <c r="C700" s="1" t="n">
        <v>45886</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1499-2025</t>
        </is>
      </c>
      <c r="B701" s="1" t="n">
        <v>45670.41112268518</v>
      </c>
      <c r="C701" s="1" t="n">
        <v>45886</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6645-2025</t>
        </is>
      </c>
      <c r="B702" s="1" t="n">
        <v>45700.39645833334</v>
      </c>
      <c r="C702" s="1" t="n">
        <v>45886</v>
      </c>
      <c r="D702" t="inlineStr">
        <is>
          <t>JÄMTLANDS LÄN</t>
        </is>
      </c>
      <c r="E702" t="inlineStr">
        <is>
          <t>BERG</t>
        </is>
      </c>
      <c r="G702" t="n">
        <v>2.6</v>
      </c>
      <c r="H702" t="n">
        <v>0</v>
      </c>
      <c r="I702" t="n">
        <v>0</v>
      </c>
      <c r="J702" t="n">
        <v>0</v>
      </c>
      <c r="K702" t="n">
        <v>0</v>
      </c>
      <c r="L702" t="n">
        <v>0</v>
      </c>
      <c r="M702" t="n">
        <v>0</v>
      </c>
      <c r="N702" t="n">
        <v>0</v>
      </c>
      <c r="O702" t="n">
        <v>0</v>
      </c>
      <c r="P702" t="n">
        <v>0</v>
      </c>
      <c r="Q702" t="n">
        <v>0</v>
      </c>
      <c r="R702" s="2" t="inlineStr"/>
    </row>
    <row r="703" ht="15" customHeight="1">
      <c r="A703" t="inlineStr">
        <is>
          <t>A 53886-2020</t>
        </is>
      </c>
      <c r="B703" s="1" t="n">
        <v>44123</v>
      </c>
      <c r="C703" s="1" t="n">
        <v>45886</v>
      </c>
      <c r="D703" t="inlineStr">
        <is>
          <t>JÄMTLANDS LÄN</t>
        </is>
      </c>
      <c r="E703" t="inlineStr">
        <is>
          <t>BERG</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50169-2023</t>
        </is>
      </c>
      <c r="B704" s="1" t="n">
        <v>45208</v>
      </c>
      <c r="C704" s="1" t="n">
        <v>45886</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24307-2023</t>
        </is>
      </c>
      <c r="B705" s="1" t="n">
        <v>45079.94229166667</v>
      </c>
      <c r="C705" s="1" t="n">
        <v>45886</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12392-2025</t>
        </is>
      </c>
      <c r="B706" s="1" t="n">
        <v>45730.40104166666</v>
      </c>
      <c r="C706" s="1" t="n">
        <v>45886</v>
      </c>
      <c r="D706" t="inlineStr">
        <is>
          <t>JÄMTLANDS LÄN</t>
        </is>
      </c>
      <c r="E706" t="inlineStr">
        <is>
          <t>BERG</t>
        </is>
      </c>
      <c r="G706" t="n">
        <v>5.1</v>
      </c>
      <c r="H706" t="n">
        <v>0</v>
      </c>
      <c r="I706" t="n">
        <v>0</v>
      </c>
      <c r="J706" t="n">
        <v>0</v>
      </c>
      <c r="K706" t="n">
        <v>0</v>
      </c>
      <c r="L706" t="n">
        <v>0</v>
      </c>
      <c r="M706" t="n">
        <v>0</v>
      </c>
      <c r="N706" t="n">
        <v>0</v>
      </c>
      <c r="O706" t="n">
        <v>0</v>
      </c>
      <c r="P706" t="n">
        <v>0</v>
      </c>
      <c r="Q706" t="n">
        <v>0</v>
      </c>
      <c r="R706" s="2" t="inlineStr"/>
    </row>
    <row r="707" ht="15" customHeight="1">
      <c r="A707" t="inlineStr">
        <is>
          <t>A 21717-2023</t>
        </is>
      </c>
      <c r="B707" s="1" t="n">
        <v>45063</v>
      </c>
      <c r="C707" s="1" t="n">
        <v>45886</v>
      </c>
      <c r="D707" t="inlineStr">
        <is>
          <t>JÄMTLANDS LÄN</t>
        </is>
      </c>
      <c r="E707" t="inlineStr">
        <is>
          <t>BERG</t>
        </is>
      </c>
      <c r="G707" t="n">
        <v>6</v>
      </c>
      <c r="H707" t="n">
        <v>0</v>
      </c>
      <c r="I707" t="n">
        <v>0</v>
      </c>
      <c r="J707" t="n">
        <v>0</v>
      </c>
      <c r="K707" t="n">
        <v>0</v>
      </c>
      <c r="L707" t="n">
        <v>0</v>
      </c>
      <c r="M707" t="n">
        <v>0</v>
      </c>
      <c r="N707" t="n">
        <v>0</v>
      </c>
      <c r="O707" t="n">
        <v>0</v>
      </c>
      <c r="P707" t="n">
        <v>0</v>
      </c>
      <c r="Q707" t="n">
        <v>0</v>
      </c>
      <c r="R707" s="2" t="inlineStr"/>
    </row>
    <row r="708" ht="15" customHeight="1">
      <c r="A708" t="inlineStr">
        <is>
          <t>A 46858-2023</t>
        </is>
      </c>
      <c r="B708" s="1" t="n">
        <v>45199.97042824074</v>
      </c>
      <c r="C708" s="1" t="n">
        <v>45886</v>
      </c>
      <c r="D708" t="inlineStr">
        <is>
          <t>JÄMTLANDS LÄN</t>
        </is>
      </c>
      <c r="E708" t="inlineStr">
        <is>
          <t>BERG</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37093-2024</t>
        </is>
      </c>
      <c r="B709" s="1" t="n">
        <v>45539.50018518518</v>
      </c>
      <c r="C709" s="1" t="n">
        <v>45886</v>
      </c>
      <c r="D709" t="inlineStr">
        <is>
          <t>JÄMTLANDS LÄN</t>
        </is>
      </c>
      <c r="E709" t="inlineStr">
        <is>
          <t>BERG</t>
        </is>
      </c>
      <c r="F709" t="inlineStr">
        <is>
          <t>Övriga Aktiebolag</t>
        </is>
      </c>
      <c r="G709" t="n">
        <v>15.4</v>
      </c>
      <c r="H709" t="n">
        <v>0</v>
      </c>
      <c r="I709" t="n">
        <v>0</v>
      </c>
      <c r="J709" t="n">
        <v>0</v>
      </c>
      <c r="K709" t="n">
        <v>0</v>
      </c>
      <c r="L709" t="n">
        <v>0</v>
      </c>
      <c r="M709" t="n">
        <v>0</v>
      </c>
      <c r="N709" t="n">
        <v>0</v>
      </c>
      <c r="O709" t="n">
        <v>0</v>
      </c>
      <c r="P709" t="n">
        <v>0</v>
      </c>
      <c r="Q709" t="n">
        <v>0</v>
      </c>
      <c r="R709" s="2" t="inlineStr"/>
    </row>
    <row r="710" ht="15" customHeight="1">
      <c r="A710" t="inlineStr">
        <is>
          <t>A 53902-2020</t>
        </is>
      </c>
      <c r="B710" s="1" t="n">
        <v>44123</v>
      </c>
      <c r="C710" s="1" t="n">
        <v>45886</v>
      </c>
      <c r="D710" t="inlineStr">
        <is>
          <t>JÄMTLANDS LÄN</t>
        </is>
      </c>
      <c r="E710" t="inlineStr">
        <is>
          <t>BERG</t>
        </is>
      </c>
      <c r="G710" t="n">
        <v>22.5</v>
      </c>
      <c r="H710" t="n">
        <v>0</v>
      </c>
      <c r="I710" t="n">
        <v>0</v>
      </c>
      <c r="J710" t="n">
        <v>0</v>
      </c>
      <c r="K710" t="n">
        <v>0</v>
      </c>
      <c r="L710" t="n">
        <v>0</v>
      </c>
      <c r="M710" t="n">
        <v>0</v>
      </c>
      <c r="N710" t="n">
        <v>0</v>
      </c>
      <c r="O710" t="n">
        <v>0</v>
      </c>
      <c r="P710" t="n">
        <v>0</v>
      </c>
      <c r="Q710" t="n">
        <v>0</v>
      </c>
      <c r="R710" s="2" t="inlineStr"/>
    </row>
    <row r="711" ht="15" customHeight="1">
      <c r="A711" t="inlineStr">
        <is>
          <t>A 49225-2024</t>
        </is>
      </c>
      <c r="B711" s="1" t="n">
        <v>45595.4177662037</v>
      </c>
      <c r="C711" s="1" t="n">
        <v>45886</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27579-2024</t>
        </is>
      </c>
      <c r="B712" s="1" t="n">
        <v>45474.65244212963</v>
      </c>
      <c r="C712" s="1" t="n">
        <v>45886</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25565-2023</t>
        </is>
      </c>
      <c r="B713" s="1" t="n">
        <v>45082</v>
      </c>
      <c r="C713" s="1" t="n">
        <v>45886</v>
      </c>
      <c r="D713" t="inlineStr">
        <is>
          <t>JÄMTLANDS LÄN</t>
        </is>
      </c>
      <c r="E713" t="inlineStr">
        <is>
          <t>BERG</t>
        </is>
      </c>
      <c r="G713" t="n">
        <v>3.1</v>
      </c>
      <c r="H713" t="n">
        <v>0</v>
      </c>
      <c r="I713" t="n">
        <v>0</v>
      </c>
      <c r="J713" t="n">
        <v>0</v>
      </c>
      <c r="K713" t="n">
        <v>0</v>
      </c>
      <c r="L713" t="n">
        <v>0</v>
      </c>
      <c r="M713" t="n">
        <v>0</v>
      </c>
      <c r="N713" t="n">
        <v>0</v>
      </c>
      <c r="O713" t="n">
        <v>0</v>
      </c>
      <c r="P713" t="n">
        <v>0</v>
      </c>
      <c r="Q713" t="n">
        <v>0</v>
      </c>
      <c r="R713" s="2" t="inlineStr"/>
    </row>
    <row r="714" ht="15" customHeight="1">
      <c r="A714" t="inlineStr">
        <is>
          <t>A 17748-2024</t>
        </is>
      </c>
      <c r="B714" s="1" t="n">
        <v>45418</v>
      </c>
      <c r="C714" s="1" t="n">
        <v>45886</v>
      </c>
      <c r="D714" t="inlineStr">
        <is>
          <t>JÄMTLANDS LÄN</t>
        </is>
      </c>
      <c r="E714" t="inlineStr">
        <is>
          <t>BERG</t>
        </is>
      </c>
      <c r="G714" t="n">
        <v>0.9</v>
      </c>
      <c r="H714" t="n">
        <v>0</v>
      </c>
      <c r="I714" t="n">
        <v>0</v>
      </c>
      <c r="J714" t="n">
        <v>0</v>
      </c>
      <c r="K714" t="n">
        <v>0</v>
      </c>
      <c r="L714" t="n">
        <v>0</v>
      </c>
      <c r="M714" t="n">
        <v>0</v>
      </c>
      <c r="N714" t="n">
        <v>0</v>
      </c>
      <c r="O714" t="n">
        <v>0</v>
      </c>
      <c r="P714" t="n">
        <v>0</v>
      </c>
      <c r="Q714" t="n">
        <v>0</v>
      </c>
      <c r="R714" s="2" t="inlineStr"/>
    </row>
    <row r="715" ht="15" customHeight="1">
      <c r="A715" t="inlineStr">
        <is>
          <t>A 47626-2023</t>
        </is>
      </c>
      <c r="B715" s="1" t="n">
        <v>45203</v>
      </c>
      <c r="C715" s="1" t="n">
        <v>45886</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56226-2024</t>
        </is>
      </c>
      <c r="B716" s="1" t="n">
        <v>45624.61572916667</v>
      </c>
      <c r="C716" s="1" t="n">
        <v>45886</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54863-2023</t>
        </is>
      </c>
      <c r="B717" s="1" t="n">
        <v>45236</v>
      </c>
      <c r="C717" s="1" t="n">
        <v>45886</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19258-2025</t>
        </is>
      </c>
      <c r="B718" s="1" t="n">
        <v>45769.49987268518</v>
      </c>
      <c r="C718" s="1" t="n">
        <v>45886</v>
      </c>
      <c r="D718" t="inlineStr">
        <is>
          <t>JÄMTLANDS LÄN</t>
        </is>
      </c>
      <c r="E718" t="inlineStr">
        <is>
          <t>BERG</t>
        </is>
      </c>
      <c r="G718" t="n">
        <v>10.9</v>
      </c>
      <c r="H718" t="n">
        <v>0</v>
      </c>
      <c r="I718" t="n">
        <v>0</v>
      </c>
      <c r="J718" t="n">
        <v>0</v>
      </c>
      <c r="K718" t="n">
        <v>0</v>
      </c>
      <c r="L718" t="n">
        <v>0</v>
      </c>
      <c r="M718" t="n">
        <v>0</v>
      </c>
      <c r="N718" t="n">
        <v>0</v>
      </c>
      <c r="O718" t="n">
        <v>0</v>
      </c>
      <c r="P718" t="n">
        <v>0</v>
      </c>
      <c r="Q718" t="n">
        <v>0</v>
      </c>
      <c r="R718" s="2" t="inlineStr"/>
    </row>
    <row r="719" ht="15" customHeight="1">
      <c r="A719" t="inlineStr">
        <is>
          <t>A 48663-2023</t>
        </is>
      </c>
      <c r="B719" s="1" t="n">
        <v>45202</v>
      </c>
      <c r="C719" s="1" t="n">
        <v>45886</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4476-2025</t>
        </is>
      </c>
      <c r="B720" s="1" t="n">
        <v>45686.62828703703</v>
      </c>
      <c r="C720" s="1" t="n">
        <v>45886</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35792-2024</t>
        </is>
      </c>
      <c r="B721" s="1" t="n">
        <v>45532.62950231481</v>
      </c>
      <c r="C721" s="1" t="n">
        <v>45886</v>
      </c>
      <c r="D721" t="inlineStr">
        <is>
          <t>JÄMTLANDS LÄN</t>
        </is>
      </c>
      <c r="E721" t="inlineStr">
        <is>
          <t>BERG</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9252-2025</t>
        </is>
      </c>
      <c r="B722" s="1" t="n">
        <v>45714.59415509259</v>
      </c>
      <c r="C722" s="1" t="n">
        <v>45886</v>
      </c>
      <c r="D722" t="inlineStr">
        <is>
          <t>JÄMTLANDS LÄN</t>
        </is>
      </c>
      <c r="E722" t="inlineStr">
        <is>
          <t>BERG</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10957-2025</t>
        </is>
      </c>
      <c r="B723" s="1" t="n">
        <v>45723.3624537037</v>
      </c>
      <c r="C723" s="1" t="n">
        <v>45886</v>
      </c>
      <c r="D723" t="inlineStr">
        <is>
          <t>JÄMTLANDS LÄN</t>
        </is>
      </c>
      <c r="E723" t="inlineStr">
        <is>
          <t>BERG</t>
        </is>
      </c>
      <c r="G723" t="n">
        <v>5.6</v>
      </c>
      <c r="H723" t="n">
        <v>0</v>
      </c>
      <c r="I723" t="n">
        <v>0</v>
      </c>
      <c r="J723" t="n">
        <v>0</v>
      </c>
      <c r="K723" t="n">
        <v>0</v>
      </c>
      <c r="L723" t="n">
        <v>0</v>
      </c>
      <c r="M723" t="n">
        <v>0</v>
      </c>
      <c r="N723" t="n">
        <v>0</v>
      </c>
      <c r="O723" t="n">
        <v>0</v>
      </c>
      <c r="P723" t="n">
        <v>0</v>
      </c>
      <c r="Q723" t="n">
        <v>0</v>
      </c>
      <c r="R723" s="2" t="inlineStr"/>
    </row>
    <row r="724" ht="15" customHeight="1">
      <c r="A724" t="inlineStr">
        <is>
          <t>A 10974-2025</t>
        </is>
      </c>
      <c r="B724" s="1" t="n">
        <v>45723.38790509259</v>
      </c>
      <c r="C724" s="1" t="n">
        <v>45886</v>
      </c>
      <c r="D724" t="inlineStr">
        <is>
          <t>JÄMTLANDS LÄN</t>
        </is>
      </c>
      <c r="E724" t="inlineStr">
        <is>
          <t>BERG</t>
        </is>
      </c>
      <c r="G724" t="n">
        <v>6.9</v>
      </c>
      <c r="H724" t="n">
        <v>0</v>
      </c>
      <c r="I724" t="n">
        <v>0</v>
      </c>
      <c r="J724" t="n">
        <v>0</v>
      </c>
      <c r="K724" t="n">
        <v>0</v>
      </c>
      <c r="L724" t="n">
        <v>0</v>
      </c>
      <c r="M724" t="n">
        <v>0</v>
      </c>
      <c r="N724" t="n">
        <v>0</v>
      </c>
      <c r="O724" t="n">
        <v>0</v>
      </c>
      <c r="P724" t="n">
        <v>0</v>
      </c>
      <c r="Q724" t="n">
        <v>0</v>
      </c>
      <c r="R724" s="2" t="inlineStr"/>
    </row>
    <row r="725" ht="15" customHeight="1">
      <c r="A725" t="inlineStr">
        <is>
          <t>A 40990-2022</t>
        </is>
      </c>
      <c r="B725" s="1" t="n">
        <v>44823</v>
      </c>
      <c r="C725" s="1" t="n">
        <v>45886</v>
      </c>
      <c r="D725" t="inlineStr">
        <is>
          <t>JÄMTLANDS LÄN</t>
        </is>
      </c>
      <c r="E725" t="inlineStr">
        <is>
          <t>BERG</t>
        </is>
      </c>
      <c r="G725" t="n">
        <v>11.7</v>
      </c>
      <c r="H725" t="n">
        <v>0</v>
      </c>
      <c r="I725" t="n">
        <v>0</v>
      </c>
      <c r="J725" t="n">
        <v>0</v>
      </c>
      <c r="K725" t="n">
        <v>0</v>
      </c>
      <c r="L725" t="n">
        <v>0</v>
      </c>
      <c r="M725" t="n">
        <v>0</v>
      </c>
      <c r="N725" t="n">
        <v>0</v>
      </c>
      <c r="O725" t="n">
        <v>0</v>
      </c>
      <c r="P725" t="n">
        <v>0</v>
      </c>
      <c r="Q725" t="n">
        <v>0</v>
      </c>
      <c r="R725" s="2" t="inlineStr"/>
    </row>
    <row r="726" ht="15" customHeight="1">
      <c r="A726" t="inlineStr">
        <is>
          <t>A 41069-2022</t>
        </is>
      </c>
      <c r="B726" s="1" t="n">
        <v>44825.60015046296</v>
      </c>
      <c r="C726" s="1" t="n">
        <v>45886</v>
      </c>
      <c r="D726" t="inlineStr">
        <is>
          <t>JÄMTLANDS LÄN</t>
        </is>
      </c>
      <c r="E726" t="inlineStr">
        <is>
          <t>BERG</t>
        </is>
      </c>
      <c r="G726" t="n">
        <v>1.5</v>
      </c>
      <c r="H726" t="n">
        <v>0</v>
      </c>
      <c r="I726" t="n">
        <v>0</v>
      </c>
      <c r="J726" t="n">
        <v>0</v>
      </c>
      <c r="K726" t="n">
        <v>0</v>
      </c>
      <c r="L726" t="n">
        <v>0</v>
      </c>
      <c r="M726" t="n">
        <v>0</v>
      </c>
      <c r="N726" t="n">
        <v>0</v>
      </c>
      <c r="O726" t="n">
        <v>0</v>
      </c>
      <c r="P726" t="n">
        <v>0</v>
      </c>
      <c r="Q726" t="n">
        <v>0</v>
      </c>
      <c r="R726" s="2" t="inlineStr"/>
    </row>
    <row r="727" ht="15" customHeight="1">
      <c r="A727" t="inlineStr">
        <is>
          <t>A 8733-2024</t>
        </is>
      </c>
      <c r="B727" s="1" t="n">
        <v>45355</v>
      </c>
      <c r="C727" s="1" t="n">
        <v>45886</v>
      </c>
      <c r="D727" t="inlineStr">
        <is>
          <t>JÄMTLANDS LÄN</t>
        </is>
      </c>
      <c r="E727" t="inlineStr">
        <is>
          <t>BERG</t>
        </is>
      </c>
      <c r="G727" t="n">
        <v>1.9</v>
      </c>
      <c r="H727" t="n">
        <v>0</v>
      </c>
      <c r="I727" t="n">
        <v>0</v>
      </c>
      <c r="J727" t="n">
        <v>0</v>
      </c>
      <c r="K727" t="n">
        <v>0</v>
      </c>
      <c r="L727" t="n">
        <v>0</v>
      </c>
      <c r="M727" t="n">
        <v>0</v>
      </c>
      <c r="N727" t="n">
        <v>0</v>
      </c>
      <c r="O727" t="n">
        <v>0</v>
      </c>
      <c r="P727" t="n">
        <v>0</v>
      </c>
      <c r="Q727" t="n">
        <v>0</v>
      </c>
      <c r="R727" s="2" t="inlineStr"/>
    </row>
    <row r="728" ht="15" customHeight="1">
      <c r="A728" t="inlineStr">
        <is>
          <t>A 51951-2021</t>
        </is>
      </c>
      <c r="B728" s="1" t="n">
        <v>44462</v>
      </c>
      <c r="C728" s="1" t="n">
        <v>45886</v>
      </c>
      <c r="D728" t="inlineStr">
        <is>
          <t>JÄMTLANDS LÄN</t>
        </is>
      </c>
      <c r="E728" t="inlineStr">
        <is>
          <t>BERG</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18752-2024</t>
        </is>
      </c>
      <c r="B729" s="1" t="n">
        <v>45426.54224537037</v>
      </c>
      <c r="C729" s="1" t="n">
        <v>45886</v>
      </c>
      <c r="D729" t="inlineStr">
        <is>
          <t>JÄMTLANDS LÄN</t>
        </is>
      </c>
      <c r="E729" t="inlineStr">
        <is>
          <t>BERG</t>
        </is>
      </c>
      <c r="G729" t="n">
        <v>0.7</v>
      </c>
      <c r="H729" t="n">
        <v>0</v>
      </c>
      <c r="I729" t="n">
        <v>0</v>
      </c>
      <c r="J729" t="n">
        <v>0</v>
      </c>
      <c r="K729" t="n">
        <v>0</v>
      </c>
      <c r="L729" t="n">
        <v>0</v>
      </c>
      <c r="M729" t="n">
        <v>0</v>
      </c>
      <c r="N729" t="n">
        <v>0</v>
      </c>
      <c r="O729" t="n">
        <v>0</v>
      </c>
      <c r="P729" t="n">
        <v>0</v>
      </c>
      <c r="Q729" t="n">
        <v>0</v>
      </c>
      <c r="R729" s="2" t="inlineStr"/>
    </row>
    <row r="730" ht="15" customHeight="1">
      <c r="A730" t="inlineStr">
        <is>
          <t>A 18261-2022</t>
        </is>
      </c>
      <c r="B730" s="1" t="n">
        <v>44685.45633101852</v>
      </c>
      <c r="C730" s="1" t="n">
        <v>45886</v>
      </c>
      <c r="D730" t="inlineStr">
        <is>
          <t>JÄMTLANDS LÄN</t>
        </is>
      </c>
      <c r="E730" t="inlineStr">
        <is>
          <t>BERG</t>
        </is>
      </c>
      <c r="G730" t="n">
        <v>3</v>
      </c>
      <c r="H730" t="n">
        <v>0</v>
      </c>
      <c r="I730" t="n">
        <v>0</v>
      </c>
      <c r="J730" t="n">
        <v>0</v>
      </c>
      <c r="K730" t="n">
        <v>0</v>
      </c>
      <c r="L730" t="n">
        <v>0</v>
      </c>
      <c r="M730" t="n">
        <v>0</v>
      </c>
      <c r="N730" t="n">
        <v>0</v>
      </c>
      <c r="O730" t="n">
        <v>0</v>
      </c>
      <c r="P730" t="n">
        <v>0</v>
      </c>
      <c r="Q730" t="n">
        <v>0</v>
      </c>
      <c r="R730" s="2" t="inlineStr"/>
    </row>
    <row r="731" ht="15" customHeight="1">
      <c r="A731" t="inlineStr">
        <is>
          <t>A 36287-2024</t>
        </is>
      </c>
      <c r="B731" s="1" t="n">
        <v>45534</v>
      </c>
      <c r="C731" s="1" t="n">
        <v>45886</v>
      </c>
      <c r="D731" t="inlineStr">
        <is>
          <t>JÄMTLANDS LÄN</t>
        </is>
      </c>
      <c r="E731" t="inlineStr">
        <is>
          <t>BERG</t>
        </is>
      </c>
      <c r="F731" t="inlineStr">
        <is>
          <t>Kyrkan</t>
        </is>
      </c>
      <c r="G731" t="n">
        <v>0.8</v>
      </c>
      <c r="H731" t="n">
        <v>0</v>
      </c>
      <c r="I731" t="n">
        <v>0</v>
      </c>
      <c r="J731" t="n">
        <v>0</v>
      </c>
      <c r="K731" t="n">
        <v>0</v>
      </c>
      <c r="L731" t="n">
        <v>0</v>
      </c>
      <c r="M731" t="n">
        <v>0</v>
      </c>
      <c r="N731" t="n">
        <v>0</v>
      </c>
      <c r="O731" t="n">
        <v>0</v>
      </c>
      <c r="P731" t="n">
        <v>0</v>
      </c>
      <c r="Q731" t="n">
        <v>0</v>
      </c>
      <c r="R731" s="2" t="inlineStr"/>
    </row>
    <row r="732" ht="15" customHeight="1">
      <c r="A732" t="inlineStr">
        <is>
          <t>A 16022-2025</t>
        </is>
      </c>
      <c r="B732" s="1" t="n">
        <v>45749.60973379629</v>
      </c>
      <c r="C732" s="1" t="n">
        <v>45886</v>
      </c>
      <c r="D732" t="inlineStr">
        <is>
          <t>JÄMTLANDS LÄN</t>
        </is>
      </c>
      <c r="E732" t="inlineStr">
        <is>
          <t>BERG</t>
        </is>
      </c>
      <c r="G732" t="n">
        <v>2</v>
      </c>
      <c r="H732" t="n">
        <v>0</v>
      </c>
      <c r="I732" t="n">
        <v>0</v>
      </c>
      <c r="J732" t="n">
        <v>0</v>
      </c>
      <c r="K732" t="n">
        <v>0</v>
      </c>
      <c r="L732" t="n">
        <v>0</v>
      </c>
      <c r="M732" t="n">
        <v>0</v>
      </c>
      <c r="N732" t="n">
        <v>0</v>
      </c>
      <c r="O732" t="n">
        <v>0</v>
      </c>
      <c r="P732" t="n">
        <v>0</v>
      </c>
      <c r="Q732" t="n">
        <v>0</v>
      </c>
      <c r="R732" s="2" t="inlineStr"/>
    </row>
    <row r="733" ht="15" customHeight="1">
      <c r="A733" t="inlineStr">
        <is>
          <t>A 61837-2023</t>
        </is>
      </c>
      <c r="B733" s="1" t="n">
        <v>45264</v>
      </c>
      <c r="C733" s="1" t="n">
        <v>45886</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13524-2024</t>
        </is>
      </c>
      <c r="B734" s="1" t="n">
        <v>45387.78174768519</v>
      </c>
      <c r="C734" s="1" t="n">
        <v>45886</v>
      </c>
      <c r="D734" t="inlineStr">
        <is>
          <t>JÄMTLANDS LÄN</t>
        </is>
      </c>
      <c r="E734" t="inlineStr">
        <is>
          <t>BERG</t>
        </is>
      </c>
      <c r="G734" t="n">
        <v>0.6</v>
      </c>
      <c r="H734" t="n">
        <v>0</v>
      </c>
      <c r="I734" t="n">
        <v>0</v>
      </c>
      <c r="J734" t="n">
        <v>0</v>
      </c>
      <c r="K734" t="n">
        <v>0</v>
      </c>
      <c r="L734" t="n">
        <v>0</v>
      </c>
      <c r="M734" t="n">
        <v>0</v>
      </c>
      <c r="N734" t="n">
        <v>0</v>
      </c>
      <c r="O734" t="n">
        <v>0</v>
      </c>
      <c r="P734" t="n">
        <v>0</v>
      </c>
      <c r="Q734" t="n">
        <v>0</v>
      </c>
      <c r="R734" s="2" t="inlineStr"/>
    </row>
    <row r="735" ht="15" customHeight="1">
      <c r="A735" t="inlineStr">
        <is>
          <t>A 8065-2024</t>
        </is>
      </c>
      <c r="B735" s="1" t="n">
        <v>45351.40697916667</v>
      </c>
      <c r="C735" s="1" t="n">
        <v>45886</v>
      </c>
      <c r="D735" t="inlineStr">
        <is>
          <t>JÄMTLANDS LÄN</t>
        </is>
      </c>
      <c r="E735" t="inlineStr">
        <is>
          <t>BERG</t>
        </is>
      </c>
      <c r="G735" t="n">
        <v>6.9</v>
      </c>
      <c r="H735" t="n">
        <v>0</v>
      </c>
      <c r="I735" t="n">
        <v>0</v>
      </c>
      <c r="J735" t="n">
        <v>0</v>
      </c>
      <c r="K735" t="n">
        <v>0</v>
      </c>
      <c r="L735" t="n">
        <v>0</v>
      </c>
      <c r="M735" t="n">
        <v>0</v>
      </c>
      <c r="N735" t="n">
        <v>0</v>
      </c>
      <c r="O735" t="n">
        <v>0</v>
      </c>
      <c r="P735" t="n">
        <v>0</v>
      </c>
      <c r="Q735" t="n">
        <v>0</v>
      </c>
      <c r="R735" s="2" t="inlineStr"/>
    </row>
    <row r="736" ht="15" customHeight="1">
      <c r="A736" t="inlineStr">
        <is>
          <t>A 29581-2024</t>
        </is>
      </c>
      <c r="B736" s="1" t="n">
        <v>45484.5740162037</v>
      </c>
      <c r="C736" s="1" t="n">
        <v>45886</v>
      </c>
      <c r="D736" t="inlineStr">
        <is>
          <t>JÄMTLANDS LÄN</t>
        </is>
      </c>
      <c r="E736" t="inlineStr">
        <is>
          <t>BERG</t>
        </is>
      </c>
      <c r="G736" t="n">
        <v>16.7</v>
      </c>
      <c r="H736" t="n">
        <v>0</v>
      </c>
      <c r="I736" t="n">
        <v>0</v>
      </c>
      <c r="J736" t="n">
        <v>0</v>
      </c>
      <c r="K736" t="n">
        <v>0</v>
      </c>
      <c r="L736" t="n">
        <v>0</v>
      </c>
      <c r="M736" t="n">
        <v>0</v>
      </c>
      <c r="N736" t="n">
        <v>0</v>
      </c>
      <c r="O736" t="n">
        <v>0</v>
      </c>
      <c r="P736" t="n">
        <v>0</v>
      </c>
      <c r="Q736" t="n">
        <v>0</v>
      </c>
      <c r="R736" s="2" t="inlineStr"/>
    </row>
    <row r="737" ht="15" customHeight="1">
      <c r="A737" t="inlineStr">
        <is>
          <t>A 20899-2023</t>
        </is>
      </c>
      <c r="B737" s="1" t="n">
        <v>45060</v>
      </c>
      <c r="C737" s="1" t="n">
        <v>45886</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14594-2025</t>
        </is>
      </c>
      <c r="B738" s="1" t="n">
        <v>45742.34414351852</v>
      </c>
      <c r="C738" s="1" t="n">
        <v>45886</v>
      </c>
      <c r="D738" t="inlineStr">
        <is>
          <t>JÄMTLANDS LÄN</t>
        </is>
      </c>
      <c r="E738" t="inlineStr">
        <is>
          <t>BERG</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14596-2025</t>
        </is>
      </c>
      <c r="B739" s="1" t="n">
        <v>45742.34449074074</v>
      </c>
      <c r="C739" s="1" t="n">
        <v>45886</v>
      </c>
      <c r="D739" t="inlineStr">
        <is>
          <t>JÄMTLANDS LÄN</t>
        </is>
      </c>
      <c r="E739" t="inlineStr">
        <is>
          <t>BERG</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5644-2025</t>
        </is>
      </c>
      <c r="B740" s="1" t="n">
        <v>45693.6833449074</v>
      </c>
      <c r="C740" s="1" t="n">
        <v>45886</v>
      </c>
      <c r="D740" t="inlineStr">
        <is>
          <t>JÄMTLANDS LÄN</t>
        </is>
      </c>
      <c r="E740" t="inlineStr">
        <is>
          <t>BERG</t>
        </is>
      </c>
      <c r="G740" t="n">
        <v>2.1</v>
      </c>
      <c r="H740" t="n">
        <v>0</v>
      </c>
      <c r="I740" t="n">
        <v>0</v>
      </c>
      <c r="J740" t="n">
        <v>0</v>
      </c>
      <c r="K740" t="n">
        <v>0</v>
      </c>
      <c r="L740" t="n">
        <v>0</v>
      </c>
      <c r="M740" t="n">
        <v>0</v>
      </c>
      <c r="N740" t="n">
        <v>0</v>
      </c>
      <c r="O740" t="n">
        <v>0</v>
      </c>
      <c r="P740" t="n">
        <v>0</v>
      </c>
      <c r="Q740" t="n">
        <v>0</v>
      </c>
      <c r="R740" s="2" t="inlineStr"/>
    </row>
    <row r="741" ht="15" customHeight="1">
      <c r="A741" t="inlineStr">
        <is>
          <t>A 60076-2024</t>
        </is>
      </c>
      <c r="B741" s="1" t="n">
        <v>45642.53166666667</v>
      </c>
      <c r="C741" s="1" t="n">
        <v>45886</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8238-2024</t>
        </is>
      </c>
      <c r="B742" s="1" t="n">
        <v>45351.98450231482</v>
      </c>
      <c r="C742" s="1" t="n">
        <v>45886</v>
      </c>
      <c r="D742" t="inlineStr">
        <is>
          <t>JÄMTLANDS LÄN</t>
        </is>
      </c>
      <c r="E742" t="inlineStr">
        <is>
          <t>BERG</t>
        </is>
      </c>
      <c r="F742" t="inlineStr">
        <is>
          <t>SCA</t>
        </is>
      </c>
      <c r="G742" t="n">
        <v>5.6</v>
      </c>
      <c r="H742" t="n">
        <v>0</v>
      </c>
      <c r="I742" t="n">
        <v>0</v>
      </c>
      <c r="J742" t="n">
        <v>0</v>
      </c>
      <c r="K742" t="n">
        <v>0</v>
      </c>
      <c r="L742" t="n">
        <v>0</v>
      </c>
      <c r="M742" t="n">
        <v>0</v>
      </c>
      <c r="N742" t="n">
        <v>0</v>
      </c>
      <c r="O742" t="n">
        <v>0</v>
      </c>
      <c r="P742" t="n">
        <v>0</v>
      </c>
      <c r="Q742" t="n">
        <v>0</v>
      </c>
      <c r="R742" s="2" t="inlineStr"/>
    </row>
    <row r="743" ht="15" customHeight="1">
      <c r="A743" t="inlineStr">
        <is>
          <t>A 43279-2024</t>
        </is>
      </c>
      <c r="B743" s="1" t="n">
        <v>45568.3975462963</v>
      </c>
      <c r="C743" s="1" t="n">
        <v>45886</v>
      </c>
      <c r="D743" t="inlineStr">
        <is>
          <t>JÄMTLANDS LÄN</t>
        </is>
      </c>
      <c r="E743" t="inlineStr">
        <is>
          <t>BERG</t>
        </is>
      </c>
      <c r="G743" t="n">
        <v>7.6</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45886</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15992-2025</t>
        </is>
      </c>
      <c r="B745" s="1" t="n">
        <v>45749.58319444444</v>
      </c>
      <c r="C745" s="1" t="n">
        <v>45886</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7744-2024</t>
        </is>
      </c>
      <c r="B746" s="1" t="n">
        <v>45349</v>
      </c>
      <c r="C746" s="1" t="n">
        <v>45886</v>
      </c>
      <c r="D746" t="inlineStr">
        <is>
          <t>JÄMTLANDS LÄN</t>
        </is>
      </c>
      <c r="E746" t="inlineStr">
        <is>
          <t>BERG</t>
        </is>
      </c>
      <c r="G746" t="n">
        <v>1.7</v>
      </c>
      <c r="H746" t="n">
        <v>0</v>
      </c>
      <c r="I746" t="n">
        <v>0</v>
      </c>
      <c r="J746" t="n">
        <v>0</v>
      </c>
      <c r="K746" t="n">
        <v>0</v>
      </c>
      <c r="L746" t="n">
        <v>0</v>
      </c>
      <c r="M746" t="n">
        <v>0</v>
      </c>
      <c r="N746" t="n">
        <v>0</v>
      </c>
      <c r="O746" t="n">
        <v>0</v>
      </c>
      <c r="P746" t="n">
        <v>0</v>
      </c>
      <c r="Q746" t="n">
        <v>0</v>
      </c>
      <c r="R746" s="2" t="inlineStr"/>
    </row>
    <row r="747" ht="15" customHeight="1">
      <c r="A747" t="inlineStr">
        <is>
          <t>A 60404-2023</t>
        </is>
      </c>
      <c r="B747" s="1" t="n">
        <v>45259.46332175926</v>
      </c>
      <c r="C747" s="1" t="n">
        <v>45886</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21521-2024</t>
        </is>
      </c>
      <c r="B748" s="1" t="n">
        <v>45441.58313657407</v>
      </c>
      <c r="C748" s="1" t="n">
        <v>45886</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60587-2022</t>
        </is>
      </c>
      <c r="B749" s="1" t="n">
        <v>44911.58445601852</v>
      </c>
      <c r="C749" s="1" t="n">
        <v>45886</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44110-2022</t>
        </is>
      </c>
      <c r="B750" s="1" t="n">
        <v>44837</v>
      </c>
      <c r="C750" s="1" t="n">
        <v>45886</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11274-2025</t>
        </is>
      </c>
      <c r="B751" s="1" t="n">
        <v>45726.40868055556</v>
      </c>
      <c r="C751" s="1" t="n">
        <v>45886</v>
      </c>
      <c r="D751" t="inlineStr">
        <is>
          <t>JÄMTLANDS LÄN</t>
        </is>
      </c>
      <c r="E751" t="inlineStr">
        <is>
          <t>BERG</t>
        </is>
      </c>
      <c r="G751" t="n">
        <v>3</v>
      </c>
      <c r="H751" t="n">
        <v>0</v>
      </c>
      <c r="I751" t="n">
        <v>0</v>
      </c>
      <c r="J751" t="n">
        <v>0</v>
      </c>
      <c r="K751" t="n">
        <v>0</v>
      </c>
      <c r="L751" t="n">
        <v>0</v>
      </c>
      <c r="M751" t="n">
        <v>0</v>
      </c>
      <c r="N751" t="n">
        <v>0</v>
      </c>
      <c r="O751" t="n">
        <v>0</v>
      </c>
      <c r="P751" t="n">
        <v>0</v>
      </c>
      <c r="Q751" t="n">
        <v>0</v>
      </c>
      <c r="R751" s="2" t="inlineStr"/>
    </row>
    <row r="752" ht="15" customHeight="1">
      <c r="A752" t="inlineStr">
        <is>
          <t>A 16553-2025</t>
        </is>
      </c>
      <c r="B752" s="1" t="n">
        <v>45751.69967592593</v>
      </c>
      <c r="C752" s="1" t="n">
        <v>45886</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10230-2024</t>
        </is>
      </c>
      <c r="B753" s="1" t="n">
        <v>45365.31883101852</v>
      </c>
      <c r="C753" s="1" t="n">
        <v>45886</v>
      </c>
      <c r="D753" t="inlineStr">
        <is>
          <t>JÄMTLANDS LÄN</t>
        </is>
      </c>
      <c r="E753" t="inlineStr">
        <is>
          <t>BERG</t>
        </is>
      </c>
      <c r="G753" t="n">
        <v>6.3</v>
      </c>
      <c r="H753" t="n">
        <v>0</v>
      </c>
      <c r="I753" t="n">
        <v>0</v>
      </c>
      <c r="J753" t="n">
        <v>0</v>
      </c>
      <c r="K753" t="n">
        <v>0</v>
      </c>
      <c r="L753" t="n">
        <v>0</v>
      </c>
      <c r="M753" t="n">
        <v>0</v>
      </c>
      <c r="N753" t="n">
        <v>0</v>
      </c>
      <c r="O753" t="n">
        <v>0</v>
      </c>
      <c r="P753" t="n">
        <v>0</v>
      </c>
      <c r="Q753" t="n">
        <v>0</v>
      </c>
      <c r="R753" s="2" t="inlineStr"/>
    </row>
    <row r="754" ht="15" customHeight="1">
      <c r="A754" t="inlineStr">
        <is>
          <t>A 49277-2024</t>
        </is>
      </c>
      <c r="B754" s="1" t="n">
        <v>45595.50820601852</v>
      </c>
      <c r="C754" s="1" t="n">
        <v>45886</v>
      </c>
      <c r="D754" t="inlineStr">
        <is>
          <t>JÄMTLANDS LÄN</t>
        </is>
      </c>
      <c r="E754" t="inlineStr">
        <is>
          <t>BERG</t>
        </is>
      </c>
      <c r="G754" t="n">
        <v>1.3</v>
      </c>
      <c r="H754" t="n">
        <v>0</v>
      </c>
      <c r="I754" t="n">
        <v>0</v>
      </c>
      <c r="J754" t="n">
        <v>0</v>
      </c>
      <c r="K754" t="n">
        <v>0</v>
      </c>
      <c r="L754" t="n">
        <v>0</v>
      </c>
      <c r="M754" t="n">
        <v>0</v>
      </c>
      <c r="N754" t="n">
        <v>0</v>
      </c>
      <c r="O754" t="n">
        <v>0</v>
      </c>
      <c r="P754" t="n">
        <v>0</v>
      </c>
      <c r="Q754" t="n">
        <v>0</v>
      </c>
      <c r="R754" s="2" t="inlineStr"/>
    </row>
    <row r="755" ht="15" customHeight="1">
      <c r="A755" t="inlineStr">
        <is>
          <t>A 20270-2024</t>
        </is>
      </c>
      <c r="B755" s="1" t="n">
        <v>45434.94905092593</v>
      </c>
      <c r="C755" s="1" t="n">
        <v>45886</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60331-2023</t>
        </is>
      </c>
      <c r="B756" s="1" t="n">
        <v>45258</v>
      </c>
      <c r="C756" s="1" t="n">
        <v>45886</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50172-2023</t>
        </is>
      </c>
      <c r="B757" s="1" t="n">
        <v>45208</v>
      </c>
      <c r="C757" s="1" t="n">
        <v>45886</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59498-2024</t>
        </is>
      </c>
      <c r="B758" s="1" t="n">
        <v>45638.54635416667</v>
      </c>
      <c r="C758" s="1" t="n">
        <v>45886</v>
      </c>
      <c r="D758" t="inlineStr">
        <is>
          <t>JÄMTLANDS LÄN</t>
        </is>
      </c>
      <c r="E758" t="inlineStr">
        <is>
          <t>BERG</t>
        </is>
      </c>
      <c r="G758" t="n">
        <v>2.4</v>
      </c>
      <c r="H758" t="n">
        <v>0</v>
      </c>
      <c r="I758" t="n">
        <v>0</v>
      </c>
      <c r="J758" t="n">
        <v>0</v>
      </c>
      <c r="K758" t="n">
        <v>0</v>
      </c>
      <c r="L758" t="n">
        <v>0</v>
      </c>
      <c r="M758" t="n">
        <v>0</v>
      </c>
      <c r="N758" t="n">
        <v>0</v>
      </c>
      <c r="O758" t="n">
        <v>0</v>
      </c>
      <c r="P758" t="n">
        <v>0</v>
      </c>
      <c r="Q758" t="n">
        <v>0</v>
      </c>
      <c r="R758" s="2" t="inlineStr"/>
    </row>
    <row r="759">
      <c r="A759" t="inlineStr">
        <is>
          <t>A 56420-2024</t>
        </is>
      </c>
      <c r="B759" s="1" t="n">
        <v>45625.38199074074</v>
      </c>
      <c r="C759" s="1" t="n">
        <v>45886</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2025-08-17T08:28:06Z</dcterms:created>
  <dcterms:modified xmlns:dcterms="http://purl.org/dc/terms/" xmlns:xsi="http://www.w3.org/2001/XMLSchema-instance" xsi:type="dcterms:W3CDTF">2025-08-17T08:28:07Z</dcterms:modified>
</cp:coreProperties>
</file>