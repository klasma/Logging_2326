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46063</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46063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46063</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46063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46063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46063</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46063</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46063</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46063</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46063</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46063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46063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46063</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46063</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46063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46063</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7473-2023</t>
        </is>
      </c>
      <c r="B35" s="1" t="n">
        <v>44966</v>
      </c>
      <c r="C35" s="1" t="n">
        <v>46063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46063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46063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46063</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20809-2025</t>
        </is>
      </c>
      <c r="B39" s="1" t="n">
        <v>45776</v>
      </c>
      <c r="C39" s="1" t="n">
        <v>46063</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46063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46063</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46063</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46063</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46063</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46063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46063</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46063</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46063</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46063</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46063</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27571-2025</t>
        </is>
      </c>
      <c r="B52" s="1" t="n">
        <v>45813.49040509259</v>
      </c>
      <c r="C52" s="1" t="n">
        <v>46063</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31719-2022</t>
        </is>
      </c>
      <c r="B53" s="1" t="n">
        <v>44776</v>
      </c>
      <c r="C53" s="1" t="n">
        <v>46063</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46063</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16508-2021</t>
        </is>
      </c>
      <c r="B55" s="1" t="n">
        <v>44293</v>
      </c>
      <c r="C55" s="1" t="n">
        <v>46063</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46063</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49626-2024</t>
        </is>
      </c>
      <c r="B57" s="1" t="n">
        <v>45596.59109953704</v>
      </c>
      <c r="C57" s="1" t="n">
        <v>46063</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17078-2024</t>
        </is>
      </c>
      <c r="B58" s="1" t="n">
        <v>45412</v>
      </c>
      <c r="C58" s="1" t="n">
        <v>46063</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24670-2025</t>
        </is>
      </c>
      <c r="B59" s="1" t="n">
        <v>45798.64947916667</v>
      </c>
      <c r="C59" s="1" t="n">
        <v>46063</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46063</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12973-2024</t>
        </is>
      </c>
      <c r="B61" s="1" t="n">
        <v>45385.51104166666</v>
      </c>
      <c r="C61" s="1" t="n">
        <v>46063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46063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46063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46063</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56203-2021</t>
        </is>
      </c>
      <c r="B65" s="1" t="n">
        <v>44477</v>
      </c>
      <c r="C65" s="1" t="n">
        <v>46063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46063</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19530-2025</t>
        </is>
      </c>
      <c r="B67" s="1" t="n">
        <v>45770.46903935185</v>
      </c>
      <c r="C67" s="1" t="n">
        <v>46063</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4333-2026</t>
        </is>
      </c>
      <c r="B68" s="1" t="n">
        <v>46045.485625</v>
      </c>
      <c r="C68" s="1" t="n">
        <v>46063</v>
      </c>
      <c r="D68" t="inlineStr">
        <is>
          <t>JÄMTLANDS LÄN</t>
        </is>
      </c>
      <c r="E68" t="inlineStr">
        <is>
          <t>BERG</t>
        </is>
      </c>
      <c r="G68" t="n">
        <v>31.5</v>
      </c>
      <c r="H68" t="n">
        <v>2</v>
      </c>
      <c r="I68" t="n">
        <v>0</v>
      </c>
      <c r="J68" t="n">
        <v>5</v>
      </c>
      <c r="K68" t="n">
        <v>0</v>
      </c>
      <c r="L68" t="n">
        <v>0</v>
      </c>
      <c r="M68" t="n">
        <v>0</v>
      </c>
      <c r="N68" t="n">
        <v>0</v>
      </c>
      <c r="O68" t="n">
        <v>5</v>
      </c>
      <c r="P68" t="n">
        <v>0</v>
      </c>
      <c r="Q68" t="n">
        <v>5</v>
      </c>
      <c r="R68" s="2" t="inlineStr">
        <is>
          <t>Granticka
Tallticka
Talltita
Tretåig hackspett
Ullticka</t>
        </is>
      </c>
      <c r="S68">
        <f>HYPERLINK("https://klasma.github.io/Logging_2326/artfynd/A 4333-2026 artfynd.xlsx", "A 4333-2026")</f>
        <v/>
      </c>
      <c r="T68">
        <f>HYPERLINK("https://klasma.github.io/Logging_2326/kartor/A 4333-2026 karta.png", "A 4333-2026")</f>
        <v/>
      </c>
      <c r="V68">
        <f>HYPERLINK("https://klasma.github.io/Logging_2326/klagomål/A 4333-2026 FSC-klagomål.docx", "A 4333-2026")</f>
        <v/>
      </c>
      <c r="W68">
        <f>HYPERLINK("https://klasma.github.io/Logging_2326/klagomålsmail/A 4333-2026 FSC-klagomål mail.docx", "A 4333-2026")</f>
        <v/>
      </c>
      <c r="X68">
        <f>HYPERLINK("https://klasma.github.io/Logging_2326/tillsyn/A 4333-2026 tillsynsbegäran.docx", "A 4333-2026")</f>
        <v/>
      </c>
      <c r="Y68">
        <f>HYPERLINK("https://klasma.github.io/Logging_2326/tillsynsmail/A 4333-2026 tillsynsbegäran mail.docx", "A 4333-2026")</f>
        <v/>
      </c>
      <c r="Z68">
        <f>HYPERLINK("https://klasma.github.io/Logging_2326/fåglar/A 4333-2026 prioriterade fågelarter.docx", "A 4333-2026")</f>
        <v/>
      </c>
    </row>
    <row r="69" ht="15" customHeight="1">
      <c r="A69" t="inlineStr">
        <is>
          <t>A 54979-2021</t>
        </is>
      </c>
      <c r="B69" s="1" t="n">
        <v>44474.53888888889</v>
      </c>
      <c r="C69" s="1" t="n">
        <v>46063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46063</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31715-2025</t>
        </is>
      </c>
      <c r="B72" s="1" t="n">
        <v>45834.45671296296</v>
      </c>
      <c r="C72" s="1" t="n">
        <v>46063</v>
      </c>
      <c r="D72" t="inlineStr">
        <is>
          <t>JÄMTLANDS LÄN</t>
        </is>
      </c>
      <c r="E72" t="inlineStr">
        <is>
          <t>BERG</t>
        </is>
      </c>
      <c r="G72" t="n">
        <v>1.6</v>
      </c>
      <c r="H72" t="n">
        <v>1</v>
      </c>
      <c r="I72" t="n">
        <v>1</v>
      </c>
      <c r="J72" t="n">
        <v>2</v>
      </c>
      <c r="K72" t="n">
        <v>1</v>
      </c>
      <c r="L72" t="n">
        <v>0</v>
      </c>
      <c r="M72" t="n">
        <v>0</v>
      </c>
      <c r="N72" t="n">
        <v>0</v>
      </c>
      <c r="O72" t="n">
        <v>3</v>
      </c>
      <c r="P72" t="n">
        <v>1</v>
      </c>
      <c r="Q72" t="n">
        <v>4</v>
      </c>
      <c r="R72" s="2" t="inlineStr">
        <is>
          <t>Knärot
Gammelgransskål
Garnlav
Norrlandslav</t>
        </is>
      </c>
      <c r="S72">
        <f>HYPERLINK("https://klasma.github.io/Logging_2326/artfynd/A 31715-2025 artfynd.xlsx", "A 31715-2025")</f>
        <v/>
      </c>
      <c r="T72">
        <f>HYPERLINK("https://klasma.github.io/Logging_2326/kartor/A 31715-2025 karta.png", "A 31715-2025")</f>
        <v/>
      </c>
      <c r="U72">
        <f>HYPERLINK("https://klasma.github.io/Logging_2326/knärot/A 31715-2025 karta knärot.png", "A 31715-2025")</f>
        <v/>
      </c>
      <c r="V72">
        <f>HYPERLINK("https://klasma.github.io/Logging_2326/klagomål/A 31715-2025 FSC-klagomål.docx", "A 31715-2025")</f>
        <v/>
      </c>
      <c r="W72">
        <f>HYPERLINK("https://klasma.github.io/Logging_2326/klagomålsmail/A 31715-2025 FSC-klagomål mail.docx", "A 31715-2025")</f>
        <v/>
      </c>
      <c r="X72">
        <f>HYPERLINK("https://klasma.github.io/Logging_2326/tillsyn/A 31715-2025 tillsynsbegäran.docx", "A 31715-2025")</f>
        <v/>
      </c>
      <c r="Y72">
        <f>HYPERLINK("https://klasma.github.io/Logging_2326/tillsynsmail/A 31715-2025 tillsynsbegäran mail.docx", "A 31715-2025")</f>
        <v/>
      </c>
    </row>
    <row r="73" ht="15" customHeight="1">
      <c r="A73" t="inlineStr">
        <is>
          <t>A 31742-2025</t>
        </is>
      </c>
      <c r="B73" s="1" t="n">
        <v>45834.47548611111</v>
      </c>
      <c r="C73" s="1" t="n">
        <v>46063</v>
      </c>
      <c r="D73" t="inlineStr">
        <is>
          <t>JÄMTLANDS LÄN</t>
        </is>
      </c>
      <c r="E73" t="inlineStr">
        <is>
          <t>BERG</t>
        </is>
      </c>
      <c r="G73" t="n">
        <v>10.7</v>
      </c>
      <c r="H73" t="n">
        <v>0</v>
      </c>
      <c r="I73" t="n">
        <v>0</v>
      </c>
      <c r="J73" t="n">
        <v>4</v>
      </c>
      <c r="K73" t="n">
        <v>0</v>
      </c>
      <c r="L73" t="n">
        <v>0</v>
      </c>
      <c r="M73" t="n">
        <v>0</v>
      </c>
      <c r="N73" t="n">
        <v>0</v>
      </c>
      <c r="O73" t="n">
        <v>4</v>
      </c>
      <c r="P73" t="n">
        <v>0</v>
      </c>
      <c r="Q73" t="n">
        <v>4</v>
      </c>
      <c r="R73" s="2" t="inlineStr">
        <is>
          <t>Blågrå svartspik
Dvärgbägarlav
Kolflarnlav
Mörk kolflarnlav</t>
        </is>
      </c>
      <c r="S73">
        <f>HYPERLINK("https://klasma.github.io/Logging_2326/artfynd/A 31742-2025 artfynd.xlsx", "A 31742-2025")</f>
        <v/>
      </c>
      <c r="T73">
        <f>HYPERLINK("https://klasma.github.io/Logging_2326/kartor/A 31742-2025 karta.png", "A 31742-2025")</f>
        <v/>
      </c>
      <c r="V73">
        <f>HYPERLINK("https://klasma.github.io/Logging_2326/klagomål/A 31742-2025 FSC-klagomål.docx", "A 31742-2025")</f>
        <v/>
      </c>
      <c r="W73">
        <f>HYPERLINK("https://klasma.github.io/Logging_2326/klagomålsmail/A 31742-2025 FSC-klagomål mail.docx", "A 31742-2025")</f>
        <v/>
      </c>
      <c r="X73">
        <f>HYPERLINK("https://klasma.github.io/Logging_2326/tillsyn/A 31742-2025 tillsynsbegäran.docx", "A 31742-2025")</f>
        <v/>
      </c>
      <c r="Y73">
        <f>HYPERLINK("https://klasma.github.io/Logging_2326/tillsynsmail/A 31742-2025 tillsynsbegäran mail.docx", "A 31742-2025")</f>
        <v/>
      </c>
    </row>
    <row r="74" ht="15" customHeight="1">
      <c r="A74" t="inlineStr">
        <is>
          <t>A 45424-2024</t>
        </is>
      </c>
      <c r="B74" s="1" t="n">
        <v>45576.60398148148</v>
      </c>
      <c r="C74" s="1" t="n">
        <v>46063</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40913-2025</t>
        </is>
      </c>
      <c r="B75" s="1" t="n">
        <v>45897.61719907408</v>
      </c>
      <c r="C75" s="1" t="n">
        <v>46063</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56224-2024</t>
        </is>
      </c>
      <c r="B76" s="1" t="n">
        <v>45624.61491898148</v>
      </c>
      <c r="C76" s="1" t="n">
        <v>46063</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27100-2025</t>
        </is>
      </c>
      <c r="B77" s="1" t="n">
        <v>45811.67803240741</v>
      </c>
      <c r="C77" s="1" t="n">
        <v>46063</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46795-2025</t>
        </is>
      </c>
      <c r="B78" s="1" t="n">
        <v>45926.65668981482</v>
      </c>
      <c r="C78" s="1" t="n">
        <v>46063</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59823-2022</t>
        </is>
      </c>
      <c r="B79" s="1" t="n">
        <v>44900</v>
      </c>
      <c r="C79" s="1" t="n">
        <v>46063</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13487-2024</t>
        </is>
      </c>
      <c r="B80" s="1" t="n">
        <v>45387</v>
      </c>
      <c r="C80" s="1" t="n">
        <v>46063</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58238-2025</t>
        </is>
      </c>
      <c r="B81" s="1" t="n">
        <v>45985.38775462963</v>
      </c>
      <c r="C81" s="1" t="n">
        <v>46063</v>
      </c>
      <c r="D81" t="inlineStr">
        <is>
          <t>JÄMTLANDS LÄN</t>
        </is>
      </c>
      <c r="E81" t="inlineStr">
        <is>
          <t>BERG</t>
        </is>
      </c>
      <c r="F81" t="inlineStr">
        <is>
          <t>SCA</t>
        </is>
      </c>
      <c r="G81" t="n">
        <v>7.6</v>
      </c>
      <c r="H81" t="n">
        <v>2</v>
      </c>
      <c r="I81" t="n">
        <v>0</v>
      </c>
      <c r="J81" t="n">
        <v>4</v>
      </c>
      <c r="K81" t="n">
        <v>0</v>
      </c>
      <c r="L81" t="n">
        <v>0</v>
      </c>
      <c r="M81" t="n">
        <v>0</v>
      </c>
      <c r="N81" t="n">
        <v>0</v>
      </c>
      <c r="O81" t="n">
        <v>4</v>
      </c>
      <c r="P81" t="n">
        <v>0</v>
      </c>
      <c r="Q81" t="n">
        <v>4</v>
      </c>
      <c r="R81" s="2" t="inlineStr">
        <is>
          <t>Granticka
Spillkråka
Tretåig hackspett
Ullticka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57276-2025</t>
        </is>
      </c>
      <c r="B82" s="1" t="n">
        <v>45979.68783564815</v>
      </c>
      <c r="C82" s="1" t="n">
        <v>46063</v>
      </c>
      <c r="D82" t="inlineStr">
        <is>
          <t>JÄMTLANDS LÄN</t>
        </is>
      </c>
      <c r="E82" t="inlineStr">
        <is>
          <t>BERG</t>
        </is>
      </c>
      <c r="G82" t="n">
        <v>4.8</v>
      </c>
      <c r="H82" t="n">
        <v>0</v>
      </c>
      <c r="I82" t="n">
        <v>1</v>
      </c>
      <c r="J82" t="n">
        <v>3</v>
      </c>
      <c r="K82" t="n">
        <v>0</v>
      </c>
      <c r="L82" t="n">
        <v>0</v>
      </c>
      <c r="M82" t="n">
        <v>0</v>
      </c>
      <c r="N82" t="n">
        <v>0</v>
      </c>
      <c r="O82" t="n">
        <v>3</v>
      </c>
      <c r="P82" t="n">
        <v>0</v>
      </c>
      <c r="Q82" t="n">
        <v>4</v>
      </c>
      <c r="R82" s="2" t="inlineStr">
        <is>
          <t>Garnlav
Lunglav
Vitgrynig nållav
Trådticka</t>
        </is>
      </c>
      <c r="S82">
        <f>HYPERLINK("https://klasma.github.io/Logging_2326/artfynd/A 57276-2025 artfynd.xlsx", "A 57276-2025")</f>
        <v/>
      </c>
      <c r="T82">
        <f>HYPERLINK("https://klasma.github.io/Logging_2326/kartor/A 57276-2025 karta.png", "A 57276-2025")</f>
        <v/>
      </c>
      <c r="V82">
        <f>HYPERLINK("https://klasma.github.io/Logging_2326/klagomål/A 57276-2025 FSC-klagomål.docx", "A 57276-2025")</f>
        <v/>
      </c>
      <c r="W82">
        <f>HYPERLINK("https://klasma.github.io/Logging_2326/klagomålsmail/A 57276-2025 FSC-klagomål mail.docx", "A 57276-2025")</f>
        <v/>
      </c>
      <c r="X82">
        <f>HYPERLINK("https://klasma.github.io/Logging_2326/tillsyn/A 57276-2025 tillsynsbegäran.docx", "A 57276-2025")</f>
        <v/>
      </c>
      <c r="Y82">
        <f>HYPERLINK("https://klasma.github.io/Logging_2326/tillsynsmail/A 57276-2025 tillsynsbegäran mail.docx", "A 57276-2025")</f>
        <v/>
      </c>
    </row>
    <row r="83" ht="15" customHeight="1">
      <c r="A83" t="inlineStr">
        <is>
          <t>A 38156-2024</t>
        </is>
      </c>
      <c r="B83" s="1" t="n">
        <v>45545</v>
      </c>
      <c r="C83" s="1" t="n">
        <v>46063</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53305-2025</t>
        </is>
      </c>
      <c r="B84" s="1" t="n">
        <v>45959.334375</v>
      </c>
      <c r="C84" s="1" t="n">
        <v>46063</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7891-2022</t>
        </is>
      </c>
      <c r="B85" s="1" t="n">
        <v>44607</v>
      </c>
      <c r="C85" s="1" t="n">
        <v>46063</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37381-2022</t>
        </is>
      </c>
      <c r="B86" s="1" t="n">
        <v>44806</v>
      </c>
      <c r="C86" s="1" t="n">
        <v>46063</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46063</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46063</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16830-2021</t>
        </is>
      </c>
      <c r="B89" s="1" t="n">
        <v>44293</v>
      </c>
      <c r="C89" s="1" t="n">
        <v>46063</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46063</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46063</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54802-2021</t>
        </is>
      </c>
      <c r="B92" s="1" t="n">
        <v>44473</v>
      </c>
      <c r="C92" s="1" t="n">
        <v>46063</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47122-2024</t>
        </is>
      </c>
      <c r="B93" s="1" t="n">
        <v>45586.5674074074</v>
      </c>
      <c r="C93" s="1" t="n">
        <v>46063</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14599-2021</t>
        </is>
      </c>
      <c r="B94" s="1" t="n">
        <v>44279</v>
      </c>
      <c r="C94" s="1" t="n">
        <v>46063</v>
      </c>
      <c r="D94" t="inlineStr">
        <is>
          <t>JÄMTLANDS LÄN</t>
        </is>
      </c>
      <c r="E94" t="inlineStr">
        <is>
          <t>BERG</t>
        </is>
      </c>
      <c r="G94" t="n">
        <v>25.7</v>
      </c>
      <c r="H94" t="n">
        <v>1</v>
      </c>
      <c r="I94" t="n">
        <v>0</v>
      </c>
      <c r="J94" t="n">
        <v>3</v>
      </c>
      <c r="K94" t="n">
        <v>0</v>
      </c>
      <c r="L94" t="n">
        <v>0</v>
      </c>
      <c r="M94" t="n">
        <v>0</v>
      </c>
      <c r="N94" t="n">
        <v>0</v>
      </c>
      <c r="O94" t="n">
        <v>3</v>
      </c>
      <c r="P94" t="n">
        <v>0</v>
      </c>
      <c r="Q94" t="n">
        <v>3</v>
      </c>
      <c r="R94" s="2" t="inlineStr">
        <is>
          <t>Garnlav
Harticka
Tretåig hackspett</t>
        </is>
      </c>
      <c r="S94">
        <f>HYPERLINK("https://klasma.github.io/Logging_2326/artfynd/A 14599-2021 artfynd.xlsx", "A 14599-2021")</f>
        <v/>
      </c>
      <c r="T94">
        <f>HYPERLINK("https://klasma.github.io/Logging_2326/kartor/A 14599-2021 karta.png", "A 14599-2021")</f>
        <v/>
      </c>
      <c r="V94">
        <f>HYPERLINK("https://klasma.github.io/Logging_2326/klagomål/A 14599-2021 FSC-klagomål.docx", "A 14599-2021")</f>
        <v/>
      </c>
      <c r="W94">
        <f>HYPERLINK("https://klasma.github.io/Logging_2326/klagomålsmail/A 14599-2021 FSC-klagomål mail.docx", "A 14599-2021")</f>
        <v/>
      </c>
      <c r="X94">
        <f>HYPERLINK("https://klasma.github.io/Logging_2326/tillsyn/A 14599-2021 tillsynsbegäran.docx", "A 14599-2021")</f>
        <v/>
      </c>
      <c r="Y94">
        <f>HYPERLINK("https://klasma.github.io/Logging_2326/tillsynsmail/A 14599-2021 tillsynsbegäran mail.docx", "A 14599-2021")</f>
        <v/>
      </c>
      <c r="Z94">
        <f>HYPERLINK("https://klasma.github.io/Logging_2326/fåglar/A 14599-2021 prioriterade fågelarter.docx", "A 14599-2021")</f>
        <v/>
      </c>
    </row>
    <row r="95" ht="15" customHeight="1">
      <c r="A95" t="inlineStr">
        <is>
          <t>A 37063-2025</t>
        </is>
      </c>
      <c r="B95" s="1" t="n">
        <v>45875.38596064815</v>
      </c>
      <c r="C95" s="1" t="n">
        <v>46063</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49611-2025</t>
        </is>
      </c>
      <c r="B96" s="1" t="n">
        <v>45939.5735300926</v>
      </c>
      <c r="C96" s="1" t="n">
        <v>46063</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46063</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19848-2025</t>
        </is>
      </c>
      <c r="B98" s="1" t="n">
        <v>45771.49020833334</v>
      </c>
      <c r="C98" s="1" t="n">
        <v>46063</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52189-2024</t>
        </is>
      </c>
      <c r="B99" s="1" t="n">
        <v>45608</v>
      </c>
      <c r="C99" s="1" t="n">
        <v>46063</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20242-2025</t>
        </is>
      </c>
      <c r="B100" s="1" t="n">
        <v>45772.69864583333</v>
      </c>
      <c r="C100" s="1" t="n">
        <v>46063</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6784-2022</t>
        </is>
      </c>
      <c r="B101" s="1" t="n">
        <v>44602</v>
      </c>
      <c r="C101" s="1" t="n">
        <v>46063</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46063</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46063</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46063</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46063</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3062-2025</t>
        </is>
      </c>
      <c r="B106" s="1" t="n">
        <v>45678</v>
      </c>
      <c r="C106" s="1" t="n">
        <v>46063</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46063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46063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46063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47-2023</t>
        </is>
      </c>
      <c r="B110" s="1" t="n">
        <v>44928</v>
      </c>
      <c r="C110" s="1" t="n">
        <v>46063</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33009-2024</t>
        </is>
      </c>
      <c r="B111" s="1" t="n">
        <v>45517.50332175926</v>
      </c>
      <c r="C111" s="1" t="n">
        <v>46063</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31709-2025</t>
        </is>
      </c>
      <c r="B112" s="1" t="n">
        <v>45834.42543981481</v>
      </c>
      <c r="C112" s="1" t="n">
        <v>46063</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55331-2023</t>
        </is>
      </c>
      <c r="B113" s="1" t="n">
        <v>45237</v>
      </c>
      <c r="C113" s="1" t="n">
        <v>46063</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42120-2025</t>
        </is>
      </c>
      <c r="B114" s="1" t="n">
        <v>45904.34236111111</v>
      </c>
      <c r="C114" s="1" t="n">
        <v>46063</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8734-2025</t>
        </is>
      </c>
      <c r="B115" s="1" t="n">
        <v>45712.53209490741</v>
      </c>
      <c r="C115" s="1" t="n">
        <v>46063</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47858-2025</t>
        </is>
      </c>
      <c r="B116" s="1" t="n">
        <v>45932.40699074074</v>
      </c>
      <c r="C116" s="1" t="n">
        <v>46063</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46063</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48880-2023</t>
        </is>
      </c>
      <c r="B118" s="1" t="n">
        <v>45209</v>
      </c>
      <c r="C118" s="1" t="n">
        <v>46063</v>
      </c>
      <c r="D118" t="inlineStr">
        <is>
          <t>JÄMTLANDS LÄN</t>
        </is>
      </c>
      <c r="E118" t="inlineStr">
        <is>
          <t>BERG</t>
        </is>
      </c>
      <c r="F118" t="inlineStr">
        <is>
          <t>Naturvårdsverket</t>
        </is>
      </c>
      <c r="G118" t="n">
        <v>5.5</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48880-2023 artfynd.xlsx", "A 48880-2023")</f>
        <v/>
      </c>
      <c r="T118">
        <f>HYPERLINK("https://klasma.github.io/Logging_2326/kartor/A 48880-2023 karta.png", "A 48880-2023")</f>
        <v/>
      </c>
      <c r="U118">
        <f>HYPERLINK("https://klasma.github.io/Logging_2326/knärot/A 48880-2023 karta knärot.png", "A 48880-2023")</f>
        <v/>
      </c>
      <c r="V118">
        <f>HYPERLINK("https://klasma.github.io/Logging_2326/klagomål/A 48880-2023 FSC-klagomål.docx", "A 48880-2023")</f>
        <v/>
      </c>
      <c r="W118">
        <f>HYPERLINK("https://klasma.github.io/Logging_2326/klagomålsmail/A 48880-2023 FSC-klagomål mail.docx", "A 48880-2023")</f>
        <v/>
      </c>
      <c r="X118">
        <f>HYPERLINK("https://klasma.github.io/Logging_2326/tillsyn/A 48880-2023 tillsynsbegäran.docx", "A 48880-2023")</f>
        <v/>
      </c>
      <c r="Y118">
        <f>HYPERLINK("https://klasma.github.io/Logging_2326/tillsynsmail/A 48880-2023 tillsynsbegäran mail.docx", "A 48880-2023")</f>
        <v/>
      </c>
    </row>
    <row r="119" ht="15" customHeight="1">
      <c r="A119" t="inlineStr">
        <is>
          <t>A 52611-2025</t>
        </is>
      </c>
      <c r="B119" s="1" t="n">
        <v>45954.66971064815</v>
      </c>
      <c r="C119" s="1" t="n">
        <v>46063</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46063</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14344-2025</t>
        </is>
      </c>
      <c r="B121" s="1" t="n">
        <v>45741</v>
      </c>
      <c r="C121" s="1" t="n">
        <v>46063</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19948-2025</t>
        </is>
      </c>
      <c r="B122" s="1" t="n">
        <v>45771</v>
      </c>
      <c r="C122" s="1" t="n">
        <v>46063</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12734-2024</t>
        </is>
      </c>
      <c r="B123" s="1" t="n">
        <v>45384</v>
      </c>
      <c r="C123" s="1" t="n">
        <v>46063</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26944-2024</t>
        </is>
      </c>
      <c r="B124" s="1" t="n">
        <v>45470.96880787037</v>
      </c>
      <c r="C124" s="1" t="n">
        <v>46063</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30334-2024</t>
        </is>
      </c>
      <c r="B125" s="1" t="n">
        <v>45490.95396990741</v>
      </c>
      <c r="C125" s="1" t="n">
        <v>46063</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28769-2024</t>
        </is>
      </c>
      <c r="B126" s="1" t="n">
        <v>45478</v>
      </c>
      <c r="C126" s="1" t="n">
        <v>46063</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62159-2025</t>
        </is>
      </c>
      <c r="B127" s="1" t="n">
        <v>46006.49081018518</v>
      </c>
      <c r="C127" s="1" t="n">
        <v>46063</v>
      </c>
      <c r="D127" t="inlineStr">
        <is>
          <t>JÄMTLANDS LÄN</t>
        </is>
      </c>
      <c r="E127" t="inlineStr">
        <is>
          <t>BERG</t>
        </is>
      </c>
      <c r="F127" t="inlineStr">
        <is>
          <t>SCA</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62159-2025 artfynd.xlsx", "A 62159-2025")</f>
        <v/>
      </c>
      <c r="T127">
        <f>HYPERLINK("https://klasma.github.io/Logging_2326/kartor/A 62159-2025 karta.png", "A 62159-2025")</f>
        <v/>
      </c>
      <c r="V127">
        <f>HYPERLINK("https://klasma.github.io/Logging_2326/klagomål/A 62159-2025 FSC-klagomål.docx", "A 62159-2025")</f>
        <v/>
      </c>
      <c r="W127">
        <f>HYPERLINK("https://klasma.github.io/Logging_2326/klagomålsmail/A 62159-2025 FSC-klagomål mail.docx", "A 62159-2025")</f>
        <v/>
      </c>
      <c r="X127">
        <f>HYPERLINK("https://klasma.github.io/Logging_2326/tillsyn/A 62159-2025 tillsynsbegäran.docx", "A 62159-2025")</f>
        <v/>
      </c>
      <c r="Y127">
        <f>HYPERLINK("https://klasma.github.io/Logging_2326/tillsynsmail/A 62159-2025 tillsynsbegäran mail.docx", "A 62159-2025")</f>
        <v/>
      </c>
      <c r="Z127">
        <f>HYPERLINK("https://klasma.github.io/Logging_2326/fåglar/A 62159-2025 prioriterade fågelarter.docx", "A 62159-2025")</f>
        <v/>
      </c>
    </row>
    <row r="128" ht="15" customHeight="1">
      <c r="A128" t="inlineStr">
        <is>
          <t>A 62161-2025</t>
        </is>
      </c>
      <c r="B128" s="1" t="n">
        <v>46006.49113425926</v>
      </c>
      <c r="C128" s="1" t="n">
        <v>46063</v>
      </c>
      <c r="D128" t="inlineStr">
        <is>
          <t>JÄMTLANDS LÄN</t>
        </is>
      </c>
      <c r="E128" t="inlineStr">
        <is>
          <t>BERG</t>
        </is>
      </c>
      <c r="F128" t="inlineStr">
        <is>
          <t>SCA</t>
        </is>
      </c>
      <c r="G128" t="n">
        <v>2.6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62161-2025 artfynd.xlsx", "A 62161-2025")</f>
        <v/>
      </c>
      <c r="T128">
        <f>HYPERLINK("https://klasma.github.io/Logging_2326/kartor/A 62161-2025 karta.png", "A 62161-2025")</f>
        <v/>
      </c>
      <c r="V128">
        <f>HYPERLINK("https://klasma.github.io/Logging_2326/klagomål/A 62161-2025 FSC-klagomål.docx", "A 62161-2025")</f>
        <v/>
      </c>
      <c r="W128">
        <f>HYPERLINK("https://klasma.github.io/Logging_2326/klagomålsmail/A 62161-2025 FSC-klagomål mail.docx", "A 62161-2025")</f>
        <v/>
      </c>
      <c r="X128">
        <f>HYPERLINK("https://klasma.github.io/Logging_2326/tillsyn/A 62161-2025 tillsynsbegäran.docx", "A 62161-2025")</f>
        <v/>
      </c>
      <c r="Y128">
        <f>HYPERLINK("https://klasma.github.io/Logging_2326/tillsynsmail/A 62161-2025 tillsynsbegäran mail.docx", "A 62161-2025")</f>
        <v/>
      </c>
      <c r="Z128">
        <f>HYPERLINK("https://klasma.github.io/Logging_2326/fåglar/A 62161-2025 prioriterade fågelarter.docx", "A 62161-2025")</f>
        <v/>
      </c>
    </row>
    <row r="129" ht="15" customHeight="1">
      <c r="A129" t="inlineStr">
        <is>
          <t>A 5122-2026</t>
        </is>
      </c>
      <c r="B129" s="1" t="n">
        <v>46049.58273148148</v>
      </c>
      <c r="C129" s="1" t="n">
        <v>46063</v>
      </c>
      <c r="D129" t="inlineStr">
        <is>
          <t>JÄMTLANDS LÄN</t>
        </is>
      </c>
      <c r="E129" t="inlineStr">
        <is>
          <t>BERG</t>
        </is>
      </c>
      <c r="F129" t="inlineStr">
        <is>
          <t>Sveaskog</t>
        </is>
      </c>
      <c r="G129" t="n">
        <v>9</v>
      </c>
      <c r="H129" t="n">
        <v>1</v>
      </c>
      <c r="I129" t="n">
        <v>1</v>
      </c>
      <c r="J129" t="n">
        <v>1</v>
      </c>
      <c r="K129" t="n">
        <v>0</v>
      </c>
      <c r="L129" t="n">
        <v>0</v>
      </c>
      <c r="M129" t="n">
        <v>0</v>
      </c>
      <c r="N129" t="n">
        <v>0</v>
      </c>
      <c r="O129" t="n">
        <v>1</v>
      </c>
      <c r="P129" t="n">
        <v>0</v>
      </c>
      <c r="Q129" t="n">
        <v>2</v>
      </c>
      <c r="R129" s="2" t="inlineStr">
        <is>
          <t>Garnlav
Plattlummer</t>
        </is>
      </c>
      <c r="S129">
        <f>HYPERLINK("https://klasma.github.io/Logging_2326/artfynd/A 5122-2026 artfynd.xlsx", "A 5122-2026")</f>
        <v/>
      </c>
      <c r="T129">
        <f>HYPERLINK("https://klasma.github.io/Logging_2326/kartor/A 5122-2026 karta.png", "A 5122-2026")</f>
        <v/>
      </c>
      <c r="V129">
        <f>HYPERLINK("https://klasma.github.io/Logging_2326/klagomål/A 5122-2026 FSC-klagomål.docx", "A 5122-2026")</f>
        <v/>
      </c>
      <c r="W129">
        <f>HYPERLINK("https://klasma.github.io/Logging_2326/klagomålsmail/A 5122-2026 FSC-klagomål mail.docx", "A 5122-2026")</f>
        <v/>
      </c>
      <c r="X129">
        <f>HYPERLINK("https://klasma.github.io/Logging_2326/tillsyn/A 5122-2026 tillsynsbegäran.docx", "A 5122-2026")</f>
        <v/>
      </c>
      <c r="Y129">
        <f>HYPERLINK("https://klasma.github.io/Logging_2326/tillsynsmail/A 5122-2026 tillsynsbegäran mail.docx", "A 5122-2026")</f>
        <v/>
      </c>
    </row>
    <row r="130" ht="15" customHeight="1">
      <c r="A130" t="inlineStr">
        <is>
          <t>A 10133-2023</t>
        </is>
      </c>
      <c r="B130" s="1" t="n">
        <v>44986</v>
      </c>
      <c r="C130" s="1" t="n">
        <v>46063</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37387-2022</t>
        </is>
      </c>
      <c r="B131" s="1" t="n">
        <v>44806</v>
      </c>
      <c r="C131" s="1" t="n">
        <v>46063</v>
      </c>
      <c r="D131" t="inlineStr">
        <is>
          <t>JÄMTLANDS LÄN</t>
        </is>
      </c>
      <c r="E131" t="inlineStr">
        <is>
          <t>BERG</t>
        </is>
      </c>
      <c r="G131" t="n">
        <v>20.2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HYPERLINK("https://klasma.github.io/Logging_2326/artfynd/A 37387-2022 artfynd.xlsx", "A 37387-2022")</f>
        <v/>
      </c>
      <c r="T131">
        <f>HYPERLINK("https://klasma.github.io/Logging_2326/kartor/A 37387-2022 karta.png", "A 37387-2022")</f>
        <v/>
      </c>
      <c r="V131">
        <f>HYPERLINK("https://klasma.github.io/Logging_2326/klagomål/A 37387-2022 FSC-klagomål.docx", "A 37387-2022")</f>
        <v/>
      </c>
      <c r="W131">
        <f>HYPERLINK("https://klasma.github.io/Logging_2326/klagomålsmail/A 37387-2022 FSC-klagomål mail.docx", "A 37387-2022")</f>
        <v/>
      </c>
      <c r="X131">
        <f>HYPERLINK("https://klasma.github.io/Logging_2326/tillsyn/A 37387-2022 tillsynsbegäran.docx", "A 37387-2022")</f>
        <v/>
      </c>
      <c r="Y131">
        <f>HYPERLINK("https://klasma.github.io/Logging_2326/tillsynsmail/A 37387-2022 tillsynsbegäran mail.docx", "A 37387-2022")</f>
        <v/>
      </c>
      <c r="Z131">
        <f>HYPERLINK("https://klasma.github.io/Logging_2326/fåglar/A 37387-2022 prioriterade fågelarter.docx", "A 37387-2022")</f>
        <v/>
      </c>
    </row>
    <row r="132" ht="15" customHeight="1">
      <c r="A132" t="inlineStr">
        <is>
          <t>A 27919-2024</t>
        </is>
      </c>
      <c r="B132" s="1" t="n">
        <v>45475.94865740741</v>
      </c>
      <c r="C132" s="1" t="n">
        <v>46063</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21518-2025</t>
        </is>
      </c>
      <c r="B133" s="1" t="n">
        <v>45782</v>
      </c>
      <c r="C133" s="1" t="n">
        <v>46063</v>
      </c>
      <c r="D133" t="inlineStr">
        <is>
          <t>JÄMTLANDS LÄN</t>
        </is>
      </c>
      <c r="E133" t="inlineStr">
        <is>
          <t>BERG</t>
        </is>
      </c>
      <c r="F133" t="inlineStr">
        <is>
          <t>SCA</t>
        </is>
      </c>
      <c r="G133" t="n">
        <v>3.6</v>
      </c>
      <c r="H133" t="n">
        <v>0</v>
      </c>
      <c r="I133" t="n">
        <v>1</v>
      </c>
      <c r="J133" t="n">
        <v>1</v>
      </c>
      <c r="K133" t="n">
        <v>0</v>
      </c>
      <c r="L133" t="n">
        <v>0</v>
      </c>
      <c r="M133" t="n">
        <v>0</v>
      </c>
      <c r="N133" t="n">
        <v>0</v>
      </c>
      <c r="O133" t="n">
        <v>1</v>
      </c>
      <c r="P133" t="n">
        <v>0</v>
      </c>
      <c r="Q133" t="n">
        <v>2</v>
      </c>
      <c r="R133" s="2" t="inlineStr">
        <is>
          <t>Dvärgbägarlav
Skarp dropptaggsvamp</t>
        </is>
      </c>
      <c r="S133">
        <f>HYPERLINK("https://klasma.github.io/Logging_2326/artfynd/A 21518-2025 artfynd.xlsx", "A 21518-2025")</f>
        <v/>
      </c>
      <c r="T133">
        <f>HYPERLINK("https://klasma.github.io/Logging_2326/kartor/A 21518-2025 karta.png", "A 21518-2025")</f>
        <v/>
      </c>
      <c r="V133">
        <f>HYPERLINK("https://klasma.github.io/Logging_2326/klagomål/A 21518-2025 FSC-klagomål.docx", "A 21518-2025")</f>
        <v/>
      </c>
      <c r="W133">
        <f>HYPERLINK("https://klasma.github.io/Logging_2326/klagomålsmail/A 21518-2025 FSC-klagomål mail.docx", "A 21518-2025")</f>
        <v/>
      </c>
      <c r="X133">
        <f>HYPERLINK("https://klasma.github.io/Logging_2326/tillsyn/A 21518-2025 tillsynsbegäran.docx", "A 21518-2025")</f>
        <v/>
      </c>
      <c r="Y133">
        <f>HYPERLINK("https://klasma.github.io/Logging_2326/tillsynsmail/A 21518-2025 tillsynsbegäran mail.docx", "A 21518-2025")</f>
        <v/>
      </c>
    </row>
    <row r="134" ht="15" customHeight="1">
      <c r="A134" t="inlineStr">
        <is>
          <t>A 60333-2024</t>
        </is>
      </c>
      <c r="B134" s="1" t="n">
        <v>45643</v>
      </c>
      <c r="C134" s="1" t="n">
        <v>46063</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26748-2025</t>
        </is>
      </c>
      <c r="B135" s="1" t="n">
        <v>45810.53988425926</v>
      </c>
      <c r="C135" s="1" t="n">
        <v>46063</v>
      </c>
      <c r="D135" t="inlineStr">
        <is>
          <t>JÄMTLANDS LÄN</t>
        </is>
      </c>
      <c r="E135" t="inlineStr">
        <is>
          <t>BERG</t>
        </is>
      </c>
      <c r="G135" t="n">
        <v>17.4</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26748-2025 artfynd.xlsx", "A 26748-2025")</f>
        <v/>
      </c>
      <c r="T135">
        <f>HYPERLINK("https://klasma.github.io/Logging_2326/kartor/A 26748-2025 karta.png", "A 26748-2025")</f>
        <v/>
      </c>
      <c r="V135">
        <f>HYPERLINK("https://klasma.github.io/Logging_2326/klagomål/A 26748-2025 FSC-klagomål.docx", "A 26748-2025")</f>
        <v/>
      </c>
      <c r="W135">
        <f>HYPERLINK("https://klasma.github.io/Logging_2326/klagomålsmail/A 26748-2025 FSC-klagomål mail.docx", "A 26748-2025")</f>
        <v/>
      </c>
      <c r="X135">
        <f>HYPERLINK("https://klasma.github.io/Logging_2326/tillsyn/A 26748-2025 tillsynsbegäran.docx", "A 26748-2025")</f>
        <v/>
      </c>
      <c r="Y135">
        <f>HYPERLINK("https://klasma.github.io/Logging_2326/tillsynsmail/A 26748-2025 tillsynsbegäran mail.docx", "A 26748-2025")</f>
        <v/>
      </c>
      <c r="Z135">
        <f>HYPERLINK("https://klasma.github.io/Logging_2326/fåglar/A 26748-2025 prioriterade fågelarter.docx", "A 26748-2025")</f>
        <v/>
      </c>
    </row>
    <row r="136" ht="15" customHeight="1">
      <c r="A136" t="inlineStr">
        <is>
          <t>A 27647-2025</t>
        </is>
      </c>
      <c r="B136" s="1" t="n">
        <v>45813.59454861111</v>
      </c>
      <c r="C136" s="1" t="n">
        <v>46063</v>
      </c>
      <c r="D136" t="inlineStr">
        <is>
          <t>JÄMTLANDS LÄN</t>
        </is>
      </c>
      <c r="E136" t="inlineStr">
        <is>
          <t>BERG</t>
        </is>
      </c>
      <c r="F136" t="inlineStr">
        <is>
          <t>SCA</t>
        </is>
      </c>
      <c r="G136" t="n">
        <v>3.1</v>
      </c>
      <c r="H136" t="n">
        <v>0</v>
      </c>
      <c r="I136" t="n">
        <v>0</v>
      </c>
      <c r="J136" t="n">
        <v>1</v>
      </c>
      <c r="K136" t="n">
        <v>1</v>
      </c>
      <c r="L136" t="n">
        <v>0</v>
      </c>
      <c r="M136" t="n">
        <v>0</v>
      </c>
      <c r="N136" t="n">
        <v>0</v>
      </c>
      <c r="O136" t="n">
        <v>2</v>
      </c>
      <c r="P136" t="n">
        <v>1</v>
      </c>
      <c r="Q136" t="n">
        <v>2</v>
      </c>
      <c r="R136" s="2" t="inlineStr">
        <is>
          <t>Gräddporing
Dvärgbägarlav</t>
        </is>
      </c>
      <c r="S136">
        <f>HYPERLINK("https://klasma.github.io/Logging_2326/artfynd/A 27647-2025 artfynd.xlsx", "A 27647-2025")</f>
        <v/>
      </c>
      <c r="T136">
        <f>HYPERLINK("https://klasma.github.io/Logging_2326/kartor/A 27647-2025 karta.png", "A 27647-2025")</f>
        <v/>
      </c>
      <c r="V136">
        <f>HYPERLINK("https://klasma.github.io/Logging_2326/klagomål/A 27647-2025 FSC-klagomål.docx", "A 27647-2025")</f>
        <v/>
      </c>
      <c r="W136">
        <f>HYPERLINK("https://klasma.github.io/Logging_2326/klagomålsmail/A 27647-2025 FSC-klagomål mail.docx", "A 27647-2025")</f>
        <v/>
      </c>
      <c r="X136">
        <f>HYPERLINK("https://klasma.github.io/Logging_2326/tillsyn/A 27647-2025 tillsynsbegäran.docx", "A 27647-2025")</f>
        <v/>
      </c>
      <c r="Y136">
        <f>HYPERLINK("https://klasma.github.io/Logging_2326/tillsynsmail/A 27647-2025 tillsynsbegäran mail.docx", "A 27647-2025")</f>
        <v/>
      </c>
    </row>
    <row r="137" ht="15" customHeight="1">
      <c r="A137" t="inlineStr">
        <is>
          <t>A 16834-2021</t>
        </is>
      </c>
      <c r="B137" s="1" t="n">
        <v>44293</v>
      </c>
      <c r="C137" s="1" t="n">
        <v>46063</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46063</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46063</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32686-2022</t>
        </is>
      </c>
      <c r="B140" s="1" t="n">
        <v>44776</v>
      </c>
      <c r="C140" s="1" t="n">
        <v>46063</v>
      </c>
      <c r="D140" t="inlineStr">
        <is>
          <t>JÄMTLANDS LÄN</t>
        </is>
      </c>
      <c r="E140" t="inlineStr">
        <is>
          <t>BERG</t>
        </is>
      </c>
      <c r="G140" t="n">
        <v>4.8</v>
      </c>
      <c r="H140" t="n">
        <v>1</v>
      </c>
      <c r="I140" t="n">
        <v>0</v>
      </c>
      <c r="J140" t="n">
        <v>0</v>
      </c>
      <c r="K140" t="n">
        <v>1</v>
      </c>
      <c r="L140" t="n">
        <v>0</v>
      </c>
      <c r="M140" t="n">
        <v>0</v>
      </c>
      <c r="N140" t="n">
        <v>0</v>
      </c>
      <c r="O140" t="n">
        <v>1</v>
      </c>
      <c r="P140" t="n">
        <v>1</v>
      </c>
      <c r="Q140" t="n">
        <v>1</v>
      </c>
      <c r="R140" s="2" t="inlineStr">
        <is>
          <t>Knärot</t>
        </is>
      </c>
      <c r="S140">
        <f>HYPERLINK("https://klasma.github.io/Logging_2326/artfynd/A 32686-2022 artfynd.xlsx", "A 32686-2022")</f>
        <v/>
      </c>
      <c r="T140">
        <f>HYPERLINK("https://klasma.github.io/Logging_2326/kartor/A 32686-2022 karta.png", "A 32686-2022")</f>
        <v/>
      </c>
      <c r="U140">
        <f>HYPERLINK("https://klasma.github.io/Logging_2326/knärot/A 32686-2022 karta knärot.png", "A 32686-2022")</f>
        <v/>
      </c>
      <c r="V140">
        <f>HYPERLINK("https://klasma.github.io/Logging_2326/klagomål/A 32686-2022 FSC-klagomål.docx", "A 32686-2022")</f>
        <v/>
      </c>
      <c r="W140">
        <f>HYPERLINK("https://klasma.github.io/Logging_2326/klagomålsmail/A 32686-2022 FSC-klagomål mail.docx", "A 32686-2022")</f>
        <v/>
      </c>
      <c r="X140">
        <f>HYPERLINK("https://klasma.github.io/Logging_2326/tillsyn/A 32686-2022 tillsynsbegäran.docx", "A 32686-2022")</f>
        <v/>
      </c>
      <c r="Y140">
        <f>HYPERLINK("https://klasma.github.io/Logging_2326/tillsynsmail/A 32686-2022 tillsynsbegäran mail.docx", "A 32686-2022")</f>
        <v/>
      </c>
    </row>
    <row r="141" ht="15" customHeight="1">
      <c r="A141" t="inlineStr">
        <is>
          <t>A 56202-2021</t>
        </is>
      </c>
      <c r="B141" s="1" t="n">
        <v>44477</v>
      </c>
      <c r="C141" s="1" t="n">
        <v>46063</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33083-2024</t>
        </is>
      </c>
      <c r="B142" s="1" t="n">
        <v>45517.675</v>
      </c>
      <c r="C142" s="1" t="n">
        <v>46063</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46063</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41635-2024</t>
        </is>
      </c>
      <c r="B144" s="1" t="n">
        <v>45560.61601851852</v>
      </c>
      <c r="C144" s="1" t="n">
        <v>46063</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54595-2024</t>
        </is>
      </c>
      <c r="B145" s="1" t="n">
        <v>45617.67353009259</v>
      </c>
      <c r="C145" s="1" t="n">
        <v>46063</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46063</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39001-2025</t>
        </is>
      </c>
      <c r="B147" s="1" t="n">
        <v>45888.344375</v>
      </c>
      <c r="C147" s="1" t="n">
        <v>46063</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33501-2025</t>
        </is>
      </c>
      <c r="B148" s="1" t="n">
        <v>45841</v>
      </c>
      <c r="C148" s="1" t="n">
        <v>46063</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35211-2025</t>
        </is>
      </c>
      <c r="B149" s="1" t="n">
        <v>45853.45060185185</v>
      </c>
      <c r="C149" s="1" t="n">
        <v>46063</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53086-2024</t>
        </is>
      </c>
      <c r="B150" s="1" t="n">
        <v>45611.51084490741</v>
      </c>
      <c r="C150" s="1" t="n">
        <v>46063</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35535-2025</t>
        </is>
      </c>
      <c r="B151" s="1" t="n">
        <v>45856.45047453704</v>
      </c>
      <c r="C151" s="1" t="n">
        <v>46063</v>
      </c>
      <c r="D151" t="inlineStr">
        <is>
          <t>JÄMTLANDS LÄN</t>
        </is>
      </c>
      <c r="E151" t="inlineStr">
        <is>
          <t>BERG</t>
        </is>
      </c>
      <c r="F151" t="inlineStr">
        <is>
          <t>Sveaskog</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HYPERLINK("https://klasma.github.io/Logging_2326/artfynd/A 35535-2025 artfynd.xlsx", "A 35535-2025")</f>
        <v/>
      </c>
      <c r="T151">
        <f>HYPERLINK("https://klasma.github.io/Logging_2326/kartor/A 35535-2025 karta.png", "A 35535-2025")</f>
        <v/>
      </c>
      <c r="V151">
        <f>HYPERLINK("https://klasma.github.io/Logging_2326/klagomål/A 35535-2025 FSC-klagomål.docx", "A 35535-2025")</f>
        <v/>
      </c>
      <c r="W151">
        <f>HYPERLINK("https://klasma.github.io/Logging_2326/klagomålsmail/A 35535-2025 FSC-klagomål mail.docx", "A 35535-2025")</f>
        <v/>
      </c>
      <c r="X151">
        <f>HYPERLINK("https://klasma.github.io/Logging_2326/tillsyn/A 35535-2025 tillsynsbegäran.docx", "A 35535-2025")</f>
        <v/>
      </c>
      <c r="Y151">
        <f>HYPERLINK("https://klasma.github.io/Logging_2326/tillsynsmail/A 35535-2025 tillsynsbegäran mail.docx", "A 35535-2025")</f>
        <v/>
      </c>
    </row>
    <row r="152" ht="15" customHeight="1">
      <c r="A152" t="inlineStr">
        <is>
          <t>A 25853-2025</t>
        </is>
      </c>
      <c r="B152" s="1" t="n">
        <v>45804.46908564815</v>
      </c>
      <c r="C152" s="1" t="n">
        <v>46063</v>
      </c>
      <c r="D152" t="inlineStr">
        <is>
          <t>JÄMTLANDS LÄN</t>
        </is>
      </c>
      <c r="E152" t="inlineStr">
        <is>
          <t>BERG</t>
        </is>
      </c>
      <c r="F152" t="inlineStr">
        <is>
          <t>SCA</t>
        </is>
      </c>
      <c r="G152" t="n">
        <v>24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25853-2025 artfynd.xlsx", "A 25853-2025")</f>
        <v/>
      </c>
      <c r="T152">
        <f>HYPERLINK("https://klasma.github.io/Logging_2326/kartor/A 25853-2025 karta.png", "A 25853-2025")</f>
        <v/>
      </c>
      <c r="V152">
        <f>HYPERLINK("https://klasma.github.io/Logging_2326/klagomål/A 25853-2025 FSC-klagomål.docx", "A 25853-2025")</f>
        <v/>
      </c>
      <c r="W152">
        <f>HYPERLINK("https://klasma.github.io/Logging_2326/klagomålsmail/A 25853-2025 FSC-klagomål mail.docx", "A 25853-2025")</f>
        <v/>
      </c>
      <c r="X152">
        <f>HYPERLINK("https://klasma.github.io/Logging_2326/tillsyn/A 25853-2025 tillsynsbegäran.docx", "A 25853-2025")</f>
        <v/>
      </c>
      <c r="Y152">
        <f>HYPERLINK("https://klasma.github.io/Logging_2326/tillsynsmail/A 25853-2025 tillsynsbegäran mail.docx", "A 25853-2025")</f>
        <v/>
      </c>
      <c r="Z152">
        <f>HYPERLINK("https://klasma.github.io/Logging_2326/fåglar/A 25853-2025 prioriterade fågelarter.docx", "A 25853-2025")</f>
        <v/>
      </c>
    </row>
    <row r="153" ht="15" customHeight="1">
      <c r="A153" t="inlineStr">
        <is>
          <t>A 37513-2025</t>
        </is>
      </c>
      <c r="B153" s="1" t="n">
        <v>45877.69828703703</v>
      </c>
      <c r="C153" s="1" t="n">
        <v>46063</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37651-2025</t>
        </is>
      </c>
      <c r="B154" s="1" t="n">
        <v>45880.49006944444</v>
      </c>
      <c r="C154" s="1" t="n">
        <v>46063</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47946-2025</t>
        </is>
      </c>
      <c r="B155" s="1" t="n">
        <v>45932.57346064815</v>
      </c>
      <c r="C155" s="1" t="n">
        <v>46063</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46063</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46063</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68434-2021</t>
        </is>
      </c>
      <c r="B158" s="1" t="n">
        <v>44529</v>
      </c>
      <c r="C158" s="1" t="n">
        <v>46063</v>
      </c>
      <c r="D158" t="inlineStr">
        <is>
          <t>JÄMTLANDS LÄN</t>
        </is>
      </c>
      <c r="E158" t="inlineStr">
        <is>
          <t>BERG</t>
        </is>
      </c>
      <c r="G158" t="n">
        <v>14</v>
      </c>
      <c r="H158" t="n">
        <v>0</v>
      </c>
      <c r="I158" t="n">
        <v>0</v>
      </c>
      <c r="J158" t="n">
        <v>0</v>
      </c>
      <c r="K158" t="n">
        <v>1</v>
      </c>
      <c r="L158" t="n">
        <v>0</v>
      </c>
      <c r="M158" t="n">
        <v>0</v>
      </c>
      <c r="N158" t="n">
        <v>0</v>
      </c>
      <c r="O158" t="n">
        <v>1</v>
      </c>
      <c r="P158" t="n">
        <v>1</v>
      </c>
      <c r="Q158" t="n">
        <v>1</v>
      </c>
      <c r="R158" s="2" t="inlineStr">
        <is>
          <t>Ostticka</t>
        </is>
      </c>
      <c r="S158">
        <f>HYPERLINK("https://klasma.github.io/Logging_2326/artfynd/A 68434-2021 artfynd.xlsx", "A 68434-2021")</f>
        <v/>
      </c>
      <c r="T158">
        <f>HYPERLINK("https://klasma.github.io/Logging_2326/kartor/A 68434-2021 karta.png", "A 68434-2021")</f>
        <v/>
      </c>
      <c r="V158">
        <f>HYPERLINK("https://klasma.github.io/Logging_2326/klagomål/A 68434-2021 FSC-klagomål.docx", "A 68434-2021")</f>
        <v/>
      </c>
      <c r="W158">
        <f>HYPERLINK("https://klasma.github.io/Logging_2326/klagomålsmail/A 68434-2021 FSC-klagomål mail.docx", "A 68434-2021")</f>
        <v/>
      </c>
      <c r="X158">
        <f>HYPERLINK("https://klasma.github.io/Logging_2326/tillsyn/A 68434-2021 tillsynsbegäran.docx", "A 68434-2021")</f>
        <v/>
      </c>
      <c r="Y158">
        <f>HYPERLINK("https://klasma.github.io/Logging_2326/tillsynsmail/A 68434-2021 tillsynsbegäran mail.docx", "A 68434-2021")</f>
        <v/>
      </c>
    </row>
    <row r="159" ht="15" customHeight="1">
      <c r="A159" t="inlineStr">
        <is>
          <t>A 50182-2025</t>
        </is>
      </c>
      <c r="B159" s="1" t="n">
        <v>45943.61550925926</v>
      </c>
      <c r="C159" s="1" t="n">
        <v>46063</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53014-2022</t>
        </is>
      </c>
      <c r="B160" s="1" t="n">
        <v>44875</v>
      </c>
      <c r="C160" s="1" t="n">
        <v>46063</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52193-2024</t>
        </is>
      </c>
      <c r="B161" s="1" t="n">
        <v>45608</v>
      </c>
      <c r="C161" s="1" t="n">
        <v>46063</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44259-2024</t>
        </is>
      </c>
      <c r="B162" s="1" t="n">
        <v>45573</v>
      </c>
      <c r="C162" s="1" t="n">
        <v>46063</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32171-2024</t>
        </is>
      </c>
      <c r="B163" s="1" t="n">
        <v>45511</v>
      </c>
      <c r="C163" s="1" t="n">
        <v>46063</v>
      </c>
      <c r="D163" t="inlineStr">
        <is>
          <t>JÄMTLANDS LÄN</t>
        </is>
      </c>
      <c r="E163" t="inlineStr">
        <is>
          <t>BERG</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56198-2025</t>
        </is>
      </c>
      <c r="B164" s="1" t="n">
        <v>45974.45760416667</v>
      </c>
      <c r="C164" s="1" t="n">
        <v>46063</v>
      </c>
      <c r="D164" t="inlineStr">
        <is>
          <t>JÄMTLANDS LÄN</t>
        </is>
      </c>
      <c r="E164" t="inlineStr">
        <is>
          <t>BERG</t>
        </is>
      </c>
      <c r="G164" t="n">
        <v>8.6</v>
      </c>
      <c r="H164" t="n">
        <v>0</v>
      </c>
      <c r="I164" t="n">
        <v>0</v>
      </c>
      <c r="J164" t="n">
        <v>1</v>
      </c>
      <c r="K164" t="n">
        <v>0</v>
      </c>
      <c r="L164" t="n">
        <v>0</v>
      </c>
      <c r="M164" t="n">
        <v>0</v>
      </c>
      <c r="N164" t="n">
        <v>0</v>
      </c>
      <c r="O164" t="n">
        <v>1</v>
      </c>
      <c r="P164" t="n">
        <v>0</v>
      </c>
      <c r="Q164" t="n">
        <v>1</v>
      </c>
      <c r="R164" s="2" t="inlineStr">
        <is>
          <t>Knottrig blåslav</t>
        </is>
      </c>
      <c r="S164">
        <f>HYPERLINK("https://klasma.github.io/Logging_2326/artfynd/A 56198-2025 artfynd.xlsx", "A 56198-2025")</f>
        <v/>
      </c>
      <c r="T164">
        <f>HYPERLINK("https://klasma.github.io/Logging_2326/kartor/A 56198-2025 karta.png", "A 56198-2025")</f>
        <v/>
      </c>
      <c r="V164">
        <f>HYPERLINK("https://klasma.github.io/Logging_2326/klagomål/A 56198-2025 FSC-klagomål.docx", "A 56198-2025")</f>
        <v/>
      </c>
      <c r="W164">
        <f>HYPERLINK("https://klasma.github.io/Logging_2326/klagomålsmail/A 56198-2025 FSC-klagomål mail.docx", "A 56198-2025")</f>
        <v/>
      </c>
      <c r="X164">
        <f>HYPERLINK("https://klasma.github.io/Logging_2326/tillsyn/A 56198-2025 tillsynsbegäran.docx", "A 56198-2025")</f>
        <v/>
      </c>
      <c r="Y164">
        <f>HYPERLINK("https://klasma.github.io/Logging_2326/tillsynsmail/A 56198-2025 tillsynsbegäran mail.docx", "A 56198-2025")</f>
        <v/>
      </c>
    </row>
    <row r="165" ht="15" customHeight="1">
      <c r="A165" t="inlineStr">
        <is>
          <t>A 21632-2025</t>
        </is>
      </c>
      <c r="B165" s="1" t="n">
        <v>45783.42753472222</v>
      </c>
      <c r="C165" s="1" t="n">
        <v>46063</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21370-2025</t>
        </is>
      </c>
      <c r="B166" s="1" t="n">
        <v>45782</v>
      </c>
      <c r="C166" s="1" t="n">
        <v>46063</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20808-2024</t>
        </is>
      </c>
      <c r="B167" s="1" t="n">
        <v>45439</v>
      </c>
      <c r="C167" s="1" t="n">
        <v>46063</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20808-2024 artfynd.xlsx", "A 20808-2024")</f>
        <v/>
      </c>
      <c r="T167">
        <f>HYPERLINK("https://klasma.github.io/Logging_2326/kartor/A 20808-2024 karta.png", "A 20808-2024")</f>
        <v/>
      </c>
      <c r="V167">
        <f>HYPERLINK("https://klasma.github.io/Logging_2326/klagomål/A 20808-2024 FSC-klagomål.docx", "A 20808-2024")</f>
        <v/>
      </c>
      <c r="W167">
        <f>HYPERLINK("https://klasma.github.io/Logging_2326/klagomålsmail/A 20808-2024 FSC-klagomål mail.docx", "A 20808-2024")</f>
        <v/>
      </c>
      <c r="X167">
        <f>HYPERLINK("https://klasma.github.io/Logging_2326/tillsyn/A 20808-2024 tillsynsbegäran.docx", "A 20808-2024")</f>
        <v/>
      </c>
      <c r="Y167">
        <f>HYPERLINK("https://klasma.github.io/Logging_2326/tillsynsmail/A 20808-2024 tillsynsbegäran mail.docx", "A 20808-2024")</f>
        <v/>
      </c>
      <c r="Z167">
        <f>HYPERLINK("https://klasma.github.io/Logging_2326/fåglar/A 20808-2024 prioriterade fågelarter.docx", "A 20808-2024")</f>
        <v/>
      </c>
    </row>
    <row r="168" ht="15" customHeight="1">
      <c r="A168" t="inlineStr">
        <is>
          <t>A 49049-2024</t>
        </is>
      </c>
      <c r="B168" s="1" t="n">
        <v>45594.5742824074</v>
      </c>
      <c r="C168" s="1" t="n">
        <v>46063</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23177-2024</t>
        </is>
      </c>
      <c r="B169" s="1" t="n">
        <v>45450</v>
      </c>
      <c r="C169" s="1" t="n">
        <v>46063</v>
      </c>
      <c r="D169" t="inlineStr">
        <is>
          <t>JÄMTLANDS LÄN</t>
        </is>
      </c>
      <c r="E169" t="inlineStr">
        <is>
          <t>BERG</t>
        </is>
      </c>
      <c r="F169" t="inlineStr">
        <is>
          <t>SCA</t>
        </is>
      </c>
      <c r="G169" t="n">
        <v>3.2</v>
      </c>
      <c r="H169" t="n">
        <v>0</v>
      </c>
      <c r="I169" t="n">
        <v>1</v>
      </c>
      <c r="J169" t="n">
        <v>0</v>
      </c>
      <c r="K169" t="n">
        <v>0</v>
      </c>
      <c r="L169" t="n">
        <v>0</v>
      </c>
      <c r="M169" t="n">
        <v>0</v>
      </c>
      <c r="N169" t="n">
        <v>0</v>
      </c>
      <c r="O169" t="n">
        <v>0</v>
      </c>
      <c r="P169" t="n">
        <v>0</v>
      </c>
      <c r="Q169" t="n">
        <v>1</v>
      </c>
      <c r="R169" s="2" t="inlineStr">
        <is>
          <t>Stuplav</t>
        </is>
      </c>
      <c r="S169">
        <f>HYPERLINK("https://klasma.github.io/Logging_2326/artfynd/A 23177-2024 artfynd.xlsx", "A 23177-2024")</f>
        <v/>
      </c>
      <c r="T169">
        <f>HYPERLINK("https://klasma.github.io/Logging_2326/kartor/A 23177-2024 karta.png", "A 23177-2024")</f>
        <v/>
      </c>
      <c r="V169">
        <f>HYPERLINK("https://klasma.github.io/Logging_2326/klagomål/A 23177-2024 FSC-klagomål.docx", "A 23177-2024")</f>
        <v/>
      </c>
      <c r="W169">
        <f>HYPERLINK("https://klasma.github.io/Logging_2326/klagomålsmail/A 23177-2024 FSC-klagomål mail.docx", "A 23177-2024")</f>
        <v/>
      </c>
      <c r="X169">
        <f>HYPERLINK("https://klasma.github.io/Logging_2326/tillsyn/A 23177-2024 tillsynsbegäran.docx", "A 23177-2024")</f>
        <v/>
      </c>
      <c r="Y169">
        <f>HYPERLINK("https://klasma.github.io/Logging_2326/tillsynsmail/A 23177-2024 tillsynsbegäran mail.docx", "A 23177-2024")</f>
        <v/>
      </c>
    </row>
    <row r="170" ht="15" customHeight="1">
      <c r="A170" t="inlineStr">
        <is>
          <t>A 50556-2024</t>
        </is>
      </c>
      <c r="B170" s="1" t="n">
        <v>45601.59604166666</v>
      </c>
      <c r="C170" s="1" t="n">
        <v>46063</v>
      </c>
      <c r="D170" t="inlineStr">
        <is>
          <t>JÄMTLANDS LÄN</t>
        </is>
      </c>
      <c r="E170" t="inlineStr">
        <is>
          <t>BERG</t>
        </is>
      </c>
      <c r="G170" t="n">
        <v>5.7</v>
      </c>
      <c r="H170" t="n">
        <v>0</v>
      </c>
      <c r="I170" t="n">
        <v>0</v>
      </c>
      <c r="J170" t="n">
        <v>1</v>
      </c>
      <c r="K170" t="n">
        <v>0</v>
      </c>
      <c r="L170" t="n">
        <v>0</v>
      </c>
      <c r="M170" t="n">
        <v>0</v>
      </c>
      <c r="N170" t="n">
        <v>0</v>
      </c>
      <c r="O170" t="n">
        <v>1</v>
      </c>
      <c r="P170" t="n">
        <v>0</v>
      </c>
      <c r="Q170" t="n">
        <v>1</v>
      </c>
      <c r="R170" s="2" t="inlineStr">
        <is>
          <t>Kalkbräken</t>
        </is>
      </c>
      <c r="S170">
        <f>HYPERLINK("https://klasma.github.io/Logging_2326/artfynd/A 50556-2024 artfynd.xlsx", "A 50556-2024")</f>
        <v/>
      </c>
      <c r="T170">
        <f>HYPERLINK("https://klasma.github.io/Logging_2326/kartor/A 50556-2024 karta.png", "A 50556-2024")</f>
        <v/>
      </c>
      <c r="V170">
        <f>HYPERLINK("https://klasma.github.io/Logging_2326/klagomål/A 50556-2024 FSC-klagomål.docx", "A 50556-2024")</f>
        <v/>
      </c>
      <c r="W170">
        <f>HYPERLINK("https://klasma.github.io/Logging_2326/klagomålsmail/A 50556-2024 FSC-klagomål mail.docx", "A 50556-2024")</f>
        <v/>
      </c>
      <c r="X170">
        <f>HYPERLINK("https://klasma.github.io/Logging_2326/tillsyn/A 50556-2024 tillsynsbegäran.docx", "A 50556-2024")</f>
        <v/>
      </c>
      <c r="Y170">
        <f>HYPERLINK("https://klasma.github.io/Logging_2326/tillsynsmail/A 50556-2024 tillsynsbegäran mail.docx", "A 50556-2024")</f>
        <v/>
      </c>
    </row>
    <row r="171" ht="15" customHeight="1">
      <c r="A171" t="inlineStr">
        <is>
          <t>A 971-2026</t>
        </is>
      </c>
      <c r="B171" s="1" t="n">
        <v>46029</v>
      </c>
      <c r="C171" s="1" t="n">
        <v>46063</v>
      </c>
      <c r="D171" t="inlineStr">
        <is>
          <t>JÄMTLANDS LÄN</t>
        </is>
      </c>
      <c r="E171" t="inlineStr">
        <is>
          <t>BERG</t>
        </is>
      </c>
      <c r="F171" t="inlineStr">
        <is>
          <t>SCA</t>
        </is>
      </c>
      <c r="G171" t="n">
        <v>9.699999999999999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HYPERLINK("https://klasma.github.io/Logging_2326/artfynd/A 971-2026 artfynd.xlsx", "A 971-2026")</f>
        <v/>
      </c>
      <c r="T171">
        <f>HYPERLINK("https://klasma.github.io/Logging_2326/kartor/A 971-2026 karta.png", "A 971-2026")</f>
        <v/>
      </c>
      <c r="V171">
        <f>HYPERLINK("https://klasma.github.io/Logging_2326/klagomål/A 971-2026 FSC-klagomål.docx", "A 971-2026")</f>
        <v/>
      </c>
      <c r="W171">
        <f>HYPERLINK("https://klasma.github.io/Logging_2326/klagomålsmail/A 971-2026 FSC-klagomål mail.docx", "A 971-2026")</f>
        <v/>
      </c>
      <c r="X171">
        <f>HYPERLINK("https://klasma.github.io/Logging_2326/tillsyn/A 971-2026 tillsynsbegäran.docx", "A 971-2026")</f>
        <v/>
      </c>
      <c r="Y171">
        <f>HYPERLINK("https://klasma.github.io/Logging_2326/tillsynsmail/A 971-2026 tillsynsbegäran mail.docx", "A 971-2026")</f>
        <v/>
      </c>
      <c r="Z171">
        <f>HYPERLINK("https://klasma.github.io/Logging_2326/fåglar/A 971-2026 prioriterade fågelarter.docx", "A 971-2026")</f>
        <v/>
      </c>
    </row>
    <row r="172" ht="15" customHeight="1">
      <c r="A172" t="inlineStr">
        <is>
          <t>A 60150-2025</t>
        </is>
      </c>
      <c r="B172" s="1" t="n">
        <v>45994.38944444444</v>
      </c>
      <c r="C172" s="1" t="n">
        <v>46063</v>
      </c>
      <c r="D172" t="inlineStr">
        <is>
          <t>JÄMTLANDS LÄN</t>
        </is>
      </c>
      <c r="E172" t="inlineStr">
        <is>
          <t>BERG</t>
        </is>
      </c>
      <c r="G172" t="n">
        <v>17.6</v>
      </c>
      <c r="H172" t="n">
        <v>0</v>
      </c>
      <c r="I172" t="n">
        <v>0</v>
      </c>
      <c r="J172" t="n">
        <v>1</v>
      </c>
      <c r="K172" t="n">
        <v>0</v>
      </c>
      <c r="L172" t="n">
        <v>0</v>
      </c>
      <c r="M172" t="n">
        <v>0</v>
      </c>
      <c r="N172" t="n">
        <v>0</v>
      </c>
      <c r="O172" t="n">
        <v>1</v>
      </c>
      <c r="P172" t="n">
        <v>0</v>
      </c>
      <c r="Q172" t="n">
        <v>1</v>
      </c>
      <c r="R172" s="2" t="inlineStr">
        <is>
          <t>Kolflarnlav</t>
        </is>
      </c>
      <c r="S172">
        <f>HYPERLINK("https://klasma.github.io/Logging_2326/artfynd/A 60150-2025 artfynd.xlsx", "A 60150-2025")</f>
        <v/>
      </c>
      <c r="T172">
        <f>HYPERLINK("https://klasma.github.io/Logging_2326/kartor/A 60150-2025 karta.png", "A 60150-2025")</f>
        <v/>
      </c>
      <c r="V172">
        <f>HYPERLINK("https://klasma.github.io/Logging_2326/klagomål/A 60150-2025 FSC-klagomål.docx", "A 60150-2025")</f>
        <v/>
      </c>
      <c r="W172">
        <f>HYPERLINK("https://klasma.github.io/Logging_2326/klagomålsmail/A 60150-2025 FSC-klagomål mail.docx", "A 60150-2025")</f>
        <v/>
      </c>
      <c r="X172">
        <f>HYPERLINK("https://klasma.github.io/Logging_2326/tillsyn/A 60150-2025 tillsynsbegäran.docx", "A 60150-2025")</f>
        <v/>
      </c>
      <c r="Y172">
        <f>HYPERLINK("https://klasma.github.io/Logging_2326/tillsynsmail/A 60150-2025 tillsynsbegäran mail.docx", "A 60150-2025")</f>
        <v/>
      </c>
    </row>
    <row r="173" ht="15" customHeight="1">
      <c r="A173" t="inlineStr">
        <is>
          <t>A 60633-2025</t>
        </is>
      </c>
      <c r="B173" s="1" t="n">
        <v>45996.42788194444</v>
      </c>
      <c r="C173" s="1" t="n">
        <v>46063</v>
      </c>
      <c r="D173" t="inlineStr">
        <is>
          <t>JÄMTLANDS LÄN</t>
        </is>
      </c>
      <c r="E173" t="inlineStr">
        <is>
          <t>BERG</t>
        </is>
      </c>
      <c r="F173" t="inlineStr">
        <is>
          <t>SCA</t>
        </is>
      </c>
      <c r="G173" t="n">
        <v>18.3</v>
      </c>
      <c r="H173" t="n">
        <v>1</v>
      </c>
      <c r="I173" t="n">
        <v>1</v>
      </c>
      <c r="J173" t="n">
        <v>0</v>
      </c>
      <c r="K173" t="n">
        <v>0</v>
      </c>
      <c r="L173" t="n">
        <v>0</v>
      </c>
      <c r="M173" t="n">
        <v>0</v>
      </c>
      <c r="N173" t="n">
        <v>0</v>
      </c>
      <c r="O173" t="n">
        <v>0</v>
      </c>
      <c r="P173" t="n">
        <v>0</v>
      </c>
      <c r="Q173" t="n">
        <v>1</v>
      </c>
      <c r="R173" s="2" t="inlineStr">
        <is>
          <t>Plattlummer</t>
        </is>
      </c>
      <c r="S173">
        <f>HYPERLINK("https://klasma.github.io/Logging_2326/artfynd/A 60633-2025 artfynd.xlsx", "A 60633-2025")</f>
        <v/>
      </c>
      <c r="T173">
        <f>HYPERLINK("https://klasma.github.io/Logging_2326/kartor/A 60633-2025 karta.png", "A 60633-2025")</f>
        <v/>
      </c>
      <c r="V173">
        <f>HYPERLINK("https://klasma.github.io/Logging_2326/klagomål/A 60633-2025 FSC-klagomål.docx", "A 60633-2025")</f>
        <v/>
      </c>
      <c r="W173">
        <f>HYPERLINK("https://klasma.github.io/Logging_2326/klagomålsmail/A 60633-2025 FSC-klagomål mail.docx", "A 60633-2025")</f>
        <v/>
      </c>
      <c r="X173">
        <f>HYPERLINK("https://klasma.github.io/Logging_2326/tillsyn/A 60633-2025 tillsynsbegäran.docx", "A 60633-2025")</f>
        <v/>
      </c>
      <c r="Y173">
        <f>HYPERLINK("https://klasma.github.io/Logging_2326/tillsynsmail/A 60633-2025 tillsynsbegäran mail.docx", "A 60633-2025")</f>
        <v/>
      </c>
    </row>
    <row r="174" ht="15" customHeight="1">
      <c r="A174" t="inlineStr">
        <is>
          <t>A 24309-2023</t>
        </is>
      </c>
      <c r="B174" s="1" t="n">
        <v>45079</v>
      </c>
      <c r="C174" s="1" t="n">
        <v>46063</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60833-2025</t>
        </is>
      </c>
      <c r="B175" s="1" t="n">
        <v>45999.46969907408</v>
      </c>
      <c r="C175" s="1" t="n">
        <v>46063</v>
      </c>
      <c r="D175" t="inlineStr">
        <is>
          <t>JÄMTLANDS LÄN</t>
        </is>
      </c>
      <c r="E175" t="inlineStr">
        <is>
          <t>BERG</t>
        </is>
      </c>
      <c r="F175" t="inlineStr">
        <is>
          <t>SCA</t>
        </is>
      </c>
      <c r="G175" t="n">
        <v>18.1</v>
      </c>
      <c r="H175" t="n">
        <v>1</v>
      </c>
      <c r="I175" t="n">
        <v>0</v>
      </c>
      <c r="J175" t="n">
        <v>1</v>
      </c>
      <c r="K175" t="n">
        <v>0</v>
      </c>
      <c r="L175" t="n">
        <v>0</v>
      </c>
      <c r="M175" t="n">
        <v>0</v>
      </c>
      <c r="N175" t="n">
        <v>0</v>
      </c>
      <c r="O175" t="n">
        <v>1</v>
      </c>
      <c r="P175" t="n">
        <v>0</v>
      </c>
      <c r="Q175" t="n">
        <v>1</v>
      </c>
      <c r="R175" s="2" t="inlineStr">
        <is>
          <t>Spillkråka</t>
        </is>
      </c>
      <c r="S175">
        <f>HYPERLINK("https://klasma.github.io/Logging_2326/artfynd/A 60833-2025 artfynd.xlsx", "A 60833-2025")</f>
        <v/>
      </c>
      <c r="T175">
        <f>HYPERLINK("https://klasma.github.io/Logging_2326/kartor/A 60833-2025 karta.png", "A 60833-2025")</f>
        <v/>
      </c>
      <c r="V175">
        <f>HYPERLINK("https://klasma.github.io/Logging_2326/klagomål/A 60833-2025 FSC-klagomål.docx", "A 60833-2025")</f>
        <v/>
      </c>
      <c r="W175">
        <f>HYPERLINK("https://klasma.github.io/Logging_2326/klagomålsmail/A 60833-2025 FSC-klagomål mail.docx", "A 60833-2025")</f>
        <v/>
      </c>
      <c r="X175">
        <f>HYPERLINK("https://klasma.github.io/Logging_2326/tillsyn/A 60833-2025 tillsynsbegäran.docx", "A 60833-2025")</f>
        <v/>
      </c>
      <c r="Y175">
        <f>HYPERLINK("https://klasma.github.io/Logging_2326/tillsynsmail/A 60833-2025 tillsynsbegäran mail.docx", "A 60833-2025")</f>
        <v/>
      </c>
      <c r="Z175">
        <f>HYPERLINK("https://klasma.github.io/Logging_2326/fåglar/A 60833-2025 prioriterade fågelarter.docx", "A 60833-2025")</f>
        <v/>
      </c>
    </row>
    <row r="176" ht="15" customHeight="1">
      <c r="A176" t="inlineStr">
        <is>
          <t>A 49276-2024</t>
        </is>
      </c>
      <c r="B176" s="1" t="n">
        <v>45595.50819444445</v>
      </c>
      <c r="C176" s="1" t="n">
        <v>46063</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12733-2024</t>
        </is>
      </c>
      <c r="B177" s="1" t="n">
        <v>45384</v>
      </c>
      <c r="C177" s="1" t="n">
        <v>46063</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40382-2024</t>
        </is>
      </c>
      <c r="B178" s="1" t="n">
        <v>45555.42225694445</v>
      </c>
      <c r="C178" s="1" t="n">
        <v>46063</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40440-2024</t>
        </is>
      </c>
      <c r="B179" s="1" t="n">
        <v>45555.48267361111</v>
      </c>
      <c r="C179" s="1" t="n">
        <v>46063</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46063</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46063</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46063</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46063</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46063</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46063</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49196-2022</t>
        </is>
      </c>
      <c r="B186" s="1" t="n">
        <v>44860.95508101852</v>
      </c>
      <c r="C186" s="1" t="n">
        <v>46063</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46063</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46063</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46063</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46063</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46063</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46063</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28883-2021</t>
        </is>
      </c>
      <c r="B193" s="1" t="n">
        <v>44357</v>
      </c>
      <c r="C193" s="1" t="n">
        <v>46063</v>
      </c>
      <c r="D193" t="inlineStr">
        <is>
          <t>JÄMTLANDS LÄN</t>
        </is>
      </c>
      <c r="E193" t="inlineStr">
        <is>
          <t>BERG</t>
        </is>
      </c>
      <c r="F193" t="inlineStr">
        <is>
          <t>Kyrkan</t>
        </is>
      </c>
      <c r="G193" t="n">
        <v>7.3</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46063</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46063</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46063</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46063</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46063</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46063</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46063</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46063</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46063</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46063</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46063</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46063</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46063</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46063</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46063</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46063</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46063</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46063</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46063</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46063</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46063</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46063</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46063</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46063</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46063</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46063</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46063</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46063</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46063</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46063</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46063</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46063</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46063</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46063</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46063</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46063</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46063</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46063</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46063</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46063</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46063</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46063</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46063</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46063</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46063</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46063</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46063</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46063</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46063</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46063</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46063</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46063</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46063</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46063</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46063</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46063</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46063</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46063</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64490-2023</t>
        </is>
      </c>
      <c r="B252" s="1" t="n">
        <v>45280</v>
      </c>
      <c r="C252" s="1" t="n">
        <v>46063</v>
      </c>
      <c r="D252" t="inlineStr">
        <is>
          <t>JÄMTLANDS LÄN</t>
        </is>
      </c>
      <c r="E252" t="inlineStr">
        <is>
          <t>BERG</t>
        </is>
      </c>
      <c r="F252" t="inlineStr">
        <is>
          <t>Övriga Aktiebolag</t>
        </is>
      </c>
      <c r="G252" t="n">
        <v>7.7</v>
      </c>
      <c r="H252" t="n">
        <v>0</v>
      </c>
      <c r="I252" t="n">
        <v>0</v>
      </c>
      <c r="J252" t="n">
        <v>0</v>
      </c>
      <c r="K252" t="n">
        <v>0</v>
      </c>
      <c r="L252" t="n">
        <v>0</v>
      </c>
      <c r="M252" t="n">
        <v>0</v>
      </c>
      <c r="N252" t="n">
        <v>0</v>
      </c>
      <c r="O252" t="n">
        <v>0</v>
      </c>
      <c r="P252" t="n">
        <v>0</v>
      </c>
      <c r="Q252" t="n">
        <v>0</v>
      </c>
      <c r="R252" s="2" t="inlineStr"/>
    </row>
    <row r="253" ht="15" customHeight="1">
      <c r="A253" t="inlineStr">
        <is>
          <t>A 4522-2024</t>
        </is>
      </c>
      <c r="B253" s="1" t="n">
        <v>45327</v>
      </c>
      <c r="C253" s="1" t="n">
        <v>46063</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46063</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10861-2024</t>
        </is>
      </c>
      <c r="B255" s="1" t="n">
        <v>45370.01967592593</v>
      </c>
      <c r="C255" s="1" t="n">
        <v>46063</v>
      </c>
      <c r="D255" t="inlineStr">
        <is>
          <t>JÄMTLANDS LÄN</t>
        </is>
      </c>
      <c r="E255" t="inlineStr">
        <is>
          <t>BERG</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62299-2023</t>
        </is>
      </c>
      <c r="B256" s="1" t="n">
        <v>45266</v>
      </c>
      <c r="C256" s="1" t="n">
        <v>46063</v>
      </c>
      <c r="D256" t="inlineStr">
        <is>
          <t>JÄMTLANDS LÄN</t>
        </is>
      </c>
      <c r="E256" t="inlineStr">
        <is>
          <t>BERG</t>
        </is>
      </c>
      <c r="G256" t="n">
        <v>2.6</v>
      </c>
      <c r="H256" t="n">
        <v>0</v>
      </c>
      <c r="I256" t="n">
        <v>0</v>
      </c>
      <c r="J256" t="n">
        <v>0</v>
      </c>
      <c r="K256" t="n">
        <v>0</v>
      </c>
      <c r="L256" t="n">
        <v>0</v>
      </c>
      <c r="M256" t="n">
        <v>0</v>
      </c>
      <c r="N256" t="n">
        <v>0</v>
      </c>
      <c r="O256" t="n">
        <v>0</v>
      </c>
      <c r="P256" t="n">
        <v>0</v>
      </c>
      <c r="Q256" t="n">
        <v>0</v>
      </c>
      <c r="R256" s="2" t="inlineStr"/>
    </row>
    <row r="257" ht="15" customHeight="1">
      <c r="A257" t="inlineStr">
        <is>
          <t>A 50612-2023</t>
        </is>
      </c>
      <c r="B257" s="1" t="n">
        <v>45217.444375</v>
      </c>
      <c r="C257" s="1" t="n">
        <v>46063</v>
      </c>
      <c r="D257" t="inlineStr">
        <is>
          <t>JÄMTLANDS LÄN</t>
        </is>
      </c>
      <c r="E257" t="inlineStr">
        <is>
          <t>BERG</t>
        </is>
      </c>
      <c r="G257" t="n">
        <v>1.4</v>
      </c>
      <c r="H257" t="n">
        <v>0</v>
      </c>
      <c r="I257" t="n">
        <v>0</v>
      </c>
      <c r="J257" t="n">
        <v>0</v>
      </c>
      <c r="K257" t="n">
        <v>0</v>
      </c>
      <c r="L257" t="n">
        <v>0</v>
      </c>
      <c r="M257" t="n">
        <v>0</v>
      </c>
      <c r="N257" t="n">
        <v>0</v>
      </c>
      <c r="O257" t="n">
        <v>0</v>
      </c>
      <c r="P257" t="n">
        <v>0</v>
      </c>
      <c r="Q257" t="n">
        <v>0</v>
      </c>
      <c r="R257" s="2" t="inlineStr"/>
    </row>
    <row r="258" ht="15" customHeight="1">
      <c r="A258" t="inlineStr">
        <is>
          <t>A 54071-2023</t>
        </is>
      </c>
      <c r="B258" s="1" t="n">
        <v>45231</v>
      </c>
      <c r="C258" s="1" t="n">
        <v>46063</v>
      </c>
      <c r="D258" t="inlineStr">
        <is>
          <t>JÄMTLANDS LÄN</t>
        </is>
      </c>
      <c r="E258" t="inlineStr">
        <is>
          <t>BERG</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29511-2021</t>
        </is>
      </c>
      <c r="B259" s="1" t="n">
        <v>44361</v>
      </c>
      <c r="C259" s="1" t="n">
        <v>46063</v>
      </c>
      <c r="D259" t="inlineStr">
        <is>
          <t>JÄMTLANDS LÄN</t>
        </is>
      </c>
      <c r="E259" t="inlineStr">
        <is>
          <t>BERG</t>
        </is>
      </c>
      <c r="G259" t="n">
        <v>5.6</v>
      </c>
      <c r="H259" t="n">
        <v>0</v>
      </c>
      <c r="I259" t="n">
        <v>0</v>
      </c>
      <c r="J259" t="n">
        <v>0</v>
      </c>
      <c r="K259" t="n">
        <v>0</v>
      </c>
      <c r="L259" t="n">
        <v>0</v>
      </c>
      <c r="M259" t="n">
        <v>0</v>
      </c>
      <c r="N259" t="n">
        <v>0</v>
      </c>
      <c r="O259" t="n">
        <v>0</v>
      </c>
      <c r="P259" t="n">
        <v>0</v>
      </c>
      <c r="Q259" t="n">
        <v>0</v>
      </c>
      <c r="R259" s="2" t="inlineStr"/>
    </row>
    <row r="260" ht="15" customHeight="1">
      <c r="A260" t="inlineStr">
        <is>
          <t>A 20268-2024</t>
        </is>
      </c>
      <c r="B260" s="1" t="n">
        <v>45434.94887731481</v>
      </c>
      <c r="C260" s="1" t="n">
        <v>46063</v>
      </c>
      <c r="D260" t="inlineStr">
        <is>
          <t>JÄMTLANDS LÄN</t>
        </is>
      </c>
      <c r="E260" t="inlineStr">
        <is>
          <t>BERG</t>
        </is>
      </c>
      <c r="F260" t="inlineStr">
        <is>
          <t>SCA</t>
        </is>
      </c>
      <c r="G260" t="n">
        <v>4.9</v>
      </c>
      <c r="H260" t="n">
        <v>0</v>
      </c>
      <c r="I260" t="n">
        <v>0</v>
      </c>
      <c r="J260" t="n">
        <v>0</v>
      </c>
      <c r="K260" t="n">
        <v>0</v>
      </c>
      <c r="L260" t="n">
        <v>0</v>
      </c>
      <c r="M260" t="n">
        <v>0</v>
      </c>
      <c r="N260" t="n">
        <v>0</v>
      </c>
      <c r="O260" t="n">
        <v>0</v>
      </c>
      <c r="P260" t="n">
        <v>0</v>
      </c>
      <c r="Q260" t="n">
        <v>0</v>
      </c>
      <c r="R260" s="2" t="inlineStr"/>
    </row>
    <row r="261" ht="15" customHeight="1">
      <c r="A261" t="inlineStr">
        <is>
          <t>A 17929-2024</t>
        </is>
      </c>
      <c r="B261" s="1" t="n">
        <v>45419.60266203704</v>
      </c>
      <c r="C261" s="1" t="n">
        <v>46063</v>
      </c>
      <c r="D261" t="inlineStr">
        <is>
          <t>JÄMTLANDS LÄN</t>
        </is>
      </c>
      <c r="E261" t="inlineStr">
        <is>
          <t>BERG</t>
        </is>
      </c>
      <c r="F261" t="inlineStr">
        <is>
          <t>Holmen skog AB</t>
        </is>
      </c>
      <c r="G261" t="n">
        <v>3</v>
      </c>
      <c r="H261" t="n">
        <v>0</v>
      </c>
      <c r="I261" t="n">
        <v>0</v>
      </c>
      <c r="J261" t="n">
        <v>0</v>
      </c>
      <c r="K261" t="n">
        <v>0</v>
      </c>
      <c r="L261" t="n">
        <v>0</v>
      </c>
      <c r="M261" t="n">
        <v>0</v>
      </c>
      <c r="N261" t="n">
        <v>0</v>
      </c>
      <c r="O261" t="n">
        <v>0</v>
      </c>
      <c r="P261" t="n">
        <v>0</v>
      </c>
      <c r="Q261" t="n">
        <v>0</v>
      </c>
      <c r="R261" s="2" t="inlineStr"/>
    </row>
    <row r="262" ht="15" customHeight="1">
      <c r="A262" t="inlineStr">
        <is>
          <t>A 46167-2022</t>
        </is>
      </c>
      <c r="B262" s="1" t="n">
        <v>44845</v>
      </c>
      <c r="C262" s="1" t="n">
        <v>46063</v>
      </c>
      <c r="D262" t="inlineStr">
        <is>
          <t>JÄMTLANDS LÄN</t>
        </is>
      </c>
      <c r="E262" t="inlineStr">
        <is>
          <t>BERG</t>
        </is>
      </c>
      <c r="G262" t="n">
        <v>35.2</v>
      </c>
      <c r="H262" t="n">
        <v>0</v>
      </c>
      <c r="I262" t="n">
        <v>0</v>
      </c>
      <c r="J262" t="n">
        <v>0</v>
      </c>
      <c r="K262" t="n">
        <v>0</v>
      </c>
      <c r="L262" t="n">
        <v>0</v>
      </c>
      <c r="M262" t="n">
        <v>0</v>
      </c>
      <c r="N262" t="n">
        <v>0</v>
      </c>
      <c r="O262" t="n">
        <v>0</v>
      </c>
      <c r="P262" t="n">
        <v>0</v>
      </c>
      <c r="Q262" t="n">
        <v>0</v>
      </c>
      <c r="R262" s="2" t="inlineStr"/>
    </row>
    <row r="263" ht="15" customHeight="1">
      <c r="A263" t="inlineStr">
        <is>
          <t>A 15156-2024</t>
        </is>
      </c>
      <c r="B263" s="1" t="n">
        <v>45399.94496527778</v>
      </c>
      <c r="C263" s="1" t="n">
        <v>46063</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23165-2024</t>
        </is>
      </c>
      <c r="B264" s="1" t="n">
        <v>45450</v>
      </c>
      <c r="C264" s="1" t="n">
        <v>46063</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18833-2024</t>
        </is>
      </c>
      <c r="B265" s="1" t="n">
        <v>45426.65157407407</v>
      </c>
      <c r="C265" s="1" t="n">
        <v>46063</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22020-2024</t>
        </is>
      </c>
      <c r="B266" s="1" t="n">
        <v>45443.5894675926</v>
      </c>
      <c r="C266" s="1" t="n">
        <v>46063</v>
      </c>
      <c r="D266" t="inlineStr">
        <is>
          <t>JÄMTLANDS LÄN</t>
        </is>
      </c>
      <c r="E266" t="inlineStr">
        <is>
          <t>BERG</t>
        </is>
      </c>
      <c r="G266" t="n">
        <v>4.9</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46063</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46063</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13373-2024</t>
        </is>
      </c>
      <c r="B269" s="1" t="n">
        <v>45387.37010416666</v>
      </c>
      <c r="C269" s="1" t="n">
        <v>46063</v>
      </c>
      <c r="D269" t="inlineStr">
        <is>
          <t>JÄMTLANDS LÄN</t>
        </is>
      </c>
      <c r="E269" t="inlineStr">
        <is>
          <t>BERG</t>
        </is>
      </c>
      <c r="G269" t="n">
        <v>3.8</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46063</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13936-2024</t>
        </is>
      </c>
      <c r="B271" s="1" t="n">
        <v>45391.9533912037</v>
      </c>
      <c r="C271" s="1" t="n">
        <v>46063</v>
      </c>
      <c r="D271" t="inlineStr">
        <is>
          <t>JÄMTLANDS LÄN</t>
        </is>
      </c>
      <c r="E271" t="inlineStr">
        <is>
          <t>BERG</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35911-2024</t>
        </is>
      </c>
      <c r="B272" s="1" t="n">
        <v>45533.41498842592</v>
      </c>
      <c r="C272" s="1" t="n">
        <v>46063</v>
      </c>
      <c r="D272" t="inlineStr">
        <is>
          <t>JÄMTLANDS LÄN</t>
        </is>
      </c>
      <c r="E272" t="inlineStr">
        <is>
          <t>BERG</t>
        </is>
      </c>
      <c r="G272" t="n">
        <v>4.1</v>
      </c>
      <c r="H272" t="n">
        <v>0</v>
      </c>
      <c r="I272" t="n">
        <v>0</v>
      </c>
      <c r="J272" t="n">
        <v>0</v>
      </c>
      <c r="K272" t="n">
        <v>0</v>
      </c>
      <c r="L272" t="n">
        <v>0</v>
      </c>
      <c r="M272" t="n">
        <v>0</v>
      </c>
      <c r="N272" t="n">
        <v>0</v>
      </c>
      <c r="O272" t="n">
        <v>0</v>
      </c>
      <c r="P272" t="n">
        <v>0</v>
      </c>
      <c r="Q272" t="n">
        <v>0</v>
      </c>
      <c r="R272" s="2" t="inlineStr"/>
    </row>
    <row r="273" ht="15" customHeight="1">
      <c r="A273" t="inlineStr">
        <is>
          <t>A 47982-2022</t>
        </is>
      </c>
      <c r="B273" s="1" t="n">
        <v>44853</v>
      </c>
      <c r="C273" s="1" t="n">
        <v>46063</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58157-2021</t>
        </is>
      </c>
      <c r="B274" s="1" t="n">
        <v>44487.60703703704</v>
      </c>
      <c r="C274" s="1" t="n">
        <v>46063</v>
      </c>
      <c r="D274" t="inlineStr">
        <is>
          <t>JÄMTLANDS LÄN</t>
        </is>
      </c>
      <c r="E274" t="inlineStr">
        <is>
          <t>BERG</t>
        </is>
      </c>
      <c r="G274" t="n">
        <v>4.5</v>
      </c>
      <c r="H274" t="n">
        <v>0</v>
      </c>
      <c r="I274" t="n">
        <v>0</v>
      </c>
      <c r="J274" t="n">
        <v>0</v>
      </c>
      <c r="K274" t="n">
        <v>0</v>
      </c>
      <c r="L274" t="n">
        <v>0</v>
      </c>
      <c r="M274" t="n">
        <v>0</v>
      </c>
      <c r="N274" t="n">
        <v>0</v>
      </c>
      <c r="O274" t="n">
        <v>0</v>
      </c>
      <c r="P274" t="n">
        <v>0</v>
      </c>
      <c r="Q274" t="n">
        <v>0</v>
      </c>
      <c r="R274" s="2" t="inlineStr"/>
    </row>
    <row r="275" ht="15" customHeight="1">
      <c r="A275" t="inlineStr">
        <is>
          <t>A 44911-2021</t>
        </is>
      </c>
      <c r="B275" s="1" t="n">
        <v>44435</v>
      </c>
      <c r="C275" s="1" t="n">
        <v>46063</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64251-2023</t>
        </is>
      </c>
      <c r="B276" s="1" t="n">
        <v>45279.92756944444</v>
      </c>
      <c r="C276" s="1" t="n">
        <v>46063</v>
      </c>
      <c r="D276" t="inlineStr">
        <is>
          <t>JÄMTLANDS LÄN</t>
        </is>
      </c>
      <c r="E276" t="inlineStr">
        <is>
          <t>BERG</t>
        </is>
      </c>
      <c r="G276" t="n">
        <v>0.4</v>
      </c>
      <c r="H276" t="n">
        <v>0</v>
      </c>
      <c r="I276" t="n">
        <v>0</v>
      </c>
      <c r="J276" t="n">
        <v>0</v>
      </c>
      <c r="K276" t="n">
        <v>0</v>
      </c>
      <c r="L276" t="n">
        <v>0</v>
      </c>
      <c r="M276" t="n">
        <v>0</v>
      </c>
      <c r="N276" t="n">
        <v>0</v>
      </c>
      <c r="O276" t="n">
        <v>0</v>
      </c>
      <c r="P276" t="n">
        <v>0</v>
      </c>
      <c r="Q276" t="n">
        <v>0</v>
      </c>
      <c r="R276" s="2" t="inlineStr"/>
    </row>
    <row r="277" ht="15" customHeight="1">
      <c r="A277" t="inlineStr">
        <is>
          <t>A 53883-2023</t>
        </is>
      </c>
      <c r="B277" s="1" t="n">
        <v>45231.5221875</v>
      </c>
      <c r="C277" s="1" t="n">
        <v>46063</v>
      </c>
      <c r="D277" t="inlineStr">
        <is>
          <t>JÄMTLANDS LÄN</t>
        </is>
      </c>
      <c r="E277" t="inlineStr">
        <is>
          <t>BERG</t>
        </is>
      </c>
      <c r="G277" t="n">
        <v>2</v>
      </c>
      <c r="H277" t="n">
        <v>0</v>
      </c>
      <c r="I277" t="n">
        <v>0</v>
      </c>
      <c r="J277" t="n">
        <v>0</v>
      </c>
      <c r="K277" t="n">
        <v>0</v>
      </c>
      <c r="L277" t="n">
        <v>0</v>
      </c>
      <c r="M277" t="n">
        <v>0</v>
      </c>
      <c r="N277" t="n">
        <v>0</v>
      </c>
      <c r="O277" t="n">
        <v>0</v>
      </c>
      <c r="P277" t="n">
        <v>0</v>
      </c>
      <c r="Q277" t="n">
        <v>0</v>
      </c>
      <c r="R277" s="2" t="inlineStr"/>
    </row>
    <row r="278" ht="15" customHeight="1">
      <c r="A278" t="inlineStr">
        <is>
          <t>A 57226-2022</t>
        </is>
      </c>
      <c r="B278" s="1" t="n">
        <v>44895.66629629629</v>
      </c>
      <c r="C278" s="1" t="n">
        <v>46063</v>
      </c>
      <c r="D278" t="inlineStr">
        <is>
          <t>JÄMTLANDS LÄN</t>
        </is>
      </c>
      <c r="E278" t="inlineStr">
        <is>
          <t>BERG</t>
        </is>
      </c>
      <c r="G278" t="n">
        <v>4.6</v>
      </c>
      <c r="H278" t="n">
        <v>0</v>
      </c>
      <c r="I278" t="n">
        <v>0</v>
      </c>
      <c r="J278" t="n">
        <v>0</v>
      </c>
      <c r="K278" t="n">
        <v>0</v>
      </c>
      <c r="L278" t="n">
        <v>0</v>
      </c>
      <c r="M278" t="n">
        <v>0</v>
      </c>
      <c r="N278" t="n">
        <v>0</v>
      </c>
      <c r="O278" t="n">
        <v>0</v>
      </c>
      <c r="P278" t="n">
        <v>0</v>
      </c>
      <c r="Q278" t="n">
        <v>0</v>
      </c>
      <c r="R278" s="2" t="inlineStr"/>
    </row>
    <row r="279" ht="15" customHeight="1">
      <c r="A279" t="inlineStr">
        <is>
          <t>A 23560-2024</t>
        </is>
      </c>
      <c r="B279" s="1" t="n">
        <v>45453.95467592592</v>
      </c>
      <c r="C279" s="1" t="n">
        <v>46063</v>
      </c>
      <c r="D279" t="inlineStr">
        <is>
          <t>JÄMTLANDS LÄN</t>
        </is>
      </c>
      <c r="E279" t="inlineStr">
        <is>
          <t>BERG</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35866-2024</t>
        </is>
      </c>
      <c r="B280" s="1" t="n">
        <v>45533.3422337963</v>
      </c>
      <c r="C280" s="1" t="n">
        <v>46063</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17922-2024</t>
        </is>
      </c>
      <c r="B281" s="1" t="n">
        <v>45419.5853587963</v>
      </c>
      <c r="C281" s="1" t="n">
        <v>46063</v>
      </c>
      <c r="D281" t="inlineStr">
        <is>
          <t>JÄMTLANDS LÄN</t>
        </is>
      </c>
      <c r="E281" t="inlineStr">
        <is>
          <t>BERG</t>
        </is>
      </c>
      <c r="F281" t="inlineStr">
        <is>
          <t>Holmen skog AB</t>
        </is>
      </c>
      <c r="G281" t="n">
        <v>6.8</v>
      </c>
      <c r="H281" t="n">
        <v>0</v>
      </c>
      <c r="I281" t="n">
        <v>0</v>
      </c>
      <c r="J281" t="n">
        <v>0</v>
      </c>
      <c r="K281" t="n">
        <v>0</v>
      </c>
      <c r="L281" t="n">
        <v>0</v>
      </c>
      <c r="M281" t="n">
        <v>0</v>
      </c>
      <c r="N281" t="n">
        <v>0</v>
      </c>
      <c r="O281" t="n">
        <v>0</v>
      </c>
      <c r="P281" t="n">
        <v>0</v>
      </c>
      <c r="Q281" t="n">
        <v>0</v>
      </c>
      <c r="R281" s="2" t="inlineStr"/>
    </row>
    <row r="282" ht="15" customHeight="1">
      <c r="A282" t="inlineStr">
        <is>
          <t>A 29540-2024</t>
        </is>
      </c>
      <c r="B282" s="1" t="n">
        <v>45484</v>
      </c>
      <c r="C282" s="1" t="n">
        <v>46063</v>
      </c>
      <c r="D282" t="inlineStr">
        <is>
          <t>JÄMTLANDS LÄN</t>
        </is>
      </c>
      <c r="E282" t="inlineStr">
        <is>
          <t>BERG</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28098-2024</t>
        </is>
      </c>
      <c r="B283" s="1" t="n">
        <v>45476.61347222222</v>
      </c>
      <c r="C283" s="1" t="n">
        <v>46063</v>
      </c>
      <c r="D283" t="inlineStr">
        <is>
          <t>JÄMTLANDS LÄN</t>
        </is>
      </c>
      <c r="E283" t="inlineStr">
        <is>
          <t>BERG</t>
        </is>
      </c>
      <c r="G283" t="n">
        <v>0.4</v>
      </c>
      <c r="H283" t="n">
        <v>0</v>
      </c>
      <c r="I283" t="n">
        <v>0</v>
      </c>
      <c r="J283" t="n">
        <v>0</v>
      </c>
      <c r="K283" t="n">
        <v>0</v>
      </c>
      <c r="L283" t="n">
        <v>0</v>
      </c>
      <c r="M283" t="n">
        <v>0</v>
      </c>
      <c r="N283" t="n">
        <v>0</v>
      </c>
      <c r="O283" t="n">
        <v>0</v>
      </c>
      <c r="P283" t="n">
        <v>0</v>
      </c>
      <c r="Q283" t="n">
        <v>0</v>
      </c>
      <c r="R283" s="2" t="inlineStr"/>
    </row>
    <row r="284" ht="15" customHeight="1">
      <c r="A284" t="inlineStr">
        <is>
          <t>A 38682-2023</t>
        </is>
      </c>
      <c r="B284" s="1" t="n">
        <v>45162</v>
      </c>
      <c r="C284" s="1" t="n">
        <v>46063</v>
      </c>
      <c r="D284" t="inlineStr">
        <is>
          <t>JÄMTLANDS LÄN</t>
        </is>
      </c>
      <c r="E284" t="inlineStr">
        <is>
          <t>BERG</t>
        </is>
      </c>
      <c r="F284" t="inlineStr">
        <is>
          <t>SCA</t>
        </is>
      </c>
      <c r="G284" t="n">
        <v>21.3</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46063</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29424-2024</t>
        </is>
      </c>
      <c r="B286" s="1" t="n">
        <v>45483.71451388889</v>
      </c>
      <c r="C286" s="1" t="n">
        <v>46063</v>
      </c>
      <c r="D286" t="inlineStr">
        <is>
          <t>JÄMTLANDS LÄN</t>
        </is>
      </c>
      <c r="E286" t="inlineStr">
        <is>
          <t>BERG</t>
        </is>
      </c>
      <c r="G286" t="n">
        <v>4</v>
      </c>
      <c r="H286" t="n">
        <v>0</v>
      </c>
      <c r="I286" t="n">
        <v>0</v>
      </c>
      <c r="J286" t="n">
        <v>0</v>
      </c>
      <c r="K286" t="n">
        <v>0</v>
      </c>
      <c r="L286" t="n">
        <v>0</v>
      </c>
      <c r="M286" t="n">
        <v>0</v>
      </c>
      <c r="N286" t="n">
        <v>0</v>
      </c>
      <c r="O286" t="n">
        <v>0</v>
      </c>
      <c r="P286" t="n">
        <v>0</v>
      </c>
      <c r="Q286" t="n">
        <v>0</v>
      </c>
      <c r="R286" s="2" t="inlineStr"/>
    </row>
    <row r="287" ht="15" customHeight="1">
      <c r="A287" t="inlineStr">
        <is>
          <t>A 30917-2024</t>
        </is>
      </c>
      <c r="B287" s="1" t="n">
        <v>45498.66611111111</v>
      </c>
      <c r="C287" s="1" t="n">
        <v>46063</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30992-2024</t>
        </is>
      </c>
      <c r="B288" s="1" t="n">
        <v>45499</v>
      </c>
      <c r="C288" s="1" t="n">
        <v>46063</v>
      </c>
      <c r="D288" t="inlineStr">
        <is>
          <t>JÄMTLANDS LÄN</t>
        </is>
      </c>
      <c r="E288" t="inlineStr">
        <is>
          <t>BERG</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45081-2022</t>
        </is>
      </c>
      <c r="B289" s="1" t="n">
        <v>44841</v>
      </c>
      <c r="C289" s="1" t="n">
        <v>46063</v>
      </c>
      <c r="D289" t="inlineStr">
        <is>
          <t>JÄMTLANDS LÄN</t>
        </is>
      </c>
      <c r="E289" t="inlineStr">
        <is>
          <t>BERG</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5911-2024</t>
        </is>
      </c>
      <c r="B290" s="1" t="n">
        <v>45335</v>
      </c>
      <c r="C290" s="1" t="n">
        <v>46063</v>
      </c>
      <c r="D290" t="inlineStr">
        <is>
          <t>JÄMTLANDS LÄN</t>
        </is>
      </c>
      <c r="E290" t="inlineStr">
        <is>
          <t>BERG</t>
        </is>
      </c>
      <c r="F290" t="inlineStr">
        <is>
          <t>SCA</t>
        </is>
      </c>
      <c r="G290" t="n">
        <v>28.6</v>
      </c>
      <c r="H290" t="n">
        <v>0</v>
      </c>
      <c r="I290" t="n">
        <v>0</v>
      </c>
      <c r="J290" t="n">
        <v>0</v>
      </c>
      <c r="K290" t="n">
        <v>0</v>
      </c>
      <c r="L290" t="n">
        <v>0</v>
      </c>
      <c r="M290" t="n">
        <v>0</v>
      </c>
      <c r="N290" t="n">
        <v>0</v>
      </c>
      <c r="O290" t="n">
        <v>0</v>
      </c>
      <c r="P290" t="n">
        <v>0</v>
      </c>
      <c r="Q290" t="n">
        <v>0</v>
      </c>
      <c r="R290" s="2" t="inlineStr"/>
    </row>
    <row r="291" ht="15" customHeight="1">
      <c r="A291" t="inlineStr">
        <is>
          <t>A 1983-2022</t>
        </is>
      </c>
      <c r="B291" s="1" t="n">
        <v>44575</v>
      </c>
      <c r="C291" s="1" t="n">
        <v>46063</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2002-2022</t>
        </is>
      </c>
      <c r="B292" s="1" t="n">
        <v>44575</v>
      </c>
      <c r="C292" s="1" t="n">
        <v>46063</v>
      </c>
      <c r="D292" t="inlineStr">
        <is>
          <t>JÄMTLANDS LÄN</t>
        </is>
      </c>
      <c r="E292" t="inlineStr">
        <is>
          <t>BERG</t>
        </is>
      </c>
      <c r="G292" t="n">
        <v>11.3</v>
      </c>
      <c r="H292" t="n">
        <v>0</v>
      </c>
      <c r="I292" t="n">
        <v>0</v>
      </c>
      <c r="J292" t="n">
        <v>0</v>
      </c>
      <c r="K292" t="n">
        <v>0</v>
      </c>
      <c r="L292" t="n">
        <v>0</v>
      </c>
      <c r="M292" t="n">
        <v>0</v>
      </c>
      <c r="N292" t="n">
        <v>0</v>
      </c>
      <c r="O292" t="n">
        <v>0</v>
      </c>
      <c r="P292" t="n">
        <v>0</v>
      </c>
      <c r="Q292" t="n">
        <v>0</v>
      </c>
      <c r="R292" s="2" t="inlineStr"/>
    </row>
    <row r="293" ht="15" customHeight="1">
      <c r="A293" t="inlineStr">
        <is>
          <t>A 39186-2024</t>
        </is>
      </c>
      <c r="B293" s="1" t="n">
        <v>45548.66489583333</v>
      </c>
      <c r="C293" s="1" t="n">
        <v>46063</v>
      </c>
      <c r="D293" t="inlineStr">
        <is>
          <t>JÄMTLANDS LÄN</t>
        </is>
      </c>
      <c r="E293" t="inlineStr">
        <is>
          <t>BERG</t>
        </is>
      </c>
      <c r="G293" t="n">
        <v>38.4</v>
      </c>
      <c r="H293" t="n">
        <v>0</v>
      </c>
      <c r="I293" t="n">
        <v>0</v>
      </c>
      <c r="J293" t="n">
        <v>0</v>
      </c>
      <c r="K293" t="n">
        <v>0</v>
      </c>
      <c r="L293" t="n">
        <v>0</v>
      </c>
      <c r="M293" t="n">
        <v>0</v>
      </c>
      <c r="N293" t="n">
        <v>0</v>
      </c>
      <c r="O293" t="n">
        <v>0</v>
      </c>
      <c r="P293" t="n">
        <v>0</v>
      </c>
      <c r="Q293" t="n">
        <v>0</v>
      </c>
      <c r="R293" s="2" t="inlineStr"/>
    </row>
    <row r="294" ht="15" customHeight="1">
      <c r="A294" t="inlineStr">
        <is>
          <t>A 19345-2024</t>
        </is>
      </c>
      <c r="B294" s="1" t="n">
        <v>45428.97185185185</v>
      </c>
      <c r="C294" s="1" t="n">
        <v>46063</v>
      </c>
      <c r="D294" t="inlineStr">
        <is>
          <t>JÄMTLANDS LÄN</t>
        </is>
      </c>
      <c r="E294" t="inlineStr">
        <is>
          <t>BERG</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53456-2022</t>
        </is>
      </c>
      <c r="B295" s="1" t="n">
        <v>44874</v>
      </c>
      <c r="C295" s="1" t="n">
        <v>46063</v>
      </c>
      <c r="D295" t="inlineStr">
        <is>
          <t>JÄMTLANDS LÄN</t>
        </is>
      </c>
      <c r="E295" t="inlineStr">
        <is>
          <t>BERG</t>
        </is>
      </c>
      <c r="G295" t="n">
        <v>13.3</v>
      </c>
      <c r="H295" t="n">
        <v>0</v>
      </c>
      <c r="I295" t="n">
        <v>0</v>
      </c>
      <c r="J295" t="n">
        <v>0</v>
      </c>
      <c r="K295" t="n">
        <v>0</v>
      </c>
      <c r="L295" t="n">
        <v>0</v>
      </c>
      <c r="M295" t="n">
        <v>0</v>
      </c>
      <c r="N295" t="n">
        <v>0</v>
      </c>
      <c r="O295" t="n">
        <v>0</v>
      </c>
      <c r="P295" t="n">
        <v>0</v>
      </c>
      <c r="Q295" t="n">
        <v>0</v>
      </c>
      <c r="R295" s="2" t="inlineStr"/>
    </row>
    <row r="296" ht="15" customHeight="1">
      <c r="A296" t="inlineStr">
        <is>
          <t>A 171-2022</t>
        </is>
      </c>
      <c r="B296" s="1" t="n">
        <v>44564</v>
      </c>
      <c r="C296" s="1" t="n">
        <v>46063</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38962-2024</t>
        </is>
      </c>
      <c r="B297" s="1" t="n">
        <v>45548.36175925926</v>
      </c>
      <c r="C297" s="1" t="n">
        <v>46063</v>
      </c>
      <c r="D297" t="inlineStr">
        <is>
          <t>JÄMTLANDS LÄN</t>
        </is>
      </c>
      <c r="E297" t="inlineStr">
        <is>
          <t>BERG</t>
        </is>
      </c>
      <c r="G297" t="n">
        <v>2.2</v>
      </c>
      <c r="H297" t="n">
        <v>0</v>
      </c>
      <c r="I297" t="n">
        <v>0</v>
      </c>
      <c r="J297" t="n">
        <v>0</v>
      </c>
      <c r="K297" t="n">
        <v>0</v>
      </c>
      <c r="L297" t="n">
        <v>0</v>
      </c>
      <c r="M297" t="n">
        <v>0</v>
      </c>
      <c r="N297" t="n">
        <v>0</v>
      </c>
      <c r="O297" t="n">
        <v>0</v>
      </c>
      <c r="P297" t="n">
        <v>0</v>
      </c>
      <c r="Q297" t="n">
        <v>0</v>
      </c>
      <c r="R297" s="2" t="inlineStr"/>
    </row>
    <row r="298" ht="15" customHeight="1">
      <c r="A298" t="inlineStr">
        <is>
          <t>A 32879-2024</t>
        </is>
      </c>
      <c r="B298" s="1" t="n">
        <v>45516.68450231481</v>
      </c>
      <c r="C298" s="1" t="n">
        <v>46063</v>
      </c>
      <c r="D298" t="inlineStr">
        <is>
          <t>JÄMTLANDS LÄN</t>
        </is>
      </c>
      <c r="E298" t="inlineStr">
        <is>
          <t>BERG</t>
        </is>
      </c>
      <c r="G298" t="n">
        <v>2</v>
      </c>
      <c r="H298" t="n">
        <v>0</v>
      </c>
      <c r="I298" t="n">
        <v>0</v>
      </c>
      <c r="J298" t="n">
        <v>0</v>
      </c>
      <c r="K298" t="n">
        <v>0</v>
      </c>
      <c r="L298" t="n">
        <v>0</v>
      </c>
      <c r="M298" t="n">
        <v>0</v>
      </c>
      <c r="N298" t="n">
        <v>0</v>
      </c>
      <c r="O298" t="n">
        <v>0</v>
      </c>
      <c r="P298" t="n">
        <v>0</v>
      </c>
      <c r="Q298" t="n">
        <v>0</v>
      </c>
      <c r="R298" s="2" t="inlineStr"/>
    </row>
    <row r="299" ht="15" customHeight="1">
      <c r="A299" t="inlineStr">
        <is>
          <t>A 59968-2024</t>
        </is>
      </c>
      <c r="B299" s="1" t="n">
        <v>45642</v>
      </c>
      <c r="C299" s="1" t="n">
        <v>46063</v>
      </c>
      <c r="D299" t="inlineStr">
        <is>
          <t>JÄMTLANDS LÄN</t>
        </is>
      </c>
      <c r="E299" t="inlineStr">
        <is>
          <t>BERG</t>
        </is>
      </c>
      <c r="G299" t="n">
        <v>4.7</v>
      </c>
      <c r="H299" t="n">
        <v>0</v>
      </c>
      <c r="I299" t="n">
        <v>0</v>
      </c>
      <c r="J299" t="n">
        <v>0</v>
      </c>
      <c r="K299" t="n">
        <v>0</v>
      </c>
      <c r="L299" t="n">
        <v>0</v>
      </c>
      <c r="M299" t="n">
        <v>0</v>
      </c>
      <c r="N299" t="n">
        <v>0</v>
      </c>
      <c r="O299" t="n">
        <v>0</v>
      </c>
      <c r="P299" t="n">
        <v>0</v>
      </c>
      <c r="Q299" t="n">
        <v>0</v>
      </c>
      <c r="R299" s="2" t="inlineStr"/>
    </row>
    <row r="300" ht="15" customHeight="1">
      <c r="A300" t="inlineStr">
        <is>
          <t>A 8388-2022</t>
        </is>
      </c>
      <c r="B300" s="1" t="n">
        <v>44610</v>
      </c>
      <c r="C300" s="1" t="n">
        <v>46063</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39269-2024</t>
        </is>
      </c>
      <c r="B301" s="1" t="n">
        <v>45551.34488425926</v>
      </c>
      <c r="C301" s="1" t="n">
        <v>46063</v>
      </c>
      <c r="D301" t="inlineStr">
        <is>
          <t>JÄMTLANDS LÄN</t>
        </is>
      </c>
      <c r="E301" t="inlineStr">
        <is>
          <t>BERG</t>
        </is>
      </c>
      <c r="G301" t="n">
        <v>3.1</v>
      </c>
      <c r="H301" t="n">
        <v>0</v>
      </c>
      <c r="I301" t="n">
        <v>0</v>
      </c>
      <c r="J301" t="n">
        <v>0</v>
      </c>
      <c r="K301" t="n">
        <v>0</v>
      </c>
      <c r="L301" t="n">
        <v>0</v>
      </c>
      <c r="M301" t="n">
        <v>0</v>
      </c>
      <c r="N301" t="n">
        <v>0</v>
      </c>
      <c r="O301" t="n">
        <v>0</v>
      </c>
      <c r="P301" t="n">
        <v>0</v>
      </c>
      <c r="Q301" t="n">
        <v>0</v>
      </c>
      <c r="R301" s="2" t="inlineStr"/>
    </row>
    <row r="302" ht="15" customHeight="1">
      <c r="A302" t="inlineStr">
        <is>
          <t>A 37098-2024</t>
        </is>
      </c>
      <c r="B302" s="1" t="n">
        <v>45539.50243055556</v>
      </c>
      <c r="C302" s="1" t="n">
        <v>46063</v>
      </c>
      <c r="D302" t="inlineStr">
        <is>
          <t>JÄMTLANDS LÄN</t>
        </is>
      </c>
      <c r="E302" t="inlineStr">
        <is>
          <t>BERG</t>
        </is>
      </c>
      <c r="F302" t="inlineStr">
        <is>
          <t>Övriga Aktiebolag</t>
        </is>
      </c>
      <c r="G302" t="n">
        <v>4.5</v>
      </c>
      <c r="H302" t="n">
        <v>0</v>
      </c>
      <c r="I302" t="n">
        <v>0</v>
      </c>
      <c r="J302" t="n">
        <v>0</v>
      </c>
      <c r="K302" t="n">
        <v>0</v>
      </c>
      <c r="L302" t="n">
        <v>0</v>
      </c>
      <c r="M302" t="n">
        <v>0</v>
      </c>
      <c r="N302" t="n">
        <v>0</v>
      </c>
      <c r="O302" t="n">
        <v>0</v>
      </c>
      <c r="P302" t="n">
        <v>0</v>
      </c>
      <c r="Q302" t="n">
        <v>0</v>
      </c>
      <c r="R302" s="2" t="inlineStr"/>
    </row>
    <row r="303" ht="15" customHeight="1">
      <c r="A303" t="inlineStr">
        <is>
          <t>A 511-2025</t>
        </is>
      </c>
      <c r="B303" s="1" t="n">
        <v>45664.47284722222</v>
      </c>
      <c r="C303" s="1" t="n">
        <v>46063</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37101-2024</t>
        </is>
      </c>
      <c r="B304" s="1" t="n">
        <v>45539.5029050926</v>
      </c>
      <c r="C304" s="1" t="n">
        <v>46063</v>
      </c>
      <c r="D304" t="inlineStr">
        <is>
          <t>JÄMTLANDS LÄN</t>
        </is>
      </c>
      <c r="E304" t="inlineStr">
        <is>
          <t>BERG</t>
        </is>
      </c>
      <c r="F304" t="inlineStr">
        <is>
          <t>Övriga Aktiebolag</t>
        </is>
      </c>
      <c r="G304" t="n">
        <v>2.4</v>
      </c>
      <c r="H304" t="n">
        <v>0</v>
      </c>
      <c r="I304" t="n">
        <v>0</v>
      </c>
      <c r="J304" t="n">
        <v>0</v>
      </c>
      <c r="K304" t="n">
        <v>0</v>
      </c>
      <c r="L304" t="n">
        <v>0</v>
      </c>
      <c r="M304" t="n">
        <v>0</v>
      </c>
      <c r="N304" t="n">
        <v>0</v>
      </c>
      <c r="O304" t="n">
        <v>0</v>
      </c>
      <c r="P304" t="n">
        <v>0</v>
      </c>
      <c r="Q304" t="n">
        <v>0</v>
      </c>
      <c r="R304" s="2" t="inlineStr"/>
    </row>
    <row r="305" ht="15" customHeight="1">
      <c r="A305" t="inlineStr">
        <is>
          <t>A 4561-2024</t>
        </is>
      </c>
      <c r="B305" s="1" t="n">
        <v>45327</v>
      </c>
      <c r="C305" s="1" t="n">
        <v>46063</v>
      </c>
      <c r="D305" t="inlineStr">
        <is>
          <t>JÄMTLANDS LÄN</t>
        </is>
      </c>
      <c r="E305" t="inlineStr">
        <is>
          <t>BERG</t>
        </is>
      </c>
      <c r="G305" t="n">
        <v>7.4</v>
      </c>
      <c r="H305" t="n">
        <v>0</v>
      </c>
      <c r="I305" t="n">
        <v>0</v>
      </c>
      <c r="J305" t="n">
        <v>0</v>
      </c>
      <c r="K305" t="n">
        <v>0</v>
      </c>
      <c r="L305" t="n">
        <v>0</v>
      </c>
      <c r="M305" t="n">
        <v>0</v>
      </c>
      <c r="N305" t="n">
        <v>0</v>
      </c>
      <c r="O305" t="n">
        <v>0</v>
      </c>
      <c r="P305" t="n">
        <v>0</v>
      </c>
      <c r="Q305" t="n">
        <v>0</v>
      </c>
      <c r="R305" s="2" t="inlineStr"/>
    </row>
    <row r="306" ht="15" customHeight="1">
      <c r="A306" t="inlineStr">
        <is>
          <t>A 14697-2025</t>
        </is>
      </c>
      <c r="B306" s="1" t="n">
        <v>45742.59415509259</v>
      </c>
      <c r="C306" s="1" t="n">
        <v>46063</v>
      </c>
      <c r="D306" t="inlineStr">
        <is>
          <t>JÄMTLANDS LÄN</t>
        </is>
      </c>
      <c r="E306" t="inlineStr">
        <is>
          <t>BERG</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162-2024</t>
        </is>
      </c>
      <c r="B307" s="1" t="n">
        <v>45294</v>
      </c>
      <c r="C307" s="1" t="n">
        <v>46063</v>
      </c>
      <c r="D307" t="inlineStr">
        <is>
          <t>JÄMTLANDS LÄN</t>
        </is>
      </c>
      <c r="E307" t="inlineStr">
        <is>
          <t>BERG</t>
        </is>
      </c>
      <c r="F307" t="inlineStr">
        <is>
          <t>Kyrkan</t>
        </is>
      </c>
      <c r="G307" t="n">
        <v>2.2</v>
      </c>
      <c r="H307" t="n">
        <v>0</v>
      </c>
      <c r="I307" t="n">
        <v>0</v>
      </c>
      <c r="J307" t="n">
        <v>0</v>
      </c>
      <c r="K307" t="n">
        <v>0</v>
      </c>
      <c r="L307" t="n">
        <v>0</v>
      </c>
      <c r="M307" t="n">
        <v>0</v>
      </c>
      <c r="N307" t="n">
        <v>0</v>
      </c>
      <c r="O307" t="n">
        <v>0</v>
      </c>
      <c r="P307" t="n">
        <v>0</v>
      </c>
      <c r="Q307" t="n">
        <v>0</v>
      </c>
      <c r="R307" s="2" t="inlineStr"/>
    </row>
    <row r="308" ht="15" customHeight="1">
      <c r="A308" t="inlineStr">
        <is>
          <t>A 41875-2024</t>
        </is>
      </c>
      <c r="B308" s="1" t="n">
        <v>45561.47431712963</v>
      </c>
      <c r="C308" s="1" t="n">
        <v>46063</v>
      </c>
      <c r="D308" t="inlineStr">
        <is>
          <t>JÄMTLANDS LÄN</t>
        </is>
      </c>
      <c r="E308" t="inlineStr">
        <is>
          <t>BERG</t>
        </is>
      </c>
      <c r="G308" t="n">
        <v>1.3</v>
      </c>
      <c r="H308" t="n">
        <v>0</v>
      </c>
      <c r="I308" t="n">
        <v>0</v>
      </c>
      <c r="J308" t="n">
        <v>0</v>
      </c>
      <c r="K308" t="n">
        <v>0</v>
      </c>
      <c r="L308" t="n">
        <v>0</v>
      </c>
      <c r="M308" t="n">
        <v>0</v>
      </c>
      <c r="N308" t="n">
        <v>0</v>
      </c>
      <c r="O308" t="n">
        <v>0</v>
      </c>
      <c r="P308" t="n">
        <v>0</v>
      </c>
      <c r="Q308" t="n">
        <v>0</v>
      </c>
      <c r="R308" s="2" t="inlineStr"/>
    </row>
    <row r="309" ht="15" customHeight="1">
      <c r="A309" t="inlineStr">
        <is>
          <t>A 32064-2023</t>
        </is>
      </c>
      <c r="B309" s="1" t="n">
        <v>45119.57108796296</v>
      </c>
      <c r="C309" s="1" t="n">
        <v>46063</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41886-2024</t>
        </is>
      </c>
      <c r="B310" s="1" t="n">
        <v>45561.48825231481</v>
      </c>
      <c r="C310" s="1" t="n">
        <v>46063</v>
      </c>
      <c r="D310" t="inlineStr">
        <is>
          <t>JÄMTLANDS LÄN</t>
        </is>
      </c>
      <c r="E310" t="inlineStr">
        <is>
          <t>BERG</t>
        </is>
      </c>
      <c r="G310" t="n">
        <v>1.2</v>
      </c>
      <c r="H310" t="n">
        <v>0</v>
      </c>
      <c r="I310" t="n">
        <v>0</v>
      </c>
      <c r="J310" t="n">
        <v>0</v>
      </c>
      <c r="K310" t="n">
        <v>0</v>
      </c>
      <c r="L310" t="n">
        <v>0</v>
      </c>
      <c r="M310" t="n">
        <v>0</v>
      </c>
      <c r="N310" t="n">
        <v>0</v>
      </c>
      <c r="O310" t="n">
        <v>0</v>
      </c>
      <c r="P310" t="n">
        <v>0</v>
      </c>
      <c r="Q310" t="n">
        <v>0</v>
      </c>
      <c r="R310" s="2" t="inlineStr"/>
    </row>
    <row r="311" ht="15" customHeight="1">
      <c r="A311" t="inlineStr">
        <is>
          <t>A 13672-2024</t>
        </is>
      </c>
      <c r="B311" s="1" t="n">
        <v>45390</v>
      </c>
      <c r="C311" s="1" t="n">
        <v>46063</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18408-2025</t>
        </is>
      </c>
      <c r="B312" s="1" t="n">
        <v>45762.61128472222</v>
      </c>
      <c r="C312" s="1" t="n">
        <v>46063</v>
      </c>
      <c r="D312" t="inlineStr">
        <is>
          <t>JÄMTLANDS LÄN</t>
        </is>
      </c>
      <c r="E312" t="inlineStr">
        <is>
          <t>BERG</t>
        </is>
      </c>
      <c r="G312" t="n">
        <v>5.1</v>
      </c>
      <c r="H312" t="n">
        <v>0</v>
      </c>
      <c r="I312" t="n">
        <v>0</v>
      </c>
      <c r="J312" t="n">
        <v>0</v>
      </c>
      <c r="K312" t="n">
        <v>0</v>
      </c>
      <c r="L312" t="n">
        <v>0</v>
      </c>
      <c r="M312" t="n">
        <v>0</v>
      </c>
      <c r="N312" t="n">
        <v>0</v>
      </c>
      <c r="O312" t="n">
        <v>0</v>
      </c>
      <c r="P312" t="n">
        <v>0</v>
      </c>
      <c r="Q312" t="n">
        <v>0</v>
      </c>
      <c r="R312" s="2" t="inlineStr"/>
    </row>
    <row r="313" ht="15" customHeight="1">
      <c r="A313" t="inlineStr">
        <is>
          <t>A 27737-2025</t>
        </is>
      </c>
      <c r="B313" s="1" t="n">
        <v>45815.34414351852</v>
      </c>
      <c r="C313" s="1" t="n">
        <v>46063</v>
      </c>
      <c r="D313" t="inlineStr">
        <is>
          <t>JÄMTLANDS LÄN</t>
        </is>
      </c>
      <c r="E313" t="inlineStr">
        <is>
          <t>BERG</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525-2023</t>
        </is>
      </c>
      <c r="B314" s="1" t="n">
        <v>44924</v>
      </c>
      <c r="C314" s="1" t="n">
        <v>46063</v>
      </c>
      <c r="D314" t="inlineStr">
        <is>
          <t>JÄMTLANDS LÄN</t>
        </is>
      </c>
      <c r="E314" t="inlineStr">
        <is>
          <t>BERG</t>
        </is>
      </c>
      <c r="G314" t="n">
        <v>4</v>
      </c>
      <c r="H314" t="n">
        <v>0</v>
      </c>
      <c r="I314" t="n">
        <v>0</v>
      </c>
      <c r="J314" t="n">
        <v>0</v>
      </c>
      <c r="K314" t="n">
        <v>0</v>
      </c>
      <c r="L314" t="n">
        <v>0</v>
      </c>
      <c r="M314" t="n">
        <v>0</v>
      </c>
      <c r="N314" t="n">
        <v>0</v>
      </c>
      <c r="O314" t="n">
        <v>0</v>
      </c>
      <c r="P314" t="n">
        <v>0</v>
      </c>
      <c r="Q314" t="n">
        <v>0</v>
      </c>
      <c r="R314" s="2" t="inlineStr"/>
    </row>
    <row r="315" ht="15" customHeight="1">
      <c r="A315" t="inlineStr">
        <is>
          <t>A 28077-2025</t>
        </is>
      </c>
      <c r="B315" s="1" t="n">
        <v>45817.68596064814</v>
      </c>
      <c r="C315" s="1" t="n">
        <v>46063</v>
      </c>
      <c r="D315" t="inlineStr">
        <is>
          <t>JÄMTLANDS LÄN</t>
        </is>
      </c>
      <c r="E315" t="inlineStr">
        <is>
          <t>BERG</t>
        </is>
      </c>
      <c r="G315" t="n">
        <v>6</v>
      </c>
      <c r="H315" t="n">
        <v>0</v>
      </c>
      <c r="I315" t="n">
        <v>0</v>
      </c>
      <c r="J315" t="n">
        <v>0</v>
      </c>
      <c r="K315" t="n">
        <v>0</v>
      </c>
      <c r="L315" t="n">
        <v>0</v>
      </c>
      <c r="M315" t="n">
        <v>0</v>
      </c>
      <c r="N315" t="n">
        <v>0</v>
      </c>
      <c r="O315" t="n">
        <v>0</v>
      </c>
      <c r="P315" t="n">
        <v>0</v>
      </c>
      <c r="Q315" t="n">
        <v>0</v>
      </c>
      <c r="R315" s="2" t="inlineStr"/>
    </row>
    <row r="316" ht="15" customHeight="1">
      <c r="A316" t="inlineStr">
        <is>
          <t>A 5219-2022</t>
        </is>
      </c>
      <c r="B316" s="1" t="n">
        <v>44594.48569444445</v>
      </c>
      <c r="C316" s="1" t="n">
        <v>46063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28454-2025</t>
        </is>
      </c>
      <c r="B317" s="1" t="n">
        <v>45819.40679398148</v>
      </c>
      <c r="C317" s="1" t="n">
        <v>46063</v>
      </c>
      <c r="D317" t="inlineStr">
        <is>
          <t>JÄMTLANDS LÄN</t>
        </is>
      </c>
      <c r="E317" t="inlineStr">
        <is>
          <t>BERG</t>
        </is>
      </c>
      <c r="G317" t="n">
        <v>3.8</v>
      </c>
      <c r="H317" t="n">
        <v>0</v>
      </c>
      <c r="I317" t="n">
        <v>0</v>
      </c>
      <c r="J317" t="n">
        <v>0</v>
      </c>
      <c r="K317" t="n">
        <v>0</v>
      </c>
      <c r="L317" t="n">
        <v>0</v>
      </c>
      <c r="M317" t="n">
        <v>0</v>
      </c>
      <c r="N317" t="n">
        <v>0</v>
      </c>
      <c r="O317" t="n">
        <v>0</v>
      </c>
      <c r="P317" t="n">
        <v>0</v>
      </c>
      <c r="Q317" t="n">
        <v>0</v>
      </c>
      <c r="R317" s="2" t="inlineStr"/>
    </row>
    <row r="318" ht="15" customHeight="1">
      <c r="A318" t="inlineStr">
        <is>
          <t>A 28401-2025</t>
        </is>
      </c>
      <c r="B318" s="1" t="n">
        <v>45819.34469907408</v>
      </c>
      <c r="C318" s="1" t="n">
        <v>46063</v>
      </c>
      <c r="D318" t="inlineStr">
        <is>
          <t>JÄMTLANDS LÄN</t>
        </is>
      </c>
      <c r="E318" t="inlineStr">
        <is>
          <t>BERG</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28453-2025</t>
        </is>
      </c>
      <c r="B319" s="1" t="n">
        <v>45819.40668981482</v>
      </c>
      <c r="C319" s="1" t="n">
        <v>46063</v>
      </c>
      <c r="D319" t="inlineStr">
        <is>
          <t>JÄMTLANDS LÄN</t>
        </is>
      </c>
      <c r="E319" t="inlineStr">
        <is>
          <t>BERG</t>
        </is>
      </c>
      <c r="G319" t="n">
        <v>4.1</v>
      </c>
      <c r="H319" t="n">
        <v>0</v>
      </c>
      <c r="I319" t="n">
        <v>0</v>
      </c>
      <c r="J319" t="n">
        <v>0</v>
      </c>
      <c r="K319" t="n">
        <v>0</v>
      </c>
      <c r="L319" t="n">
        <v>0</v>
      </c>
      <c r="M319" t="n">
        <v>0</v>
      </c>
      <c r="N319" t="n">
        <v>0</v>
      </c>
      <c r="O319" t="n">
        <v>0</v>
      </c>
      <c r="P319" t="n">
        <v>0</v>
      </c>
      <c r="Q319" t="n">
        <v>0</v>
      </c>
      <c r="R319" s="2" t="inlineStr"/>
    </row>
    <row r="320" ht="15" customHeight="1">
      <c r="A320" t="inlineStr">
        <is>
          <t>A 18217-2023</t>
        </is>
      </c>
      <c r="B320" s="1" t="n">
        <v>45040</v>
      </c>
      <c r="C320" s="1" t="n">
        <v>46063</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18112-2024</t>
        </is>
      </c>
      <c r="B321" s="1" t="n">
        <v>45420.49851851852</v>
      </c>
      <c r="C321" s="1" t="n">
        <v>46063</v>
      </c>
      <c r="D321" t="inlineStr">
        <is>
          <t>JÄMTLANDS LÄN</t>
        </is>
      </c>
      <c r="E321" t="inlineStr">
        <is>
          <t>BERG</t>
        </is>
      </c>
      <c r="F321" t="inlineStr">
        <is>
          <t>Holmen skog AB</t>
        </is>
      </c>
      <c r="G321" t="n">
        <v>16.6</v>
      </c>
      <c r="H321" t="n">
        <v>0</v>
      </c>
      <c r="I321" t="n">
        <v>0</v>
      </c>
      <c r="J321" t="n">
        <v>0</v>
      </c>
      <c r="K321" t="n">
        <v>0</v>
      </c>
      <c r="L321" t="n">
        <v>0</v>
      </c>
      <c r="M321" t="n">
        <v>0</v>
      </c>
      <c r="N321" t="n">
        <v>0</v>
      </c>
      <c r="O321" t="n">
        <v>0</v>
      </c>
      <c r="P321" t="n">
        <v>0</v>
      </c>
      <c r="Q321" t="n">
        <v>0</v>
      </c>
      <c r="R321" s="2" t="inlineStr"/>
    </row>
    <row r="322" ht="15" customHeight="1">
      <c r="A322" t="inlineStr">
        <is>
          <t>A 28657-2025</t>
        </is>
      </c>
      <c r="B322" s="1" t="n">
        <v>45819.65709490741</v>
      </c>
      <c r="C322" s="1" t="n">
        <v>46063</v>
      </c>
      <c r="D322" t="inlineStr">
        <is>
          <t>JÄMTLANDS LÄN</t>
        </is>
      </c>
      <c r="E322" t="inlineStr">
        <is>
          <t>BERG</t>
        </is>
      </c>
      <c r="G322" t="n">
        <v>2.4</v>
      </c>
      <c r="H322" t="n">
        <v>0</v>
      </c>
      <c r="I322" t="n">
        <v>0</v>
      </c>
      <c r="J322" t="n">
        <v>0</v>
      </c>
      <c r="K322" t="n">
        <v>0</v>
      </c>
      <c r="L322" t="n">
        <v>0</v>
      </c>
      <c r="M322" t="n">
        <v>0</v>
      </c>
      <c r="N322" t="n">
        <v>0</v>
      </c>
      <c r="O322" t="n">
        <v>0</v>
      </c>
      <c r="P322" t="n">
        <v>0</v>
      </c>
      <c r="Q322" t="n">
        <v>0</v>
      </c>
      <c r="R322" s="2" t="inlineStr"/>
    </row>
    <row r="323" ht="15" customHeight="1">
      <c r="A323" t="inlineStr">
        <is>
          <t>A 3842-2023</t>
        </is>
      </c>
      <c r="B323" s="1" t="n">
        <v>44951</v>
      </c>
      <c r="C323" s="1" t="n">
        <v>46063</v>
      </c>
      <c r="D323" t="inlineStr">
        <is>
          <t>JÄMTLANDS LÄN</t>
        </is>
      </c>
      <c r="E323" t="inlineStr">
        <is>
          <t>BERG</t>
        </is>
      </c>
      <c r="G323" t="n">
        <v>0.3</v>
      </c>
      <c r="H323" t="n">
        <v>0</v>
      </c>
      <c r="I323" t="n">
        <v>0</v>
      </c>
      <c r="J323" t="n">
        <v>0</v>
      </c>
      <c r="K323" t="n">
        <v>0</v>
      </c>
      <c r="L323" t="n">
        <v>0</v>
      </c>
      <c r="M323" t="n">
        <v>0</v>
      </c>
      <c r="N323" t="n">
        <v>0</v>
      </c>
      <c r="O323" t="n">
        <v>0</v>
      </c>
      <c r="P323" t="n">
        <v>0</v>
      </c>
      <c r="Q323" t="n">
        <v>0</v>
      </c>
      <c r="R323" s="2" t="inlineStr"/>
    </row>
    <row r="324" ht="15" customHeight="1">
      <c r="A324" t="inlineStr">
        <is>
          <t>A 61239-2022</t>
        </is>
      </c>
      <c r="B324" s="1" t="n">
        <v>44909</v>
      </c>
      <c r="C324" s="1" t="n">
        <v>46063</v>
      </c>
      <c r="D324" t="inlineStr">
        <is>
          <t>JÄMTLANDS LÄN</t>
        </is>
      </c>
      <c r="E324" t="inlineStr">
        <is>
          <t>BERG</t>
        </is>
      </c>
      <c r="G324" t="n">
        <v>13.5</v>
      </c>
      <c r="H324" t="n">
        <v>0</v>
      </c>
      <c r="I324" t="n">
        <v>0</v>
      </c>
      <c r="J324" t="n">
        <v>0</v>
      </c>
      <c r="K324" t="n">
        <v>0</v>
      </c>
      <c r="L324" t="n">
        <v>0</v>
      </c>
      <c r="M324" t="n">
        <v>0</v>
      </c>
      <c r="N324" t="n">
        <v>0</v>
      </c>
      <c r="O324" t="n">
        <v>0</v>
      </c>
      <c r="P324" t="n">
        <v>0</v>
      </c>
      <c r="Q324" t="n">
        <v>0</v>
      </c>
      <c r="R324" s="2" t="inlineStr"/>
    </row>
    <row r="325" ht="15" customHeight="1">
      <c r="A325" t="inlineStr">
        <is>
          <t>A 61251-2022</t>
        </is>
      </c>
      <c r="B325" s="1" t="n">
        <v>44909</v>
      </c>
      <c r="C325" s="1" t="n">
        <v>46063</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61255-2022</t>
        </is>
      </c>
      <c r="B326" s="1" t="n">
        <v>44909</v>
      </c>
      <c r="C326" s="1" t="n">
        <v>46063</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14190-2023</t>
        </is>
      </c>
      <c r="B327" s="1" t="n">
        <v>45009.56106481481</v>
      </c>
      <c r="C327" s="1" t="n">
        <v>46063</v>
      </c>
      <c r="D327" t="inlineStr">
        <is>
          <t>JÄMTLANDS LÄN</t>
        </is>
      </c>
      <c r="E327" t="inlineStr">
        <is>
          <t>BERG</t>
        </is>
      </c>
      <c r="G327" t="n">
        <v>3.8</v>
      </c>
      <c r="H327" t="n">
        <v>0</v>
      </c>
      <c r="I327" t="n">
        <v>0</v>
      </c>
      <c r="J327" t="n">
        <v>0</v>
      </c>
      <c r="K327" t="n">
        <v>0</v>
      </c>
      <c r="L327" t="n">
        <v>0</v>
      </c>
      <c r="M327" t="n">
        <v>0</v>
      </c>
      <c r="N327" t="n">
        <v>0</v>
      </c>
      <c r="O327" t="n">
        <v>0</v>
      </c>
      <c r="P327" t="n">
        <v>0</v>
      </c>
      <c r="Q327" t="n">
        <v>0</v>
      </c>
      <c r="R327" s="2" t="inlineStr"/>
    </row>
    <row r="328" ht="15" customHeight="1">
      <c r="A328" t="inlineStr">
        <is>
          <t>A 29197-2025</t>
        </is>
      </c>
      <c r="B328" s="1" t="n">
        <v>45823.34438657408</v>
      </c>
      <c r="C328" s="1" t="n">
        <v>46063</v>
      </c>
      <c r="D328" t="inlineStr">
        <is>
          <t>JÄMTLANDS LÄN</t>
        </is>
      </c>
      <c r="E328" t="inlineStr">
        <is>
          <t>BERG</t>
        </is>
      </c>
      <c r="F328" t="inlineStr">
        <is>
          <t>SCA</t>
        </is>
      </c>
      <c r="G328" t="n">
        <v>10</v>
      </c>
      <c r="H328" t="n">
        <v>0</v>
      </c>
      <c r="I328" t="n">
        <v>0</v>
      </c>
      <c r="J328" t="n">
        <v>0</v>
      </c>
      <c r="K328" t="n">
        <v>0</v>
      </c>
      <c r="L328" t="n">
        <v>0</v>
      </c>
      <c r="M328" t="n">
        <v>0</v>
      </c>
      <c r="N328" t="n">
        <v>0</v>
      </c>
      <c r="O328" t="n">
        <v>0</v>
      </c>
      <c r="P328" t="n">
        <v>0</v>
      </c>
      <c r="Q328" t="n">
        <v>0</v>
      </c>
      <c r="R328" s="2" t="inlineStr"/>
    </row>
    <row r="329" ht="15" customHeight="1">
      <c r="A329" t="inlineStr">
        <is>
          <t>A 29279-2025</t>
        </is>
      </c>
      <c r="B329" s="1" t="n">
        <v>45824.42381944445</v>
      </c>
      <c r="C329" s="1" t="n">
        <v>46063</v>
      </c>
      <c r="D329" t="inlineStr">
        <is>
          <t>JÄMTLANDS LÄN</t>
        </is>
      </c>
      <c r="E329" t="inlineStr">
        <is>
          <t>BERG</t>
        </is>
      </c>
      <c r="G329" t="n">
        <v>3.6</v>
      </c>
      <c r="H329" t="n">
        <v>0</v>
      </c>
      <c r="I329" t="n">
        <v>0</v>
      </c>
      <c r="J329" t="n">
        <v>0</v>
      </c>
      <c r="K329" t="n">
        <v>0</v>
      </c>
      <c r="L329" t="n">
        <v>0</v>
      </c>
      <c r="M329" t="n">
        <v>0</v>
      </c>
      <c r="N329" t="n">
        <v>0</v>
      </c>
      <c r="O329" t="n">
        <v>0</v>
      </c>
      <c r="P329" t="n">
        <v>0</v>
      </c>
      <c r="Q329" t="n">
        <v>0</v>
      </c>
      <c r="R329" s="2" t="inlineStr"/>
    </row>
    <row r="330" ht="15" customHeight="1">
      <c r="A330" t="inlineStr">
        <is>
          <t>A 29310-2025</t>
        </is>
      </c>
      <c r="B330" s="1" t="n">
        <v>45824.46353009259</v>
      </c>
      <c r="C330" s="1" t="n">
        <v>46063</v>
      </c>
      <c r="D330" t="inlineStr">
        <is>
          <t>JÄMTLANDS LÄN</t>
        </is>
      </c>
      <c r="E330" t="inlineStr">
        <is>
          <t>BERG</t>
        </is>
      </c>
      <c r="G330" t="n">
        <v>5.6</v>
      </c>
      <c r="H330" t="n">
        <v>0</v>
      </c>
      <c r="I330" t="n">
        <v>0</v>
      </c>
      <c r="J330" t="n">
        <v>0</v>
      </c>
      <c r="K330" t="n">
        <v>0</v>
      </c>
      <c r="L330" t="n">
        <v>0</v>
      </c>
      <c r="M330" t="n">
        <v>0</v>
      </c>
      <c r="N330" t="n">
        <v>0</v>
      </c>
      <c r="O330" t="n">
        <v>0</v>
      </c>
      <c r="P330" t="n">
        <v>0</v>
      </c>
      <c r="Q330" t="n">
        <v>0</v>
      </c>
      <c r="R330" s="2" t="inlineStr"/>
    </row>
    <row r="331" ht="15" customHeight="1">
      <c r="A331" t="inlineStr">
        <is>
          <t>A 29198-2025</t>
        </is>
      </c>
      <c r="B331" s="1" t="n">
        <v>45823.34451388889</v>
      </c>
      <c r="C331" s="1" t="n">
        <v>46063</v>
      </c>
      <c r="D331" t="inlineStr">
        <is>
          <t>JÄMTLANDS LÄN</t>
        </is>
      </c>
      <c r="E331" t="inlineStr">
        <is>
          <t>BERG</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29199-2025</t>
        </is>
      </c>
      <c r="B332" s="1" t="n">
        <v>45823.34459490741</v>
      </c>
      <c r="C332" s="1" t="n">
        <v>46063</v>
      </c>
      <c r="D332" t="inlineStr">
        <is>
          <t>JÄMTLANDS LÄN</t>
        </is>
      </c>
      <c r="E332" t="inlineStr">
        <is>
          <t>BERG</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45208-2024</t>
        </is>
      </c>
      <c r="B333" s="1" t="n">
        <v>45575.7077662037</v>
      </c>
      <c r="C333" s="1" t="n">
        <v>46063</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41634-2024</t>
        </is>
      </c>
      <c r="B334" s="1" t="n">
        <v>45560.61496527777</v>
      </c>
      <c r="C334" s="1" t="n">
        <v>46063</v>
      </c>
      <c r="D334" t="inlineStr">
        <is>
          <t>JÄMTLANDS LÄN</t>
        </is>
      </c>
      <c r="E334" t="inlineStr">
        <is>
          <t>BERG</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29836-2025</t>
        </is>
      </c>
      <c r="B335" s="1" t="n">
        <v>45825.9468287037</v>
      </c>
      <c r="C335" s="1" t="n">
        <v>46063</v>
      </c>
      <c r="D335" t="inlineStr">
        <is>
          <t>JÄMTLANDS LÄN</t>
        </is>
      </c>
      <c r="E335" t="inlineStr">
        <is>
          <t>BERG</t>
        </is>
      </c>
      <c r="G335" t="n">
        <v>12.7</v>
      </c>
      <c r="H335" t="n">
        <v>0</v>
      </c>
      <c r="I335" t="n">
        <v>0</v>
      </c>
      <c r="J335" t="n">
        <v>0</v>
      </c>
      <c r="K335" t="n">
        <v>0</v>
      </c>
      <c r="L335" t="n">
        <v>0</v>
      </c>
      <c r="M335" t="n">
        <v>0</v>
      </c>
      <c r="N335" t="n">
        <v>0</v>
      </c>
      <c r="O335" t="n">
        <v>0</v>
      </c>
      <c r="P335" t="n">
        <v>0</v>
      </c>
      <c r="Q335" t="n">
        <v>0</v>
      </c>
      <c r="R335" s="2" t="inlineStr"/>
    </row>
    <row r="336" ht="15" customHeight="1">
      <c r="A336" t="inlineStr">
        <is>
          <t>A 38388-2025</t>
        </is>
      </c>
      <c r="B336" s="1" t="n">
        <v>45883.57467592593</v>
      </c>
      <c r="C336" s="1" t="n">
        <v>46063</v>
      </c>
      <c r="D336" t="inlineStr">
        <is>
          <t>JÄMTLANDS LÄN</t>
        </is>
      </c>
      <c r="E336" t="inlineStr">
        <is>
          <t>BERG</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30017-2025</t>
        </is>
      </c>
      <c r="B337" s="1" t="n">
        <v>45826.55306712963</v>
      </c>
      <c r="C337" s="1" t="n">
        <v>46063</v>
      </c>
      <c r="D337" t="inlineStr">
        <is>
          <t>JÄMTLANDS LÄN</t>
        </is>
      </c>
      <c r="E337" t="inlineStr">
        <is>
          <t>BERG</t>
        </is>
      </c>
      <c r="F337" t="inlineStr">
        <is>
          <t>SCA</t>
        </is>
      </c>
      <c r="G337" t="n">
        <v>6.1</v>
      </c>
      <c r="H337" t="n">
        <v>0</v>
      </c>
      <c r="I337" t="n">
        <v>0</v>
      </c>
      <c r="J337" t="n">
        <v>0</v>
      </c>
      <c r="K337" t="n">
        <v>0</v>
      </c>
      <c r="L337" t="n">
        <v>0</v>
      </c>
      <c r="M337" t="n">
        <v>0</v>
      </c>
      <c r="N337" t="n">
        <v>0</v>
      </c>
      <c r="O337" t="n">
        <v>0</v>
      </c>
      <c r="P337" t="n">
        <v>0</v>
      </c>
      <c r="Q337" t="n">
        <v>0</v>
      </c>
      <c r="R337" s="2" t="inlineStr"/>
    </row>
    <row r="338" ht="15" customHeight="1">
      <c r="A338" t="inlineStr">
        <is>
          <t>A 29908-2025</t>
        </is>
      </c>
      <c r="B338" s="1" t="n">
        <v>45826</v>
      </c>
      <c r="C338" s="1" t="n">
        <v>46063</v>
      </c>
      <c r="D338" t="inlineStr">
        <is>
          <t>JÄMTLANDS LÄN</t>
        </is>
      </c>
      <c r="E338" t="inlineStr">
        <is>
          <t>BERG</t>
        </is>
      </c>
      <c r="G338" t="n">
        <v>2.2</v>
      </c>
      <c r="H338" t="n">
        <v>0</v>
      </c>
      <c r="I338" t="n">
        <v>0</v>
      </c>
      <c r="J338" t="n">
        <v>0</v>
      </c>
      <c r="K338" t="n">
        <v>0</v>
      </c>
      <c r="L338" t="n">
        <v>0</v>
      </c>
      <c r="M338" t="n">
        <v>0</v>
      </c>
      <c r="N338" t="n">
        <v>0</v>
      </c>
      <c r="O338" t="n">
        <v>0</v>
      </c>
      <c r="P338" t="n">
        <v>0</v>
      </c>
      <c r="Q338" t="n">
        <v>0</v>
      </c>
      <c r="R338" s="2" t="inlineStr"/>
    </row>
    <row r="339" ht="15" customHeight="1">
      <c r="A339" t="inlineStr">
        <is>
          <t>A 29533-2025</t>
        </is>
      </c>
      <c r="B339" s="1" t="n">
        <v>45825.34466435185</v>
      </c>
      <c r="C339" s="1" t="n">
        <v>46063</v>
      </c>
      <c r="D339" t="inlineStr">
        <is>
          <t>JÄMTLANDS LÄN</t>
        </is>
      </c>
      <c r="E339" t="inlineStr">
        <is>
          <t>BERG</t>
        </is>
      </c>
      <c r="F339" t="inlineStr">
        <is>
          <t>SCA</t>
        </is>
      </c>
      <c r="G339" t="n">
        <v>10</v>
      </c>
      <c r="H339" t="n">
        <v>0</v>
      </c>
      <c r="I339" t="n">
        <v>0</v>
      </c>
      <c r="J339" t="n">
        <v>0</v>
      </c>
      <c r="K339" t="n">
        <v>0</v>
      </c>
      <c r="L339" t="n">
        <v>0</v>
      </c>
      <c r="M339" t="n">
        <v>0</v>
      </c>
      <c r="N339" t="n">
        <v>0</v>
      </c>
      <c r="O339" t="n">
        <v>0</v>
      </c>
      <c r="P339" t="n">
        <v>0</v>
      </c>
      <c r="Q339" t="n">
        <v>0</v>
      </c>
      <c r="R339" s="2" t="inlineStr"/>
    </row>
    <row r="340" ht="15" customHeight="1">
      <c r="A340" t="inlineStr">
        <is>
          <t>A 38408-2025</t>
        </is>
      </c>
      <c r="B340" s="1" t="n">
        <v>45883.59412037037</v>
      </c>
      <c r="C340" s="1" t="n">
        <v>46063</v>
      </c>
      <c r="D340" t="inlineStr">
        <is>
          <t>JÄMTLANDS LÄN</t>
        </is>
      </c>
      <c r="E340" t="inlineStr">
        <is>
          <t>BERG</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29538-2025</t>
        </is>
      </c>
      <c r="B341" s="1" t="n">
        <v>45825.34517361111</v>
      </c>
      <c r="C341" s="1" t="n">
        <v>46063</v>
      </c>
      <c r="D341" t="inlineStr">
        <is>
          <t>JÄMTLANDS LÄN</t>
        </is>
      </c>
      <c r="E341" t="inlineStr">
        <is>
          <t>BERG</t>
        </is>
      </c>
      <c r="F341" t="inlineStr">
        <is>
          <t>SCA</t>
        </is>
      </c>
      <c r="G341" t="n">
        <v>4.6</v>
      </c>
      <c r="H341" t="n">
        <v>0</v>
      </c>
      <c r="I341" t="n">
        <v>0</v>
      </c>
      <c r="J341" t="n">
        <v>0</v>
      </c>
      <c r="K341" t="n">
        <v>0</v>
      </c>
      <c r="L341" t="n">
        <v>0</v>
      </c>
      <c r="M341" t="n">
        <v>0</v>
      </c>
      <c r="N341" t="n">
        <v>0</v>
      </c>
      <c r="O341" t="n">
        <v>0</v>
      </c>
      <c r="P341" t="n">
        <v>0</v>
      </c>
      <c r="Q341" t="n">
        <v>0</v>
      </c>
      <c r="R341" s="2" t="inlineStr"/>
    </row>
    <row r="342" ht="15" customHeight="1">
      <c r="A342" t="inlineStr">
        <is>
          <t>A 47407-2024</t>
        </is>
      </c>
      <c r="B342" s="1" t="n">
        <v>45587.47828703704</v>
      </c>
      <c r="C342" s="1" t="n">
        <v>46063</v>
      </c>
      <c r="D342" t="inlineStr">
        <is>
          <t>JÄMTLANDS LÄN</t>
        </is>
      </c>
      <c r="E342" t="inlineStr">
        <is>
          <t>BERG</t>
        </is>
      </c>
      <c r="G342" t="n">
        <v>2.7</v>
      </c>
      <c r="H342" t="n">
        <v>0</v>
      </c>
      <c r="I342" t="n">
        <v>0</v>
      </c>
      <c r="J342" t="n">
        <v>0</v>
      </c>
      <c r="K342" t="n">
        <v>0</v>
      </c>
      <c r="L342" t="n">
        <v>0</v>
      </c>
      <c r="M342" t="n">
        <v>0</v>
      </c>
      <c r="N342" t="n">
        <v>0</v>
      </c>
      <c r="O342" t="n">
        <v>0</v>
      </c>
      <c r="P342" t="n">
        <v>0</v>
      </c>
      <c r="Q342" t="n">
        <v>0</v>
      </c>
      <c r="R342" s="2" t="inlineStr"/>
    </row>
    <row r="343" ht="15" customHeight="1">
      <c r="A343" t="inlineStr">
        <is>
          <t>A 47083-2024</t>
        </is>
      </c>
      <c r="B343" s="1" t="n">
        <v>45586.50625</v>
      </c>
      <c r="C343" s="1" t="n">
        <v>46063</v>
      </c>
      <c r="D343" t="inlineStr">
        <is>
          <t>JÄMTLANDS LÄN</t>
        </is>
      </c>
      <c r="E343" t="inlineStr">
        <is>
          <t>BERG</t>
        </is>
      </c>
      <c r="G343" t="n">
        <v>1.9</v>
      </c>
      <c r="H343" t="n">
        <v>0</v>
      </c>
      <c r="I343" t="n">
        <v>0</v>
      </c>
      <c r="J343" t="n">
        <v>0</v>
      </c>
      <c r="K343" t="n">
        <v>0</v>
      </c>
      <c r="L343" t="n">
        <v>0</v>
      </c>
      <c r="M343" t="n">
        <v>0</v>
      </c>
      <c r="N343" t="n">
        <v>0</v>
      </c>
      <c r="O343" t="n">
        <v>0</v>
      </c>
      <c r="P343" t="n">
        <v>0</v>
      </c>
      <c r="Q343" t="n">
        <v>0</v>
      </c>
      <c r="R343" s="2" t="inlineStr"/>
    </row>
    <row r="344" ht="15" customHeight="1">
      <c r="A344" t="inlineStr">
        <is>
          <t>A 47099-2024</t>
        </is>
      </c>
      <c r="B344" s="1" t="n">
        <v>45586.53743055555</v>
      </c>
      <c r="C344" s="1" t="n">
        <v>46063</v>
      </c>
      <c r="D344" t="inlineStr">
        <is>
          <t>JÄMTLANDS LÄN</t>
        </is>
      </c>
      <c r="E344" t="inlineStr">
        <is>
          <t>BERG</t>
        </is>
      </c>
      <c r="G344" t="n">
        <v>5.9</v>
      </c>
      <c r="H344" t="n">
        <v>0</v>
      </c>
      <c r="I344" t="n">
        <v>0</v>
      </c>
      <c r="J344" t="n">
        <v>0</v>
      </c>
      <c r="K344" t="n">
        <v>0</v>
      </c>
      <c r="L344" t="n">
        <v>0</v>
      </c>
      <c r="M344" t="n">
        <v>0</v>
      </c>
      <c r="N344" t="n">
        <v>0</v>
      </c>
      <c r="O344" t="n">
        <v>0</v>
      </c>
      <c r="P344" t="n">
        <v>0</v>
      </c>
      <c r="Q344" t="n">
        <v>0</v>
      </c>
      <c r="R344" s="2" t="inlineStr"/>
    </row>
    <row r="345" ht="15" customHeight="1">
      <c r="A345" t="inlineStr">
        <is>
          <t>A 29902-2025</t>
        </is>
      </c>
      <c r="B345" s="1" t="n">
        <v>45826</v>
      </c>
      <c r="C345" s="1" t="n">
        <v>46063</v>
      </c>
      <c r="D345" t="inlineStr">
        <is>
          <t>JÄMTLANDS LÄN</t>
        </is>
      </c>
      <c r="E345" t="inlineStr">
        <is>
          <t>BERG</t>
        </is>
      </c>
      <c r="G345" t="n">
        <v>9.1</v>
      </c>
      <c r="H345" t="n">
        <v>0</v>
      </c>
      <c r="I345" t="n">
        <v>0</v>
      </c>
      <c r="J345" t="n">
        <v>0</v>
      </c>
      <c r="K345" t="n">
        <v>0</v>
      </c>
      <c r="L345" t="n">
        <v>0</v>
      </c>
      <c r="M345" t="n">
        <v>0</v>
      </c>
      <c r="N345" t="n">
        <v>0</v>
      </c>
      <c r="O345" t="n">
        <v>0</v>
      </c>
      <c r="P345" t="n">
        <v>0</v>
      </c>
      <c r="Q345" t="n">
        <v>0</v>
      </c>
      <c r="R345" s="2" t="inlineStr"/>
    </row>
    <row r="346" ht="15" customHeight="1">
      <c r="A346" t="inlineStr">
        <is>
          <t>A 18872-2023</t>
        </is>
      </c>
      <c r="B346" s="1" t="n">
        <v>45042</v>
      </c>
      <c r="C346" s="1" t="n">
        <v>46063</v>
      </c>
      <c r="D346" t="inlineStr">
        <is>
          <t>JÄMTLANDS LÄN</t>
        </is>
      </c>
      <c r="E346" t="inlineStr">
        <is>
          <t>BERG</t>
        </is>
      </c>
      <c r="G346" t="n">
        <v>13.2</v>
      </c>
      <c r="H346" t="n">
        <v>0</v>
      </c>
      <c r="I346" t="n">
        <v>0</v>
      </c>
      <c r="J346" t="n">
        <v>0</v>
      </c>
      <c r="K346" t="n">
        <v>0</v>
      </c>
      <c r="L346" t="n">
        <v>0</v>
      </c>
      <c r="M346" t="n">
        <v>0</v>
      </c>
      <c r="N346" t="n">
        <v>0</v>
      </c>
      <c r="O346" t="n">
        <v>0</v>
      </c>
      <c r="P346" t="n">
        <v>0</v>
      </c>
      <c r="Q346" t="n">
        <v>0</v>
      </c>
      <c r="R346" s="2" t="inlineStr"/>
    </row>
    <row r="347" ht="15" customHeight="1">
      <c r="A347" t="inlineStr">
        <is>
          <t>A 30314-2025</t>
        </is>
      </c>
      <c r="B347" s="1" t="n">
        <v>45827.49047453704</v>
      </c>
      <c r="C347" s="1" t="n">
        <v>46063</v>
      </c>
      <c r="D347" t="inlineStr">
        <is>
          <t>JÄMTLANDS LÄN</t>
        </is>
      </c>
      <c r="E347" t="inlineStr">
        <is>
          <t>BERG</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59634-2022</t>
        </is>
      </c>
      <c r="B348" s="1" t="n">
        <v>44907.9645949074</v>
      </c>
      <c r="C348" s="1" t="n">
        <v>46063</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9482-2024</t>
        </is>
      </c>
      <c r="B349" s="1" t="n">
        <v>45359.57847222222</v>
      </c>
      <c r="C349" s="1" t="n">
        <v>46063</v>
      </c>
      <c r="D349" t="inlineStr">
        <is>
          <t>JÄMTLANDS LÄN</t>
        </is>
      </c>
      <c r="E349" t="inlineStr">
        <is>
          <t>BERG</t>
        </is>
      </c>
      <c r="G349" t="n">
        <v>3</v>
      </c>
      <c r="H349" t="n">
        <v>0</v>
      </c>
      <c r="I349" t="n">
        <v>0</v>
      </c>
      <c r="J349" t="n">
        <v>0</v>
      </c>
      <c r="K349" t="n">
        <v>0</v>
      </c>
      <c r="L349" t="n">
        <v>0</v>
      </c>
      <c r="M349" t="n">
        <v>0</v>
      </c>
      <c r="N349" t="n">
        <v>0</v>
      </c>
      <c r="O349" t="n">
        <v>0</v>
      </c>
      <c r="P349" t="n">
        <v>0</v>
      </c>
      <c r="Q349" t="n">
        <v>0</v>
      </c>
      <c r="R349" s="2" t="inlineStr"/>
    </row>
    <row r="350" ht="15" customHeight="1">
      <c r="A350" t="inlineStr">
        <is>
          <t>A 19428-2025</t>
        </is>
      </c>
      <c r="B350" s="1" t="n">
        <v>45769.79763888889</v>
      </c>
      <c r="C350" s="1" t="n">
        <v>46063</v>
      </c>
      <c r="D350" t="inlineStr">
        <is>
          <t>JÄMTLANDS LÄN</t>
        </is>
      </c>
      <c r="E350" t="inlineStr">
        <is>
          <t>BERG</t>
        </is>
      </c>
      <c r="G350" t="n">
        <v>7.1</v>
      </c>
      <c r="H350" t="n">
        <v>0</v>
      </c>
      <c r="I350" t="n">
        <v>0</v>
      </c>
      <c r="J350" t="n">
        <v>0</v>
      </c>
      <c r="K350" t="n">
        <v>0</v>
      </c>
      <c r="L350" t="n">
        <v>0</v>
      </c>
      <c r="M350" t="n">
        <v>0</v>
      </c>
      <c r="N350" t="n">
        <v>0</v>
      </c>
      <c r="O350" t="n">
        <v>0</v>
      </c>
      <c r="P350" t="n">
        <v>0</v>
      </c>
      <c r="Q350" t="n">
        <v>0</v>
      </c>
      <c r="R350" s="2" t="inlineStr"/>
    </row>
    <row r="351" ht="15" customHeight="1">
      <c r="A351" t="inlineStr">
        <is>
          <t>A 26959-2022</t>
        </is>
      </c>
      <c r="B351" s="1" t="n">
        <v>44740.66048611111</v>
      </c>
      <c r="C351" s="1" t="n">
        <v>46063</v>
      </c>
      <c r="D351" t="inlineStr">
        <is>
          <t>JÄMTLANDS LÄN</t>
        </is>
      </c>
      <c r="E351" t="inlineStr">
        <is>
          <t>BERG</t>
        </is>
      </c>
      <c r="G351" t="n">
        <v>2.8</v>
      </c>
      <c r="H351" t="n">
        <v>0</v>
      </c>
      <c r="I351" t="n">
        <v>0</v>
      </c>
      <c r="J351" t="n">
        <v>0</v>
      </c>
      <c r="K351" t="n">
        <v>0</v>
      </c>
      <c r="L351" t="n">
        <v>0</v>
      </c>
      <c r="M351" t="n">
        <v>0</v>
      </c>
      <c r="N351" t="n">
        <v>0</v>
      </c>
      <c r="O351" t="n">
        <v>0</v>
      </c>
      <c r="P351" t="n">
        <v>0</v>
      </c>
      <c r="Q351" t="n">
        <v>0</v>
      </c>
      <c r="R351" s="2" t="inlineStr"/>
    </row>
    <row r="352" ht="15" customHeight="1">
      <c r="A352" t="inlineStr">
        <is>
          <t>A 3173-2025</t>
        </is>
      </c>
      <c r="B352" s="1" t="n">
        <v>45679.38309027778</v>
      </c>
      <c r="C352" s="1" t="n">
        <v>46063</v>
      </c>
      <c r="D352" t="inlineStr">
        <is>
          <t>JÄMTLANDS LÄN</t>
        </is>
      </c>
      <c r="E352" t="inlineStr">
        <is>
          <t>BERG</t>
        </is>
      </c>
      <c r="G352" t="n">
        <v>8.9</v>
      </c>
      <c r="H352" t="n">
        <v>0</v>
      </c>
      <c r="I352" t="n">
        <v>0</v>
      </c>
      <c r="J352" t="n">
        <v>0</v>
      </c>
      <c r="K352" t="n">
        <v>0</v>
      </c>
      <c r="L352" t="n">
        <v>0</v>
      </c>
      <c r="M352" t="n">
        <v>0</v>
      </c>
      <c r="N352" t="n">
        <v>0</v>
      </c>
      <c r="O352" t="n">
        <v>0</v>
      </c>
      <c r="P352" t="n">
        <v>0</v>
      </c>
      <c r="Q352" t="n">
        <v>0</v>
      </c>
      <c r="R352" s="2" t="inlineStr"/>
    </row>
    <row r="353" ht="15" customHeight="1">
      <c r="A353" t="inlineStr">
        <is>
          <t>A 44997-2021</t>
        </is>
      </c>
      <c r="B353" s="1" t="n">
        <v>44438</v>
      </c>
      <c r="C353" s="1" t="n">
        <v>46063</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31015-2025</t>
        </is>
      </c>
      <c r="B354" s="1" t="n">
        <v>45832.51086805556</v>
      </c>
      <c r="C354" s="1" t="n">
        <v>46063</v>
      </c>
      <c r="D354" t="inlineStr">
        <is>
          <t>JÄMTLANDS LÄN</t>
        </is>
      </c>
      <c r="E354" t="inlineStr">
        <is>
          <t>BERG</t>
        </is>
      </c>
      <c r="F354" t="inlineStr">
        <is>
          <t>SCA</t>
        </is>
      </c>
      <c r="G354" t="n">
        <v>5.5</v>
      </c>
      <c r="H354" t="n">
        <v>0</v>
      </c>
      <c r="I354" t="n">
        <v>0</v>
      </c>
      <c r="J354" t="n">
        <v>0</v>
      </c>
      <c r="K354" t="n">
        <v>0</v>
      </c>
      <c r="L354" t="n">
        <v>0</v>
      </c>
      <c r="M354" t="n">
        <v>0</v>
      </c>
      <c r="N354" t="n">
        <v>0</v>
      </c>
      <c r="O354" t="n">
        <v>0</v>
      </c>
      <c r="P354" t="n">
        <v>0</v>
      </c>
      <c r="Q354" t="n">
        <v>0</v>
      </c>
      <c r="R354" s="2" t="inlineStr"/>
    </row>
    <row r="355" ht="15" customHeight="1">
      <c r="A355" t="inlineStr">
        <is>
          <t>A 31017-2025</t>
        </is>
      </c>
      <c r="B355" s="1" t="n">
        <v>45832.51111111111</v>
      </c>
      <c r="C355" s="1" t="n">
        <v>46063</v>
      </c>
      <c r="D355" t="inlineStr">
        <is>
          <t>JÄMTLANDS LÄN</t>
        </is>
      </c>
      <c r="E355" t="inlineStr">
        <is>
          <t>BERG</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31136-2025</t>
        </is>
      </c>
      <c r="B356" s="1" t="n">
        <v>45832.63599537037</v>
      </c>
      <c r="C356" s="1" t="n">
        <v>46063</v>
      </c>
      <c r="D356" t="inlineStr">
        <is>
          <t>JÄMTLANDS LÄN</t>
        </is>
      </c>
      <c r="E356" t="inlineStr">
        <is>
          <t>BERG</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19429-2025</t>
        </is>
      </c>
      <c r="B357" s="1" t="n">
        <v>45769.8025462963</v>
      </c>
      <c r="C357" s="1" t="n">
        <v>46063</v>
      </c>
      <c r="D357" t="inlineStr">
        <is>
          <t>JÄMTLANDS LÄN</t>
        </is>
      </c>
      <c r="E357" t="inlineStr">
        <is>
          <t>BERG</t>
        </is>
      </c>
      <c r="G357" t="n">
        <v>2</v>
      </c>
      <c r="H357" t="n">
        <v>0</v>
      </c>
      <c r="I357" t="n">
        <v>0</v>
      </c>
      <c r="J357" t="n">
        <v>0</v>
      </c>
      <c r="K357" t="n">
        <v>0</v>
      </c>
      <c r="L357" t="n">
        <v>0</v>
      </c>
      <c r="M357" t="n">
        <v>0</v>
      </c>
      <c r="N357" t="n">
        <v>0</v>
      </c>
      <c r="O357" t="n">
        <v>0</v>
      </c>
      <c r="P357" t="n">
        <v>0</v>
      </c>
      <c r="Q357" t="n">
        <v>0</v>
      </c>
      <c r="R357" s="2" t="inlineStr"/>
    </row>
    <row r="358" ht="15" customHeight="1">
      <c r="A358" t="inlineStr">
        <is>
          <t>A 31070-2025</t>
        </is>
      </c>
      <c r="B358" s="1" t="n">
        <v>45832.57887731482</v>
      </c>
      <c r="C358" s="1" t="n">
        <v>46063</v>
      </c>
      <c r="D358" t="inlineStr">
        <is>
          <t>JÄMTLANDS LÄN</t>
        </is>
      </c>
      <c r="E358" t="inlineStr">
        <is>
          <t>BERG</t>
        </is>
      </c>
      <c r="G358" t="n">
        <v>3.7</v>
      </c>
      <c r="H358" t="n">
        <v>0</v>
      </c>
      <c r="I358" t="n">
        <v>0</v>
      </c>
      <c r="J358" t="n">
        <v>0</v>
      </c>
      <c r="K358" t="n">
        <v>0</v>
      </c>
      <c r="L358" t="n">
        <v>0</v>
      </c>
      <c r="M358" t="n">
        <v>0</v>
      </c>
      <c r="N358" t="n">
        <v>0</v>
      </c>
      <c r="O358" t="n">
        <v>0</v>
      </c>
      <c r="P358" t="n">
        <v>0</v>
      </c>
      <c r="Q358" t="n">
        <v>0</v>
      </c>
      <c r="R358" s="2" t="inlineStr"/>
    </row>
    <row r="359" ht="15" customHeight="1">
      <c r="A359" t="inlineStr">
        <is>
          <t>A 31090-2025</t>
        </is>
      </c>
      <c r="B359" s="1" t="n">
        <v>45832.59436342592</v>
      </c>
      <c r="C359" s="1" t="n">
        <v>46063</v>
      </c>
      <c r="D359" t="inlineStr">
        <is>
          <t>JÄMTLANDS LÄN</t>
        </is>
      </c>
      <c r="E359" t="inlineStr">
        <is>
          <t>BERG</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37589-2021</t>
        </is>
      </c>
      <c r="B360" s="1" t="n">
        <v>44399</v>
      </c>
      <c r="C360" s="1" t="n">
        <v>46063</v>
      </c>
      <c r="D360" t="inlineStr">
        <is>
          <t>JÄMTLANDS LÄN</t>
        </is>
      </c>
      <c r="E360" t="inlineStr">
        <is>
          <t>BERG</t>
        </is>
      </c>
      <c r="G360" t="n">
        <v>8.6</v>
      </c>
      <c r="H360" t="n">
        <v>0</v>
      </c>
      <c r="I360" t="n">
        <v>0</v>
      </c>
      <c r="J360" t="n">
        <v>0</v>
      </c>
      <c r="K360" t="n">
        <v>0</v>
      </c>
      <c r="L360" t="n">
        <v>0</v>
      </c>
      <c r="M360" t="n">
        <v>0</v>
      </c>
      <c r="N360" t="n">
        <v>0</v>
      </c>
      <c r="O360" t="n">
        <v>0</v>
      </c>
      <c r="P360" t="n">
        <v>0</v>
      </c>
      <c r="Q360" t="n">
        <v>0</v>
      </c>
      <c r="R360" s="2" t="inlineStr"/>
    </row>
    <row r="361" ht="15" customHeight="1">
      <c r="A361" t="inlineStr">
        <is>
          <t>A 32654-2025</t>
        </is>
      </c>
      <c r="B361" s="1" t="n">
        <v>45838.6778587963</v>
      </c>
      <c r="C361" s="1" t="n">
        <v>46063</v>
      </c>
      <c r="D361" t="inlineStr">
        <is>
          <t>JÄMTLANDS LÄN</t>
        </is>
      </c>
      <c r="E361" t="inlineStr">
        <is>
          <t>BERG</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62360-2023</t>
        </is>
      </c>
      <c r="B362" s="1" t="n">
        <v>45267</v>
      </c>
      <c r="C362" s="1" t="n">
        <v>46063</v>
      </c>
      <c r="D362" t="inlineStr">
        <is>
          <t>JÄMTLANDS LÄN</t>
        </is>
      </c>
      <c r="E362" t="inlineStr">
        <is>
          <t>BERG</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39004-2025</t>
        </is>
      </c>
      <c r="B363" s="1" t="n">
        <v>45888.34472222222</v>
      </c>
      <c r="C363" s="1" t="n">
        <v>46063</v>
      </c>
      <c r="D363" t="inlineStr">
        <is>
          <t>JÄMTLANDS LÄN</t>
        </is>
      </c>
      <c r="E363" t="inlineStr">
        <is>
          <t>BERG</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31820-2025</t>
        </is>
      </c>
      <c r="B364" s="1" t="n">
        <v>45834.57930555556</v>
      </c>
      <c r="C364" s="1" t="n">
        <v>46063</v>
      </c>
      <c r="D364" t="inlineStr">
        <is>
          <t>JÄMTLANDS LÄN</t>
        </is>
      </c>
      <c r="E364" t="inlineStr">
        <is>
          <t>BERG</t>
        </is>
      </c>
      <c r="G364" t="n">
        <v>13.9</v>
      </c>
      <c r="H364" t="n">
        <v>0</v>
      </c>
      <c r="I364" t="n">
        <v>0</v>
      </c>
      <c r="J364" t="n">
        <v>0</v>
      </c>
      <c r="K364" t="n">
        <v>0</v>
      </c>
      <c r="L364" t="n">
        <v>0</v>
      </c>
      <c r="M364" t="n">
        <v>0</v>
      </c>
      <c r="N364" t="n">
        <v>0</v>
      </c>
      <c r="O364" t="n">
        <v>0</v>
      </c>
      <c r="P364" t="n">
        <v>0</v>
      </c>
      <c r="Q364" t="n">
        <v>0</v>
      </c>
      <c r="R364" s="2" t="inlineStr"/>
    </row>
    <row r="365" ht="15" customHeight="1">
      <c r="A365" t="inlineStr">
        <is>
          <t>A 18685-2024</t>
        </is>
      </c>
      <c r="B365" s="1" t="n">
        <v>45426.38322916667</v>
      </c>
      <c r="C365" s="1" t="n">
        <v>46063</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46991-2024</t>
        </is>
      </c>
      <c r="B366" s="1" t="n">
        <v>45586.365625</v>
      </c>
      <c r="C366" s="1" t="n">
        <v>46063</v>
      </c>
      <c r="D366" t="inlineStr">
        <is>
          <t>JÄMTLANDS LÄN</t>
        </is>
      </c>
      <c r="E366" t="inlineStr">
        <is>
          <t>BERG</t>
        </is>
      </c>
      <c r="G366" t="n">
        <v>2.9</v>
      </c>
      <c r="H366" t="n">
        <v>0</v>
      </c>
      <c r="I366" t="n">
        <v>0</v>
      </c>
      <c r="J366" t="n">
        <v>0</v>
      </c>
      <c r="K366" t="n">
        <v>0</v>
      </c>
      <c r="L366" t="n">
        <v>0</v>
      </c>
      <c r="M366" t="n">
        <v>0</v>
      </c>
      <c r="N366" t="n">
        <v>0</v>
      </c>
      <c r="O366" t="n">
        <v>0</v>
      </c>
      <c r="P366" t="n">
        <v>0</v>
      </c>
      <c r="Q366" t="n">
        <v>0</v>
      </c>
      <c r="R366" s="2" t="inlineStr"/>
    </row>
    <row r="367" ht="15" customHeight="1">
      <c r="A367" t="inlineStr">
        <is>
          <t>A 39544-2025</t>
        </is>
      </c>
      <c r="B367" s="1" t="n">
        <v>45890.45547453704</v>
      </c>
      <c r="C367" s="1" t="n">
        <v>46063</v>
      </c>
      <c r="D367" t="inlineStr">
        <is>
          <t>JÄMTLANDS LÄN</t>
        </is>
      </c>
      <c r="E367" t="inlineStr">
        <is>
          <t>BERG</t>
        </is>
      </c>
      <c r="G367" t="n">
        <v>7.5</v>
      </c>
      <c r="H367" t="n">
        <v>0</v>
      </c>
      <c r="I367" t="n">
        <v>0</v>
      </c>
      <c r="J367" t="n">
        <v>0</v>
      </c>
      <c r="K367" t="n">
        <v>0</v>
      </c>
      <c r="L367" t="n">
        <v>0</v>
      </c>
      <c r="M367" t="n">
        <v>0</v>
      </c>
      <c r="N367" t="n">
        <v>0</v>
      </c>
      <c r="O367" t="n">
        <v>0</v>
      </c>
      <c r="P367" t="n">
        <v>0</v>
      </c>
      <c r="Q367" t="n">
        <v>0</v>
      </c>
      <c r="R367" s="2" t="inlineStr"/>
    </row>
    <row r="368" ht="15" customHeight="1">
      <c r="A368" t="inlineStr">
        <is>
          <t>A 39601-2025</t>
        </is>
      </c>
      <c r="B368" s="1" t="n">
        <v>45890.55284722222</v>
      </c>
      <c r="C368" s="1" t="n">
        <v>46063</v>
      </c>
      <c r="D368" t="inlineStr">
        <is>
          <t>JÄMTLANDS LÄN</t>
        </is>
      </c>
      <c r="E368" t="inlineStr">
        <is>
          <t>BERG</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11704-2023</t>
        </is>
      </c>
      <c r="B369" s="1" t="n">
        <v>44994.54274305556</v>
      </c>
      <c r="C369" s="1" t="n">
        <v>46063</v>
      </c>
      <c r="D369" t="inlineStr">
        <is>
          <t>JÄMTLANDS LÄN</t>
        </is>
      </c>
      <c r="E369" t="inlineStr">
        <is>
          <t>BERG</t>
        </is>
      </c>
      <c r="G369" t="n">
        <v>1</v>
      </c>
      <c r="H369" t="n">
        <v>0</v>
      </c>
      <c r="I369" t="n">
        <v>0</v>
      </c>
      <c r="J369" t="n">
        <v>0</v>
      </c>
      <c r="K369" t="n">
        <v>0</v>
      </c>
      <c r="L369" t="n">
        <v>0</v>
      </c>
      <c r="M369" t="n">
        <v>0</v>
      </c>
      <c r="N369" t="n">
        <v>0</v>
      </c>
      <c r="O369" t="n">
        <v>0</v>
      </c>
      <c r="P369" t="n">
        <v>0</v>
      </c>
      <c r="Q369" t="n">
        <v>0</v>
      </c>
      <c r="R369" s="2" t="inlineStr"/>
    </row>
    <row r="370" ht="15" customHeight="1">
      <c r="A370" t="inlineStr">
        <is>
          <t>A 39418-2025</t>
        </is>
      </c>
      <c r="B370" s="1" t="n">
        <v>45889</v>
      </c>
      <c r="C370" s="1" t="n">
        <v>46063</v>
      </c>
      <c r="D370" t="inlineStr">
        <is>
          <t>JÄMTLANDS LÄN</t>
        </is>
      </c>
      <c r="E370" t="inlineStr">
        <is>
          <t>BERG</t>
        </is>
      </c>
      <c r="G370" t="n">
        <v>19.8</v>
      </c>
      <c r="H370" t="n">
        <v>0</v>
      </c>
      <c r="I370" t="n">
        <v>0</v>
      </c>
      <c r="J370" t="n">
        <v>0</v>
      </c>
      <c r="K370" t="n">
        <v>0</v>
      </c>
      <c r="L370" t="n">
        <v>0</v>
      </c>
      <c r="M370" t="n">
        <v>0</v>
      </c>
      <c r="N370" t="n">
        <v>0</v>
      </c>
      <c r="O370" t="n">
        <v>0</v>
      </c>
      <c r="P370" t="n">
        <v>0</v>
      </c>
      <c r="Q370" t="n">
        <v>0</v>
      </c>
      <c r="R370" s="2" t="inlineStr"/>
    </row>
    <row r="371" ht="15" customHeight="1">
      <c r="A371" t="inlineStr">
        <is>
          <t>A 32160-2025</t>
        </is>
      </c>
      <c r="B371" s="1" t="n">
        <v>45835.54142361111</v>
      </c>
      <c r="C371" s="1" t="n">
        <v>46063</v>
      </c>
      <c r="D371" t="inlineStr">
        <is>
          <t>JÄMTLANDS LÄN</t>
        </is>
      </c>
      <c r="E371" t="inlineStr">
        <is>
          <t>BERG</t>
        </is>
      </c>
      <c r="G371" t="n">
        <v>10.3</v>
      </c>
      <c r="H371" t="n">
        <v>0</v>
      </c>
      <c r="I371" t="n">
        <v>0</v>
      </c>
      <c r="J371" t="n">
        <v>0</v>
      </c>
      <c r="K371" t="n">
        <v>0</v>
      </c>
      <c r="L371" t="n">
        <v>0</v>
      </c>
      <c r="M371" t="n">
        <v>0</v>
      </c>
      <c r="N371" t="n">
        <v>0</v>
      </c>
      <c r="O371" t="n">
        <v>0</v>
      </c>
      <c r="P371" t="n">
        <v>0</v>
      </c>
      <c r="Q371" t="n">
        <v>0</v>
      </c>
      <c r="R371" s="2" t="inlineStr"/>
    </row>
    <row r="372" ht="15" customHeight="1">
      <c r="A372" t="inlineStr">
        <is>
          <t>A 39698-2025</t>
        </is>
      </c>
      <c r="B372" s="1" t="n">
        <v>45890.69837962963</v>
      </c>
      <c r="C372" s="1" t="n">
        <v>46063</v>
      </c>
      <c r="D372" t="inlineStr">
        <is>
          <t>JÄMTLANDS LÄN</t>
        </is>
      </c>
      <c r="E372" t="inlineStr">
        <is>
          <t>BERG</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39539-2025</t>
        </is>
      </c>
      <c r="B373" s="1" t="n">
        <v>45890.4525</v>
      </c>
      <c r="C373" s="1" t="n">
        <v>46063</v>
      </c>
      <c r="D373" t="inlineStr">
        <is>
          <t>JÄMTLANDS LÄN</t>
        </is>
      </c>
      <c r="E373" t="inlineStr">
        <is>
          <t>BERG</t>
        </is>
      </c>
      <c r="G373" t="n">
        <v>7.7</v>
      </c>
      <c r="H373" t="n">
        <v>0</v>
      </c>
      <c r="I373" t="n">
        <v>0</v>
      </c>
      <c r="J373" t="n">
        <v>0</v>
      </c>
      <c r="K373" t="n">
        <v>0</v>
      </c>
      <c r="L373" t="n">
        <v>0</v>
      </c>
      <c r="M373" t="n">
        <v>0</v>
      </c>
      <c r="N373" t="n">
        <v>0</v>
      </c>
      <c r="O373" t="n">
        <v>0</v>
      </c>
      <c r="P373" t="n">
        <v>0</v>
      </c>
      <c r="Q373" t="n">
        <v>0</v>
      </c>
      <c r="R373" s="2" t="inlineStr"/>
    </row>
    <row r="374" ht="15" customHeight="1">
      <c r="A374" t="inlineStr">
        <is>
          <t>A 12611-2025</t>
        </is>
      </c>
      <c r="B374" s="1" t="n">
        <v>45733.33921296296</v>
      </c>
      <c r="C374" s="1" t="n">
        <v>46063</v>
      </c>
      <c r="D374" t="inlineStr">
        <is>
          <t>JÄMTLANDS LÄN</t>
        </is>
      </c>
      <c r="E374" t="inlineStr">
        <is>
          <t>BERG</t>
        </is>
      </c>
      <c r="G374" t="n">
        <v>7.7</v>
      </c>
      <c r="H374" t="n">
        <v>0</v>
      </c>
      <c r="I374" t="n">
        <v>0</v>
      </c>
      <c r="J374" t="n">
        <v>0</v>
      </c>
      <c r="K374" t="n">
        <v>0</v>
      </c>
      <c r="L374" t="n">
        <v>0</v>
      </c>
      <c r="M374" t="n">
        <v>0</v>
      </c>
      <c r="N374" t="n">
        <v>0</v>
      </c>
      <c r="O374" t="n">
        <v>0</v>
      </c>
      <c r="P374" t="n">
        <v>0</v>
      </c>
      <c r="Q374" t="n">
        <v>0</v>
      </c>
      <c r="R374" s="2" t="inlineStr"/>
    </row>
    <row r="375" ht="15" customHeight="1">
      <c r="A375" t="inlineStr">
        <is>
          <t>A 32919-2025</t>
        </is>
      </c>
      <c r="B375" s="1" t="n">
        <v>45839.64721064815</v>
      </c>
      <c r="C375" s="1" t="n">
        <v>46063</v>
      </c>
      <c r="D375" t="inlineStr">
        <is>
          <t>JÄMTLANDS LÄN</t>
        </is>
      </c>
      <c r="E375" t="inlineStr">
        <is>
          <t>BERG</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33054-2025</t>
        </is>
      </c>
      <c r="B376" s="1" t="n">
        <v>45840.42746527777</v>
      </c>
      <c r="C376" s="1" t="n">
        <v>46063</v>
      </c>
      <c r="D376" t="inlineStr">
        <is>
          <t>JÄMTLANDS LÄN</t>
        </is>
      </c>
      <c r="E376" t="inlineStr">
        <is>
          <t>BERG</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45206-2024</t>
        </is>
      </c>
      <c r="B377" s="1" t="n">
        <v>45575.69966435185</v>
      </c>
      <c r="C377" s="1" t="n">
        <v>46063</v>
      </c>
      <c r="D377" t="inlineStr">
        <is>
          <t>JÄMTLANDS LÄN</t>
        </is>
      </c>
      <c r="E377" t="inlineStr">
        <is>
          <t>BERG</t>
        </is>
      </c>
      <c r="G377" t="n">
        <v>2.3</v>
      </c>
      <c r="H377" t="n">
        <v>0</v>
      </c>
      <c r="I377" t="n">
        <v>0</v>
      </c>
      <c r="J377" t="n">
        <v>0</v>
      </c>
      <c r="K377" t="n">
        <v>0</v>
      </c>
      <c r="L377" t="n">
        <v>0</v>
      </c>
      <c r="M377" t="n">
        <v>0</v>
      </c>
      <c r="N377" t="n">
        <v>0</v>
      </c>
      <c r="O377" t="n">
        <v>0</v>
      </c>
      <c r="P377" t="n">
        <v>0</v>
      </c>
      <c r="Q377" t="n">
        <v>0</v>
      </c>
      <c r="R377" s="2" t="inlineStr"/>
    </row>
    <row r="378" ht="15" customHeight="1">
      <c r="A378" t="inlineStr">
        <is>
          <t>A 33386-2025</t>
        </is>
      </c>
      <c r="B378" s="1" t="n">
        <v>45841.40587962963</v>
      </c>
      <c r="C378" s="1" t="n">
        <v>46063</v>
      </c>
      <c r="D378" t="inlineStr">
        <is>
          <t>JÄMTLANDS LÄN</t>
        </is>
      </c>
      <c r="E378" t="inlineStr">
        <is>
          <t>BERG</t>
        </is>
      </c>
      <c r="G378" t="n">
        <v>37.7</v>
      </c>
      <c r="H378" t="n">
        <v>0</v>
      </c>
      <c r="I378" t="n">
        <v>0</v>
      </c>
      <c r="J378" t="n">
        <v>0</v>
      </c>
      <c r="K378" t="n">
        <v>0</v>
      </c>
      <c r="L378" t="n">
        <v>0</v>
      </c>
      <c r="M378" t="n">
        <v>0</v>
      </c>
      <c r="N378" t="n">
        <v>0</v>
      </c>
      <c r="O378" t="n">
        <v>0</v>
      </c>
      <c r="P378" t="n">
        <v>0</v>
      </c>
      <c r="Q378" t="n">
        <v>0</v>
      </c>
      <c r="R378" s="2" t="inlineStr"/>
    </row>
    <row r="379" ht="15" customHeight="1">
      <c r="A379" t="inlineStr">
        <is>
          <t>A 40060-2025</t>
        </is>
      </c>
      <c r="B379" s="1" t="n">
        <v>45894.42746527777</v>
      </c>
      <c r="C379" s="1" t="n">
        <v>46063</v>
      </c>
      <c r="D379" t="inlineStr">
        <is>
          <t>JÄMTLANDS LÄN</t>
        </is>
      </c>
      <c r="E379" t="inlineStr">
        <is>
          <t>BERG</t>
        </is>
      </c>
      <c r="F379" t="inlineStr">
        <is>
          <t>SCA</t>
        </is>
      </c>
      <c r="G379" t="n">
        <v>8</v>
      </c>
      <c r="H379" t="n">
        <v>0</v>
      </c>
      <c r="I379" t="n">
        <v>0</v>
      </c>
      <c r="J379" t="n">
        <v>0</v>
      </c>
      <c r="K379" t="n">
        <v>0</v>
      </c>
      <c r="L379" t="n">
        <v>0</v>
      </c>
      <c r="M379" t="n">
        <v>0</v>
      </c>
      <c r="N379" t="n">
        <v>0</v>
      </c>
      <c r="O379" t="n">
        <v>0</v>
      </c>
      <c r="P379" t="n">
        <v>0</v>
      </c>
      <c r="Q379" t="n">
        <v>0</v>
      </c>
      <c r="R379" s="2" t="inlineStr"/>
    </row>
    <row r="380" ht="15" customHeight="1">
      <c r="A380" t="inlineStr">
        <is>
          <t>A 28403-2025</t>
        </is>
      </c>
      <c r="B380" s="1" t="n">
        <v>45819</v>
      </c>
      <c r="C380" s="1" t="n">
        <v>46063</v>
      </c>
      <c r="D380" t="inlineStr">
        <is>
          <t>JÄMTLANDS LÄN</t>
        </is>
      </c>
      <c r="E380" t="inlineStr">
        <is>
          <t>BERG</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32713-2025</t>
        </is>
      </c>
      <c r="B381" s="1" t="n">
        <v>45839.36935185185</v>
      </c>
      <c r="C381" s="1" t="n">
        <v>46063</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14153-2023</t>
        </is>
      </c>
      <c r="B382" s="1" t="n">
        <v>45008</v>
      </c>
      <c r="C382" s="1" t="n">
        <v>46063</v>
      </c>
      <c r="D382" t="inlineStr">
        <is>
          <t>JÄMTLANDS LÄN</t>
        </is>
      </c>
      <c r="E382" t="inlineStr">
        <is>
          <t>BERG</t>
        </is>
      </c>
      <c r="G382" t="n">
        <v>1.1</v>
      </c>
      <c r="H382" t="n">
        <v>0</v>
      </c>
      <c r="I382" t="n">
        <v>0</v>
      </c>
      <c r="J382" t="n">
        <v>0</v>
      </c>
      <c r="K382" t="n">
        <v>0</v>
      </c>
      <c r="L382" t="n">
        <v>0</v>
      </c>
      <c r="M382" t="n">
        <v>0</v>
      </c>
      <c r="N382" t="n">
        <v>0</v>
      </c>
      <c r="O382" t="n">
        <v>0</v>
      </c>
      <c r="P382" t="n">
        <v>0</v>
      </c>
      <c r="Q382" t="n">
        <v>0</v>
      </c>
      <c r="R382" s="2" t="inlineStr"/>
    </row>
    <row r="383" ht="15" customHeight="1">
      <c r="A383" t="inlineStr">
        <is>
          <t>A 33753-2025</t>
        </is>
      </c>
      <c r="B383" s="1" t="n">
        <v>45842.37199074074</v>
      </c>
      <c r="C383" s="1" t="n">
        <v>46063</v>
      </c>
      <c r="D383" t="inlineStr">
        <is>
          <t>JÄMTLANDS LÄN</t>
        </is>
      </c>
      <c r="E383" t="inlineStr">
        <is>
          <t>BERG</t>
        </is>
      </c>
      <c r="G383" t="n">
        <v>1</v>
      </c>
      <c r="H383" t="n">
        <v>0</v>
      </c>
      <c r="I383" t="n">
        <v>0</v>
      </c>
      <c r="J383" t="n">
        <v>0</v>
      </c>
      <c r="K383" t="n">
        <v>0</v>
      </c>
      <c r="L383" t="n">
        <v>0</v>
      </c>
      <c r="M383" t="n">
        <v>0</v>
      </c>
      <c r="N383" t="n">
        <v>0</v>
      </c>
      <c r="O383" t="n">
        <v>0</v>
      </c>
      <c r="P383" t="n">
        <v>0</v>
      </c>
      <c r="Q383" t="n">
        <v>0</v>
      </c>
      <c r="R383" s="2" t="inlineStr"/>
    </row>
    <row r="384" ht="15" customHeight="1">
      <c r="A384" t="inlineStr">
        <is>
          <t>A 40630-2025</t>
        </is>
      </c>
      <c r="B384" s="1" t="n">
        <v>45896</v>
      </c>
      <c r="C384" s="1" t="n">
        <v>46063</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40410-2025</t>
        </is>
      </c>
      <c r="B385" s="1" t="n">
        <v>45895.57349537037</v>
      </c>
      <c r="C385" s="1" t="n">
        <v>46063</v>
      </c>
      <c r="D385" t="inlineStr">
        <is>
          <t>JÄMTLANDS LÄN</t>
        </is>
      </c>
      <c r="E385" t="inlineStr">
        <is>
          <t>BERG</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33748-2025</t>
        </is>
      </c>
      <c r="B386" s="1" t="n">
        <v>45842.35685185185</v>
      </c>
      <c r="C386" s="1" t="n">
        <v>46063</v>
      </c>
      <c r="D386" t="inlineStr">
        <is>
          <t>JÄMTLANDS LÄN</t>
        </is>
      </c>
      <c r="E386" t="inlineStr">
        <is>
          <t>BERG</t>
        </is>
      </c>
      <c r="G386" t="n">
        <v>2.1</v>
      </c>
      <c r="H386" t="n">
        <v>0</v>
      </c>
      <c r="I386" t="n">
        <v>0</v>
      </c>
      <c r="J386" t="n">
        <v>0</v>
      </c>
      <c r="K386" t="n">
        <v>0</v>
      </c>
      <c r="L386" t="n">
        <v>0</v>
      </c>
      <c r="M386" t="n">
        <v>0</v>
      </c>
      <c r="N386" t="n">
        <v>0</v>
      </c>
      <c r="O386" t="n">
        <v>0</v>
      </c>
      <c r="P386" t="n">
        <v>0</v>
      </c>
      <c r="Q386" t="n">
        <v>0</v>
      </c>
      <c r="R386" s="2" t="inlineStr"/>
    </row>
    <row r="387" ht="15" customHeight="1">
      <c r="A387" t="inlineStr">
        <is>
          <t>A 40266-2025</t>
        </is>
      </c>
      <c r="B387" s="1" t="n">
        <v>45895.34478009259</v>
      </c>
      <c r="C387" s="1" t="n">
        <v>46063</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40341-2025</t>
        </is>
      </c>
      <c r="B388" s="1" t="n">
        <v>45895</v>
      </c>
      <c r="C388" s="1" t="n">
        <v>46063</v>
      </c>
      <c r="D388" t="inlineStr">
        <is>
          <t>JÄMTLANDS LÄN</t>
        </is>
      </c>
      <c r="E388" t="inlineStr">
        <is>
          <t>BERG</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33750-2025</t>
        </is>
      </c>
      <c r="B389" s="1" t="n">
        <v>45842.36243055556</v>
      </c>
      <c r="C389" s="1" t="n">
        <v>46063</v>
      </c>
      <c r="D389" t="inlineStr">
        <is>
          <t>JÄMTLANDS LÄN</t>
        </is>
      </c>
      <c r="E389" t="inlineStr">
        <is>
          <t>BERG</t>
        </is>
      </c>
      <c r="G389" t="n">
        <v>0.9</v>
      </c>
      <c r="H389" t="n">
        <v>0</v>
      </c>
      <c r="I389" t="n">
        <v>0</v>
      </c>
      <c r="J389" t="n">
        <v>0</v>
      </c>
      <c r="K389" t="n">
        <v>0</v>
      </c>
      <c r="L389" t="n">
        <v>0</v>
      </c>
      <c r="M389" t="n">
        <v>0</v>
      </c>
      <c r="N389" t="n">
        <v>0</v>
      </c>
      <c r="O389" t="n">
        <v>0</v>
      </c>
      <c r="P389" t="n">
        <v>0</v>
      </c>
      <c r="Q389" t="n">
        <v>0</v>
      </c>
      <c r="R389" s="2" t="inlineStr"/>
    </row>
    <row r="390" ht="15" customHeight="1">
      <c r="A390" t="inlineStr">
        <is>
          <t>A 40617-2025</t>
        </is>
      </c>
      <c r="B390" s="1" t="n">
        <v>45896.58326388889</v>
      </c>
      <c r="C390" s="1" t="n">
        <v>46063</v>
      </c>
      <c r="D390" t="inlineStr">
        <is>
          <t>JÄMTLANDS LÄN</t>
        </is>
      </c>
      <c r="E390" t="inlineStr">
        <is>
          <t>BERG</t>
        </is>
      </c>
      <c r="G390" t="n">
        <v>3.5</v>
      </c>
      <c r="H390" t="n">
        <v>0</v>
      </c>
      <c r="I390" t="n">
        <v>0</v>
      </c>
      <c r="J390" t="n">
        <v>0</v>
      </c>
      <c r="K390" t="n">
        <v>0</v>
      </c>
      <c r="L390" t="n">
        <v>0</v>
      </c>
      <c r="M390" t="n">
        <v>0</v>
      </c>
      <c r="N390" t="n">
        <v>0</v>
      </c>
      <c r="O390" t="n">
        <v>0</v>
      </c>
      <c r="P390" t="n">
        <v>0</v>
      </c>
      <c r="Q390" t="n">
        <v>0</v>
      </c>
      <c r="R390" s="2" t="inlineStr"/>
    </row>
    <row r="391" ht="15" customHeight="1">
      <c r="A391" t="inlineStr">
        <is>
          <t>A 41247-2025</t>
        </is>
      </c>
      <c r="B391" s="1" t="n">
        <v>45898.60109953704</v>
      </c>
      <c r="C391" s="1" t="n">
        <v>46063</v>
      </c>
      <c r="D391" t="inlineStr">
        <is>
          <t>JÄMTLANDS LÄN</t>
        </is>
      </c>
      <c r="E391" t="inlineStr">
        <is>
          <t>BERG</t>
        </is>
      </c>
      <c r="G391" t="n">
        <v>17.5</v>
      </c>
      <c r="H391" t="n">
        <v>0</v>
      </c>
      <c r="I391" t="n">
        <v>0</v>
      </c>
      <c r="J391" t="n">
        <v>0</v>
      </c>
      <c r="K391" t="n">
        <v>0</v>
      </c>
      <c r="L391" t="n">
        <v>0</v>
      </c>
      <c r="M391" t="n">
        <v>0</v>
      </c>
      <c r="N391" t="n">
        <v>0</v>
      </c>
      <c r="O391" t="n">
        <v>0</v>
      </c>
      <c r="P391" t="n">
        <v>0</v>
      </c>
      <c r="Q391" t="n">
        <v>0</v>
      </c>
      <c r="R391" s="2" t="inlineStr"/>
    </row>
    <row r="392" ht="15" customHeight="1">
      <c r="A392" t="inlineStr">
        <is>
          <t>A 149-2024</t>
        </is>
      </c>
      <c r="B392" s="1" t="n">
        <v>45294</v>
      </c>
      <c r="C392" s="1" t="n">
        <v>46063</v>
      </c>
      <c r="D392" t="inlineStr">
        <is>
          <t>JÄMTLANDS LÄN</t>
        </is>
      </c>
      <c r="E392" t="inlineStr">
        <is>
          <t>BERG</t>
        </is>
      </c>
      <c r="F392" t="inlineStr">
        <is>
          <t>Kyrkan</t>
        </is>
      </c>
      <c r="G392" t="n">
        <v>3.7</v>
      </c>
      <c r="H392" t="n">
        <v>0</v>
      </c>
      <c r="I392" t="n">
        <v>0</v>
      </c>
      <c r="J392" t="n">
        <v>0</v>
      </c>
      <c r="K392" t="n">
        <v>0</v>
      </c>
      <c r="L392" t="n">
        <v>0</v>
      </c>
      <c r="M392" t="n">
        <v>0</v>
      </c>
      <c r="N392" t="n">
        <v>0</v>
      </c>
      <c r="O392" t="n">
        <v>0</v>
      </c>
      <c r="P392" t="n">
        <v>0</v>
      </c>
      <c r="Q392" t="n">
        <v>0</v>
      </c>
      <c r="R392" s="2" t="inlineStr"/>
    </row>
    <row r="393" ht="15" customHeight="1">
      <c r="A393" t="inlineStr">
        <is>
          <t>A 52774-2023</t>
        </is>
      </c>
      <c r="B393" s="1" t="n">
        <v>45219</v>
      </c>
      <c r="C393" s="1" t="n">
        <v>46063</v>
      </c>
      <c r="D393" t="inlineStr">
        <is>
          <t>JÄMTLANDS LÄN</t>
        </is>
      </c>
      <c r="E393" t="inlineStr">
        <is>
          <t>BERG</t>
        </is>
      </c>
      <c r="G393" t="n">
        <v>1.1</v>
      </c>
      <c r="H393" t="n">
        <v>0</v>
      </c>
      <c r="I393" t="n">
        <v>0</v>
      </c>
      <c r="J393" t="n">
        <v>0</v>
      </c>
      <c r="K393" t="n">
        <v>0</v>
      </c>
      <c r="L393" t="n">
        <v>0</v>
      </c>
      <c r="M393" t="n">
        <v>0</v>
      </c>
      <c r="N393" t="n">
        <v>0</v>
      </c>
      <c r="O393" t="n">
        <v>0</v>
      </c>
      <c r="P393" t="n">
        <v>0</v>
      </c>
      <c r="Q393" t="n">
        <v>0</v>
      </c>
      <c r="R393" s="2" t="inlineStr"/>
    </row>
    <row r="394" ht="15" customHeight="1">
      <c r="A394" t="inlineStr">
        <is>
          <t>A 41295-2025</t>
        </is>
      </c>
      <c r="B394" s="1" t="n">
        <v>45898.65660879629</v>
      </c>
      <c r="C394" s="1" t="n">
        <v>46063</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34036-2025</t>
        </is>
      </c>
      <c r="B395" s="1" t="n">
        <v>45845.36954861111</v>
      </c>
      <c r="C395" s="1" t="n">
        <v>46063</v>
      </c>
      <c r="D395" t="inlineStr">
        <is>
          <t>JÄMTLANDS LÄN</t>
        </is>
      </c>
      <c r="E395" t="inlineStr">
        <is>
          <t>BERG</t>
        </is>
      </c>
      <c r="G395" t="n">
        <v>4.8</v>
      </c>
      <c r="H395" t="n">
        <v>0</v>
      </c>
      <c r="I395" t="n">
        <v>0</v>
      </c>
      <c r="J395" t="n">
        <v>0</v>
      </c>
      <c r="K395" t="n">
        <v>0</v>
      </c>
      <c r="L395" t="n">
        <v>0</v>
      </c>
      <c r="M395" t="n">
        <v>0</v>
      </c>
      <c r="N395" t="n">
        <v>0</v>
      </c>
      <c r="O395" t="n">
        <v>0</v>
      </c>
      <c r="P395" t="n">
        <v>0</v>
      </c>
      <c r="Q395" t="n">
        <v>0</v>
      </c>
      <c r="R395" s="2" t="inlineStr"/>
    </row>
    <row r="396" ht="15" customHeight="1">
      <c r="A396" t="inlineStr">
        <is>
          <t>A 34030-2025</t>
        </is>
      </c>
      <c r="B396" s="1" t="n">
        <v>45845.3633912037</v>
      </c>
      <c r="C396" s="1" t="n">
        <v>46063</v>
      </c>
      <c r="D396" t="inlineStr">
        <is>
          <t>JÄMTLANDS LÄN</t>
        </is>
      </c>
      <c r="E396" t="inlineStr">
        <is>
          <t>BERG</t>
        </is>
      </c>
      <c r="G396" t="n">
        <v>13.5</v>
      </c>
      <c r="H396" t="n">
        <v>0</v>
      </c>
      <c r="I396" t="n">
        <v>0</v>
      </c>
      <c r="J396" t="n">
        <v>0</v>
      </c>
      <c r="K396" t="n">
        <v>0</v>
      </c>
      <c r="L396" t="n">
        <v>0</v>
      </c>
      <c r="M396" t="n">
        <v>0</v>
      </c>
      <c r="N396" t="n">
        <v>0</v>
      </c>
      <c r="O396" t="n">
        <v>0</v>
      </c>
      <c r="P396" t="n">
        <v>0</v>
      </c>
      <c r="Q396" t="n">
        <v>0</v>
      </c>
      <c r="R396" s="2" t="inlineStr"/>
    </row>
    <row r="397" ht="15" customHeight="1">
      <c r="A397" t="inlineStr">
        <is>
          <t>A 40918-2025</t>
        </is>
      </c>
      <c r="B397" s="1" t="n">
        <v>45897.6292824074</v>
      </c>
      <c r="C397" s="1" t="n">
        <v>46063</v>
      </c>
      <c r="D397" t="inlineStr">
        <is>
          <t>JÄMTLANDS LÄN</t>
        </is>
      </c>
      <c r="E397" t="inlineStr">
        <is>
          <t>BERG</t>
        </is>
      </c>
      <c r="G397" t="n">
        <v>1.7</v>
      </c>
      <c r="H397" t="n">
        <v>0</v>
      </c>
      <c r="I397" t="n">
        <v>0</v>
      </c>
      <c r="J397" t="n">
        <v>0</v>
      </c>
      <c r="K397" t="n">
        <v>0</v>
      </c>
      <c r="L397" t="n">
        <v>0</v>
      </c>
      <c r="M397" t="n">
        <v>0</v>
      </c>
      <c r="N397" t="n">
        <v>0</v>
      </c>
      <c r="O397" t="n">
        <v>0</v>
      </c>
      <c r="P397" t="n">
        <v>0</v>
      </c>
      <c r="Q397" t="n">
        <v>0</v>
      </c>
      <c r="R397" s="2" t="inlineStr"/>
    </row>
    <row r="398" ht="15" customHeight="1">
      <c r="A398" t="inlineStr">
        <is>
          <t>A 40708-2025</t>
        </is>
      </c>
      <c r="B398" s="1" t="n">
        <v>45897</v>
      </c>
      <c r="C398" s="1" t="n">
        <v>46063</v>
      </c>
      <c r="D398" t="inlineStr">
        <is>
          <t>JÄMTLANDS LÄN</t>
        </is>
      </c>
      <c r="E398" t="inlineStr">
        <is>
          <t>BERG</t>
        </is>
      </c>
      <c r="G398" t="n">
        <v>6.6</v>
      </c>
      <c r="H398" t="n">
        <v>0</v>
      </c>
      <c r="I398" t="n">
        <v>0</v>
      </c>
      <c r="J398" t="n">
        <v>0</v>
      </c>
      <c r="K398" t="n">
        <v>0</v>
      </c>
      <c r="L398" t="n">
        <v>0</v>
      </c>
      <c r="M398" t="n">
        <v>0</v>
      </c>
      <c r="N398" t="n">
        <v>0</v>
      </c>
      <c r="O398" t="n">
        <v>0</v>
      </c>
      <c r="P398" t="n">
        <v>0</v>
      </c>
      <c r="Q398" t="n">
        <v>0</v>
      </c>
      <c r="R398" s="2" t="inlineStr"/>
    </row>
    <row r="399" ht="15" customHeight="1">
      <c r="A399" t="inlineStr">
        <is>
          <t>A 40873-2025</t>
        </is>
      </c>
      <c r="B399" s="1" t="n">
        <v>45897.5744675926</v>
      </c>
      <c r="C399" s="1" t="n">
        <v>46063</v>
      </c>
      <c r="D399" t="inlineStr">
        <is>
          <t>JÄMTLANDS LÄN</t>
        </is>
      </c>
      <c r="E399" t="inlineStr">
        <is>
          <t>BERG</t>
        </is>
      </c>
      <c r="G399" t="n">
        <v>0.6</v>
      </c>
      <c r="H399" t="n">
        <v>0</v>
      </c>
      <c r="I399" t="n">
        <v>0</v>
      </c>
      <c r="J399" t="n">
        <v>0</v>
      </c>
      <c r="K399" t="n">
        <v>0</v>
      </c>
      <c r="L399" t="n">
        <v>0</v>
      </c>
      <c r="M399" t="n">
        <v>0</v>
      </c>
      <c r="N399" t="n">
        <v>0</v>
      </c>
      <c r="O399" t="n">
        <v>0</v>
      </c>
      <c r="P399" t="n">
        <v>0</v>
      </c>
      <c r="Q399" t="n">
        <v>0</v>
      </c>
      <c r="R399" s="2" t="inlineStr"/>
    </row>
    <row r="400" ht="15" customHeight="1">
      <c r="A400" t="inlineStr">
        <is>
          <t>A 41265-2025</t>
        </is>
      </c>
      <c r="B400" s="1" t="n">
        <v>45898.6153587963</v>
      </c>
      <c r="C400" s="1" t="n">
        <v>46063</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41263-2025</t>
        </is>
      </c>
      <c r="B401" s="1" t="n">
        <v>45898.61517361111</v>
      </c>
      <c r="C401" s="1" t="n">
        <v>46063</v>
      </c>
      <c r="D401" t="inlineStr">
        <is>
          <t>JÄMTLANDS LÄN</t>
        </is>
      </c>
      <c r="E401" t="inlineStr">
        <is>
          <t>BERG</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40737-2025</t>
        </is>
      </c>
      <c r="B402" s="1" t="n">
        <v>45897.36572916667</v>
      </c>
      <c r="C402" s="1" t="n">
        <v>46063</v>
      </c>
      <c r="D402" t="inlineStr">
        <is>
          <t>JÄMTLANDS LÄN</t>
        </is>
      </c>
      <c r="E402" t="inlineStr">
        <is>
          <t>BERG</t>
        </is>
      </c>
      <c r="G402" t="n">
        <v>2.8</v>
      </c>
      <c r="H402" t="n">
        <v>0</v>
      </c>
      <c r="I402" t="n">
        <v>0</v>
      </c>
      <c r="J402" t="n">
        <v>0</v>
      </c>
      <c r="K402" t="n">
        <v>0</v>
      </c>
      <c r="L402" t="n">
        <v>0</v>
      </c>
      <c r="M402" t="n">
        <v>0</v>
      </c>
      <c r="N402" t="n">
        <v>0</v>
      </c>
      <c r="O402" t="n">
        <v>0</v>
      </c>
      <c r="P402" t="n">
        <v>0</v>
      </c>
      <c r="Q402" t="n">
        <v>0</v>
      </c>
      <c r="R402" s="2" t="inlineStr"/>
    </row>
    <row r="403" ht="15" customHeight="1">
      <c r="A403" t="inlineStr">
        <is>
          <t>A 51172-2024</t>
        </is>
      </c>
      <c r="B403" s="1" t="n">
        <v>45603.59056712963</v>
      </c>
      <c r="C403" s="1" t="n">
        <v>46063</v>
      </c>
      <c r="D403" t="inlineStr">
        <is>
          <t>JÄMTLANDS LÄN</t>
        </is>
      </c>
      <c r="E403" t="inlineStr">
        <is>
          <t>BERG</t>
        </is>
      </c>
      <c r="G403" t="n">
        <v>12.2</v>
      </c>
      <c r="H403" t="n">
        <v>0</v>
      </c>
      <c r="I403" t="n">
        <v>0</v>
      </c>
      <c r="J403" t="n">
        <v>0</v>
      </c>
      <c r="K403" t="n">
        <v>0</v>
      </c>
      <c r="L403" t="n">
        <v>0</v>
      </c>
      <c r="M403" t="n">
        <v>0</v>
      </c>
      <c r="N403" t="n">
        <v>0</v>
      </c>
      <c r="O403" t="n">
        <v>0</v>
      </c>
      <c r="P403" t="n">
        <v>0</v>
      </c>
      <c r="Q403" t="n">
        <v>0</v>
      </c>
      <c r="R403" s="2" t="inlineStr"/>
    </row>
    <row r="404" ht="15" customHeight="1">
      <c r="A404" t="inlineStr">
        <is>
          <t>A 9077-2023</t>
        </is>
      </c>
      <c r="B404" s="1" t="n">
        <v>44979</v>
      </c>
      <c r="C404" s="1" t="n">
        <v>46063</v>
      </c>
      <c r="D404" t="inlineStr">
        <is>
          <t>JÄMTLANDS LÄN</t>
        </is>
      </c>
      <c r="E404" t="inlineStr">
        <is>
          <t>BERG</t>
        </is>
      </c>
      <c r="G404" t="n">
        <v>3.6</v>
      </c>
      <c r="H404" t="n">
        <v>0</v>
      </c>
      <c r="I404" t="n">
        <v>0</v>
      </c>
      <c r="J404" t="n">
        <v>0</v>
      </c>
      <c r="K404" t="n">
        <v>0</v>
      </c>
      <c r="L404" t="n">
        <v>0</v>
      </c>
      <c r="M404" t="n">
        <v>0</v>
      </c>
      <c r="N404" t="n">
        <v>0</v>
      </c>
      <c r="O404" t="n">
        <v>0</v>
      </c>
      <c r="P404" t="n">
        <v>0</v>
      </c>
      <c r="Q404" t="n">
        <v>0</v>
      </c>
      <c r="R404" s="2" t="inlineStr"/>
    </row>
    <row r="405" ht="15" customHeight="1">
      <c r="A405" t="inlineStr">
        <is>
          <t>A 60028-2022</t>
        </is>
      </c>
      <c r="B405" s="1" t="n">
        <v>44902</v>
      </c>
      <c r="C405" s="1" t="n">
        <v>46063</v>
      </c>
      <c r="D405" t="inlineStr">
        <is>
          <t>JÄMTLANDS LÄN</t>
        </is>
      </c>
      <c r="E405" t="inlineStr">
        <is>
          <t>BERG</t>
        </is>
      </c>
      <c r="G405" t="n">
        <v>20</v>
      </c>
      <c r="H405" t="n">
        <v>0</v>
      </c>
      <c r="I405" t="n">
        <v>0</v>
      </c>
      <c r="J405" t="n">
        <v>0</v>
      </c>
      <c r="K405" t="n">
        <v>0</v>
      </c>
      <c r="L405" t="n">
        <v>0</v>
      </c>
      <c r="M405" t="n">
        <v>0</v>
      </c>
      <c r="N405" t="n">
        <v>0</v>
      </c>
      <c r="O405" t="n">
        <v>0</v>
      </c>
      <c r="P405" t="n">
        <v>0</v>
      </c>
      <c r="Q405" t="n">
        <v>0</v>
      </c>
      <c r="R405" s="2" t="inlineStr"/>
    </row>
    <row r="406" ht="15" customHeight="1">
      <c r="A406" t="inlineStr">
        <is>
          <t>A 34892-2025</t>
        </is>
      </c>
      <c r="B406" s="1" t="n">
        <v>45849.49047453704</v>
      </c>
      <c r="C406" s="1" t="n">
        <v>46063</v>
      </c>
      <c r="D406" t="inlineStr">
        <is>
          <t>JÄMTLANDS LÄN</t>
        </is>
      </c>
      <c r="E406" t="inlineStr">
        <is>
          <t>BERG</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12342-2023</t>
        </is>
      </c>
      <c r="B407" s="1" t="n">
        <v>44998</v>
      </c>
      <c r="C407" s="1" t="n">
        <v>46063</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46298-2024</t>
        </is>
      </c>
      <c r="B408" s="1" t="n">
        <v>45581.67739583334</v>
      </c>
      <c r="C408" s="1" t="n">
        <v>46063</v>
      </c>
      <c r="D408" t="inlineStr">
        <is>
          <t>JÄMTLANDS LÄN</t>
        </is>
      </c>
      <c r="E408" t="inlineStr">
        <is>
          <t>BERG</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35183-2025</t>
        </is>
      </c>
      <c r="B409" s="1" t="n">
        <v>45853.29931712963</v>
      </c>
      <c r="C409" s="1" t="n">
        <v>46063</v>
      </c>
      <c r="D409" t="inlineStr">
        <is>
          <t>JÄMTLANDS LÄN</t>
        </is>
      </c>
      <c r="E409" t="inlineStr">
        <is>
          <t>BERG</t>
        </is>
      </c>
      <c r="G409" t="n">
        <v>2.8</v>
      </c>
      <c r="H409" t="n">
        <v>0</v>
      </c>
      <c r="I409" t="n">
        <v>0</v>
      </c>
      <c r="J409" t="n">
        <v>0</v>
      </c>
      <c r="K409" t="n">
        <v>0</v>
      </c>
      <c r="L409" t="n">
        <v>0</v>
      </c>
      <c r="M409" t="n">
        <v>0</v>
      </c>
      <c r="N409" t="n">
        <v>0</v>
      </c>
      <c r="O409" t="n">
        <v>0</v>
      </c>
      <c r="P409" t="n">
        <v>0</v>
      </c>
      <c r="Q409" t="n">
        <v>0</v>
      </c>
      <c r="R409" s="2" t="inlineStr"/>
    </row>
    <row r="410" ht="15" customHeight="1">
      <c r="A410" t="inlineStr">
        <is>
          <t>A 35363-2025</t>
        </is>
      </c>
      <c r="B410" s="1" t="n">
        <v>45854.67538194444</v>
      </c>
      <c r="C410" s="1" t="n">
        <v>46063</v>
      </c>
      <c r="D410" t="inlineStr">
        <is>
          <t>JÄMTLANDS LÄN</t>
        </is>
      </c>
      <c r="E410" t="inlineStr">
        <is>
          <t>BERG</t>
        </is>
      </c>
      <c r="G410" t="n">
        <v>9.5</v>
      </c>
      <c r="H410" t="n">
        <v>0</v>
      </c>
      <c r="I410" t="n">
        <v>0</v>
      </c>
      <c r="J410" t="n">
        <v>0</v>
      </c>
      <c r="K410" t="n">
        <v>0</v>
      </c>
      <c r="L410" t="n">
        <v>0</v>
      </c>
      <c r="M410" t="n">
        <v>0</v>
      </c>
      <c r="N410" t="n">
        <v>0</v>
      </c>
      <c r="O410" t="n">
        <v>0</v>
      </c>
      <c r="P410" t="n">
        <v>0</v>
      </c>
      <c r="Q410" t="n">
        <v>0</v>
      </c>
      <c r="R410" s="2" t="inlineStr"/>
    </row>
    <row r="411" ht="15" customHeight="1">
      <c r="A411" t="inlineStr">
        <is>
          <t>A 12774-2023</t>
        </is>
      </c>
      <c r="B411" s="1" t="n">
        <v>45001</v>
      </c>
      <c r="C411" s="1" t="n">
        <v>46063</v>
      </c>
      <c r="D411" t="inlineStr">
        <is>
          <t>JÄMTLANDS LÄN</t>
        </is>
      </c>
      <c r="E411" t="inlineStr">
        <is>
          <t>BERG</t>
        </is>
      </c>
      <c r="G411" t="n">
        <v>0.7</v>
      </c>
      <c r="H411" t="n">
        <v>0</v>
      </c>
      <c r="I411" t="n">
        <v>0</v>
      </c>
      <c r="J411" t="n">
        <v>0</v>
      </c>
      <c r="K411" t="n">
        <v>0</v>
      </c>
      <c r="L411" t="n">
        <v>0</v>
      </c>
      <c r="M411" t="n">
        <v>0</v>
      </c>
      <c r="N411" t="n">
        <v>0</v>
      </c>
      <c r="O411" t="n">
        <v>0</v>
      </c>
      <c r="P411" t="n">
        <v>0</v>
      </c>
      <c r="Q411" t="n">
        <v>0</v>
      </c>
      <c r="R411" s="2" t="inlineStr"/>
    </row>
    <row r="412" ht="15" customHeight="1">
      <c r="A412" t="inlineStr">
        <is>
          <t>A 35213-2025</t>
        </is>
      </c>
      <c r="B412" s="1" t="n">
        <v>45853.46494212963</v>
      </c>
      <c r="C412" s="1" t="n">
        <v>46063</v>
      </c>
      <c r="D412" t="inlineStr">
        <is>
          <t>JÄMTLANDS LÄN</t>
        </is>
      </c>
      <c r="E412" t="inlineStr">
        <is>
          <t>BERG</t>
        </is>
      </c>
      <c r="G412" t="n">
        <v>0.6</v>
      </c>
      <c r="H412" t="n">
        <v>0</v>
      </c>
      <c r="I412" t="n">
        <v>0</v>
      </c>
      <c r="J412" t="n">
        <v>0</v>
      </c>
      <c r="K412" t="n">
        <v>0</v>
      </c>
      <c r="L412" t="n">
        <v>0</v>
      </c>
      <c r="M412" t="n">
        <v>0</v>
      </c>
      <c r="N412" t="n">
        <v>0</v>
      </c>
      <c r="O412" t="n">
        <v>0</v>
      </c>
      <c r="P412" t="n">
        <v>0</v>
      </c>
      <c r="Q412" t="n">
        <v>0</v>
      </c>
      <c r="R412" s="2" t="inlineStr"/>
    </row>
    <row r="413" ht="15" customHeight="1">
      <c r="A413" t="inlineStr">
        <is>
          <t>A 35184-2025</t>
        </is>
      </c>
      <c r="B413" s="1" t="n">
        <v>45853.30270833334</v>
      </c>
      <c r="C413" s="1" t="n">
        <v>46063</v>
      </c>
      <c r="D413" t="inlineStr">
        <is>
          <t>JÄMTLANDS LÄN</t>
        </is>
      </c>
      <c r="E413" t="inlineStr">
        <is>
          <t>BERG</t>
        </is>
      </c>
      <c r="G413" t="n">
        <v>1.4</v>
      </c>
      <c r="H413" t="n">
        <v>0</v>
      </c>
      <c r="I413" t="n">
        <v>0</v>
      </c>
      <c r="J413" t="n">
        <v>0</v>
      </c>
      <c r="K413" t="n">
        <v>0</v>
      </c>
      <c r="L413" t="n">
        <v>0</v>
      </c>
      <c r="M413" t="n">
        <v>0</v>
      </c>
      <c r="N413" t="n">
        <v>0</v>
      </c>
      <c r="O413" t="n">
        <v>0</v>
      </c>
      <c r="P413" t="n">
        <v>0</v>
      </c>
      <c r="Q413" t="n">
        <v>0</v>
      </c>
      <c r="R413" s="2" t="inlineStr"/>
    </row>
    <row r="414" ht="15" customHeight="1">
      <c r="A414" t="inlineStr">
        <is>
          <t>A 35360-2025</t>
        </is>
      </c>
      <c r="B414" s="1" t="n">
        <v>45854.66877314815</v>
      </c>
      <c r="C414" s="1" t="n">
        <v>46063</v>
      </c>
      <c r="D414" t="inlineStr">
        <is>
          <t>JÄMTLANDS LÄN</t>
        </is>
      </c>
      <c r="E414" t="inlineStr">
        <is>
          <t>BERG</t>
        </is>
      </c>
      <c r="G414" t="n">
        <v>3.7</v>
      </c>
      <c r="H414" t="n">
        <v>0</v>
      </c>
      <c r="I414" t="n">
        <v>0</v>
      </c>
      <c r="J414" t="n">
        <v>0</v>
      </c>
      <c r="K414" t="n">
        <v>0</v>
      </c>
      <c r="L414" t="n">
        <v>0</v>
      </c>
      <c r="M414" t="n">
        <v>0</v>
      </c>
      <c r="N414" t="n">
        <v>0</v>
      </c>
      <c r="O414" t="n">
        <v>0</v>
      </c>
      <c r="P414" t="n">
        <v>0</v>
      </c>
      <c r="Q414" t="n">
        <v>0</v>
      </c>
      <c r="R414" s="2" t="inlineStr"/>
    </row>
    <row r="415" ht="15" customHeight="1">
      <c r="A415" t="inlineStr">
        <is>
          <t>A 41930-2025</t>
        </is>
      </c>
      <c r="B415" s="1" t="n">
        <v>45903.43454861111</v>
      </c>
      <c r="C415" s="1" t="n">
        <v>46063</v>
      </c>
      <c r="D415" t="inlineStr">
        <is>
          <t>JÄMTLANDS LÄN</t>
        </is>
      </c>
      <c r="E415" t="inlineStr">
        <is>
          <t>BERG</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35576-2025</t>
        </is>
      </c>
      <c r="B416" s="1" t="n">
        <v>45856.63608796296</v>
      </c>
      <c r="C416" s="1" t="n">
        <v>46063</v>
      </c>
      <c r="D416" t="inlineStr">
        <is>
          <t>JÄMTLANDS LÄN</t>
        </is>
      </c>
      <c r="E416" t="inlineStr">
        <is>
          <t>BERG</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47289-2023</t>
        </is>
      </c>
      <c r="B417" s="1" t="n">
        <v>45202.46581018518</v>
      </c>
      <c r="C417" s="1" t="n">
        <v>46063</v>
      </c>
      <c r="D417" t="inlineStr">
        <is>
          <t>JÄMTLANDS LÄN</t>
        </is>
      </c>
      <c r="E417" t="inlineStr">
        <is>
          <t>BERG</t>
        </is>
      </c>
      <c r="G417" t="n">
        <v>1.8</v>
      </c>
      <c r="H417" t="n">
        <v>0</v>
      </c>
      <c r="I417" t="n">
        <v>0</v>
      </c>
      <c r="J417" t="n">
        <v>0</v>
      </c>
      <c r="K417" t="n">
        <v>0</v>
      </c>
      <c r="L417" t="n">
        <v>0</v>
      </c>
      <c r="M417" t="n">
        <v>0</v>
      </c>
      <c r="N417" t="n">
        <v>0</v>
      </c>
      <c r="O417" t="n">
        <v>0</v>
      </c>
      <c r="P417" t="n">
        <v>0</v>
      </c>
      <c r="Q417" t="n">
        <v>0</v>
      </c>
      <c r="R417" s="2" t="inlineStr"/>
    </row>
    <row r="418" ht="15" customHeight="1">
      <c r="A418" t="inlineStr">
        <is>
          <t>A 42003-2025</t>
        </is>
      </c>
      <c r="B418" s="1" t="n">
        <v>45903.55403935185</v>
      </c>
      <c r="C418" s="1" t="n">
        <v>46063</v>
      </c>
      <c r="D418" t="inlineStr">
        <is>
          <t>JÄMTLANDS LÄN</t>
        </is>
      </c>
      <c r="E418" t="inlineStr">
        <is>
          <t>BERG</t>
        </is>
      </c>
      <c r="F418" t="inlineStr">
        <is>
          <t>Övriga statliga verk och myndigheter</t>
        </is>
      </c>
      <c r="G418" t="n">
        <v>10.5</v>
      </c>
      <c r="H418" t="n">
        <v>0</v>
      </c>
      <c r="I418" t="n">
        <v>0</v>
      </c>
      <c r="J418" t="n">
        <v>0</v>
      </c>
      <c r="K418" t="n">
        <v>0</v>
      </c>
      <c r="L418" t="n">
        <v>0</v>
      </c>
      <c r="M418" t="n">
        <v>0</v>
      </c>
      <c r="N418" t="n">
        <v>0</v>
      </c>
      <c r="O418" t="n">
        <v>0</v>
      </c>
      <c r="P418" t="n">
        <v>0</v>
      </c>
      <c r="Q418" t="n">
        <v>0</v>
      </c>
      <c r="R418" s="2" t="inlineStr"/>
    </row>
    <row r="419" ht="15" customHeight="1">
      <c r="A419" t="inlineStr">
        <is>
          <t>A 41997-2025</t>
        </is>
      </c>
      <c r="B419" s="1" t="n">
        <v>45903.55162037037</v>
      </c>
      <c r="C419" s="1" t="n">
        <v>46063</v>
      </c>
      <c r="D419" t="inlineStr">
        <is>
          <t>JÄMTLANDS LÄN</t>
        </is>
      </c>
      <c r="E419" t="inlineStr">
        <is>
          <t>BERG</t>
        </is>
      </c>
      <c r="F419" t="inlineStr">
        <is>
          <t>Övriga statliga verk och myndigheter</t>
        </is>
      </c>
      <c r="G419" t="n">
        <v>2.2</v>
      </c>
      <c r="H419" t="n">
        <v>0</v>
      </c>
      <c r="I419" t="n">
        <v>0</v>
      </c>
      <c r="J419" t="n">
        <v>0</v>
      </c>
      <c r="K419" t="n">
        <v>0</v>
      </c>
      <c r="L419" t="n">
        <v>0</v>
      </c>
      <c r="M419" t="n">
        <v>0</v>
      </c>
      <c r="N419" t="n">
        <v>0</v>
      </c>
      <c r="O419" t="n">
        <v>0</v>
      </c>
      <c r="P419" t="n">
        <v>0</v>
      </c>
      <c r="Q419" t="n">
        <v>0</v>
      </c>
      <c r="R419" s="2" t="inlineStr"/>
    </row>
    <row r="420" ht="15" customHeight="1">
      <c r="A420" t="inlineStr">
        <is>
          <t>A 35691-2025</t>
        </is>
      </c>
      <c r="B420" s="1" t="n">
        <v>45860.344375</v>
      </c>
      <c r="C420" s="1" t="n">
        <v>46063</v>
      </c>
      <c r="D420" t="inlineStr">
        <is>
          <t>JÄMTLANDS LÄN</t>
        </is>
      </c>
      <c r="E420" t="inlineStr">
        <is>
          <t>BERG</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35681-2025</t>
        </is>
      </c>
      <c r="B421" s="1" t="n">
        <v>45859.77703703703</v>
      </c>
      <c r="C421" s="1" t="n">
        <v>46063</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35684-2025</t>
        </is>
      </c>
      <c r="B422" s="1" t="n">
        <v>45859.88079861111</v>
      </c>
      <c r="C422" s="1" t="n">
        <v>46063</v>
      </c>
      <c r="D422" t="inlineStr">
        <is>
          <t>JÄMTLANDS LÄN</t>
        </is>
      </c>
      <c r="E422" t="inlineStr">
        <is>
          <t>BERG</t>
        </is>
      </c>
      <c r="G422" t="n">
        <v>6.1</v>
      </c>
      <c r="H422" t="n">
        <v>0</v>
      </c>
      <c r="I422" t="n">
        <v>0</v>
      </c>
      <c r="J422" t="n">
        <v>0</v>
      </c>
      <c r="K422" t="n">
        <v>0</v>
      </c>
      <c r="L422" t="n">
        <v>0</v>
      </c>
      <c r="M422" t="n">
        <v>0</v>
      </c>
      <c r="N422" t="n">
        <v>0</v>
      </c>
      <c r="O422" t="n">
        <v>0</v>
      </c>
      <c r="P422" t="n">
        <v>0</v>
      </c>
      <c r="Q422" t="n">
        <v>0</v>
      </c>
      <c r="R422" s="2" t="inlineStr"/>
    </row>
    <row r="423" ht="15" customHeight="1">
      <c r="A423" t="inlineStr">
        <is>
          <t>A 8711-2024</t>
        </is>
      </c>
      <c r="B423" s="1" t="n">
        <v>45356</v>
      </c>
      <c r="C423" s="1" t="n">
        <v>46063</v>
      </c>
      <c r="D423" t="inlineStr">
        <is>
          <t>JÄMTLANDS LÄN</t>
        </is>
      </c>
      <c r="E423" t="inlineStr">
        <is>
          <t>BERG</t>
        </is>
      </c>
      <c r="G423" t="n">
        <v>5.2</v>
      </c>
      <c r="H423" t="n">
        <v>0</v>
      </c>
      <c r="I423" t="n">
        <v>0</v>
      </c>
      <c r="J423" t="n">
        <v>0</v>
      </c>
      <c r="K423" t="n">
        <v>0</v>
      </c>
      <c r="L423" t="n">
        <v>0</v>
      </c>
      <c r="M423" t="n">
        <v>0</v>
      </c>
      <c r="N423" t="n">
        <v>0</v>
      </c>
      <c r="O423" t="n">
        <v>0</v>
      </c>
      <c r="P423" t="n">
        <v>0</v>
      </c>
      <c r="Q423" t="n">
        <v>0</v>
      </c>
      <c r="R423" s="2" t="inlineStr"/>
    </row>
    <row r="424" ht="15" customHeight="1">
      <c r="A424" t="inlineStr">
        <is>
          <t>A 42415-2025</t>
        </is>
      </c>
      <c r="B424" s="1" t="n">
        <v>45905.39195601852</v>
      </c>
      <c r="C424" s="1" t="n">
        <v>46063</v>
      </c>
      <c r="D424" t="inlineStr">
        <is>
          <t>JÄMTLANDS LÄN</t>
        </is>
      </c>
      <c r="E424" t="inlineStr">
        <is>
          <t>BERG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15624-2023</t>
        </is>
      </c>
      <c r="B425" s="1" t="n">
        <v>45020.94496527778</v>
      </c>
      <c r="C425" s="1" t="n">
        <v>46063</v>
      </c>
      <c r="D425" t="inlineStr">
        <is>
          <t>JÄMTLANDS LÄN</t>
        </is>
      </c>
      <c r="E425" t="inlineStr">
        <is>
          <t>BERG</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35636-2023</t>
        </is>
      </c>
      <c r="B426" s="1" t="n">
        <v>45147</v>
      </c>
      <c r="C426" s="1" t="n">
        <v>46063</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31024-2025</t>
        </is>
      </c>
      <c r="B427" s="1" t="n">
        <v>45832.52571759259</v>
      </c>
      <c r="C427" s="1" t="n">
        <v>46063</v>
      </c>
      <c r="D427" t="inlineStr">
        <is>
          <t>JÄMTLANDS LÄN</t>
        </is>
      </c>
      <c r="E427" t="inlineStr">
        <is>
          <t>BERG</t>
        </is>
      </c>
      <c r="G427" t="n">
        <v>3.6</v>
      </c>
      <c r="H427" t="n">
        <v>0</v>
      </c>
      <c r="I427" t="n">
        <v>0</v>
      </c>
      <c r="J427" t="n">
        <v>0</v>
      </c>
      <c r="K427" t="n">
        <v>0</v>
      </c>
      <c r="L427" t="n">
        <v>0</v>
      </c>
      <c r="M427" t="n">
        <v>0</v>
      </c>
      <c r="N427" t="n">
        <v>0</v>
      </c>
      <c r="O427" t="n">
        <v>0</v>
      </c>
      <c r="P427" t="n">
        <v>0</v>
      </c>
      <c r="Q427" t="n">
        <v>0</v>
      </c>
      <c r="R427" s="2" t="inlineStr"/>
    </row>
    <row r="428" ht="15" customHeight="1">
      <c r="A428" t="inlineStr">
        <is>
          <t>A 35683-2025</t>
        </is>
      </c>
      <c r="B428" s="1" t="n">
        <v>45859</v>
      </c>
      <c r="C428" s="1" t="n">
        <v>46063</v>
      </c>
      <c r="D428" t="inlineStr">
        <is>
          <t>JÄMTLANDS LÄN</t>
        </is>
      </c>
      <c r="E428" t="inlineStr">
        <is>
          <t>BERG</t>
        </is>
      </c>
      <c r="G428" t="n">
        <v>3.4</v>
      </c>
      <c r="H428" t="n">
        <v>0</v>
      </c>
      <c r="I428" t="n">
        <v>0</v>
      </c>
      <c r="J428" t="n">
        <v>0</v>
      </c>
      <c r="K428" t="n">
        <v>0</v>
      </c>
      <c r="L428" t="n">
        <v>0</v>
      </c>
      <c r="M428" t="n">
        <v>0</v>
      </c>
      <c r="N428" t="n">
        <v>0</v>
      </c>
      <c r="O428" t="n">
        <v>0</v>
      </c>
      <c r="P428" t="n">
        <v>0</v>
      </c>
      <c r="Q428" t="n">
        <v>0</v>
      </c>
      <c r="R428" s="2" t="inlineStr"/>
    </row>
    <row r="429" ht="15" customHeight="1">
      <c r="A429" t="inlineStr">
        <is>
          <t>A 461-2023</t>
        </is>
      </c>
      <c r="B429" s="1" t="n">
        <v>44929</v>
      </c>
      <c r="C429" s="1" t="n">
        <v>46063</v>
      </c>
      <c r="D429" t="inlineStr">
        <is>
          <t>JÄMTLANDS LÄN</t>
        </is>
      </c>
      <c r="E429" t="inlineStr">
        <is>
          <t>BERG</t>
        </is>
      </c>
      <c r="G429" t="n">
        <v>5.8</v>
      </c>
      <c r="H429" t="n">
        <v>0</v>
      </c>
      <c r="I429" t="n">
        <v>0</v>
      </c>
      <c r="J429" t="n">
        <v>0</v>
      </c>
      <c r="K429" t="n">
        <v>0</v>
      </c>
      <c r="L429" t="n">
        <v>0</v>
      </c>
      <c r="M429" t="n">
        <v>0</v>
      </c>
      <c r="N429" t="n">
        <v>0</v>
      </c>
      <c r="O429" t="n">
        <v>0</v>
      </c>
      <c r="P429" t="n">
        <v>0</v>
      </c>
      <c r="Q429" t="n">
        <v>0</v>
      </c>
      <c r="R429" s="2" t="inlineStr"/>
    </row>
    <row r="430" ht="15" customHeight="1">
      <c r="A430" t="inlineStr">
        <is>
          <t>A 42378-2025</t>
        </is>
      </c>
      <c r="B430" s="1" t="n">
        <v>45905.34423611111</v>
      </c>
      <c r="C430" s="1" t="n">
        <v>46063</v>
      </c>
      <c r="D430" t="inlineStr">
        <is>
          <t>JÄMTLANDS LÄN</t>
        </is>
      </c>
      <c r="E430" t="inlineStr">
        <is>
          <t>BERG</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42439-2025</t>
        </is>
      </c>
      <c r="B431" s="1" t="n">
        <v>45905.42969907408</v>
      </c>
      <c r="C431" s="1" t="n">
        <v>46063</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42862-2025</t>
        </is>
      </c>
      <c r="B432" s="1" t="n">
        <v>45908.61515046296</v>
      </c>
      <c r="C432" s="1" t="n">
        <v>46063</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27395-2021</t>
        </is>
      </c>
      <c r="B433" s="1" t="n">
        <v>44350</v>
      </c>
      <c r="C433" s="1" t="n">
        <v>46063</v>
      </c>
      <c r="D433" t="inlineStr">
        <is>
          <t>JÄMTLANDS LÄN</t>
        </is>
      </c>
      <c r="E433" t="inlineStr">
        <is>
          <t>BERG</t>
        </is>
      </c>
      <c r="G433" t="n">
        <v>4.4</v>
      </c>
      <c r="H433" t="n">
        <v>0</v>
      </c>
      <c r="I433" t="n">
        <v>0</v>
      </c>
      <c r="J433" t="n">
        <v>0</v>
      </c>
      <c r="K433" t="n">
        <v>0</v>
      </c>
      <c r="L433" t="n">
        <v>0</v>
      </c>
      <c r="M433" t="n">
        <v>0</v>
      </c>
      <c r="N433" t="n">
        <v>0</v>
      </c>
      <c r="O433" t="n">
        <v>0</v>
      </c>
      <c r="P433" t="n">
        <v>0</v>
      </c>
      <c r="Q433" t="n">
        <v>0</v>
      </c>
      <c r="R433" s="2" t="inlineStr"/>
    </row>
    <row r="434" ht="15" customHeight="1">
      <c r="A434" t="inlineStr">
        <is>
          <t>A 32248-2024</t>
        </is>
      </c>
      <c r="B434" s="1" t="n">
        <v>45511.95144675926</v>
      </c>
      <c r="C434" s="1" t="n">
        <v>46063</v>
      </c>
      <c r="D434" t="inlineStr">
        <is>
          <t>JÄMTLANDS LÄN</t>
        </is>
      </c>
      <c r="E434" t="inlineStr">
        <is>
          <t>BERG</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43137-2025</t>
        </is>
      </c>
      <c r="B435" s="1" t="n">
        <v>45909.85438657407</v>
      </c>
      <c r="C435" s="1" t="n">
        <v>46063</v>
      </c>
      <c r="D435" t="inlineStr">
        <is>
          <t>JÄMTLANDS LÄN</t>
        </is>
      </c>
      <c r="E435" t="inlineStr">
        <is>
          <t>BERG</t>
        </is>
      </c>
      <c r="F435" t="inlineStr">
        <is>
          <t>Övriga statliga verk och myndigheter</t>
        </is>
      </c>
      <c r="G435" t="n">
        <v>11.6</v>
      </c>
      <c r="H435" t="n">
        <v>0</v>
      </c>
      <c r="I435" t="n">
        <v>0</v>
      </c>
      <c r="J435" t="n">
        <v>0</v>
      </c>
      <c r="K435" t="n">
        <v>0</v>
      </c>
      <c r="L435" t="n">
        <v>0</v>
      </c>
      <c r="M435" t="n">
        <v>0</v>
      </c>
      <c r="N435" t="n">
        <v>0</v>
      </c>
      <c r="O435" t="n">
        <v>0</v>
      </c>
      <c r="P435" t="n">
        <v>0</v>
      </c>
      <c r="Q435" t="n">
        <v>0</v>
      </c>
      <c r="R435" s="2" t="inlineStr"/>
    </row>
    <row r="436" ht="15" customHeight="1">
      <c r="A436" t="inlineStr">
        <is>
          <t>A 36377-2025</t>
        </is>
      </c>
      <c r="B436" s="1" t="n">
        <v>45868.57342592593</v>
      </c>
      <c r="C436" s="1" t="n">
        <v>46063</v>
      </c>
      <c r="D436" t="inlineStr">
        <is>
          <t>JÄMTLANDS LÄN</t>
        </is>
      </c>
      <c r="E436" t="inlineStr">
        <is>
          <t>BERG</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8733-2025</t>
        </is>
      </c>
      <c r="B437" s="1" t="n">
        <v>45712.53197916667</v>
      </c>
      <c r="C437" s="1" t="n">
        <v>46063</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22030-2025</t>
        </is>
      </c>
      <c r="B438" s="1" t="n">
        <v>45785.25814814815</v>
      </c>
      <c r="C438" s="1" t="n">
        <v>46063</v>
      </c>
      <c r="D438" t="inlineStr">
        <is>
          <t>JÄMTLANDS LÄN</t>
        </is>
      </c>
      <c r="E438" t="inlineStr">
        <is>
          <t>BERG</t>
        </is>
      </c>
      <c r="G438" t="n">
        <v>5</v>
      </c>
      <c r="H438" t="n">
        <v>0</v>
      </c>
      <c r="I438" t="n">
        <v>0</v>
      </c>
      <c r="J438" t="n">
        <v>0</v>
      </c>
      <c r="K438" t="n">
        <v>0</v>
      </c>
      <c r="L438" t="n">
        <v>0</v>
      </c>
      <c r="M438" t="n">
        <v>0</v>
      </c>
      <c r="N438" t="n">
        <v>0</v>
      </c>
      <c r="O438" t="n">
        <v>0</v>
      </c>
      <c r="P438" t="n">
        <v>0</v>
      </c>
      <c r="Q438" t="n">
        <v>0</v>
      </c>
      <c r="R438" s="2" t="inlineStr"/>
    </row>
    <row r="439" ht="15" customHeight="1">
      <c r="A439" t="inlineStr">
        <is>
          <t>A 43015-2025</t>
        </is>
      </c>
      <c r="B439" s="1" t="n">
        <v>45909.49278935185</v>
      </c>
      <c r="C439" s="1" t="n">
        <v>46063</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43442-2025</t>
        </is>
      </c>
      <c r="B440" s="1" t="n">
        <v>45911.44244212963</v>
      </c>
      <c r="C440" s="1" t="n">
        <v>46063</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41264-2025</t>
        </is>
      </c>
      <c r="B441" s="1" t="n">
        <v>45898</v>
      </c>
      <c r="C441" s="1" t="n">
        <v>46063</v>
      </c>
      <c r="D441" t="inlineStr">
        <is>
          <t>JÄMTLANDS LÄN</t>
        </is>
      </c>
      <c r="E441" t="inlineStr">
        <is>
          <t>BERG</t>
        </is>
      </c>
      <c r="G441" t="n">
        <v>17.4</v>
      </c>
      <c r="H441" t="n">
        <v>0</v>
      </c>
      <c r="I441" t="n">
        <v>0</v>
      </c>
      <c r="J441" t="n">
        <v>0</v>
      </c>
      <c r="K441" t="n">
        <v>0</v>
      </c>
      <c r="L441" t="n">
        <v>0</v>
      </c>
      <c r="M441" t="n">
        <v>0</v>
      </c>
      <c r="N441" t="n">
        <v>0</v>
      </c>
      <c r="O441" t="n">
        <v>0</v>
      </c>
      <c r="P441" t="n">
        <v>0</v>
      </c>
      <c r="Q441" t="n">
        <v>0</v>
      </c>
      <c r="R441" s="2" t="inlineStr"/>
    </row>
    <row r="442" ht="15" customHeight="1">
      <c r="A442" t="inlineStr">
        <is>
          <t>A 43456-2025</t>
        </is>
      </c>
      <c r="B442" s="1" t="n">
        <v>45911.46148148148</v>
      </c>
      <c r="C442" s="1" t="n">
        <v>46063</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36896-2025</t>
        </is>
      </c>
      <c r="B443" s="1" t="n">
        <v>45874.4740625</v>
      </c>
      <c r="C443" s="1" t="n">
        <v>46063</v>
      </c>
      <c r="D443" t="inlineStr">
        <is>
          <t>JÄMTLANDS LÄN</t>
        </is>
      </c>
      <c r="E443" t="inlineStr">
        <is>
          <t>BERG</t>
        </is>
      </c>
      <c r="G443" t="n">
        <v>3.2</v>
      </c>
      <c r="H443" t="n">
        <v>0</v>
      </c>
      <c r="I443" t="n">
        <v>0</v>
      </c>
      <c r="J443" t="n">
        <v>0</v>
      </c>
      <c r="K443" t="n">
        <v>0</v>
      </c>
      <c r="L443" t="n">
        <v>0</v>
      </c>
      <c r="M443" t="n">
        <v>0</v>
      </c>
      <c r="N443" t="n">
        <v>0</v>
      </c>
      <c r="O443" t="n">
        <v>0</v>
      </c>
      <c r="P443" t="n">
        <v>0</v>
      </c>
      <c r="Q443" t="n">
        <v>0</v>
      </c>
      <c r="R443" s="2" t="inlineStr"/>
    </row>
    <row r="444" ht="15" customHeight="1">
      <c r="A444" t="inlineStr">
        <is>
          <t>A 23877-2024</t>
        </is>
      </c>
      <c r="B444" s="1" t="n">
        <v>45455.63024305556</v>
      </c>
      <c r="C444" s="1" t="n">
        <v>46063</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23880-2024</t>
        </is>
      </c>
      <c r="B445" s="1" t="n">
        <v>45455.63731481481</v>
      </c>
      <c r="C445" s="1" t="n">
        <v>46063</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43443-2025</t>
        </is>
      </c>
      <c r="B446" s="1" t="n">
        <v>45911.44350694444</v>
      </c>
      <c r="C446" s="1" t="n">
        <v>46063</v>
      </c>
      <c r="D446" t="inlineStr">
        <is>
          <t>JÄMTLANDS LÄN</t>
        </is>
      </c>
      <c r="E446" t="inlineStr">
        <is>
          <t>BERG</t>
        </is>
      </c>
      <c r="G446" t="n">
        <v>2.7</v>
      </c>
      <c r="H446" t="n">
        <v>0</v>
      </c>
      <c r="I446" t="n">
        <v>0</v>
      </c>
      <c r="J446" t="n">
        <v>0</v>
      </c>
      <c r="K446" t="n">
        <v>0</v>
      </c>
      <c r="L446" t="n">
        <v>0</v>
      </c>
      <c r="M446" t="n">
        <v>0</v>
      </c>
      <c r="N446" t="n">
        <v>0</v>
      </c>
      <c r="O446" t="n">
        <v>0</v>
      </c>
      <c r="P446" t="n">
        <v>0</v>
      </c>
      <c r="Q446" t="n">
        <v>0</v>
      </c>
      <c r="R446" s="2" t="inlineStr"/>
    </row>
    <row r="447" ht="15" customHeight="1">
      <c r="A447" t="inlineStr">
        <is>
          <t>A 43364-2025</t>
        </is>
      </c>
      <c r="B447" s="1" t="n">
        <v>45911.34483796296</v>
      </c>
      <c r="C447" s="1" t="n">
        <v>46063</v>
      </c>
      <c r="D447" t="inlineStr">
        <is>
          <t>JÄMTLANDS LÄN</t>
        </is>
      </c>
      <c r="E447" t="inlineStr">
        <is>
          <t>BERG</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43567-2025</t>
        </is>
      </c>
      <c r="B448" s="1" t="n">
        <v>45911.6327662037</v>
      </c>
      <c r="C448" s="1" t="n">
        <v>46063</v>
      </c>
      <c r="D448" t="inlineStr">
        <is>
          <t>JÄMTLANDS LÄN</t>
        </is>
      </c>
      <c r="E448" t="inlineStr">
        <is>
          <t>BERG</t>
        </is>
      </c>
      <c r="G448" t="n">
        <v>7.7</v>
      </c>
      <c r="H448" t="n">
        <v>0</v>
      </c>
      <c r="I448" t="n">
        <v>0</v>
      </c>
      <c r="J448" t="n">
        <v>0</v>
      </c>
      <c r="K448" t="n">
        <v>0</v>
      </c>
      <c r="L448" t="n">
        <v>0</v>
      </c>
      <c r="M448" t="n">
        <v>0</v>
      </c>
      <c r="N448" t="n">
        <v>0</v>
      </c>
      <c r="O448" t="n">
        <v>0</v>
      </c>
      <c r="P448" t="n">
        <v>0</v>
      </c>
      <c r="Q448" t="n">
        <v>0</v>
      </c>
      <c r="R448" s="2" t="inlineStr"/>
    </row>
    <row r="449" ht="15" customHeight="1">
      <c r="A449" t="inlineStr">
        <is>
          <t>A 43560-2025</t>
        </is>
      </c>
      <c r="B449" s="1" t="n">
        <v>45911.62758101852</v>
      </c>
      <c r="C449" s="1" t="n">
        <v>46063</v>
      </c>
      <c r="D449" t="inlineStr">
        <is>
          <t>JÄMTLANDS LÄN</t>
        </is>
      </c>
      <c r="E449" t="inlineStr">
        <is>
          <t>BERG</t>
        </is>
      </c>
      <c r="G449" t="n">
        <v>10</v>
      </c>
      <c r="H449" t="n">
        <v>0</v>
      </c>
      <c r="I449" t="n">
        <v>0</v>
      </c>
      <c r="J449" t="n">
        <v>0</v>
      </c>
      <c r="K449" t="n">
        <v>0</v>
      </c>
      <c r="L449" t="n">
        <v>0</v>
      </c>
      <c r="M449" t="n">
        <v>0</v>
      </c>
      <c r="N449" t="n">
        <v>0</v>
      </c>
      <c r="O449" t="n">
        <v>0</v>
      </c>
      <c r="P449" t="n">
        <v>0</v>
      </c>
      <c r="Q449" t="n">
        <v>0</v>
      </c>
      <c r="R449" s="2" t="inlineStr"/>
    </row>
    <row r="450" ht="15" customHeight="1">
      <c r="A450" t="inlineStr">
        <is>
          <t>A 43441-2025</t>
        </is>
      </c>
      <c r="B450" s="1" t="n">
        <v>45911.44184027778</v>
      </c>
      <c r="C450" s="1" t="n">
        <v>46063</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36714-2025</t>
        </is>
      </c>
      <c r="B451" s="1" t="n">
        <v>45873.46881944445</v>
      </c>
      <c r="C451" s="1" t="n">
        <v>46063</v>
      </c>
      <c r="D451" t="inlineStr">
        <is>
          <t>JÄMTLANDS LÄN</t>
        </is>
      </c>
      <c r="E451" t="inlineStr">
        <is>
          <t>BERG</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43968-2025</t>
        </is>
      </c>
      <c r="B452" s="1" t="n">
        <v>45915</v>
      </c>
      <c r="C452" s="1" t="n">
        <v>46063</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44302-2025</t>
        </is>
      </c>
      <c r="B453" s="1" t="n">
        <v>45915</v>
      </c>
      <c r="C453" s="1" t="n">
        <v>46063</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44303-2025</t>
        </is>
      </c>
      <c r="B454" s="1" t="n">
        <v>45915</v>
      </c>
      <c r="C454" s="1" t="n">
        <v>46063</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44043-2025</t>
        </is>
      </c>
      <c r="B455" s="1" t="n">
        <v>45915.49266203704</v>
      </c>
      <c r="C455" s="1" t="n">
        <v>46063</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36668-2025</t>
        </is>
      </c>
      <c r="B456" s="1" t="n">
        <v>45873.38351851852</v>
      </c>
      <c r="C456" s="1" t="n">
        <v>46063</v>
      </c>
      <c r="D456" t="inlineStr">
        <is>
          <t>JÄMTLANDS LÄN</t>
        </is>
      </c>
      <c r="E456" t="inlineStr">
        <is>
          <t>BERG</t>
        </is>
      </c>
      <c r="G456" t="n">
        <v>6.7</v>
      </c>
      <c r="H456" t="n">
        <v>0</v>
      </c>
      <c r="I456" t="n">
        <v>0</v>
      </c>
      <c r="J456" t="n">
        <v>0</v>
      </c>
      <c r="K456" t="n">
        <v>0</v>
      </c>
      <c r="L456" t="n">
        <v>0</v>
      </c>
      <c r="M456" t="n">
        <v>0</v>
      </c>
      <c r="N456" t="n">
        <v>0</v>
      </c>
      <c r="O456" t="n">
        <v>0</v>
      </c>
      <c r="P456" t="n">
        <v>0</v>
      </c>
      <c r="Q456" t="n">
        <v>0</v>
      </c>
      <c r="R456" s="2" t="inlineStr"/>
    </row>
    <row r="457" ht="15" customHeight="1">
      <c r="A457" t="inlineStr">
        <is>
          <t>A 36718-2025</t>
        </is>
      </c>
      <c r="B457" s="1" t="n">
        <v>45873.47069444445</v>
      </c>
      <c r="C457" s="1" t="n">
        <v>46063</v>
      </c>
      <c r="D457" t="inlineStr">
        <is>
          <t>JÄMTLANDS LÄN</t>
        </is>
      </c>
      <c r="E457" t="inlineStr">
        <is>
          <t>BERG</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43982-2025</t>
        </is>
      </c>
      <c r="B458" s="1" t="n">
        <v>45915.42771990741</v>
      </c>
      <c r="C458" s="1" t="n">
        <v>46063</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44031-2025</t>
        </is>
      </c>
      <c r="B459" s="1" t="n">
        <v>45915.49019675926</v>
      </c>
      <c r="C459" s="1" t="n">
        <v>46063</v>
      </c>
      <c r="D459" t="inlineStr">
        <is>
          <t>JÄMTLANDS LÄN</t>
        </is>
      </c>
      <c r="E459" t="inlineStr">
        <is>
          <t>BERG</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37066-2025</t>
        </is>
      </c>
      <c r="B460" s="1" t="n">
        <v>45875.3862962963</v>
      </c>
      <c r="C460" s="1" t="n">
        <v>46063</v>
      </c>
      <c r="D460" t="inlineStr">
        <is>
          <t>JÄMTLANDS LÄN</t>
        </is>
      </c>
      <c r="E460" t="inlineStr">
        <is>
          <t>BERG</t>
        </is>
      </c>
      <c r="F460" t="inlineStr">
        <is>
          <t>SCA</t>
        </is>
      </c>
      <c r="G460" t="n">
        <v>9.6</v>
      </c>
      <c r="H460" t="n">
        <v>0</v>
      </c>
      <c r="I460" t="n">
        <v>0</v>
      </c>
      <c r="J460" t="n">
        <v>0</v>
      </c>
      <c r="K460" t="n">
        <v>0</v>
      </c>
      <c r="L460" t="n">
        <v>0</v>
      </c>
      <c r="M460" t="n">
        <v>0</v>
      </c>
      <c r="N460" t="n">
        <v>0</v>
      </c>
      <c r="O460" t="n">
        <v>0</v>
      </c>
      <c r="P460" t="n">
        <v>0</v>
      </c>
      <c r="Q460" t="n">
        <v>0</v>
      </c>
      <c r="R460" s="2" t="inlineStr"/>
    </row>
    <row r="461" ht="15" customHeight="1">
      <c r="A461" t="inlineStr">
        <is>
          <t>A 37201-2025</t>
        </is>
      </c>
      <c r="B461" s="1" t="n">
        <v>45875.67797453704</v>
      </c>
      <c r="C461" s="1" t="n">
        <v>46063</v>
      </c>
      <c r="D461" t="inlineStr">
        <is>
          <t>JÄMTLANDS LÄN</t>
        </is>
      </c>
      <c r="E461" t="inlineStr">
        <is>
          <t>BERG</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15785-2021</t>
        </is>
      </c>
      <c r="B462" s="1" t="n">
        <v>44286.58679398148</v>
      </c>
      <c r="C462" s="1" t="n">
        <v>46063</v>
      </c>
      <c r="D462" t="inlineStr">
        <is>
          <t>JÄMTLANDS LÄN</t>
        </is>
      </c>
      <c r="E462" t="inlineStr">
        <is>
          <t>BERG</t>
        </is>
      </c>
      <c r="G462" t="n">
        <v>3.2</v>
      </c>
      <c r="H462" t="n">
        <v>0</v>
      </c>
      <c r="I462" t="n">
        <v>0</v>
      </c>
      <c r="J462" t="n">
        <v>0</v>
      </c>
      <c r="K462" t="n">
        <v>0</v>
      </c>
      <c r="L462" t="n">
        <v>0</v>
      </c>
      <c r="M462" t="n">
        <v>0</v>
      </c>
      <c r="N462" t="n">
        <v>0</v>
      </c>
      <c r="O462" t="n">
        <v>0</v>
      </c>
      <c r="P462" t="n">
        <v>0</v>
      </c>
      <c r="Q462" t="n">
        <v>0</v>
      </c>
      <c r="R462" s="2" t="inlineStr"/>
    </row>
    <row r="463" ht="15" customHeight="1">
      <c r="A463" t="inlineStr">
        <is>
          <t>A 37062-2025</t>
        </is>
      </c>
      <c r="B463" s="1" t="n">
        <v>45875.38579861111</v>
      </c>
      <c r="C463" s="1" t="n">
        <v>46063</v>
      </c>
      <c r="D463" t="inlineStr">
        <is>
          <t>JÄMTLANDS LÄN</t>
        </is>
      </c>
      <c r="E463" t="inlineStr">
        <is>
          <t>BERG</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36341-2025</t>
        </is>
      </c>
      <c r="B464" s="1" t="n">
        <v>45868</v>
      </c>
      <c r="C464" s="1" t="n">
        <v>46063</v>
      </c>
      <c r="D464" t="inlineStr">
        <is>
          <t>JÄMTLANDS LÄN</t>
        </is>
      </c>
      <c r="E464" t="inlineStr">
        <is>
          <t>BERG</t>
        </is>
      </c>
      <c r="G464" t="n">
        <v>3.1</v>
      </c>
      <c r="H464" t="n">
        <v>0</v>
      </c>
      <c r="I464" t="n">
        <v>0</v>
      </c>
      <c r="J464" t="n">
        <v>0</v>
      </c>
      <c r="K464" t="n">
        <v>0</v>
      </c>
      <c r="L464" t="n">
        <v>0</v>
      </c>
      <c r="M464" t="n">
        <v>0</v>
      </c>
      <c r="N464" t="n">
        <v>0</v>
      </c>
      <c r="O464" t="n">
        <v>0</v>
      </c>
      <c r="P464" t="n">
        <v>0</v>
      </c>
      <c r="Q464" t="n">
        <v>0</v>
      </c>
      <c r="R464" s="2" t="inlineStr"/>
    </row>
    <row r="465" ht="15" customHeight="1">
      <c r="A465" t="inlineStr">
        <is>
          <t>A 12254-2025</t>
        </is>
      </c>
      <c r="B465" s="1" t="n">
        <v>45729</v>
      </c>
      <c r="C465" s="1" t="n">
        <v>46063</v>
      </c>
      <c r="D465" t="inlineStr">
        <is>
          <t>JÄMTLANDS LÄN</t>
        </is>
      </c>
      <c r="E465" t="inlineStr">
        <is>
          <t>BERG</t>
        </is>
      </c>
      <c r="G465" t="n">
        <v>26.3</v>
      </c>
      <c r="H465" t="n">
        <v>0</v>
      </c>
      <c r="I465" t="n">
        <v>0</v>
      </c>
      <c r="J465" t="n">
        <v>0</v>
      </c>
      <c r="K465" t="n">
        <v>0</v>
      </c>
      <c r="L465" t="n">
        <v>0</v>
      </c>
      <c r="M465" t="n">
        <v>0</v>
      </c>
      <c r="N465" t="n">
        <v>0</v>
      </c>
      <c r="O465" t="n">
        <v>0</v>
      </c>
      <c r="P465" t="n">
        <v>0</v>
      </c>
      <c r="Q465" t="n">
        <v>0</v>
      </c>
      <c r="R465" s="2" t="inlineStr"/>
    </row>
    <row r="466" ht="15" customHeight="1">
      <c r="A466" t="inlineStr">
        <is>
          <t>A 44572-2025</t>
        </is>
      </c>
      <c r="B466" s="1" t="n">
        <v>45917</v>
      </c>
      <c r="C466" s="1" t="n">
        <v>46063</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37455-2025</t>
        </is>
      </c>
      <c r="B467" s="1" t="n">
        <v>45877.56710648148</v>
      </c>
      <c r="C467" s="1" t="n">
        <v>46063</v>
      </c>
      <c r="D467" t="inlineStr">
        <is>
          <t>JÄMTLANDS LÄN</t>
        </is>
      </c>
      <c r="E467" t="inlineStr">
        <is>
          <t>BERG</t>
        </is>
      </c>
      <c r="G467" t="n">
        <v>5.6</v>
      </c>
      <c r="H467" t="n">
        <v>0</v>
      </c>
      <c r="I467" t="n">
        <v>0</v>
      </c>
      <c r="J467" t="n">
        <v>0</v>
      </c>
      <c r="K467" t="n">
        <v>0</v>
      </c>
      <c r="L467" t="n">
        <v>0</v>
      </c>
      <c r="M467" t="n">
        <v>0</v>
      </c>
      <c r="N467" t="n">
        <v>0</v>
      </c>
      <c r="O467" t="n">
        <v>0</v>
      </c>
      <c r="P467" t="n">
        <v>0</v>
      </c>
      <c r="Q467" t="n">
        <v>0</v>
      </c>
      <c r="R467" s="2" t="inlineStr"/>
    </row>
    <row r="468" ht="15" customHeight="1">
      <c r="A468" t="inlineStr">
        <is>
          <t>A 37431-2025</t>
        </is>
      </c>
      <c r="B468" s="1" t="n">
        <v>45877.51092592593</v>
      </c>
      <c r="C468" s="1" t="n">
        <v>46063</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61652-2024</t>
        </is>
      </c>
      <c r="B469" s="1" t="n">
        <v>45646.72293981481</v>
      </c>
      <c r="C469" s="1" t="n">
        <v>46063</v>
      </c>
      <c r="D469" t="inlineStr">
        <is>
          <t>JÄMTLANDS LÄN</t>
        </is>
      </c>
      <c r="E469" t="inlineStr">
        <is>
          <t>BERG</t>
        </is>
      </c>
      <c r="G469" t="n">
        <v>6.4</v>
      </c>
      <c r="H469" t="n">
        <v>0</v>
      </c>
      <c r="I469" t="n">
        <v>0</v>
      </c>
      <c r="J469" t="n">
        <v>0</v>
      </c>
      <c r="K469" t="n">
        <v>0</v>
      </c>
      <c r="L469" t="n">
        <v>0</v>
      </c>
      <c r="M469" t="n">
        <v>0</v>
      </c>
      <c r="N469" t="n">
        <v>0</v>
      </c>
      <c r="O469" t="n">
        <v>0</v>
      </c>
      <c r="P469" t="n">
        <v>0</v>
      </c>
      <c r="Q469" t="n">
        <v>0</v>
      </c>
      <c r="R469" s="2" t="inlineStr"/>
    </row>
    <row r="470" ht="15" customHeight="1">
      <c r="A470" t="inlineStr">
        <is>
          <t>A 44811-2025</t>
        </is>
      </c>
      <c r="B470" s="1" t="n">
        <v>45918.37195601852</v>
      </c>
      <c r="C470" s="1" t="n">
        <v>46063</v>
      </c>
      <c r="D470" t="inlineStr">
        <is>
          <t>JÄMTLANDS LÄN</t>
        </is>
      </c>
      <c r="E470" t="inlineStr">
        <is>
          <t>BERG</t>
        </is>
      </c>
      <c r="G470" t="n">
        <v>1.4</v>
      </c>
      <c r="H470" t="n">
        <v>0</v>
      </c>
      <c r="I470" t="n">
        <v>0</v>
      </c>
      <c r="J470" t="n">
        <v>0</v>
      </c>
      <c r="K470" t="n">
        <v>0</v>
      </c>
      <c r="L470" t="n">
        <v>0</v>
      </c>
      <c r="M470" t="n">
        <v>0</v>
      </c>
      <c r="N470" t="n">
        <v>0</v>
      </c>
      <c r="O470" t="n">
        <v>0</v>
      </c>
      <c r="P470" t="n">
        <v>0</v>
      </c>
      <c r="Q470" t="n">
        <v>0</v>
      </c>
      <c r="R470" s="2" t="inlineStr"/>
    </row>
    <row r="471" ht="15" customHeight="1">
      <c r="A471" t="inlineStr">
        <is>
          <t>A 37463-2025</t>
        </is>
      </c>
      <c r="B471" s="1" t="n">
        <v>45877.5738425926</v>
      </c>
      <c r="C471" s="1" t="n">
        <v>46063</v>
      </c>
      <c r="D471" t="inlineStr">
        <is>
          <t>JÄMTLANDS LÄN</t>
        </is>
      </c>
      <c r="E471" t="inlineStr">
        <is>
          <t>BERG</t>
        </is>
      </c>
      <c r="F471" t="inlineStr">
        <is>
          <t>SCA</t>
        </is>
      </c>
      <c r="G471" t="n">
        <v>13.3</v>
      </c>
      <c r="H471" t="n">
        <v>0</v>
      </c>
      <c r="I471" t="n">
        <v>0</v>
      </c>
      <c r="J471" t="n">
        <v>0</v>
      </c>
      <c r="K471" t="n">
        <v>0</v>
      </c>
      <c r="L471" t="n">
        <v>0</v>
      </c>
      <c r="M471" t="n">
        <v>0</v>
      </c>
      <c r="N471" t="n">
        <v>0</v>
      </c>
      <c r="O471" t="n">
        <v>0</v>
      </c>
      <c r="P471" t="n">
        <v>0</v>
      </c>
      <c r="Q471" t="n">
        <v>0</v>
      </c>
      <c r="R471" s="2" t="inlineStr"/>
    </row>
    <row r="472" ht="15" customHeight="1">
      <c r="A472" t="inlineStr">
        <is>
          <t>A 44697-2025</t>
        </is>
      </c>
      <c r="B472" s="1" t="n">
        <v>45917.59888888889</v>
      </c>
      <c r="C472" s="1" t="n">
        <v>46063</v>
      </c>
      <c r="D472" t="inlineStr">
        <is>
          <t>JÄMTLANDS LÄN</t>
        </is>
      </c>
      <c r="E472" t="inlineStr">
        <is>
          <t>BERG</t>
        </is>
      </c>
      <c r="G472" t="n">
        <v>2.6</v>
      </c>
      <c r="H472" t="n">
        <v>0</v>
      </c>
      <c r="I472" t="n">
        <v>0</v>
      </c>
      <c r="J472" t="n">
        <v>0</v>
      </c>
      <c r="K472" t="n">
        <v>0</v>
      </c>
      <c r="L472" t="n">
        <v>0</v>
      </c>
      <c r="M472" t="n">
        <v>0</v>
      </c>
      <c r="N472" t="n">
        <v>0</v>
      </c>
      <c r="O472" t="n">
        <v>0</v>
      </c>
      <c r="P472" t="n">
        <v>0</v>
      </c>
      <c r="Q472" t="n">
        <v>0</v>
      </c>
      <c r="R472" s="2" t="inlineStr"/>
    </row>
    <row r="473" ht="15" customHeight="1">
      <c r="A473" t="inlineStr">
        <is>
          <t>A 29087-2024</t>
        </is>
      </c>
      <c r="B473" s="1" t="n">
        <v>45481.92946759259</v>
      </c>
      <c r="C473" s="1" t="n">
        <v>46063</v>
      </c>
      <c r="D473" t="inlineStr">
        <is>
          <t>JÄMTLANDS LÄN</t>
        </is>
      </c>
      <c r="E473" t="inlineStr">
        <is>
          <t>BERG</t>
        </is>
      </c>
      <c r="G473" t="n">
        <v>10.7</v>
      </c>
      <c r="H473" t="n">
        <v>0</v>
      </c>
      <c r="I473" t="n">
        <v>0</v>
      </c>
      <c r="J473" t="n">
        <v>0</v>
      </c>
      <c r="K473" t="n">
        <v>0</v>
      </c>
      <c r="L473" t="n">
        <v>0</v>
      </c>
      <c r="M473" t="n">
        <v>0</v>
      </c>
      <c r="N473" t="n">
        <v>0</v>
      </c>
      <c r="O473" t="n">
        <v>0</v>
      </c>
      <c r="P473" t="n">
        <v>0</v>
      </c>
      <c r="Q473" t="n">
        <v>0</v>
      </c>
      <c r="R473" s="2" t="inlineStr"/>
    </row>
    <row r="474" ht="15" customHeight="1">
      <c r="A474" t="inlineStr">
        <is>
          <t>A 37488-2025</t>
        </is>
      </c>
      <c r="B474" s="1" t="n">
        <v>45877.63582175926</v>
      </c>
      <c r="C474" s="1" t="n">
        <v>46063</v>
      </c>
      <c r="D474" t="inlineStr">
        <is>
          <t>JÄMTLANDS LÄN</t>
        </is>
      </c>
      <c r="E474" t="inlineStr">
        <is>
          <t>BERG</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21679-2023</t>
        </is>
      </c>
      <c r="B475" s="1" t="n">
        <v>45063.94199074074</v>
      </c>
      <c r="C475" s="1" t="n">
        <v>46063</v>
      </c>
      <c r="D475" t="inlineStr">
        <is>
          <t>JÄMTLANDS LÄN</t>
        </is>
      </c>
      <c r="E475" t="inlineStr">
        <is>
          <t>BERG</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45129-2025</t>
        </is>
      </c>
      <c r="B476" s="1" t="n">
        <v>45919.43584490741</v>
      </c>
      <c r="C476" s="1" t="n">
        <v>46063</v>
      </c>
      <c r="D476" t="inlineStr">
        <is>
          <t>JÄMTLANDS LÄN</t>
        </is>
      </c>
      <c r="E476" t="inlineStr">
        <is>
          <t>BERG</t>
        </is>
      </c>
      <c r="F476" t="inlineStr">
        <is>
          <t>Övriga Aktiebolag</t>
        </is>
      </c>
      <c r="G476" t="n">
        <v>3.3</v>
      </c>
      <c r="H476" t="n">
        <v>0</v>
      </c>
      <c r="I476" t="n">
        <v>0</v>
      </c>
      <c r="J476" t="n">
        <v>0</v>
      </c>
      <c r="K476" t="n">
        <v>0</v>
      </c>
      <c r="L476" t="n">
        <v>0</v>
      </c>
      <c r="M476" t="n">
        <v>0</v>
      </c>
      <c r="N476" t="n">
        <v>0</v>
      </c>
      <c r="O476" t="n">
        <v>0</v>
      </c>
      <c r="P476" t="n">
        <v>0</v>
      </c>
      <c r="Q476" t="n">
        <v>0</v>
      </c>
      <c r="R476" s="2" t="inlineStr"/>
    </row>
    <row r="477" ht="15" customHeight="1">
      <c r="A477" t="inlineStr">
        <is>
          <t>A 45150-2025</t>
        </is>
      </c>
      <c r="B477" s="1" t="n">
        <v>45919.47131944444</v>
      </c>
      <c r="C477" s="1" t="n">
        <v>46063</v>
      </c>
      <c r="D477" t="inlineStr">
        <is>
          <t>JÄMTLANDS LÄN</t>
        </is>
      </c>
      <c r="E477" t="inlineStr">
        <is>
          <t>BERG</t>
        </is>
      </c>
      <c r="F477" t="inlineStr">
        <is>
          <t>Övriga Aktiebolag</t>
        </is>
      </c>
      <c r="G477" t="n">
        <v>9.6</v>
      </c>
      <c r="H477" t="n">
        <v>0</v>
      </c>
      <c r="I477" t="n">
        <v>0</v>
      </c>
      <c r="J477" t="n">
        <v>0</v>
      </c>
      <c r="K477" t="n">
        <v>0</v>
      </c>
      <c r="L477" t="n">
        <v>0</v>
      </c>
      <c r="M477" t="n">
        <v>0</v>
      </c>
      <c r="N477" t="n">
        <v>0</v>
      </c>
      <c r="O477" t="n">
        <v>0</v>
      </c>
      <c r="P477" t="n">
        <v>0</v>
      </c>
      <c r="Q477" t="n">
        <v>0</v>
      </c>
      <c r="R477" s="2" t="inlineStr"/>
    </row>
    <row r="478" ht="15" customHeight="1">
      <c r="A478" t="inlineStr">
        <is>
          <t>A 45254-2025</t>
        </is>
      </c>
      <c r="B478" s="1" t="n">
        <v>45919.61523148148</v>
      </c>
      <c r="C478" s="1" t="n">
        <v>46063</v>
      </c>
      <c r="D478" t="inlineStr">
        <is>
          <t>JÄMTLANDS LÄN</t>
        </is>
      </c>
      <c r="E478" t="inlineStr">
        <is>
          <t>BERG</t>
        </is>
      </c>
      <c r="G478" t="n">
        <v>0.9</v>
      </c>
      <c r="H478" t="n">
        <v>0</v>
      </c>
      <c r="I478" t="n">
        <v>0</v>
      </c>
      <c r="J478" t="n">
        <v>0</v>
      </c>
      <c r="K478" t="n">
        <v>0</v>
      </c>
      <c r="L478" t="n">
        <v>0</v>
      </c>
      <c r="M478" t="n">
        <v>0</v>
      </c>
      <c r="N478" t="n">
        <v>0</v>
      </c>
      <c r="O478" t="n">
        <v>0</v>
      </c>
      <c r="P478" t="n">
        <v>0</v>
      </c>
      <c r="Q478" t="n">
        <v>0</v>
      </c>
      <c r="R478" s="2" t="inlineStr"/>
    </row>
    <row r="479" ht="15" customHeight="1">
      <c r="A479" t="inlineStr">
        <is>
          <t>A 38080-2025</t>
        </is>
      </c>
      <c r="B479" s="1" t="n">
        <v>45882</v>
      </c>
      <c r="C479" s="1" t="n">
        <v>46063</v>
      </c>
      <c r="D479" t="inlineStr">
        <is>
          <t>JÄMTLANDS LÄN</t>
        </is>
      </c>
      <c r="E479" t="inlineStr">
        <is>
          <t>BERG</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41105-2023</t>
        </is>
      </c>
      <c r="B480" s="1" t="n">
        <v>45170</v>
      </c>
      <c r="C480" s="1" t="n">
        <v>46063</v>
      </c>
      <c r="D480" t="inlineStr">
        <is>
          <t>JÄMTLANDS LÄN</t>
        </is>
      </c>
      <c r="E480" t="inlineStr">
        <is>
          <t>BERG</t>
        </is>
      </c>
      <c r="G480" t="n">
        <v>0.9</v>
      </c>
      <c r="H480" t="n">
        <v>0</v>
      </c>
      <c r="I480" t="n">
        <v>0</v>
      </c>
      <c r="J480" t="n">
        <v>0</v>
      </c>
      <c r="K480" t="n">
        <v>0</v>
      </c>
      <c r="L480" t="n">
        <v>0</v>
      </c>
      <c r="M480" t="n">
        <v>0</v>
      </c>
      <c r="N480" t="n">
        <v>0</v>
      </c>
      <c r="O480" t="n">
        <v>0</v>
      </c>
      <c r="P480" t="n">
        <v>0</v>
      </c>
      <c r="Q480" t="n">
        <v>0</v>
      </c>
      <c r="R480" s="2" t="inlineStr"/>
    </row>
    <row r="481" ht="15" customHeight="1">
      <c r="A481" t="inlineStr">
        <is>
          <t>A 45249-2025</t>
        </is>
      </c>
      <c r="B481" s="1" t="n">
        <v>45919.61225694444</v>
      </c>
      <c r="C481" s="1" t="n">
        <v>46063</v>
      </c>
      <c r="D481" t="inlineStr">
        <is>
          <t>JÄMTLANDS LÄN</t>
        </is>
      </c>
      <c r="E481" t="inlineStr">
        <is>
          <t>BERG</t>
        </is>
      </c>
      <c r="G481" t="n">
        <v>1.3</v>
      </c>
      <c r="H481" t="n">
        <v>0</v>
      </c>
      <c r="I481" t="n">
        <v>0</v>
      </c>
      <c r="J481" t="n">
        <v>0</v>
      </c>
      <c r="K481" t="n">
        <v>0</v>
      </c>
      <c r="L481" t="n">
        <v>0</v>
      </c>
      <c r="M481" t="n">
        <v>0</v>
      </c>
      <c r="N481" t="n">
        <v>0</v>
      </c>
      <c r="O481" t="n">
        <v>0</v>
      </c>
      <c r="P481" t="n">
        <v>0</v>
      </c>
      <c r="Q481" t="n">
        <v>0</v>
      </c>
      <c r="R481" s="2" t="inlineStr"/>
    </row>
    <row r="482" ht="15" customHeight="1">
      <c r="A482" t="inlineStr">
        <is>
          <t>A 43403-2023</t>
        </is>
      </c>
      <c r="B482" s="1" t="n">
        <v>45183</v>
      </c>
      <c r="C482" s="1" t="n">
        <v>46063</v>
      </c>
      <c r="D482" t="inlineStr">
        <is>
          <t>JÄMTLANDS LÄN</t>
        </is>
      </c>
      <c r="E482" t="inlineStr">
        <is>
          <t>BERG</t>
        </is>
      </c>
      <c r="F482" t="inlineStr">
        <is>
          <t>SCA</t>
        </is>
      </c>
      <c r="G482" t="n">
        <v>0.1</v>
      </c>
      <c r="H482" t="n">
        <v>0</v>
      </c>
      <c r="I482" t="n">
        <v>0</v>
      </c>
      <c r="J482" t="n">
        <v>0</v>
      </c>
      <c r="K482" t="n">
        <v>0</v>
      </c>
      <c r="L482" t="n">
        <v>0</v>
      </c>
      <c r="M482" t="n">
        <v>0</v>
      </c>
      <c r="N482" t="n">
        <v>0</v>
      </c>
      <c r="O482" t="n">
        <v>0</v>
      </c>
      <c r="P482" t="n">
        <v>0</v>
      </c>
      <c r="Q482" t="n">
        <v>0</v>
      </c>
      <c r="R482" s="2" t="inlineStr"/>
    </row>
    <row r="483" ht="15" customHeight="1">
      <c r="A483" t="inlineStr">
        <is>
          <t>A 38082-2025</t>
        </is>
      </c>
      <c r="B483" s="1" t="n">
        <v>45882</v>
      </c>
      <c r="C483" s="1" t="n">
        <v>46063</v>
      </c>
      <c r="D483" t="inlineStr">
        <is>
          <t>JÄMTLANDS LÄN</t>
        </is>
      </c>
      <c r="E483" t="inlineStr">
        <is>
          <t>BERG</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45109-2025</t>
        </is>
      </c>
      <c r="B484" s="1" t="n">
        <v>45919.41850694444</v>
      </c>
      <c r="C484" s="1" t="n">
        <v>46063</v>
      </c>
      <c r="D484" t="inlineStr">
        <is>
          <t>JÄMTLANDS LÄN</t>
        </is>
      </c>
      <c r="E484" t="inlineStr">
        <is>
          <t>BERG</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6982-2025</t>
        </is>
      </c>
      <c r="B485" s="1" t="n">
        <v>45701.55769675926</v>
      </c>
      <c r="C485" s="1" t="n">
        <v>46063</v>
      </c>
      <c r="D485" t="inlineStr">
        <is>
          <t>JÄMTLANDS LÄN</t>
        </is>
      </c>
      <c r="E485" t="inlineStr">
        <is>
          <t>BERG</t>
        </is>
      </c>
      <c r="G485" t="n">
        <v>6.8</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46063</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46063</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45459-2025</t>
        </is>
      </c>
      <c r="B488" s="1" t="n">
        <v>45922.49230324074</v>
      </c>
      <c r="C488" s="1" t="n">
        <v>46063</v>
      </c>
      <c r="D488" t="inlineStr">
        <is>
          <t>JÄMTLANDS LÄN</t>
        </is>
      </c>
      <c r="E488" t="inlineStr">
        <is>
          <t>BERG</t>
        </is>
      </c>
      <c r="F488" t="inlineStr">
        <is>
          <t>Kyrkan</t>
        </is>
      </c>
      <c r="G488" t="n">
        <v>8</v>
      </c>
      <c r="H488" t="n">
        <v>0</v>
      </c>
      <c r="I488" t="n">
        <v>0</v>
      </c>
      <c r="J488" t="n">
        <v>0</v>
      </c>
      <c r="K488" t="n">
        <v>0</v>
      </c>
      <c r="L488" t="n">
        <v>0</v>
      </c>
      <c r="M488" t="n">
        <v>0</v>
      </c>
      <c r="N488" t="n">
        <v>0</v>
      </c>
      <c r="O488" t="n">
        <v>0</v>
      </c>
      <c r="P488" t="n">
        <v>0</v>
      </c>
      <c r="Q488" t="n">
        <v>0</v>
      </c>
      <c r="R488" s="2" t="inlineStr"/>
    </row>
    <row r="489" ht="15" customHeight="1">
      <c r="A489" t="inlineStr">
        <is>
          <t>A 45171-2025</t>
        </is>
      </c>
      <c r="B489" s="1" t="n">
        <v>45919.50256944444</v>
      </c>
      <c r="C489" s="1" t="n">
        <v>46063</v>
      </c>
      <c r="D489" t="inlineStr">
        <is>
          <t>JÄMTLANDS LÄN</t>
        </is>
      </c>
      <c r="E489" t="inlineStr">
        <is>
          <t>BERG</t>
        </is>
      </c>
      <c r="F489" t="inlineStr">
        <is>
          <t>Övriga Aktiebolag</t>
        </is>
      </c>
      <c r="G489" t="n">
        <v>10.7</v>
      </c>
      <c r="H489" t="n">
        <v>0</v>
      </c>
      <c r="I489" t="n">
        <v>0</v>
      </c>
      <c r="J489" t="n">
        <v>0</v>
      </c>
      <c r="K489" t="n">
        <v>0</v>
      </c>
      <c r="L489" t="n">
        <v>0</v>
      </c>
      <c r="M489" t="n">
        <v>0</v>
      </c>
      <c r="N489" t="n">
        <v>0</v>
      </c>
      <c r="O489" t="n">
        <v>0</v>
      </c>
      <c r="P489" t="n">
        <v>0</v>
      </c>
      <c r="Q489" t="n">
        <v>0</v>
      </c>
      <c r="R489" s="2" t="inlineStr"/>
    </row>
    <row r="490" ht="15" customHeight="1">
      <c r="A490" t="inlineStr">
        <is>
          <t>A 433-2023</t>
        </is>
      </c>
      <c r="B490" s="1" t="n">
        <v>44923</v>
      </c>
      <c r="C490" s="1" t="n">
        <v>46063</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61980-2024</t>
        </is>
      </c>
      <c r="B491" s="1" t="n">
        <v>45653.66269675926</v>
      </c>
      <c r="C491" s="1" t="n">
        <v>46063</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45640-2025</t>
        </is>
      </c>
      <c r="B492" s="1" t="n">
        <v>45922.961875</v>
      </c>
      <c r="C492" s="1" t="n">
        <v>46063</v>
      </c>
      <c r="D492" t="inlineStr">
        <is>
          <t>JÄMTLANDS LÄN</t>
        </is>
      </c>
      <c r="E492" t="inlineStr">
        <is>
          <t>BERG</t>
        </is>
      </c>
      <c r="G492" t="n">
        <v>2.3</v>
      </c>
      <c r="H492" t="n">
        <v>0</v>
      </c>
      <c r="I492" t="n">
        <v>0</v>
      </c>
      <c r="J492" t="n">
        <v>0</v>
      </c>
      <c r="K492" t="n">
        <v>0</v>
      </c>
      <c r="L492" t="n">
        <v>0</v>
      </c>
      <c r="M492" t="n">
        <v>0</v>
      </c>
      <c r="N492" t="n">
        <v>0</v>
      </c>
      <c r="O492" t="n">
        <v>0</v>
      </c>
      <c r="P492" t="n">
        <v>0</v>
      </c>
      <c r="Q492" t="n">
        <v>0</v>
      </c>
      <c r="R492" s="2" t="inlineStr"/>
    </row>
    <row r="493" ht="15" customHeight="1">
      <c r="A493" t="inlineStr">
        <is>
          <t>A 45912-2025</t>
        </is>
      </c>
      <c r="B493" s="1" t="n">
        <v>45923</v>
      </c>
      <c r="C493" s="1" t="n">
        <v>46063</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8191-2025</t>
        </is>
      </c>
      <c r="B494" s="1" t="n">
        <v>45708.40821759259</v>
      </c>
      <c r="C494" s="1" t="n">
        <v>46063</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45657-2025</t>
        </is>
      </c>
      <c r="B495" s="1" t="n">
        <v>45923.34453703704</v>
      </c>
      <c r="C495" s="1" t="n">
        <v>46063</v>
      </c>
      <c r="D495" t="inlineStr">
        <is>
          <t>JÄMTLANDS LÄN</t>
        </is>
      </c>
      <c r="E495" t="inlineStr">
        <is>
          <t>BERG</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56490-2024</t>
        </is>
      </c>
      <c r="B496" s="1" t="n">
        <v>45625.48765046296</v>
      </c>
      <c r="C496" s="1" t="n">
        <v>46063</v>
      </c>
      <c r="D496" t="inlineStr">
        <is>
          <t>JÄMTLANDS LÄN</t>
        </is>
      </c>
      <c r="E496" t="inlineStr">
        <is>
          <t>BERG</t>
        </is>
      </c>
      <c r="G496" t="n">
        <v>5.9</v>
      </c>
      <c r="H496" t="n">
        <v>0</v>
      </c>
      <c r="I496" t="n">
        <v>0</v>
      </c>
      <c r="J496" t="n">
        <v>0</v>
      </c>
      <c r="K496" t="n">
        <v>0</v>
      </c>
      <c r="L496" t="n">
        <v>0</v>
      </c>
      <c r="M496" t="n">
        <v>0</v>
      </c>
      <c r="N496" t="n">
        <v>0</v>
      </c>
      <c r="O496" t="n">
        <v>0</v>
      </c>
      <c r="P496" t="n">
        <v>0</v>
      </c>
      <c r="Q496" t="n">
        <v>0</v>
      </c>
      <c r="R496" s="2" t="inlineStr"/>
    </row>
    <row r="497" ht="15" customHeight="1">
      <c r="A497" t="inlineStr">
        <is>
          <t>A 24011-2023</t>
        </is>
      </c>
      <c r="B497" s="1" t="n">
        <v>45078</v>
      </c>
      <c r="C497" s="1" t="n">
        <v>46063</v>
      </c>
      <c r="D497" t="inlineStr">
        <is>
          <t>JÄMTLANDS LÄN</t>
        </is>
      </c>
      <c r="E497" t="inlineStr">
        <is>
          <t>BERG</t>
        </is>
      </c>
      <c r="G497" t="n">
        <v>1.4</v>
      </c>
      <c r="H497" t="n">
        <v>0</v>
      </c>
      <c r="I497" t="n">
        <v>0</v>
      </c>
      <c r="J497" t="n">
        <v>0</v>
      </c>
      <c r="K497" t="n">
        <v>0</v>
      </c>
      <c r="L497" t="n">
        <v>0</v>
      </c>
      <c r="M497" t="n">
        <v>0</v>
      </c>
      <c r="N497" t="n">
        <v>0</v>
      </c>
      <c r="O497" t="n">
        <v>0</v>
      </c>
      <c r="P497" t="n">
        <v>0</v>
      </c>
      <c r="Q497" t="n">
        <v>0</v>
      </c>
      <c r="R497" s="2" t="inlineStr"/>
    </row>
    <row r="498" ht="15" customHeight="1">
      <c r="A498" t="inlineStr">
        <is>
          <t>A 15013-2025</t>
        </is>
      </c>
      <c r="B498" s="1" t="n">
        <v>45743.62734953704</v>
      </c>
      <c r="C498" s="1" t="n">
        <v>46063</v>
      </c>
      <c r="D498" t="inlineStr">
        <is>
          <t>JÄMTLANDS LÄN</t>
        </is>
      </c>
      <c r="E498" t="inlineStr">
        <is>
          <t>BERG</t>
        </is>
      </c>
      <c r="G498" t="n">
        <v>4.6</v>
      </c>
      <c r="H498" t="n">
        <v>0</v>
      </c>
      <c r="I498" t="n">
        <v>0</v>
      </c>
      <c r="J498" t="n">
        <v>0</v>
      </c>
      <c r="K498" t="n">
        <v>0</v>
      </c>
      <c r="L498" t="n">
        <v>0</v>
      </c>
      <c r="M498" t="n">
        <v>0</v>
      </c>
      <c r="N498" t="n">
        <v>0</v>
      </c>
      <c r="O498" t="n">
        <v>0</v>
      </c>
      <c r="P498" t="n">
        <v>0</v>
      </c>
      <c r="Q498" t="n">
        <v>0</v>
      </c>
      <c r="R498" s="2" t="inlineStr"/>
    </row>
    <row r="499" ht="15" customHeight="1">
      <c r="A499" t="inlineStr">
        <is>
          <t>A 3419-2025</t>
        </is>
      </c>
      <c r="B499" s="1" t="n">
        <v>45680.4165625</v>
      </c>
      <c r="C499" s="1" t="n">
        <v>46063</v>
      </c>
      <c r="D499" t="inlineStr">
        <is>
          <t>JÄMTLANDS LÄN</t>
        </is>
      </c>
      <c r="E499" t="inlineStr">
        <is>
          <t>BERG</t>
        </is>
      </c>
      <c r="G499" t="n">
        <v>0.8</v>
      </c>
      <c r="H499" t="n">
        <v>0</v>
      </c>
      <c r="I499" t="n">
        <v>0</v>
      </c>
      <c r="J499" t="n">
        <v>0</v>
      </c>
      <c r="K499" t="n">
        <v>0</v>
      </c>
      <c r="L499" t="n">
        <v>0</v>
      </c>
      <c r="M499" t="n">
        <v>0</v>
      </c>
      <c r="N499" t="n">
        <v>0</v>
      </c>
      <c r="O499" t="n">
        <v>0</v>
      </c>
      <c r="P499" t="n">
        <v>0</v>
      </c>
      <c r="Q499" t="n">
        <v>0</v>
      </c>
      <c r="R499" s="2" t="inlineStr"/>
    </row>
    <row r="500" ht="15" customHeight="1">
      <c r="A500" t="inlineStr">
        <is>
          <t>A 41927-2023</t>
        </is>
      </c>
      <c r="B500" s="1" t="n">
        <v>45176</v>
      </c>
      <c r="C500" s="1" t="n">
        <v>46063</v>
      </c>
      <c r="D500" t="inlineStr">
        <is>
          <t>JÄMTLANDS LÄN</t>
        </is>
      </c>
      <c r="E500" t="inlineStr">
        <is>
          <t>BERG</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46811-2025</t>
        </is>
      </c>
      <c r="B501" s="1" t="n">
        <v>45926.69831018519</v>
      </c>
      <c r="C501" s="1" t="n">
        <v>46063</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5187-2025</t>
        </is>
      </c>
      <c r="B502" s="1" t="n">
        <v>45691.64266203704</v>
      </c>
      <c r="C502" s="1" t="n">
        <v>46063</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46063</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19891-2025</t>
        </is>
      </c>
      <c r="B504" s="1" t="n">
        <v>45771.5743287037</v>
      </c>
      <c r="C504" s="1" t="n">
        <v>46063</v>
      </c>
      <c r="D504" t="inlineStr">
        <is>
          <t>JÄMTLANDS LÄN</t>
        </is>
      </c>
      <c r="E504" t="inlineStr">
        <is>
          <t>BERG</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46853-2025</t>
        </is>
      </c>
      <c r="B505" s="1" t="n">
        <v>45928.86563657408</v>
      </c>
      <c r="C505" s="1" t="n">
        <v>46063</v>
      </c>
      <c r="D505" t="inlineStr">
        <is>
          <t>JÄMTLANDS LÄN</t>
        </is>
      </c>
      <c r="E505" t="inlineStr">
        <is>
          <t>BERG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47428-2025</t>
        </is>
      </c>
      <c r="B506" s="1" t="n">
        <v>45930</v>
      </c>
      <c r="C506" s="1" t="n">
        <v>46063</v>
      </c>
      <c r="D506" t="inlineStr">
        <is>
          <t>JÄMTLANDS LÄN</t>
        </is>
      </c>
      <c r="E506" t="inlineStr">
        <is>
          <t>BERG</t>
        </is>
      </c>
      <c r="G506" t="n">
        <v>3.4</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46063</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47197-2025</t>
        </is>
      </c>
      <c r="B508" s="1" t="n">
        <v>45930.34533564815</v>
      </c>
      <c r="C508" s="1" t="n">
        <v>46063</v>
      </c>
      <c r="D508" t="inlineStr">
        <is>
          <t>JÄMTLANDS LÄN</t>
        </is>
      </c>
      <c r="E508" t="inlineStr">
        <is>
          <t>BERG</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47430-2025</t>
        </is>
      </c>
      <c r="B509" s="1" t="n">
        <v>45930.63619212963</v>
      </c>
      <c r="C509" s="1" t="n">
        <v>46063</v>
      </c>
      <c r="D509" t="inlineStr">
        <is>
          <t>JÄMTLANDS LÄN</t>
        </is>
      </c>
      <c r="E509" t="inlineStr">
        <is>
          <t>BERG</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46063</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46063</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46854-2025</t>
        </is>
      </c>
      <c r="B512" s="1" t="n">
        <v>45928.87376157408</v>
      </c>
      <c r="C512" s="1" t="n">
        <v>46063</v>
      </c>
      <c r="D512" t="inlineStr">
        <is>
          <t>JÄMTLANDS LÄN</t>
        </is>
      </c>
      <c r="E512" t="inlineStr">
        <is>
          <t>BERG</t>
        </is>
      </c>
      <c r="F512" t="inlineStr">
        <is>
          <t>Kyrkan</t>
        </is>
      </c>
      <c r="G512" t="n">
        <v>4.8</v>
      </c>
      <c r="H512" t="n">
        <v>0</v>
      </c>
      <c r="I512" t="n">
        <v>0</v>
      </c>
      <c r="J512" t="n">
        <v>0</v>
      </c>
      <c r="K512" t="n">
        <v>0</v>
      </c>
      <c r="L512" t="n">
        <v>0</v>
      </c>
      <c r="M512" t="n">
        <v>0</v>
      </c>
      <c r="N512" t="n">
        <v>0</v>
      </c>
      <c r="O512" t="n">
        <v>0</v>
      </c>
      <c r="P512" t="n">
        <v>0</v>
      </c>
      <c r="Q512" t="n">
        <v>0</v>
      </c>
      <c r="R512" s="2" t="inlineStr"/>
    </row>
    <row r="513" ht="15" customHeight="1">
      <c r="A513" t="inlineStr">
        <is>
          <t>A 47434-2025</t>
        </is>
      </c>
      <c r="B513" s="1" t="n">
        <v>45930.63659722222</v>
      </c>
      <c r="C513" s="1" t="n">
        <v>46063</v>
      </c>
      <c r="D513" t="inlineStr">
        <is>
          <t>JÄMTLANDS LÄN</t>
        </is>
      </c>
      <c r="E513" t="inlineStr">
        <is>
          <t>BERG</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47135-2025</t>
        </is>
      </c>
      <c r="B514" s="1" t="n">
        <v>45929.69799768519</v>
      </c>
      <c r="C514" s="1" t="n">
        <v>46063</v>
      </c>
      <c r="D514" t="inlineStr">
        <is>
          <t>JÄMTLANDS LÄN</t>
        </is>
      </c>
      <c r="E514" t="inlineStr">
        <is>
          <t>BERG</t>
        </is>
      </c>
      <c r="G514" t="n">
        <v>0.6</v>
      </c>
      <c r="H514" t="n">
        <v>0</v>
      </c>
      <c r="I514" t="n">
        <v>0</v>
      </c>
      <c r="J514" t="n">
        <v>0</v>
      </c>
      <c r="K514" t="n">
        <v>0</v>
      </c>
      <c r="L514" t="n">
        <v>0</v>
      </c>
      <c r="M514" t="n">
        <v>0</v>
      </c>
      <c r="N514" t="n">
        <v>0</v>
      </c>
      <c r="O514" t="n">
        <v>0</v>
      </c>
      <c r="P514" t="n">
        <v>0</v>
      </c>
      <c r="Q514" t="n">
        <v>0</v>
      </c>
      <c r="R514" s="2" t="inlineStr"/>
    </row>
    <row r="515" ht="15" customHeight="1">
      <c r="A515" t="inlineStr">
        <is>
          <t>A 38428-2025</t>
        </is>
      </c>
      <c r="B515" s="1" t="n">
        <v>45883.63628472222</v>
      </c>
      <c r="C515" s="1" t="n">
        <v>46063</v>
      </c>
      <c r="D515" t="inlineStr">
        <is>
          <t>JÄMTLANDS LÄN</t>
        </is>
      </c>
      <c r="E515" t="inlineStr">
        <is>
          <t>BERG</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47137-2025</t>
        </is>
      </c>
      <c r="B516" s="1" t="n">
        <v>45929.69876157407</v>
      </c>
      <c r="C516" s="1" t="n">
        <v>46063</v>
      </c>
      <c r="D516" t="inlineStr">
        <is>
          <t>JÄMTLANDS LÄN</t>
        </is>
      </c>
      <c r="E516" t="inlineStr">
        <is>
          <t>BERG</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46063</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46268-2023</t>
        </is>
      </c>
      <c r="B518" s="1" t="n">
        <v>45196</v>
      </c>
      <c r="C518" s="1" t="n">
        <v>46063</v>
      </c>
      <c r="D518" t="inlineStr">
        <is>
          <t>JÄMTLANDS LÄN</t>
        </is>
      </c>
      <c r="E518" t="inlineStr">
        <is>
          <t>BERG</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47534-2025</t>
        </is>
      </c>
      <c r="B519" s="1" t="n">
        <v>45931.3466550926</v>
      </c>
      <c r="C519" s="1" t="n">
        <v>46063</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32465-2024</t>
        </is>
      </c>
      <c r="B520" s="1" t="n">
        <v>45512.96096064815</v>
      </c>
      <c r="C520" s="1" t="n">
        <v>46063</v>
      </c>
      <c r="D520" t="inlineStr">
        <is>
          <t>JÄMTLANDS LÄN</t>
        </is>
      </c>
      <c r="E520" t="inlineStr">
        <is>
          <t>BERG</t>
        </is>
      </c>
      <c r="G520" t="n">
        <v>6.7</v>
      </c>
      <c r="H520" t="n">
        <v>0</v>
      </c>
      <c r="I520" t="n">
        <v>0</v>
      </c>
      <c r="J520" t="n">
        <v>0</v>
      </c>
      <c r="K520" t="n">
        <v>0</v>
      </c>
      <c r="L520" t="n">
        <v>0</v>
      </c>
      <c r="M520" t="n">
        <v>0</v>
      </c>
      <c r="N520" t="n">
        <v>0</v>
      </c>
      <c r="O520" t="n">
        <v>0</v>
      </c>
      <c r="P520" t="n">
        <v>0</v>
      </c>
      <c r="Q520" t="n">
        <v>0</v>
      </c>
      <c r="R520" s="2" t="inlineStr"/>
    </row>
    <row r="521" ht="15" customHeight="1">
      <c r="A521" t="inlineStr">
        <is>
          <t>A 49555-2023</t>
        </is>
      </c>
      <c r="B521" s="1" t="n">
        <v>45205</v>
      </c>
      <c r="C521" s="1" t="n">
        <v>46063</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47821-2025</t>
        </is>
      </c>
      <c r="B522" s="1" t="n">
        <v>45932.34421296296</v>
      </c>
      <c r="C522" s="1" t="n">
        <v>46063</v>
      </c>
      <c r="D522" t="inlineStr">
        <is>
          <t>JÄMTLANDS LÄN</t>
        </is>
      </c>
      <c r="E522" t="inlineStr">
        <is>
          <t>BERG</t>
        </is>
      </c>
      <c r="F522" t="inlineStr">
        <is>
          <t>SCA</t>
        </is>
      </c>
      <c r="G522" t="n">
        <v>7.6</v>
      </c>
      <c r="H522" t="n">
        <v>0</v>
      </c>
      <c r="I522" t="n">
        <v>0</v>
      </c>
      <c r="J522" t="n">
        <v>0</v>
      </c>
      <c r="K522" t="n">
        <v>0</v>
      </c>
      <c r="L522" t="n">
        <v>0</v>
      </c>
      <c r="M522" t="n">
        <v>0</v>
      </c>
      <c r="N522" t="n">
        <v>0</v>
      </c>
      <c r="O522" t="n">
        <v>0</v>
      </c>
      <c r="P522" t="n">
        <v>0</v>
      </c>
      <c r="Q522" t="n">
        <v>0</v>
      </c>
      <c r="R522" s="2" t="inlineStr"/>
    </row>
    <row r="523" ht="15" customHeight="1">
      <c r="A523" t="inlineStr">
        <is>
          <t>A 47533-2025</t>
        </is>
      </c>
      <c r="B523" s="1" t="n">
        <v>45931.34659722223</v>
      </c>
      <c r="C523" s="1" t="n">
        <v>46063</v>
      </c>
      <c r="D523" t="inlineStr">
        <is>
          <t>JÄMTLANDS LÄN</t>
        </is>
      </c>
      <c r="E523" t="inlineStr">
        <is>
          <t>BERG</t>
        </is>
      </c>
      <c r="G523" t="n">
        <v>3.1</v>
      </c>
      <c r="H523" t="n">
        <v>0</v>
      </c>
      <c r="I523" t="n">
        <v>0</v>
      </c>
      <c r="J523" t="n">
        <v>0</v>
      </c>
      <c r="K523" t="n">
        <v>0</v>
      </c>
      <c r="L523" t="n">
        <v>0</v>
      </c>
      <c r="M523" t="n">
        <v>0</v>
      </c>
      <c r="N523" t="n">
        <v>0</v>
      </c>
      <c r="O523" t="n">
        <v>0</v>
      </c>
      <c r="P523" t="n">
        <v>0</v>
      </c>
      <c r="Q523" t="n">
        <v>0</v>
      </c>
      <c r="R523" s="2" t="inlineStr"/>
    </row>
    <row r="524" ht="15" customHeight="1">
      <c r="A524" t="inlineStr">
        <is>
          <t>A 1499-2025</t>
        </is>
      </c>
      <c r="B524" s="1" t="n">
        <v>45670.41112268518</v>
      </c>
      <c r="C524" s="1" t="n">
        <v>46063</v>
      </c>
      <c r="D524" t="inlineStr">
        <is>
          <t>JÄMTLANDS LÄN</t>
        </is>
      </c>
      <c r="E524" t="inlineStr">
        <is>
          <t>BERG</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50169-2023</t>
        </is>
      </c>
      <c r="B525" s="1" t="n">
        <v>45208</v>
      </c>
      <c r="C525" s="1" t="n">
        <v>46063</v>
      </c>
      <c r="D525" t="inlineStr">
        <is>
          <t>JÄMTLANDS LÄN</t>
        </is>
      </c>
      <c r="E525" t="inlineStr">
        <is>
          <t>BERG</t>
        </is>
      </c>
      <c r="G525" t="n">
        <v>3.9</v>
      </c>
      <c r="H525" t="n">
        <v>0</v>
      </c>
      <c r="I525" t="n">
        <v>0</v>
      </c>
      <c r="J525" t="n">
        <v>0</v>
      </c>
      <c r="K525" t="n">
        <v>0</v>
      </c>
      <c r="L525" t="n">
        <v>0</v>
      </c>
      <c r="M525" t="n">
        <v>0</v>
      </c>
      <c r="N525" t="n">
        <v>0</v>
      </c>
      <c r="O525" t="n">
        <v>0</v>
      </c>
      <c r="P525" t="n">
        <v>0</v>
      </c>
      <c r="Q525" t="n">
        <v>0</v>
      </c>
      <c r="R525" s="2" t="inlineStr"/>
    </row>
    <row r="526" ht="15" customHeight="1">
      <c r="A526" t="inlineStr">
        <is>
          <t>A 24307-2023</t>
        </is>
      </c>
      <c r="B526" s="1" t="n">
        <v>45079.94229166667</v>
      </c>
      <c r="C526" s="1" t="n">
        <v>46063</v>
      </c>
      <c r="D526" t="inlineStr">
        <is>
          <t>JÄMTLANDS LÄN</t>
        </is>
      </c>
      <c r="E526" t="inlineStr">
        <is>
          <t>BERG</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12392-2025</t>
        </is>
      </c>
      <c r="B527" s="1" t="n">
        <v>45730.40104166666</v>
      </c>
      <c r="C527" s="1" t="n">
        <v>46063</v>
      </c>
      <c r="D527" t="inlineStr">
        <is>
          <t>JÄMTLANDS LÄN</t>
        </is>
      </c>
      <c r="E527" t="inlineStr">
        <is>
          <t>BERG</t>
        </is>
      </c>
      <c r="G527" t="n">
        <v>5.1</v>
      </c>
      <c r="H527" t="n">
        <v>0</v>
      </c>
      <c r="I527" t="n">
        <v>0</v>
      </c>
      <c r="J527" t="n">
        <v>0</v>
      </c>
      <c r="K527" t="n">
        <v>0</v>
      </c>
      <c r="L527" t="n">
        <v>0</v>
      </c>
      <c r="M527" t="n">
        <v>0</v>
      </c>
      <c r="N527" t="n">
        <v>0</v>
      </c>
      <c r="O527" t="n">
        <v>0</v>
      </c>
      <c r="P527" t="n">
        <v>0</v>
      </c>
      <c r="Q527" t="n">
        <v>0</v>
      </c>
      <c r="R527" s="2" t="inlineStr"/>
    </row>
    <row r="528" ht="15" customHeight="1">
      <c r="A528" t="inlineStr">
        <is>
          <t>A 48704-2025</t>
        </is>
      </c>
      <c r="B528" s="1" t="n">
        <v>45936.6222337963</v>
      </c>
      <c r="C528" s="1" t="n">
        <v>46063</v>
      </c>
      <c r="D528" t="inlineStr">
        <is>
          <t>JÄMTLANDS LÄN</t>
        </is>
      </c>
      <c r="E528" t="inlineStr">
        <is>
          <t>BERG</t>
        </is>
      </c>
      <c r="G528" t="n">
        <v>2.7</v>
      </c>
      <c r="H528" t="n">
        <v>0</v>
      </c>
      <c r="I528" t="n">
        <v>0</v>
      </c>
      <c r="J528" t="n">
        <v>0</v>
      </c>
      <c r="K528" t="n">
        <v>0</v>
      </c>
      <c r="L528" t="n">
        <v>0</v>
      </c>
      <c r="M528" t="n">
        <v>0</v>
      </c>
      <c r="N528" t="n">
        <v>0</v>
      </c>
      <c r="O528" t="n">
        <v>0</v>
      </c>
      <c r="P528" t="n">
        <v>0</v>
      </c>
      <c r="Q528" t="n">
        <v>0</v>
      </c>
      <c r="R528" s="2" t="inlineStr"/>
    </row>
    <row r="529" ht="15" customHeight="1">
      <c r="A529" t="inlineStr">
        <is>
          <t>A 48508-2025</t>
        </is>
      </c>
      <c r="B529" s="1" t="n">
        <v>45936.3859837963</v>
      </c>
      <c r="C529" s="1" t="n">
        <v>46063</v>
      </c>
      <c r="D529" t="inlineStr">
        <is>
          <t>JÄMTLANDS LÄN</t>
        </is>
      </c>
      <c r="E529" t="inlineStr">
        <is>
          <t>BERG</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37093-2024</t>
        </is>
      </c>
      <c r="B530" s="1" t="n">
        <v>45539.50018518518</v>
      </c>
      <c r="C530" s="1" t="n">
        <v>46063</v>
      </c>
      <c r="D530" t="inlineStr">
        <is>
          <t>JÄMTLANDS LÄN</t>
        </is>
      </c>
      <c r="E530" t="inlineStr">
        <is>
          <t>BERG</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48168-2025</t>
        </is>
      </c>
      <c r="B531" s="1" t="n">
        <v>45933.43004629629</v>
      </c>
      <c r="C531" s="1" t="n">
        <v>46063</v>
      </c>
      <c r="D531" t="inlineStr">
        <is>
          <t>JÄMTLANDS LÄN</t>
        </is>
      </c>
      <c r="E531" t="inlineStr">
        <is>
          <t>BERG</t>
        </is>
      </c>
      <c r="G531" t="n">
        <v>1.2</v>
      </c>
      <c r="H531" t="n">
        <v>0</v>
      </c>
      <c r="I531" t="n">
        <v>0</v>
      </c>
      <c r="J531" t="n">
        <v>0</v>
      </c>
      <c r="K531" t="n">
        <v>0</v>
      </c>
      <c r="L531" t="n">
        <v>0</v>
      </c>
      <c r="M531" t="n">
        <v>0</v>
      </c>
      <c r="N531" t="n">
        <v>0</v>
      </c>
      <c r="O531" t="n">
        <v>0</v>
      </c>
      <c r="P531" t="n">
        <v>0</v>
      </c>
      <c r="Q531" t="n">
        <v>0</v>
      </c>
      <c r="R531" s="2" t="inlineStr"/>
    </row>
    <row r="532" ht="15" customHeight="1">
      <c r="A532" t="inlineStr">
        <is>
          <t>A 48250-2025</t>
        </is>
      </c>
      <c r="B532" s="1" t="n">
        <v>45933.55259259259</v>
      </c>
      <c r="C532" s="1" t="n">
        <v>46063</v>
      </c>
      <c r="D532" t="inlineStr">
        <is>
          <t>JÄMTLANDS LÄN</t>
        </is>
      </c>
      <c r="E532" t="inlineStr">
        <is>
          <t>BERG</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48511-2025</t>
        </is>
      </c>
      <c r="B533" s="1" t="n">
        <v>45936.3865162037</v>
      </c>
      <c r="C533" s="1" t="n">
        <v>46063</v>
      </c>
      <c r="D533" t="inlineStr">
        <is>
          <t>JÄMTLANDS LÄN</t>
        </is>
      </c>
      <c r="E533" t="inlineStr">
        <is>
          <t>BERG</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27579-2024</t>
        </is>
      </c>
      <c r="B534" s="1" t="n">
        <v>45474.65244212963</v>
      </c>
      <c r="C534" s="1" t="n">
        <v>46063</v>
      </c>
      <c r="D534" t="inlineStr">
        <is>
          <t>JÄMTLANDS LÄN</t>
        </is>
      </c>
      <c r="E534" t="inlineStr">
        <is>
          <t>BERG</t>
        </is>
      </c>
      <c r="G534" t="n">
        <v>1.8</v>
      </c>
      <c r="H534" t="n">
        <v>0</v>
      </c>
      <c r="I534" t="n">
        <v>0</v>
      </c>
      <c r="J534" t="n">
        <v>0</v>
      </c>
      <c r="K534" t="n">
        <v>0</v>
      </c>
      <c r="L534" t="n">
        <v>0</v>
      </c>
      <c r="M534" t="n">
        <v>0</v>
      </c>
      <c r="N534" t="n">
        <v>0</v>
      </c>
      <c r="O534" t="n">
        <v>0</v>
      </c>
      <c r="P534" t="n">
        <v>0</v>
      </c>
      <c r="Q534" t="n">
        <v>0</v>
      </c>
      <c r="R534" s="2" t="inlineStr"/>
    </row>
    <row r="535" ht="15" customHeight="1">
      <c r="A535" t="inlineStr">
        <is>
          <t>A 17748-2024</t>
        </is>
      </c>
      <c r="B535" s="1" t="n">
        <v>45418</v>
      </c>
      <c r="C535" s="1" t="n">
        <v>46063</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47626-2023</t>
        </is>
      </c>
      <c r="B536" s="1" t="n">
        <v>45203</v>
      </c>
      <c r="C536" s="1" t="n">
        <v>46063</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49391-2025</t>
        </is>
      </c>
      <c r="B537" s="1" t="n">
        <v>45938.65011574074</v>
      </c>
      <c r="C537" s="1" t="n">
        <v>46063</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48770-2025</t>
        </is>
      </c>
      <c r="B538" s="1" t="n">
        <v>45936.91108796297</v>
      </c>
      <c r="C538" s="1" t="n">
        <v>46063</v>
      </c>
      <c r="D538" t="inlineStr">
        <is>
          <t>JÄMTLANDS LÄN</t>
        </is>
      </c>
      <c r="E538" t="inlineStr">
        <is>
          <t>BERG</t>
        </is>
      </c>
      <c r="G538" t="n">
        <v>1.7</v>
      </c>
      <c r="H538" t="n">
        <v>0</v>
      </c>
      <c r="I538" t="n">
        <v>0</v>
      </c>
      <c r="J538" t="n">
        <v>0</v>
      </c>
      <c r="K538" t="n">
        <v>0</v>
      </c>
      <c r="L538" t="n">
        <v>0</v>
      </c>
      <c r="M538" t="n">
        <v>0</v>
      </c>
      <c r="N538" t="n">
        <v>0</v>
      </c>
      <c r="O538" t="n">
        <v>0</v>
      </c>
      <c r="P538" t="n">
        <v>0</v>
      </c>
      <c r="Q538" t="n">
        <v>0</v>
      </c>
      <c r="R538" s="2" t="inlineStr"/>
    </row>
    <row r="539" ht="15" customHeight="1">
      <c r="A539" t="inlineStr">
        <is>
          <t>A 49041-2025</t>
        </is>
      </c>
      <c r="B539" s="1" t="n">
        <v>45937.63592592593</v>
      </c>
      <c r="C539" s="1" t="n">
        <v>46063</v>
      </c>
      <c r="D539" t="inlineStr">
        <is>
          <t>JÄMTLANDS LÄN</t>
        </is>
      </c>
      <c r="E539" t="inlineStr">
        <is>
          <t>BERG</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19258-2025</t>
        </is>
      </c>
      <c r="B540" s="1" t="n">
        <v>45769.49987268518</v>
      </c>
      <c r="C540" s="1" t="n">
        <v>46063</v>
      </c>
      <c r="D540" t="inlineStr">
        <is>
          <t>JÄMTLANDS LÄN</t>
        </is>
      </c>
      <c r="E540" t="inlineStr">
        <is>
          <t>BERG</t>
        </is>
      </c>
      <c r="G540" t="n">
        <v>10.9</v>
      </c>
      <c r="H540" t="n">
        <v>0</v>
      </c>
      <c r="I540" t="n">
        <v>0</v>
      </c>
      <c r="J540" t="n">
        <v>0</v>
      </c>
      <c r="K540" t="n">
        <v>0</v>
      </c>
      <c r="L540" t="n">
        <v>0</v>
      </c>
      <c r="M540" t="n">
        <v>0</v>
      </c>
      <c r="N540" t="n">
        <v>0</v>
      </c>
      <c r="O540" t="n">
        <v>0</v>
      </c>
      <c r="P540" t="n">
        <v>0</v>
      </c>
      <c r="Q540" t="n">
        <v>0</v>
      </c>
      <c r="R540" s="2" t="inlineStr"/>
    </row>
    <row r="541" ht="15" customHeight="1">
      <c r="A541" t="inlineStr">
        <is>
          <t>A 48968-2025</t>
        </is>
      </c>
      <c r="B541" s="1" t="n">
        <v>45937.56285879629</v>
      </c>
      <c r="C541" s="1" t="n">
        <v>46063</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48865-2025</t>
        </is>
      </c>
      <c r="B542" s="1" t="n">
        <v>45937.44760416666</v>
      </c>
      <c r="C542" s="1" t="n">
        <v>46063</v>
      </c>
      <c r="D542" t="inlineStr">
        <is>
          <t>JÄMTLANDS LÄN</t>
        </is>
      </c>
      <c r="E542" t="inlineStr">
        <is>
          <t>BERG</t>
        </is>
      </c>
      <c r="G542" t="n">
        <v>5.8</v>
      </c>
      <c r="H542" t="n">
        <v>0</v>
      </c>
      <c r="I542" t="n">
        <v>0</v>
      </c>
      <c r="J542" t="n">
        <v>0</v>
      </c>
      <c r="K542" t="n">
        <v>0</v>
      </c>
      <c r="L542" t="n">
        <v>0</v>
      </c>
      <c r="M542" t="n">
        <v>0</v>
      </c>
      <c r="N542" t="n">
        <v>0</v>
      </c>
      <c r="O542" t="n">
        <v>0</v>
      </c>
      <c r="P542" t="n">
        <v>0</v>
      </c>
      <c r="Q542" t="n">
        <v>0</v>
      </c>
      <c r="R542" s="2" t="inlineStr"/>
    </row>
    <row r="543" ht="15" customHeight="1">
      <c r="A543" t="inlineStr">
        <is>
          <t>A 9252-2025</t>
        </is>
      </c>
      <c r="B543" s="1" t="n">
        <v>45714.59415509259</v>
      </c>
      <c r="C543" s="1" t="n">
        <v>46063</v>
      </c>
      <c r="D543" t="inlineStr">
        <is>
          <t>JÄMTLANDS LÄN</t>
        </is>
      </c>
      <c r="E543" t="inlineStr">
        <is>
          <t>BERG</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49349-2025</t>
        </is>
      </c>
      <c r="B544" s="1" t="n">
        <v>45938.61060185185</v>
      </c>
      <c r="C544" s="1" t="n">
        <v>46063</v>
      </c>
      <c r="D544" t="inlineStr">
        <is>
          <t>JÄMTLANDS LÄN</t>
        </is>
      </c>
      <c r="E544" t="inlineStr">
        <is>
          <t>BERG</t>
        </is>
      </c>
      <c r="G544" t="n">
        <v>2.5</v>
      </c>
      <c r="H544" t="n">
        <v>0</v>
      </c>
      <c r="I544" t="n">
        <v>0</v>
      </c>
      <c r="J544" t="n">
        <v>0</v>
      </c>
      <c r="K544" t="n">
        <v>0</v>
      </c>
      <c r="L544" t="n">
        <v>0</v>
      </c>
      <c r="M544" t="n">
        <v>0</v>
      </c>
      <c r="N544" t="n">
        <v>0</v>
      </c>
      <c r="O544" t="n">
        <v>0</v>
      </c>
      <c r="P544" t="n">
        <v>0</v>
      </c>
      <c r="Q544" t="n">
        <v>0</v>
      </c>
      <c r="R544" s="2" t="inlineStr"/>
    </row>
    <row r="545" ht="15" customHeight="1">
      <c r="A545" t="inlineStr">
        <is>
          <t>A 10974-2025</t>
        </is>
      </c>
      <c r="B545" s="1" t="n">
        <v>45723.38790509259</v>
      </c>
      <c r="C545" s="1" t="n">
        <v>46063</v>
      </c>
      <c r="D545" t="inlineStr">
        <is>
          <t>JÄMTLANDS LÄN</t>
        </is>
      </c>
      <c r="E545" t="inlineStr">
        <is>
          <t>BERG</t>
        </is>
      </c>
      <c r="G545" t="n">
        <v>6.9</v>
      </c>
      <c r="H545" t="n">
        <v>0</v>
      </c>
      <c r="I545" t="n">
        <v>0</v>
      </c>
      <c r="J545" t="n">
        <v>0</v>
      </c>
      <c r="K545" t="n">
        <v>0</v>
      </c>
      <c r="L545" t="n">
        <v>0</v>
      </c>
      <c r="M545" t="n">
        <v>0</v>
      </c>
      <c r="N545" t="n">
        <v>0</v>
      </c>
      <c r="O545" t="n">
        <v>0</v>
      </c>
      <c r="P545" t="n">
        <v>0</v>
      </c>
      <c r="Q545" t="n">
        <v>0</v>
      </c>
      <c r="R545" s="2" t="inlineStr"/>
    </row>
    <row r="546" ht="15" customHeight="1">
      <c r="A546" t="inlineStr">
        <is>
          <t>A 49573-2025</t>
        </is>
      </c>
      <c r="B546" s="1" t="n">
        <v>45939.49037037037</v>
      </c>
      <c r="C546" s="1" t="n">
        <v>46063</v>
      </c>
      <c r="D546" t="inlineStr">
        <is>
          <t>JÄMTLANDS LÄN</t>
        </is>
      </c>
      <c r="E546" t="inlineStr">
        <is>
          <t>BERG</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49749-2025</t>
        </is>
      </c>
      <c r="B547" s="1" t="n">
        <v>45940.34486111111</v>
      </c>
      <c r="C547" s="1" t="n">
        <v>46063</v>
      </c>
      <c r="D547" t="inlineStr">
        <is>
          <t>JÄMTLANDS LÄN</t>
        </is>
      </c>
      <c r="E547" t="inlineStr">
        <is>
          <t>BERG</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49918-2025</t>
        </is>
      </c>
      <c r="B548" s="1" t="n">
        <v>45940.6290625</v>
      </c>
      <c r="C548" s="1" t="n">
        <v>46063</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41069-2022</t>
        </is>
      </c>
      <c r="B549" s="1" t="n">
        <v>44825.60015046296</v>
      </c>
      <c r="C549" s="1" t="n">
        <v>46063</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49604-2025</t>
        </is>
      </c>
      <c r="B550" s="1" t="n">
        <v>45939.55241898148</v>
      </c>
      <c r="C550" s="1" t="n">
        <v>46063</v>
      </c>
      <c r="D550" t="inlineStr">
        <is>
          <t>JÄMTLANDS LÄN</t>
        </is>
      </c>
      <c r="E550" t="inlineStr">
        <is>
          <t>BERG</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50094-2025</t>
        </is>
      </c>
      <c r="B551" s="1" t="n">
        <v>45943.49340277778</v>
      </c>
      <c r="C551" s="1" t="n">
        <v>46063</v>
      </c>
      <c r="D551" t="inlineStr">
        <is>
          <t>JÄMTLANDS LÄN</t>
        </is>
      </c>
      <c r="E551" t="inlineStr">
        <is>
          <t>BERG</t>
        </is>
      </c>
      <c r="G551" t="n">
        <v>3</v>
      </c>
      <c r="H551" t="n">
        <v>0</v>
      </c>
      <c r="I551" t="n">
        <v>0</v>
      </c>
      <c r="J551" t="n">
        <v>0</v>
      </c>
      <c r="K551" t="n">
        <v>0</v>
      </c>
      <c r="L551" t="n">
        <v>0</v>
      </c>
      <c r="M551" t="n">
        <v>0</v>
      </c>
      <c r="N551" t="n">
        <v>0</v>
      </c>
      <c r="O551" t="n">
        <v>0</v>
      </c>
      <c r="P551" t="n">
        <v>0</v>
      </c>
      <c r="Q551" t="n">
        <v>0</v>
      </c>
      <c r="R551" s="2" t="inlineStr"/>
    </row>
    <row r="552" ht="15" customHeight="1">
      <c r="A552" t="inlineStr">
        <is>
          <t>A 50231-2025</t>
        </is>
      </c>
      <c r="B552" s="1" t="n">
        <v>45943.70643518519</v>
      </c>
      <c r="C552" s="1" t="n">
        <v>46063</v>
      </c>
      <c r="D552" t="inlineStr">
        <is>
          <t>JÄMTLANDS LÄN</t>
        </is>
      </c>
      <c r="E552" t="inlineStr">
        <is>
          <t>BERG</t>
        </is>
      </c>
      <c r="G552" t="n">
        <v>4.6</v>
      </c>
      <c r="H552" t="n">
        <v>0</v>
      </c>
      <c r="I552" t="n">
        <v>0</v>
      </c>
      <c r="J552" t="n">
        <v>0</v>
      </c>
      <c r="K552" t="n">
        <v>0</v>
      </c>
      <c r="L552" t="n">
        <v>0</v>
      </c>
      <c r="M552" t="n">
        <v>0</v>
      </c>
      <c r="N552" t="n">
        <v>0</v>
      </c>
      <c r="O552" t="n">
        <v>0</v>
      </c>
      <c r="P552" t="n">
        <v>0</v>
      </c>
      <c r="Q552" t="n">
        <v>0</v>
      </c>
      <c r="R552" s="2" t="inlineStr"/>
    </row>
    <row r="553" ht="15" customHeight="1">
      <c r="A553" t="inlineStr">
        <is>
          <t>A 50233-2025</t>
        </is>
      </c>
      <c r="B553" s="1" t="n">
        <v>45943.71228009259</v>
      </c>
      <c r="C553" s="1" t="n">
        <v>46063</v>
      </c>
      <c r="D553" t="inlineStr">
        <is>
          <t>JÄMTLANDS LÄN</t>
        </is>
      </c>
      <c r="E553" t="inlineStr">
        <is>
          <t>BERG</t>
        </is>
      </c>
      <c r="G553" t="n">
        <v>1.4</v>
      </c>
      <c r="H553" t="n">
        <v>0</v>
      </c>
      <c r="I553" t="n">
        <v>0</v>
      </c>
      <c r="J553" t="n">
        <v>0</v>
      </c>
      <c r="K553" t="n">
        <v>0</v>
      </c>
      <c r="L553" t="n">
        <v>0</v>
      </c>
      <c r="M553" t="n">
        <v>0</v>
      </c>
      <c r="N553" t="n">
        <v>0</v>
      </c>
      <c r="O553" t="n">
        <v>0</v>
      </c>
      <c r="P553" t="n">
        <v>0</v>
      </c>
      <c r="Q553" t="n">
        <v>0</v>
      </c>
      <c r="R553" s="2" t="inlineStr"/>
    </row>
    <row r="554" ht="15" customHeight="1">
      <c r="A554" t="inlineStr">
        <is>
          <t>A 50227-2025</t>
        </is>
      </c>
      <c r="B554" s="1" t="n">
        <v>45943.69686342592</v>
      </c>
      <c r="C554" s="1" t="n">
        <v>46063</v>
      </c>
      <c r="D554" t="inlineStr">
        <is>
          <t>JÄMTLANDS LÄN</t>
        </is>
      </c>
      <c r="E554" t="inlineStr">
        <is>
          <t>BERG</t>
        </is>
      </c>
      <c r="G554" t="n">
        <v>1.5</v>
      </c>
      <c r="H554" t="n">
        <v>0</v>
      </c>
      <c r="I554" t="n">
        <v>0</v>
      </c>
      <c r="J554" t="n">
        <v>0</v>
      </c>
      <c r="K554" t="n">
        <v>0</v>
      </c>
      <c r="L554" t="n">
        <v>0</v>
      </c>
      <c r="M554" t="n">
        <v>0</v>
      </c>
      <c r="N554" t="n">
        <v>0</v>
      </c>
      <c r="O554" t="n">
        <v>0</v>
      </c>
      <c r="P554" t="n">
        <v>0</v>
      </c>
      <c r="Q554" t="n">
        <v>0</v>
      </c>
      <c r="R554" s="2" t="inlineStr"/>
    </row>
    <row r="555" ht="15" customHeight="1">
      <c r="A555" t="inlineStr">
        <is>
          <t>A 43458-2025</t>
        </is>
      </c>
      <c r="B555" s="1" t="n">
        <v>45911.46315972223</v>
      </c>
      <c r="C555" s="1" t="n">
        <v>46063</v>
      </c>
      <c r="D555" t="inlineStr">
        <is>
          <t>JÄMTLANDS LÄN</t>
        </is>
      </c>
      <c r="E555" t="inlineStr">
        <is>
          <t>BERG</t>
        </is>
      </c>
      <c r="G555" t="n">
        <v>11.2</v>
      </c>
      <c r="H555" t="n">
        <v>0</v>
      </c>
      <c r="I555" t="n">
        <v>0</v>
      </c>
      <c r="J555" t="n">
        <v>0</v>
      </c>
      <c r="K555" t="n">
        <v>0</v>
      </c>
      <c r="L555" t="n">
        <v>0</v>
      </c>
      <c r="M555" t="n">
        <v>0</v>
      </c>
      <c r="N555" t="n">
        <v>0</v>
      </c>
      <c r="O555" t="n">
        <v>0</v>
      </c>
      <c r="P555" t="n">
        <v>0</v>
      </c>
      <c r="Q555" t="n">
        <v>0</v>
      </c>
      <c r="R555" s="2" t="inlineStr"/>
    </row>
    <row r="556" ht="15" customHeight="1">
      <c r="A556" t="inlineStr">
        <is>
          <t>A 50024-2025</t>
        </is>
      </c>
      <c r="B556" s="1" t="n">
        <v>45943.37563657408</v>
      </c>
      <c r="C556" s="1" t="n">
        <v>46063</v>
      </c>
      <c r="D556" t="inlineStr">
        <is>
          <t>JÄMTLANDS LÄN</t>
        </is>
      </c>
      <c r="E556" t="inlineStr">
        <is>
          <t>BERG</t>
        </is>
      </c>
      <c r="G556" t="n">
        <v>2.7</v>
      </c>
      <c r="H556" t="n">
        <v>0</v>
      </c>
      <c r="I556" t="n">
        <v>0</v>
      </c>
      <c r="J556" t="n">
        <v>0</v>
      </c>
      <c r="K556" t="n">
        <v>0</v>
      </c>
      <c r="L556" t="n">
        <v>0</v>
      </c>
      <c r="M556" t="n">
        <v>0</v>
      </c>
      <c r="N556" t="n">
        <v>0</v>
      </c>
      <c r="O556" t="n">
        <v>0</v>
      </c>
      <c r="P556" t="n">
        <v>0</v>
      </c>
      <c r="Q556" t="n">
        <v>0</v>
      </c>
      <c r="R556" s="2" t="inlineStr"/>
    </row>
    <row r="557" ht="15" customHeight="1">
      <c r="A557" t="inlineStr">
        <is>
          <t>A 50020-2025</t>
        </is>
      </c>
      <c r="B557" s="1" t="n">
        <v>45943.36899305556</v>
      </c>
      <c r="C557" s="1" t="n">
        <v>46063</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50230-2025</t>
        </is>
      </c>
      <c r="B558" s="1" t="n">
        <v>45943.70216435185</v>
      </c>
      <c r="C558" s="1" t="n">
        <v>46063</v>
      </c>
      <c r="D558" t="inlineStr">
        <is>
          <t>JÄMTLANDS LÄN</t>
        </is>
      </c>
      <c r="E558" t="inlineStr">
        <is>
          <t>BERG</t>
        </is>
      </c>
      <c r="G558" t="n">
        <v>6.3</v>
      </c>
      <c r="H558" t="n">
        <v>0</v>
      </c>
      <c r="I558" t="n">
        <v>0</v>
      </c>
      <c r="J558" t="n">
        <v>0</v>
      </c>
      <c r="K558" t="n">
        <v>0</v>
      </c>
      <c r="L558" t="n">
        <v>0</v>
      </c>
      <c r="M558" t="n">
        <v>0</v>
      </c>
      <c r="N558" t="n">
        <v>0</v>
      </c>
      <c r="O558" t="n">
        <v>0</v>
      </c>
      <c r="P558" t="n">
        <v>0</v>
      </c>
      <c r="Q558" t="n">
        <v>0</v>
      </c>
      <c r="R558" s="2" t="inlineStr"/>
    </row>
    <row r="559" ht="15" customHeight="1">
      <c r="A559" t="inlineStr">
        <is>
          <t>A 50273-2025</t>
        </is>
      </c>
      <c r="B559" s="1" t="n">
        <v>45944.36600694444</v>
      </c>
      <c r="C559" s="1" t="n">
        <v>46063</v>
      </c>
      <c r="D559" t="inlineStr">
        <is>
          <t>JÄMTLANDS LÄN</t>
        </is>
      </c>
      <c r="E559" t="inlineStr">
        <is>
          <t>BERG</t>
        </is>
      </c>
      <c r="G559" t="n">
        <v>5.7</v>
      </c>
      <c r="H559" t="n">
        <v>0</v>
      </c>
      <c r="I559" t="n">
        <v>0</v>
      </c>
      <c r="J559" t="n">
        <v>0</v>
      </c>
      <c r="K559" t="n">
        <v>0</v>
      </c>
      <c r="L559" t="n">
        <v>0</v>
      </c>
      <c r="M559" t="n">
        <v>0</v>
      </c>
      <c r="N559" t="n">
        <v>0</v>
      </c>
      <c r="O559" t="n">
        <v>0</v>
      </c>
      <c r="P559" t="n">
        <v>0</v>
      </c>
      <c r="Q559" t="n">
        <v>0</v>
      </c>
      <c r="R559" s="2" t="inlineStr"/>
    </row>
    <row r="560" ht="15" customHeight="1">
      <c r="A560" t="inlineStr">
        <is>
          <t>A 50408-2025</t>
        </is>
      </c>
      <c r="B560" s="1" t="n">
        <v>45944.64006944445</v>
      </c>
      <c r="C560" s="1" t="n">
        <v>46063</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50435-2025</t>
        </is>
      </c>
      <c r="B561" s="1" t="n">
        <v>45944.6984837963</v>
      </c>
      <c r="C561" s="1" t="n">
        <v>46063</v>
      </c>
      <c r="D561" t="inlineStr">
        <is>
          <t>JÄMTLANDS LÄN</t>
        </is>
      </c>
      <c r="E561" t="inlineStr">
        <is>
          <t>BERG</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51951-2021</t>
        </is>
      </c>
      <c r="B562" s="1" t="n">
        <v>44462</v>
      </c>
      <c r="C562" s="1" t="n">
        <v>46063</v>
      </c>
      <c r="D562" t="inlineStr">
        <is>
          <t>JÄMTLANDS LÄN</t>
        </is>
      </c>
      <c r="E562" t="inlineStr">
        <is>
          <t>BERG</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18261-2022</t>
        </is>
      </c>
      <c r="B563" s="1" t="n">
        <v>44685.45633101852</v>
      </c>
      <c r="C563" s="1" t="n">
        <v>46063</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50531-2025</t>
        </is>
      </c>
      <c r="B564" s="1" t="n">
        <v>45945.47693287037</v>
      </c>
      <c r="C564" s="1" t="n">
        <v>46063</v>
      </c>
      <c r="D564" t="inlineStr">
        <is>
          <t>JÄMTLANDS LÄN</t>
        </is>
      </c>
      <c r="E564" t="inlineStr">
        <is>
          <t>BERG</t>
        </is>
      </c>
      <c r="G564" t="n">
        <v>13.9</v>
      </c>
      <c r="H564" t="n">
        <v>0</v>
      </c>
      <c r="I564" t="n">
        <v>0</v>
      </c>
      <c r="J564" t="n">
        <v>0</v>
      </c>
      <c r="K564" t="n">
        <v>0</v>
      </c>
      <c r="L564" t="n">
        <v>0</v>
      </c>
      <c r="M564" t="n">
        <v>0</v>
      </c>
      <c r="N564" t="n">
        <v>0</v>
      </c>
      <c r="O564" t="n">
        <v>0</v>
      </c>
      <c r="P564" t="n">
        <v>0</v>
      </c>
      <c r="Q564" t="n">
        <v>0</v>
      </c>
      <c r="R564" s="2" t="inlineStr"/>
    </row>
    <row r="565" ht="15" customHeight="1">
      <c r="A565" t="inlineStr">
        <is>
          <t>A 50547-2025</t>
        </is>
      </c>
      <c r="B565" s="1" t="n">
        <v>45945.51104166666</v>
      </c>
      <c r="C565" s="1" t="n">
        <v>46063</v>
      </c>
      <c r="D565" t="inlineStr">
        <is>
          <t>JÄMTLANDS LÄN</t>
        </is>
      </c>
      <c r="E565" t="inlineStr">
        <is>
          <t>BERG</t>
        </is>
      </c>
      <c r="F565" t="inlineStr">
        <is>
          <t>SCA</t>
        </is>
      </c>
      <c r="G565" t="n">
        <v>12.6</v>
      </c>
      <c r="H565" t="n">
        <v>0</v>
      </c>
      <c r="I565" t="n">
        <v>0</v>
      </c>
      <c r="J565" t="n">
        <v>0</v>
      </c>
      <c r="K565" t="n">
        <v>0</v>
      </c>
      <c r="L565" t="n">
        <v>0</v>
      </c>
      <c r="M565" t="n">
        <v>0</v>
      </c>
      <c r="N565" t="n">
        <v>0</v>
      </c>
      <c r="O565" t="n">
        <v>0</v>
      </c>
      <c r="P565" t="n">
        <v>0</v>
      </c>
      <c r="Q565" t="n">
        <v>0</v>
      </c>
      <c r="R565" s="2" t="inlineStr"/>
    </row>
    <row r="566" ht="15" customHeight="1">
      <c r="A566" t="inlineStr">
        <is>
          <t>A 16022-2025</t>
        </is>
      </c>
      <c r="B566" s="1" t="n">
        <v>45749.60973379629</v>
      </c>
      <c r="C566" s="1" t="n">
        <v>46063</v>
      </c>
      <c r="D566" t="inlineStr">
        <is>
          <t>JÄMTLANDS LÄN</t>
        </is>
      </c>
      <c r="E566" t="inlineStr">
        <is>
          <t>BERG</t>
        </is>
      </c>
      <c r="G566" t="n">
        <v>2</v>
      </c>
      <c r="H566" t="n">
        <v>0</v>
      </c>
      <c r="I566" t="n">
        <v>0</v>
      </c>
      <c r="J566" t="n">
        <v>0</v>
      </c>
      <c r="K566" t="n">
        <v>0</v>
      </c>
      <c r="L566" t="n">
        <v>0</v>
      </c>
      <c r="M566" t="n">
        <v>0</v>
      </c>
      <c r="N566" t="n">
        <v>0</v>
      </c>
      <c r="O566" t="n">
        <v>0</v>
      </c>
      <c r="P566" t="n">
        <v>0</v>
      </c>
      <c r="Q566" t="n">
        <v>0</v>
      </c>
      <c r="R566" s="2" t="inlineStr"/>
    </row>
    <row r="567" ht="15" customHeight="1">
      <c r="A567" t="inlineStr">
        <is>
          <t>A 50458-2025</t>
        </is>
      </c>
      <c r="B567" s="1" t="n">
        <v>45945</v>
      </c>
      <c r="C567" s="1" t="n">
        <v>46063</v>
      </c>
      <c r="D567" t="inlineStr">
        <is>
          <t>JÄMTLANDS LÄN</t>
        </is>
      </c>
      <c r="E567" t="inlineStr">
        <is>
          <t>BERG</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50698-2025</t>
        </is>
      </c>
      <c r="B568" s="1" t="n">
        <v>45945.91894675926</v>
      </c>
      <c r="C568" s="1" t="n">
        <v>46063</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50562-2025</t>
        </is>
      </c>
      <c r="B569" s="1" t="n">
        <v>45945.55256944444</v>
      </c>
      <c r="C569" s="1" t="n">
        <v>46063</v>
      </c>
      <c r="D569" t="inlineStr">
        <is>
          <t>JÄMTLANDS LÄN</t>
        </is>
      </c>
      <c r="E569" t="inlineStr">
        <is>
          <t>BERG</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61837-2023</t>
        </is>
      </c>
      <c r="B570" s="1" t="n">
        <v>45264</v>
      </c>
      <c r="C570" s="1" t="n">
        <v>46063</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51079-2025</t>
        </is>
      </c>
      <c r="B571" s="1" t="n">
        <v>45947.465</v>
      </c>
      <c r="C571" s="1" t="n">
        <v>46063</v>
      </c>
      <c r="D571" t="inlineStr">
        <is>
          <t>JÄMTLANDS LÄN</t>
        </is>
      </c>
      <c r="E571" t="inlineStr">
        <is>
          <t>BERG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51495-2025</t>
        </is>
      </c>
      <c r="B572" s="1" t="n">
        <v>45950.6366550926</v>
      </c>
      <c r="C572" s="1" t="n">
        <v>46063</v>
      </c>
      <c r="D572" t="inlineStr">
        <is>
          <t>JÄMTLANDS LÄN</t>
        </is>
      </c>
      <c r="E572" t="inlineStr">
        <is>
          <t>BERG</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51203-2025</t>
        </is>
      </c>
      <c r="B573" s="1" t="n">
        <v>45947.63592592593</v>
      </c>
      <c r="C573" s="1" t="n">
        <v>46063</v>
      </c>
      <c r="D573" t="inlineStr">
        <is>
          <t>JÄMTLANDS LÄN</t>
        </is>
      </c>
      <c r="E573" t="inlineStr">
        <is>
          <t>BERG</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51301-2025</t>
        </is>
      </c>
      <c r="B574" s="1" t="n">
        <v>45950.36480324074</v>
      </c>
      <c r="C574" s="1" t="n">
        <v>46063</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51083-2025</t>
        </is>
      </c>
      <c r="B575" s="1" t="n">
        <v>45947.4678587963</v>
      </c>
      <c r="C575" s="1" t="n">
        <v>46063</v>
      </c>
      <c r="D575" t="inlineStr">
        <is>
          <t>JÄMTLANDS LÄN</t>
        </is>
      </c>
      <c r="E575" t="inlineStr">
        <is>
          <t>BERG</t>
        </is>
      </c>
      <c r="F575" t="inlineStr">
        <is>
          <t>Övriga Aktiebolag</t>
        </is>
      </c>
      <c r="G575" t="n">
        <v>10.4</v>
      </c>
      <c r="H575" t="n">
        <v>0</v>
      </c>
      <c r="I575" t="n">
        <v>0</v>
      </c>
      <c r="J575" t="n">
        <v>0</v>
      </c>
      <c r="K575" t="n">
        <v>0</v>
      </c>
      <c r="L575" t="n">
        <v>0</v>
      </c>
      <c r="M575" t="n">
        <v>0</v>
      </c>
      <c r="N575" t="n">
        <v>0</v>
      </c>
      <c r="O575" t="n">
        <v>0</v>
      </c>
      <c r="P575" t="n">
        <v>0</v>
      </c>
      <c r="Q575" t="n">
        <v>0</v>
      </c>
      <c r="R575" s="2" t="inlineStr"/>
    </row>
    <row r="576" ht="15" customHeight="1">
      <c r="A576" t="inlineStr">
        <is>
          <t>A 51080-2025</t>
        </is>
      </c>
      <c r="B576" s="1" t="n">
        <v>45947.46655092593</v>
      </c>
      <c r="C576" s="1" t="n">
        <v>46063</v>
      </c>
      <c r="D576" t="inlineStr">
        <is>
          <t>JÄMTLANDS LÄN</t>
        </is>
      </c>
      <c r="E576" t="inlineStr">
        <is>
          <t>BERG</t>
        </is>
      </c>
      <c r="F576" t="inlineStr">
        <is>
          <t>Övriga Aktiebolag</t>
        </is>
      </c>
      <c r="G576" t="n">
        <v>2</v>
      </c>
      <c r="H576" t="n">
        <v>0</v>
      </c>
      <c r="I576" t="n">
        <v>0</v>
      </c>
      <c r="J576" t="n">
        <v>0</v>
      </c>
      <c r="K576" t="n">
        <v>0</v>
      </c>
      <c r="L576" t="n">
        <v>0</v>
      </c>
      <c r="M576" t="n">
        <v>0</v>
      </c>
      <c r="N576" t="n">
        <v>0</v>
      </c>
      <c r="O576" t="n">
        <v>0</v>
      </c>
      <c r="P576" t="n">
        <v>0</v>
      </c>
      <c r="Q576" t="n">
        <v>0</v>
      </c>
      <c r="R576" s="2" t="inlineStr"/>
    </row>
    <row r="577" ht="15" customHeight="1">
      <c r="A577" t="inlineStr">
        <is>
          <t>A 18775-2024</t>
        </is>
      </c>
      <c r="B577" s="1" t="n">
        <v>45426</v>
      </c>
      <c r="C577" s="1" t="n">
        <v>46063</v>
      </c>
      <c r="D577" t="inlineStr">
        <is>
          <t>JÄMTLANDS LÄN</t>
        </is>
      </c>
      <c r="E577" t="inlineStr">
        <is>
          <t>BERG</t>
        </is>
      </c>
      <c r="G577" t="n">
        <v>13.9</v>
      </c>
      <c r="H577" t="n">
        <v>0</v>
      </c>
      <c r="I577" t="n">
        <v>0</v>
      </c>
      <c r="J577" t="n">
        <v>0</v>
      </c>
      <c r="K577" t="n">
        <v>0</v>
      </c>
      <c r="L577" t="n">
        <v>0</v>
      </c>
      <c r="M577" t="n">
        <v>0</v>
      </c>
      <c r="N577" t="n">
        <v>0</v>
      </c>
      <c r="O577" t="n">
        <v>0</v>
      </c>
      <c r="P577" t="n">
        <v>0</v>
      </c>
      <c r="Q577" t="n">
        <v>0</v>
      </c>
      <c r="R577" s="2" t="inlineStr"/>
    </row>
    <row r="578" ht="15" customHeight="1">
      <c r="A578" t="inlineStr">
        <is>
          <t>A 20899-2023</t>
        </is>
      </c>
      <c r="B578" s="1" t="n">
        <v>45060</v>
      </c>
      <c r="C578" s="1" t="n">
        <v>46063</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52128-2025</t>
        </is>
      </c>
      <c r="B579" s="1" t="n">
        <v>45952.72754629629</v>
      </c>
      <c r="C579" s="1" t="n">
        <v>46063</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7744-2024</t>
        </is>
      </c>
      <c r="B580" s="1" t="n">
        <v>45349</v>
      </c>
      <c r="C580" s="1" t="n">
        <v>46063</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51883-2025</t>
        </is>
      </c>
      <c r="B581" s="1" t="n">
        <v>45952.40701388889</v>
      </c>
      <c r="C581" s="1" t="n">
        <v>46063</v>
      </c>
      <c r="D581" t="inlineStr">
        <is>
          <t>JÄMTLANDS LÄN</t>
        </is>
      </c>
      <c r="E581" t="inlineStr">
        <is>
          <t>BERG</t>
        </is>
      </c>
      <c r="G581" t="n">
        <v>0.9</v>
      </c>
      <c r="H581" t="n">
        <v>0</v>
      </c>
      <c r="I581" t="n">
        <v>0</v>
      </c>
      <c r="J581" t="n">
        <v>0</v>
      </c>
      <c r="K581" t="n">
        <v>0</v>
      </c>
      <c r="L581" t="n">
        <v>0</v>
      </c>
      <c r="M581" t="n">
        <v>0</v>
      </c>
      <c r="N581" t="n">
        <v>0</v>
      </c>
      <c r="O581" t="n">
        <v>0</v>
      </c>
      <c r="P581" t="n">
        <v>0</v>
      </c>
      <c r="Q581" t="n">
        <v>0</v>
      </c>
      <c r="R581" s="2" t="inlineStr"/>
    </row>
    <row r="582" ht="15" customHeight="1">
      <c r="A582" t="inlineStr">
        <is>
          <t>A 52062-2025</t>
        </is>
      </c>
      <c r="B582" s="1" t="n">
        <v>45952.63679398148</v>
      </c>
      <c r="C582" s="1" t="n">
        <v>46063</v>
      </c>
      <c r="D582" t="inlineStr">
        <is>
          <t>JÄMTLANDS LÄN</t>
        </is>
      </c>
      <c r="E582" t="inlineStr">
        <is>
          <t>BERG</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51675-2025</t>
        </is>
      </c>
      <c r="B583" s="1" t="n">
        <v>45951.50565972222</v>
      </c>
      <c r="C583" s="1" t="n">
        <v>46063</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21521-2024</t>
        </is>
      </c>
      <c r="B584" s="1" t="n">
        <v>45441.58313657407</v>
      </c>
      <c r="C584" s="1" t="n">
        <v>46063</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44110-2022</t>
        </is>
      </c>
      <c r="B585" s="1" t="n">
        <v>44837</v>
      </c>
      <c r="C585" s="1" t="n">
        <v>46063</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52341-2025</t>
        </is>
      </c>
      <c r="B586" s="1" t="n">
        <v>45953.71564814815</v>
      </c>
      <c r="C586" s="1" t="n">
        <v>46063</v>
      </c>
      <c r="D586" t="inlineStr">
        <is>
          <t>JÄMTLANDS LÄN</t>
        </is>
      </c>
      <c r="E586" t="inlineStr">
        <is>
          <t>BERG</t>
        </is>
      </c>
      <c r="G586" t="n">
        <v>12.2</v>
      </c>
      <c r="H586" t="n">
        <v>0</v>
      </c>
      <c r="I586" t="n">
        <v>0</v>
      </c>
      <c r="J586" t="n">
        <v>0</v>
      </c>
      <c r="K586" t="n">
        <v>0</v>
      </c>
      <c r="L586" t="n">
        <v>0</v>
      </c>
      <c r="M586" t="n">
        <v>0</v>
      </c>
      <c r="N586" t="n">
        <v>0</v>
      </c>
      <c r="O586" t="n">
        <v>0</v>
      </c>
      <c r="P586" t="n">
        <v>0</v>
      </c>
      <c r="Q586" t="n">
        <v>0</v>
      </c>
      <c r="R586" s="2" t="inlineStr"/>
    </row>
    <row r="587" ht="15" customHeight="1">
      <c r="A587" t="inlineStr">
        <is>
          <t>A 52260-2025</t>
        </is>
      </c>
      <c r="B587" s="1" t="n">
        <v>45953.51113425926</v>
      </c>
      <c r="C587" s="1" t="n">
        <v>46063</v>
      </c>
      <c r="D587" t="inlineStr">
        <is>
          <t>JÄMTLANDS LÄN</t>
        </is>
      </c>
      <c r="E587" t="inlineStr">
        <is>
          <t>BERG</t>
        </is>
      </c>
      <c r="G587" t="n">
        <v>0.8</v>
      </c>
      <c r="H587" t="n">
        <v>0</v>
      </c>
      <c r="I587" t="n">
        <v>0</v>
      </c>
      <c r="J587" t="n">
        <v>0</v>
      </c>
      <c r="K587" t="n">
        <v>0</v>
      </c>
      <c r="L587" t="n">
        <v>0</v>
      </c>
      <c r="M587" t="n">
        <v>0</v>
      </c>
      <c r="N587" t="n">
        <v>0</v>
      </c>
      <c r="O587" t="n">
        <v>0</v>
      </c>
      <c r="P587" t="n">
        <v>0</v>
      </c>
      <c r="Q587" t="n">
        <v>0</v>
      </c>
      <c r="R587" s="2" t="inlineStr"/>
    </row>
    <row r="588" ht="15" customHeight="1">
      <c r="A588" t="inlineStr">
        <is>
          <t>A 52256-2025</t>
        </is>
      </c>
      <c r="B588" s="1" t="n">
        <v>45953.50086805555</v>
      </c>
      <c r="C588" s="1" t="n">
        <v>46063</v>
      </c>
      <c r="D588" t="inlineStr">
        <is>
          <t>JÄMTLANDS LÄN</t>
        </is>
      </c>
      <c r="E588" t="inlineStr">
        <is>
          <t>BERG</t>
        </is>
      </c>
      <c r="G588" t="n">
        <v>3.9</v>
      </c>
      <c r="H588" t="n">
        <v>0</v>
      </c>
      <c r="I588" t="n">
        <v>0</v>
      </c>
      <c r="J588" t="n">
        <v>0</v>
      </c>
      <c r="K588" t="n">
        <v>0</v>
      </c>
      <c r="L588" t="n">
        <v>0</v>
      </c>
      <c r="M588" t="n">
        <v>0</v>
      </c>
      <c r="N588" t="n">
        <v>0</v>
      </c>
      <c r="O588" t="n">
        <v>0</v>
      </c>
      <c r="P588" t="n">
        <v>0</v>
      </c>
      <c r="Q588" t="n">
        <v>0</v>
      </c>
      <c r="R588" s="2" t="inlineStr"/>
    </row>
    <row r="589" ht="15" customHeight="1">
      <c r="A589" t="inlineStr">
        <is>
          <t>A 52348-2025</t>
        </is>
      </c>
      <c r="B589" s="1" t="n">
        <v>45953.72064814815</v>
      </c>
      <c r="C589" s="1" t="n">
        <v>46063</v>
      </c>
      <c r="D589" t="inlineStr">
        <is>
          <t>JÄMTLANDS LÄN</t>
        </is>
      </c>
      <c r="E589" t="inlineStr">
        <is>
          <t>BERG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52562-2025</t>
        </is>
      </c>
      <c r="B590" s="1" t="n">
        <v>45954.57357638889</v>
      </c>
      <c r="C590" s="1" t="n">
        <v>46063</v>
      </c>
      <c r="D590" t="inlineStr">
        <is>
          <t>JÄMTLANDS LÄN</t>
        </is>
      </c>
      <c r="E590" t="inlineStr">
        <is>
          <t>BERG</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52225-2025</t>
        </is>
      </c>
      <c r="B591" s="1" t="n">
        <v>45953.44831018519</v>
      </c>
      <c r="C591" s="1" t="n">
        <v>46063</v>
      </c>
      <c r="D591" t="inlineStr">
        <is>
          <t>JÄMTLANDS LÄN</t>
        </is>
      </c>
      <c r="E591" t="inlineStr">
        <is>
          <t>BERG</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10230-2024</t>
        </is>
      </c>
      <c r="B592" s="1" t="n">
        <v>45365.31883101852</v>
      </c>
      <c r="C592" s="1" t="n">
        <v>46063</v>
      </c>
      <c r="D592" t="inlineStr">
        <is>
          <t>JÄMTLANDS LÄN</t>
        </is>
      </c>
      <c r="E592" t="inlineStr">
        <is>
          <t>BERG</t>
        </is>
      </c>
      <c r="G592" t="n">
        <v>6.3</v>
      </c>
      <c r="H592" t="n">
        <v>0</v>
      </c>
      <c r="I592" t="n">
        <v>0</v>
      </c>
      <c r="J592" t="n">
        <v>0</v>
      </c>
      <c r="K592" t="n">
        <v>0</v>
      </c>
      <c r="L592" t="n">
        <v>0</v>
      </c>
      <c r="M592" t="n">
        <v>0</v>
      </c>
      <c r="N592" t="n">
        <v>0</v>
      </c>
      <c r="O592" t="n">
        <v>0</v>
      </c>
      <c r="P592" t="n">
        <v>0</v>
      </c>
      <c r="Q592" t="n">
        <v>0</v>
      </c>
      <c r="R592" s="2" t="inlineStr"/>
    </row>
    <row r="593" ht="15" customHeight="1">
      <c r="A593" t="inlineStr">
        <is>
          <t>A 52340-2025</t>
        </is>
      </c>
      <c r="B593" s="1" t="n">
        <v>45953.70571759259</v>
      </c>
      <c r="C593" s="1" t="n">
        <v>46063</v>
      </c>
      <c r="D593" t="inlineStr">
        <is>
          <t>JÄMTLANDS LÄN</t>
        </is>
      </c>
      <c r="E593" t="inlineStr">
        <is>
          <t>BERG</t>
        </is>
      </c>
      <c r="G593" t="n">
        <v>6.7</v>
      </c>
      <c r="H593" t="n">
        <v>0</v>
      </c>
      <c r="I593" t="n">
        <v>0</v>
      </c>
      <c r="J593" t="n">
        <v>0</v>
      </c>
      <c r="K593" t="n">
        <v>0</v>
      </c>
      <c r="L593" t="n">
        <v>0</v>
      </c>
      <c r="M593" t="n">
        <v>0</v>
      </c>
      <c r="N593" t="n">
        <v>0</v>
      </c>
      <c r="O593" t="n">
        <v>0</v>
      </c>
      <c r="P593" t="n">
        <v>0</v>
      </c>
      <c r="Q593" t="n">
        <v>0</v>
      </c>
      <c r="R593" s="2" t="inlineStr"/>
    </row>
    <row r="594" ht="15" customHeight="1">
      <c r="A594" t="inlineStr">
        <is>
          <t>A 49277-2024</t>
        </is>
      </c>
      <c r="B594" s="1" t="n">
        <v>45595.50820601852</v>
      </c>
      <c r="C594" s="1" t="n">
        <v>46063</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53085-2025</t>
        </is>
      </c>
      <c r="B595" s="1" t="n">
        <v>45958.40675925926</v>
      </c>
      <c r="C595" s="1" t="n">
        <v>46063</v>
      </c>
      <c r="D595" t="inlineStr">
        <is>
          <t>JÄMTLANDS LÄN</t>
        </is>
      </c>
      <c r="E595" t="inlineStr">
        <is>
          <t>BERG</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60331-2023</t>
        </is>
      </c>
      <c r="B596" s="1" t="n">
        <v>45258</v>
      </c>
      <c r="C596" s="1" t="n">
        <v>46063</v>
      </c>
      <c r="D596" t="inlineStr">
        <is>
          <t>JÄMTLANDS LÄN</t>
        </is>
      </c>
      <c r="E596" t="inlineStr">
        <is>
          <t>BERG</t>
        </is>
      </c>
      <c r="G596" t="n">
        <v>2.6</v>
      </c>
      <c r="H596" t="n">
        <v>0</v>
      </c>
      <c r="I596" t="n">
        <v>0</v>
      </c>
      <c r="J596" t="n">
        <v>0</v>
      </c>
      <c r="K596" t="n">
        <v>0</v>
      </c>
      <c r="L596" t="n">
        <v>0</v>
      </c>
      <c r="M596" t="n">
        <v>0</v>
      </c>
      <c r="N596" t="n">
        <v>0</v>
      </c>
      <c r="O596" t="n">
        <v>0</v>
      </c>
      <c r="P596" t="n">
        <v>0</v>
      </c>
      <c r="Q596" t="n">
        <v>0</v>
      </c>
      <c r="R596" s="2" t="inlineStr"/>
    </row>
    <row r="597" ht="15" customHeight="1">
      <c r="A597" t="inlineStr">
        <is>
          <t>A 34601-2024</t>
        </is>
      </c>
      <c r="B597" s="1" t="n">
        <v>45526.4034375</v>
      </c>
      <c r="C597" s="1" t="n">
        <v>46063</v>
      </c>
      <c r="D597" t="inlineStr">
        <is>
          <t>JÄMTLANDS LÄN</t>
        </is>
      </c>
      <c r="E597" t="inlineStr">
        <is>
          <t>BERG</t>
        </is>
      </c>
      <c r="G597" t="n">
        <v>0.6</v>
      </c>
      <c r="H597" t="n">
        <v>0</v>
      </c>
      <c r="I597" t="n">
        <v>0</v>
      </c>
      <c r="J597" t="n">
        <v>0</v>
      </c>
      <c r="K597" t="n">
        <v>0</v>
      </c>
      <c r="L597" t="n">
        <v>0</v>
      </c>
      <c r="M597" t="n">
        <v>0</v>
      </c>
      <c r="N597" t="n">
        <v>0</v>
      </c>
      <c r="O597" t="n">
        <v>0</v>
      </c>
      <c r="P597" t="n">
        <v>0</v>
      </c>
      <c r="Q597" t="n">
        <v>0</v>
      </c>
      <c r="R597" s="2" t="inlineStr"/>
    </row>
    <row r="598" ht="15" customHeight="1">
      <c r="A598" t="inlineStr">
        <is>
          <t>A 53155-2025</t>
        </is>
      </c>
      <c r="B598" s="1" t="n">
        <v>45958.49011574074</v>
      </c>
      <c r="C598" s="1" t="n">
        <v>46063</v>
      </c>
      <c r="D598" t="inlineStr">
        <is>
          <t>JÄMTLANDS LÄN</t>
        </is>
      </c>
      <c r="E598" t="inlineStr">
        <is>
          <t>BERG</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52938-2025</t>
        </is>
      </c>
      <c r="B599" s="1" t="n">
        <v>45957.63680555556</v>
      </c>
      <c r="C599" s="1" t="n">
        <v>46063</v>
      </c>
      <c r="D599" t="inlineStr">
        <is>
          <t>JÄMTLANDS LÄN</t>
        </is>
      </c>
      <c r="E599" t="inlineStr">
        <is>
          <t>BERG</t>
        </is>
      </c>
      <c r="G599" t="n">
        <v>3.6</v>
      </c>
      <c r="H599" t="n">
        <v>0</v>
      </c>
      <c r="I599" t="n">
        <v>0</v>
      </c>
      <c r="J599" t="n">
        <v>0</v>
      </c>
      <c r="K599" t="n">
        <v>0</v>
      </c>
      <c r="L599" t="n">
        <v>0</v>
      </c>
      <c r="M599" t="n">
        <v>0</v>
      </c>
      <c r="N599" t="n">
        <v>0</v>
      </c>
      <c r="O599" t="n">
        <v>0</v>
      </c>
      <c r="P599" t="n">
        <v>0</v>
      </c>
      <c r="Q599" t="n">
        <v>0</v>
      </c>
      <c r="R599" s="2" t="inlineStr"/>
    </row>
    <row r="600" ht="15" customHeight="1">
      <c r="A600" t="inlineStr">
        <is>
          <t>A 52933-2025</t>
        </is>
      </c>
      <c r="B600" s="1" t="n">
        <v>45957.62528935185</v>
      </c>
      <c r="C600" s="1" t="n">
        <v>46063</v>
      </c>
      <c r="D600" t="inlineStr">
        <is>
          <t>JÄMTLANDS LÄN</t>
        </is>
      </c>
      <c r="E600" t="inlineStr">
        <is>
          <t>BERG</t>
        </is>
      </c>
      <c r="G600" t="n">
        <v>10.1</v>
      </c>
      <c r="H600" t="n">
        <v>0</v>
      </c>
      <c r="I600" t="n">
        <v>0</v>
      </c>
      <c r="J600" t="n">
        <v>0</v>
      </c>
      <c r="K600" t="n">
        <v>0</v>
      </c>
      <c r="L600" t="n">
        <v>0</v>
      </c>
      <c r="M600" t="n">
        <v>0</v>
      </c>
      <c r="N600" t="n">
        <v>0</v>
      </c>
      <c r="O600" t="n">
        <v>0</v>
      </c>
      <c r="P600" t="n">
        <v>0</v>
      </c>
      <c r="Q600" t="n">
        <v>0</v>
      </c>
      <c r="R600" s="2" t="inlineStr"/>
    </row>
    <row r="601" ht="15" customHeight="1">
      <c r="A601" t="inlineStr">
        <is>
          <t>A 33481-2023</t>
        </is>
      </c>
      <c r="B601" s="1" t="n">
        <v>45131</v>
      </c>
      <c r="C601" s="1" t="n">
        <v>46063</v>
      </c>
      <c r="D601" t="inlineStr">
        <is>
          <t>JÄMTLANDS LÄN</t>
        </is>
      </c>
      <c r="E601" t="inlineStr">
        <is>
          <t>BERG</t>
        </is>
      </c>
      <c r="F601" t="inlineStr">
        <is>
          <t>Sveaskog</t>
        </is>
      </c>
      <c r="G601" t="n">
        <v>4</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46063</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53712-2025</t>
        </is>
      </c>
      <c r="B603" s="1" t="n">
        <v>45960.61547453704</v>
      </c>
      <c r="C603" s="1" t="n">
        <v>46063</v>
      </c>
      <c r="D603" t="inlineStr">
        <is>
          <t>JÄMTLANDS LÄN</t>
        </is>
      </c>
      <c r="E603" t="inlineStr">
        <is>
          <t>BERG</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53625-2025</t>
        </is>
      </c>
      <c r="B604" s="1" t="n">
        <v>45960.49020833334</v>
      </c>
      <c r="C604" s="1" t="n">
        <v>46063</v>
      </c>
      <c r="D604" t="inlineStr">
        <is>
          <t>JÄMTLANDS LÄN</t>
        </is>
      </c>
      <c r="E604" t="inlineStr">
        <is>
          <t>BERG</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53610-2025</t>
        </is>
      </c>
      <c r="B605" s="1" t="n">
        <v>45960.46951388889</v>
      </c>
      <c r="C605" s="1" t="n">
        <v>46063</v>
      </c>
      <c r="D605" t="inlineStr">
        <is>
          <t>JÄMTLANDS LÄN</t>
        </is>
      </c>
      <c r="E605" t="inlineStr">
        <is>
          <t>BERG</t>
        </is>
      </c>
      <c r="F605" t="inlineStr">
        <is>
          <t>SCA</t>
        </is>
      </c>
      <c r="G605" t="n">
        <v>30.7</v>
      </c>
      <c r="H605" t="n">
        <v>0</v>
      </c>
      <c r="I605" t="n">
        <v>0</v>
      </c>
      <c r="J605" t="n">
        <v>0</v>
      </c>
      <c r="K605" t="n">
        <v>0</v>
      </c>
      <c r="L605" t="n">
        <v>0</v>
      </c>
      <c r="M605" t="n">
        <v>0</v>
      </c>
      <c r="N605" t="n">
        <v>0</v>
      </c>
      <c r="O605" t="n">
        <v>0</v>
      </c>
      <c r="P605" t="n">
        <v>0</v>
      </c>
      <c r="Q605" t="n">
        <v>0</v>
      </c>
      <c r="R605" s="2" t="inlineStr"/>
    </row>
    <row r="606" ht="15" customHeight="1">
      <c r="A606" t="inlineStr">
        <is>
          <t>A 53349-2025</t>
        </is>
      </c>
      <c r="B606" s="1" t="n">
        <v>45959.43579861111</v>
      </c>
      <c r="C606" s="1" t="n">
        <v>46063</v>
      </c>
      <c r="D606" t="inlineStr">
        <is>
          <t>JÄMTLANDS LÄN</t>
        </is>
      </c>
      <c r="E606" t="inlineStr">
        <is>
          <t>BERG</t>
        </is>
      </c>
      <c r="G606" t="n">
        <v>1.8</v>
      </c>
      <c r="H606" t="n">
        <v>0</v>
      </c>
      <c r="I606" t="n">
        <v>0</v>
      </c>
      <c r="J606" t="n">
        <v>0</v>
      </c>
      <c r="K606" t="n">
        <v>0</v>
      </c>
      <c r="L606" t="n">
        <v>0</v>
      </c>
      <c r="M606" t="n">
        <v>0</v>
      </c>
      <c r="N606" t="n">
        <v>0</v>
      </c>
      <c r="O606" t="n">
        <v>0</v>
      </c>
      <c r="P606" t="n">
        <v>0</v>
      </c>
      <c r="Q606" t="n">
        <v>0</v>
      </c>
      <c r="R606" s="2" t="inlineStr"/>
    </row>
    <row r="607" ht="15" customHeight="1">
      <c r="A607" t="inlineStr">
        <is>
          <t>A 64486-2023</t>
        </is>
      </c>
      <c r="B607" s="1" t="n">
        <v>45280</v>
      </c>
      <c r="C607" s="1" t="n">
        <v>46063</v>
      </c>
      <c r="D607" t="inlineStr">
        <is>
          <t>JÄMTLANDS LÄN</t>
        </is>
      </c>
      <c r="E607" t="inlineStr">
        <is>
          <t>BERG</t>
        </is>
      </c>
      <c r="G607" t="n">
        <v>2</v>
      </c>
      <c r="H607" t="n">
        <v>0</v>
      </c>
      <c r="I607" t="n">
        <v>0</v>
      </c>
      <c r="J607" t="n">
        <v>0</v>
      </c>
      <c r="K607" t="n">
        <v>0</v>
      </c>
      <c r="L607" t="n">
        <v>0</v>
      </c>
      <c r="M607" t="n">
        <v>0</v>
      </c>
      <c r="N607" t="n">
        <v>0</v>
      </c>
      <c r="O607" t="n">
        <v>0</v>
      </c>
      <c r="P607" t="n">
        <v>0</v>
      </c>
      <c r="Q607" t="n">
        <v>0</v>
      </c>
      <c r="R607" s="2" t="inlineStr"/>
    </row>
    <row r="608" ht="15" customHeight="1">
      <c r="A608" t="inlineStr">
        <is>
          <t>A 64488-2023</t>
        </is>
      </c>
      <c r="B608" s="1" t="n">
        <v>45280.92618055556</v>
      </c>
      <c r="C608" s="1" t="n">
        <v>46063</v>
      </c>
      <c r="D608" t="inlineStr">
        <is>
          <t>JÄMTLANDS LÄN</t>
        </is>
      </c>
      <c r="E608" t="inlineStr">
        <is>
          <t>BERG</t>
        </is>
      </c>
      <c r="F608" t="inlineStr">
        <is>
          <t>Övriga Aktiebolag</t>
        </is>
      </c>
      <c r="G608" t="n">
        <v>7.1</v>
      </c>
      <c r="H608" t="n">
        <v>0</v>
      </c>
      <c r="I608" t="n">
        <v>0</v>
      </c>
      <c r="J608" t="n">
        <v>0</v>
      </c>
      <c r="K608" t="n">
        <v>0</v>
      </c>
      <c r="L608" t="n">
        <v>0</v>
      </c>
      <c r="M608" t="n">
        <v>0</v>
      </c>
      <c r="N608" t="n">
        <v>0</v>
      </c>
      <c r="O608" t="n">
        <v>0</v>
      </c>
      <c r="P608" t="n">
        <v>0</v>
      </c>
      <c r="Q608" t="n">
        <v>0</v>
      </c>
      <c r="R608" s="2" t="inlineStr"/>
    </row>
    <row r="609" ht="15" customHeight="1">
      <c r="A609" t="inlineStr">
        <is>
          <t>A 53680-2025</t>
        </is>
      </c>
      <c r="B609" s="1" t="n">
        <v>45960.57361111111</v>
      </c>
      <c r="C609" s="1" t="n">
        <v>46063</v>
      </c>
      <c r="D609" t="inlineStr">
        <is>
          <t>JÄMTLANDS LÄN</t>
        </is>
      </c>
      <c r="E609" t="inlineStr">
        <is>
          <t>BERG</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53778-2025</t>
        </is>
      </c>
      <c r="B610" s="1" t="n">
        <v>45960.69841435185</v>
      </c>
      <c r="C610" s="1" t="n">
        <v>46063</v>
      </c>
      <c r="D610" t="inlineStr">
        <is>
          <t>JÄMTLANDS LÄN</t>
        </is>
      </c>
      <c r="E610" t="inlineStr">
        <is>
          <t>BERG</t>
        </is>
      </c>
      <c r="F610" t="inlineStr">
        <is>
          <t>SCA</t>
        </is>
      </c>
      <c r="G610" t="n">
        <v>18.7</v>
      </c>
      <c r="H610" t="n">
        <v>0</v>
      </c>
      <c r="I610" t="n">
        <v>0</v>
      </c>
      <c r="J610" t="n">
        <v>0</v>
      </c>
      <c r="K610" t="n">
        <v>0</v>
      </c>
      <c r="L610" t="n">
        <v>0</v>
      </c>
      <c r="M610" t="n">
        <v>0</v>
      </c>
      <c r="N610" t="n">
        <v>0</v>
      </c>
      <c r="O610" t="n">
        <v>0</v>
      </c>
      <c r="P610" t="n">
        <v>0</v>
      </c>
      <c r="Q610" t="n">
        <v>0</v>
      </c>
      <c r="R610" s="2" t="inlineStr"/>
      <c r="U610">
        <f>HYPERLINK("https://klasma.github.io/Logging_2326/knärot/A 53778-2025 karta knärot.png", "A 53778-2025")</f>
        <v/>
      </c>
      <c r="V610">
        <f>HYPERLINK("https://klasma.github.io/Logging_2326/klagomål/A 53778-2025 FSC-klagomål.docx", "A 53778-2025")</f>
        <v/>
      </c>
      <c r="W610">
        <f>HYPERLINK("https://klasma.github.io/Logging_2326/klagomålsmail/A 53778-2025 FSC-klagomål mail.docx", "A 53778-2025")</f>
        <v/>
      </c>
      <c r="X610">
        <f>HYPERLINK("https://klasma.github.io/Logging_2326/tillsyn/A 53778-2025 tillsynsbegäran.docx", "A 53778-2025")</f>
        <v/>
      </c>
      <c r="Y610">
        <f>HYPERLINK("https://klasma.github.io/Logging_2326/tillsynsmail/A 53778-2025 tillsynsbegäran mail.docx", "A 53778-2025")</f>
        <v/>
      </c>
    </row>
    <row r="611" ht="15" customHeight="1">
      <c r="A611" t="inlineStr">
        <is>
          <t>A 16247-2024</t>
        </is>
      </c>
      <c r="B611" s="1" t="n">
        <v>45407.05797453703</v>
      </c>
      <c r="C611" s="1" t="n">
        <v>46063</v>
      </c>
      <c r="D611" t="inlineStr">
        <is>
          <t>JÄMTLANDS LÄN</t>
        </is>
      </c>
      <c r="E611" t="inlineStr">
        <is>
          <t>BERG</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25306-2023</t>
        </is>
      </c>
      <c r="B612" s="1" t="n">
        <v>45086</v>
      </c>
      <c r="C612" s="1" t="n">
        <v>46063</v>
      </c>
      <c r="D612" t="inlineStr">
        <is>
          <t>JÄMTLANDS LÄN</t>
        </is>
      </c>
      <c r="E612" t="inlineStr">
        <is>
          <t>BERG</t>
        </is>
      </c>
      <c r="G612" t="n">
        <v>23.3</v>
      </c>
      <c r="H612" t="n">
        <v>0</v>
      </c>
      <c r="I612" t="n">
        <v>0</v>
      </c>
      <c r="J612" t="n">
        <v>0</v>
      </c>
      <c r="K612" t="n">
        <v>0</v>
      </c>
      <c r="L612" t="n">
        <v>0</v>
      </c>
      <c r="M612" t="n">
        <v>0</v>
      </c>
      <c r="N612" t="n">
        <v>0</v>
      </c>
      <c r="O612" t="n">
        <v>0</v>
      </c>
      <c r="P612" t="n">
        <v>0</v>
      </c>
      <c r="Q612" t="n">
        <v>0</v>
      </c>
      <c r="R612" s="2" t="inlineStr"/>
    </row>
    <row r="613" ht="15" customHeight="1">
      <c r="A613" t="inlineStr">
        <is>
          <t>A 10465-2023</t>
        </is>
      </c>
      <c r="B613" s="1" t="n">
        <v>44987.60319444445</v>
      </c>
      <c r="C613" s="1" t="n">
        <v>46063</v>
      </c>
      <c r="D613" t="inlineStr">
        <is>
          <t>JÄMTLANDS LÄN</t>
        </is>
      </c>
      <c r="E613" t="inlineStr">
        <is>
          <t>BERG</t>
        </is>
      </c>
      <c r="G613" t="n">
        <v>3.4</v>
      </c>
      <c r="H613" t="n">
        <v>0</v>
      </c>
      <c r="I613" t="n">
        <v>0</v>
      </c>
      <c r="J613" t="n">
        <v>0</v>
      </c>
      <c r="K613" t="n">
        <v>0</v>
      </c>
      <c r="L613" t="n">
        <v>0</v>
      </c>
      <c r="M613" t="n">
        <v>0</v>
      </c>
      <c r="N613" t="n">
        <v>0</v>
      </c>
      <c r="O613" t="n">
        <v>0</v>
      </c>
      <c r="P613" t="n">
        <v>0</v>
      </c>
      <c r="Q613" t="n">
        <v>0</v>
      </c>
      <c r="R613" s="2" t="inlineStr"/>
    </row>
    <row r="614" ht="15" customHeight="1">
      <c r="A614" t="inlineStr">
        <is>
          <t>A 3625-2024</t>
        </is>
      </c>
      <c r="B614" s="1" t="n">
        <v>45320</v>
      </c>
      <c r="C614" s="1" t="n">
        <v>46063</v>
      </c>
      <c r="D614" t="inlineStr">
        <is>
          <t>JÄMTLANDS LÄN</t>
        </is>
      </c>
      <c r="E614" t="inlineStr">
        <is>
          <t>BERG</t>
        </is>
      </c>
      <c r="F614" t="inlineStr">
        <is>
          <t>SCA</t>
        </is>
      </c>
      <c r="G614" t="n">
        <v>23.7</v>
      </c>
      <c r="H614" t="n">
        <v>0</v>
      </c>
      <c r="I614" t="n">
        <v>0</v>
      </c>
      <c r="J614" t="n">
        <v>0</v>
      </c>
      <c r="K614" t="n">
        <v>0</v>
      </c>
      <c r="L614" t="n">
        <v>0</v>
      </c>
      <c r="M614" t="n">
        <v>0</v>
      </c>
      <c r="N614" t="n">
        <v>0</v>
      </c>
      <c r="O614" t="n">
        <v>0</v>
      </c>
      <c r="P614" t="n">
        <v>0</v>
      </c>
      <c r="Q614" t="n">
        <v>0</v>
      </c>
      <c r="R614" s="2" t="inlineStr"/>
    </row>
    <row r="615" ht="15" customHeight="1">
      <c r="A615" t="inlineStr">
        <is>
          <t>A 53859-2025</t>
        </is>
      </c>
      <c r="B615" s="1" t="n">
        <v>45961</v>
      </c>
      <c r="C615" s="1" t="n">
        <v>46063</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13436-2024</t>
        </is>
      </c>
      <c r="B616" s="1" t="n">
        <v>45387.4865625</v>
      </c>
      <c r="C616" s="1" t="n">
        <v>46063</v>
      </c>
      <c r="D616" t="inlineStr">
        <is>
          <t>JÄMTLANDS LÄN</t>
        </is>
      </c>
      <c r="E616" t="inlineStr">
        <is>
          <t>BERG</t>
        </is>
      </c>
      <c r="G616" t="n">
        <v>28.9</v>
      </c>
      <c r="H616" t="n">
        <v>0</v>
      </c>
      <c r="I616" t="n">
        <v>0</v>
      </c>
      <c r="J616" t="n">
        <v>0</v>
      </c>
      <c r="K616" t="n">
        <v>0</v>
      </c>
      <c r="L616" t="n">
        <v>0</v>
      </c>
      <c r="M616" t="n">
        <v>0</v>
      </c>
      <c r="N616" t="n">
        <v>0</v>
      </c>
      <c r="O616" t="n">
        <v>0</v>
      </c>
      <c r="P616" t="n">
        <v>0</v>
      </c>
      <c r="Q616" t="n">
        <v>0</v>
      </c>
      <c r="R616" s="2" t="inlineStr"/>
    </row>
    <row r="617" ht="15" customHeight="1">
      <c r="A617" t="inlineStr">
        <is>
          <t>A 54825-2025</t>
        </is>
      </c>
      <c r="B617" s="1" t="n">
        <v>45966.66768518519</v>
      </c>
      <c r="C617" s="1" t="n">
        <v>46063</v>
      </c>
      <c r="D617" t="inlineStr">
        <is>
          <t>JÄMTLANDS LÄN</t>
        </is>
      </c>
      <c r="E617" t="inlineStr">
        <is>
          <t>BERG</t>
        </is>
      </c>
      <c r="G617" t="n">
        <v>0.7</v>
      </c>
      <c r="H617" t="n">
        <v>0</v>
      </c>
      <c r="I617" t="n">
        <v>0</v>
      </c>
      <c r="J617" t="n">
        <v>0</v>
      </c>
      <c r="K617" t="n">
        <v>0</v>
      </c>
      <c r="L617" t="n">
        <v>0</v>
      </c>
      <c r="M617" t="n">
        <v>0</v>
      </c>
      <c r="N617" t="n">
        <v>0</v>
      </c>
      <c r="O617" t="n">
        <v>0</v>
      </c>
      <c r="P617" t="n">
        <v>0</v>
      </c>
      <c r="Q617" t="n">
        <v>0</v>
      </c>
      <c r="R617" s="2" t="inlineStr"/>
    </row>
    <row r="618" ht="15" customHeight="1">
      <c r="A618" t="inlineStr">
        <is>
          <t>A 43616-2024</t>
        </is>
      </c>
      <c r="B618" s="1" t="n">
        <v>45569</v>
      </c>
      <c r="C618" s="1" t="n">
        <v>46063</v>
      </c>
      <c r="D618" t="inlineStr">
        <is>
          <t>JÄMTLANDS LÄN</t>
        </is>
      </c>
      <c r="E618" t="inlineStr">
        <is>
          <t>BERG</t>
        </is>
      </c>
      <c r="G618" t="n">
        <v>12.3</v>
      </c>
      <c r="H618" t="n">
        <v>0</v>
      </c>
      <c r="I618" t="n">
        <v>0</v>
      </c>
      <c r="J618" t="n">
        <v>0</v>
      </c>
      <c r="K618" t="n">
        <v>0</v>
      </c>
      <c r="L618" t="n">
        <v>0</v>
      </c>
      <c r="M618" t="n">
        <v>0</v>
      </c>
      <c r="N618" t="n">
        <v>0</v>
      </c>
      <c r="O618" t="n">
        <v>0</v>
      </c>
      <c r="P618" t="n">
        <v>0</v>
      </c>
      <c r="Q618" t="n">
        <v>0</v>
      </c>
      <c r="R618" s="2" t="inlineStr"/>
    </row>
    <row r="619" ht="15" customHeight="1">
      <c r="A619" t="inlineStr">
        <is>
          <t>A 54852-2025</t>
        </is>
      </c>
      <c r="B619" s="1" t="n">
        <v>45966.71946759259</v>
      </c>
      <c r="C619" s="1" t="n">
        <v>46063</v>
      </c>
      <c r="D619" t="inlineStr">
        <is>
          <t>JÄMTLANDS LÄN</t>
        </is>
      </c>
      <c r="E619" t="inlineStr">
        <is>
          <t>BERG</t>
        </is>
      </c>
      <c r="G619" t="n">
        <v>1.7</v>
      </c>
      <c r="H619" t="n">
        <v>0</v>
      </c>
      <c r="I619" t="n">
        <v>0</v>
      </c>
      <c r="J619" t="n">
        <v>0</v>
      </c>
      <c r="K619" t="n">
        <v>0</v>
      </c>
      <c r="L619" t="n">
        <v>0</v>
      </c>
      <c r="M619" t="n">
        <v>0</v>
      </c>
      <c r="N619" t="n">
        <v>0</v>
      </c>
      <c r="O619" t="n">
        <v>0</v>
      </c>
      <c r="P619" t="n">
        <v>0</v>
      </c>
      <c r="Q619" t="n">
        <v>0</v>
      </c>
      <c r="R619" s="2" t="inlineStr"/>
    </row>
    <row r="620" ht="15" customHeight="1">
      <c r="A620" t="inlineStr">
        <is>
          <t>A 54720-2025</t>
        </is>
      </c>
      <c r="B620" s="1" t="n">
        <v>45966.53177083333</v>
      </c>
      <c r="C620" s="1" t="n">
        <v>46063</v>
      </c>
      <c r="D620" t="inlineStr">
        <is>
          <t>JÄMTLANDS LÄN</t>
        </is>
      </c>
      <c r="E620" t="inlineStr">
        <is>
          <t>BERG</t>
        </is>
      </c>
      <c r="G620" t="n">
        <v>0.6</v>
      </c>
      <c r="H620" t="n">
        <v>0</v>
      </c>
      <c r="I620" t="n">
        <v>0</v>
      </c>
      <c r="J620" t="n">
        <v>0</v>
      </c>
      <c r="K620" t="n">
        <v>0</v>
      </c>
      <c r="L620" t="n">
        <v>0</v>
      </c>
      <c r="M620" t="n">
        <v>0</v>
      </c>
      <c r="N620" t="n">
        <v>0</v>
      </c>
      <c r="O620" t="n">
        <v>0</v>
      </c>
      <c r="P620" t="n">
        <v>0</v>
      </c>
      <c r="Q620" t="n">
        <v>0</v>
      </c>
      <c r="R620" s="2" t="inlineStr"/>
    </row>
    <row r="621" ht="15" customHeight="1">
      <c r="A621" t="inlineStr">
        <is>
          <t>A 32178-2024</t>
        </is>
      </c>
      <c r="B621" s="1" t="n">
        <v>45511</v>
      </c>
      <c r="C621" s="1" t="n">
        <v>46063</v>
      </c>
      <c r="D621" t="inlineStr">
        <is>
          <t>JÄMTLANDS LÄN</t>
        </is>
      </c>
      <c r="E621" t="inlineStr">
        <is>
          <t>BERG</t>
        </is>
      </c>
      <c r="G621" t="n">
        <v>11.4</v>
      </c>
      <c r="H621" t="n">
        <v>0</v>
      </c>
      <c r="I621" t="n">
        <v>0</v>
      </c>
      <c r="J621" t="n">
        <v>0</v>
      </c>
      <c r="K621" t="n">
        <v>0</v>
      </c>
      <c r="L621" t="n">
        <v>0</v>
      </c>
      <c r="M621" t="n">
        <v>0</v>
      </c>
      <c r="N621" t="n">
        <v>0</v>
      </c>
      <c r="O621" t="n">
        <v>0</v>
      </c>
      <c r="P621" t="n">
        <v>0</v>
      </c>
      <c r="Q621" t="n">
        <v>0</v>
      </c>
      <c r="R621" s="2" t="inlineStr"/>
    </row>
    <row r="622" ht="15" customHeight="1">
      <c r="A622" t="inlineStr">
        <is>
          <t>A 60249-2022</t>
        </is>
      </c>
      <c r="B622" s="1" t="n">
        <v>44903</v>
      </c>
      <c r="C622" s="1" t="n">
        <v>46063</v>
      </c>
      <c r="D622" t="inlineStr">
        <is>
          <t>JÄMTLANDS LÄN</t>
        </is>
      </c>
      <c r="E622" t="inlineStr">
        <is>
          <t>BERG</t>
        </is>
      </c>
      <c r="G622" t="n">
        <v>6</v>
      </c>
      <c r="H622" t="n">
        <v>0</v>
      </c>
      <c r="I622" t="n">
        <v>0</v>
      </c>
      <c r="J622" t="n">
        <v>0</v>
      </c>
      <c r="K622" t="n">
        <v>0</v>
      </c>
      <c r="L622" t="n">
        <v>0</v>
      </c>
      <c r="M622" t="n">
        <v>0</v>
      </c>
      <c r="N622" t="n">
        <v>0</v>
      </c>
      <c r="O622" t="n">
        <v>0</v>
      </c>
      <c r="P622" t="n">
        <v>0</v>
      </c>
      <c r="Q622" t="n">
        <v>0</v>
      </c>
      <c r="R622" s="2" t="inlineStr"/>
    </row>
    <row r="623" ht="15" customHeight="1">
      <c r="A623" t="inlineStr">
        <is>
          <t>A 55043-2025</t>
        </is>
      </c>
      <c r="B623" s="1" t="n">
        <v>45967.65983796296</v>
      </c>
      <c r="C623" s="1" t="n">
        <v>46063</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55267-2025</t>
        </is>
      </c>
      <c r="B624" s="1" t="n">
        <v>45968.66726851852</v>
      </c>
      <c r="C624" s="1" t="n">
        <v>46063</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55239-2025</t>
        </is>
      </c>
      <c r="B625" s="1" t="n">
        <v>45968</v>
      </c>
      <c r="C625" s="1" t="n">
        <v>46063</v>
      </c>
      <c r="D625" t="inlineStr">
        <is>
          <t>JÄMTLANDS LÄN</t>
        </is>
      </c>
      <c r="E625" t="inlineStr">
        <is>
          <t>BERG</t>
        </is>
      </c>
      <c r="G625" t="n">
        <v>6.3</v>
      </c>
      <c r="H625" t="n">
        <v>0</v>
      </c>
      <c r="I625" t="n">
        <v>0</v>
      </c>
      <c r="J625" t="n">
        <v>0</v>
      </c>
      <c r="K625" t="n">
        <v>0</v>
      </c>
      <c r="L625" t="n">
        <v>0</v>
      </c>
      <c r="M625" t="n">
        <v>0</v>
      </c>
      <c r="N625" t="n">
        <v>0</v>
      </c>
      <c r="O625" t="n">
        <v>0</v>
      </c>
      <c r="P625" t="n">
        <v>0</v>
      </c>
      <c r="Q625" t="n">
        <v>0</v>
      </c>
      <c r="R625" s="2" t="inlineStr"/>
    </row>
    <row r="626" ht="15" customHeight="1">
      <c r="A626" t="inlineStr">
        <is>
          <t>A 55240-2025</t>
        </is>
      </c>
      <c r="B626" s="1" t="n">
        <v>45968</v>
      </c>
      <c r="C626" s="1" t="n">
        <v>46063</v>
      </c>
      <c r="D626" t="inlineStr">
        <is>
          <t>JÄMTLANDS LÄN</t>
        </is>
      </c>
      <c r="E626" t="inlineStr">
        <is>
          <t>BERG</t>
        </is>
      </c>
      <c r="G626" t="n">
        <v>11.2</v>
      </c>
      <c r="H626" t="n">
        <v>0</v>
      </c>
      <c r="I626" t="n">
        <v>0</v>
      </c>
      <c r="J626" t="n">
        <v>0</v>
      </c>
      <c r="K626" t="n">
        <v>0</v>
      </c>
      <c r="L626" t="n">
        <v>0</v>
      </c>
      <c r="M626" t="n">
        <v>0</v>
      </c>
      <c r="N626" t="n">
        <v>0</v>
      </c>
      <c r="O626" t="n">
        <v>0</v>
      </c>
      <c r="P626" t="n">
        <v>0</v>
      </c>
      <c r="Q626" t="n">
        <v>0</v>
      </c>
      <c r="R626" s="2" t="inlineStr"/>
    </row>
    <row r="627" ht="15" customHeight="1">
      <c r="A627" t="inlineStr">
        <is>
          <t>A 55022-2025</t>
        </is>
      </c>
      <c r="B627" s="1" t="n">
        <v>45967.62862268519</v>
      </c>
      <c r="C627" s="1" t="n">
        <v>46063</v>
      </c>
      <c r="D627" t="inlineStr">
        <is>
          <t>JÄMTLANDS LÄN</t>
        </is>
      </c>
      <c r="E627" t="inlineStr">
        <is>
          <t>BERG</t>
        </is>
      </c>
      <c r="G627" t="n">
        <v>0.5</v>
      </c>
      <c r="H627" t="n">
        <v>0</v>
      </c>
      <c r="I627" t="n">
        <v>0</v>
      </c>
      <c r="J627" t="n">
        <v>0</v>
      </c>
      <c r="K627" t="n">
        <v>0</v>
      </c>
      <c r="L627" t="n">
        <v>0</v>
      </c>
      <c r="M627" t="n">
        <v>0</v>
      </c>
      <c r="N627" t="n">
        <v>0</v>
      </c>
      <c r="O627" t="n">
        <v>0</v>
      </c>
      <c r="P627" t="n">
        <v>0</v>
      </c>
      <c r="Q627" t="n">
        <v>0</v>
      </c>
      <c r="R627" s="2" t="inlineStr"/>
    </row>
    <row r="628" ht="15" customHeight="1">
      <c r="A628" t="inlineStr">
        <is>
          <t>A 65209-2023</t>
        </is>
      </c>
      <c r="B628" s="1" t="n">
        <v>45289</v>
      </c>
      <c r="C628" s="1" t="n">
        <v>46063</v>
      </c>
      <c r="D628" t="inlineStr">
        <is>
          <t>JÄMTLANDS LÄN</t>
        </is>
      </c>
      <c r="E628" t="inlineStr">
        <is>
          <t>BERG</t>
        </is>
      </c>
      <c r="G628" t="n">
        <v>1</v>
      </c>
      <c r="H628" t="n">
        <v>0</v>
      </c>
      <c r="I628" t="n">
        <v>0</v>
      </c>
      <c r="J628" t="n">
        <v>0</v>
      </c>
      <c r="K628" t="n">
        <v>0</v>
      </c>
      <c r="L628" t="n">
        <v>0</v>
      </c>
      <c r="M628" t="n">
        <v>0</v>
      </c>
      <c r="N628" t="n">
        <v>0</v>
      </c>
      <c r="O628" t="n">
        <v>0</v>
      </c>
      <c r="P628" t="n">
        <v>0</v>
      </c>
      <c r="Q628" t="n">
        <v>0</v>
      </c>
      <c r="R628" s="2" t="inlineStr"/>
    </row>
    <row r="629" ht="15" customHeight="1">
      <c r="A629" t="inlineStr">
        <is>
          <t>A 55237-2025</t>
        </is>
      </c>
      <c r="B629" s="1" t="n">
        <v>45968</v>
      </c>
      <c r="C629" s="1" t="n">
        <v>46063</v>
      </c>
      <c r="D629" t="inlineStr">
        <is>
          <t>JÄMTLANDS LÄN</t>
        </is>
      </c>
      <c r="E629" t="inlineStr">
        <is>
          <t>BERG</t>
        </is>
      </c>
      <c r="G629" t="n">
        <v>11.9</v>
      </c>
      <c r="H629" t="n">
        <v>0</v>
      </c>
      <c r="I629" t="n">
        <v>0</v>
      </c>
      <c r="J629" t="n">
        <v>0</v>
      </c>
      <c r="K629" t="n">
        <v>0</v>
      </c>
      <c r="L629" t="n">
        <v>0</v>
      </c>
      <c r="M629" t="n">
        <v>0</v>
      </c>
      <c r="N629" t="n">
        <v>0</v>
      </c>
      <c r="O629" t="n">
        <v>0</v>
      </c>
      <c r="P629" t="n">
        <v>0</v>
      </c>
      <c r="Q629" t="n">
        <v>0</v>
      </c>
      <c r="R629" s="2" t="inlineStr"/>
    </row>
    <row r="630" ht="15" customHeight="1">
      <c r="A630" t="inlineStr">
        <is>
          <t>A 17899-2024</t>
        </is>
      </c>
      <c r="B630" s="1" t="n">
        <v>45419.49334490741</v>
      </c>
      <c r="C630" s="1" t="n">
        <v>46063</v>
      </c>
      <c r="D630" t="inlineStr">
        <is>
          <t>JÄMTLANDS LÄN</t>
        </is>
      </c>
      <c r="E630" t="inlineStr">
        <is>
          <t>BERG</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19181-2025</t>
        </is>
      </c>
      <c r="B631" s="1" t="n">
        <v>45769.40174768519</v>
      </c>
      <c r="C631" s="1" t="n">
        <v>46063</v>
      </c>
      <c r="D631" t="inlineStr">
        <is>
          <t>JÄMTLANDS LÄN</t>
        </is>
      </c>
      <c r="E631" t="inlineStr">
        <is>
          <t>BERG</t>
        </is>
      </c>
      <c r="G631" t="n">
        <v>4.4</v>
      </c>
      <c r="H631" t="n">
        <v>0</v>
      </c>
      <c r="I631" t="n">
        <v>0</v>
      </c>
      <c r="J631" t="n">
        <v>0</v>
      </c>
      <c r="K631" t="n">
        <v>0</v>
      </c>
      <c r="L631" t="n">
        <v>0</v>
      </c>
      <c r="M631" t="n">
        <v>0</v>
      </c>
      <c r="N631" t="n">
        <v>0</v>
      </c>
      <c r="O631" t="n">
        <v>0</v>
      </c>
      <c r="P631" t="n">
        <v>0</v>
      </c>
      <c r="Q631" t="n">
        <v>0</v>
      </c>
      <c r="R631" s="2" t="inlineStr"/>
    </row>
    <row r="632" ht="15" customHeight="1">
      <c r="A632" t="inlineStr">
        <is>
          <t>A 55472-2025</t>
        </is>
      </c>
      <c r="B632" s="1" t="n">
        <v>45971.54526620371</v>
      </c>
      <c r="C632" s="1" t="n">
        <v>46063</v>
      </c>
      <c r="D632" t="inlineStr">
        <is>
          <t>JÄMTLANDS LÄN</t>
        </is>
      </c>
      <c r="E632" t="inlineStr">
        <is>
          <t>BERG</t>
        </is>
      </c>
      <c r="G632" t="n">
        <v>3.2</v>
      </c>
      <c r="H632" t="n">
        <v>0</v>
      </c>
      <c r="I632" t="n">
        <v>0</v>
      </c>
      <c r="J632" t="n">
        <v>0</v>
      </c>
      <c r="K632" t="n">
        <v>0</v>
      </c>
      <c r="L632" t="n">
        <v>0</v>
      </c>
      <c r="M632" t="n">
        <v>0</v>
      </c>
      <c r="N632" t="n">
        <v>0</v>
      </c>
      <c r="O632" t="n">
        <v>0</v>
      </c>
      <c r="P632" t="n">
        <v>0</v>
      </c>
      <c r="Q632" t="n">
        <v>0</v>
      </c>
      <c r="R632" s="2" t="inlineStr"/>
    </row>
    <row r="633" ht="15" customHeight="1">
      <c r="A633" t="inlineStr">
        <is>
          <t>A 55497-2025</t>
        </is>
      </c>
      <c r="B633" s="1" t="n">
        <v>45971.58337962963</v>
      </c>
      <c r="C633" s="1" t="n">
        <v>46063</v>
      </c>
      <c r="D633" t="inlineStr">
        <is>
          <t>JÄMTLANDS LÄN</t>
        </is>
      </c>
      <c r="E633" t="inlineStr">
        <is>
          <t>BERG</t>
        </is>
      </c>
      <c r="G633" t="n">
        <v>15</v>
      </c>
      <c r="H633" t="n">
        <v>0</v>
      </c>
      <c r="I633" t="n">
        <v>0</v>
      </c>
      <c r="J633" t="n">
        <v>0</v>
      </c>
      <c r="K633" t="n">
        <v>0</v>
      </c>
      <c r="L633" t="n">
        <v>0</v>
      </c>
      <c r="M633" t="n">
        <v>0</v>
      </c>
      <c r="N633" t="n">
        <v>0</v>
      </c>
      <c r="O633" t="n">
        <v>0</v>
      </c>
      <c r="P633" t="n">
        <v>0</v>
      </c>
      <c r="Q633" t="n">
        <v>0</v>
      </c>
      <c r="R633" s="2" t="inlineStr"/>
    </row>
    <row r="634" ht="15" customHeight="1">
      <c r="A634" t="inlineStr">
        <is>
          <t>A 55575-2025</t>
        </is>
      </c>
      <c r="B634" s="1" t="n">
        <v>45971.66145833334</v>
      </c>
      <c r="C634" s="1" t="n">
        <v>46063</v>
      </c>
      <c r="D634" t="inlineStr">
        <is>
          <t>JÄMTLANDS LÄN</t>
        </is>
      </c>
      <c r="E634" t="inlineStr">
        <is>
          <t>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55553-2025</t>
        </is>
      </c>
      <c r="B635" s="1" t="n">
        <v>45971.64445601852</v>
      </c>
      <c r="C635" s="1" t="n">
        <v>46063</v>
      </c>
      <c r="D635" t="inlineStr">
        <is>
          <t>JÄMTLANDS LÄN</t>
        </is>
      </c>
      <c r="E635" t="inlineStr">
        <is>
          <t>BERG</t>
        </is>
      </c>
      <c r="G635" t="n">
        <v>2.9</v>
      </c>
      <c r="H635" t="n">
        <v>0</v>
      </c>
      <c r="I635" t="n">
        <v>0</v>
      </c>
      <c r="J635" t="n">
        <v>0</v>
      </c>
      <c r="K635" t="n">
        <v>0</v>
      </c>
      <c r="L635" t="n">
        <v>0</v>
      </c>
      <c r="M635" t="n">
        <v>0</v>
      </c>
      <c r="N635" t="n">
        <v>0</v>
      </c>
      <c r="O635" t="n">
        <v>0</v>
      </c>
      <c r="P635" t="n">
        <v>0</v>
      </c>
      <c r="Q635" t="n">
        <v>0</v>
      </c>
      <c r="R635" s="2" t="inlineStr"/>
    </row>
    <row r="636" ht="15" customHeight="1">
      <c r="A636" t="inlineStr">
        <is>
          <t>A 41868-2024</t>
        </is>
      </c>
      <c r="B636" s="1" t="n">
        <v>45561.46900462963</v>
      </c>
      <c r="C636" s="1" t="n">
        <v>46063</v>
      </c>
      <c r="D636" t="inlineStr">
        <is>
          <t>JÄMTLANDS LÄN</t>
        </is>
      </c>
      <c r="E636" t="inlineStr">
        <is>
          <t>BERG</t>
        </is>
      </c>
      <c r="G636" t="n">
        <v>2.3</v>
      </c>
      <c r="H636" t="n">
        <v>0</v>
      </c>
      <c r="I636" t="n">
        <v>0</v>
      </c>
      <c r="J636" t="n">
        <v>0</v>
      </c>
      <c r="K636" t="n">
        <v>0</v>
      </c>
      <c r="L636" t="n">
        <v>0</v>
      </c>
      <c r="M636" t="n">
        <v>0</v>
      </c>
      <c r="N636" t="n">
        <v>0</v>
      </c>
      <c r="O636" t="n">
        <v>0</v>
      </c>
      <c r="P636" t="n">
        <v>0</v>
      </c>
      <c r="Q636" t="n">
        <v>0</v>
      </c>
      <c r="R636" s="2" t="inlineStr"/>
    </row>
    <row r="637" ht="15" customHeight="1">
      <c r="A637" t="inlineStr">
        <is>
          <t>A 34845-2023</t>
        </is>
      </c>
      <c r="B637" s="1" t="n">
        <v>45141.95964120371</v>
      </c>
      <c r="C637" s="1" t="n">
        <v>46063</v>
      </c>
      <c r="D637" t="inlineStr">
        <is>
          <t>JÄMTLANDS LÄN</t>
        </is>
      </c>
      <c r="E637" t="inlineStr">
        <is>
          <t>BERG</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56199-2025</t>
        </is>
      </c>
      <c r="B638" s="1" t="n">
        <v>45974.45790509259</v>
      </c>
      <c r="C638" s="1" t="n">
        <v>46063</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31330-2024</t>
        </is>
      </c>
      <c r="B639" s="1" t="n">
        <v>45504</v>
      </c>
      <c r="C639" s="1" t="n">
        <v>46063</v>
      </c>
      <c r="D639" t="inlineStr">
        <is>
          <t>JÄMTLANDS LÄN</t>
        </is>
      </c>
      <c r="E639" t="inlineStr">
        <is>
          <t>BERG</t>
        </is>
      </c>
      <c r="G639" t="n">
        <v>30.5</v>
      </c>
      <c r="H639" t="n">
        <v>0</v>
      </c>
      <c r="I639" t="n">
        <v>0</v>
      </c>
      <c r="J639" t="n">
        <v>0</v>
      </c>
      <c r="K639" t="n">
        <v>0</v>
      </c>
      <c r="L639" t="n">
        <v>0</v>
      </c>
      <c r="M639" t="n">
        <v>0</v>
      </c>
      <c r="N639" t="n">
        <v>0</v>
      </c>
      <c r="O639" t="n">
        <v>0</v>
      </c>
      <c r="P639" t="n">
        <v>0</v>
      </c>
      <c r="Q639" t="n">
        <v>0</v>
      </c>
      <c r="R639" s="2" t="inlineStr"/>
    </row>
    <row r="640" ht="15" customHeight="1">
      <c r="A640" t="inlineStr">
        <is>
          <t>A 56234-2025</t>
        </is>
      </c>
      <c r="B640" s="1" t="n">
        <v>45974.53696759259</v>
      </c>
      <c r="C640" s="1" t="n">
        <v>46063</v>
      </c>
      <c r="D640" t="inlineStr">
        <is>
          <t>JÄMTLANDS LÄN</t>
        </is>
      </c>
      <c r="E640" t="inlineStr">
        <is>
          <t>BERG</t>
        </is>
      </c>
      <c r="G640" t="n">
        <v>11.7</v>
      </c>
      <c r="H640" t="n">
        <v>0</v>
      </c>
      <c r="I640" t="n">
        <v>0</v>
      </c>
      <c r="J640" t="n">
        <v>0</v>
      </c>
      <c r="K640" t="n">
        <v>0</v>
      </c>
      <c r="L640" t="n">
        <v>0</v>
      </c>
      <c r="M640" t="n">
        <v>0</v>
      </c>
      <c r="N640" t="n">
        <v>0</v>
      </c>
      <c r="O640" t="n">
        <v>0</v>
      </c>
      <c r="P640" t="n">
        <v>0</v>
      </c>
      <c r="Q640" t="n">
        <v>0</v>
      </c>
      <c r="R640" s="2" t="inlineStr"/>
    </row>
    <row r="641" ht="15" customHeight="1">
      <c r="A641" t="inlineStr">
        <is>
          <t>A 34367-2024</t>
        </is>
      </c>
      <c r="B641" s="1" t="n">
        <v>45525.38040509259</v>
      </c>
      <c r="C641" s="1" t="n">
        <v>46063</v>
      </c>
      <c r="D641" t="inlineStr">
        <is>
          <t>JÄMTLANDS LÄN</t>
        </is>
      </c>
      <c r="E641" t="inlineStr">
        <is>
          <t>BERG</t>
        </is>
      </c>
      <c r="G641" t="n">
        <v>0.4</v>
      </c>
      <c r="H641" t="n">
        <v>0</v>
      </c>
      <c r="I641" t="n">
        <v>0</v>
      </c>
      <c r="J641" t="n">
        <v>0</v>
      </c>
      <c r="K641" t="n">
        <v>0</v>
      </c>
      <c r="L641" t="n">
        <v>0</v>
      </c>
      <c r="M641" t="n">
        <v>0</v>
      </c>
      <c r="N641" t="n">
        <v>0</v>
      </c>
      <c r="O641" t="n">
        <v>0</v>
      </c>
      <c r="P641" t="n">
        <v>0</v>
      </c>
      <c r="Q641" t="n">
        <v>0</v>
      </c>
      <c r="R641" s="2" t="inlineStr"/>
    </row>
    <row r="642" ht="15" customHeight="1">
      <c r="A642" t="inlineStr">
        <is>
          <t>A 34369-2024</t>
        </is>
      </c>
      <c r="B642" s="1" t="n">
        <v>45525.38228009259</v>
      </c>
      <c r="C642" s="1" t="n">
        <v>46063</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13108-2025</t>
        </is>
      </c>
      <c r="B643" s="1" t="n">
        <v>45734</v>
      </c>
      <c r="C643" s="1" t="n">
        <v>46063</v>
      </c>
      <c r="D643" t="inlineStr">
        <is>
          <t>JÄMTLANDS LÄN</t>
        </is>
      </c>
      <c r="E643" t="inlineStr">
        <is>
          <t>BERG</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65210-2023</t>
        </is>
      </c>
      <c r="B644" s="1" t="n">
        <v>45289</v>
      </c>
      <c r="C644" s="1" t="n">
        <v>46063</v>
      </c>
      <c r="D644" t="inlineStr">
        <is>
          <t>JÄMTLANDS LÄN</t>
        </is>
      </c>
      <c r="E644" t="inlineStr">
        <is>
          <t>BERG</t>
        </is>
      </c>
      <c r="G644" t="n">
        <v>0.4</v>
      </c>
      <c r="H644" t="n">
        <v>0</v>
      </c>
      <c r="I644" t="n">
        <v>0</v>
      </c>
      <c r="J644" t="n">
        <v>0</v>
      </c>
      <c r="K644" t="n">
        <v>0</v>
      </c>
      <c r="L644" t="n">
        <v>0</v>
      </c>
      <c r="M644" t="n">
        <v>0</v>
      </c>
      <c r="N644" t="n">
        <v>0</v>
      </c>
      <c r="O644" t="n">
        <v>0</v>
      </c>
      <c r="P644" t="n">
        <v>0</v>
      </c>
      <c r="Q644" t="n">
        <v>0</v>
      </c>
      <c r="R644" s="2" t="inlineStr"/>
    </row>
    <row r="645" ht="15" customHeight="1">
      <c r="A645" t="inlineStr">
        <is>
          <t>A 27239-2023</t>
        </is>
      </c>
      <c r="B645" s="1" t="n">
        <v>45092</v>
      </c>
      <c r="C645" s="1" t="n">
        <v>46063</v>
      </c>
      <c r="D645" t="inlineStr">
        <is>
          <t>JÄMTLANDS LÄN</t>
        </is>
      </c>
      <c r="E645" t="inlineStr">
        <is>
          <t>BERG</t>
        </is>
      </c>
      <c r="G645" t="n">
        <v>5.3</v>
      </c>
      <c r="H645" t="n">
        <v>0</v>
      </c>
      <c r="I645" t="n">
        <v>0</v>
      </c>
      <c r="J645" t="n">
        <v>0</v>
      </c>
      <c r="K645" t="n">
        <v>0</v>
      </c>
      <c r="L645" t="n">
        <v>0</v>
      </c>
      <c r="M645" t="n">
        <v>0</v>
      </c>
      <c r="N645" t="n">
        <v>0</v>
      </c>
      <c r="O645" t="n">
        <v>0</v>
      </c>
      <c r="P645" t="n">
        <v>0</v>
      </c>
      <c r="Q645" t="n">
        <v>0</v>
      </c>
      <c r="R645" s="2" t="inlineStr"/>
    </row>
    <row r="646" ht="15" customHeight="1">
      <c r="A646" t="inlineStr">
        <is>
          <t>A 56457-2025</t>
        </is>
      </c>
      <c r="B646" s="1" t="n">
        <v>45975.36277777778</v>
      </c>
      <c r="C646" s="1" t="n">
        <v>46063</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59459-2024</t>
        </is>
      </c>
      <c r="B647" s="1" t="n">
        <v>45638</v>
      </c>
      <c r="C647" s="1" t="n">
        <v>46063</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33750-2023</t>
        </is>
      </c>
      <c r="B648" s="1" t="n">
        <v>45120</v>
      </c>
      <c r="C648" s="1" t="n">
        <v>46063</v>
      </c>
      <c r="D648" t="inlineStr">
        <is>
          <t>JÄMTLANDS LÄN</t>
        </is>
      </c>
      <c r="E648" t="inlineStr">
        <is>
          <t>BERG</t>
        </is>
      </c>
      <c r="G648" t="n">
        <v>2.6</v>
      </c>
      <c r="H648" t="n">
        <v>0</v>
      </c>
      <c r="I648" t="n">
        <v>0</v>
      </c>
      <c r="J648" t="n">
        <v>0</v>
      </c>
      <c r="K648" t="n">
        <v>0</v>
      </c>
      <c r="L648" t="n">
        <v>0</v>
      </c>
      <c r="M648" t="n">
        <v>0</v>
      </c>
      <c r="N648" t="n">
        <v>0</v>
      </c>
      <c r="O648" t="n">
        <v>0</v>
      </c>
      <c r="P648" t="n">
        <v>0</v>
      </c>
      <c r="Q648" t="n">
        <v>0</v>
      </c>
      <c r="R648" s="2" t="inlineStr"/>
    </row>
    <row r="649" ht="15" customHeight="1">
      <c r="A649" t="inlineStr">
        <is>
          <t>A 11599-2025</t>
        </is>
      </c>
      <c r="B649" s="1" t="n">
        <v>45727.4261574074</v>
      </c>
      <c r="C649" s="1" t="n">
        <v>46063</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37086-2024</t>
        </is>
      </c>
      <c r="B650" s="1" t="n">
        <v>45539.49776620371</v>
      </c>
      <c r="C650" s="1" t="n">
        <v>46063</v>
      </c>
      <c r="D650" t="inlineStr">
        <is>
          <t>JÄMTLANDS LÄN</t>
        </is>
      </c>
      <c r="E650" t="inlineStr">
        <is>
          <t>BERG</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43762-2023</t>
        </is>
      </c>
      <c r="B651" s="1" t="n">
        <v>45182</v>
      </c>
      <c r="C651" s="1" t="n">
        <v>46063</v>
      </c>
      <c r="D651" t="inlineStr">
        <is>
          <t>JÄMTLANDS LÄN</t>
        </is>
      </c>
      <c r="E651" t="inlineStr">
        <is>
          <t>BERG</t>
        </is>
      </c>
      <c r="G651" t="n">
        <v>6.4</v>
      </c>
      <c r="H651" t="n">
        <v>0</v>
      </c>
      <c r="I651" t="n">
        <v>0</v>
      </c>
      <c r="J651" t="n">
        <v>0</v>
      </c>
      <c r="K651" t="n">
        <v>0</v>
      </c>
      <c r="L651" t="n">
        <v>0</v>
      </c>
      <c r="M651" t="n">
        <v>0</v>
      </c>
      <c r="N651" t="n">
        <v>0</v>
      </c>
      <c r="O651" t="n">
        <v>0</v>
      </c>
      <c r="P651" t="n">
        <v>0</v>
      </c>
      <c r="Q651" t="n">
        <v>0</v>
      </c>
      <c r="R651" s="2" t="inlineStr"/>
    </row>
    <row r="652" ht="15" customHeight="1">
      <c r="A652" t="inlineStr">
        <is>
          <t>A 57192-2025</t>
        </is>
      </c>
      <c r="B652" s="1" t="n">
        <v>45979.57696759259</v>
      </c>
      <c r="C652" s="1" t="n">
        <v>46063</v>
      </c>
      <c r="D652" t="inlineStr">
        <is>
          <t>JÄMTLANDS LÄN</t>
        </is>
      </c>
      <c r="E652" t="inlineStr">
        <is>
          <t>BERG</t>
        </is>
      </c>
      <c r="G652" t="n">
        <v>0.8</v>
      </c>
      <c r="H652" t="n">
        <v>0</v>
      </c>
      <c r="I652" t="n">
        <v>0</v>
      </c>
      <c r="J652" t="n">
        <v>0</v>
      </c>
      <c r="K652" t="n">
        <v>0</v>
      </c>
      <c r="L652" t="n">
        <v>0</v>
      </c>
      <c r="M652" t="n">
        <v>0</v>
      </c>
      <c r="N652" t="n">
        <v>0</v>
      </c>
      <c r="O652" t="n">
        <v>0</v>
      </c>
      <c r="P652" t="n">
        <v>0</v>
      </c>
      <c r="Q652" t="n">
        <v>0</v>
      </c>
      <c r="R652" s="2" t="inlineStr"/>
    </row>
    <row r="653" ht="15" customHeight="1">
      <c r="A653" t="inlineStr">
        <is>
          <t>A 57503-2025</t>
        </is>
      </c>
      <c r="B653" s="1" t="n">
        <v>45980.59431712963</v>
      </c>
      <c r="C653" s="1" t="n">
        <v>46063</v>
      </c>
      <c r="D653" t="inlineStr">
        <is>
          <t>JÄMTLANDS LÄN</t>
        </is>
      </c>
      <c r="E653" t="inlineStr">
        <is>
          <t>BERG</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31155-2024</t>
        </is>
      </c>
      <c r="B654" s="1" t="n">
        <v>45503</v>
      </c>
      <c r="C654" s="1" t="n">
        <v>46063</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57046-2025</t>
        </is>
      </c>
      <c r="B655" s="1" t="n">
        <v>45979.34672453703</v>
      </c>
      <c r="C655" s="1" t="n">
        <v>46063</v>
      </c>
      <c r="D655" t="inlineStr">
        <is>
          <t>JÄMTLANDS LÄN</t>
        </is>
      </c>
      <c r="E655" t="inlineStr">
        <is>
          <t>BERG</t>
        </is>
      </c>
      <c r="F655" t="inlineStr">
        <is>
          <t>SCA</t>
        </is>
      </c>
      <c r="G655" t="n">
        <v>10.8</v>
      </c>
      <c r="H655" t="n">
        <v>0</v>
      </c>
      <c r="I655" t="n">
        <v>0</v>
      </c>
      <c r="J655" t="n">
        <v>0</v>
      </c>
      <c r="K655" t="n">
        <v>0</v>
      </c>
      <c r="L655" t="n">
        <v>0</v>
      </c>
      <c r="M655" t="n">
        <v>0</v>
      </c>
      <c r="N655" t="n">
        <v>0</v>
      </c>
      <c r="O655" t="n">
        <v>0</v>
      </c>
      <c r="P655" t="n">
        <v>0</v>
      </c>
      <c r="Q655" t="n">
        <v>0</v>
      </c>
      <c r="R655" s="2" t="inlineStr"/>
    </row>
    <row r="656" ht="15" customHeight="1">
      <c r="A656" t="inlineStr">
        <is>
          <t>A 35921-2024</t>
        </is>
      </c>
      <c r="B656" s="1" t="n">
        <v>45533.42659722222</v>
      </c>
      <c r="C656" s="1" t="n">
        <v>46063</v>
      </c>
      <c r="D656" t="inlineStr">
        <is>
          <t>JÄMTLANDS LÄN</t>
        </is>
      </c>
      <c r="E656" t="inlineStr">
        <is>
          <t>BERG</t>
        </is>
      </c>
      <c r="G656" t="n">
        <v>1.2</v>
      </c>
      <c r="H656" t="n">
        <v>0</v>
      </c>
      <c r="I656" t="n">
        <v>0</v>
      </c>
      <c r="J656" t="n">
        <v>0</v>
      </c>
      <c r="K656" t="n">
        <v>0</v>
      </c>
      <c r="L656" t="n">
        <v>0</v>
      </c>
      <c r="M656" t="n">
        <v>0</v>
      </c>
      <c r="N656" t="n">
        <v>0</v>
      </c>
      <c r="O656" t="n">
        <v>0</v>
      </c>
      <c r="P656" t="n">
        <v>0</v>
      </c>
      <c r="Q656" t="n">
        <v>0</v>
      </c>
      <c r="R656" s="2" t="inlineStr"/>
    </row>
    <row r="657" ht="15" customHeight="1">
      <c r="A657" t="inlineStr">
        <is>
          <t>A 57039-2025</t>
        </is>
      </c>
      <c r="B657" s="1" t="n">
        <v>45979.34543981482</v>
      </c>
      <c r="C657" s="1" t="n">
        <v>46063</v>
      </c>
      <c r="D657" t="inlineStr">
        <is>
          <t>JÄMTLANDS LÄN</t>
        </is>
      </c>
      <c r="E657" t="inlineStr">
        <is>
          <t>BERG</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57602-2025</t>
        </is>
      </c>
      <c r="B658" s="1" t="n">
        <v>45981.31667824074</v>
      </c>
      <c r="C658" s="1" t="n">
        <v>46063</v>
      </c>
      <c r="D658" t="inlineStr">
        <is>
          <t>JÄMTLANDS LÄN</t>
        </is>
      </c>
      <c r="E658" t="inlineStr">
        <is>
          <t>BERG</t>
        </is>
      </c>
      <c r="G658" t="n">
        <v>2.7</v>
      </c>
      <c r="H658" t="n">
        <v>0</v>
      </c>
      <c r="I658" t="n">
        <v>0</v>
      </c>
      <c r="J658" t="n">
        <v>0</v>
      </c>
      <c r="K658" t="n">
        <v>0</v>
      </c>
      <c r="L658" t="n">
        <v>0</v>
      </c>
      <c r="M658" t="n">
        <v>0</v>
      </c>
      <c r="N658" t="n">
        <v>0</v>
      </c>
      <c r="O658" t="n">
        <v>0</v>
      </c>
      <c r="P658" t="n">
        <v>0</v>
      </c>
      <c r="Q658" t="n">
        <v>0</v>
      </c>
      <c r="R658" s="2" t="inlineStr"/>
    </row>
    <row r="659" ht="15" customHeight="1">
      <c r="A659" t="inlineStr">
        <is>
          <t>A 57849-2025</t>
        </is>
      </c>
      <c r="B659" s="1" t="n">
        <v>45981.63472222222</v>
      </c>
      <c r="C659" s="1" t="n">
        <v>46063</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57763-2025</t>
        </is>
      </c>
      <c r="B660" s="1" t="n">
        <v>45981.55693287037</v>
      </c>
      <c r="C660" s="1" t="n">
        <v>46063</v>
      </c>
      <c r="D660" t="inlineStr">
        <is>
          <t>JÄMTLANDS LÄN</t>
        </is>
      </c>
      <c r="E660" t="inlineStr">
        <is>
          <t>BERG</t>
        </is>
      </c>
      <c r="F660" t="inlineStr">
        <is>
          <t>Övriga Aktiebolag</t>
        </is>
      </c>
      <c r="G660" t="n">
        <v>13.1</v>
      </c>
      <c r="H660" t="n">
        <v>0</v>
      </c>
      <c r="I660" t="n">
        <v>0</v>
      </c>
      <c r="J660" t="n">
        <v>0</v>
      </c>
      <c r="K660" t="n">
        <v>0</v>
      </c>
      <c r="L660" t="n">
        <v>0</v>
      </c>
      <c r="M660" t="n">
        <v>0</v>
      </c>
      <c r="N660" t="n">
        <v>0</v>
      </c>
      <c r="O660" t="n">
        <v>0</v>
      </c>
      <c r="P660" t="n">
        <v>0</v>
      </c>
      <c r="Q660" t="n">
        <v>0</v>
      </c>
      <c r="R660" s="2" t="inlineStr"/>
    </row>
    <row r="661" ht="15" customHeight="1">
      <c r="A661" t="inlineStr">
        <is>
          <t>A 57861-2025</t>
        </is>
      </c>
      <c r="B661" s="1" t="n">
        <v>45981.64236111111</v>
      </c>
      <c r="C661" s="1" t="n">
        <v>46063</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58438-2025</t>
        </is>
      </c>
      <c r="B662" s="1" t="n">
        <v>45985.61513888889</v>
      </c>
      <c r="C662" s="1" t="n">
        <v>46063</v>
      </c>
      <c r="D662" t="inlineStr">
        <is>
          <t>JÄMTLANDS LÄN</t>
        </is>
      </c>
      <c r="E662" t="inlineStr">
        <is>
          <t>BERG</t>
        </is>
      </c>
      <c r="G662" t="n">
        <v>5.1</v>
      </c>
      <c r="H662" t="n">
        <v>0</v>
      </c>
      <c r="I662" t="n">
        <v>0</v>
      </c>
      <c r="J662" t="n">
        <v>0</v>
      </c>
      <c r="K662" t="n">
        <v>0</v>
      </c>
      <c r="L662" t="n">
        <v>0</v>
      </c>
      <c r="M662" t="n">
        <v>0</v>
      </c>
      <c r="N662" t="n">
        <v>0</v>
      </c>
      <c r="O662" t="n">
        <v>0</v>
      </c>
      <c r="P662" t="n">
        <v>0</v>
      </c>
      <c r="Q662" t="n">
        <v>0</v>
      </c>
      <c r="R662" s="2" t="inlineStr"/>
    </row>
    <row r="663" ht="15" customHeight="1">
      <c r="A663" t="inlineStr">
        <is>
          <t>A 58413-2025</t>
        </is>
      </c>
      <c r="B663" s="1" t="n">
        <v>45985.57662037037</v>
      </c>
      <c r="C663" s="1" t="n">
        <v>46063</v>
      </c>
      <c r="D663" t="inlineStr">
        <is>
          <t>JÄMTLANDS LÄN</t>
        </is>
      </c>
      <c r="E663" t="inlineStr">
        <is>
          <t>BERG</t>
        </is>
      </c>
      <c r="G663" t="n">
        <v>4.2</v>
      </c>
      <c r="H663" t="n">
        <v>0</v>
      </c>
      <c r="I663" t="n">
        <v>0</v>
      </c>
      <c r="J663" t="n">
        <v>0</v>
      </c>
      <c r="K663" t="n">
        <v>0</v>
      </c>
      <c r="L663" t="n">
        <v>0</v>
      </c>
      <c r="M663" t="n">
        <v>0</v>
      </c>
      <c r="N663" t="n">
        <v>0</v>
      </c>
      <c r="O663" t="n">
        <v>0</v>
      </c>
      <c r="P663" t="n">
        <v>0</v>
      </c>
      <c r="Q663" t="n">
        <v>0</v>
      </c>
      <c r="R663" s="2" t="inlineStr"/>
    </row>
    <row r="664" ht="15" customHeight="1">
      <c r="A664" t="inlineStr">
        <is>
          <t>A 58581-2025</t>
        </is>
      </c>
      <c r="B664" s="1" t="n">
        <v>45986.38626157407</v>
      </c>
      <c r="C664" s="1" t="n">
        <v>46063</v>
      </c>
      <c r="D664" t="inlineStr">
        <is>
          <t>JÄMTLANDS LÄN</t>
        </is>
      </c>
      <c r="E664" t="inlineStr">
        <is>
          <t>BERG</t>
        </is>
      </c>
      <c r="G664" t="n">
        <v>6.9</v>
      </c>
      <c r="H664" t="n">
        <v>0</v>
      </c>
      <c r="I664" t="n">
        <v>0</v>
      </c>
      <c r="J664" t="n">
        <v>0</v>
      </c>
      <c r="K664" t="n">
        <v>0</v>
      </c>
      <c r="L664" t="n">
        <v>0</v>
      </c>
      <c r="M664" t="n">
        <v>0</v>
      </c>
      <c r="N664" t="n">
        <v>0</v>
      </c>
      <c r="O664" t="n">
        <v>0</v>
      </c>
      <c r="P664" t="n">
        <v>0</v>
      </c>
      <c r="Q664" t="n">
        <v>0</v>
      </c>
      <c r="R664" s="2" t="inlineStr"/>
    </row>
    <row r="665" ht="15" customHeight="1">
      <c r="A665" t="inlineStr">
        <is>
          <t>A 5014-2024</t>
        </is>
      </c>
      <c r="B665" s="1" t="n">
        <v>45329</v>
      </c>
      <c r="C665" s="1" t="n">
        <v>46063</v>
      </c>
      <c r="D665" t="inlineStr">
        <is>
          <t>JÄMTLANDS LÄN</t>
        </is>
      </c>
      <c r="E665" t="inlineStr">
        <is>
          <t>BERG</t>
        </is>
      </c>
      <c r="G665" t="n">
        <v>1.1</v>
      </c>
      <c r="H665" t="n">
        <v>0</v>
      </c>
      <c r="I665" t="n">
        <v>0</v>
      </c>
      <c r="J665" t="n">
        <v>0</v>
      </c>
      <c r="K665" t="n">
        <v>0</v>
      </c>
      <c r="L665" t="n">
        <v>0</v>
      </c>
      <c r="M665" t="n">
        <v>0</v>
      </c>
      <c r="N665" t="n">
        <v>0</v>
      </c>
      <c r="O665" t="n">
        <v>0</v>
      </c>
      <c r="P665" t="n">
        <v>0</v>
      </c>
      <c r="Q665" t="n">
        <v>0</v>
      </c>
      <c r="R665" s="2" t="inlineStr"/>
    </row>
    <row r="666" ht="15" customHeight="1">
      <c r="A666" t="inlineStr">
        <is>
          <t>A 58436-2025</t>
        </is>
      </c>
      <c r="B666" s="1" t="n">
        <v>45985.61510416667</v>
      </c>
      <c r="C666" s="1" t="n">
        <v>46063</v>
      </c>
      <c r="D666" t="inlineStr">
        <is>
          <t>JÄMTLANDS LÄN</t>
        </is>
      </c>
      <c r="E666" t="inlineStr">
        <is>
          <t>BERG</t>
        </is>
      </c>
      <c r="G666" t="n">
        <v>1.7</v>
      </c>
      <c r="H666" t="n">
        <v>0</v>
      </c>
      <c r="I666" t="n">
        <v>0</v>
      </c>
      <c r="J666" t="n">
        <v>0</v>
      </c>
      <c r="K666" t="n">
        <v>0</v>
      </c>
      <c r="L666" t="n">
        <v>0</v>
      </c>
      <c r="M666" t="n">
        <v>0</v>
      </c>
      <c r="N666" t="n">
        <v>0</v>
      </c>
      <c r="O666" t="n">
        <v>0</v>
      </c>
      <c r="P666" t="n">
        <v>0</v>
      </c>
      <c r="Q666" t="n">
        <v>0</v>
      </c>
      <c r="R666" s="2" t="inlineStr"/>
    </row>
    <row r="667" ht="15" customHeight="1">
      <c r="A667" t="inlineStr">
        <is>
          <t>A 58437-2025</t>
        </is>
      </c>
      <c r="B667" s="1" t="n">
        <v>45985.61512731481</v>
      </c>
      <c r="C667" s="1" t="n">
        <v>46063</v>
      </c>
      <c r="D667" t="inlineStr">
        <is>
          <t>JÄMTLANDS LÄN</t>
        </is>
      </c>
      <c r="E667" t="inlineStr">
        <is>
          <t>BERG</t>
        </is>
      </c>
      <c r="G667" t="n">
        <v>1.6</v>
      </c>
      <c r="H667" t="n">
        <v>0</v>
      </c>
      <c r="I667" t="n">
        <v>0</v>
      </c>
      <c r="J667" t="n">
        <v>0</v>
      </c>
      <c r="K667" t="n">
        <v>0</v>
      </c>
      <c r="L667" t="n">
        <v>0</v>
      </c>
      <c r="M667" t="n">
        <v>0</v>
      </c>
      <c r="N667" t="n">
        <v>0</v>
      </c>
      <c r="O667" t="n">
        <v>0</v>
      </c>
      <c r="P667" t="n">
        <v>0</v>
      </c>
      <c r="Q667" t="n">
        <v>0</v>
      </c>
      <c r="R667" s="2" t="inlineStr"/>
    </row>
    <row r="668" ht="15" customHeight="1">
      <c r="A668" t="inlineStr">
        <is>
          <t>A 58708-2025</t>
        </is>
      </c>
      <c r="B668" s="1" t="n">
        <v>45986.60412037037</v>
      </c>
      <c r="C668" s="1" t="n">
        <v>46063</v>
      </c>
      <c r="D668" t="inlineStr">
        <is>
          <t>JÄMTLANDS LÄN</t>
        </is>
      </c>
      <c r="E668" t="inlineStr">
        <is>
          <t>BERG</t>
        </is>
      </c>
      <c r="G668" t="n">
        <v>2.5</v>
      </c>
      <c r="H668" t="n">
        <v>0</v>
      </c>
      <c r="I668" t="n">
        <v>0</v>
      </c>
      <c r="J668" t="n">
        <v>0</v>
      </c>
      <c r="K668" t="n">
        <v>0</v>
      </c>
      <c r="L668" t="n">
        <v>0</v>
      </c>
      <c r="M668" t="n">
        <v>0</v>
      </c>
      <c r="N668" t="n">
        <v>0</v>
      </c>
      <c r="O668" t="n">
        <v>0</v>
      </c>
      <c r="P668" t="n">
        <v>0</v>
      </c>
      <c r="Q668" t="n">
        <v>0</v>
      </c>
      <c r="R668" s="2" t="inlineStr"/>
    </row>
    <row r="669" ht="15" customHeight="1">
      <c r="A669" t="inlineStr">
        <is>
          <t>A 45346-2023</t>
        </is>
      </c>
      <c r="B669" s="1" t="n">
        <v>45191</v>
      </c>
      <c r="C669" s="1" t="n">
        <v>46063</v>
      </c>
      <c r="D669" t="inlineStr">
        <is>
          <t>JÄMTLANDS LÄN</t>
        </is>
      </c>
      <c r="E669" t="inlineStr">
        <is>
          <t>BERG</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51039-2024</t>
        </is>
      </c>
      <c r="B670" s="1" t="n">
        <v>45603.43164351852</v>
      </c>
      <c r="C670" s="1" t="n">
        <v>46063</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58470-2025</t>
        </is>
      </c>
      <c r="B671" s="1" t="n">
        <v>45985.63704861111</v>
      </c>
      <c r="C671" s="1" t="n">
        <v>46063</v>
      </c>
      <c r="D671" t="inlineStr">
        <is>
          <t>JÄMTLANDS LÄN</t>
        </is>
      </c>
      <c r="E671" t="inlineStr">
        <is>
          <t>BERG</t>
        </is>
      </c>
      <c r="G671" t="n">
        <v>3.6</v>
      </c>
      <c r="H671" t="n">
        <v>0</v>
      </c>
      <c r="I671" t="n">
        <v>0</v>
      </c>
      <c r="J671" t="n">
        <v>0</v>
      </c>
      <c r="K671" t="n">
        <v>0</v>
      </c>
      <c r="L671" t="n">
        <v>0</v>
      </c>
      <c r="M671" t="n">
        <v>0</v>
      </c>
      <c r="N671" t="n">
        <v>0</v>
      </c>
      <c r="O671" t="n">
        <v>0</v>
      </c>
      <c r="P671" t="n">
        <v>0</v>
      </c>
      <c r="Q671" t="n">
        <v>0</v>
      </c>
      <c r="R671" s="2" t="inlineStr"/>
    </row>
    <row r="672" ht="15" customHeight="1">
      <c r="A672" t="inlineStr">
        <is>
          <t>A 58237-2025</t>
        </is>
      </c>
      <c r="B672" s="1" t="n">
        <v>45985.38751157407</v>
      </c>
      <c r="C672" s="1" t="n">
        <v>46063</v>
      </c>
      <c r="D672" t="inlineStr">
        <is>
          <t>JÄMTLANDS LÄN</t>
        </is>
      </c>
      <c r="E672" t="inlineStr">
        <is>
          <t>BERG</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20882-2023</t>
        </is>
      </c>
      <c r="B673" s="1" t="n">
        <v>45058</v>
      </c>
      <c r="C673" s="1" t="n">
        <v>46063</v>
      </c>
      <c r="D673" t="inlineStr">
        <is>
          <t>JÄMTLANDS LÄN</t>
        </is>
      </c>
      <c r="E673" t="inlineStr">
        <is>
          <t>BERG</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59521-2024</t>
        </is>
      </c>
      <c r="B674" s="1" t="n">
        <v>45638.57283564815</v>
      </c>
      <c r="C674" s="1" t="n">
        <v>46063</v>
      </c>
      <c r="D674" t="inlineStr">
        <is>
          <t>JÄMTLANDS LÄN</t>
        </is>
      </c>
      <c r="E674" t="inlineStr">
        <is>
          <t>BERG</t>
        </is>
      </c>
      <c r="G674" t="n">
        <v>2.1</v>
      </c>
      <c r="H674" t="n">
        <v>0</v>
      </c>
      <c r="I674" t="n">
        <v>0</v>
      </c>
      <c r="J674" t="n">
        <v>0</v>
      </c>
      <c r="K674" t="n">
        <v>0</v>
      </c>
      <c r="L674" t="n">
        <v>0</v>
      </c>
      <c r="M674" t="n">
        <v>0</v>
      </c>
      <c r="N674" t="n">
        <v>0</v>
      </c>
      <c r="O674" t="n">
        <v>0</v>
      </c>
      <c r="P674" t="n">
        <v>0</v>
      </c>
      <c r="Q674" t="n">
        <v>0</v>
      </c>
      <c r="R674" s="2" t="inlineStr"/>
    </row>
    <row r="675" ht="15" customHeight="1">
      <c r="A675" t="inlineStr">
        <is>
          <t>A 679-2026</t>
        </is>
      </c>
      <c r="B675" s="1" t="n">
        <v>46029.60032407408</v>
      </c>
      <c r="C675" s="1" t="n">
        <v>46063</v>
      </c>
      <c r="D675" t="inlineStr">
        <is>
          <t>JÄMTLANDS LÄN</t>
        </is>
      </c>
      <c r="E675" t="inlineStr">
        <is>
          <t>BERG</t>
        </is>
      </c>
      <c r="G675" t="n">
        <v>1.9</v>
      </c>
      <c r="H675" t="n">
        <v>0</v>
      </c>
      <c r="I675" t="n">
        <v>0</v>
      </c>
      <c r="J675" t="n">
        <v>0</v>
      </c>
      <c r="K675" t="n">
        <v>0</v>
      </c>
      <c r="L675" t="n">
        <v>0</v>
      </c>
      <c r="M675" t="n">
        <v>0</v>
      </c>
      <c r="N675" t="n">
        <v>0</v>
      </c>
      <c r="O675" t="n">
        <v>0</v>
      </c>
      <c r="P675" t="n">
        <v>0</v>
      </c>
      <c r="Q675" t="n">
        <v>0</v>
      </c>
      <c r="R675" s="2" t="inlineStr"/>
    </row>
    <row r="676" ht="15" customHeight="1">
      <c r="A676" t="inlineStr">
        <is>
          <t>A 48307-2024</t>
        </is>
      </c>
      <c r="B676" s="1" t="n">
        <v>45590.47684027778</v>
      </c>
      <c r="C676" s="1" t="n">
        <v>46063</v>
      </c>
      <c r="D676" t="inlineStr">
        <is>
          <t>JÄMTLANDS LÄN</t>
        </is>
      </c>
      <c r="E676" t="inlineStr">
        <is>
          <t>BERG</t>
        </is>
      </c>
      <c r="G676" t="n">
        <v>3.8</v>
      </c>
      <c r="H676" t="n">
        <v>0</v>
      </c>
      <c r="I676" t="n">
        <v>0</v>
      </c>
      <c r="J676" t="n">
        <v>0</v>
      </c>
      <c r="K676" t="n">
        <v>0</v>
      </c>
      <c r="L676" t="n">
        <v>0</v>
      </c>
      <c r="M676" t="n">
        <v>0</v>
      </c>
      <c r="N676" t="n">
        <v>0</v>
      </c>
      <c r="O676" t="n">
        <v>0</v>
      </c>
      <c r="P676" t="n">
        <v>0</v>
      </c>
      <c r="Q676" t="n">
        <v>0</v>
      </c>
      <c r="R676" s="2" t="inlineStr"/>
    </row>
    <row r="677" ht="15" customHeight="1">
      <c r="A677" t="inlineStr">
        <is>
          <t>A 46874-2023</t>
        </is>
      </c>
      <c r="B677" s="1" t="n">
        <v>45200</v>
      </c>
      <c r="C677" s="1" t="n">
        <v>46063</v>
      </c>
      <c r="D677" t="inlineStr">
        <is>
          <t>JÄMTLANDS LÄN</t>
        </is>
      </c>
      <c r="E677" t="inlineStr">
        <is>
          <t>BERG</t>
        </is>
      </c>
      <c r="F677" t="inlineStr">
        <is>
          <t>Naturvårdsverket</t>
        </is>
      </c>
      <c r="G677" t="n">
        <v>1.1</v>
      </c>
      <c r="H677" t="n">
        <v>0</v>
      </c>
      <c r="I677" t="n">
        <v>0</v>
      </c>
      <c r="J677" t="n">
        <v>0</v>
      </c>
      <c r="K677" t="n">
        <v>0</v>
      </c>
      <c r="L677" t="n">
        <v>0</v>
      </c>
      <c r="M677" t="n">
        <v>0</v>
      </c>
      <c r="N677" t="n">
        <v>0</v>
      </c>
      <c r="O677" t="n">
        <v>0</v>
      </c>
      <c r="P677" t="n">
        <v>0</v>
      </c>
      <c r="Q677" t="n">
        <v>0</v>
      </c>
      <c r="R677" s="2" t="inlineStr"/>
    </row>
    <row r="678" ht="15" customHeight="1">
      <c r="A678" t="inlineStr">
        <is>
          <t>A 59010-2025</t>
        </is>
      </c>
      <c r="B678" s="1" t="n">
        <v>45987</v>
      </c>
      <c r="C678" s="1" t="n">
        <v>46063</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1495-2025</t>
        </is>
      </c>
      <c r="B679" s="1" t="n">
        <v>45670.40652777778</v>
      </c>
      <c r="C679" s="1" t="n">
        <v>46063</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58861-2025</t>
        </is>
      </c>
      <c r="B680" s="1" t="n">
        <v>45987.42820601852</v>
      </c>
      <c r="C680" s="1" t="n">
        <v>46063</v>
      </c>
      <c r="D680" t="inlineStr">
        <is>
          <t>JÄMTLANDS LÄN</t>
        </is>
      </c>
      <c r="E680" t="inlineStr">
        <is>
          <t>BERG</t>
        </is>
      </c>
      <c r="G680" t="n">
        <v>29.3</v>
      </c>
      <c r="H680" t="n">
        <v>0</v>
      </c>
      <c r="I680" t="n">
        <v>0</v>
      </c>
      <c r="J680" t="n">
        <v>0</v>
      </c>
      <c r="K680" t="n">
        <v>0</v>
      </c>
      <c r="L680" t="n">
        <v>0</v>
      </c>
      <c r="M680" t="n">
        <v>0</v>
      </c>
      <c r="N680" t="n">
        <v>0</v>
      </c>
      <c r="O680" t="n">
        <v>0</v>
      </c>
      <c r="P680" t="n">
        <v>0</v>
      </c>
      <c r="Q680" t="n">
        <v>0</v>
      </c>
      <c r="R680" s="2" t="inlineStr"/>
    </row>
    <row r="681" ht="15" customHeight="1">
      <c r="A681" t="inlineStr">
        <is>
          <t>A 35986-2023</t>
        </is>
      </c>
      <c r="B681" s="1" t="n">
        <v>45148</v>
      </c>
      <c r="C681" s="1" t="n">
        <v>46063</v>
      </c>
      <c r="D681" t="inlineStr">
        <is>
          <t>JÄMTLANDS LÄN</t>
        </is>
      </c>
      <c r="E681" t="inlineStr">
        <is>
          <t>BERG</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59267-2025</t>
        </is>
      </c>
      <c r="B682" s="1" t="n">
        <v>45988.66127314815</v>
      </c>
      <c r="C682" s="1" t="n">
        <v>46063</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58822-2025</t>
        </is>
      </c>
      <c r="B683" s="1" t="n">
        <v>45987.34506944445</v>
      </c>
      <c r="C683" s="1" t="n">
        <v>46063</v>
      </c>
      <c r="D683" t="inlineStr">
        <is>
          <t>JÄMTLANDS LÄN</t>
        </is>
      </c>
      <c r="E683" t="inlineStr">
        <is>
          <t>BERG</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59253-2025</t>
        </is>
      </c>
      <c r="B684" s="1" t="n">
        <v>45988.65121527778</v>
      </c>
      <c r="C684" s="1" t="n">
        <v>46063</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59281-2025</t>
        </is>
      </c>
      <c r="B685" s="1" t="n">
        <v>45988.7234375</v>
      </c>
      <c r="C685" s="1" t="n">
        <v>46063</v>
      </c>
      <c r="D685" t="inlineStr">
        <is>
          <t>JÄMTLANDS LÄN</t>
        </is>
      </c>
      <c r="E685" t="inlineStr">
        <is>
          <t>BERG</t>
        </is>
      </c>
      <c r="G685" t="n">
        <v>16.7</v>
      </c>
      <c r="H685" t="n">
        <v>0</v>
      </c>
      <c r="I685" t="n">
        <v>0</v>
      </c>
      <c r="J685" t="n">
        <v>0</v>
      </c>
      <c r="K685" t="n">
        <v>0</v>
      </c>
      <c r="L685" t="n">
        <v>0</v>
      </c>
      <c r="M685" t="n">
        <v>0</v>
      </c>
      <c r="N685" t="n">
        <v>0</v>
      </c>
      <c r="O685" t="n">
        <v>0</v>
      </c>
      <c r="P685" t="n">
        <v>0</v>
      </c>
      <c r="Q685" t="n">
        <v>0</v>
      </c>
      <c r="R685" s="2" t="inlineStr"/>
    </row>
    <row r="686" ht="15" customHeight="1">
      <c r="A686" t="inlineStr">
        <is>
          <t>A 568-2026</t>
        </is>
      </c>
      <c r="B686" s="1" t="n">
        <v>46029.46987268519</v>
      </c>
      <c r="C686" s="1" t="n">
        <v>46063</v>
      </c>
      <c r="D686" t="inlineStr">
        <is>
          <t>JÄMTLANDS LÄN</t>
        </is>
      </c>
      <c r="E686" t="inlineStr">
        <is>
          <t>BERG</t>
        </is>
      </c>
      <c r="G686" t="n">
        <v>2.7</v>
      </c>
      <c r="H686" t="n">
        <v>0</v>
      </c>
      <c r="I686" t="n">
        <v>0</v>
      </c>
      <c r="J686" t="n">
        <v>0</v>
      </c>
      <c r="K686" t="n">
        <v>0</v>
      </c>
      <c r="L686" t="n">
        <v>0</v>
      </c>
      <c r="M686" t="n">
        <v>0</v>
      </c>
      <c r="N686" t="n">
        <v>0</v>
      </c>
      <c r="O686" t="n">
        <v>0</v>
      </c>
      <c r="P686" t="n">
        <v>0</v>
      </c>
      <c r="Q686" t="n">
        <v>0</v>
      </c>
      <c r="R686" s="2" t="inlineStr"/>
    </row>
    <row r="687" ht="15" customHeight="1">
      <c r="A687" t="inlineStr">
        <is>
          <t>A 59210-2025</t>
        </is>
      </c>
      <c r="B687" s="1" t="n">
        <v>45988.61516203704</v>
      </c>
      <c r="C687" s="1" t="n">
        <v>46063</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57661-2024</t>
        </is>
      </c>
      <c r="B688" s="1" t="n">
        <v>45630.6140162037</v>
      </c>
      <c r="C688" s="1" t="n">
        <v>46063</v>
      </c>
      <c r="D688" t="inlineStr">
        <is>
          <t>JÄMTLANDS LÄN</t>
        </is>
      </c>
      <c r="E688" t="inlineStr">
        <is>
          <t>BERG</t>
        </is>
      </c>
      <c r="G688" t="n">
        <v>0.8</v>
      </c>
      <c r="H688" t="n">
        <v>0</v>
      </c>
      <c r="I688" t="n">
        <v>0</v>
      </c>
      <c r="J688" t="n">
        <v>0</v>
      </c>
      <c r="K688" t="n">
        <v>0</v>
      </c>
      <c r="L688" t="n">
        <v>0</v>
      </c>
      <c r="M688" t="n">
        <v>0</v>
      </c>
      <c r="N688" t="n">
        <v>0</v>
      </c>
      <c r="O688" t="n">
        <v>0</v>
      </c>
      <c r="P688" t="n">
        <v>0</v>
      </c>
      <c r="Q688" t="n">
        <v>0</v>
      </c>
      <c r="R688" s="2" t="inlineStr"/>
    </row>
    <row r="689" ht="15" customHeight="1">
      <c r="A689" t="inlineStr">
        <is>
          <t>A 59424-2025</t>
        </is>
      </c>
      <c r="B689" s="1" t="n">
        <v>45989.53782407408</v>
      </c>
      <c r="C689" s="1" t="n">
        <v>46063</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58176-2024</t>
        </is>
      </c>
      <c r="B690" s="1" t="n">
        <v>45632.46771990741</v>
      </c>
      <c r="C690" s="1" t="n">
        <v>46063</v>
      </c>
      <c r="D690" t="inlineStr">
        <is>
          <t>JÄMTLANDS LÄN</t>
        </is>
      </c>
      <c r="E690" t="inlineStr">
        <is>
          <t>BERG</t>
        </is>
      </c>
      <c r="G690" t="n">
        <v>14.4</v>
      </c>
      <c r="H690" t="n">
        <v>0</v>
      </c>
      <c r="I690" t="n">
        <v>0</v>
      </c>
      <c r="J690" t="n">
        <v>0</v>
      </c>
      <c r="K690" t="n">
        <v>0</v>
      </c>
      <c r="L690" t="n">
        <v>0</v>
      </c>
      <c r="M690" t="n">
        <v>0</v>
      </c>
      <c r="N690" t="n">
        <v>0</v>
      </c>
      <c r="O690" t="n">
        <v>0</v>
      </c>
      <c r="P690" t="n">
        <v>0</v>
      </c>
      <c r="Q690" t="n">
        <v>0</v>
      </c>
      <c r="R690" s="2" t="inlineStr"/>
    </row>
    <row r="691" ht="15" customHeight="1">
      <c r="A691" t="inlineStr">
        <is>
          <t>A 1282-2026</t>
        </is>
      </c>
      <c r="B691" s="1" t="n">
        <v>46031.49096064815</v>
      </c>
      <c r="C691" s="1" t="n">
        <v>46063</v>
      </c>
      <c r="D691" t="inlineStr">
        <is>
          <t>JÄMTLANDS LÄN</t>
        </is>
      </c>
      <c r="E691" t="inlineStr">
        <is>
          <t>BERG</t>
        </is>
      </c>
      <c r="G691" t="n">
        <v>3.5</v>
      </c>
      <c r="H691" t="n">
        <v>0</v>
      </c>
      <c r="I691" t="n">
        <v>0</v>
      </c>
      <c r="J691" t="n">
        <v>0</v>
      </c>
      <c r="K691" t="n">
        <v>0</v>
      </c>
      <c r="L691" t="n">
        <v>0</v>
      </c>
      <c r="M691" t="n">
        <v>0</v>
      </c>
      <c r="N691" t="n">
        <v>0</v>
      </c>
      <c r="O691" t="n">
        <v>0</v>
      </c>
      <c r="P691" t="n">
        <v>0</v>
      </c>
      <c r="Q691" t="n">
        <v>0</v>
      </c>
      <c r="R691" s="2" t="inlineStr"/>
    </row>
    <row r="692" ht="15" customHeight="1">
      <c r="A692" t="inlineStr">
        <is>
          <t>A 1287-2026</t>
        </is>
      </c>
      <c r="B692" s="1" t="n">
        <v>46031.49944444445</v>
      </c>
      <c r="C692" s="1" t="n">
        <v>46063</v>
      </c>
      <c r="D692" t="inlineStr">
        <is>
          <t>JÄMTLANDS LÄN</t>
        </is>
      </c>
      <c r="E692" t="inlineStr">
        <is>
          <t>BERG</t>
        </is>
      </c>
      <c r="G692" t="n">
        <v>2.2</v>
      </c>
      <c r="H692" t="n">
        <v>0</v>
      </c>
      <c r="I692" t="n">
        <v>0</v>
      </c>
      <c r="J692" t="n">
        <v>0</v>
      </c>
      <c r="K692" t="n">
        <v>0</v>
      </c>
      <c r="L692" t="n">
        <v>0</v>
      </c>
      <c r="M692" t="n">
        <v>0</v>
      </c>
      <c r="N692" t="n">
        <v>0</v>
      </c>
      <c r="O692" t="n">
        <v>0</v>
      </c>
      <c r="P692" t="n">
        <v>0</v>
      </c>
      <c r="Q692" t="n">
        <v>0</v>
      </c>
      <c r="R692" s="2" t="inlineStr"/>
    </row>
    <row r="693" ht="15" customHeight="1">
      <c r="A693" t="inlineStr">
        <is>
          <t>A 59841-2025</t>
        </is>
      </c>
      <c r="B693" s="1" t="n">
        <v>45992</v>
      </c>
      <c r="C693" s="1" t="n">
        <v>46063</v>
      </c>
      <c r="D693" t="inlineStr">
        <is>
          <t>JÄMTLANDS LÄN</t>
        </is>
      </c>
      <c r="E693" t="inlineStr">
        <is>
          <t>BERG</t>
        </is>
      </c>
      <c r="G693" t="n">
        <v>14.9</v>
      </c>
      <c r="H693" t="n">
        <v>0</v>
      </c>
      <c r="I693" t="n">
        <v>0</v>
      </c>
      <c r="J693" t="n">
        <v>0</v>
      </c>
      <c r="K693" t="n">
        <v>0</v>
      </c>
      <c r="L693" t="n">
        <v>0</v>
      </c>
      <c r="M693" t="n">
        <v>0</v>
      </c>
      <c r="N693" t="n">
        <v>0</v>
      </c>
      <c r="O693" t="n">
        <v>0</v>
      </c>
      <c r="P693" t="n">
        <v>0</v>
      </c>
      <c r="Q693" t="n">
        <v>0</v>
      </c>
      <c r="R693" s="2" t="inlineStr"/>
    </row>
    <row r="694" ht="15" customHeight="1">
      <c r="A694" t="inlineStr">
        <is>
          <t>A 7021-2025</t>
        </is>
      </c>
      <c r="B694" s="1" t="n">
        <v>45701.61520833334</v>
      </c>
      <c r="C694" s="1" t="n">
        <v>46063</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59652-2025</t>
        </is>
      </c>
      <c r="B695" s="1" t="n">
        <v>45992</v>
      </c>
      <c r="C695" s="1" t="n">
        <v>46063</v>
      </c>
      <c r="D695" t="inlineStr">
        <is>
          <t>JÄMTLANDS LÄN</t>
        </is>
      </c>
      <c r="E695" t="inlineStr">
        <is>
          <t>BERG</t>
        </is>
      </c>
      <c r="G695" t="n">
        <v>4</v>
      </c>
      <c r="H695" t="n">
        <v>0</v>
      </c>
      <c r="I695" t="n">
        <v>0</v>
      </c>
      <c r="J695" t="n">
        <v>0</v>
      </c>
      <c r="K695" t="n">
        <v>0</v>
      </c>
      <c r="L695" t="n">
        <v>0</v>
      </c>
      <c r="M695" t="n">
        <v>0</v>
      </c>
      <c r="N695" t="n">
        <v>0</v>
      </c>
      <c r="O695" t="n">
        <v>0</v>
      </c>
      <c r="P695" t="n">
        <v>0</v>
      </c>
      <c r="Q695" t="n">
        <v>0</v>
      </c>
      <c r="R695" s="2" t="inlineStr"/>
    </row>
    <row r="696" ht="15" customHeight="1">
      <c r="A696" t="inlineStr">
        <is>
          <t>A 1495-2026</t>
        </is>
      </c>
      <c r="B696" s="1" t="n">
        <v>46034.32285879629</v>
      </c>
      <c r="C696" s="1" t="n">
        <v>46063</v>
      </c>
      <c r="D696" t="inlineStr">
        <is>
          <t>JÄMTLANDS LÄN</t>
        </is>
      </c>
      <c r="E696" t="inlineStr">
        <is>
          <t>BERG</t>
        </is>
      </c>
      <c r="G696" t="n">
        <v>2</v>
      </c>
      <c r="H696" t="n">
        <v>0</v>
      </c>
      <c r="I696" t="n">
        <v>0</v>
      </c>
      <c r="J696" t="n">
        <v>0</v>
      </c>
      <c r="K696" t="n">
        <v>0</v>
      </c>
      <c r="L696" t="n">
        <v>0</v>
      </c>
      <c r="M696" t="n">
        <v>0</v>
      </c>
      <c r="N696" t="n">
        <v>0</v>
      </c>
      <c r="O696" t="n">
        <v>0</v>
      </c>
      <c r="P696" t="n">
        <v>0</v>
      </c>
      <c r="Q696" t="n">
        <v>0</v>
      </c>
      <c r="R696" s="2" t="inlineStr"/>
    </row>
    <row r="697" ht="15" customHeight="1">
      <c r="A697" t="inlineStr">
        <is>
          <t>A 59404-2025</t>
        </is>
      </c>
      <c r="B697" s="1" t="n">
        <v>45989.48997685185</v>
      </c>
      <c r="C697" s="1" t="n">
        <v>46063</v>
      </c>
      <c r="D697" t="inlineStr">
        <is>
          <t>JÄMTLANDS LÄN</t>
        </is>
      </c>
      <c r="E697" t="inlineStr">
        <is>
          <t>BERG</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59763-2025</t>
        </is>
      </c>
      <c r="B698" s="1" t="n">
        <v>45992.59430555555</v>
      </c>
      <c r="C698" s="1" t="n">
        <v>46063</v>
      </c>
      <c r="D698" t="inlineStr">
        <is>
          <t>JÄMTLANDS LÄN</t>
        </is>
      </c>
      <c r="E698" t="inlineStr">
        <is>
          <t>BERG</t>
        </is>
      </c>
      <c r="F698" t="inlineStr">
        <is>
          <t>SCA</t>
        </is>
      </c>
      <c r="G698" t="n">
        <v>16.5</v>
      </c>
      <c r="H698" t="n">
        <v>0</v>
      </c>
      <c r="I698" t="n">
        <v>0</v>
      </c>
      <c r="J698" t="n">
        <v>0</v>
      </c>
      <c r="K698" t="n">
        <v>0</v>
      </c>
      <c r="L698" t="n">
        <v>0</v>
      </c>
      <c r="M698" t="n">
        <v>0</v>
      </c>
      <c r="N698" t="n">
        <v>0</v>
      </c>
      <c r="O698" t="n">
        <v>0</v>
      </c>
      <c r="P698" t="n">
        <v>0</v>
      </c>
      <c r="Q698" t="n">
        <v>0</v>
      </c>
      <c r="R698" s="2" t="inlineStr"/>
    </row>
    <row r="699" ht="15" customHeight="1">
      <c r="A699" t="inlineStr">
        <is>
          <t>A 1401-2026</t>
        </is>
      </c>
      <c r="B699" s="1" t="n">
        <v>46031.64333333333</v>
      </c>
      <c r="C699" s="1" t="n">
        <v>46063</v>
      </c>
      <c r="D699" t="inlineStr">
        <is>
          <t>JÄMTLANDS LÄN</t>
        </is>
      </c>
      <c r="E699" t="inlineStr">
        <is>
          <t>BERG</t>
        </is>
      </c>
      <c r="G699" t="n">
        <v>2.1</v>
      </c>
      <c r="H699" t="n">
        <v>0</v>
      </c>
      <c r="I699" t="n">
        <v>0</v>
      </c>
      <c r="J699" t="n">
        <v>0</v>
      </c>
      <c r="K699" t="n">
        <v>0</v>
      </c>
      <c r="L699" t="n">
        <v>0</v>
      </c>
      <c r="M699" t="n">
        <v>0</v>
      </c>
      <c r="N699" t="n">
        <v>0</v>
      </c>
      <c r="O699" t="n">
        <v>0</v>
      </c>
      <c r="P699" t="n">
        <v>0</v>
      </c>
      <c r="Q699" t="n">
        <v>0</v>
      </c>
      <c r="R699" s="2" t="inlineStr"/>
    </row>
    <row r="700" ht="15" customHeight="1">
      <c r="A700" t="inlineStr">
        <is>
          <t>A 1407-2026</t>
        </is>
      </c>
      <c r="B700" s="1" t="n">
        <v>46031.64733796296</v>
      </c>
      <c r="C700" s="1" t="n">
        <v>46063</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59447-2025</t>
        </is>
      </c>
      <c r="B701" s="1" t="n">
        <v>45989</v>
      </c>
      <c r="C701" s="1" t="n">
        <v>46063</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59824-2025</t>
        </is>
      </c>
      <c r="B702" s="1" t="n">
        <v>45992.65116898148</v>
      </c>
      <c r="C702" s="1" t="n">
        <v>46063</v>
      </c>
      <c r="D702" t="inlineStr">
        <is>
          <t>JÄMTLANDS LÄN</t>
        </is>
      </c>
      <c r="E702" t="inlineStr">
        <is>
          <t>BERG</t>
        </is>
      </c>
      <c r="G702" t="n">
        <v>0.7</v>
      </c>
      <c r="H702" t="n">
        <v>0</v>
      </c>
      <c r="I702" t="n">
        <v>0</v>
      </c>
      <c r="J702" t="n">
        <v>0</v>
      </c>
      <c r="K702" t="n">
        <v>0</v>
      </c>
      <c r="L702" t="n">
        <v>0</v>
      </c>
      <c r="M702" t="n">
        <v>0</v>
      </c>
      <c r="N702" t="n">
        <v>0</v>
      </c>
      <c r="O702" t="n">
        <v>0</v>
      </c>
      <c r="P702" t="n">
        <v>0</v>
      </c>
      <c r="Q702" t="n">
        <v>0</v>
      </c>
      <c r="R702" s="2" t="inlineStr"/>
    </row>
    <row r="703" ht="15" customHeight="1">
      <c r="A703" t="inlineStr">
        <is>
          <t>A 49048-2024</t>
        </is>
      </c>
      <c r="B703" s="1" t="n">
        <v>45594.57427083333</v>
      </c>
      <c r="C703" s="1" t="n">
        <v>46063</v>
      </c>
      <c r="D703" t="inlineStr">
        <is>
          <t>JÄMTLANDS LÄN</t>
        </is>
      </c>
      <c r="E703" t="inlineStr">
        <is>
          <t>BERG</t>
        </is>
      </c>
      <c r="G703" t="n">
        <v>1.3</v>
      </c>
      <c r="H703" t="n">
        <v>0</v>
      </c>
      <c r="I703" t="n">
        <v>0</v>
      </c>
      <c r="J703" t="n">
        <v>0</v>
      </c>
      <c r="K703" t="n">
        <v>0</v>
      </c>
      <c r="L703" t="n">
        <v>0</v>
      </c>
      <c r="M703" t="n">
        <v>0</v>
      </c>
      <c r="N703" t="n">
        <v>0</v>
      </c>
      <c r="O703" t="n">
        <v>0</v>
      </c>
      <c r="P703" t="n">
        <v>0</v>
      </c>
      <c r="Q703" t="n">
        <v>0</v>
      </c>
      <c r="R703" s="2" t="inlineStr"/>
    </row>
    <row r="704" ht="15" customHeight="1">
      <c r="A704" t="inlineStr">
        <is>
          <t>A 1386-2026</t>
        </is>
      </c>
      <c r="B704" s="1" t="n">
        <v>46031.62633101852</v>
      </c>
      <c r="C704" s="1" t="n">
        <v>46063</v>
      </c>
      <c r="D704" t="inlineStr">
        <is>
          <t>JÄMTLANDS LÄN</t>
        </is>
      </c>
      <c r="E704" t="inlineStr">
        <is>
          <t>BERG</t>
        </is>
      </c>
      <c r="G704" t="n">
        <v>1.9</v>
      </c>
      <c r="H704" t="n">
        <v>0</v>
      </c>
      <c r="I704" t="n">
        <v>0</v>
      </c>
      <c r="J704" t="n">
        <v>0</v>
      </c>
      <c r="K704" t="n">
        <v>0</v>
      </c>
      <c r="L704" t="n">
        <v>0</v>
      </c>
      <c r="M704" t="n">
        <v>0</v>
      </c>
      <c r="N704" t="n">
        <v>0</v>
      </c>
      <c r="O704" t="n">
        <v>0</v>
      </c>
      <c r="P704" t="n">
        <v>0</v>
      </c>
      <c r="Q704" t="n">
        <v>0</v>
      </c>
      <c r="R704" s="2" t="inlineStr"/>
    </row>
    <row r="705" ht="15" customHeight="1">
      <c r="A705" t="inlineStr">
        <is>
          <t>A 1391-2026</t>
        </is>
      </c>
      <c r="B705" s="1" t="n">
        <v>46031.63359953704</v>
      </c>
      <c r="C705" s="1" t="n">
        <v>46063</v>
      </c>
      <c r="D705" t="inlineStr">
        <is>
          <t>JÄMTLANDS LÄN</t>
        </is>
      </c>
      <c r="E705" t="inlineStr">
        <is>
          <t>BERG</t>
        </is>
      </c>
      <c r="G705" t="n">
        <v>1.5</v>
      </c>
      <c r="H705" t="n">
        <v>0</v>
      </c>
      <c r="I705" t="n">
        <v>0</v>
      </c>
      <c r="J705" t="n">
        <v>0</v>
      </c>
      <c r="K705" t="n">
        <v>0</v>
      </c>
      <c r="L705" t="n">
        <v>0</v>
      </c>
      <c r="M705" t="n">
        <v>0</v>
      </c>
      <c r="N705" t="n">
        <v>0</v>
      </c>
      <c r="O705" t="n">
        <v>0</v>
      </c>
      <c r="P705" t="n">
        <v>0</v>
      </c>
      <c r="Q705" t="n">
        <v>0</v>
      </c>
      <c r="R705" s="2" t="inlineStr"/>
    </row>
    <row r="706" ht="15" customHeight="1">
      <c r="A706" t="inlineStr">
        <is>
          <t>A 1498-2026</t>
        </is>
      </c>
      <c r="B706" s="1" t="n">
        <v>46034.331875</v>
      </c>
      <c r="C706" s="1" t="n">
        <v>46063</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59401-2025</t>
        </is>
      </c>
      <c r="B707" s="1" t="n">
        <v>45989.48791666667</v>
      </c>
      <c r="C707" s="1" t="n">
        <v>46063</v>
      </c>
      <c r="D707" t="inlineStr">
        <is>
          <t>JÄMTLANDS LÄN</t>
        </is>
      </c>
      <c r="E707" t="inlineStr">
        <is>
          <t>BERG</t>
        </is>
      </c>
      <c r="G707" t="n">
        <v>4.6</v>
      </c>
      <c r="H707" t="n">
        <v>0</v>
      </c>
      <c r="I707" t="n">
        <v>0</v>
      </c>
      <c r="J707" t="n">
        <v>0</v>
      </c>
      <c r="K707" t="n">
        <v>0</v>
      </c>
      <c r="L707" t="n">
        <v>0</v>
      </c>
      <c r="M707" t="n">
        <v>0</v>
      </c>
      <c r="N707" t="n">
        <v>0</v>
      </c>
      <c r="O707" t="n">
        <v>0</v>
      </c>
      <c r="P707" t="n">
        <v>0</v>
      </c>
      <c r="Q707" t="n">
        <v>0</v>
      </c>
      <c r="R707" s="2" t="inlineStr"/>
    </row>
    <row r="708" ht="15" customHeight="1">
      <c r="A708" t="inlineStr">
        <is>
          <t>A 59411-2025</t>
        </is>
      </c>
      <c r="B708" s="1" t="n">
        <v>45989.49638888889</v>
      </c>
      <c r="C708" s="1" t="n">
        <v>46063</v>
      </c>
      <c r="D708" t="inlineStr">
        <is>
          <t>JÄMTLANDS LÄN</t>
        </is>
      </c>
      <c r="E708" t="inlineStr">
        <is>
          <t>BERG</t>
        </is>
      </c>
      <c r="G708" t="n">
        <v>2.4</v>
      </c>
      <c r="H708" t="n">
        <v>0</v>
      </c>
      <c r="I708" t="n">
        <v>0</v>
      </c>
      <c r="J708" t="n">
        <v>0</v>
      </c>
      <c r="K708" t="n">
        <v>0</v>
      </c>
      <c r="L708" t="n">
        <v>0</v>
      </c>
      <c r="M708" t="n">
        <v>0</v>
      </c>
      <c r="N708" t="n">
        <v>0</v>
      </c>
      <c r="O708" t="n">
        <v>0</v>
      </c>
      <c r="P708" t="n">
        <v>0</v>
      </c>
      <c r="Q708" t="n">
        <v>0</v>
      </c>
      <c r="R708" s="2" t="inlineStr"/>
    </row>
    <row r="709" ht="15" customHeight="1">
      <c r="A709" t="inlineStr">
        <is>
          <t>A 59415-2025</t>
        </is>
      </c>
      <c r="B709" s="1" t="n">
        <v>45989.50196759259</v>
      </c>
      <c r="C709" s="1" t="n">
        <v>46063</v>
      </c>
      <c r="D709" t="inlineStr">
        <is>
          <t>JÄMTLANDS LÄN</t>
        </is>
      </c>
      <c r="E709" t="inlineStr">
        <is>
          <t>BERG</t>
        </is>
      </c>
      <c r="G709" t="n">
        <v>6.8</v>
      </c>
      <c r="H709" t="n">
        <v>0</v>
      </c>
      <c r="I709" t="n">
        <v>0</v>
      </c>
      <c r="J709" t="n">
        <v>0</v>
      </c>
      <c r="K709" t="n">
        <v>0</v>
      </c>
      <c r="L709" t="n">
        <v>0</v>
      </c>
      <c r="M709" t="n">
        <v>0</v>
      </c>
      <c r="N709" t="n">
        <v>0</v>
      </c>
      <c r="O709" t="n">
        <v>0</v>
      </c>
      <c r="P709" t="n">
        <v>0</v>
      </c>
      <c r="Q709" t="n">
        <v>0</v>
      </c>
      <c r="R709" s="2" t="inlineStr"/>
    </row>
    <row r="710" ht="15" customHeight="1">
      <c r="A710" t="inlineStr">
        <is>
          <t>A 37248-2023</t>
        </is>
      </c>
      <c r="B710" s="1" t="n">
        <v>45155.954375</v>
      </c>
      <c r="C710" s="1" t="n">
        <v>46063</v>
      </c>
      <c r="D710" t="inlineStr">
        <is>
          <t>JÄMTLANDS LÄN</t>
        </is>
      </c>
      <c r="E710" t="inlineStr">
        <is>
          <t>BERG</t>
        </is>
      </c>
      <c r="F710" t="inlineStr">
        <is>
          <t>SCA</t>
        </is>
      </c>
      <c r="G710" t="n">
        <v>5.9</v>
      </c>
      <c r="H710" t="n">
        <v>0</v>
      </c>
      <c r="I710" t="n">
        <v>0</v>
      </c>
      <c r="J710" t="n">
        <v>0</v>
      </c>
      <c r="K710" t="n">
        <v>0</v>
      </c>
      <c r="L710" t="n">
        <v>0</v>
      </c>
      <c r="M710" t="n">
        <v>0</v>
      </c>
      <c r="N710" t="n">
        <v>0</v>
      </c>
      <c r="O710" t="n">
        <v>0</v>
      </c>
      <c r="P710" t="n">
        <v>0</v>
      </c>
      <c r="Q710" t="n">
        <v>0</v>
      </c>
      <c r="R710" s="2" t="inlineStr"/>
    </row>
    <row r="711" ht="15" customHeight="1">
      <c r="A711" t="inlineStr">
        <is>
          <t>A 60051-2025</t>
        </is>
      </c>
      <c r="B711" s="1" t="n">
        <v>45993.6353125</v>
      </c>
      <c r="C711" s="1" t="n">
        <v>46063</v>
      </c>
      <c r="D711" t="inlineStr">
        <is>
          <t>JÄMTLANDS LÄN</t>
        </is>
      </c>
      <c r="E711" t="inlineStr">
        <is>
          <t>BERG</t>
        </is>
      </c>
      <c r="G711" t="n">
        <v>1.4</v>
      </c>
      <c r="H711" t="n">
        <v>0</v>
      </c>
      <c r="I711" t="n">
        <v>0</v>
      </c>
      <c r="J711" t="n">
        <v>0</v>
      </c>
      <c r="K711" t="n">
        <v>0</v>
      </c>
      <c r="L711" t="n">
        <v>0</v>
      </c>
      <c r="M711" t="n">
        <v>0</v>
      </c>
      <c r="N711" t="n">
        <v>0</v>
      </c>
      <c r="O711" t="n">
        <v>0</v>
      </c>
      <c r="P711" t="n">
        <v>0</v>
      </c>
      <c r="Q711" t="n">
        <v>0</v>
      </c>
      <c r="R711" s="2" t="inlineStr"/>
    </row>
    <row r="712" ht="15" customHeight="1">
      <c r="A712" t="inlineStr">
        <is>
          <t>A 60163-2025</t>
        </is>
      </c>
      <c r="B712" s="1" t="n">
        <v>45994.43094907407</v>
      </c>
      <c r="C712" s="1" t="n">
        <v>46063</v>
      </c>
      <c r="D712" t="inlineStr">
        <is>
          <t>JÄMTLANDS LÄN</t>
        </is>
      </c>
      <c r="E712" t="inlineStr">
        <is>
          <t>BERG</t>
        </is>
      </c>
      <c r="F712" t="inlineStr">
        <is>
          <t>Övriga Aktiebolag</t>
        </is>
      </c>
      <c r="G712" t="n">
        <v>7</v>
      </c>
      <c r="H712" t="n">
        <v>0</v>
      </c>
      <c r="I712" t="n">
        <v>0</v>
      </c>
      <c r="J712" t="n">
        <v>0</v>
      </c>
      <c r="K712" t="n">
        <v>0</v>
      </c>
      <c r="L712" t="n">
        <v>0</v>
      </c>
      <c r="M712" t="n">
        <v>0</v>
      </c>
      <c r="N712" t="n">
        <v>0</v>
      </c>
      <c r="O712" t="n">
        <v>0</v>
      </c>
      <c r="P712" t="n">
        <v>0</v>
      </c>
      <c r="Q712" t="n">
        <v>0</v>
      </c>
      <c r="R712" s="2" t="inlineStr"/>
    </row>
    <row r="713" ht="15" customHeight="1">
      <c r="A713" t="inlineStr">
        <is>
          <t>A 2855-2025</t>
        </is>
      </c>
      <c r="B713" s="1" t="n">
        <v>45678</v>
      </c>
      <c r="C713" s="1" t="n">
        <v>46063</v>
      </c>
      <c r="D713" t="inlineStr">
        <is>
          <t>JÄMTLANDS LÄN</t>
        </is>
      </c>
      <c r="E713" t="inlineStr">
        <is>
          <t>BERG</t>
        </is>
      </c>
      <c r="G713" t="n">
        <v>1</v>
      </c>
      <c r="H713" t="n">
        <v>0</v>
      </c>
      <c r="I713" t="n">
        <v>0</v>
      </c>
      <c r="J713" t="n">
        <v>0</v>
      </c>
      <c r="K713" t="n">
        <v>0</v>
      </c>
      <c r="L713" t="n">
        <v>0</v>
      </c>
      <c r="M713" t="n">
        <v>0</v>
      </c>
      <c r="N713" t="n">
        <v>0</v>
      </c>
      <c r="O713" t="n">
        <v>0</v>
      </c>
      <c r="P713" t="n">
        <v>0</v>
      </c>
      <c r="Q713" t="n">
        <v>0</v>
      </c>
      <c r="R713" s="2" t="inlineStr"/>
    </row>
    <row r="714" ht="15" customHeight="1">
      <c r="A714" t="inlineStr">
        <is>
          <t>A 60077-2025</t>
        </is>
      </c>
      <c r="B714" s="1" t="n">
        <v>45993.67987268518</v>
      </c>
      <c r="C714" s="1" t="n">
        <v>46063</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59890-2025</t>
        </is>
      </c>
      <c r="B715" s="1" t="n">
        <v>45993.33128472222</v>
      </c>
      <c r="C715" s="1" t="n">
        <v>46063</v>
      </c>
      <c r="D715" t="inlineStr">
        <is>
          <t>JÄMTLANDS LÄN</t>
        </is>
      </c>
      <c r="E715" t="inlineStr">
        <is>
          <t>BERG</t>
        </is>
      </c>
      <c r="G715" t="n">
        <v>4</v>
      </c>
      <c r="H715" t="n">
        <v>0</v>
      </c>
      <c r="I715" t="n">
        <v>0</v>
      </c>
      <c r="J715" t="n">
        <v>0</v>
      </c>
      <c r="K715" t="n">
        <v>0</v>
      </c>
      <c r="L715" t="n">
        <v>0</v>
      </c>
      <c r="M715" t="n">
        <v>0</v>
      </c>
      <c r="N715" t="n">
        <v>0</v>
      </c>
      <c r="O715" t="n">
        <v>0</v>
      </c>
      <c r="P715" t="n">
        <v>0</v>
      </c>
      <c r="Q715" t="n">
        <v>0</v>
      </c>
      <c r="R715" s="2" t="inlineStr"/>
    </row>
    <row r="716" ht="15" customHeight="1">
      <c r="A716" t="inlineStr">
        <is>
          <t>A 7482-2022</t>
        </is>
      </c>
      <c r="B716" s="1" t="n">
        <v>44606</v>
      </c>
      <c r="C716" s="1" t="n">
        <v>46063</v>
      </c>
      <c r="D716" t="inlineStr">
        <is>
          <t>JÄMTLANDS LÄN</t>
        </is>
      </c>
      <c r="E716" t="inlineStr">
        <is>
          <t>BERG</t>
        </is>
      </c>
      <c r="G716" t="n">
        <v>1.8</v>
      </c>
      <c r="H716" t="n">
        <v>0</v>
      </c>
      <c r="I716" t="n">
        <v>0</v>
      </c>
      <c r="J716" t="n">
        <v>0</v>
      </c>
      <c r="K716" t="n">
        <v>0</v>
      </c>
      <c r="L716" t="n">
        <v>0</v>
      </c>
      <c r="M716" t="n">
        <v>0</v>
      </c>
      <c r="N716" t="n">
        <v>0</v>
      </c>
      <c r="O716" t="n">
        <v>0</v>
      </c>
      <c r="P716" t="n">
        <v>0</v>
      </c>
      <c r="Q716" t="n">
        <v>0</v>
      </c>
      <c r="R716" s="2" t="inlineStr"/>
    </row>
    <row r="717" ht="15" customHeight="1">
      <c r="A717" t="inlineStr">
        <is>
          <t>A 61085-2024</t>
        </is>
      </c>
      <c r="B717" s="1" t="n">
        <v>45645.53202546296</v>
      </c>
      <c r="C717" s="1" t="n">
        <v>46063</v>
      </c>
      <c r="D717" t="inlineStr">
        <is>
          <t>JÄMTLANDS LÄN</t>
        </is>
      </c>
      <c r="E717" t="inlineStr">
        <is>
          <t>BERG</t>
        </is>
      </c>
      <c r="F717" t="inlineStr">
        <is>
          <t>SCA</t>
        </is>
      </c>
      <c r="G717" t="n">
        <v>12.2</v>
      </c>
      <c r="H717" t="n">
        <v>0</v>
      </c>
      <c r="I717" t="n">
        <v>0</v>
      </c>
      <c r="J717" t="n">
        <v>0</v>
      </c>
      <c r="K717" t="n">
        <v>0</v>
      </c>
      <c r="L717" t="n">
        <v>0</v>
      </c>
      <c r="M717" t="n">
        <v>0</v>
      </c>
      <c r="N717" t="n">
        <v>0</v>
      </c>
      <c r="O717" t="n">
        <v>0</v>
      </c>
      <c r="P717" t="n">
        <v>0</v>
      </c>
      <c r="Q717" t="n">
        <v>0</v>
      </c>
      <c r="R717" s="2" t="inlineStr"/>
    </row>
    <row r="718" ht="15" customHeight="1">
      <c r="A718" t="inlineStr">
        <is>
          <t>A 2346-2026</t>
        </is>
      </c>
      <c r="B718" s="1" t="n">
        <v>46036.62737268519</v>
      </c>
      <c r="C718" s="1" t="n">
        <v>46063</v>
      </c>
      <c r="D718" t="inlineStr">
        <is>
          <t>JÄMTLANDS LÄN</t>
        </is>
      </c>
      <c r="E718" t="inlineStr">
        <is>
          <t>BERG</t>
        </is>
      </c>
      <c r="G718" t="n">
        <v>4.2</v>
      </c>
      <c r="H718" t="n">
        <v>0</v>
      </c>
      <c r="I718" t="n">
        <v>0</v>
      </c>
      <c r="J718" t="n">
        <v>0</v>
      </c>
      <c r="K718" t="n">
        <v>0</v>
      </c>
      <c r="L718" t="n">
        <v>0</v>
      </c>
      <c r="M718" t="n">
        <v>0</v>
      </c>
      <c r="N718" t="n">
        <v>0</v>
      </c>
      <c r="O718" t="n">
        <v>0</v>
      </c>
      <c r="P718" t="n">
        <v>0</v>
      </c>
      <c r="Q718" t="n">
        <v>0</v>
      </c>
      <c r="R718" s="2" t="inlineStr"/>
    </row>
    <row r="719" ht="15" customHeight="1">
      <c r="A719" t="inlineStr">
        <is>
          <t>A 3961-2025</t>
        </is>
      </c>
      <c r="B719" s="1" t="n">
        <v>45684.50217592593</v>
      </c>
      <c r="C719" s="1" t="n">
        <v>46063</v>
      </c>
      <c r="D719" t="inlineStr">
        <is>
          <t>JÄMTLANDS LÄN</t>
        </is>
      </c>
      <c r="E719" t="inlineStr">
        <is>
          <t>BERG</t>
        </is>
      </c>
      <c r="G719" t="n">
        <v>14.9</v>
      </c>
      <c r="H719" t="n">
        <v>0</v>
      </c>
      <c r="I719" t="n">
        <v>0</v>
      </c>
      <c r="J719" t="n">
        <v>0</v>
      </c>
      <c r="K719" t="n">
        <v>0</v>
      </c>
      <c r="L719" t="n">
        <v>0</v>
      </c>
      <c r="M719" t="n">
        <v>0</v>
      </c>
      <c r="N719" t="n">
        <v>0</v>
      </c>
      <c r="O719" t="n">
        <v>0</v>
      </c>
      <c r="P719" t="n">
        <v>0</v>
      </c>
      <c r="Q719" t="n">
        <v>0</v>
      </c>
      <c r="R719" s="2" t="inlineStr"/>
    </row>
    <row r="720" ht="15" customHeight="1">
      <c r="A720" t="inlineStr">
        <is>
          <t>A 3964-2025</t>
        </is>
      </c>
      <c r="B720" s="1" t="n">
        <v>45684.50761574074</v>
      </c>
      <c r="C720" s="1" t="n">
        <v>46063</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2312-2026</t>
        </is>
      </c>
      <c r="B721" s="1" t="n">
        <v>46036.59519675926</v>
      </c>
      <c r="C721" s="1" t="n">
        <v>46063</v>
      </c>
      <c r="D721" t="inlineStr">
        <is>
          <t>JÄMTLANDS LÄN</t>
        </is>
      </c>
      <c r="E721" t="inlineStr">
        <is>
          <t>BERG</t>
        </is>
      </c>
      <c r="G721" t="n">
        <v>5.4</v>
      </c>
      <c r="H721" t="n">
        <v>0</v>
      </c>
      <c r="I721" t="n">
        <v>0</v>
      </c>
      <c r="J721" t="n">
        <v>0</v>
      </c>
      <c r="K721" t="n">
        <v>0</v>
      </c>
      <c r="L721" t="n">
        <v>0</v>
      </c>
      <c r="M721" t="n">
        <v>0</v>
      </c>
      <c r="N721" t="n">
        <v>0</v>
      </c>
      <c r="O721" t="n">
        <v>0</v>
      </c>
      <c r="P721" t="n">
        <v>0</v>
      </c>
      <c r="Q721" t="n">
        <v>0</v>
      </c>
      <c r="R721" s="2" t="inlineStr"/>
    </row>
    <row r="722" ht="15" customHeight="1">
      <c r="A722" t="inlineStr">
        <is>
          <t>A 1939-2026</t>
        </is>
      </c>
      <c r="B722" s="1" t="n">
        <v>46035.58862268519</v>
      </c>
      <c r="C722" s="1" t="n">
        <v>46063</v>
      </c>
      <c r="D722" t="inlineStr">
        <is>
          <t>JÄMTLANDS LÄN</t>
        </is>
      </c>
      <c r="E722" t="inlineStr">
        <is>
          <t>BERG</t>
        </is>
      </c>
      <c r="G722" t="n">
        <v>3.9</v>
      </c>
      <c r="H722" t="n">
        <v>0</v>
      </c>
      <c r="I722" t="n">
        <v>0</v>
      </c>
      <c r="J722" t="n">
        <v>0</v>
      </c>
      <c r="K722" t="n">
        <v>0</v>
      </c>
      <c r="L722" t="n">
        <v>0</v>
      </c>
      <c r="M722" t="n">
        <v>0</v>
      </c>
      <c r="N722" t="n">
        <v>0</v>
      </c>
      <c r="O722" t="n">
        <v>0</v>
      </c>
      <c r="P722" t="n">
        <v>0</v>
      </c>
      <c r="Q722" t="n">
        <v>0</v>
      </c>
      <c r="R722" s="2" t="inlineStr"/>
    </row>
    <row r="723" ht="15" customHeight="1">
      <c r="A723" t="inlineStr">
        <is>
          <t>A 13149-2025</t>
        </is>
      </c>
      <c r="B723" s="1" t="n">
        <v>45735.34424768519</v>
      </c>
      <c r="C723" s="1" t="n">
        <v>46063</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2632-2026</t>
        </is>
      </c>
      <c r="B724" s="1" t="n">
        <v>46035</v>
      </c>
      <c r="C724" s="1" t="n">
        <v>46063</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53085-2024</t>
        </is>
      </c>
      <c r="B725" s="1" t="n">
        <v>45611.51072916666</v>
      </c>
      <c r="C725" s="1" t="n">
        <v>46063</v>
      </c>
      <c r="D725" t="inlineStr">
        <is>
          <t>JÄMTLANDS LÄN</t>
        </is>
      </c>
      <c r="E725" t="inlineStr">
        <is>
          <t>BERG</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60463-2025</t>
        </is>
      </c>
      <c r="B726" s="1" t="n">
        <v>45995.55276620371</v>
      </c>
      <c r="C726" s="1" t="n">
        <v>46063</v>
      </c>
      <c r="D726" t="inlineStr">
        <is>
          <t>JÄMTLANDS LÄN</t>
        </is>
      </c>
      <c r="E726" t="inlineStr">
        <is>
          <t>BERG</t>
        </is>
      </c>
      <c r="G726" t="n">
        <v>4.3</v>
      </c>
      <c r="H726" t="n">
        <v>0</v>
      </c>
      <c r="I726" t="n">
        <v>0</v>
      </c>
      <c r="J726" t="n">
        <v>0</v>
      </c>
      <c r="K726" t="n">
        <v>0</v>
      </c>
      <c r="L726" t="n">
        <v>0</v>
      </c>
      <c r="M726" t="n">
        <v>0</v>
      </c>
      <c r="N726" t="n">
        <v>0</v>
      </c>
      <c r="O726" t="n">
        <v>0</v>
      </c>
      <c r="P726" t="n">
        <v>0</v>
      </c>
      <c r="Q726" t="n">
        <v>0</v>
      </c>
      <c r="R726" s="2" t="inlineStr"/>
    </row>
    <row r="727" ht="15" customHeight="1">
      <c r="A727" t="inlineStr">
        <is>
          <t>A 60632-2025</t>
        </is>
      </c>
      <c r="B727" s="1" t="n">
        <v>45996.42769675926</v>
      </c>
      <c r="C727" s="1" t="n">
        <v>46063</v>
      </c>
      <c r="D727" t="inlineStr">
        <is>
          <t>JÄMTLANDS LÄN</t>
        </is>
      </c>
      <c r="E727" t="inlineStr">
        <is>
          <t>BERG</t>
        </is>
      </c>
      <c r="F727" t="inlineStr">
        <is>
          <t>SCA</t>
        </is>
      </c>
      <c r="G727" t="n">
        <v>18.2</v>
      </c>
      <c r="H727" t="n">
        <v>0</v>
      </c>
      <c r="I727" t="n">
        <v>0</v>
      </c>
      <c r="J727" t="n">
        <v>0</v>
      </c>
      <c r="K727" t="n">
        <v>0</v>
      </c>
      <c r="L727" t="n">
        <v>0</v>
      </c>
      <c r="M727" t="n">
        <v>0</v>
      </c>
      <c r="N727" t="n">
        <v>0</v>
      </c>
      <c r="O727" t="n">
        <v>0</v>
      </c>
      <c r="P727" t="n">
        <v>0</v>
      </c>
      <c r="Q727" t="n">
        <v>0</v>
      </c>
      <c r="R727" s="2" t="inlineStr"/>
    </row>
    <row r="728" ht="15" customHeight="1">
      <c r="A728" t="inlineStr">
        <is>
          <t>A 60635-2025</t>
        </is>
      </c>
      <c r="B728" s="1" t="n">
        <v>45996.42826388889</v>
      </c>
      <c r="C728" s="1" t="n">
        <v>46063</v>
      </c>
      <c r="D728" t="inlineStr">
        <is>
          <t>JÄMTLANDS LÄN</t>
        </is>
      </c>
      <c r="E728" t="inlineStr">
        <is>
          <t>BERG</t>
        </is>
      </c>
      <c r="F728" t="inlineStr">
        <is>
          <t>SCA</t>
        </is>
      </c>
      <c r="G728" t="n">
        <v>7.4</v>
      </c>
      <c r="H728" t="n">
        <v>0</v>
      </c>
      <c r="I728" t="n">
        <v>0</v>
      </c>
      <c r="J728" t="n">
        <v>0</v>
      </c>
      <c r="K728" t="n">
        <v>0</v>
      </c>
      <c r="L728" t="n">
        <v>0</v>
      </c>
      <c r="M728" t="n">
        <v>0</v>
      </c>
      <c r="N728" t="n">
        <v>0</v>
      </c>
      <c r="O728" t="n">
        <v>0</v>
      </c>
      <c r="P728" t="n">
        <v>0</v>
      </c>
      <c r="Q728" t="n">
        <v>0</v>
      </c>
      <c r="R728" s="2" t="inlineStr"/>
    </row>
    <row r="729" ht="15" customHeight="1">
      <c r="A729" t="inlineStr">
        <is>
          <t>A 60634-2025</t>
        </is>
      </c>
      <c r="B729" s="1" t="n">
        <v>45996.42805555555</v>
      </c>
      <c r="C729" s="1" t="n">
        <v>46063</v>
      </c>
      <c r="D729" t="inlineStr">
        <is>
          <t>JÄMTLANDS LÄN</t>
        </is>
      </c>
      <c r="E729" t="inlineStr">
        <is>
          <t>BERG</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2247-2025</t>
        </is>
      </c>
      <c r="B730" s="1" t="n">
        <v>45673.49039351852</v>
      </c>
      <c r="C730" s="1" t="n">
        <v>46063</v>
      </c>
      <c r="D730" t="inlineStr">
        <is>
          <t>JÄMTLANDS LÄN</t>
        </is>
      </c>
      <c r="E730" t="inlineStr">
        <is>
          <t>BERG</t>
        </is>
      </c>
      <c r="F730" t="inlineStr">
        <is>
          <t>SCA</t>
        </is>
      </c>
      <c r="G730" t="n">
        <v>13.3</v>
      </c>
      <c r="H730" t="n">
        <v>0</v>
      </c>
      <c r="I730" t="n">
        <v>0</v>
      </c>
      <c r="J730" t="n">
        <v>0</v>
      </c>
      <c r="K730" t="n">
        <v>0</v>
      </c>
      <c r="L730" t="n">
        <v>0</v>
      </c>
      <c r="M730" t="n">
        <v>0</v>
      </c>
      <c r="N730" t="n">
        <v>0</v>
      </c>
      <c r="O730" t="n">
        <v>0</v>
      </c>
      <c r="P730" t="n">
        <v>0</v>
      </c>
      <c r="Q730" t="n">
        <v>0</v>
      </c>
      <c r="R730" s="2" t="inlineStr"/>
    </row>
    <row r="731" ht="15" customHeight="1">
      <c r="A731" t="inlineStr">
        <is>
          <t>A 47168-2025</t>
        </is>
      </c>
      <c r="B731" s="1" t="n">
        <v>45929</v>
      </c>
      <c r="C731" s="1" t="n">
        <v>46063</v>
      </c>
      <c r="D731" t="inlineStr">
        <is>
          <t>JÄMTLANDS LÄN</t>
        </is>
      </c>
      <c r="E731" t="inlineStr">
        <is>
          <t>BERG</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14431-2025</t>
        </is>
      </c>
      <c r="B732" s="1" t="n">
        <v>45741</v>
      </c>
      <c r="C732" s="1" t="n">
        <v>46063</v>
      </c>
      <c r="D732" t="inlineStr">
        <is>
          <t>JÄMTLANDS LÄN</t>
        </is>
      </c>
      <c r="E732" t="inlineStr">
        <is>
          <t>BERG</t>
        </is>
      </c>
      <c r="G732" t="n">
        <v>1.7</v>
      </c>
      <c r="H732" t="n">
        <v>0</v>
      </c>
      <c r="I732" t="n">
        <v>0</v>
      </c>
      <c r="J732" t="n">
        <v>0</v>
      </c>
      <c r="K732" t="n">
        <v>0</v>
      </c>
      <c r="L732" t="n">
        <v>0</v>
      </c>
      <c r="M732" t="n">
        <v>0</v>
      </c>
      <c r="N732" t="n">
        <v>0</v>
      </c>
      <c r="O732" t="n">
        <v>0</v>
      </c>
      <c r="P732" t="n">
        <v>0</v>
      </c>
      <c r="Q732" t="n">
        <v>0</v>
      </c>
      <c r="R732" s="2" t="inlineStr"/>
    </row>
    <row r="733" ht="15" customHeight="1">
      <c r="A733" t="inlineStr">
        <is>
          <t>A 48069-2023</t>
        </is>
      </c>
      <c r="B733" s="1" t="n">
        <v>45204</v>
      </c>
      <c r="C733" s="1" t="n">
        <v>46063</v>
      </c>
      <c r="D733" t="inlineStr">
        <is>
          <t>JÄMTLANDS LÄN</t>
        </is>
      </c>
      <c r="E733" t="inlineStr">
        <is>
          <t>BERG</t>
        </is>
      </c>
      <c r="F733" t="inlineStr">
        <is>
          <t>SCA</t>
        </is>
      </c>
      <c r="G733" t="n">
        <v>11.2</v>
      </c>
      <c r="H733" t="n">
        <v>0</v>
      </c>
      <c r="I733" t="n">
        <v>0</v>
      </c>
      <c r="J733" t="n">
        <v>0</v>
      </c>
      <c r="K733" t="n">
        <v>0</v>
      </c>
      <c r="L733" t="n">
        <v>0</v>
      </c>
      <c r="M733" t="n">
        <v>0</v>
      </c>
      <c r="N733" t="n">
        <v>0</v>
      </c>
      <c r="O733" t="n">
        <v>0</v>
      </c>
      <c r="P733" t="n">
        <v>0</v>
      </c>
      <c r="Q733" t="n">
        <v>0</v>
      </c>
      <c r="R733" s="2" t="inlineStr"/>
    </row>
    <row r="734" ht="15" customHeight="1">
      <c r="A734" t="inlineStr">
        <is>
          <t>A 3241-2026</t>
        </is>
      </c>
      <c r="B734" s="1" t="n">
        <v>46041.56872685185</v>
      </c>
      <c r="C734" s="1" t="n">
        <v>46063</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34819-2023</t>
        </is>
      </c>
      <c r="B735" s="1" t="n">
        <v>45140</v>
      </c>
      <c r="C735" s="1" t="n">
        <v>46063</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36708-2023</t>
        </is>
      </c>
      <c r="B736" s="1" t="n">
        <v>45153.65226851852</v>
      </c>
      <c r="C736" s="1" t="n">
        <v>46063</v>
      </c>
      <c r="D736" t="inlineStr">
        <is>
          <t>JÄMTLANDS LÄN</t>
        </is>
      </c>
      <c r="E736" t="inlineStr">
        <is>
          <t>BERG</t>
        </is>
      </c>
      <c r="G736" t="n">
        <v>1</v>
      </c>
      <c r="H736" t="n">
        <v>0</v>
      </c>
      <c r="I736" t="n">
        <v>0</v>
      </c>
      <c r="J736" t="n">
        <v>0</v>
      </c>
      <c r="K736" t="n">
        <v>0</v>
      </c>
      <c r="L736" t="n">
        <v>0</v>
      </c>
      <c r="M736" t="n">
        <v>0</v>
      </c>
      <c r="N736" t="n">
        <v>0</v>
      </c>
      <c r="O736" t="n">
        <v>0</v>
      </c>
      <c r="P736" t="n">
        <v>0</v>
      </c>
      <c r="Q736" t="n">
        <v>0</v>
      </c>
      <c r="R736" s="2" t="inlineStr"/>
    </row>
    <row r="737" ht="15" customHeight="1">
      <c r="A737" t="inlineStr">
        <is>
          <t>A 61647-2025</t>
        </is>
      </c>
      <c r="B737" s="1" t="n">
        <v>46002.4403587963</v>
      </c>
      <c r="C737" s="1" t="n">
        <v>46063</v>
      </c>
      <c r="D737" t="inlineStr">
        <is>
          <t>JÄMTLANDS LÄN</t>
        </is>
      </c>
      <c r="E737" t="inlineStr">
        <is>
          <t>BERG</t>
        </is>
      </c>
      <c r="G737" t="n">
        <v>3.2</v>
      </c>
      <c r="H737" t="n">
        <v>0</v>
      </c>
      <c r="I737" t="n">
        <v>0</v>
      </c>
      <c r="J737" t="n">
        <v>0</v>
      </c>
      <c r="K737" t="n">
        <v>0</v>
      </c>
      <c r="L737" t="n">
        <v>0</v>
      </c>
      <c r="M737" t="n">
        <v>0</v>
      </c>
      <c r="N737" t="n">
        <v>0</v>
      </c>
      <c r="O737" t="n">
        <v>0</v>
      </c>
      <c r="P737" t="n">
        <v>0</v>
      </c>
      <c r="Q737" t="n">
        <v>0</v>
      </c>
      <c r="R737" s="2" t="inlineStr"/>
    </row>
    <row r="738" ht="15" customHeight="1">
      <c r="A738" t="inlineStr">
        <is>
          <t>A 31682-2022</t>
        </is>
      </c>
      <c r="B738" s="1" t="n">
        <v>44776</v>
      </c>
      <c r="C738" s="1" t="n">
        <v>46063</v>
      </c>
      <c r="D738" t="inlineStr">
        <is>
          <t>JÄMTLANDS LÄN</t>
        </is>
      </c>
      <c r="E738" t="inlineStr">
        <is>
          <t>BERG</t>
        </is>
      </c>
      <c r="G738" t="n">
        <v>8</v>
      </c>
      <c r="H738" t="n">
        <v>0</v>
      </c>
      <c r="I738" t="n">
        <v>0</v>
      </c>
      <c r="J738" t="n">
        <v>0</v>
      </c>
      <c r="K738" t="n">
        <v>0</v>
      </c>
      <c r="L738" t="n">
        <v>0</v>
      </c>
      <c r="M738" t="n">
        <v>0</v>
      </c>
      <c r="N738" t="n">
        <v>0</v>
      </c>
      <c r="O738" t="n">
        <v>0</v>
      </c>
      <c r="P738" t="n">
        <v>0</v>
      </c>
      <c r="Q738" t="n">
        <v>0</v>
      </c>
      <c r="R738" s="2" t="inlineStr"/>
    </row>
    <row r="739" ht="15" customHeight="1">
      <c r="A739" t="inlineStr">
        <is>
          <t>A 3796-2026</t>
        </is>
      </c>
      <c r="B739" s="1" t="n">
        <v>46043.57982638889</v>
      </c>
      <c r="C739" s="1" t="n">
        <v>46063</v>
      </c>
      <c r="D739" t="inlineStr">
        <is>
          <t>JÄMTLANDS LÄN</t>
        </is>
      </c>
      <c r="E739" t="inlineStr">
        <is>
          <t>BERG</t>
        </is>
      </c>
      <c r="G739" t="n">
        <v>2.5</v>
      </c>
      <c r="H739" t="n">
        <v>0</v>
      </c>
      <c r="I739" t="n">
        <v>0</v>
      </c>
      <c r="J739" t="n">
        <v>0</v>
      </c>
      <c r="K739" t="n">
        <v>0</v>
      </c>
      <c r="L739" t="n">
        <v>0</v>
      </c>
      <c r="M739" t="n">
        <v>0</v>
      </c>
      <c r="N739" t="n">
        <v>0</v>
      </c>
      <c r="O739" t="n">
        <v>0</v>
      </c>
      <c r="P739" t="n">
        <v>0</v>
      </c>
      <c r="Q739" t="n">
        <v>0</v>
      </c>
      <c r="R739" s="2" t="inlineStr"/>
    </row>
    <row r="740" ht="15" customHeight="1">
      <c r="A740" t="inlineStr">
        <is>
          <t>A 1520-2022</t>
        </is>
      </c>
      <c r="B740" s="1" t="n">
        <v>44572</v>
      </c>
      <c r="C740" s="1" t="n">
        <v>46063</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61460-2025</t>
        </is>
      </c>
      <c r="B741" s="1" t="n">
        <v>46001.59425925926</v>
      </c>
      <c r="C741" s="1" t="n">
        <v>46063</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3810-2026</t>
        </is>
      </c>
      <c r="B742" s="1" t="n">
        <v>46043.58373842593</v>
      </c>
      <c r="C742" s="1" t="n">
        <v>46063</v>
      </c>
      <c r="D742" t="inlineStr">
        <is>
          <t>JÄMTLANDS LÄN</t>
        </is>
      </c>
      <c r="E742" t="inlineStr">
        <is>
          <t>BERG</t>
        </is>
      </c>
      <c r="G742" t="n">
        <v>2.5</v>
      </c>
      <c r="H742" t="n">
        <v>0</v>
      </c>
      <c r="I742" t="n">
        <v>0</v>
      </c>
      <c r="J742" t="n">
        <v>0</v>
      </c>
      <c r="K742" t="n">
        <v>0</v>
      </c>
      <c r="L742" t="n">
        <v>0</v>
      </c>
      <c r="M742" t="n">
        <v>0</v>
      </c>
      <c r="N742" t="n">
        <v>0</v>
      </c>
      <c r="O742" t="n">
        <v>0</v>
      </c>
      <c r="P742" t="n">
        <v>0</v>
      </c>
      <c r="Q742" t="n">
        <v>0</v>
      </c>
      <c r="R742" s="2" t="inlineStr"/>
    </row>
    <row r="743" ht="15" customHeight="1">
      <c r="A743" t="inlineStr">
        <is>
          <t>A 61459-2025</t>
        </is>
      </c>
      <c r="B743" s="1" t="n">
        <v>46001.59416666667</v>
      </c>
      <c r="C743" s="1" t="n">
        <v>46063</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1684-2026</t>
        </is>
      </c>
      <c r="B744" s="1" t="n">
        <v>46034.58386574074</v>
      </c>
      <c r="C744" s="1" t="n">
        <v>46063</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61501-2025</t>
        </is>
      </c>
      <c r="B745" s="1" t="n">
        <v>46001.65951388889</v>
      </c>
      <c r="C745" s="1" t="n">
        <v>46063</v>
      </c>
      <c r="D745" t="inlineStr">
        <is>
          <t>JÄMTLANDS LÄN</t>
        </is>
      </c>
      <c r="E745" t="inlineStr">
        <is>
          <t>BERG</t>
        </is>
      </c>
      <c r="G745" t="n">
        <v>1.8</v>
      </c>
      <c r="H745" t="n">
        <v>0</v>
      </c>
      <c r="I745" t="n">
        <v>0</v>
      </c>
      <c r="J745" t="n">
        <v>0</v>
      </c>
      <c r="K745" t="n">
        <v>0</v>
      </c>
      <c r="L745" t="n">
        <v>0</v>
      </c>
      <c r="M745" t="n">
        <v>0</v>
      </c>
      <c r="N745" t="n">
        <v>0</v>
      </c>
      <c r="O745" t="n">
        <v>0</v>
      </c>
      <c r="P745" t="n">
        <v>0</v>
      </c>
      <c r="Q745" t="n">
        <v>0</v>
      </c>
      <c r="R745" s="2" t="inlineStr"/>
    </row>
    <row r="746" ht="15" customHeight="1">
      <c r="A746" t="inlineStr">
        <is>
          <t>A 46816-2023</t>
        </is>
      </c>
      <c r="B746" s="1" t="n">
        <v>45198</v>
      </c>
      <c r="C746" s="1" t="n">
        <v>46063</v>
      </c>
      <c r="D746" t="inlineStr">
        <is>
          <t>JÄMTLANDS LÄN</t>
        </is>
      </c>
      <c r="E746" t="inlineStr">
        <is>
          <t>BERG</t>
        </is>
      </c>
      <c r="F746" t="inlineStr">
        <is>
          <t>SCA</t>
        </is>
      </c>
      <c r="G746" t="n">
        <v>66.2</v>
      </c>
      <c r="H746" t="n">
        <v>0</v>
      </c>
      <c r="I746" t="n">
        <v>0</v>
      </c>
      <c r="J746" t="n">
        <v>0</v>
      </c>
      <c r="K746" t="n">
        <v>0</v>
      </c>
      <c r="L746" t="n">
        <v>0</v>
      </c>
      <c r="M746" t="n">
        <v>0</v>
      </c>
      <c r="N746" t="n">
        <v>0</v>
      </c>
      <c r="O746" t="n">
        <v>0</v>
      </c>
      <c r="P746" t="n">
        <v>0</v>
      </c>
      <c r="Q746" t="n">
        <v>0</v>
      </c>
      <c r="R746" s="2" t="inlineStr"/>
    </row>
    <row r="747" ht="15" customHeight="1">
      <c r="A747" t="inlineStr">
        <is>
          <t>A 61987-2025</t>
        </is>
      </c>
      <c r="B747" s="1" t="n">
        <v>46003.62914351852</v>
      </c>
      <c r="C747" s="1" t="n">
        <v>46063</v>
      </c>
      <c r="D747" t="inlineStr">
        <is>
          <t>JÄMTLANDS LÄN</t>
        </is>
      </c>
      <c r="E747" t="inlineStr">
        <is>
          <t>BERG</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31641-2022</t>
        </is>
      </c>
      <c r="B748" s="1" t="n">
        <v>44775.94119212963</v>
      </c>
      <c r="C748" s="1" t="n">
        <v>46063</v>
      </c>
      <c r="D748" t="inlineStr">
        <is>
          <t>JÄMTLANDS LÄN</t>
        </is>
      </c>
      <c r="E748" t="inlineStr">
        <is>
          <t>BERG</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4383-2026</t>
        </is>
      </c>
      <c r="B749" s="1" t="n">
        <v>46045.56296296296</v>
      </c>
      <c r="C749" s="1" t="n">
        <v>46063</v>
      </c>
      <c r="D749" t="inlineStr">
        <is>
          <t>JÄMTLANDS LÄN</t>
        </is>
      </c>
      <c r="E749" t="inlineStr">
        <is>
          <t>BERG</t>
        </is>
      </c>
      <c r="G749" t="n">
        <v>0.9</v>
      </c>
      <c r="H749" t="n">
        <v>0</v>
      </c>
      <c r="I749" t="n">
        <v>0</v>
      </c>
      <c r="J749" t="n">
        <v>0</v>
      </c>
      <c r="K749" t="n">
        <v>0</v>
      </c>
      <c r="L749" t="n">
        <v>0</v>
      </c>
      <c r="M749" t="n">
        <v>0</v>
      </c>
      <c r="N749" t="n">
        <v>0</v>
      </c>
      <c r="O749" t="n">
        <v>0</v>
      </c>
      <c r="P749" t="n">
        <v>0</v>
      </c>
      <c r="Q749" t="n">
        <v>0</v>
      </c>
      <c r="R749" s="2" t="inlineStr"/>
    </row>
    <row r="750" ht="15" customHeight="1">
      <c r="A750" t="inlineStr">
        <is>
          <t>A 46872-2023</t>
        </is>
      </c>
      <c r="B750" s="1" t="n">
        <v>45200</v>
      </c>
      <c r="C750" s="1" t="n">
        <v>46063</v>
      </c>
      <c r="D750" t="inlineStr">
        <is>
          <t>JÄMTLANDS LÄN</t>
        </is>
      </c>
      <c r="E750" t="inlineStr">
        <is>
          <t>BERG</t>
        </is>
      </c>
      <c r="F750" t="inlineStr">
        <is>
          <t>Naturvårdsverket</t>
        </is>
      </c>
      <c r="G750" t="n">
        <v>1.2</v>
      </c>
      <c r="H750" t="n">
        <v>0</v>
      </c>
      <c r="I750" t="n">
        <v>0</v>
      </c>
      <c r="J750" t="n">
        <v>0</v>
      </c>
      <c r="K750" t="n">
        <v>0</v>
      </c>
      <c r="L750" t="n">
        <v>0</v>
      </c>
      <c r="M750" t="n">
        <v>0</v>
      </c>
      <c r="N750" t="n">
        <v>0</v>
      </c>
      <c r="O750" t="n">
        <v>0</v>
      </c>
      <c r="P750" t="n">
        <v>0</v>
      </c>
      <c r="Q750" t="n">
        <v>0</v>
      </c>
      <c r="R750" s="2" t="inlineStr"/>
      <c r="U750">
        <f>HYPERLINK("https://klasma.github.io/Logging_2326/knärot/A 46872-2023 karta knärot.png", "A 46872-2023")</f>
        <v/>
      </c>
      <c r="V750">
        <f>HYPERLINK("https://klasma.github.io/Logging_2326/klagomål/A 46872-2023 FSC-klagomål.docx", "A 46872-2023")</f>
        <v/>
      </c>
      <c r="W750">
        <f>HYPERLINK("https://klasma.github.io/Logging_2326/klagomålsmail/A 46872-2023 FSC-klagomål mail.docx", "A 46872-2023")</f>
        <v/>
      </c>
      <c r="X750">
        <f>HYPERLINK("https://klasma.github.io/Logging_2326/tillsyn/A 46872-2023 tillsynsbegäran.docx", "A 46872-2023")</f>
        <v/>
      </c>
      <c r="Y750">
        <f>HYPERLINK("https://klasma.github.io/Logging_2326/tillsynsmail/A 46872-2023 tillsynsbegäran mail.docx", "A 46872-2023")</f>
        <v/>
      </c>
    </row>
    <row r="751" ht="15" customHeight="1">
      <c r="A751" t="inlineStr">
        <is>
          <t>A 4337-2026</t>
        </is>
      </c>
      <c r="B751" s="1" t="n">
        <v>46045</v>
      </c>
      <c r="C751" s="1" t="n">
        <v>46063</v>
      </c>
      <c r="D751" t="inlineStr">
        <is>
          <t>JÄMTLANDS LÄN</t>
        </is>
      </c>
      <c r="E751" t="inlineStr">
        <is>
          <t>BERG</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4833-2026</t>
        </is>
      </c>
      <c r="B752" s="1" t="n">
        <v>46048.60271990741</v>
      </c>
      <c r="C752" s="1" t="n">
        <v>46063</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61977-2025</t>
        </is>
      </c>
      <c r="B753" s="1" t="n">
        <v>46003.61158564815</v>
      </c>
      <c r="C753" s="1" t="n">
        <v>46063</v>
      </c>
      <c r="D753" t="inlineStr">
        <is>
          <t>JÄMTLANDS LÄN</t>
        </is>
      </c>
      <c r="E753" t="inlineStr">
        <is>
          <t>BERG</t>
        </is>
      </c>
      <c r="G753" t="n">
        <v>2.7</v>
      </c>
      <c r="H753" t="n">
        <v>0</v>
      </c>
      <c r="I753" t="n">
        <v>0</v>
      </c>
      <c r="J753" t="n">
        <v>0</v>
      </c>
      <c r="K753" t="n">
        <v>0</v>
      </c>
      <c r="L753" t="n">
        <v>0</v>
      </c>
      <c r="M753" t="n">
        <v>0</v>
      </c>
      <c r="N753" t="n">
        <v>0</v>
      </c>
      <c r="O753" t="n">
        <v>0</v>
      </c>
      <c r="P753" t="n">
        <v>0</v>
      </c>
      <c r="Q753" t="n">
        <v>0</v>
      </c>
      <c r="R753" s="2" t="inlineStr"/>
    </row>
    <row r="754" ht="15" customHeight="1">
      <c r="A754" t="inlineStr">
        <is>
          <t>A 61991-2025</t>
        </is>
      </c>
      <c r="B754" s="1" t="n">
        <v>46003.62962962963</v>
      </c>
      <c r="C754" s="1" t="n">
        <v>46063</v>
      </c>
      <c r="D754" t="inlineStr">
        <is>
          <t>JÄMTLANDS LÄN</t>
        </is>
      </c>
      <c r="E754" t="inlineStr">
        <is>
          <t>BERG</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62158-2025</t>
        </is>
      </c>
      <c r="B755" s="1" t="n">
        <v>46006.490625</v>
      </c>
      <c r="C755" s="1" t="n">
        <v>46063</v>
      </c>
      <c r="D755" t="inlineStr">
        <is>
          <t>JÄMTLANDS LÄN</t>
        </is>
      </c>
      <c r="E755" t="inlineStr">
        <is>
          <t>BERG</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22275-2022</t>
        </is>
      </c>
      <c r="B756" s="1" t="n">
        <v>44712</v>
      </c>
      <c r="C756" s="1" t="n">
        <v>46063</v>
      </c>
      <c r="D756" t="inlineStr">
        <is>
          <t>JÄMTLANDS LÄN</t>
        </is>
      </c>
      <c r="E756" t="inlineStr">
        <is>
          <t>BERG</t>
        </is>
      </c>
      <c r="G756" t="n">
        <v>2.1</v>
      </c>
      <c r="H756" t="n">
        <v>0</v>
      </c>
      <c r="I756" t="n">
        <v>0</v>
      </c>
      <c r="J756" t="n">
        <v>0</v>
      </c>
      <c r="K756" t="n">
        <v>0</v>
      </c>
      <c r="L756" t="n">
        <v>0</v>
      </c>
      <c r="M756" t="n">
        <v>0</v>
      </c>
      <c r="N756" t="n">
        <v>0</v>
      </c>
      <c r="O756" t="n">
        <v>0</v>
      </c>
      <c r="P756" t="n">
        <v>0</v>
      </c>
      <c r="Q756" t="n">
        <v>0</v>
      </c>
      <c r="R756" s="2" t="inlineStr"/>
    </row>
    <row r="757" ht="15" customHeight="1">
      <c r="A757" t="inlineStr">
        <is>
          <t>A 62052-2025</t>
        </is>
      </c>
      <c r="B757" s="1" t="n">
        <v>46006.32145833333</v>
      </c>
      <c r="C757" s="1" t="n">
        <v>46063</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39809-2025</t>
        </is>
      </c>
      <c r="B758" s="1" t="n">
        <v>45891</v>
      </c>
      <c r="C758" s="1" t="n">
        <v>46063</v>
      </c>
      <c r="D758" t="inlineStr">
        <is>
          <t>JÄMTLANDS LÄN</t>
        </is>
      </c>
      <c r="E758" t="inlineStr">
        <is>
          <t>BERG</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62814-2025</t>
        </is>
      </c>
      <c r="B759" s="1" t="n">
        <v>46008.6502662037</v>
      </c>
      <c r="C759" s="1" t="n">
        <v>46063</v>
      </c>
      <c r="D759" t="inlineStr">
        <is>
          <t>JÄMTLANDS LÄN</t>
        </is>
      </c>
      <c r="E759" t="inlineStr">
        <is>
          <t>BERG</t>
        </is>
      </c>
      <c r="G759" t="n">
        <v>7.8</v>
      </c>
      <c r="H759" t="n">
        <v>0</v>
      </c>
      <c r="I759" t="n">
        <v>0</v>
      </c>
      <c r="J759" t="n">
        <v>0</v>
      </c>
      <c r="K759" t="n">
        <v>0</v>
      </c>
      <c r="L759" t="n">
        <v>0</v>
      </c>
      <c r="M759" t="n">
        <v>0</v>
      </c>
      <c r="N759" t="n">
        <v>0</v>
      </c>
      <c r="O759" t="n">
        <v>0</v>
      </c>
      <c r="P759" t="n">
        <v>0</v>
      </c>
      <c r="Q759" t="n">
        <v>0</v>
      </c>
      <c r="R759" s="2" t="inlineStr"/>
    </row>
    <row r="760" ht="15" customHeight="1">
      <c r="A760" t="inlineStr">
        <is>
          <t>A 50706-2023</t>
        </is>
      </c>
      <c r="B760" s="1" t="n">
        <v>45217.55832175926</v>
      </c>
      <c r="C760" s="1" t="n">
        <v>46063</v>
      </c>
      <c r="D760" t="inlineStr">
        <is>
          <t>JÄMTLANDS LÄN</t>
        </is>
      </c>
      <c r="E760" t="inlineStr">
        <is>
          <t>BERG</t>
        </is>
      </c>
      <c r="G760" t="n">
        <v>4.1</v>
      </c>
      <c r="H760" t="n">
        <v>0</v>
      </c>
      <c r="I760" t="n">
        <v>0</v>
      </c>
      <c r="J760" t="n">
        <v>0</v>
      </c>
      <c r="K760" t="n">
        <v>0</v>
      </c>
      <c r="L760" t="n">
        <v>0</v>
      </c>
      <c r="M760" t="n">
        <v>0</v>
      </c>
      <c r="N760" t="n">
        <v>0</v>
      </c>
      <c r="O760" t="n">
        <v>0</v>
      </c>
      <c r="P760" t="n">
        <v>0</v>
      </c>
      <c r="Q760" t="n">
        <v>0</v>
      </c>
      <c r="R760" s="2" t="inlineStr"/>
    </row>
    <row r="761" ht="15" customHeight="1">
      <c r="A761" t="inlineStr">
        <is>
          <t>A 54415-2023</t>
        </is>
      </c>
      <c r="B761" s="1" t="n">
        <v>45233.40039351852</v>
      </c>
      <c r="C761" s="1" t="n">
        <v>46063</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45201.94844907407</v>
      </c>
      <c r="C762" s="1" t="n">
        <v>46063</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41098-2023</t>
        </is>
      </c>
      <c r="B763" s="1" t="n">
        <v>45170</v>
      </c>
      <c r="C763" s="1" t="n">
        <v>46063</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41106-2023</t>
        </is>
      </c>
      <c r="B764" s="1" t="n">
        <v>45170</v>
      </c>
      <c r="C764" s="1" t="n">
        <v>46063</v>
      </c>
      <c r="D764" t="inlineStr">
        <is>
          <t>JÄMTLANDS LÄN</t>
        </is>
      </c>
      <c r="E764" t="inlineStr">
        <is>
          <t>BERG</t>
        </is>
      </c>
      <c r="G764" t="n">
        <v>0.7</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45169.93925925926</v>
      </c>
      <c r="C765" s="1" t="n">
        <v>46063</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62826-2025</t>
        </is>
      </c>
      <c r="B766" s="1" t="n">
        <v>46008.65883101852</v>
      </c>
      <c r="C766" s="1" t="n">
        <v>46063</v>
      </c>
      <c r="D766" t="inlineStr">
        <is>
          <t>JÄMTLANDS LÄN</t>
        </is>
      </c>
      <c r="E766" t="inlineStr">
        <is>
          <t>BERG</t>
        </is>
      </c>
      <c r="G766" t="n">
        <v>4</v>
      </c>
      <c r="H766" t="n">
        <v>0</v>
      </c>
      <c r="I766" t="n">
        <v>0</v>
      </c>
      <c r="J766" t="n">
        <v>0</v>
      </c>
      <c r="K766" t="n">
        <v>0</v>
      </c>
      <c r="L766" t="n">
        <v>0</v>
      </c>
      <c r="M766" t="n">
        <v>0</v>
      </c>
      <c r="N766" t="n">
        <v>0</v>
      </c>
      <c r="O766" t="n">
        <v>0</v>
      </c>
      <c r="P766" t="n">
        <v>0</v>
      </c>
      <c r="Q766" t="n">
        <v>0</v>
      </c>
      <c r="R766" s="2" t="inlineStr"/>
    </row>
    <row r="767" ht="15" customHeight="1">
      <c r="A767" t="inlineStr">
        <is>
          <t>A 54998-2023</t>
        </is>
      </c>
      <c r="B767" s="1" t="n">
        <v>45236</v>
      </c>
      <c r="C767" s="1" t="n">
        <v>46063</v>
      </c>
      <c r="D767" t="inlineStr">
        <is>
          <t>JÄMTLANDS LÄN</t>
        </is>
      </c>
      <c r="E767" t="inlineStr">
        <is>
          <t>BERG</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5089-2026</t>
        </is>
      </c>
      <c r="B768" s="1" t="n">
        <v>46049.55258101852</v>
      </c>
      <c r="C768" s="1" t="n">
        <v>46063</v>
      </c>
      <c r="D768" t="inlineStr">
        <is>
          <t>JÄMTLANDS LÄN</t>
        </is>
      </c>
      <c r="E768" t="inlineStr">
        <is>
          <t>BERG</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5491-2026</t>
        </is>
      </c>
      <c r="B769" s="1" t="n">
        <v>46050.61548611111</v>
      </c>
      <c r="C769" s="1" t="n">
        <v>46063</v>
      </c>
      <c r="D769" t="inlineStr">
        <is>
          <t>JÄMTLANDS LÄN</t>
        </is>
      </c>
      <c r="E769" t="inlineStr">
        <is>
          <t>BERG</t>
        </is>
      </c>
      <c r="G769" t="n">
        <v>0.8</v>
      </c>
      <c r="H769" t="n">
        <v>0</v>
      </c>
      <c r="I769" t="n">
        <v>0</v>
      </c>
      <c r="J769" t="n">
        <v>0</v>
      </c>
      <c r="K769" t="n">
        <v>0</v>
      </c>
      <c r="L769" t="n">
        <v>0</v>
      </c>
      <c r="M769" t="n">
        <v>0</v>
      </c>
      <c r="N769" t="n">
        <v>0</v>
      </c>
      <c r="O769" t="n">
        <v>0</v>
      </c>
      <c r="P769" t="n">
        <v>0</v>
      </c>
      <c r="Q769" t="n">
        <v>0</v>
      </c>
      <c r="R769" s="2" t="inlineStr"/>
    </row>
    <row r="770" ht="15" customHeight="1">
      <c r="A770" t="inlineStr">
        <is>
          <t>A 26944-2022</t>
        </is>
      </c>
      <c r="B770" s="1" t="n">
        <v>44740</v>
      </c>
      <c r="C770" s="1" t="n">
        <v>46063</v>
      </c>
      <c r="D770" t="inlineStr">
        <is>
          <t>JÄMTLANDS LÄN</t>
        </is>
      </c>
      <c r="E770" t="inlineStr">
        <is>
          <t>BERG</t>
        </is>
      </c>
      <c r="G770" t="n">
        <v>3.3</v>
      </c>
      <c r="H770" t="n">
        <v>0</v>
      </c>
      <c r="I770" t="n">
        <v>0</v>
      </c>
      <c r="J770" t="n">
        <v>0</v>
      </c>
      <c r="K770" t="n">
        <v>0</v>
      </c>
      <c r="L770" t="n">
        <v>0</v>
      </c>
      <c r="M770" t="n">
        <v>0</v>
      </c>
      <c r="N770" t="n">
        <v>0</v>
      </c>
      <c r="O770" t="n">
        <v>0</v>
      </c>
      <c r="P770" t="n">
        <v>0</v>
      </c>
      <c r="Q770" t="n">
        <v>0</v>
      </c>
      <c r="R770" s="2" t="inlineStr"/>
    </row>
    <row r="771" ht="15" customHeight="1">
      <c r="A771" t="inlineStr">
        <is>
          <t>A 63819-2023</t>
        </is>
      </c>
      <c r="B771" s="1" t="n">
        <v>45278.44128472222</v>
      </c>
      <c r="C771" s="1" t="n">
        <v>46063</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63345-2025</t>
        </is>
      </c>
      <c r="B772" s="1" t="n">
        <v>46010.65959490741</v>
      </c>
      <c r="C772" s="1" t="n">
        <v>46063</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5688-2026</t>
        </is>
      </c>
      <c r="B773" s="1" t="n">
        <v>46051.49005787037</v>
      </c>
      <c r="C773" s="1" t="n">
        <v>46063</v>
      </c>
      <c r="D773" t="inlineStr">
        <is>
          <t>JÄMTLANDS LÄN</t>
        </is>
      </c>
      <c r="E773" t="inlineStr">
        <is>
          <t>BERG</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5857-2026</t>
        </is>
      </c>
      <c r="B774" s="1" t="n">
        <v>46052.36511574074</v>
      </c>
      <c r="C774" s="1" t="n">
        <v>46063</v>
      </c>
      <c r="D774" t="inlineStr">
        <is>
          <t>JÄMTLANDS LÄN</t>
        </is>
      </c>
      <c r="E774" t="inlineStr">
        <is>
          <t>BERG</t>
        </is>
      </c>
      <c r="G774" t="n">
        <v>0.2</v>
      </c>
      <c r="H774" t="n">
        <v>0</v>
      </c>
      <c r="I774" t="n">
        <v>0</v>
      </c>
      <c r="J774" t="n">
        <v>0</v>
      </c>
      <c r="K774" t="n">
        <v>0</v>
      </c>
      <c r="L774" t="n">
        <v>0</v>
      </c>
      <c r="M774" t="n">
        <v>0</v>
      </c>
      <c r="N774" t="n">
        <v>0</v>
      </c>
      <c r="O774" t="n">
        <v>0</v>
      </c>
      <c r="P774" t="n">
        <v>0</v>
      </c>
      <c r="Q774" t="n">
        <v>0</v>
      </c>
      <c r="R774" s="2" t="inlineStr"/>
    </row>
    <row r="775" ht="15" customHeight="1">
      <c r="A775" t="inlineStr">
        <is>
          <t>A 5859-2026</t>
        </is>
      </c>
      <c r="B775" s="1" t="n">
        <v>46052.36515046296</v>
      </c>
      <c r="C775" s="1" t="n">
        <v>46063</v>
      </c>
      <c r="D775" t="inlineStr">
        <is>
          <t>JÄMTLANDS LÄN</t>
        </is>
      </c>
      <c r="E775" t="inlineStr">
        <is>
          <t>BERG</t>
        </is>
      </c>
      <c r="G775" t="n">
        <v>1.7</v>
      </c>
      <c r="H775" t="n">
        <v>0</v>
      </c>
      <c r="I775" t="n">
        <v>0</v>
      </c>
      <c r="J775" t="n">
        <v>0</v>
      </c>
      <c r="K775" t="n">
        <v>0</v>
      </c>
      <c r="L775" t="n">
        <v>0</v>
      </c>
      <c r="M775" t="n">
        <v>0</v>
      </c>
      <c r="N775" t="n">
        <v>0</v>
      </c>
      <c r="O775" t="n">
        <v>0</v>
      </c>
      <c r="P775" t="n">
        <v>0</v>
      </c>
      <c r="Q775" t="n">
        <v>0</v>
      </c>
      <c r="R775" s="2" t="inlineStr"/>
    </row>
    <row r="776" ht="15" customHeight="1">
      <c r="A776" t="inlineStr">
        <is>
          <t>A 44088-2021</t>
        </is>
      </c>
      <c r="B776" s="1" t="n">
        <v>44434</v>
      </c>
      <c r="C776" s="1" t="n">
        <v>46063</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63332-2025</t>
        </is>
      </c>
      <c r="B777" s="1" t="n">
        <v>46010.64340277778</v>
      </c>
      <c r="C777" s="1" t="n">
        <v>46063</v>
      </c>
      <c r="D777" t="inlineStr">
        <is>
          <t>JÄMTLANDS LÄN</t>
        </is>
      </c>
      <c r="E777" t="inlineStr">
        <is>
          <t>BERG</t>
        </is>
      </c>
      <c r="G777" t="n">
        <v>5.4</v>
      </c>
      <c r="H777" t="n">
        <v>0</v>
      </c>
      <c r="I777" t="n">
        <v>0</v>
      </c>
      <c r="J777" t="n">
        <v>0</v>
      </c>
      <c r="K777" t="n">
        <v>0</v>
      </c>
      <c r="L777" t="n">
        <v>0</v>
      </c>
      <c r="M777" t="n">
        <v>0</v>
      </c>
      <c r="N777" t="n">
        <v>0</v>
      </c>
      <c r="O777" t="n">
        <v>0</v>
      </c>
      <c r="P777" t="n">
        <v>0</v>
      </c>
      <c r="Q777" t="n">
        <v>0</v>
      </c>
      <c r="R777" s="2" t="inlineStr"/>
    </row>
    <row r="778" ht="15" customHeight="1">
      <c r="A778" t="inlineStr">
        <is>
          <t>A 5816-2026</t>
        </is>
      </c>
      <c r="B778" s="1" t="n">
        <v>46051.95127314814</v>
      </c>
      <c r="C778" s="1" t="n">
        <v>46063</v>
      </c>
      <c r="D778" t="inlineStr">
        <is>
          <t>JÄMTLANDS LÄN</t>
        </is>
      </c>
      <c r="E778" t="inlineStr">
        <is>
          <t>BERG</t>
        </is>
      </c>
      <c r="G778" t="n">
        <v>3.6</v>
      </c>
      <c r="H778" t="n">
        <v>0</v>
      </c>
      <c r="I778" t="n">
        <v>0</v>
      </c>
      <c r="J778" t="n">
        <v>0</v>
      </c>
      <c r="K778" t="n">
        <v>0</v>
      </c>
      <c r="L778" t="n">
        <v>0</v>
      </c>
      <c r="M778" t="n">
        <v>0</v>
      </c>
      <c r="N778" t="n">
        <v>0</v>
      </c>
      <c r="O778" t="n">
        <v>0</v>
      </c>
      <c r="P778" t="n">
        <v>0</v>
      </c>
      <c r="Q778" t="n">
        <v>0</v>
      </c>
      <c r="R778" s="2" t="inlineStr"/>
    </row>
    <row r="779" ht="15" customHeight="1">
      <c r="A779" t="inlineStr">
        <is>
          <t>A 39510-2023</t>
        </is>
      </c>
      <c r="B779" s="1" t="n">
        <v>45166</v>
      </c>
      <c r="C779" s="1" t="n">
        <v>46063</v>
      </c>
      <c r="D779" t="inlineStr">
        <is>
          <t>JÄMTLANDS LÄN</t>
        </is>
      </c>
      <c r="E779" t="inlineStr">
        <is>
          <t>BERG</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19513-2025</t>
        </is>
      </c>
      <c r="B780" s="1" t="n">
        <v>45770.42762731481</v>
      </c>
      <c r="C780" s="1" t="n">
        <v>46063</v>
      </c>
      <c r="D780" t="inlineStr">
        <is>
          <t>JÄMTLANDS LÄN</t>
        </is>
      </c>
      <c r="E780" t="inlineStr">
        <is>
          <t>BERG</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1596-2024</t>
        </is>
      </c>
      <c r="B781" s="1" t="n">
        <v>45306</v>
      </c>
      <c r="C781" s="1" t="n">
        <v>46063</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5858-2026</t>
        </is>
      </c>
      <c r="B782" s="1" t="n">
        <v>46052.36512731481</v>
      </c>
      <c r="C782" s="1" t="n">
        <v>46063</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53427-2025</t>
        </is>
      </c>
      <c r="B783" s="1" t="n">
        <v>45959</v>
      </c>
      <c r="C783" s="1" t="n">
        <v>46063</v>
      </c>
      <c r="D783" t="inlineStr">
        <is>
          <t>JÄMTLANDS LÄN</t>
        </is>
      </c>
      <c r="E783" t="inlineStr">
        <is>
          <t>BERG</t>
        </is>
      </c>
      <c r="F783" t="inlineStr">
        <is>
          <t>SCA</t>
        </is>
      </c>
      <c r="G783" t="n">
        <v>7.1</v>
      </c>
      <c r="H783" t="n">
        <v>0</v>
      </c>
      <c r="I783" t="n">
        <v>0</v>
      </c>
      <c r="J783" t="n">
        <v>0</v>
      </c>
      <c r="K783" t="n">
        <v>0</v>
      </c>
      <c r="L783" t="n">
        <v>0</v>
      </c>
      <c r="M783" t="n">
        <v>0</v>
      </c>
      <c r="N783" t="n">
        <v>0</v>
      </c>
      <c r="O783" t="n">
        <v>0</v>
      </c>
      <c r="P783" t="n">
        <v>0</v>
      </c>
      <c r="Q783" t="n">
        <v>0</v>
      </c>
      <c r="R783" s="2" t="inlineStr"/>
    </row>
    <row r="784" ht="15" customHeight="1">
      <c r="A784" t="inlineStr">
        <is>
          <t>A 36192-2024</t>
        </is>
      </c>
      <c r="B784" s="1" t="n">
        <v>45534.42809027778</v>
      </c>
      <c r="C784" s="1" t="n">
        <v>46063</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5832-2026</t>
        </is>
      </c>
      <c r="B785" s="1" t="n">
        <v>46052.32890046296</v>
      </c>
      <c r="C785" s="1" t="n">
        <v>46063</v>
      </c>
      <c r="D785" t="inlineStr">
        <is>
          <t>JÄMTLANDS LÄN</t>
        </is>
      </c>
      <c r="E785" t="inlineStr">
        <is>
          <t>BERG</t>
        </is>
      </c>
      <c r="G785" t="n">
        <v>5.7</v>
      </c>
      <c r="H785" t="n">
        <v>0</v>
      </c>
      <c r="I785" t="n">
        <v>0</v>
      </c>
      <c r="J785" t="n">
        <v>0</v>
      </c>
      <c r="K785" t="n">
        <v>0</v>
      </c>
      <c r="L785" t="n">
        <v>0</v>
      </c>
      <c r="M785" t="n">
        <v>0</v>
      </c>
      <c r="N785" t="n">
        <v>0</v>
      </c>
      <c r="O785" t="n">
        <v>0</v>
      </c>
      <c r="P785" t="n">
        <v>0</v>
      </c>
      <c r="Q785" t="n">
        <v>0</v>
      </c>
      <c r="R785" s="2" t="inlineStr"/>
    </row>
    <row r="786" ht="15" customHeight="1">
      <c r="A786" t="inlineStr">
        <is>
          <t>A 166-2024</t>
        </is>
      </c>
      <c r="B786" s="1" t="n">
        <v>45294</v>
      </c>
      <c r="C786" s="1" t="n">
        <v>46063</v>
      </c>
      <c r="D786" t="inlineStr">
        <is>
          <t>JÄMTLANDS LÄN</t>
        </is>
      </c>
      <c r="E786" t="inlineStr">
        <is>
          <t>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8722-2024</t>
        </is>
      </c>
      <c r="B787" s="1" t="n">
        <v>45355</v>
      </c>
      <c r="C787" s="1" t="n">
        <v>46063</v>
      </c>
      <c r="D787" t="inlineStr">
        <is>
          <t>JÄMTLANDS LÄN</t>
        </is>
      </c>
      <c r="E787" t="inlineStr">
        <is>
          <t>BERG</t>
        </is>
      </c>
      <c r="G787" t="n">
        <v>2.4</v>
      </c>
      <c r="H787" t="n">
        <v>0</v>
      </c>
      <c r="I787" t="n">
        <v>0</v>
      </c>
      <c r="J787" t="n">
        <v>0</v>
      </c>
      <c r="K787" t="n">
        <v>0</v>
      </c>
      <c r="L787" t="n">
        <v>0</v>
      </c>
      <c r="M787" t="n">
        <v>0</v>
      </c>
      <c r="N787" t="n">
        <v>0</v>
      </c>
      <c r="O787" t="n">
        <v>0</v>
      </c>
      <c r="P787" t="n">
        <v>0</v>
      </c>
      <c r="Q787" t="n">
        <v>0</v>
      </c>
      <c r="R787" s="2" t="inlineStr"/>
    </row>
    <row r="788" ht="15" customHeight="1">
      <c r="A788" t="inlineStr">
        <is>
          <t>A 8726-2024</t>
        </is>
      </c>
      <c r="B788" s="1" t="n">
        <v>45355</v>
      </c>
      <c r="C788" s="1" t="n">
        <v>46063</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7040-2024</t>
        </is>
      </c>
      <c r="B789" s="1" t="n">
        <v>45343</v>
      </c>
      <c r="C789" s="1" t="n">
        <v>46063</v>
      </c>
      <c r="D789" t="inlineStr">
        <is>
          <t>JÄMTLANDS LÄN</t>
        </is>
      </c>
      <c r="E789" t="inlineStr">
        <is>
          <t>BERG</t>
        </is>
      </c>
      <c r="G789" t="n">
        <v>15.9</v>
      </c>
      <c r="H789" t="n">
        <v>0</v>
      </c>
      <c r="I789" t="n">
        <v>0</v>
      </c>
      <c r="J789" t="n">
        <v>0</v>
      </c>
      <c r="K789" t="n">
        <v>0</v>
      </c>
      <c r="L789" t="n">
        <v>0</v>
      </c>
      <c r="M789" t="n">
        <v>0</v>
      </c>
      <c r="N789" t="n">
        <v>0</v>
      </c>
      <c r="O789" t="n">
        <v>0</v>
      </c>
      <c r="P789" t="n">
        <v>0</v>
      </c>
      <c r="Q789" t="n">
        <v>0</v>
      </c>
      <c r="R789" s="2" t="inlineStr"/>
    </row>
    <row r="790" ht="15" customHeight="1">
      <c r="A790" t="inlineStr">
        <is>
          <t>A 63597-2025</t>
        </is>
      </c>
      <c r="B790" s="1" t="n">
        <v>46014.28792824074</v>
      </c>
      <c r="C790" s="1" t="n">
        <v>46063</v>
      </c>
      <c r="D790" t="inlineStr">
        <is>
          <t>JÄMTLANDS LÄN</t>
        </is>
      </c>
      <c r="E790" t="inlineStr">
        <is>
          <t>BERG</t>
        </is>
      </c>
      <c r="G790" t="n">
        <v>1.4</v>
      </c>
      <c r="H790" t="n">
        <v>0</v>
      </c>
      <c r="I790" t="n">
        <v>0</v>
      </c>
      <c r="J790" t="n">
        <v>0</v>
      </c>
      <c r="K790" t="n">
        <v>0</v>
      </c>
      <c r="L790" t="n">
        <v>0</v>
      </c>
      <c r="M790" t="n">
        <v>0</v>
      </c>
      <c r="N790" t="n">
        <v>0</v>
      </c>
      <c r="O790" t="n">
        <v>0</v>
      </c>
      <c r="P790" t="n">
        <v>0</v>
      </c>
      <c r="Q790" t="n">
        <v>0</v>
      </c>
      <c r="R790" s="2" t="inlineStr"/>
    </row>
    <row r="791" ht="15" customHeight="1">
      <c r="A791" t="inlineStr">
        <is>
          <t>A 5215-2024</t>
        </is>
      </c>
      <c r="B791" s="1" t="n">
        <v>45330</v>
      </c>
      <c r="C791" s="1" t="n">
        <v>46063</v>
      </c>
      <c r="D791" t="inlineStr">
        <is>
          <t>JÄMTLANDS LÄN</t>
        </is>
      </c>
      <c r="E791" t="inlineStr">
        <is>
          <t>BERG</t>
        </is>
      </c>
      <c r="G791" t="n">
        <v>0.8</v>
      </c>
      <c r="H791" t="n">
        <v>0</v>
      </c>
      <c r="I791" t="n">
        <v>0</v>
      </c>
      <c r="J791" t="n">
        <v>0</v>
      </c>
      <c r="K791" t="n">
        <v>0</v>
      </c>
      <c r="L791" t="n">
        <v>0</v>
      </c>
      <c r="M791" t="n">
        <v>0</v>
      </c>
      <c r="N791" t="n">
        <v>0</v>
      </c>
      <c r="O791" t="n">
        <v>0</v>
      </c>
      <c r="P791" t="n">
        <v>0</v>
      </c>
      <c r="Q791" t="n">
        <v>0</v>
      </c>
      <c r="R791" s="2" t="inlineStr"/>
    </row>
    <row r="792" ht="15" customHeight="1">
      <c r="A792" t="inlineStr">
        <is>
          <t>A 14341-2025</t>
        </is>
      </c>
      <c r="B792" s="1" t="n">
        <v>45741.26008101852</v>
      </c>
      <c r="C792" s="1" t="n">
        <v>46063</v>
      </c>
      <c r="D792" t="inlineStr">
        <is>
          <t>JÄMTLANDS LÄN</t>
        </is>
      </c>
      <c r="E792" t="inlineStr">
        <is>
          <t>BERG</t>
        </is>
      </c>
      <c r="G792" t="n">
        <v>3.8</v>
      </c>
      <c r="H792" t="n">
        <v>0</v>
      </c>
      <c r="I792" t="n">
        <v>0</v>
      </c>
      <c r="J792" t="n">
        <v>0</v>
      </c>
      <c r="K792" t="n">
        <v>0</v>
      </c>
      <c r="L792" t="n">
        <v>0</v>
      </c>
      <c r="M792" t="n">
        <v>0</v>
      </c>
      <c r="N792" t="n">
        <v>0</v>
      </c>
      <c r="O792" t="n">
        <v>0</v>
      </c>
      <c r="P792" t="n">
        <v>0</v>
      </c>
      <c r="Q792" t="n">
        <v>0</v>
      </c>
      <c r="R792" s="2" t="inlineStr"/>
    </row>
    <row r="793" ht="15" customHeight="1">
      <c r="A793" t="inlineStr">
        <is>
          <t>A 57669-2024</t>
        </is>
      </c>
      <c r="B793" s="1" t="n">
        <v>45630.62520833333</v>
      </c>
      <c r="C793" s="1" t="n">
        <v>46063</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6333-2026</t>
        </is>
      </c>
      <c r="B794" s="1" t="n">
        <v>46055.59460648148</v>
      </c>
      <c r="C794" s="1" t="n">
        <v>46063</v>
      </c>
      <c r="D794" t="inlineStr">
        <is>
          <t>JÄMTLANDS LÄN</t>
        </is>
      </c>
      <c r="E794" t="inlineStr">
        <is>
          <t>BERG</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31131-2024</t>
        </is>
      </c>
      <c r="B795" s="1" t="n">
        <v>45502</v>
      </c>
      <c r="C795" s="1" t="n">
        <v>46063</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31154-2024</t>
        </is>
      </c>
      <c r="B796" s="1" t="n">
        <v>45503.32976851852</v>
      </c>
      <c r="C796" s="1" t="n">
        <v>46063</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63381-2025</t>
        </is>
      </c>
      <c r="B797" s="1" t="n">
        <v>46010.89377314815</v>
      </c>
      <c r="C797" s="1" t="n">
        <v>46063</v>
      </c>
      <c r="D797" t="inlineStr">
        <is>
          <t>JÄMTLANDS LÄN</t>
        </is>
      </c>
      <c r="E797" t="inlineStr">
        <is>
          <t>BERG</t>
        </is>
      </c>
      <c r="G797" t="n">
        <v>3.6</v>
      </c>
      <c r="H797" t="n">
        <v>0</v>
      </c>
      <c r="I797" t="n">
        <v>0</v>
      </c>
      <c r="J797" t="n">
        <v>0</v>
      </c>
      <c r="K797" t="n">
        <v>0</v>
      </c>
      <c r="L797" t="n">
        <v>0</v>
      </c>
      <c r="M797" t="n">
        <v>0</v>
      </c>
      <c r="N797" t="n">
        <v>0</v>
      </c>
      <c r="O797" t="n">
        <v>0</v>
      </c>
      <c r="P797" t="n">
        <v>0</v>
      </c>
      <c r="Q797" t="n">
        <v>0</v>
      </c>
      <c r="R797" s="2" t="inlineStr"/>
    </row>
    <row r="798" ht="15" customHeight="1">
      <c r="A798" t="inlineStr">
        <is>
          <t>A 6332-2026</t>
        </is>
      </c>
      <c r="B798" s="1" t="n">
        <v>46055.59442129629</v>
      </c>
      <c r="C798" s="1" t="n">
        <v>46063</v>
      </c>
      <c r="D798" t="inlineStr">
        <is>
          <t>JÄMTLANDS LÄN</t>
        </is>
      </c>
      <c r="E798" t="inlineStr">
        <is>
          <t>BERG</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63559-2025</t>
        </is>
      </c>
      <c r="B799" s="1" t="n">
        <v>46013.61951388889</v>
      </c>
      <c r="C799" s="1" t="n">
        <v>46063</v>
      </c>
      <c r="D799" t="inlineStr">
        <is>
          <t>JÄMTLANDS LÄN</t>
        </is>
      </c>
      <c r="E799" t="inlineStr">
        <is>
          <t>BERG</t>
        </is>
      </c>
      <c r="G799" t="n">
        <v>0.6</v>
      </c>
      <c r="H799" t="n">
        <v>0</v>
      </c>
      <c r="I799" t="n">
        <v>0</v>
      </c>
      <c r="J799" t="n">
        <v>0</v>
      </c>
      <c r="K799" t="n">
        <v>0</v>
      </c>
      <c r="L799" t="n">
        <v>0</v>
      </c>
      <c r="M799" t="n">
        <v>0</v>
      </c>
      <c r="N799" t="n">
        <v>0</v>
      </c>
      <c r="O799" t="n">
        <v>0</v>
      </c>
      <c r="P799" t="n">
        <v>0</v>
      </c>
      <c r="Q799" t="n">
        <v>0</v>
      </c>
      <c r="R799" s="2" t="inlineStr"/>
    </row>
    <row r="800" ht="15" customHeight="1">
      <c r="A800" t="inlineStr">
        <is>
          <t>A 19538-2023</t>
        </is>
      </c>
      <c r="B800" s="1" t="n">
        <v>45050</v>
      </c>
      <c r="C800" s="1" t="n">
        <v>46063</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63562-2025</t>
        </is>
      </c>
      <c r="B801" s="1" t="n">
        <v>46013.62353009259</v>
      </c>
      <c r="C801" s="1" t="n">
        <v>46063</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13473-2025</t>
        </is>
      </c>
      <c r="B802" s="1" t="n">
        <v>45736.40671296296</v>
      </c>
      <c r="C802" s="1" t="n">
        <v>46063</v>
      </c>
      <c r="D802" t="inlineStr">
        <is>
          <t>JÄMTLANDS LÄN</t>
        </is>
      </c>
      <c r="E802" t="inlineStr">
        <is>
          <t>BERG</t>
        </is>
      </c>
      <c r="F802" t="inlineStr">
        <is>
          <t>SCA</t>
        </is>
      </c>
      <c r="G802" t="n">
        <v>13.7</v>
      </c>
      <c r="H802" t="n">
        <v>0</v>
      </c>
      <c r="I802" t="n">
        <v>0</v>
      </c>
      <c r="J802" t="n">
        <v>0</v>
      </c>
      <c r="K802" t="n">
        <v>0</v>
      </c>
      <c r="L802" t="n">
        <v>0</v>
      </c>
      <c r="M802" t="n">
        <v>0</v>
      </c>
      <c r="N802" t="n">
        <v>0</v>
      </c>
      <c r="O802" t="n">
        <v>0</v>
      </c>
      <c r="P802" t="n">
        <v>0</v>
      </c>
      <c r="Q802" t="n">
        <v>0</v>
      </c>
      <c r="R802" s="2" t="inlineStr"/>
    </row>
    <row r="803" ht="15" customHeight="1">
      <c r="A803" t="inlineStr">
        <is>
          <t>A 18551-2025</t>
        </is>
      </c>
      <c r="B803" s="1" t="n">
        <v>45763.43650462963</v>
      </c>
      <c r="C803" s="1" t="n">
        <v>46063</v>
      </c>
      <c r="D803" t="inlineStr">
        <is>
          <t>JÄMTLANDS LÄN</t>
        </is>
      </c>
      <c r="E803" t="inlineStr">
        <is>
          <t>BERG</t>
        </is>
      </c>
      <c r="G803" t="n">
        <v>3.5</v>
      </c>
      <c r="H803" t="n">
        <v>0</v>
      </c>
      <c r="I803" t="n">
        <v>0</v>
      </c>
      <c r="J803" t="n">
        <v>0</v>
      </c>
      <c r="K803" t="n">
        <v>0</v>
      </c>
      <c r="L803" t="n">
        <v>0</v>
      </c>
      <c r="M803" t="n">
        <v>0</v>
      </c>
      <c r="N803" t="n">
        <v>0</v>
      </c>
      <c r="O803" t="n">
        <v>0</v>
      </c>
      <c r="P803" t="n">
        <v>0</v>
      </c>
      <c r="Q803" t="n">
        <v>0</v>
      </c>
      <c r="R803" s="2" t="inlineStr"/>
    </row>
    <row r="804" ht="15" customHeight="1">
      <c r="A804" t="inlineStr">
        <is>
          <t>A 36142-2025</t>
        </is>
      </c>
      <c r="B804" s="1" t="n">
        <v>45866</v>
      </c>
      <c r="C804" s="1" t="n">
        <v>46063</v>
      </c>
      <c r="D804" t="inlineStr">
        <is>
          <t>JÄMTLANDS LÄN</t>
        </is>
      </c>
      <c r="E804" t="inlineStr">
        <is>
          <t>BERG</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16491-2023</t>
        </is>
      </c>
      <c r="B805" s="1" t="n">
        <v>45027</v>
      </c>
      <c r="C805" s="1" t="n">
        <v>46063</v>
      </c>
      <c r="D805" t="inlineStr">
        <is>
          <t>JÄMTLANDS LÄN</t>
        </is>
      </c>
      <c r="E805" t="inlineStr">
        <is>
          <t>BERG</t>
        </is>
      </c>
      <c r="G805" t="n">
        <v>2.5</v>
      </c>
      <c r="H805" t="n">
        <v>0</v>
      </c>
      <c r="I805" t="n">
        <v>0</v>
      </c>
      <c r="J805" t="n">
        <v>0</v>
      </c>
      <c r="K805" t="n">
        <v>0</v>
      </c>
      <c r="L805" t="n">
        <v>0</v>
      </c>
      <c r="M805" t="n">
        <v>0</v>
      </c>
      <c r="N805" t="n">
        <v>0</v>
      </c>
      <c r="O805" t="n">
        <v>0</v>
      </c>
      <c r="P805" t="n">
        <v>0</v>
      </c>
      <c r="Q805" t="n">
        <v>0</v>
      </c>
      <c r="R805" s="2" t="inlineStr"/>
    </row>
    <row r="806" ht="15" customHeight="1">
      <c r="A806" t="inlineStr">
        <is>
          <t>A 48209-2025</t>
        </is>
      </c>
      <c r="B806" s="1" t="n">
        <v>45933.4900462963</v>
      </c>
      <c r="C806" s="1" t="n">
        <v>46063</v>
      </c>
      <c r="D806" t="inlineStr">
        <is>
          <t>JÄMTLANDS LÄN</t>
        </is>
      </c>
      <c r="E806" t="inlineStr">
        <is>
          <t>BERG</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55223-2025</t>
        </is>
      </c>
      <c r="B807" s="1" t="n">
        <v>45968.59439814815</v>
      </c>
      <c r="C807" s="1" t="n">
        <v>46063</v>
      </c>
      <c r="D807" t="inlineStr">
        <is>
          <t>JÄMTLANDS LÄN</t>
        </is>
      </c>
      <c r="E807" t="inlineStr">
        <is>
          <t>BERG</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6885-2026</t>
        </is>
      </c>
      <c r="B808" s="1" t="n">
        <v>46057</v>
      </c>
      <c r="C808" s="1" t="n">
        <v>46063</v>
      </c>
      <c r="D808" t="inlineStr">
        <is>
          <t>JÄMTLANDS LÄN</t>
        </is>
      </c>
      <c r="E808" t="inlineStr">
        <is>
          <t>BERG</t>
        </is>
      </c>
      <c r="G808" t="n">
        <v>4.6</v>
      </c>
      <c r="H808" t="n">
        <v>0</v>
      </c>
      <c r="I808" t="n">
        <v>0</v>
      </c>
      <c r="J808" t="n">
        <v>0</v>
      </c>
      <c r="K808" t="n">
        <v>0</v>
      </c>
      <c r="L808" t="n">
        <v>0</v>
      </c>
      <c r="M808" t="n">
        <v>0</v>
      </c>
      <c r="N808" t="n">
        <v>0</v>
      </c>
      <c r="O808" t="n">
        <v>0</v>
      </c>
      <c r="P808" t="n">
        <v>0</v>
      </c>
      <c r="Q808" t="n">
        <v>0</v>
      </c>
      <c r="R808" s="2" t="inlineStr"/>
    </row>
    <row r="809" ht="15" customHeight="1">
      <c r="A809" t="inlineStr">
        <is>
          <t>A 8239-2024</t>
        </is>
      </c>
      <c r="B809" s="1" t="n">
        <v>45351</v>
      </c>
      <c r="C809" s="1" t="n">
        <v>46063</v>
      </c>
      <c r="D809" t="inlineStr">
        <is>
          <t>JÄMTLANDS LÄN</t>
        </is>
      </c>
      <c r="E809" t="inlineStr">
        <is>
          <t>BERG</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64247-2023</t>
        </is>
      </c>
      <c r="B810" s="1" t="n">
        <v>45279.92739583334</v>
      </c>
      <c r="C810" s="1" t="n">
        <v>46063</v>
      </c>
      <c r="D810" t="inlineStr">
        <is>
          <t>JÄMTLANDS LÄN</t>
        </is>
      </c>
      <c r="E810" t="inlineStr">
        <is>
          <t>BERG</t>
        </is>
      </c>
      <c r="G810" t="n">
        <v>0.9</v>
      </c>
      <c r="H810" t="n">
        <v>0</v>
      </c>
      <c r="I810" t="n">
        <v>0</v>
      </c>
      <c r="J810" t="n">
        <v>0</v>
      </c>
      <c r="K810" t="n">
        <v>0</v>
      </c>
      <c r="L810" t="n">
        <v>0</v>
      </c>
      <c r="M810" t="n">
        <v>0</v>
      </c>
      <c r="N810" t="n">
        <v>0</v>
      </c>
      <c r="O810" t="n">
        <v>0</v>
      </c>
      <c r="P810" t="n">
        <v>0</v>
      </c>
      <c r="Q810" t="n">
        <v>0</v>
      </c>
      <c r="R810" s="2" t="inlineStr"/>
    </row>
    <row r="811" ht="15" customHeight="1">
      <c r="A811" t="inlineStr">
        <is>
          <t>A 45570-2025</t>
        </is>
      </c>
      <c r="B811" s="1" t="n">
        <v>45922.65715277778</v>
      </c>
      <c r="C811" s="1" t="n">
        <v>46063</v>
      </c>
      <c r="D811" t="inlineStr">
        <is>
          <t>JÄMTLANDS LÄN</t>
        </is>
      </c>
      <c r="E811" t="inlineStr">
        <is>
          <t>BERG</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40339-2025</t>
        </is>
      </c>
      <c r="B812" s="1" t="n">
        <v>45895</v>
      </c>
      <c r="C812" s="1" t="n">
        <v>46063</v>
      </c>
      <c r="D812" t="inlineStr">
        <is>
          <t>JÄMTLANDS LÄN</t>
        </is>
      </c>
      <c r="E812" t="inlineStr">
        <is>
          <t>BERG</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40340-2025</t>
        </is>
      </c>
      <c r="B813" s="1" t="n">
        <v>45895.46922453704</v>
      </c>
      <c r="C813" s="1" t="n">
        <v>46063</v>
      </c>
      <c r="D813" t="inlineStr">
        <is>
          <t>JÄMTLANDS LÄN</t>
        </is>
      </c>
      <c r="E813" t="inlineStr">
        <is>
          <t>BERG</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55770-2025</t>
        </is>
      </c>
      <c r="B814" s="1" t="n">
        <v>45972</v>
      </c>
      <c r="C814" s="1" t="n">
        <v>46063</v>
      </c>
      <c r="D814" t="inlineStr">
        <is>
          <t>JÄMTLANDS LÄN</t>
        </is>
      </c>
      <c r="E814" t="inlineStr">
        <is>
          <t>BERG</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62555-2023</t>
        </is>
      </c>
      <c r="B815" s="1" t="n">
        <v>45268.9262962963</v>
      </c>
      <c r="C815" s="1" t="n">
        <v>46063</v>
      </c>
      <c r="D815" t="inlineStr">
        <is>
          <t>JÄMTLANDS LÄN</t>
        </is>
      </c>
      <c r="E815" t="inlineStr">
        <is>
          <t>BERG</t>
        </is>
      </c>
      <c r="G815" t="n">
        <v>5</v>
      </c>
      <c r="H815" t="n">
        <v>0</v>
      </c>
      <c r="I815" t="n">
        <v>0</v>
      </c>
      <c r="J815" t="n">
        <v>0</v>
      </c>
      <c r="K815" t="n">
        <v>0</v>
      </c>
      <c r="L815" t="n">
        <v>0</v>
      </c>
      <c r="M815" t="n">
        <v>0</v>
      </c>
      <c r="N815" t="n">
        <v>0</v>
      </c>
      <c r="O815" t="n">
        <v>0</v>
      </c>
      <c r="P815" t="n">
        <v>0</v>
      </c>
      <c r="Q815" t="n">
        <v>0</v>
      </c>
      <c r="R815" s="2" t="inlineStr"/>
    </row>
    <row r="816" ht="15" customHeight="1">
      <c r="A816" t="inlineStr">
        <is>
          <t>A 36-2024</t>
        </is>
      </c>
      <c r="B816" s="1" t="n">
        <v>45293</v>
      </c>
      <c r="C816" s="1" t="n">
        <v>46063</v>
      </c>
      <c r="D816" t="inlineStr">
        <is>
          <t>JÄMTLANDS LÄN</t>
        </is>
      </c>
      <c r="E816" t="inlineStr">
        <is>
          <t>BERG</t>
        </is>
      </c>
      <c r="G816" t="n">
        <v>2.6</v>
      </c>
      <c r="H816" t="n">
        <v>0</v>
      </c>
      <c r="I816" t="n">
        <v>0</v>
      </c>
      <c r="J816" t="n">
        <v>0</v>
      </c>
      <c r="K816" t="n">
        <v>0</v>
      </c>
      <c r="L816" t="n">
        <v>0</v>
      </c>
      <c r="M816" t="n">
        <v>0</v>
      </c>
      <c r="N816" t="n">
        <v>0</v>
      </c>
      <c r="O816" t="n">
        <v>0</v>
      </c>
      <c r="P816" t="n">
        <v>0</v>
      </c>
      <c r="Q816" t="n">
        <v>0</v>
      </c>
      <c r="R816" s="2" t="inlineStr"/>
    </row>
    <row r="817" ht="15" customHeight="1">
      <c r="A817" t="inlineStr">
        <is>
          <t>A 55224-2025</t>
        </is>
      </c>
      <c r="B817" s="1" t="n">
        <v>45968.59447916667</v>
      </c>
      <c r="C817" s="1" t="n">
        <v>46063</v>
      </c>
      <c r="D817" t="inlineStr">
        <is>
          <t>JÄMTLANDS LÄN</t>
        </is>
      </c>
      <c r="E817" t="inlineStr">
        <is>
          <t>BERG</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31079-2024</t>
        </is>
      </c>
      <c r="B818" s="1" t="n">
        <v>45502.46423611111</v>
      </c>
      <c r="C818" s="1" t="n">
        <v>46063</v>
      </c>
      <c r="D818" t="inlineStr">
        <is>
          <t>JÄMTLANDS LÄN</t>
        </is>
      </c>
      <c r="E818" t="inlineStr">
        <is>
          <t>BERG</t>
        </is>
      </c>
      <c r="G818" t="n">
        <v>2.5</v>
      </c>
      <c r="H818" t="n">
        <v>0</v>
      </c>
      <c r="I818" t="n">
        <v>0</v>
      </c>
      <c r="J818" t="n">
        <v>0</v>
      </c>
      <c r="K818" t="n">
        <v>0</v>
      </c>
      <c r="L818" t="n">
        <v>0</v>
      </c>
      <c r="M818" t="n">
        <v>0</v>
      </c>
      <c r="N818" t="n">
        <v>0</v>
      </c>
      <c r="O818" t="n">
        <v>0</v>
      </c>
      <c r="P818" t="n">
        <v>0</v>
      </c>
      <c r="Q818" t="n">
        <v>0</v>
      </c>
      <c r="R818" s="2" t="inlineStr"/>
    </row>
    <row r="819" ht="15" customHeight="1">
      <c r="A819" t="inlineStr">
        <is>
          <t>A 60831-2025</t>
        </is>
      </c>
      <c r="B819" s="1" t="n">
        <v>45999.46935185185</v>
      </c>
      <c r="C819" s="1" t="n">
        <v>46063</v>
      </c>
      <c r="D819" t="inlineStr">
        <is>
          <t>JÄMTLANDS LÄN</t>
        </is>
      </c>
      <c r="E819" t="inlineStr">
        <is>
          <t>BERG</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48056-2025</t>
        </is>
      </c>
      <c r="B820" s="1" t="n">
        <v>45932.67946759259</v>
      </c>
      <c r="C820" s="1" t="n">
        <v>46063</v>
      </c>
      <c r="D820" t="inlineStr">
        <is>
          <t>JÄMTLANDS LÄN</t>
        </is>
      </c>
      <c r="E820" t="inlineStr">
        <is>
          <t>BERG</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16002-2025</t>
        </is>
      </c>
      <c r="B821" s="1" t="n">
        <v>45749.59398148148</v>
      </c>
      <c r="C821" s="1" t="n">
        <v>46063</v>
      </c>
      <c r="D821" t="inlineStr">
        <is>
          <t>JÄMTLANDS LÄN</t>
        </is>
      </c>
      <c r="E821" t="inlineStr">
        <is>
          <t>BERG</t>
        </is>
      </c>
      <c r="G821" t="n">
        <v>0.7</v>
      </c>
      <c r="H821" t="n">
        <v>0</v>
      </c>
      <c r="I821" t="n">
        <v>0</v>
      </c>
      <c r="J821" t="n">
        <v>0</v>
      </c>
      <c r="K821" t="n">
        <v>0</v>
      </c>
      <c r="L821" t="n">
        <v>0</v>
      </c>
      <c r="M821" t="n">
        <v>0</v>
      </c>
      <c r="N821" t="n">
        <v>0</v>
      </c>
      <c r="O821" t="n">
        <v>0</v>
      </c>
      <c r="P821" t="n">
        <v>0</v>
      </c>
      <c r="Q821" t="n">
        <v>0</v>
      </c>
      <c r="R821" s="2" t="inlineStr"/>
    </row>
    <row r="822" ht="15" customHeight="1">
      <c r="A822" t="inlineStr">
        <is>
          <t>A 6872-2026</t>
        </is>
      </c>
      <c r="B822" s="1" t="n">
        <v>46057</v>
      </c>
      <c r="C822" s="1" t="n">
        <v>46063</v>
      </c>
      <c r="D822" t="inlineStr">
        <is>
          <t>JÄMTLANDS LÄN</t>
        </is>
      </c>
      <c r="E822" t="inlineStr">
        <is>
          <t>BERG</t>
        </is>
      </c>
      <c r="G822" t="n">
        <v>42.2</v>
      </c>
      <c r="H822" t="n">
        <v>0</v>
      </c>
      <c r="I822" t="n">
        <v>0</v>
      </c>
      <c r="J822" t="n">
        <v>0</v>
      </c>
      <c r="K822" t="n">
        <v>0</v>
      </c>
      <c r="L822" t="n">
        <v>0</v>
      </c>
      <c r="M822" t="n">
        <v>0</v>
      </c>
      <c r="N822" t="n">
        <v>0</v>
      </c>
      <c r="O822" t="n">
        <v>0</v>
      </c>
      <c r="P822" t="n">
        <v>0</v>
      </c>
      <c r="Q822" t="n">
        <v>0</v>
      </c>
      <c r="R822" s="2" t="inlineStr"/>
    </row>
    <row r="823" ht="15" customHeight="1">
      <c r="A823" t="inlineStr">
        <is>
          <t>A 48190-2025</t>
        </is>
      </c>
      <c r="B823" s="1" t="n">
        <v>45933.46930555555</v>
      </c>
      <c r="C823" s="1" t="n">
        <v>46063</v>
      </c>
      <c r="D823" t="inlineStr">
        <is>
          <t>JÄMTLANDS LÄN</t>
        </is>
      </c>
      <c r="E823" t="inlineStr">
        <is>
          <t>BERG</t>
        </is>
      </c>
      <c r="F823" t="inlineStr">
        <is>
          <t>SCA</t>
        </is>
      </c>
      <c r="G823" t="n">
        <v>4.3</v>
      </c>
      <c r="H823" t="n">
        <v>0</v>
      </c>
      <c r="I823" t="n">
        <v>0</v>
      </c>
      <c r="J823" t="n">
        <v>0</v>
      </c>
      <c r="K823" t="n">
        <v>0</v>
      </c>
      <c r="L823" t="n">
        <v>0</v>
      </c>
      <c r="M823" t="n">
        <v>0</v>
      </c>
      <c r="N823" t="n">
        <v>0</v>
      </c>
      <c r="O823" t="n">
        <v>0</v>
      </c>
      <c r="P823" t="n">
        <v>0</v>
      </c>
      <c r="Q823" t="n">
        <v>0</v>
      </c>
      <c r="R823" s="2" t="inlineStr"/>
    </row>
    <row r="824" ht="15" customHeight="1">
      <c r="A824" t="inlineStr">
        <is>
          <t>A 57271-2025</t>
        </is>
      </c>
      <c r="B824" s="1" t="n">
        <v>45979.67789351852</v>
      </c>
      <c r="C824" s="1" t="n">
        <v>46063</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46908-2025</t>
        </is>
      </c>
      <c r="B825" s="1" t="n">
        <v>45929.40664351852</v>
      </c>
      <c r="C825" s="1" t="n">
        <v>46063</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44051-2025</t>
        </is>
      </c>
      <c r="B826" s="1" t="n">
        <v>45915.51079861111</v>
      </c>
      <c r="C826" s="1" t="n">
        <v>46063</v>
      </c>
      <c r="D826" t="inlineStr">
        <is>
          <t>JÄMTLANDS LÄN</t>
        </is>
      </c>
      <c r="E826" t="inlineStr">
        <is>
          <t>BERG</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2270-2026</t>
        </is>
      </c>
      <c r="B827" s="1" t="n">
        <v>46029</v>
      </c>
      <c r="C827" s="1" t="n">
        <v>46063</v>
      </c>
      <c r="D827" t="inlineStr">
        <is>
          <t>JÄMTLANDS LÄN</t>
        </is>
      </c>
      <c r="E827" t="inlineStr">
        <is>
          <t>BERG</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14226-2021</t>
        </is>
      </c>
      <c r="B828" s="1" t="n">
        <v>44277</v>
      </c>
      <c r="C828" s="1" t="n">
        <v>46063</v>
      </c>
      <c r="D828" t="inlineStr">
        <is>
          <t>JÄMTLANDS LÄN</t>
        </is>
      </c>
      <c r="E828" t="inlineStr">
        <is>
          <t>BERG</t>
        </is>
      </c>
      <c r="G828" t="n">
        <v>23.7</v>
      </c>
      <c r="H828" t="n">
        <v>0</v>
      </c>
      <c r="I828" t="n">
        <v>0</v>
      </c>
      <c r="J828" t="n">
        <v>0</v>
      </c>
      <c r="K828" t="n">
        <v>0</v>
      </c>
      <c r="L828" t="n">
        <v>0</v>
      </c>
      <c r="M828" t="n">
        <v>0</v>
      </c>
      <c r="N828" t="n">
        <v>0</v>
      </c>
      <c r="O828" t="n">
        <v>0</v>
      </c>
      <c r="P828" t="n">
        <v>0</v>
      </c>
      <c r="Q828" t="n">
        <v>0</v>
      </c>
      <c r="R828" s="2" t="inlineStr"/>
    </row>
    <row r="829" ht="15" customHeight="1">
      <c r="A829" t="inlineStr">
        <is>
          <t>A 7759-2026</t>
        </is>
      </c>
      <c r="B829" s="1" t="n">
        <v>46062.55266203704</v>
      </c>
      <c r="C829" s="1" t="n">
        <v>46063</v>
      </c>
      <c r="D829" t="inlineStr">
        <is>
          <t>JÄMTLANDS LÄN</t>
        </is>
      </c>
      <c r="E829" t="inlineStr">
        <is>
          <t>BERG</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4527-2025</t>
        </is>
      </c>
      <c r="B830" s="1" t="n">
        <v>45686</v>
      </c>
      <c r="C830" s="1" t="n">
        <v>46063</v>
      </c>
      <c r="D830" t="inlineStr">
        <is>
          <t>JÄMTLANDS LÄN</t>
        </is>
      </c>
      <c r="E830" t="inlineStr">
        <is>
          <t>BERG</t>
        </is>
      </c>
      <c r="G830" t="n">
        <v>17.8</v>
      </c>
      <c r="H830" t="n">
        <v>0</v>
      </c>
      <c r="I830" t="n">
        <v>0</v>
      </c>
      <c r="J830" t="n">
        <v>0</v>
      </c>
      <c r="K830" t="n">
        <v>0</v>
      </c>
      <c r="L830" t="n">
        <v>0</v>
      </c>
      <c r="M830" t="n">
        <v>0</v>
      </c>
      <c r="N830" t="n">
        <v>0</v>
      </c>
      <c r="O830" t="n">
        <v>0</v>
      </c>
      <c r="P830" t="n">
        <v>0</v>
      </c>
      <c r="Q830" t="n">
        <v>0</v>
      </c>
      <c r="R830" s="2" t="inlineStr"/>
    </row>
    <row r="831" ht="15" customHeight="1">
      <c r="A831" t="inlineStr">
        <is>
          <t>A 7515-2026</t>
        </is>
      </c>
      <c r="B831" s="1" t="n">
        <v>46059.59258101852</v>
      </c>
      <c r="C831" s="1" t="n">
        <v>46063</v>
      </c>
      <c r="D831" t="inlineStr">
        <is>
          <t>JÄMTLANDS LÄN</t>
        </is>
      </c>
      <c r="E831" t="inlineStr">
        <is>
          <t>BERG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8251-2023</t>
        </is>
      </c>
      <c r="B832" s="1" t="n">
        <v>44974</v>
      </c>
      <c r="C832" s="1" t="n">
        <v>46063</v>
      </c>
      <c r="D832" t="inlineStr">
        <is>
          <t>JÄMTLANDS LÄN</t>
        </is>
      </c>
      <c r="E832" t="inlineStr">
        <is>
          <t>BERG</t>
        </is>
      </c>
      <c r="G832" t="n">
        <v>1.7</v>
      </c>
      <c r="H832" t="n">
        <v>0</v>
      </c>
      <c r="I832" t="n">
        <v>0</v>
      </c>
      <c r="J832" t="n">
        <v>0</v>
      </c>
      <c r="K832" t="n">
        <v>0</v>
      </c>
      <c r="L832" t="n">
        <v>0</v>
      </c>
      <c r="M832" t="n">
        <v>0</v>
      </c>
      <c r="N832" t="n">
        <v>0</v>
      </c>
      <c r="O832" t="n">
        <v>0</v>
      </c>
      <c r="P832" t="n">
        <v>0</v>
      </c>
      <c r="Q832" t="n">
        <v>0</v>
      </c>
      <c r="R832" s="2" t="inlineStr"/>
    </row>
    <row r="833" ht="15" customHeight="1">
      <c r="A833" t="inlineStr">
        <is>
          <t>A 57905-2024</t>
        </is>
      </c>
      <c r="B833" s="1" t="n">
        <v>45631.48989583334</v>
      </c>
      <c r="C833" s="1" t="n">
        <v>46063</v>
      </c>
      <c r="D833" t="inlineStr">
        <is>
          <t>JÄMTLANDS LÄN</t>
        </is>
      </c>
      <c r="E833" t="inlineStr">
        <is>
          <t>BERG</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39785-2024</t>
        </is>
      </c>
      <c r="B834" s="1" t="n">
        <v>45553.29927083333</v>
      </c>
      <c r="C834" s="1" t="n">
        <v>46063</v>
      </c>
      <c r="D834" t="inlineStr">
        <is>
          <t>JÄMTLANDS LÄN</t>
        </is>
      </c>
      <c r="E834" t="inlineStr">
        <is>
          <t>BERG</t>
        </is>
      </c>
      <c r="G834" t="n">
        <v>16.1</v>
      </c>
      <c r="H834" t="n">
        <v>0</v>
      </c>
      <c r="I834" t="n">
        <v>0</v>
      </c>
      <c r="J834" t="n">
        <v>0</v>
      </c>
      <c r="K834" t="n">
        <v>0</v>
      </c>
      <c r="L834" t="n">
        <v>0</v>
      </c>
      <c r="M834" t="n">
        <v>0</v>
      </c>
      <c r="N834" t="n">
        <v>0</v>
      </c>
      <c r="O834" t="n">
        <v>0</v>
      </c>
      <c r="P834" t="n">
        <v>0</v>
      </c>
      <c r="Q834" t="n">
        <v>0</v>
      </c>
      <c r="R834" s="2" t="inlineStr"/>
    </row>
    <row r="835" ht="15" customHeight="1">
      <c r="A835" t="inlineStr">
        <is>
          <t>A 26918-2024</t>
        </is>
      </c>
      <c r="B835" s="1" t="n">
        <v>45470</v>
      </c>
      <c r="C835" s="1" t="n">
        <v>46063</v>
      </c>
      <c r="D835" t="inlineStr">
        <is>
          <t>JÄMTLANDS LÄN</t>
        </is>
      </c>
      <c r="E835" t="inlineStr">
        <is>
          <t>BERG</t>
        </is>
      </c>
      <c r="G835" t="n">
        <v>0.4</v>
      </c>
      <c r="H835" t="n">
        <v>0</v>
      </c>
      <c r="I835" t="n">
        <v>0</v>
      </c>
      <c r="J835" t="n">
        <v>0</v>
      </c>
      <c r="K835" t="n">
        <v>0</v>
      </c>
      <c r="L835" t="n">
        <v>0</v>
      </c>
      <c r="M835" t="n">
        <v>0</v>
      </c>
      <c r="N835" t="n">
        <v>0</v>
      </c>
      <c r="O835" t="n">
        <v>0</v>
      </c>
      <c r="P835" t="n">
        <v>0</v>
      </c>
      <c r="Q835" t="n">
        <v>0</v>
      </c>
      <c r="R835" s="2" t="inlineStr"/>
    </row>
    <row r="836" ht="15" customHeight="1">
      <c r="A836" t="inlineStr">
        <is>
          <t>A 62153-2022</t>
        </is>
      </c>
      <c r="B836" s="1" t="n">
        <v>44914</v>
      </c>
      <c r="C836" s="1" t="n">
        <v>46063</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13805-2024</t>
        </is>
      </c>
      <c r="B837" s="1" t="n">
        <v>45390</v>
      </c>
      <c r="C837" s="1" t="n">
        <v>46063</v>
      </c>
      <c r="D837" t="inlineStr">
        <is>
          <t>JÄMTLANDS LÄN</t>
        </is>
      </c>
      <c r="E837" t="inlineStr">
        <is>
          <t>BERG</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62104-2023</t>
        </is>
      </c>
      <c r="B838" s="1" t="n">
        <v>45266.95052083334</v>
      </c>
      <c r="C838" s="1" t="n">
        <v>46063</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62105-2023</t>
        </is>
      </c>
      <c r="B839" s="1" t="n">
        <v>45266.95074074074</v>
      </c>
      <c r="C839" s="1" t="n">
        <v>46063</v>
      </c>
      <c r="D839" t="inlineStr">
        <is>
          <t>JÄMTLANDS LÄN</t>
        </is>
      </c>
      <c r="E839" t="inlineStr">
        <is>
          <t>BERG</t>
        </is>
      </c>
      <c r="F839" t="inlineStr">
        <is>
          <t>SCA</t>
        </is>
      </c>
      <c r="G839" t="n">
        <v>13.1</v>
      </c>
      <c r="H839" t="n">
        <v>0</v>
      </c>
      <c r="I839" t="n">
        <v>0</v>
      </c>
      <c r="J839" t="n">
        <v>0</v>
      </c>
      <c r="K839" t="n">
        <v>0</v>
      </c>
      <c r="L839" t="n">
        <v>0</v>
      </c>
      <c r="M839" t="n">
        <v>0</v>
      </c>
      <c r="N839" t="n">
        <v>0</v>
      </c>
      <c r="O839" t="n">
        <v>0</v>
      </c>
      <c r="P839" t="n">
        <v>0</v>
      </c>
      <c r="Q839" t="n">
        <v>0</v>
      </c>
      <c r="R839" s="2" t="inlineStr"/>
    </row>
    <row r="840" ht="15" customHeight="1">
      <c r="A840" t="inlineStr">
        <is>
          <t>A 32147-2024</t>
        </is>
      </c>
      <c r="B840" s="1" t="n">
        <v>45511.55600694445</v>
      </c>
      <c r="C840" s="1" t="n">
        <v>46063</v>
      </c>
      <c r="D840" t="inlineStr">
        <is>
          <t>JÄMTLANDS LÄN</t>
        </is>
      </c>
      <c r="E840" t="inlineStr">
        <is>
          <t>BERG</t>
        </is>
      </c>
      <c r="G840" t="n">
        <v>2.3</v>
      </c>
      <c r="H840" t="n">
        <v>0</v>
      </c>
      <c r="I840" t="n">
        <v>0</v>
      </c>
      <c r="J840" t="n">
        <v>0</v>
      </c>
      <c r="K840" t="n">
        <v>0</v>
      </c>
      <c r="L840" t="n">
        <v>0</v>
      </c>
      <c r="M840" t="n">
        <v>0</v>
      </c>
      <c r="N840" t="n">
        <v>0</v>
      </c>
      <c r="O840" t="n">
        <v>0</v>
      </c>
      <c r="P840" t="n">
        <v>0</v>
      </c>
      <c r="Q840" t="n">
        <v>0</v>
      </c>
      <c r="R840" s="2" t="inlineStr"/>
    </row>
    <row r="841" ht="15" customHeight="1">
      <c r="A841" t="inlineStr">
        <is>
          <t>A 32156-2024</t>
        </is>
      </c>
      <c r="B841" s="1" t="n">
        <v>45511</v>
      </c>
      <c r="C841" s="1" t="n">
        <v>46063</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39103-2024</t>
        </is>
      </c>
      <c r="B842" s="1" t="n">
        <v>45548.57025462963</v>
      </c>
      <c r="C842" s="1" t="n">
        <v>46063</v>
      </c>
      <c r="D842" t="inlineStr">
        <is>
          <t>JÄMTLANDS LÄN</t>
        </is>
      </c>
      <c r="E842" t="inlineStr">
        <is>
          <t>BERG</t>
        </is>
      </c>
      <c r="G842" t="n">
        <v>38.4</v>
      </c>
      <c r="H842" t="n">
        <v>0</v>
      </c>
      <c r="I842" t="n">
        <v>0</v>
      </c>
      <c r="J842" t="n">
        <v>0</v>
      </c>
      <c r="K842" t="n">
        <v>0</v>
      </c>
      <c r="L842" t="n">
        <v>0</v>
      </c>
      <c r="M842" t="n">
        <v>0</v>
      </c>
      <c r="N842" t="n">
        <v>0</v>
      </c>
      <c r="O842" t="n">
        <v>0</v>
      </c>
      <c r="P842" t="n">
        <v>0</v>
      </c>
      <c r="Q842" t="n">
        <v>0</v>
      </c>
      <c r="R842" s="2" t="inlineStr"/>
    </row>
    <row r="843" ht="15" customHeight="1">
      <c r="A843" t="inlineStr">
        <is>
          <t>A 41782-2024</t>
        </is>
      </c>
      <c r="B843" s="1" t="n">
        <v>45561</v>
      </c>
      <c r="C843" s="1" t="n">
        <v>46063</v>
      </c>
      <c r="D843" t="inlineStr">
        <is>
          <t>JÄMTLANDS LÄN</t>
        </is>
      </c>
      <c r="E843" t="inlineStr">
        <is>
          <t>BERG</t>
        </is>
      </c>
      <c r="F843" t="inlineStr">
        <is>
          <t>SCA</t>
        </is>
      </c>
      <c r="G843" t="n">
        <v>0.1</v>
      </c>
      <c r="H843" t="n">
        <v>0</v>
      </c>
      <c r="I843" t="n">
        <v>0</v>
      </c>
      <c r="J843" t="n">
        <v>0</v>
      </c>
      <c r="K843" t="n">
        <v>0</v>
      </c>
      <c r="L843" t="n">
        <v>0</v>
      </c>
      <c r="M843" t="n">
        <v>0</v>
      </c>
      <c r="N843" t="n">
        <v>0</v>
      </c>
      <c r="O843" t="n">
        <v>0</v>
      </c>
      <c r="P843" t="n">
        <v>0</v>
      </c>
      <c r="Q843" t="n">
        <v>0</v>
      </c>
      <c r="R843" s="2" t="inlineStr"/>
    </row>
    <row r="844" ht="15" customHeight="1">
      <c r="A844" t="inlineStr">
        <is>
          <t>A 14728-2025</t>
        </is>
      </c>
      <c r="B844" s="1" t="n">
        <v>45742.63574074074</v>
      </c>
      <c r="C844" s="1" t="n">
        <v>46063</v>
      </c>
      <c r="D844" t="inlineStr">
        <is>
          <t>JÄMTLANDS LÄN</t>
        </is>
      </c>
      <c r="E844" t="inlineStr">
        <is>
          <t>BERG</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12499-2021</t>
        </is>
      </c>
      <c r="B845" s="1" t="n">
        <v>44267</v>
      </c>
      <c r="C845" s="1" t="n">
        <v>46063</v>
      </c>
      <c r="D845" t="inlineStr">
        <is>
          <t>JÄMTLANDS LÄN</t>
        </is>
      </c>
      <c r="E845" t="inlineStr">
        <is>
          <t>BERG</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34225-2024</t>
        </is>
      </c>
      <c r="B846" s="1" t="n">
        <v>45524.55398148148</v>
      </c>
      <c r="C846" s="1" t="n">
        <v>46063</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41636-2024</t>
        </is>
      </c>
      <c r="B847" s="1" t="n">
        <v>45560.61606481481</v>
      </c>
      <c r="C847" s="1" t="n">
        <v>46063</v>
      </c>
      <c r="D847" t="inlineStr">
        <is>
          <t>JÄMTLANDS LÄN</t>
        </is>
      </c>
      <c r="E847" t="inlineStr">
        <is>
          <t>BERG</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18032-2024</t>
        </is>
      </c>
      <c r="B848" s="1" t="n">
        <v>45420.34979166667</v>
      </c>
      <c r="C848" s="1" t="n">
        <v>46063</v>
      </c>
      <c r="D848" t="inlineStr">
        <is>
          <t>JÄMTLANDS LÄN</t>
        </is>
      </c>
      <c r="E848" t="inlineStr">
        <is>
          <t>BERG</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14772-2021</t>
        </is>
      </c>
      <c r="B849" s="1" t="n">
        <v>44280.62068287037</v>
      </c>
      <c r="C849" s="1" t="n">
        <v>46063</v>
      </c>
      <c r="D849" t="inlineStr">
        <is>
          <t>JÄMTLANDS LÄN</t>
        </is>
      </c>
      <c r="E849" t="inlineStr">
        <is>
          <t>BERG</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22947-2022</t>
        </is>
      </c>
      <c r="B850" s="1" t="n">
        <v>44715.92443287037</v>
      </c>
      <c r="C850" s="1" t="n">
        <v>46063</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46902-2024</t>
        </is>
      </c>
      <c r="B851" s="1" t="n">
        <v>45583.69847222222</v>
      </c>
      <c r="C851" s="1" t="n">
        <v>46063</v>
      </c>
      <c r="D851" t="inlineStr">
        <is>
          <t>JÄMTLANDS LÄN</t>
        </is>
      </c>
      <c r="E851" t="inlineStr">
        <is>
          <t>BERG</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45347-2023</t>
        </is>
      </c>
      <c r="B852" s="1" t="n">
        <v>45191</v>
      </c>
      <c r="C852" s="1" t="n">
        <v>46063</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36079-2024</t>
        </is>
      </c>
      <c r="B853" s="1" t="n">
        <v>45533.66685185185</v>
      </c>
      <c r="C853" s="1" t="n">
        <v>46063</v>
      </c>
      <c r="D853" t="inlineStr">
        <is>
          <t>JÄMTLANDS LÄN</t>
        </is>
      </c>
      <c r="E853" t="inlineStr">
        <is>
          <t>BERG</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64487-2023</t>
        </is>
      </c>
      <c r="B854" s="1" t="n">
        <v>45280.92613425926</v>
      </c>
      <c r="C854" s="1" t="n">
        <v>46063</v>
      </c>
      <c r="D854" t="inlineStr">
        <is>
          <t>JÄMTLANDS LÄN</t>
        </is>
      </c>
      <c r="E854" t="inlineStr">
        <is>
          <t>BERG</t>
        </is>
      </c>
      <c r="F854" t="inlineStr">
        <is>
          <t>Övriga Aktiebolag</t>
        </is>
      </c>
      <c r="G854" t="n">
        <v>7.6</v>
      </c>
      <c r="H854" t="n">
        <v>0</v>
      </c>
      <c r="I854" t="n">
        <v>0</v>
      </c>
      <c r="J854" t="n">
        <v>0</v>
      </c>
      <c r="K854" t="n">
        <v>0</v>
      </c>
      <c r="L854" t="n">
        <v>0</v>
      </c>
      <c r="M854" t="n">
        <v>0</v>
      </c>
      <c r="N854" t="n">
        <v>0</v>
      </c>
      <c r="O854" t="n">
        <v>0</v>
      </c>
      <c r="P854" t="n">
        <v>0</v>
      </c>
      <c r="Q854" t="n">
        <v>0</v>
      </c>
      <c r="R854" s="2" t="inlineStr"/>
    </row>
    <row r="855" ht="15" customHeight="1">
      <c r="A855" t="inlineStr">
        <is>
          <t>A 64489-2023</t>
        </is>
      </c>
      <c r="B855" s="1" t="n">
        <v>45280</v>
      </c>
      <c r="C855" s="1" t="n">
        <v>46063</v>
      </c>
      <c r="D855" t="inlineStr">
        <is>
          <t>JÄMTLANDS LÄN</t>
        </is>
      </c>
      <c r="E855" t="inlineStr">
        <is>
          <t>BERG</t>
        </is>
      </c>
      <c r="F855" t="inlineStr">
        <is>
          <t>Övriga Aktiebolag</t>
        </is>
      </c>
      <c r="G855" t="n">
        <v>14.1</v>
      </c>
      <c r="H855" t="n">
        <v>0</v>
      </c>
      <c r="I855" t="n">
        <v>0</v>
      </c>
      <c r="J855" t="n">
        <v>0</v>
      </c>
      <c r="K855" t="n">
        <v>0</v>
      </c>
      <c r="L855" t="n">
        <v>0</v>
      </c>
      <c r="M855" t="n">
        <v>0</v>
      </c>
      <c r="N855" t="n">
        <v>0</v>
      </c>
      <c r="O855" t="n">
        <v>0</v>
      </c>
      <c r="P855" t="n">
        <v>0</v>
      </c>
      <c r="Q855" t="n">
        <v>0</v>
      </c>
      <c r="R855" s="2" t="inlineStr"/>
    </row>
    <row r="856" ht="15" customHeight="1">
      <c r="A856" t="inlineStr">
        <is>
          <t>A 60068-2022</t>
        </is>
      </c>
      <c r="B856" s="1" t="n">
        <v>44902</v>
      </c>
      <c r="C856" s="1" t="n">
        <v>46063</v>
      </c>
      <c r="D856" t="inlineStr">
        <is>
          <t>JÄMTLANDS LÄN</t>
        </is>
      </c>
      <c r="E856" t="inlineStr">
        <is>
          <t>BERG</t>
        </is>
      </c>
      <c r="G856" t="n">
        <v>5.2</v>
      </c>
      <c r="H856" t="n">
        <v>0</v>
      </c>
      <c r="I856" t="n">
        <v>0</v>
      </c>
      <c r="J856" t="n">
        <v>0</v>
      </c>
      <c r="K856" t="n">
        <v>0</v>
      </c>
      <c r="L856" t="n">
        <v>0</v>
      </c>
      <c r="M856" t="n">
        <v>0</v>
      </c>
      <c r="N856" t="n">
        <v>0</v>
      </c>
      <c r="O856" t="n">
        <v>0</v>
      </c>
      <c r="P856" t="n">
        <v>0</v>
      </c>
      <c r="Q856" t="n">
        <v>0</v>
      </c>
      <c r="R856" s="2" t="inlineStr"/>
    </row>
    <row r="857" ht="15" customHeight="1">
      <c r="A857" t="inlineStr">
        <is>
          <t>A 3798-2022</t>
        </is>
      </c>
      <c r="B857" s="1" t="n">
        <v>44586</v>
      </c>
      <c r="C857" s="1" t="n">
        <v>46063</v>
      </c>
      <c r="D857" t="inlineStr">
        <is>
          <t>JÄMTLANDS LÄN</t>
        </is>
      </c>
      <c r="E857" t="inlineStr">
        <is>
          <t>BERG</t>
        </is>
      </c>
      <c r="G857" t="n">
        <v>0.1</v>
      </c>
      <c r="H857" t="n">
        <v>0</v>
      </c>
      <c r="I857" t="n">
        <v>0</v>
      </c>
      <c r="J857" t="n">
        <v>0</v>
      </c>
      <c r="K857" t="n">
        <v>0</v>
      </c>
      <c r="L857" t="n">
        <v>0</v>
      </c>
      <c r="M857" t="n">
        <v>0</v>
      </c>
      <c r="N857" t="n">
        <v>0</v>
      </c>
      <c r="O857" t="n">
        <v>0</v>
      </c>
      <c r="P857" t="n">
        <v>0</v>
      </c>
      <c r="Q857" t="n">
        <v>0</v>
      </c>
      <c r="R857" s="2" t="inlineStr"/>
    </row>
    <row r="858" ht="15" customHeight="1">
      <c r="A858" t="inlineStr">
        <is>
          <t>A 22297-2022</t>
        </is>
      </c>
      <c r="B858" s="1" t="n">
        <v>44712</v>
      </c>
      <c r="C858" s="1" t="n">
        <v>46063</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54992-2023</t>
        </is>
      </c>
      <c r="B859" s="1" t="n">
        <v>45236.96789351852</v>
      </c>
      <c r="C859" s="1" t="n">
        <v>46063</v>
      </c>
      <c r="D859" t="inlineStr">
        <is>
          <t>JÄMTLANDS LÄN</t>
        </is>
      </c>
      <c r="E859" t="inlineStr">
        <is>
          <t>BERG</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54994-2023</t>
        </is>
      </c>
      <c r="B860" s="1" t="n">
        <v>45236</v>
      </c>
      <c r="C860" s="1" t="n">
        <v>46063</v>
      </c>
      <c r="D860" t="inlineStr">
        <is>
          <t>JÄMTLANDS LÄN</t>
        </is>
      </c>
      <c r="E860" t="inlineStr">
        <is>
          <t>BERG</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51548-2023</t>
        </is>
      </c>
      <c r="B861" s="1" t="n">
        <v>45215</v>
      </c>
      <c r="C861" s="1" t="n">
        <v>46063</v>
      </c>
      <c r="D861" t="inlineStr">
        <is>
          <t>JÄMTLANDS LÄN</t>
        </is>
      </c>
      <c r="E861" t="inlineStr">
        <is>
          <t>BERG</t>
        </is>
      </c>
      <c r="G861" t="n">
        <v>4.8</v>
      </c>
      <c r="H861" t="n">
        <v>0</v>
      </c>
      <c r="I861" t="n">
        <v>0</v>
      </c>
      <c r="J861" t="n">
        <v>0</v>
      </c>
      <c r="K861" t="n">
        <v>0</v>
      </c>
      <c r="L861" t="n">
        <v>0</v>
      </c>
      <c r="M861" t="n">
        <v>0</v>
      </c>
      <c r="N861" t="n">
        <v>0</v>
      </c>
      <c r="O861" t="n">
        <v>0</v>
      </c>
      <c r="P861" t="n">
        <v>0</v>
      </c>
      <c r="Q861" t="n">
        <v>0</v>
      </c>
      <c r="R861" s="2" t="inlineStr"/>
    </row>
    <row r="862" ht="15" customHeight="1">
      <c r="A862" t="inlineStr">
        <is>
          <t>A 2472-2025</t>
        </is>
      </c>
      <c r="B862" s="1" t="n">
        <v>45674.47341435185</v>
      </c>
      <c r="C862" s="1" t="n">
        <v>46063</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2474-2025</t>
        </is>
      </c>
      <c r="B863" s="1" t="n">
        <v>45674.47496527778</v>
      </c>
      <c r="C863" s="1" t="n">
        <v>46063</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50780-2021</t>
        </is>
      </c>
      <c r="B864" s="1" t="n">
        <v>44459</v>
      </c>
      <c r="C864" s="1" t="n">
        <v>46063</v>
      </c>
      <c r="D864" t="inlineStr">
        <is>
          <t>JÄMTLANDS LÄN</t>
        </is>
      </c>
      <c r="E864" t="inlineStr">
        <is>
          <t>BERG</t>
        </is>
      </c>
      <c r="G864" t="n">
        <v>3.5</v>
      </c>
      <c r="H864" t="n">
        <v>0</v>
      </c>
      <c r="I864" t="n">
        <v>0</v>
      </c>
      <c r="J864" t="n">
        <v>0</v>
      </c>
      <c r="K864" t="n">
        <v>0</v>
      </c>
      <c r="L864" t="n">
        <v>0</v>
      </c>
      <c r="M864" t="n">
        <v>0</v>
      </c>
      <c r="N864" t="n">
        <v>0</v>
      </c>
      <c r="O864" t="n">
        <v>0</v>
      </c>
      <c r="P864" t="n">
        <v>0</v>
      </c>
      <c r="Q864" t="n">
        <v>0</v>
      </c>
      <c r="R864" s="2" t="inlineStr"/>
    </row>
    <row r="865" ht="15" customHeight="1">
      <c r="A865" t="inlineStr">
        <is>
          <t>A 40824-2023</t>
        </is>
      </c>
      <c r="B865" s="1" t="n">
        <v>45171</v>
      </c>
      <c r="C865" s="1" t="n">
        <v>46063</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47119-2024</t>
        </is>
      </c>
      <c r="B866" s="1" t="n">
        <v>45586.56431712963</v>
      </c>
      <c r="C866" s="1" t="n">
        <v>46063</v>
      </c>
      <c r="D866" t="inlineStr">
        <is>
          <t>JÄMTLANDS LÄN</t>
        </is>
      </c>
      <c r="E866" t="inlineStr">
        <is>
          <t>BERG</t>
        </is>
      </c>
      <c r="G866" t="n">
        <v>5</v>
      </c>
      <c r="H866" t="n">
        <v>0</v>
      </c>
      <c r="I866" t="n">
        <v>0</v>
      </c>
      <c r="J866" t="n">
        <v>0</v>
      </c>
      <c r="K866" t="n">
        <v>0</v>
      </c>
      <c r="L866" t="n">
        <v>0</v>
      </c>
      <c r="M866" t="n">
        <v>0</v>
      </c>
      <c r="N866" t="n">
        <v>0</v>
      </c>
      <c r="O866" t="n">
        <v>0</v>
      </c>
      <c r="P866" t="n">
        <v>0</v>
      </c>
      <c r="Q866" t="n">
        <v>0</v>
      </c>
      <c r="R866" s="2" t="inlineStr"/>
    </row>
    <row r="867" ht="15" customHeight="1">
      <c r="A867" t="inlineStr">
        <is>
          <t>A 1982-2022</t>
        </is>
      </c>
      <c r="B867" s="1" t="n">
        <v>44575</v>
      </c>
      <c r="C867" s="1" t="n">
        <v>46063</v>
      </c>
      <c r="D867" t="inlineStr">
        <is>
          <t>JÄMTLANDS LÄN</t>
        </is>
      </c>
      <c r="E867" t="inlineStr">
        <is>
          <t>BERG</t>
        </is>
      </c>
      <c r="G867" t="n">
        <v>1.6</v>
      </c>
      <c r="H867" t="n">
        <v>0</v>
      </c>
      <c r="I867" t="n">
        <v>0</v>
      </c>
      <c r="J867" t="n">
        <v>0</v>
      </c>
      <c r="K867" t="n">
        <v>0</v>
      </c>
      <c r="L867" t="n">
        <v>0</v>
      </c>
      <c r="M867" t="n">
        <v>0</v>
      </c>
      <c r="N867" t="n">
        <v>0</v>
      </c>
      <c r="O867" t="n">
        <v>0</v>
      </c>
      <c r="P867" t="n">
        <v>0</v>
      </c>
      <c r="Q867" t="n">
        <v>0</v>
      </c>
      <c r="R867" s="2" t="inlineStr"/>
    </row>
    <row r="868" ht="15" customHeight="1">
      <c r="A868" t="inlineStr">
        <is>
          <t>A 1989-2022</t>
        </is>
      </c>
      <c r="B868" s="1" t="n">
        <v>44575.55935185185</v>
      </c>
      <c r="C868" s="1" t="n">
        <v>46063</v>
      </c>
      <c r="D868" t="inlineStr">
        <is>
          <t>JÄMTLANDS LÄN</t>
        </is>
      </c>
      <c r="E868" t="inlineStr">
        <is>
          <t>BERG</t>
        </is>
      </c>
      <c r="G868" t="n">
        <v>0.7</v>
      </c>
      <c r="H868" t="n">
        <v>0</v>
      </c>
      <c r="I868" t="n">
        <v>0</v>
      </c>
      <c r="J868" t="n">
        <v>0</v>
      </c>
      <c r="K868" t="n">
        <v>0</v>
      </c>
      <c r="L868" t="n">
        <v>0</v>
      </c>
      <c r="M868" t="n">
        <v>0</v>
      </c>
      <c r="N868" t="n">
        <v>0</v>
      </c>
      <c r="O868" t="n">
        <v>0</v>
      </c>
      <c r="P868" t="n">
        <v>0</v>
      </c>
      <c r="Q868" t="n">
        <v>0</v>
      </c>
      <c r="R868" s="2" t="inlineStr"/>
    </row>
    <row r="869" ht="15" customHeight="1">
      <c r="A869" t="inlineStr">
        <is>
          <t>A 14198-2023</t>
        </is>
      </c>
      <c r="B869" s="1" t="n">
        <v>45009.57518518518</v>
      </c>
      <c r="C869" s="1" t="n">
        <v>46063</v>
      </c>
      <c r="D869" t="inlineStr">
        <is>
          <t>JÄMTLANDS LÄN</t>
        </is>
      </c>
      <c r="E869" t="inlineStr">
        <is>
          <t>BERG</t>
        </is>
      </c>
      <c r="G869" t="n">
        <v>2.3</v>
      </c>
      <c r="H869" t="n">
        <v>0</v>
      </c>
      <c r="I869" t="n">
        <v>0</v>
      </c>
      <c r="J869" t="n">
        <v>0</v>
      </c>
      <c r="K869" t="n">
        <v>0</v>
      </c>
      <c r="L869" t="n">
        <v>0</v>
      </c>
      <c r="M869" t="n">
        <v>0</v>
      </c>
      <c r="N869" t="n">
        <v>0</v>
      </c>
      <c r="O869" t="n">
        <v>0</v>
      </c>
      <c r="P869" t="n">
        <v>0</v>
      </c>
      <c r="Q869" t="n">
        <v>0</v>
      </c>
      <c r="R869" s="2" t="inlineStr"/>
    </row>
    <row r="870" ht="15" customHeight="1">
      <c r="A870" t="inlineStr">
        <is>
          <t>A 58817-2024</t>
        </is>
      </c>
      <c r="B870" s="1" t="n">
        <v>45636.35909722222</v>
      </c>
      <c r="C870" s="1" t="n">
        <v>46063</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59526-2024</t>
        </is>
      </c>
      <c r="B871" s="1" t="n">
        <v>45638.58019675926</v>
      </c>
      <c r="C871" s="1" t="n">
        <v>46063</v>
      </c>
      <c r="D871" t="inlineStr">
        <is>
          <t>JÄMTLANDS LÄN</t>
        </is>
      </c>
      <c r="E871" t="inlineStr">
        <is>
          <t>BERG</t>
        </is>
      </c>
      <c r="G871" t="n">
        <v>1</v>
      </c>
      <c r="H871" t="n">
        <v>0</v>
      </c>
      <c r="I871" t="n">
        <v>0</v>
      </c>
      <c r="J871" t="n">
        <v>0</v>
      </c>
      <c r="K871" t="n">
        <v>0</v>
      </c>
      <c r="L871" t="n">
        <v>0</v>
      </c>
      <c r="M871" t="n">
        <v>0</v>
      </c>
      <c r="N871" t="n">
        <v>0</v>
      </c>
      <c r="O871" t="n">
        <v>0</v>
      </c>
      <c r="P871" t="n">
        <v>0</v>
      </c>
      <c r="Q871" t="n">
        <v>0</v>
      </c>
      <c r="R871" s="2" t="inlineStr"/>
    </row>
    <row r="872" ht="15" customHeight="1">
      <c r="A872" t="inlineStr">
        <is>
          <t>A 64752-2023</t>
        </is>
      </c>
      <c r="B872" s="1" t="n">
        <v>45281.92891203704</v>
      </c>
      <c r="C872" s="1" t="n">
        <v>46063</v>
      </c>
      <c r="D872" t="inlineStr">
        <is>
          <t>JÄMTLANDS LÄN</t>
        </is>
      </c>
      <c r="E872" t="inlineStr">
        <is>
          <t>BERG</t>
        </is>
      </c>
      <c r="F872" t="inlineStr">
        <is>
          <t>Övriga Aktiebolag</t>
        </is>
      </c>
      <c r="G872" t="n">
        <v>3.4</v>
      </c>
      <c r="H872" t="n">
        <v>0</v>
      </c>
      <c r="I872" t="n">
        <v>0</v>
      </c>
      <c r="J872" t="n">
        <v>0</v>
      </c>
      <c r="K872" t="n">
        <v>0</v>
      </c>
      <c r="L872" t="n">
        <v>0</v>
      </c>
      <c r="M872" t="n">
        <v>0</v>
      </c>
      <c r="N872" t="n">
        <v>0</v>
      </c>
      <c r="O872" t="n">
        <v>0</v>
      </c>
      <c r="P872" t="n">
        <v>0</v>
      </c>
      <c r="Q872" t="n">
        <v>0</v>
      </c>
      <c r="R872" s="2" t="inlineStr"/>
    </row>
    <row r="873" ht="15" customHeight="1">
      <c r="A873" t="inlineStr">
        <is>
          <t>A 8069-2024</t>
        </is>
      </c>
      <c r="B873" s="1" t="n">
        <v>45351.41600694445</v>
      </c>
      <c r="C873" s="1" t="n">
        <v>46063</v>
      </c>
      <c r="D873" t="inlineStr">
        <is>
          <t>JÄMTLANDS LÄN</t>
        </is>
      </c>
      <c r="E873" t="inlineStr">
        <is>
          <t>BERG</t>
        </is>
      </c>
      <c r="G873" t="n">
        <v>1.2</v>
      </c>
      <c r="H873" t="n">
        <v>0</v>
      </c>
      <c r="I873" t="n">
        <v>0</v>
      </c>
      <c r="J873" t="n">
        <v>0</v>
      </c>
      <c r="K873" t="n">
        <v>0</v>
      </c>
      <c r="L873" t="n">
        <v>0</v>
      </c>
      <c r="M873" t="n">
        <v>0</v>
      </c>
      <c r="N873" t="n">
        <v>0</v>
      </c>
      <c r="O873" t="n">
        <v>0</v>
      </c>
      <c r="P873" t="n">
        <v>0</v>
      </c>
      <c r="Q873" t="n">
        <v>0</v>
      </c>
      <c r="R873" s="2" t="inlineStr"/>
    </row>
    <row r="874" ht="15" customHeight="1">
      <c r="A874" t="inlineStr">
        <is>
          <t>A 7447-2022</t>
        </is>
      </c>
      <c r="B874" s="1" t="n">
        <v>44606</v>
      </c>
      <c r="C874" s="1" t="n">
        <v>46063</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44313-2023</t>
        </is>
      </c>
      <c r="B875" s="1" t="n">
        <v>45188.6505787037</v>
      </c>
      <c r="C875" s="1" t="n">
        <v>46063</v>
      </c>
      <c r="D875" t="inlineStr">
        <is>
          <t>JÄMTLANDS LÄN</t>
        </is>
      </c>
      <c r="E875" t="inlineStr">
        <is>
          <t>BERG</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38-2024</t>
        </is>
      </c>
      <c r="B876" s="1" t="n">
        <v>45293</v>
      </c>
      <c r="C876" s="1" t="n">
        <v>46063</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31129-2024</t>
        </is>
      </c>
      <c r="B877" s="1" t="n">
        <v>45502</v>
      </c>
      <c r="C877" s="1" t="n">
        <v>46063</v>
      </c>
      <c r="D877" t="inlineStr">
        <is>
          <t>JÄMTLANDS LÄN</t>
        </is>
      </c>
      <c r="E877" t="inlineStr">
        <is>
          <t>BERG</t>
        </is>
      </c>
      <c r="G877" t="n">
        <v>1.3</v>
      </c>
      <c r="H877" t="n">
        <v>0</v>
      </c>
      <c r="I877" t="n">
        <v>0</v>
      </c>
      <c r="J877" t="n">
        <v>0</v>
      </c>
      <c r="K877" t="n">
        <v>0</v>
      </c>
      <c r="L877" t="n">
        <v>0</v>
      </c>
      <c r="M877" t="n">
        <v>0</v>
      </c>
      <c r="N877" t="n">
        <v>0</v>
      </c>
      <c r="O877" t="n">
        <v>0</v>
      </c>
      <c r="P877" t="n">
        <v>0</v>
      </c>
      <c r="Q877" t="n">
        <v>0</v>
      </c>
      <c r="R877" s="2" t="inlineStr"/>
    </row>
    <row r="878" ht="15" customHeight="1">
      <c r="A878" t="inlineStr">
        <is>
          <t>A 18007-2024</t>
        </is>
      </c>
      <c r="B878" s="1" t="n">
        <v>45419.94912037037</v>
      </c>
      <c r="C878" s="1" t="n">
        <v>46063</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53894-2023</t>
        </is>
      </c>
      <c r="B879" s="1" t="n">
        <v>45231.53321759259</v>
      </c>
      <c r="C879" s="1" t="n">
        <v>46063</v>
      </c>
      <c r="D879" t="inlineStr">
        <is>
          <t>JÄMTLANDS LÄN</t>
        </is>
      </c>
      <c r="E879" t="inlineStr">
        <is>
          <t>BERG</t>
        </is>
      </c>
      <c r="G879" t="n">
        <v>0.5</v>
      </c>
      <c r="H879" t="n">
        <v>0</v>
      </c>
      <c r="I879" t="n">
        <v>0</v>
      </c>
      <c r="J879" t="n">
        <v>0</v>
      </c>
      <c r="K879" t="n">
        <v>0</v>
      </c>
      <c r="L879" t="n">
        <v>0</v>
      </c>
      <c r="M879" t="n">
        <v>0</v>
      </c>
      <c r="N879" t="n">
        <v>0</v>
      </c>
      <c r="O879" t="n">
        <v>0</v>
      </c>
      <c r="P879" t="n">
        <v>0</v>
      </c>
      <c r="Q879" t="n">
        <v>0</v>
      </c>
      <c r="R879" s="2" t="inlineStr"/>
    </row>
    <row r="880" ht="15" customHeight="1">
      <c r="A880" t="inlineStr">
        <is>
          <t>A 6645-2025</t>
        </is>
      </c>
      <c r="B880" s="1" t="n">
        <v>45700.39645833334</v>
      </c>
      <c r="C880" s="1" t="n">
        <v>46063</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21717-2023</t>
        </is>
      </c>
      <c r="B881" s="1" t="n">
        <v>45063</v>
      </c>
      <c r="C881" s="1" t="n">
        <v>46063</v>
      </c>
      <c r="D881" t="inlineStr">
        <is>
          <t>JÄMTLANDS LÄN</t>
        </is>
      </c>
      <c r="E881" t="inlineStr">
        <is>
          <t>BERG</t>
        </is>
      </c>
      <c r="G881" t="n">
        <v>6</v>
      </c>
      <c r="H881" t="n">
        <v>0</v>
      </c>
      <c r="I881" t="n">
        <v>0</v>
      </c>
      <c r="J881" t="n">
        <v>0</v>
      </c>
      <c r="K881" t="n">
        <v>0</v>
      </c>
      <c r="L881" t="n">
        <v>0</v>
      </c>
      <c r="M881" t="n">
        <v>0</v>
      </c>
      <c r="N881" t="n">
        <v>0</v>
      </c>
      <c r="O881" t="n">
        <v>0</v>
      </c>
      <c r="P881" t="n">
        <v>0</v>
      </c>
      <c r="Q881" t="n">
        <v>0</v>
      </c>
      <c r="R881" s="2" t="inlineStr"/>
    </row>
    <row r="882" ht="15" customHeight="1">
      <c r="A882" t="inlineStr">
        <is>
          <t>A 46858-2023</t>
        </is>
      </c>
      <c r="B882" s="1" t="n">
        <v>45199.97042824074</v>
      </c>
      <c r="C882" s="1" t="n">
        <v>46063</v>
      </c>
      <c r="D882" t="inlineStr">
        <is>
          <t>JÄMTLANDS LÄN</t>
        </is>
      </c>
      <c r="E882" t="inlineStr">
        <is>
          <t>BERG</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49225-2024</t>
        </is>
      </c>
      <c r="B883" s="1" t="n">
        <v>45595.4177662037</v>
      </c>
      <c r="C883" s="1" t="n">
        <v>46063</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25565-2023</t>
        </is>
      </c>
      <c r="B884" s="1" t="n">
        <v>45082</v>
      </c>
      <c r="C884" s="1" t="n">
        <v>46063</v>
      </c>
      <c r="D884" t="inlineStr">
        <is>
          <t>JÄMTLANDS LÄN</t>
        </is>
      </c>
      <c r="E884" t="inlineStr">
        <is>
          <t>BERG</t>
        </is>
      </c>
      <c r="G884" t="n">
        <v>3.1</v>
      </c>
      <c r="H884" t="n">
        <v>0</v>
      </c>
      <c r="I884" t="n">
        <v>0</v>
      </c>
      <c r="J884" t="n">
        <v>0</v>
      </c>
      <c r="K884" t="n">
        <v>0</v>
      </c>
      <c r="L884" t="n">
        <v>0</v>
      </c>
      <c r="M884" t="n">
        <v>0</v>
      </c>
      <c r="N884" t="n">
        <v>0</v>
      </c>
      <c r="O884" t="n">
        <v>0</v>
      </c>
      <c r="P884" t="n">
        <v>0</v>
      </c>
      <c r="Q884" t="n">
        <v>0</v>
      </c>
      <c r="R884" s="2" t="inlineStr"/>
    </row>
    <row r="885" ht="15" customHeight="1">
      <c r="A885" t="inlineStr">
        <is>
          <t>A 56226-2024</t>
        </is>
      </c>
      <c r="B885" s="1" t="n">
        <v>45624.61572916667</v>
      </c>
      <c r="C885" s="1" t="n">
        <v>46063</v>
      </c>
      <c r="D885" t="inlineStr">
        <is>
          <t>JÄMTLANDS LÄN</t>
        </is>
      </c>
      <c r="E885" t="inlineStr">
        <is>
          <t>BERG</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54863-2023</t>
        </is>
      </c>
      <c r="B886" s="1" t="n">
        <v>45236</v>
      </c>
      <c r="C886" s="1" t="n">
        <v>46063</v>
      </c>
      <c r="D886" t="inlineStr">
        <is>
          <t>JÄMTLANDS LÄN</t>
        </is>
      </c>
      <c r="E886" t="inlineStr">
        <is>
          <t>BERG</t>
        </is>
      </c>
      <c r="G886" t="n">
        <v>3.3</v>
      </c>
      <c r="H886" t="n">
        <v>0</v>
      </c>
      <c r="I886" t="n">
        <v>0</v>
      </c>
      <c r="J886" t="n">
        <v>0</v>
      </c>
      <c r="K886" t="n">
        <v>0</v>
      </c>
      <c r="L886" t="n">
        <v>0</v>
      </c>
      <c r="M886" t="n">
        <v>0</v>
      </c>
      <c r="N886" t="n">
        <v>0</v>
      </c>
      <c r="O886" t="n">
        <v>0</v>
      </c>
      <c r="P886" t="n">
        <v>0</v>
      </c>
      <c r="Q886" t="n">
        <v>0</v>
      </c>
      <c r="R886" s="2" t="inlineStr"/>
    </row>
    <row r="887" ht="15" customHeight="1">
      <c r="A887" t="inlineStr">
        <is>
          <t>A 48663-2023</t>
        </is>
      </c>
      <c r="B887" s="1" t="n">
        <v>45202</v>
      </c>
      <c r="C887" s="1" t="n">
        <v>46063</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4476-2025</t>
        </is>
      </c>
      <c r="B888" s="1" t="n">
        <v>45686.62828703703</v>
      </c>
      <c r="C888" s="1" t="n">
        <v>46063</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35792-2024</t>
        </is>
      </c>
      <c r="B889" s="1" t="n">
        <v>45532.62950231481</v>
      </c>
      <c r="C889" s="1" t="n">
        <v>46063</v>
      </c>
      <c r="D889" t="inlineStr">
        <is>
          <t>JÄMTLANDS LÄN</t>
        </is>
      </c>
      <c r="E889" t="inlineStr">
        <is>
          <t>BERG</t>
        </is>
      </c>
      <c r="F889" t="inlineStr">
        <is>
          <t>SCA</t>
        </is>
      </c>
      <c r="G889" t="n">
        <v>6.7</v>
      </c>
      <c r="H889" t="n">
        <v>0</v>
      </c>
      <c r="I889" t="n">
        <v>0</v>
      </c>
      <c r="J889" t="n">
        <v>0</v>
      </c>
      <c r="K889" t="n">
        <v>0</v>
      </c>
      <c r="L889" t="n">
        <v>0</v>
      </c>
      <c r="M889" t="n">
        <v>0</v>
      </c>
      <c r="N889" t="n">
        <v>0</v>
      </c>
      <c r="O889" t="n">
        <v>0</v>
      </c>
      <c r="P889" t="n">
        <v>0</v>
      </c>
      <c r="Q889" t="n">
        <v>0</v>
      </c>
      <c r="R889" s="2" t="inlineStr"/>
    </row>
    <row r="890" ht="15" customHeight="1">
      <c r="A890" t="inlineStr">
        <is>
          <t>A 40990-2022</t>
        </is>
      </c>
      <c r="B890" s="1" t="n">
        <v>44823</v>
      </c>
      <c r="C890" s="1" t="n">
        <v>46063</v>
      </c>
      <c r="D890" t="inlineStr">
        <is>
          <t>JÄMTLANDS LÄN</t>
        </is>
      </c>
      <c r="E890" t="inlineStr">
        <is>
          <t>BERG</t>
        </is>
      </c>
      <c r="G890" t="n">
        <v>11.7</v>
      </c>
      <c r="H890" t="n">
        <v>0</v>
      </c>
      <c r="I890" t="n">
        <v>0</v>
      </c>
      <c r="J890" t="n">
        <v>0</v>
      </c>
      <c r="K890" t="n">
        <v>0</v>
      </c>
      <c r="L890" t="n">
        <v>0</v>
      </c>
      <c r="M890" t="n">
        <v>0</v>
      </c>
      <c r="N890" t="n">
        <v>0</v>
      </c>
      <c r="O890" t="n">
        <v>0</v>
      </c>
      <c r="P890" t="n">
        <v>0</v>
      </c>
      <c r="Q890" t="n">
        <v>0</v>
      </c>
      <c r="R890" s="2" t="inlineStr"/>
    </row>
    <row r="891" ht="15" customHeight="1">
      <c r="A891" t="inlineStr">
        <is>
          <t>A 8733-2024</t>
        </is>
      </c>
      <c r="B891" s="1" t="n">
        <v>45355</v>
      </c>
      <c r="C891" s="1" t="n">
        <v>46063</v>
      </c>
      <c r="D891" t="inlineStr">
        <is>
          <t>JÄMTLANDS LÄN</t>
        </is>
      </c>
      <c r="E891" t="inlineStr">
        <is>
          <t>BERG</t>
        </is>
      </c>
      <c r="G891" t="n">
        <v>1.9</v>
      </c>
      <c r="H891" t="n">
        <v>0</v>
      </c>
      <c r="I891" t="n">
        <v>0</v>
      </c>
      <c r="J891" t="n">
        <v>0</v>
      </c>
      <c r="K891" t="n">
        <v>0</v>
      </c>
      <c r="L891" t="n">
        <v>0</v>
      </c>
      <c r="M891" t="n">
        <v>0</v>
      </c>
      <c r="N891" t="n">
        <v>0</v>
      </c>
      <c r="O891" t="n">
        <v>0</v>
      </c>
      <c r="P891" t="n">
        <v>0</v>
      </c>
      <c r="Q891" t="n">
        <v>0</v>
      </c>
      <c r="R891" s="2" t="inlineStr"/>
    </row>
    <row r="892" ht="15" customHeight="1">
      <c r="A892" t="inlineStr">
        <is>
          <t>A 18752-2024</t>
        </is>
      </c>
      <c r="B892" s="1" t="n">
        <v>45426.54224537037</v>
      </c>
      <c r="C892" s="1" t="n">
        <v>46063</v>
      </c>
      <c r="D892" t="inlineStr">
        <is>
          <t>JÄMTLANDS LÄN</t>
        </is>
      </c>
      <c r="E892" t="inlineStr">
        <is>
          <t>BERG</t>
        </is>
      </c>
      <c r="G892" t="n">
        <v>0.7</v>
      </c>
      <c r="H892" t="n">
        <v>0</v>
      </c>
      <c r="I892" t="n">
        <v>0</v>
      </c>
      <c r="J892" t="n">
        <v>0</v>
      </c>
      <c r="K892" t="n">
        <v>0</v>
      </c>
      <c r="L892" t="n">
        <v>0</v>
      </c>
      <c r="M892" t="n">
        <v>0</v>
      </c>
      <c r="N892" t="n">
        <v>0</v>
      </c>
      <c r="O892" t="n">
        <v>0</v>
      </c>
      <c r="P892" t="n">
        <v>0</v>
      </c>
      <c r="Q892" t="n">
        <v>0</v>
      </c>
      <c r="R892" s="2" t="inlineStr"/>
    </row>
    <row r="893" ht="15" customHeight="1">
      <c r="A893" t="inlineStr">
        <is>
          <t>A 36287-2024</t>
        </is>
      </c>
      <c r="B893" s="1" t="n">
        <v>45534</v>
      </c>
      <c r="C893" s="1" t="n">
        <v>46063</v>
      </c>
      <c r="D893" t="inlineStr">
        <is>
          <t>JÄMTLANDS LÄN</t>
        </is>
      </c>
      <c r="E893" t="inlineStr">
        <is>
          <t>BERG</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13524-2024</t>
        </is>
      </c>
      <c r="B894" s="1" t="n">
        <v>45387.78174768519</v>
      </c>
      <c r="C894" s="1" t="n">
        <v>46063</v>
      </c>
      <c r="D894" t="inlineStr">
        <is>
          <t>JÄMTLANDS LÄN</t>
        </is>
      </c>
      <c r="E894" t="inlineStr">
        <is>
          <t>BERG</t>
        </is>
      </c>
      <c r="G894" t="n">
        <v>0.6</v>
      </c>
      <c r="H894" t="n">
        <v>0</v>
      </c>
      <c r="I894" t="n">
        <v>0</v>
      </c>
      <c r="J894" t="n">
        <v>0</v>
      </c>
      <c r="K894" t="n">
        <v>0</v>
      </c>
      <c r="L894" t="n">
        <v>0</v>
      </c>
      <c r="M894" t="n">
        <v>0</v>
      </c>
      <c r="N894" t="n">
        <v>0</v>
      </c>
      <c r="O894" t="n">
        <v>0</v>
      </c>
      <c r="P894" t="n">
        <v>0</v>
      </c>
      <c r="Q894" t="n">
        <v>0</v>
      </c>
      <c r="R894" s="2" t="inlineStr"/>
    </row>
    <row r="895" ht="15" customHeight="1">
      <c r="A895" t="inlineStr">
        <is>
          <t>A 8065-2024</t>
        </is>
      </c>
      <c r="B895" s="1" t="n">
        <v>45351.40697916667</v>
      </c>
      <c r="C895" s="1" t="n">
        <v>46063</v>
      </c>
      <c r="D895" t="inlineStr">
        <is>
          <t>JÄMTLANDS LÄN</t>
        </is>
      </c>
      <c r="E895" t="inlineStr">
        <is>
          <t>BERG</t>
        </is>
      </c>
      <c r="G895" t="n">
        <v>6.9</v>
      </c>
      <c r="H895" t="n">
        <v>0</v>
      </c>
      <c r="I895" t="n">
        <v>0</v>
      </c>
      <c r="J895" t="n">
        <v>0</v>
      </c>
      <c r="K895" t="n">
        <v>0</v>
      </c>
      <c r="L895" t="n">
        <v>0</v>
      </c>
      <c r="M895" t="n">
        <v>0</v>
      </c>
      <c r="N895" t="n">
        <v>0</v>
      </c>
      <c r="O895" t="n">
        <v>0</v>
      </c>
      <c r="P895" t="n">
        <v>0</v>
      </c>
      <c r="Q895" t="n">
        <v>0</v>
      </c>
      <c r="R895" s="2" t="inlineStr"/>
    </row>
    <row r="896" ht="15" customHeight="1">
      <c r="A896" t="inlineStr">
        <is>
          <t>A 29581-2024</t>
        </is>
      </c>
      <c r="B896" s="1" t="n">
        <v>45484.5740162037</v>
      </c>
      <c r="C896" s="1" t="n">
        <v>46063</v>
      </c>
      <c r="D896" t="inlineStr">
        <is>
          <t>JÄMTLANDS LÄN</t>
        </is>
      </c>
      <c r="E896" t="inlineStr">
        <is>
          <t>BERG</t>
        </is>
      </c>
      <c r="G896" t="n">
        <v>16.7</v>
      </c>
      <c r="H896" t="n">
        <v>0</v>
      </c>
      <c r="I896" t="n">
        <v>0</v>
      </c>
      <c r="J896" t="n">
        <v>0</v>
      </c>
      <c r="K896" t="n">
        <v>0</v>
      </c>
      <c r="L896" t="n">
        <v>0</v>
      </c>
      <c r="M896" t="n">
        <v>0</v>
      </c>
      <c r="N896" t="n">
        <v>0</v>
      </c>
      <c r="O896" t="n">
        <v>0</v>
      </c>
      <c r="P896" t="n">
        <v>0</v>
      </c>
      <c r="Q896" t="n">
        <v>0</v>
      </c>
      <c r="R896" s="2" t="inlineStr"/>
    </row>
    <row r="897" ht="15" customHeight="1">
      <c r="A897" t="inlineStr">
        <is>
          <t>A 14594-2025</t>
        </is>
      </c>
      <c r="B897" s="1" t="n">
        <v>45742.34414351852</v>
      </c>
      <c r="C897" s="1" t="n">
        <v>46063</v>
      </c>
      <c r="D897" t="inlineStr">
        <is>
          <t>JÄMTLANDS LÄN</t>
        </is>
      </c>
      <c r="E897" t="inlineStr">
        <is>
          <t>BERG</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14596-2025</t>
        </is>
      </c>
      <c r="B898" s="1" t="n">
        <v>45742.34449074074</v>
      </c>
      <c r="C898" s="1" t="n">
        <v>46063</v>
      </c>
      <c r="D898" t="inlineStr">
        <is>
          <t>JÄMTLANDS LÄN</t>
        </is>
      </c>
      <c r="E898" t="inlineStr">
        <is>
          <t>BERG</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5644-2025</t>
        </is>
      </c>
      <c r="B899" s="1" t="n">
        <v>45693.6833449074</v>
      </c>
      <c r="C899" s="1" t="n">
        <v>46063</v>
      </c>
      <c r="D899" t="inlineStr">
        <is>
          <t>JÄMTLANDS LÄN</t>
        </is>
      </c>
      <c r="E899" t="inlineStr">
        <is>
          <t>BERG</t>
        </is>
      </c>
      <c r="G899" t="n">
        <v>2.1</v>
      </c>
      <c r="H899" t="n">
        <v>0</v>
      </c>
      <c r="I899" t="n">
        <v>0</v>
      </c>
      <c r="J899" t="n">
        <v>0</v>
      </c>
      <c r="K899" t="n">
        <v>0</v>
      </c>
      <c r="L899" t="n">
        <v>0</v>
      </c>
      <c r="M899" t="n">
        <v>0</v>
      </c>
      <c r="N899" t="n">
        <v>0</v>
      </c>
      <c r="O899" t="n">
        <v>0</v>
      </c>
      <c r="P899" t="n">
        <v>0</v>
      </c>
      <c r="Q899" t="n">
        <v>0</v>
      </c>
      <c r="R899" s="2" t="inlineStr"/>
    </row>
    <row r="900" ht="15" customHeight="1">
      <c r="A900" t="inlineStr">
        <is>
          <t>A 60076-2024</t>
        </is>
      </c>
      <c r="B900" s="1" t="n">
        <v>45642.53166666667</v>
      </c>
      <c r="C900" s="1" t="n">
        <v>46063</v>
      </c>
      <c r="D900" t="inlineStr">
        <is>
          <t>JÄMTLANDS LÄN</t>
        </is>
      </c>
      <c r="E900" t="inlineStr">
        <is>
          <t>BERG</t>
        </is>
      </c>
      <c r="G900" t="n">
        <v>1.1</v>
      </c>
      <c r="H900" t="n">
        <v>0</v>
      </c>
      <c r="I900" t="n">
        <v>0</v>
      </c>
      <c r="J900" t="n">
        <v>0</v>
      </c>
      <c r="K900" t="n">
        <v>0</v>
      </c>
      <c r="L900" t="n">
        <v>0</v>
      </c>
      <c r="M900" t="n">
        <v>0</v>
      </c>
      <c r="N900" t="n">
        <v>0</v>
      </c>
      <c r="O900" t="n">
        <v>0</v>
      </c>
      <c r="P900" t="n">
        <v>0</v>
      </c>
      <c r="Q900" t="n">
        <v>0</v>
      </c>
      <c r="R900" s="2" t="inlineStr"/>
    </row>
    <row r="901" ht="15" customHeight="1">
      <c r="A901" t="inlineStr">
        <is>
          <t>A 8238-2024</t>
        </is>
      </c>
      <c r="B901" s="1" t="n">
        <v>45351.98450231482</v>
      </c>
      <c r="C901" s="1" t="n">
        <v>46063</v>
      </c>
      <c r="D901" t="inlineStr">
        <is>
          <t>JÄMTLANDS LÄN</t>
        </is>
      </c>
      <c r="E901" t="inlineStr">
        <is>
          <t>BERG</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43279-2024</t>
        </is>
      </c>
      <c r="B902" s="1" t="n">
        <v>45568.3975462963</v>
      </c>
      <c r="C902" s="1" t="n">
        <v>46063</v>
      </c>
      <c r="D902" t="inlineStr">
        <is>
          <t>JÄMTLANDS LÄN</t>
        </is>
      </c>
      <c r="E902" t="inlineStr">
        <is>
          <t>BERG</t>
        </is>
      </c>
      <c r="G902" t="n">
        <v>7.6</v>
      </c>
      <c r="H902" t="n">
        <v>0</v>
      </c>
      <c r="I902" t="n">
        <v>0</v>
      </c>
      <c r="J902" t="n">
        <v>0</v>
      </c>
      <c r="K902" t="n">
        <v>0</v>
      </c>
      <c r="L902" t="n">
        <v>0</v>
      </c>
      <c r="M902" t="n">
        <v>0</v>
      </c>
      <c r="N902" t="n">
        <v>0</v>
      </c>
      <c r="O902" t="n">
        <v>0</v>
      </c>
      <c r="P902" t="n">
        <v>0</v>
      </c>
      <c r="Q902" t="n">
        <v>0</v>
      </c>
      <c r="R902" s="2" t="inlineStr"/>
    </row>
    <row r="903" ht="15" customHeight="1">
      <c r="A903" t="inlineStr">
        <is>
          <t>A 37067-2023</t>
        </is>
      </c>
      <c r="B903" s="1" t="n">
        <v>45154</v>
      </c>
      <c r="C903" s="1" t="n">
        <v>46063</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15992-2025</t>
        </is>
      </c>
      <c r="B904" s="1" t="n">
        <v>45749.58319444444</v>
      </c>
      <c r="C904" s="1" t="n">
        <v>46063</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60404-2023</t>
        </is>
      </c>
      <c r="B905" s="1" t="n">
        <v>45259.46332175926</v>
      </c>
      <c r="C905" s="1" t="n">
        <v>46063</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60587-2022</t>
        </is>
      </c>
      <c r="B906" s="1" t="n">
        <v>44911.58445601852</v>
      </c>
      <c r="C906" s="1" t="n">
        <v>46063</v>
      </c>
      <c r="D906" t="inlineStr">
        <is>
          <t>JÄMTLANDS LÄN</t>
        </is>
      </c>
      <c r="E906" t="inlineStr">
        <is>
          <t>BERG</t>
        </is>
      </c>
      <c r="G906" t="n">
        <v>4.8</v>
      </c>
      <c r="H906" t="n">
        <v>0</v>
      </c>
      <c r="I906" t="n">
        <v>0</v>
      </c>
      <c r="J906" t="n">
        <v>0</v>
      </c>
      <c r="K906" t="n">
        <v>0</v>
      </c>
      <c r="L906" t="n">
        <v>0</v>
      </c>
      <c r="M906" t="n">
        <v>0</v>
      </c>
      <c r="N906" t="n">
        <v>0</v>
      </c>
      <c r="O906" t="n">
        <v>0</v>
      </c>
      <c r="P906" t="n">
        <v>0</v>
      </c>
      <c r="Q906" t="n">
        <v>0</v>
      </c>
      <c r="R906" s="2" t="inlineStr"/>
    </row>
    <row r="907" ht="15" customHeight="1">
      <c r="A907" t="inlineStr">
        <is>
          <t>A 11274-2025</t>
        </is>
      </c>
      <c r="B907" s="1" t="n">
        <v>45726.40868055556</v>
      </c>
      <c r="C907" s="1" t="n">
        <v>46063</v>
      </c>
      <c r="D907" t="inlineStr">
        <is>
          <t>JÄMTLANDS LÄN</t>
        </is>
      </c>
      <c r="E907" t="inlineStr">
        <is>
          <t>BERG</t>
        </is>
      </c>
      <c r="G907" t="n">
        <v>3</v>
      </c>
      <c r="H907" t="n">
        <v>0</v>
      </c>
      <c r="I907" t="n">
        <v>0</v>
      </c>
      <c r="J907" t="n">
        <v>0</v>
      </c>
      <c r="K907" t="n">
        <v>0</v>
      </c>
      <c r="L907" t="n">
        <v>0</v>
      </c>
      <c r="M907" t="n">
        <v>0</v>
      </c>
      <c r="N907" t="n">
        <v>0</v>
      </c>
      <c r="O907" t="n">
        <v>0</v>
      </c>
      <c r="P907" t="n">
        <v>0</v>
      </c>
      <c r="Q907" t="n">
        <v>0</v>
      </c>
      <c r="R907" s="2" t="inlineStr"/>
    </row>
    <row r="908" ht="15" customHeight="1">
      <c r="A908" t="inlineStr">
        <is>
          <t>A 16553-2025</t>
        </is>
      </c>
      <c r="B908" s="1" t="n">
        <v>45751.69967592593</v>
      </c>
      <c r="C908" s="1" t="n">
        <v>46063</v>
      </c>
      <c r="D908" t="inlineStr">
        <is>
          <t>JÄMTLANDS LÄN</t>
        </is>
      </c>
      <c r="E908" t="inlineStr">
        <is>
          <t>BERG</t>
        </is>
      </c>
      <c r="G908" t="n">
        <v>2</v>
      </c>
      <c r="H908" t="n">
        <v>0</v>
      </c>
      <c r="I908" t="n">
        <v>0</v>
      </c>
      <c r="J908" t="n">
        <v>0</v>
      </c>
      <c r="K908" t="n">
        <v>0</v>
      </c>
      <c r="L908" t="n">
        <v>0</v>
      </c>
      <c r="M908" t="n">
        <v>0</v>
      </c>
      <c r="N908" t="n">
        <v>0</v>
      </c>
      <c r="O908" t="n">
        <v>0</v>
      </c>
      <c r="P908" t="n">
        <v>0</v>
      </c>
      <c r="Q908" t="n">
        <v>0</v>
      </c>
      <c r="R908" s="2" t="inlineStr"/>
    </row>
    <row r="909" ht="15" customHeight="1">
      <c r="A909" t="inlineStr">
        <is>
          <t>A 50172-2023</t>
        </is>
      </c>
      <c r="B909" s="1" t="n">
        <v>45208</v>
      </c>
      <c r="C909" s="1" t="n">
        <v>46063</v>
      </c>
      <c r="D909" t="inlineStr">
        <is>
          <t>JÄMTLANDS LÄN</t>
        </is>
      </c>
      <c r="E909" t="inlineStr">
        <is>
          <t>BERG</t>
        </is>
      </c>
      <c r="G909" t="n">
        <v>0.9</v>
      </c>
      <c r="H909" t="n">
        <v>0</v>
      </c>
      <c r="I909" t="n">
        <v>0</v>
      </c>
      <c r="J909" t="n">
        <v>0</v>
      </c>
      <c r="K909" t="n">
        <v>0</v>
      </c>
      <c r="L909" t="n">
        <v>0</v>
      </c>
      <c r="M909" t="n">
        <v>0</v>
      </c>
      <c r="N909" t="n">
        <v>0</v>
      </c>
      <c r="O909" t="n">
        <v>0</v>
      </c>
      <c r="P909" t="n">
        <v>0</v>
      </c>
      <c r="Q909" t="n">
        <v>0</v>
      </c>
      <c r="R909" s="2" t="inlineStr"/>
    </row>
    <row r="910" ht="15" customHeight="1">
      <c r="A910" t="inlineStr">
        <is>
          <t>A 59498-2024</t>
        </is>
      </c>
      <c r="B910" s="1" t="n">
        <v>45638.54635416667</v>
      </c>
      <c r="C910" s="1" t="n">
        <v>46063</v>
      </c>
      <c r="D910" t="inlineStr">
        <is>
          <t>JÄMTLANDS LÄN</t>
        </is>
      </c>
      <c r="E910" t="inlineStr">
        <is>
          <t>BERG</t>
        </is>
      </c>
      <c r="G910" t="n">
        <v>2.4</v>
      </c>
      <c r="H910" t="n">
        <v>0</v>
      </c>
      <c r="I910" t="n">
        <v>0</v>
      </c>
      <c r="J910" t="n">
        <v>0</v>
      </c>
      <c r="K910" t="n">
        <v>0</v>
      </c>
      <c r="L910" t="n">
        <v>0</v>
      </c>
      <c r="M910" t="n">
        <v>0</v>
      </c>
      <c r="N910" t="n">
        <v>0</v>
      </c>
      <c r="O910" t="n">
        <v>0</v>
      </c>
      <c r="P910" t="n">
        <v>0</v>
      </c>
      <c r="Q910" t="n">
        <v>0</v>
      </c>
      <c r="R910" s="2" t="inlineStr"/>
    </row>
    <row r="911" ht="15" customHeight="1">
      <c r="A911" t="inlineStr">
        <is>
          <t>A 14834-2025</t>
        </is>
      </c>
      <c r="B911" s="1" t="n">
        <v>45743.38224537037</v>
      </c>
      <c r="C911" s="1" t="n">
        <v>46063</v>
      </c>
      <c r="D911" t="inlineStr">
        <is>
          <t>JÄMTLANDS LÄN</t>
        </is>
      </c>
      <c r="E911" t="inlineStr">
        <is>
          <t>BERG</t>
        </is>
      </c>
      <c r="G911" t="n">
        <v>3.8</v>
      </c>
      <c r="H911" t="n">
        <v>0</v>
      </c>
      <c r="I911" t="n">
        <v>0</v>
      </c>
      <c r="J911" t="n">
        <v>0</v>
      </c>
      <c r="K911" t="n">
        <v>0</v>
      </c>
      <c r="L911" t="n">
        <v>0</v>
      </c>
      <c r="M911" t="n">
        <v>0</v>
      </c>
      <c r="N911" t="n">
        <v>0</v>
      </c>
      <c r="O911" t="n">
        <v>0</v>
      </c>
      <c r="P911" t="n">
        <v>0</v>
      </c>
      <c r="Q911" t="n">
        <v>0</v>
      </c>
      <c r="R911" s="2" t="inlineStr"/>
    </row>
    <row r="912" ht="15" customHeight="1">
      <c r="A912" t="inlineStr">
        <is>
          <t>A 4246-2025</t>
        </is>
      </c>
      <c r="B912" s="1" t="n">
        <v>45685.59083333334</v>
      </c>
      <c r="C912" s="1" t="n">
        <v>46063</v>
      </c>
      <c r="D912" t="inlineStr">
        <is>
          <t>JÄMTLANDS LÄN</t>
        </is>
      </c>
      <c r="E912" t="inlineStr">
        <is>
          <t>BERG</t>
        </is>
      </c>
      <c r="G912" t="n">
        <v>2.4</v>
      </c>
      <c r="H912" t="n">
        <v>0</v>
      </c>
      <c r="I912" t="n">
        <v>0</v>
      </c>
      <c r="J912" t="n">
        <v>0</v>
      </c>
      <c r="K912" t="n">
        <v>0</v>
      </c>
      <c r="L912" t="n">
        <v>0</v>
      </c>
      <c r="M912" t="n">
        <v>0</v>
      </c>
      <c r="N912" t="n">
        <v>0</v>
      </c>
      <c r="O912" t="n">
        <v>0</v>
      </c>
      <c r="P912" t="n">
        <v>0</v>
      </c>
      <c r="Q912" t="n">
        <v>0</v>
      </c>
      <c r="R912" s="2" t="inlineStr"/>
    </row>
    <row r="913" ht="15" customHeight="1">
      <c r="A913" t="inlineStr">
        <is>
          <t>A 47674-2024</t>
        </is>
      </c>
      <c r="B913" s="1" t="n">
        <v>45588.40413194444</v>
      </c>
      <c r="C913" s="1" t="n">
        <v>46063</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32711-2024</t>
        </is>
      </c>
      <c r="B914" s="1" t="n">
        <v>45516</v>
      </c>
      <c r="C914" s="1" t="n">
        <v>46063</v>
      </c>
      <c r="D914" t="inlineStr">
        <is>
          <t>JÄMTLANDS LÄN</t>
        </is>
      </c>
      <c r="E914" t="inlineStr">
        <is>
          <t>BERG</t>
        </is>
      </c>
      <c r="G914" t="n">
        <v>0</v>
      </c>
      <c r="H914" t="n">
        <v>0</v>
      </c>
      <c r="I914" t="n">
        <v>0</v>
      </c>
      <c r="J914" t="n">
        <v>0</v>
      </c>
      <c r="K914" t="n">
        <v>0</v>
      </c>
      <c r="L914" t="n">
        <v>0</v>
      </c>
      <c r="M914" t="n">
        <v>0</v>
      </c>
      <c r="N914" t="n">
        <v>0</v>
      </c>
      <c r="O914" t="n">
        <v>0</v>
      </c>
      <c r="P914" t="n">
        <v>0</v>
      </c>
      <c r="Q914" t="n">
        <v>0</v>
      </c>
      <c r="R914" s="2" t="inlineStr"/>
    </row>
    <row r="915" ht="15" customHeight="1">
      <c r="A915" t="inlineStr">
        <is>
          <t>A 14672-2025</t>
        </is>
      </c>
      <c r="B915" s="1" t="n">
        <v>45742.55269675926</v>
      </c>
      <c r="C915" s="1" t="n">
        <v>46063</v>
      </c>
      <c r="D915" t="inlineStr">
        <is>
          <t>JÄMTLANDS LÄN</t>
        </is>
      </c>
      <c r="E915" t="inlineStr">
        <is>
          <t>BERG</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51201-2023</t>
        </is>
      </c>
      <c r="B916" s="1" t="n">
        <v>45219.42320601852</v>
      </c>
      <c r="C916" s="1" t="n">
        <v>46063</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21472-2025</t>
        </is>
      </c>
      <c r="B917" s="1" t="n">
        <v>45782.59024305556</v>
      </c>
      <c r="C917" s="1" t="n">
        <v>46063</v>
      </c>
      <c r="D917" t="inlineStr">
        <is>
          <t>JÄMTLANDS LÄN</t>
        </is>
      </c>
      <c r="E917" t="inlineStr">
        <is>
          <t>BERG</t>
        </is>
      </c>
      <c r="G917" t="n">
        <v>21.9</v>
      </c>
      <c r="H917" t="n">
        <v>0</v>
      </c>
      <c r="I917" t="n">
        <v>0</v>
      </c>
      <c r="J917" t="n">
        <v>0</v>
      </c>
      <c r="K917" t="n">
        <v>0</v>
      </c>
      <c r="L917" t="n">
        <v>0</v>
      </c>
      <c r="M917" t="n">
        <v>0</v>
      </c>
      <c r="N917" t="n">
        <v>0</v>
      </c>
      <c r="O917" t="n">
        <v>0</v>
      </c>
      <c r="P917" t="n">
        <v>0</v>
      </c>
      <c r="Q917" t="n">
        <v>0</v>
      </c>
      <c r="R917" s="2" t="inlineStr"/>
    </row>
    <row r="918" ht="15" customHeight="1">
      <c r="A918" t="inlineStr">
        <is>
          <t>A 9478-2024</t>
        </is>
      </c>
      <c r="B918" s="1" t="n">
        <v>45359.5732175926</v>
      </c>
      <c r="C918" s="1" t="n">
        <v>46063</v>
      </c>
      <c r="D918" t="inlineStr">
        <is>
          <t>JÄMTLANDS LÄN</t>
        </is>
      </c>
      <c r="E918" t="inlineStr">
        <is>
          <t>BERG</t>
        </is>
      </c>
      <c r="G918" t="n">
        <v>6.2</v>
      </c>
      <c r="H918" t="n">
        <v>0</v>
      </c>
      <c r="I918" t="n">
        <v>0</v>
      </c>
      <c r="J918" t="n">
        <v>0</v>
      </c>
      <c r="K918" t="n">
        <v>0</v>
      </c>
      <c r="L918" t="n">
        <v>0</v>
      </c>
      <c r="M918" t="n">
        <v>0</v>
      </c>
      <c r="N918" t="n">
        <v>0</v>
      </c>
      <c r="O918" t="n">
        <v>0</v>
      </c>
      <c r="P918" t="n">
        <v>0</v>
      </c>
      <c r="Q918" t="n">
        <v>0</v>
      </c>
      <c r="R918" s="2" t="inlineStr"/>
    </row>
    <row r="919" ht="15" customHeight="1">
      <c r="A919" t="inlineStr">
        <is>
          <t>A 21292-2025</t>
        </is>
      </c>
      <c r="B919" s="1" t="n">
        <v>45780.39354166666</v>
      </c>
      <c r="C919" s="1" t="n">
        <v>46063</v>
      </c>
      <c r="D919" t="inlineStr">
        <is>
          <t>JÄMTLANDS LÄN</t>
        </is>
      </c>
      <c r="E919" t="inlineStr">
        <is>
          <t>BERG</t>
        </is>
      </c>
      <c r="G919" t="n">
        <v>1.6</v>
      </c>
      <c r="H919" t="n">
        <v>0</v>
      </c>
      <c r="I919" t="n">
        <v>0</v>
      </c>
      <c r="J919" t="n">
        <v>0</v>
      </c>
      <c r="K919" t="n">
        <v>0</v>
      </c>
      <c r="L919" t="n">
        <v>0</v>
      </c>
      <c r="M919" t="n">
        <v>0</v>
      </c>
      <c r="N919" t="n">
        <v>0</v>
      </c>
      <c r="O919" t="n">
        <v>0</v>
      </c>
      <c r="P919" t="n">
        <v>0</v>
      </c>
      <c r="Q919" t="n">
        <v>0</v>
      </c>
      <c r="R919" s="2" t="inlineStr"/>
    </row>
    <row r="920" ht="15" customHeight="1">
      <c r="A920" t="inlineStr">
        <is>
          <t>A 21156-2025</t>
        </is>
      </c>
      <c r="B920" s="1" t="n">
        <v>45779.37599537037</v>
      </c>
      <c r="C920" s="1" t="n">
        <v>46063</v>
      </c>
      <c r="D920" t="inlineStr">
        <is>
          <t>JÄMTLANDS LÄN</t>
        </is>
      </c>
      <c r="E920" t="inlineStr">
        <is>
          <t>BERG</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60847-2023</t>
        </is>
      </c>
      <c r="B921" s="1" t="n">
        <v>45260</v>
      </c>
      <c r="C921" s="1" t="n">
        <v>46063</v>
      </c>
      <c r="D921" t="inlineStr">
        <is>
          <t>JÄMTLANDS LÄN</t>
        </is>
      </c>
      <c r="E921" t="inlineStr">
        <is>
          <t>BERG</t>
        </is>
      </c>
      <c r="G921" t="n">
        <v>2.5</v>
      </c>
      <c r="H921" t="n">
        <v>0</v>
      </c>
      <c r="I921" t="n">
        <v>0</v>
      </c>
      <c r="J921" t="n">
        <v>0</v>
      </c>
      <c r="K921" t="n">
        <v>0</v>
      </c>
      <c r="L921" t="n">
        <v>0</v>
      </c>
      <c r="M921" t="n">
        <v>0</v>
      </c>
      <c r="N921" t="n">
        <v>0</v>
      </c>
      <c r="O921" t="n">
        <v>0</v>
      </c>
      <c r="P921" t="n">
        <v>0</v>
      </c>
      <c r="Q921" t="n">
        <v>0</v>
      </c>
      <c r="R921" s="2" t="inlineStr"/>
    </row>
    <row r="922" ht="15" customHeight="1">
      <c r="A922" t="inlineStr">
        <is>
          <t>A 21851-2025</t>
        </is>
      </c>
      <c r="B922" s="1" t="n">
        <v>45784.34417824074</v>
      </c>
      <c r="C922" s="1" t="n">
        <v>46063</v>
      </c>
      <c r="D922" t="inlineStr">
        <is>
          <t>JÄMTLANDS LÄN</t>
        </is>
      </c>
      <c r="E922" t="inlineStr">
        <is>
          <t>BERG</t>
        </is>
      </c>
      <c r="F922" t="inlineStr">
        <is>
          <t>SCA</t>
        </is>
      </c>
      <c r="G922" t="n">
        <v>10</v>
      </c>
      <c r="H922" t="n">
        <v>0</v>
      </c>
      <c r="I922" t="n">
        <v>0</v>
      </c>
      <c r="J922" t="n">
        <v>0</v>
      </c>
      <c r="K922" t="n">
        <v>0</v>
      </c>
      <c r="L922" t="n">
        <v>0</v>
      </c>
      <c r="M922" t="n">
        <v>0</v>
      </c>
      <c r="N922" t="n">
        <v>0</v>
      </c>
      <c r="O922" t="n">
        <v>0</v>
      </c>
      <c r="P922" t="n">
        <v>0</v>
      </c>
      <c r="Q922" t="n">
        <v>0</v>
      </c>
      <c r="R922" s="2" t="inlineStr"/>
    </row>
    <row r="923" ht="15" customHeight="1">
      <c r="A923" t="inlineStr">
        <is>
          <t>A 32020-2023</t>
        </is>
      </c>
      <c r="B923" s="1" t="n">
        <v>45119.49261574074</v>
      </c>
      <c r="C923" s="1" t="n">
        <v>46063</v>
      </c>
      <c r="D923" t="inlineStr">
        <is>
          <t>JÄMTLANDS LÄN</t>
        </is>
      </c>
      <c r="E923" t="inlineStr">
        <is>
          <t>BERG</t>
        </is>
      </c>
      <c r="G923" t="n">
        <v>10.3</v>
      </c>
      <c r="H923" t="n">
        <v>0</v>
      </c>
      <c r="I923" t="n">
        <v>0</v>
      </c>
      <c r="J923" t="n">
        <v>0</v>
      </c>
      <c r="K923" t="n">
        <v>0</v>
      </c>
      <c r="L923" t="n">
        <v>0</v>
      </c>
      <c r="M923" t="n">
        <v>0</v>
      </c>
      <c r="N923" t="n">
        <v>0</v>
      </c>
      <c r="O923" t="n">
        <v>0</v>
      </c>
      <c r="P923" t="n">
        <v>0</v>
      </c>
      <c r="Q923" t="n">
        <v>0</v>
      </c>
      <c r="R923" s="2" t="inlineStr"/>
    </row>
    <row r="924" ht="15" customHeight="1">
      <c r="A924" t="inlineStr">
        <is>
          <t>A 22180-2025</t>
        </is>
      </c>
      <c r="B924" s="1" t="n">
        <v>45785</v>
      </c>
      <c r="C924" s="1" t="n">
        <v>46063</v>
      </c>
      <c r="D924" t="inlineStr">
        <is>
          <t>JÄMTLANDS LÄN</t>
        </is>
      </c>
      <c r="E924" t="inlineStr">
        <is>
          <t>BERG</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22478-2025</t>
        </is>
      </c>
      <c r="B925" s="1" t="n">
        <v>45786.6349537037</v>
      </c>
      <c r="C925" s="1" t="n">
        <v>46063</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46366-2024</t>
        </is>
      </c>
      <c r="B926" s="1" t="n">
        <v>45582.36490740741</v>
      </c>
      <c r="C926" s="1" t="n">
        <v>46063</v>
      </c>
      <c r="D926" t="inlineStr">
        <is>
          <t>JÄMTLANDS LÄN</t>
        </is>
      </c>
      <c r="E926" t="inlineStr">
        <is>
          <t>BERG</t>
        </is>
      </c>
      <c r="G926" t="n">
        <v>5</v>
      </c>
      <c r="H926" t="n">
        <v>0</v>
      </c>
      <c r="I926" t="n">
        <v>0</v>
      </c>
      <c r="J926" t="n">
        <v>0</v>
      </c>
      <c r="K926" t="n">
        <v>0</v>
      </c>
      <c r="L926" t="n">
        <v>0</v>
      </c>
      <c r="M926" t="n">
        <v>0</v>
      </c>
      <c r="N926" t="n">
        <v>0</v>
      </c>
      <c r="O926" t="n">
        <v>0</v>
      </c>
      <c r="P926" t="n">
        <v>0</v>
      </c>
      <c r="Q926" t="n">
        <v>0</v>
      </c>
      <c r="R926" s="2" t="inlineStr"/>
    </row>
    <row r="927" ht="15" customHeight="1">
      <c r="A927" t="inlineStr">
        <is>
          <t>A 22724-2025</t>
        </is>
      </c>
      <c r="B927" s="1" t="n">
        <v>45789.57361111111</v>
      </c>
      <c r="C927" s="1" t="n">
        <v>46063</v>
      </c>
      <c r="D927" t="inlineStr">
        <is>
          <t>JÄMTLANDS LÄN</t>
        </is>
      </c>
      <c r="E927" t="inlineStr">
        <is>
          <t>BERG</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22672-2025</t>
        </is>
      </c>
      <c r="B928" s="1" t="n">
        <v>45789.4903587963</v>
      </c>
      <c r="C928" s="1" t="n">
        <v>46063</v>
      </c>
      <c r="D928" t="inlineStr">
        <is>
          <t>JÄMTLANDS LÄN</t>
        </is>
      </c>
      <c r="E928" t="inlineStr">
        <is>
          <t>BERG</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22653-2025</t>
        </is>
      </c>
      <c r="B929" s="1" t="n">
        <v>45789.46931712963</v>
      </c>
      <c r="C929" s="1" t="n">
        <v>46063</v>
      </c>
      <c r="D929" t="inlineStr">
        <is>
          <t>JÄMTLANDS LÄN</t>
        </is>
      </c>
      <c r="E929" t="inlineStr">
        <is>
          <t>BERG</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22995-2025</t>
        </is>
      </c>
      <c r="B930" s="1" t="n">
        <v>45790.58265046297</v>
      </c>
      <c r="C930" s="1" t="n">
        <v>46063</v>
      </c>
      <c r="D930" t="inlineStr">
        <is>
          <t>JÄMTLANDS LÄN</t>
        </is>
      </c>
      <c r="E930" t="inlineStr">
        <is>
          <t>BERG</t>
        </is>
      </c>
      <c r="G930" t="n">
        <v>0.6</v>
      </c>
      <c r="H930" t="n">
        <v>0</v>
      </c>
      <c r="I930" t="n">
        <v>0</v>
      </c>
      <c r="J930" t="n">
        <v>0</v>
      </c>
      <c r="K930" t="n">
        <v>0</v>
      </c>
      <c r="L930" t="n">
        <v>0</v>
      </c>
      <c r="M930" t="n">
        <v>0</v>
      </c>
      <c r="N930" t="n">
        <v>0</v>
      </c>
      <c r="O930" t="n">
        <v>0</v>
      </c>
      <c r="P930" t="n">
        <v>0</v>
      </c>
      <c r="Q930" t="n">
        <v>0</v>
      </c>
      <c r="R930" s="2" t="inlineStr"/>
    </row>
    <row r="931" ht="15" customHeight="1">
      <c r="A931" t="inlineStr">
        <is>
          <t>A 23026-2025</t>
        </is>
      </c>
      <c r="B931" s="1" t="n">
        <v>45790.65690972222</v>
      </c>
      <c r="C931" s="1" t="n">
        <v>46063</v>
      </c>
      <c r="D931" t="inlineStr">
        <is>
          <t>JÄMTLANDS LÄN</t>
        </is>
      </c>
      <c r="E931" t="inlineStr">
        <is>
          <t>BERG</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22991-2025</t>
        </is>
      </c>
      <c r="B932" s="1" t="n">
        <v>45790.57836805555</v>
      </c>
      <c r="C932" s="1" t="n">
        <v>46063</v>
      </c>
      <c r="D932" t="inlineStr">
        <is>
          <t>JÄMTLANDS LÄN</t>
        </is>
      </c>
      <c r="E932" t="inlineStr">
        <is>
          <t>BERG</t>
        </is>
      </c>
      <c r="G932" t="n">
        <v>1.2</v>
      </c>
      <c r="H932" t="n">
        <v>0</v>
      </c>
      <c r="I932" t="n">
        <v>0</v>
      </c>
      <c r="J932" t="n">
        <v>0</v>
      </c>
      <c r="K932" t="n">
        <v>0</v>
      </c>
      <c r="L932" t="n">
        <v>0</v>
      </c>
      <c r="M932" t="n">
        <v>0</v>
      </c>
      <c r="N932" t="n">
        <v>0</v>
      </c>
      <c r="O932" t="n">
        <v>0</v>
      </c>
      <c r="P932" t="n">
        <v>0</v>
      </c>
      <c r="Q932" t="n">
        <v>0</v>
      </c>
      <c r="R932" s="2" t="inlineStr"/>
    </row>
    <row r="933" ht="15" customHeight="1">
      <c r="A933" t="inlineStr">
        <is>
          <t>A 34650-2024</t>
        </is>
      </c>
      <c r="B933" s="1" t="n">
        <v>45526.48329861111</v>
      </c>
      <c r="C933" s="1" t="n">
        <v>46063</v>
      </c>
      <c r="D933" t="inlineStr">
        <is>
          <t>JÄMTLANDS LÄN</t>
        </is>
      </c>
      <c r="E933" t="inlineStr">
        <is>
          <t>BERG</t>
        </is>
      </c>
      <c r="G933" t="n">
        <v>4.9</v>
      </c>
      <c r="H933" t="n">
        <v>0</v>
      </c>
      <c r="I933" t="n">
        <v>0</v>
      </c>
      <c r="J933" t="n">
        <v>0</v>
      </c>
      <c r="K933" t="n">
        <v>0</v>
      </c>
      <c r="L933" t="n">
        <v>0</v>
      </c>
      <c r="M933" t="n">
        <v>0</v>
      </c>
      <c r="N933" t="n">
        <v>0</v>
      </c>
      <c r="O933" t="n">
        <v>0</v>
      </c>
      <c r="P933" t="n">
        <v>0</v>
      </c>
      <c r="Q933" t="n">
        <v>0</v>
      </c>
      <c r="R933" s="2" t="inlineStr"/>
    </row>
    <row r="934" ht="15" customHeight="1">
      <c r="A934" t="inlineStr">
        <is>
          <t>A 23902-2025</t>
        </is>
      </c>
      <c r="B934" s="1" t="n">
        <v>45794.34447916667</v>
      </c>
      <c r="C934" s="1" t="n">
        <v>46063</v>
      </c>
      <c r="D934" t="inlineStr">
        <is>
          <t>JÄMTLANDS LÄN</t>
        </is>
      </c>
      <c r="E934" t="inlineStr">
        <is>
          <t>BERG</t>
        </is>
      </c>
      <c r="F934" t="inlineStr">
        <is>
          <t>SCA</t>
        </is>
      </c>
      <c r="G934" t="n">
        <v>14.3</v>
      </c>
      <c r="H934" t="n">
        <v>0</v>
      </c>
      <c r="I934" t="n">
        <v>0</v>
      </c>
      <c r="J934" t="n">
        <v>0</v>
      </c>
      <c r="K934" t="n">
        <v>0</v>
      </c>
      <c r="L934" t="n">
        <v>0</v>
      </c>
      <c r="M934" t="n">
        <v>0</v>
      </c>
      <c r="N934" t="n">
        <v>0</v>
      </c>
      <c r="O934" t="n">
        <v>0</v>
      </c>
      <c r="P934" t="n">
        <v>0</v>
      </c>
      <c r="Q934" t="n">
        <v>0</v>
      </c>
      <c r="R934" s="2" t="inlineStr"/>
    </row>
    <row r="935" ht="15" customHeight="1">
      <c r="A935" t="inlineStr">
        <is>
          <t>A 23913-2025</t>
        </is>
      </c>
      <c r="B935" s="1" t="n">
        <v>45795.34442129629</v>
      </c>
      <c r="C935" s="1" t="n">
        <v>46063</v>
      </c>
      <c r="D935" t="inlineStr">
        <is>
          <t>JÄMTLANDS LÄN</t>
        </is>
      </c>
      <c r="E935" t="inlineStr">
        <is>
          <t>BERG</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23900-2025</t>
        </is>
      </c>
      <c r="B936" s="1" t="n">
        <v>45794.34425925926</v>
      </c>
      <c r="C936" s="1" t="n">
        <v>46063</v>
      </c>
      <c r="D936" t="inlineStr">
        <is>
          <t>JÄMTLANDS LÄN</t>
        </is>
      </c>
      <c r="E936" t="inlineStr">
        <is>
          <t>BERG</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23915-2025</t>
        </is>
      </c>
      <c r="B937" s="1" t="n">
        <v>45795.3446412037</v>
      </c>
      <c r="C937" s="1" t="n">
        <v>46063</v>
      </c>
      <c r="D937" t="inlineStr">
        <is>
          <t>JÄMTLANDS LÄN</t>
        </is>
      </c>
      <c r="E937" t="inlineStr">
        <is>
          <t>BERG</t>
        </is>
      </c>
      <c r="F937" t="inlineStr">
        <is>
          <t>SCA</t>
        </is>
      </c>
      <c r="G937" t="n">
        <v>16.7</v>
      </c>
      <c r="H937" t="n">
        <v>0</v>
      </c>
      <c r="I937" t="n">
        <v>0</v>
      </c>
      <c r="J937" t="n">
        <v>0</v>
      </c>
      <c r="K937" t="n">
        <v>0</v>
      </c>
      <c r="L937" t="n">
        <v>0</v>
      </c>
      <c r="M937" t="n">
        <v>0</v>
      </c>
      <c r="N937" t="n">
        <v>0</v>
      </c>
      <c r="O937" t="n">
        <v>0</v>
      </c>
      <c r="P937" t="n">
        <v>0</v>
      </c>
      <c r="Q937" t="n">
        <v>0</v>
      </c>
      <c r="R937" s="2" t="inlineStr"/>
    </row>
    <row r="938" ht="15" customHeight="1">
      <c r="A938" t="inlineStr">
        <is>
          <t>A 23916-2025</t>
        </is>
      </c>
      <c r="B938" s="1" t="n">
        <v>45795.34472222222</v>
      </c>
      <c r="C938" s="1" t="n">
        <v>46063</v>
      </c>
      <c r="D938" t="inlineStr">
        <is>
          <t>JÄMTLANDS LÄN</t>
        </is>
      </c>
      <c r="E938" t="inlineStr">
        <is>
          <t>BERG</t>
        </is>
      </c>
      <c r="F938" t="inlineStr">
        <is>
          <t>SCA</t>
        </is>
      </c>
      <c r="G938" t="n">
        <v>3.7</v>
      </c>
      <c r="H938" t="n">
        <v>0</v>
      </c>
      <c r="I938" t="n">
        <v>0</v>
      </c>
      <c r="J938" t="n">
        <v>0</v>
      </c>
      <c r="K938" t="n">
        <v>0</v>
      </c>
      <c r="L938" t="n">
        <v>0</v>
      </c>
      <c r="M938" t="n">
        <v>0</v>
      </c>
      <c r="N938" t="n">
        <v>0</v>
      </c>
      <c r="O938" t="n">
        <v>0</v>
      </c>
      <c r="P938" t="n">
        <v>0</v>
      </c>
      <c r="Q938" t="n">
        <v>0</v>
      </c>
      <c r="R938" s="2" t="inlineStr"/>
    </row>
    <row r="939" ht="15" customHeight="1">
      <c r="A939" t="inlineStr">
        <is>
          <t>A 23920-2025</t>
        </is>
      </c>
      <c r="B939" s="1" t="n">
        <v>45795.34505787037</v>
      </c>
      <c r="C939" s="1" t="n">
        <v>46063</v>
      </c>
      <c r="D939" t="inlineStr">
        <is>
          <t>JÄMTLANDS LÄN</t>
        </is>
      </c>
      <c r="E939" t="inlineStr">
        <is>
          <t>BERG</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23901-2025</t>
        </is>
      </c>
      <c r="B940" s="1" t="n">
        <v>45794.34436342592</v>
      </c>
      <c r="C940" s="1" t="n">
        <v>46063</v>
      </c>
      <c r="D940" t="inlineStr">
        <is>
          <t>JÄMTLANDS LÄN</t>
        </is>
      </c>
      <c r="E940" t="inlineStr">
        <is>
          <t>BERG</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23919-2025</t>
        </is>
      </c>
      <c r="B941" s="1" t="n">
        <v>45795.34497685185</v>
      </c>
      <c r="C941" s="1" t="n">
        <v>46063</v>
      </c>
      <c r="D941" t="inlineStr">
        <is>
          <t>JÄMTLANDS LÄN</t>
        </is>
      </c>
      <c r="E941" t="inlineStr">
        <is>
          <t>BERG</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24060-2025</t>
        </is>
      </c>
      <c r="B942" s="1" t="n">
        <v>45796.5216087963</v>
      </c>
      <c r="C942" s="1" t="n">
        <v>46063</v>
      </c>
      <c r="D942" t="inlineStr">
        <is>
          <t>JÄMTLANDS LÄN</t>
        </is>
      </c>
      <c r="E942" t="inlineStr">
        <is>
          <t>BERG</t>
        </is>
      </c>
      <c r="G942" t="n">
        <v>4.7</v>
      </c>
      <c r="H942" t="n">
        <v>0</v>
      </c>
      <c r="I942" t="n">
        <v>0</v>
      </c>
      <c r="J942" t="n">
        <v>0</v>
      </c>
      <c r="K942" t="n">
        <v>0</v>
      </c>
      <c r="L942" t="n">
        <v>0</v>
      </c>
      <c r="M942" t="n">
        <v>0</v>
      </c>
      <c r="N942" t="n">
        <v>0</v>
      </c>
      <c r="O942" t="n">
        <v>0</v>
      </c>
      <c r="P942" t="n">
        <v>0</v>
      </c>
      <c r="Q942" t="n">
        <v>0</v>
      </c>
      <c r="R942" s="2" t="inlineStr"/>
    </row>
    <row r="943" ht="15" customHeight="1">
      <c r="A943" t="inlineStr">
        <is>
          <t>A 23766-2025</t>
        </is>
      </c>
      <c r="B943" s="1" t="n">
        <v>45793.46954861111</v>
      </c>
      <c r="C943" s="1" t="n">
        <v>46063</v>
      </c>
      <c r="D943" t="inlineStr">
        <is>
          <t>JÄMTLANDS LÄN</t>
        </is>
      </c>
      <c r="E943" t="inlineStr">
        <is>
          <t>BERG</t>
        </is>
      </c>
      <c r="F943" t="inlineStr">
        <is>
          <t>Sveaskog</t>
        </is>
      </c>
      <c r="G943" t="n">
        <v>3.6</v>
      </c>
      <c r="H943" t="n">
        <v>0</v>
      </c>
      <c r="I943" t="n">
        <v>0</v>
      </c>
      <c r="J943" t="n">
        <v>0</v>
      </c>
      <c r="K943" t="n">
        <v>0</v>
      </c>
      <c r="L943" t="n">
        <v>0</v>
      </c>
      <c r="M943" t="n">
        <v>0</v>
      </c>
      <c r="N943" t="n">
        <v>0</v>
      </c>
      <c r="O943" t="n">
        <v>0</v>
      </c>
      <c r="P943" t="n">
        <v>0</v>
      </c>
      <c r="Q943" t="n">
        <v>0</v>
      </c>
      <c r="R943" s="2" t="inlineStr"/>
    </row>
    <row r="944" ht="15" customHeight="1">
      <c r="A944" t="inlineStr">
        <is>
          <t>A 24360-2025</t>
        </is>
      </c>
      <c r="B944" s="1" t="n">
        <v>45797.59502314815</v>
      </c>
      <c r="C944" s="1" t="n">
        <v>46063</v>
      </c>
      <c r="D944" t="inlineStr">
        <is>
          <t>JÄMTLANDS LÄN</t>
        </is>
      </c>
      <c r="E944" t="inlineStr">
        <is>
          <t>BERG</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24324-2025</t>
        </is>
      </c>
      <c r="B945" s="1" t="n">
        <v>45797.56049768518</v>
      </c>
      <c r="C945" s="1" t="n">
        <v>46063</v>
      </c>
      <c r="D945" t="inlineStr">
        <is>
          <t>JÄMTLANDS LÄN</t>
        </is>
      </c>
      <c r="E945" t="inlineStr">
        <is>
          <t>BERG</t>
        </is>
      </c>
      <c r="G945" t="n">
        <v>1.6</v>
      </c>
      <c r="H945" t="n">
        <v>0</v>
      </c>
      <c r="I945" t="n">
        <v>0</v>
      </c>
      <c r="J945" t="n">
        <v>0</v>
      </c>
      <c r="K945" t="n">
        <v>0</v>
      </c>
      <c r="L945" t="n">
        <v>0</v>
      </c>
      <c r="M945" t="n">
        <v>0</v>
      </c>
      <c r="N945" t="n">
        <v>0</v>
      </c>
      <c r="O945" t="n">
        <v>0</v>
      </c>
      <c r="P945" t="n">
        <v>0</v>
      </c>
      <c r="Q945" t="n">
        <v>0</v>
      </c>
      <c r="R945" s="2" t="inlineStr"/>
    </row>
    <row r="946" ht="15" customHeight="1">
      <c r="A946" t="inlineStr">
        <is>
          <t>A 24390-2025</t>
        </is>
      </c>
      <c r="B946" s="1" t="n">
        <v>45797.63576388889</v>
      </c>
      <c r="C946" s="1" t="n">
        <v>46063</v>
      </c>
      <c r="D946" t="inlineStr">
        <is>
          <t>JÄMTLANDS LÄN</t>
        </is>
      </c>
      <c r="E946" t="inlineStr">
        <is>
          <t>BERG</t>
        </is>
      </c>
      <c r="F946" t="inlineStr">
        <is>
          <t>SCA</t>
        </is>
      </c>
      <c r="G946" t="n">
        <v>4.7</v>
      </c>
      <c r="H946" t="n">
        <v>0</v>
      </c>
      <c r="I946" t="n">
        <v>0</v>
      </c>
      <c r="J946" t="n">
        <v>0</v>
      </c>
      <c r="K946" t="n">
        <v>0</v>
      </c>
      <c r="L946" t="n">
        <v>0</v>
      </c>
      <c r="M946" t="n">
        <v>0</v>
      </c>
      <c r="N946" t="n">
        <v>0</v>
      </c>
      <c r="O946" t="n">
        <v>0</v>
      </c>
      <c r="P946" t="n">
        <v>0</v>
      </c>
      <c r="Q946" t="n">
        <v>0</v>
      </c>
      <c r="R946" s="2" t="inlineStr"/>
    </row>
    <row r="947" ht="15" customHeight="1">
      <c r="A947" t="inlineStr">
        <is>
          <t>A 24442-2025</t>
        </is>
      </c>
      <c r="B947" s="1" t="n">
        <v>45797.96236111111</v>
      </c>
      <c r="C947" s="1" t="n">
        <v>46063</v>
      </c>
      <c r="D947" t="inlineStr">
        <is>
          <t>JÄMTLANDS LÄN</t>
        </is>
      </c>
      <c r="E947" t="inlineStr">
        <is>
          <t>BERG</t>
        </is>
      </c>
      <c r="G947" t="n">
        <v>9</v>
      </c>
      <c r="H947" t="n">
        <v>0</v>
      </c>
      <c r="I947" t="n">
        <v>0</v>
      </c>
      <c r="J947" t="n">
        <v>0</v>
      </c>
      <c r="K947" t="n">
        <v>0</v>
      </c>
      <c r="L947" t="n">
        <v>0</v>
      </c>
      <c r="M947" t="n">
        <v>0</v>
      </c>
      <c r="N947" t="n">
        <v>0</v>
      </c>
      <c r="O947" t="n">
        <v>0</v>
      </c>
      <c r="P947" t="n">
        <v>0</v>
      </c>
      <c r="Q947" t="n">
        <v>0</v>
      </c>
      <c r="R947" s="2" t="inlineStr"/>
    </row>
    <row r="948" ht="15" customHeight="1">
      <c r="A948" t="inlineStr">
        <is>
          <t>A 21508-2024</t>
        </is>
      </c>
      <c r="B948" s="1" t="n">
        <v>45441.56905092593</v>
      </c>
      <c r="C948" s="1" t="n">
        <v>46063</v>
      </c>
      <c r="D948" t="inlineStr">
        <is>
          <t>JÄMTLANDS LÄN</t>
        </is>
      </c>
      <c r="E948" t="inlineStr">
        <is>
          <t>BERG</t>
        </is>
      </c>
      <c r="G948" t="n">
        <v>3.2</v>
      </c>
      <c r="H948" t="n">
        <v>0</v>
      </c>
      <c r="I948" t="n">
        <v>0</v>
      </c>
      <c r="J948" t="n">
        <v>0</v>
      </c>
      <c r="K948" t="n">
        <v>0</v>
      </c>
      <c r="L948" t="n">
        <v>0</v>
      </c>
      <c r="M948" t="n">
        <v>0</v>
      </c>
      <c r="N948" t="n">
        <v>0</v>
      </c>
      <c r="O948" t="n">
        <v>0</v>
      </c>
      <c r="P948" t="n">
        <v>0</v>
      </c>
      <c r="Q948" t="n">
        <v>0</v>
      </c>
      <c r="R948" s="2" t="inlineStr"/>
    </row>
    <row r="949" ht="15" customHeight="1">
      <c r="A949" t="inlineStr">
        <is>
          <t>A 29378-2024</t>
        </is>
      </c>
      <c r="B949" s="1" t="n">
        <v>45483.59328703704</v>
      </c>
      <c r="C949" s="1" t="n">
        <v>46063</v>
      </c>
      <c r="D949" t="inlineStr">
        <is>
          <t>JÄMTLANDS LÄN</t>
        </is>
      </c>
      <c r="E949" t="inlineStr">
        <is>
          <t>BERG</t>
        </is>
      </c>
      <c r="G949" t="n">
        <v>5.6</v>
      </c>
      <c r="H949" t="n">
        <v>0</v>
      </c>
      <c r="I949" t="n">
        <v>0</v>
      </c>
      <c r="J949" t="n">
        <v>0</v>
      </c>
      <c r="K949" t="n">
        <v>0</v>
      </c>
      <c r="L949" t="n">
        <v>0</v>
      </c>
      <c r="M949" t="n">
        <v>0</v>
      </c>
      <c r="N949" t="n">
        <v>0</v>
      </c>
      <c r="O949" t="n">
        <v>0</v>
      </c>
      <c r="P949" t="n">
        <v>0</v>
      </c>
      <c r="Q949" t="n">
        <v>0</v>
      </c>
      <c r="R949" s="2" t="inlineStr"/>
    </row>
    <row r="950" ht="15" customHeight="1">
      <c r="A950" t="inlineStr">
        <is>
          <t>A 24786-2025</t>
        </is>
      </c>
      <c r="B950" s="1" t="n">
        <v>45799.42777777778</v>
      </c>
      <c r="C950" s="1" t="n">
        <v>46063</v>
      </c>
      <c r="D950" t="inlineStr">
        <is>
          <t>JÄMTLANDS LÄN</t>
        </is>
      </c>
      <c r="E950" t="inlineStr">
        <is>
          <t>BERG</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24849-2025</t>
        </is>
      </c>
      <c r="B951" s="1" t="n">
        <v>45799.46949074074</v>
      </c>
      <c r="C951" s="1" t="n">
        <v>46063</v>
      </c>
      <c r="D951" t="inlineStr">
        <is>
          <t>JÄMTLANDS LÄN</t>
        </is>
      </c>
      <c r="E951" t="inlineStr">
        <is>
          <t>BERG</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24869-2025</t>
        </is>
      </c>
      <c r="B952" s="1" t="n">
        <v>45799.48994212963</v>
      </c>
      <c r="C952" s="1" t="n">
        <v>46063</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60409-2023</t>
        </is>
      </c>
      <c r="B953" s="1" t="n">
        <v>45259.47972222222</v>
      </c>
      <c r="C953" s="1" t="n">
        <v>46063</v>
      </c>
      <c r="D953" t="inlineStr">
        <is>
          <t>JÄMTLANDS LÄN</t>
        </is>
      </c>
      <c r="E953" t="inlineStr">
        <is>
          <t>BERG</t>
        </is>
      </c>
      <c r="G953" t="n">
        <v>5.8</v>
      </c>
      <c r="H953" t="n">
        <v>0</v>
      </c>
      <c r="I953" t="n">
        <v>0</v>
      </c>
      <c r="J953" t="n">
        <v>0</v>
      </c>
      <c r="K953" t="n">
        <v>0</v>
      </c>
      <c r="L953" t="n">
        <v>0</v>
      </c>
      <c r="M953" t="n">
        <v>0</v>
      </c>
      <c r="N953" t="n">
        <v>0</v>
      </c>
      <c r="O953" t="n">
        <v>0</v>
      </c>
      <c r="P953" t="n">
        <v>0</v>
      </c>
      <c r="Q953" t="n">
        <v>0</v>
      </c>
      <c r="R953" s="2" t="inlineStr"/>
    </row>
    <row r="954" ht="15" customHeight="1">
      <c r="A954" t="inlineStr">
        <is>
          <t>A 24954-2025</t>
        </is>
      </c>
      <c r="B954" s="1" t="n">
        <v>45799.57385416667</v>
      </c>
      <c r="C954" s="1" t="n">
        <v>46063</v>
      </c>
      <c r="D954" t="inlineStr">
        <is>
          <t>JÄMTLANDS LÄN</t>
        </is>
      </c>
      <c r="E954" t="inlineStr">
        <is>
          <t>BERG</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64709-2021</t>
        </is>
      </c>
      <c r="B955" s="1" t="n">
        <v>44512</v>
      </c>
      <c r="C955" s="1" t="n">
        <v>46063</v>
      </c>
      <c r="D955" t="inlineStr">
        <is>
          <t>JÄMTLANDS LÄN</t>
        </is>
      </c>
      <c r="E955" t="inlineStr">
        <is>
          <t>BERG</t>
        </is>
      </c>
      <c r="G955" t="n">
        <v>1.1</v>
      </c>
      <c r="H955" t="n">
        <v>0</v>
      </c>
      <c r="I955" t="n">
        <v>0</v>
      </c>
      <c r="J955" t="n">
        <v>0</v>
      </c>
      <c r="K955" t="n">
        <v>0</v>
      </c>
      <c r="L955" t="n">
        <v>0</v>
      </c>
      <c r="M955" t="n">
        <v>0</v>
      </c>
      <c r="N955" t="n">
        <v>0</v>
      </c>
      <c r="O955" t="n">
        <v>0</v>
      </c>
      <c r="P955" t="n">
        <v>0</v>
      </c>
      <c r="Q955" t="n">
        <v>0</v>
      </c>
      <c r="R955" s="2" t="inlineStr"/>
    </row>
    <row r="956" ht="15" customHeight="1">
      <c r="A956" t="inlineStr">
        <is>
          <t>A 25938-2025</t>
        </is>
      </c>
      <c r="B956" s="1" t="n">
        <v>45804.59414351852</v>
      </c>
      <c r="C956" s="1" t="n">
        <v>46063</v>
      </c>
      <c r="D956" t="inlineStr">
        <is>
          <t>JÄMTLANDS LÄN</t>
        </is>
      </c>
      <c r="E956" t="inlineStr">
        <is>
          <t>BERG</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25960-2025</t>
        </is>
      </c>
      <c r="B957" s="1" t="n">
        <v>45804.60972222222</v>
      </c>
      <c r="C957" s="1" t="n">
        <v>46063</v>
      </c>
      <c r="D957" t="inlineStr">
        <is>
          <t>JÄMTLANDS LÄN</t>
        </is>
      </c>
      <c r="E957" t="inlineStr">
        <is>
          <t>BERG</t>
        </is>
      </c>
      <c r="G957" t="n">
        <v>7.3</v>
      </c>
      <c r="H957" t="n">
        <v>0</v>
      </c>
      <c r="I957" t="n">
        <v>0</v>
      </c>
      <c r="J957" t="n">
        <v>0</v>
      </c>
      <c r="K957" t="n">
        <v>0</v>
      </c>
      <c r="L957" t="n">
        <v>0</v>
      </c>
      <c r="M957" t="n">
        <v>0</v>
      </c>
      <c r="N957" t="n">
        <v>0</v>
      </c>
      <c r="O957" t="n">
        <v>0</v>
      </c>
      <c r="P957" t="n">
        <v>0</v>
      </c>
      <c r="Q957" t="n">
        <v>0</v>
      </c>
      <c r="R957" s="2" t="inlineStr"/>
    </row>
    <row r="958" ht="15" customHeight="1">
      <c r="A958" t="inlineStr">
        <is>
          <t>A 25976-2025</t>
        </is>
      </c>
      <c r="B958" s="1" t="n">
        <v>45804.63596064815</v>
      </c>
      <c r="C958" s="1" t="n">
        <v>46063</v>
      </c>
      <c r="D958" t="inlineStr">
        <is>
          <t>JÄMTLANDS LÄN</t>
        </is>
      </c>
      <c r="E958" t="inlineStr">
        <is>
          <t>BERG</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25979-2025</t>
        </is>
      </c>
      <c r="B959" s="1" t="n">
        <v>45804.63642361111</v>
      </c>
      <c r="C959" s="1" t="n">
        <v>46063</v>
      </c>
      <c r="D959" t="inlineStr">
        <is>
          <t>JÄMTLANDS LÄN</t>
        </is>
      </c>
      <c r="E959" t="inlineStr">
        <is>
          <t>BERG</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25885-2025</t>
        </is>
      </c>
      <c r="B960" s="1" t="n">
        <v>45804.51075231482</v>
      </c>
      <c r="C960" s="1" t="n">
        <v>46063</v>
      </c>
      <c r="D960" t="inlineStr">
        <is>
          <t>JÄMTLANDS LÄN</t>
        </is>
      </c>
      <c r="E960" t="inlineStr">
        <is>
          <t>BERG</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25887-2025</t>
        </is>
      </c>
      <c r="B961" s="1" t="n">
        <v>45804.51104166666</v>
      </c>
      <c r="C961" s="1" t="n">
        <v>46063</v>
      </c>
      <c r="D961" t="inlineStr">
        <is>
          <t>JÄMTLANDS LÄN</t>
        </is>
      </c>
      <c r="E961" t="inlineStr">
        <is>
          <t>BERG</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25886-2025</t>
        </is>
      </c>
      <c r="B962" s="1" t="n">
        <v>45804.51092592593</v>
      </c>
      <c r="C962" s="1" t="n">
        <v>46063</v>
      </c>
      <c r="D962" t="inlineStr">
        <is>
          <t>JÄMTLANDS LÄN</t>
        </is>
      </c>
      <c r="E962" t="inlineStr">
        <is>
          <t>BERG</t>
        </is>
      </c>
      <c r="F962" t="inlineStr">
        <is>
          <t>SCA</t>
        </is>
      </c>
      <c r="G962" t="n">
        <v>18.3</v>
      </c>
      <c r="H962" t="n">
        <v>0</v>
      </c>
      <c r="I962" t="n">
        <v>0</v>
      </c>
      <c r="J962" t="n">
        <v>0</v>
      </c>
      <c r="K962" t="n">
        <v>0</v>
      </c>
      <c r="L962" t="n">
        <v>0</v>
      </c>
      <c r="M962" t="n">
        <v>0</v>
      </c>
      <c r="N962" t="n">
        <v>0</v>
      </c>
      <c r="O962" t="n">
        <v>0</v>
      </c>
      <c r="P962" t="n">
        <v>0</v>
      </c>
      <c r="Q962" t="n">
        <v>0</v>
      </c>
      <c r="R962" s="2" t="inlineStr"/>
    </row>
    <row r="963" ht="15" customHeight="1">
      <c r="A963" t="inlineStr">
        <is>
          <t>A 25951-2025</t>
        </is>
      </c>
      <c r="B963" s="1" t="n">
        <v>45804.5984375</v>
      </c>
      <c r="C963" s="1" t="n">
        <v>46063</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25980-2025</t>
        </is>
      </c>
      <c r="B964" s="1" t="n">
        <v>45804.63658564815</v>
      </c>
      <c r="C964" s="1" t="n">
        <v>46063</v>
      </c>
      <c r="D964" t="inlineStr">
        <is>
          <t>JÄMTLANDS LÄN</t>
        </is>
      </c>
      <c r="E964" t="inlineStr">
        <is>
          <t>BERG</t>
        </is>
      </c>
      <c r="F964" t="inlineStr">
        <is>
          <t>SCA</t>
        </is>
      </c>
      <c r="G964" t="n">
        <v>8.9</v>
      </c>
      <c r="H964" t="n">
        <v>0</v>
      </c>
      <c r="I964" t="n">
        <v>0</v>
      </c>
      <c r="J964" t="n">
        <v>0</v>
      </c>
      <c r="K964" t="n">
        <v>0</v>
      </c>
      <c r="L964" t="n">
        <v>0</v>
      </c>
      <c r="M964" t="n">
        <v>0</v>
      </c>
      <c r="N964" t="n">
        <v>0</v>
      </c>
      <c r="O964" t="n">
        <v>0</v>
      </c>
      <c r="P964" t="n">
        <v>0</v>
      </c>
      <c r="Q964" t="n">
        <v>0</v>
      </c>
      <c r="R964" s="2" t="inlineStr"/>
    </row>
    <row r="965" ht="15" customHeight="1">
      <c r="A965" t="inlineStr">
        <is>
          <t>A 25441-2025</t>
        </is>
      </c>
      <c r="B965" s="1" t="n">
        <v>45801.34476851852</v>
      </c>
      <c r="C965" s="1" t="n">
        <v>46063</v>
      </c>
      <c r="D965" t="inlineStr">
        <is>
          <t>JÄMTLANDS LÄN</t>
        </is>
      </c>
      <c r="E965" t="inlineStr">
        <is>
          <t>BERG</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25454-2025</t>
        </is>
      </c>
      <c r="B966" s="1" t="n">
        <v>45802.34460648148</v>
      </c>
      <c r="C966" s="1" t="n">
        <v>46063</v>
      </c>
      <c r="D966" t="inlineStr">
        <is>
          <t>JÄMTLANDS LÄN</t>
        </is>
      </c>
      <c r="E966" t="inlineStr">
        <is>
          <t>BERG</t>
        </is>
      </c>
      <c r="F966" t="inlineStr">
        <is>
          <t>SCA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26013-2025</t>
        </is>
      </c>
      <c r="B967" s="1" t="n">
        <v>45804.67760416667</v>
      </c>
      <c r="C967" s="1" t="n">
        <v>46063</v>
      </c>
      <c r="D967" t="inlineStr">
        <is>
          <t>JÄMTLANDS LÄN</t>
        </is>
      </c>
      <c r="E967" t="inlineStr">
        <is>
          <t>BERG</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25452-2025</t>
        </is>
      </c>
      <c r="B968" s="1" t="n">
        <v>45802.34440972222</v>
      </c>
      <c r="C968" s="1" t="n">
        <v>46063</v>
      </c>
      <c r="D968" t="inlineStr">
        <is>
          <t>JÄMTLANDS LÄN</t>
        </is>
      </c>
      <c r="E968" t="inlineStr">
        <is>
          <t>BERG</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25453-2025</t>
        </is>
      </c>
      <c r="B969" s="1" t="n">
        <v>45802.34451388889</v>
      </c>
      <c r="C969" s="1" t="n">
        <v>46063</v>
      </c>
      <c r="D969" t="inlineStr">
        <is>
          <t>JÄMTLANDS LÄN</t>
        </is>
      </c>
      <c r="E969" t="inlineStr">
        <is>
          <t>BERG</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17266-2025</t>
        </is>
      </c>
      <c r="B970" s="1" t="n">
        <v>45756</v>
      </c>
      <c r="C970" s="1" t="n">
        <v>46063</v>
      </c>
      <c r="D970" t="inlineStr">
        <is>
          <t>JÄMTLANDS LÄN</t>
        </is>
      </c>
      <c r="E970" t="inlineStr">
        <is>
          <t>BERG</t>
        </is>
      </c>
      <c r="G970" t="n">
        <v>20.1</v>
      </c>
      <c r="H970" t="n">
        <v>0</v>
      </c>
      <c r="I970" t="n">
        <v>0</v>
      </c>
      <c r="J970" t="n">
        <v>0</v>
      </c>
      <c r="K970" t="n">
        <v>0</v>
      </c>
      <c r="L970" t="n">
        <v>0</v>
      </c>
      <c r="M970" t="n">
        <v>0</v>
      </c>
      <c r="N970" t="n">
        <v>0</v>
      </c>
      <c r="O970" t="n">
        <v>0</v>
      </c>
      <c r="P970" t="n">
        <v>0</v>
      </c>
      <c r="Q970" t="n">
        <v>0</v>
      </c>
      <c r="R970" s="2" t="inlineStr"/>
    </row>
    <row r="971" ht="15" customHeight="1">
      <c r="A971" t="inlineStr">
        <is>
          <t>A 26378-2025</t>
        </is>
      </c>
      <c r="B971" s="1" t="n">
        <v>45806.48989583334</v>
      </c>
      <c r="C971" s="1" t="n">
        <v>46063</v>
      </c>
      <c r="D971" t="inlineStr">
        <is>
          <t>JÄMTLANDS LÄN</t>
        </is>
      </c>
      <c r="E971" t="inlineStr">
        <is>
          <t>BERG</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26275-2025</t>
        </is>
      </c>
      <c r="B972" s="1" t="n">
        <v>45805.60230324074</v>
      </c>
      <c r="C972" s="1" t="n">
        <v>46063</v>
      </c>
      <c r="D972" t="inlineStr">
        <is>
          <t>JÄMTLANDS LÄN</t>
        </is>
      </c>
      <c r="E972" t="inlineStr">
        <is>
          <t>BERG</t>
        </is>
      </c>
      <c r="G972" t="n">
        <v>10.2</v>
      </c>
      <c r="H972" t="n">
        <v>0</v>
      </c>
      <c r="I972" t="n">
        <v>0</v>
      </c>
      <c r="J972" t="n">
        <v>0</v>
      </c>
      <c r="K972" t="n">
        <v>0</v>
      </c>
      <c r="L972" t="n">
        <v>0</v>
      </c>
      <c r="M972" t="n">
        <v>0</v>
      </c>
      <c r="N972" t="n">
        <v>0</v>
      </c>
      <c r="O972" t="n">
        <v>0</v>
      </c>
      <c r="P972" t="n">
        <v>0</v>
      </c>
      <c r="Q972" t="n">
        <v>0</v>
      </c>
      <c r="R972" s="2" t="inlineStr"/>
    </row>
    <row r="973" ht="15" customHeight="1">
      <c r="A973" t="inlineStr">
        <is>
          <t>A 26053-2025</t>
        </is>
      </c>
      <c r="B973" s="1" t="n">
        <v>45804.75445601852</v>
      </c>
      <c r="C973" s="1" t="n">
        <v>46063</v>
      </c>
      <c r="D973" t="inlineStr">
        <is>
          <t>JÄMTLANDS LÄN</t>
        </is>
      </c>
      <c r="E973" t="inlineStr">
        <is>
          <t>BERG</t>
        </is>
      </c>
      <c r="G973" t="n">
        <v>6</v>
      </c>
      <c r="H973" t="n">
        <v>0</v>
      </c>
      <c r="I973" t="n">
        <v>0</v>
      </c>
      <c r="J973" t="n">
        <v>0</v>
      </c>
      <c r="K973" t="n">
        <v>0</v>
      </c>
      <c r="L973" t="n">
        <v>0</v>
      </c>
      <c r="M973" t="n">
        <v>0</v>
      </c>
      <c r="N973" t="n">
        <v>0</v>
      </c>
      <c r="O973" t="n">
        <v>0</v>
      </c>
      <c r="P973" t="n">
        <v>0</v>
      </c>
      <c r="Q973" t="n">
        <v>0</v>
      </c>
      <c r="R973" s="2" t="inlineStr"/>
    </row>
    <row r="974" ht="15" customHeight="1">
      <c r="A974" t="inlineStr">
        <is>
          <t>A 26374-2025</t>
        </is>
      </c>
      <c r="B974" s="1" t="n">
        <v>45806.42745370371</v>
      </c>
      <c r="C974" s="1" t="n">
        <v>46063</v>
      </c>
      <c r="D974" t="inlineStr">
        <is>
          <t>JÄMTLANDS LÄN</t>
        </is>
      </c>
      <c r="E974" t="inlineStr">
        <is>
          <t>BERG</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26186-2025</t>
        </is>
      </c>
      <c r="B975" s="1" t="n">
        <v>45805.47840277778</v>
      </c>
      <c r="C975" s="1" t="n">
        <v>46063</v>
      </c>
      <c r="D975" t="inlineStr">
        <is>
          <t>JÄMTLANDS LÄN</t>
        </is>
      </c>
      <c r="E975" t="inlineStr">
        <is>
          <t>BERG</t>
        </is>
      </c>
      <c r="G975" t="n">
        <v>5.3</v>
      </c>
      <c r="H975" t="n">
        <v>0</v>
      </c>
      <c r="I975" t="n">
        <v>0</v>
      </c>
      <c r="J975" t="n">
        <v>0</v>
      </c>
      <c r="K975" t="n">
        <v>0</v>
      </c>
      <c r="L975" t="n">
        <v>0</v>
      </c>
      <c r="M975" t="n">
        <v>0</v>
      </c>
      <c r="N975" t="n">
        <v>0</v>
      </c>
      <c r="O975" t="n">
        <v>0</v>
      </c>
      <c r="P975" t="n">
        <v>0</v>
      </c>
      <c r="Q975" t="n">
        <v>0</v>
      </c>
      <c r="R975" s="2" t="inlineStr"/>
    </row>
    <row r="976" ht="15" customHeight="1">
      <c r="A976" t="inlineStr">
        <is>
          <t>A 33962-2024</t>
        </is>
      </c>
      <c r="B976" s="1" t="n">
        <v>45523.48854166667</v>
      </c>
      <c r="C976" s="1" t="n">
        <v>46063</v>
      </c>
      <c r="D976" t="inlineStr">
        <is>
          <t>JÄMTLANDS LÄN</t>
        </is>
      </c>
      <c r="E976" t="inlineStr">
        <is>
          <t>BERG</t>
        </is>
      </c>
      <c r="G976" t="n">
        <v>2.2</v>
      </c>
      <c r="H976" t="n">
        <v>0</v>
      </c>
      <c r="I976" t="n">
        <v>0</v>
      </c>
      <c r="J976" t="n">
        <v>0</v>
      </c>
      <c r="K976" t="n">
        <v>0</v>
      </c>
      <c r="L976" t="n">
        <v>0</v>
      </c>
      <c r="M976" t="n">
        <v>0</v>
      </c>
      <c r="N976" t="n">
        <v>0</v>
      </c>
      <c r="O976" t="n">
        <v>0</v>
      </c>
      <c r="P976" t="n">
        <v>0</v>
      </c>
      <c r="Q976" t="n">
        <v>0</v>
      </c>
      <c r="R976" s="2" t="inlineStr"/>
    </row>
    <row r="977" ht="15" customHeight="1">
      <c r="A977" t="inlineStr">
        <is>
          <t>A 26743-2025</t>
        </is>
      </c>
      <c r="B977" s="1" t="n">
        <v>45810.53163194445</v>
      </c>
      <c r="C977" s="1" t="n">
        <v>46063</v>
      </c>
      <c r="D977" t="inlineStr">
        <is>
          <t>JÄMTLANDS LÄN</t>
        </is>
      </c>
      <c r="E977" t="inlineStr">
        <is>
          <t>BERG</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27312-2025</t>
        </is>
      </c>
      <c r="B978" s="1" t="n">
        <v>45812.58002314815</v>
      </c>
      <c r="C978" s="1" t="n">
        <v>46063</v>
      </c>
      <c r="D978" t="inlineStr">
        <is>
          <t>JÄMTLANDS LÄN</t>
        </is>
      </c>
      <c r="E978" t="inlineStr">
        <is>
          <t>BERG</t>
        </is>
      </c>
      <c r="G978" t="n">
        <v>6</v>
      </c>
      <c r="H978" t="n">
        <v>0</v>
      </c>
      <c r="I978" t="n">
        <v>0</v>
      </c>
      <c r="J978" t="n">
        <v>0</v>
      </c>
      <c r="K978" t="n">
        <v>0</v>
      </c>
      <c r="L978" t="n">
        <v>0</v>
      </c>
      <c r="M978" t="n">
        <v>0</v>
      </c>
      <c r="N978" t="n">
        <v>0</v>
      </c>
      <c r="O978" t="n">
        <v>0</v>
      </c>
      <c r="P978" t="n">
        <v>0</v>
      </c>
      <c r="Q978" t="n">
        <v>0</v>
      </c>
      <c r="R978" s="2" t="inlineStr"/>
    </row>
    <row r="979" ht="15" customHeight="1">
      <c r="A979" t="inlineStr">
        <is>
          <t>A 27317-2025</t>
        </is>
      </c>
      <c r="B979" s="1" t="n">
        <v>45812.59011574074</v>
      </c>
      <c r="C979" s="1" t="n">
        <v>46063</v>
      </c>
      <c r="D979" t="inlineStr">
        <is>
          <t>JÄMTLANDS LÄN</t>
        </is>
      </c>
      <c r="E979" t="inlineStr">
        <is>
          <t>BERG</t>
        </is>
      </c>
      <c r="G979" t="n">
        <v>6.2</v>
      </c>
      <c r="H979" t="n">
        <v>0</v>
      </c>
      <c r="I979" t="n">
        <v>0</v>
      </c>
      <c r="J979" t="n">
        <v>0</v>
      </c>
      <c r="K979" t="n">
        <v>0</v>
      </c>
      <c r="L979" t="n">
        <v>0</v>
      </c>
      <c r="M979" t="n">
        <v>0</v>
      </c>
      <c r="N979" t="n">
        <v>0</v>
      </c>
      <c r="O979" t="n">
        <v>0</v>
      </c>
      <c r="P979" t="n">
        <v>0</v>
      </c>
      <c r="Q979" t="n">
        <v>0</v>
      </c>
      <c r="R979" s="2" t="inlineStr"/>
    </row>
    <row r="980" ht="15" customHeight="1">
      <c r="A980" t="inlineStr">
        <is>
          <t>A 27063-2025</t>
        </is>
      </c>
      <c r="B980" s="1" t="n">
        <v>45811.63626157407</v>
      </c>
      <c r="C980" s="1" t="n">
        <v>46063</v>
      </c>
      <c r="D980" t="inlineStr">
        <is>
          <t>JÄMTLANDS LÄN</t>
        </is>
      </c>
      <c r="E980" t="inlineStr">
        <is>
          <t>BERG</t>
        </is>
      </c>
      <c r="F980" t="inlineStr">
        <is>
          <t>SCA</t>
        </is>
      </c>
      <c r="G980" t="n">
        <v>18.9</v>
      </c>
      <c r="H980" t="n">
        <v>0</v>
      </c>
      <c r="I980" t="n">
        <v>0</v>
      </c>
      <c r="J980" t="n">
        <v>0</v>
      </c>
      <c r="K980" t="n">
        <v>0</v>
      </c>
      <c r="L980" t="n">
        <v>0</v>
      </c>
      <c r="M980" t="n">
        <v>0</v>
      </c>
      <c r="N980" t="n">
        <v>0</v>
      </c>
      <c r="O980" t="n">
        <v>0</v>
      </c>
      <c r="P980" t="n">
        <v>0</v>
      </c>
      <c r="Q980" t="n">
        <v>0</v>
      </c>
      <c r="R980" s="2" t="inlineStr"/>
    </row>
    <row r="981" ht="15" customHeight="1">
      <c r="A981" t="inlineStr">
        <is>
          <t>A 27044-2025</t>
        </is>
      </c>
      <c r="B981" s="1" t="n">
        <v>45811.61496527777</v>
      </c>
      <c r="C981" s="1" t="n">
        <v>46063</v>
      </c>
      <c r="D981" t="inlineStr">
        <is>
          <t>JÄMTLANDS LÄN</t>
        </is>
      </c>
      <c r="E981" t="inlineStr">
        <is>
          <t>BERG</t>
        </is>
      </c>
      <c r="F981" t="inlineStr">
        <is>
          <t>SCA</t>
        </is>
      </c>
      <c r="G981" t="n">
        <v>26.1</v>
      </c>
      <c r="H981" t="n">
        <v>0</v>
      </c>
      <c r="I981" t="n">
        <v>0</v>
      </c>
      <c r="J981" t="n">
        <v>0</v>
      </c>
      <c r="K981" t="n">
        <v>0</v>
      </c>
      <c r="L981" t="n">
        <v>0</v>
      </c>
      <c r="M981" t="n">
        <v>0</v>
      </c>
      <c r="N981" t="n">
        <v>0</v>
      </c>
      <c r="O981" t="n">
        <v>0</v>
      </c>
      <c r="P981" t="n">
        <v>0</v>
      </c>
      <c r="Q981" t="n">
        <v>0</v>
      </c>
      <c r="R981" s="2" t="inlineStr"/>
    </row>
    <row r="982" ht="15" customHeight="1">
      <c r="A982" t="inlineStr">
        <is>
          <t>A 27575-2025</t>
        </is>
      </c>
      <c r="B982" s="1" t="n">
        <v>45813.49083333334</v>
      </c>
      <c r="C982" s="1" t="n">
        <v>46063</v>
      </c>
      <c r="D982" t="inlineStr">
        <is>
          <t>JÄMTLANDS LÄN</t>
        </is>
      </c>
      <c r="E982" t="inlineStr">
        <is>
          <t>BERG</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27603-2025</t>
        </is>
      </c>
      <c r="B983" s="1" t="n">
        <v>45813.53174768519</v>
      </c>
      <c r="C983" s="1" t="n">
        <v>46063</v>
      </c>
      <c r="D983" t="inlineStr">
        <is>
          <t>JÄMTLANDS LÄN</t>
        </is>
      </c>
      <c r="E983" t="inlineStr">
        <is>
          <t>BERG</t>
        </is>
      </c>
      <c r="F983" t="inlineStr">
        <is>
          <t>SCA</t>
        </is>
      </c>
      <c r="G983" t="n">
        <v>11.3</v>
      </c>
      <c r="H983" t="n">
        <v>0</v>
      </c>
      <c r="I983" t="n">
        <v>0</v>
      </c>
      <c r="J983" t="n">
        <v>0</v>
      </c>
      <c r="K983" t="n">
        <v>0</v>
      </c>
      <c r="L983" t="n">
        <v>0</v>
      </c>
      <c r="M983" t="n">
        <v>0</v>
      </c>
      <c r="N983" t="n">
        <v>0</v>
      </c>
      <c r="O983" t="n">
        <v>0</v>
      </c>
      <c r="P983" t="n">
        <v>0</v>
      </c>
      <c r="Q983" t="n">
        <v>0</v>
      </c>
      <c r="R983" s="2" t="inlineStr"/>
    </row>
    <row r="984" ht="15" customHeight="1">
      <c r="A984" t="inlineStr">
        <is>
          <t>A 27569-2025</t>
        </is>
      </c>
      <c r="B984" s="1" t="n">
        <v>45813.49018518518</v>
      </c>
      <c r="C984" s="1" t="n">
        <v>46063</v>
      </c>
      <c r="D984" t="inlineStr">
        <is>
          <t>JÄMTLANDS LÄN</t>
        </is>
      </c>
      <c r="E984" t="inlineStr">
        <is>
          <t>BERG</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27459-2025</t>
        </is>
      </c>
      <c r="B985" s="1" t="n">
        <v>45813.34561342592</v>
      </c>
      <c r="C985" s="1" t="n">
        <v>46063</v>
      </c>
      <c r="D985" t="inlineStr">
        <is>
          <t>JÄMTLANDS LÄN</t>
        </is>
      </c>
      <c r="E985" t="inlineStr">
        <is>
          <t>BERG</t>
        </is>
      </c>
      <c r="F985" t="inlineStr">
        <is>
          <t>SCA</t>
        </is>
      </c>
      <c r="G985" t="n">
        <v>19.2</v>
      </c>
      <c r="H985" t="n">
        <v>0</v>
      </c>
      <c r="I985" t="n">
        <v>0</v>
      </c>
      <c r="J985" t="n">
        <v>0</v>
      </c>
      <c r="K985" t="n">
        <v>0</v>
      </c>
      <c r="L985" t="n">
        <v>0</v>
      </c>
      <c r="M985" t="n">
        <v>0</v>
      </c>
      <c r="N985" t="n">
        <v>0</v>
      </c>
      <c r="O985" t="n">
        <v>0</v>
      </c>
      <c r="P985" t="n">
        <v>0</v>
      </c>
      <c r="Q985" t="n">
        <v>0</v>
      </c>
      <c r="R985" s="2" t="inlineStr"/>
    </row>
    <row r="986" ht="15" customHeight="1">
      <c r="A986" t="inlineStr">
        <is>
          <t>A 27716-2025</t>
        </is>
      </c>
      <c r="B986" s="1" t="n">
        <v>45813.961875</v>
      </c>
      <c r="C986" s="1" t="n">
        <v>46063</v>
      </c>
      <c r="D986" t="inlineStr">
        <is>
          <t>JÄMTLANDS LÄN</t>
        </is>
      </c>
      <c r="E986" t="inlineStr">
        <is>
          <t>BERG</t>
        </is>
      </c>
      <c r="G986" t="n">
        <v>6.7</v>
      </c>
      <c r="H986" t="n">
        <v>0</v>
      </c>
      <c r="I986" t="n">
        <v>0</v>
      </c>
      <c r="J986" t="n">
        <v>0</v>
      </c>
      <c r="K986" t="n">
        <v>0</v>
      </c>
      <c r="L986" t="n">
        <v>0</v>
      </c>
      <c r="M986" t="n">
        <v>0</v>
      </c>
      <c r="N986" t="n">
        <v>0</v>
      </c>
      <c r="O986" t="n">
        <v>0</v>
      </c>
      <c r="P986" t="n">
        <v>0</v>
      </c>
      <c r="Q986" t="n">
        <v>0</v>
      </c>
      <c r="R986" s="2" t="inlineStr"/>
    </row>
    <row r="987" ht="15" customHeight="1">
      <c r="A987" t="inlineStr">
        <is>
          <t>A 28232-2025</t>
        </is>
      </c>
      <c r="B987" s="1" t="n">
        <v>45818.48989583334</v>
      </c>
      <c r="C987" s="1" t="n">
        <v>46063</v>
      </c>
      <c r="D987" t="inlineStr">
        <is>
          <t>JÄMTLANDS LÄN</t>
        </is>
      </c>
      <c r="E987" t="inlineStr">
        <is>
          <t>BERG</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28157-2025</t>
        </is>
      </c>
      <c r="B988" s="1" t="n">
        <v>45818.36512731481</v>
      </c>
      <c r="C988" s="1" t="n">
        <v>46063</v>
      </c>
      <c r="D988" t="inlineStr">
        <is>
          <t>JÄMTLANDS LÄN</t>
        </is>
      </c>
      <c r="E988" t="inlineStr">
        <is>
          <t>BERG</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28196-2025</t>
        </is>
      </c>
      <c r="B989" s="1" t="n">
        <v>45818.42753472222</v>
      </c>
      <c r="C989" s="1" t="n">
        <v>46063</v>
      </c>
      <c r="D989" t="inlineStr">
        <is>
          <t>JÄMTLANDS LÄN</t>
        </is>
      </c>
      <c r="E989" t="inlineStr">
        <is>
          <t>BERG</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28079-2025</t>
        </is>
      </c>
      <c r="B990" s="1" t="n">
        <v>45817.69681712963</v>
      </c>
      <c r="C990" s="1" t="n">
        <v>46063</v>
      </c>
      <c r="D990" t="inlineStr">
        <is>
          <t>JÄMTLANDS LÄN</t>
        </is>
      </c>
      <c r="E990" t="inlineStr">
        <is>
          <t>BERG</t>
        </is>
      </c>
      <c r="G990" t="n">
        <v>3.7</v>
      </c>
      <c r="H990" t="n">
        <v>0</v>
      </c>
      <c r="I990" t="n">
        <v>0</v>
      </c>
      <c r="J990" t="n">
        <v>0</v>
      </c>
      <c r="K990" t="n">
        <v>0</v>
      </c>
      <c r="L990" t="n">
        <v>0</v>
      </c>
      <c r="M990" t="n">
        <v>0</v>
      </c>
      <c r="N990" t="n">
        <v>0</v>
      </c>
      <c r="O990" t="n">
        <v>0</v>
      </c>
      <c r="P990" t="n">
        <v>0</v>
      </c>
      <c r="Q990" t="n">
        <v>0</v>
      </c>
      <c r="R990" s="2" t="inlineStr"/>
    </row>
    <row r="991" ht="15" customHeight="1">
      <c r="A991" t="inlineStr">
        <is>
          <t>A 27750-2025</t>
        </is>
      </c>
      <c r="B991" s="1" t="n">
        <v>45815.68543981481</v>
      </c>
      <c r="C991" s="1" t="n">
        <v>46063</v>
      </c>
      <c r="D991" t="inlineStr">
        <is>
          <t>JÄMTLANDS LÄN</t>
        </is>
      </c>
      <c r="E991" t="inlineStr">
        <is>
          <t>BERG</t>
        </is>
      </c>
      <c r="G991" t="n">
        <v>2.4</v>
      </c>
      <c r="H991" t="n">
        <v>0</v>
      </c>
      <c r="I991" t="n">
        <v>0</v>
      </c>
      <c r="J991" t="n">
        <v>0</v>
      </c>
      <c r="K991" t="n">
        <v>0</v>
      </c>
      <c r="L991" t="n">
        <v>0</v>
      </c>
      <c r="M991" t="n">
        <v>0</v>
      </c>
      <c r="N991" t="n">
        <v>0</v>
      </c>
      <c r="O991" t="n">
        <v>0</v>
      </c>
      <c r="P991" t="n">
        <v>0</v>
      </c>
      <c r="Q991" t="n">
        <v>0</v>
      </c>
      <c r="R991" s="2" t="inlineStr"/>
    </row>
    <row r="992">
      <c r="A992" t="inlineStr">
        <is>
          <t>A 28257-2025</t>
        </is>
      </c>
      <c r="B992" s="1" t="n">
        <v>45818.55263888889</v>
      </c>
      <c r="C992" s="1" t="n">
        <v>46063</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2026-02-10T11:00:47Z</dcterms:created>
  <dcterms:modified xmlns:dcterms="http://purl.org/dc/terms/" xmlns:xsi="http://www.w3.org/2001/XMLSchema-instance" xsi:type="dcterms:W3CDTF">2026-02-10T11:00:48Z</dcterms:modified>
</cp:coreProperties>
</file>