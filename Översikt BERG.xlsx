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46090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46090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46090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46090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46090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46090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46090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46090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46090</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46090</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46090</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46090</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46090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46090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46090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46090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46090</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46090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46090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46090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46090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46090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46090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46090</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46090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46090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46090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46090</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46090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46090</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46090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46090</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46090</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46090</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46090</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46090</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46090</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46090</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46090</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46090</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46090</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46090</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46090</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56364-2024</t>
        </is>
      </c>
      <c r="B46" s="1" t="n">
        <v>45625.32383101852</v>
      </c>
      <c r="C46" s="1" t="n">
        <v>46090</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33044-2024</t>
        </is>
      </c>
      <c r="B47" s="1" t="n">
        <v>45517</v>
      </c>
      <c r="C47" s="1" t="n">
        <v>46090</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35538-2025</t>
        </is>
      </c>
      <c r="B48" s="1" t="n">
        <v>45856.4552662037</v>
      </c>
      <c r="C48" s="1" t="n">
        <v>46090</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46090</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46090</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31719-2022</t>
        </is>
      </c>
      <c r="B51" s="1" t="n">
        <v>44776</v>
      </c>
      <c r="C51" s="1" t="n">
        <v>46090</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24670-2025</t>
        </is>
      </c>
      <c r="B52" s="1" t="n">
        <v>45798.64947916667</v>
      </c>
      <c r="C52" s="1" t="n">
        <v>46090</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49626-2024</t>
        </is>
      </c>
      <c r="B53" s="1" t="n">
        <v>45596.59109953704</v>
      </c>
      <c r="C53" s="1" t="n">
        <v>46090</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27571-2025</t>
        </is>
      </c>
      <c r="B54" s="1" t="n">
        <v>45813.49040509259</v>
      </c>
      <c r="C54" s="1" t="n">
        <v>46090</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27957-2025</t>
        </is>
      </c>
      <c r="B55" s="1" t="n">
        <v>45817.53871527778</v>
      </c>
      <c r="C55" s="1" t="n">
        <v>46090</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46090</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46090</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16508-2021</t>
        </is>
      </c>
      <c r="B58" s="1" t="n">
        <v>44293</v>
      </c>
      <c r="C58" s="1" t="n">
        <v>46090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37398-2022</t>
        </is>
      </c>
      <c r="B59" s="1" t="n">
        <v>44806</v>
      </c>
      <c r="C59" s="1" t="n">
        <v>46090</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24204-2024</t>
        </is>
      </c>
      <c r="B60" s="1" t="n">
        <v>45456</v>
      </c>
      <c r="C60" s="1" t="n">
        <v>46090</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46090</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46090</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46090</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46090</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46090</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46090</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46090</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54979-2021</t>
        </is>
      </c>
      <c r="B68" s="1" t="n">
        <v>44474.53888888889</v>
      </c>
      <c r="C68" s="1" t="n">
        <v>46090</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46090</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46090</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46090</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13487-2024</t>
        </is>
      </c>
      <c r="B72" s="1" t="n">
        <v>45387</v>
      </c>
      <c r="C72" s="1" t="n">
        <v>46090</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25871-2025</t>
        </is>
      </c>
      <c r="B73" s="1" t="n">
        <v>45804.4903125</v>
      </c>
      <c r="C73" s="1" t="n">
        <v>46090</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46090</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46090</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37381-2022</t>
        </is>
      </c>
      <c r="B76" s="1" t="n">
        <v>44806</v>
      </c>
      <c r="C76" s="1" t="n">
        <v>46090</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38156-2024</t>
        </is>
      </c>
      <c r="B77" s="1" t="n">
        <v>45545</v>
      </c>
      <c r="C77" s="1" t="n">
        <v>46090</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46090</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27574-2025</t>
        </is>
      </c>
      <c r="B79" s="1" t="n">
        <v>45813.49072916667</v>
      </c>
      <c r="C79" s="1" t="n">
        <v>46090</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31715-2025</t>
        </is>
      </c>
      <c r="B80" s="1" t="n">
        <v>45834.45671296296</v>
      </c>
      <c r="C80" s="1" t="n">
        <v>46090</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7891-2022</t>
        </is>
      </c>
      <c r="B81" s="1" t="n">
        <v>44607</v>
      </c>
      <c r="C81" s="1" t="n">
        <v>46090</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31742-2025</t>
        </is>
      </c>
      <c r="B82" s="1" t="n">
        <v>45834.47548611111</v>
      </c>
      <c r="C82" s="1" t="n">
        <v>46090</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46795-2025</t>
        </is>
      </c>
      <c r="B83" s="1" t="n">
        <v>45926.65668981482</v>
      </c>
      <c r="C83" s="1" t="n">
        <v>46090</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58238-2025</t>
        </is>
      </c>
      <c r="B84" s="1" t="n">
        <v>45985.38775462963</v>
      </c>
      <c r="C84" s="1" t="n">
        <v>46090</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57276-2025</t>
        </is>
      </c>
      <c r="B85" s="1" t="n">
        <v>45979.68783564815</v>
      </c>
      <c r="C85" s="1" t="n">
        <v>46090</v>
      </c>
      <c r="D85" t="inlineStr">
        <is>
          <t>JÄMTLANDS LÄN</t>
        </is>
      </c>
      <c r="E85" t="inlineStr">
        <is>
          <t>BERG</t>
        </is>
      </c>
      <c r="G85" t="n">
        <v>4.8</v>
      </c>
      <c r="H85" t="n">
        <v>0</v>
      </c>
      <c r="I85" t="n">
        <v>1</v>
      </c>
      <c r="J85" t="n">
        <v>3</v>
      </c>
      <c r="K85" t="n">
        <v>0</v>
      </c>
      <c r="L85" t="n">
        <v>0</v>
      </c>
      <c r="M85" t="n">
        <v>0</v>
      </c>
      <c r="N85" t="n">
        <v>0</v>
      </c>
      <c r="O85" t="n">
        <v>3</v>
      </c>
      <c r="P85" t="n">
        <v>0</v>
      </c>
      <c r="Q85" t="n">
        <v>4</v>
      </c>
      <c r="R85" s="2" t="inlineStr">
        <is>
          <t>Garnlav
Lunglav
Vitgrynig nållav
Trådticka</t>
        </is>
      </c>
      <c r="S85">
        <f>HYPERLINK("https://klasma.github.io/Logging_2326/artfynd/A 57276-2025 artfynd.xlsx", "A 57276-2025")</f>
        <v/>
      </c>
      <c r="T85">
        <f>HYPERLINK("https://klasma.github.io/Logging_2326/kartor/A 57276-2025 karta.png", "A 57276-2025")</f>
        <v/>
      </c>
      <c r="V85">
        <f>HYPERLINK("https://klasma.github.io/Logging_2326/klagomål/A 57276-2025 FSC-klagomål.docx", "A 57276-2025")</f>
        <v/>
      </c>
      <c r="W85">
        <f>HYPERLINK("https://klasma.github.io/Logging_2326/klagomålsmail/A 57276-2025 FSC-klagomål mail.docx", "A 57276-2025")</f>
        <v/>
      </c>
      <c r="X85">
        <f>HYPERLINK("https://klasma.github.io/Logging_2326/tillsyn/A 57276-2025 tillsynsbegäran.docx", "A 57276-2025")</f>
        <v/>
      </c>
      <c r="Y85">
        <f>HYPERLINK("https://klasma.github.io/Logging_2326/tillsynsmail/A 57276-2025 tillsynsbegäran mail.docx", "A 57276-2025")</f>
        <v/>
      </c>
    </row>
    <row r="86" ht="15" customHeight="1">
      <c r="A86" t="inlineStr">
        <is>
          <t>A 53305-2025</t>
        </is>
      </c>
      <c r="B86" s="1" t="n">
        <v>45959.334375</v>
      </c>
      <c r="C86" s="1" t="n">
        <v>46090</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45424-2024</t>
        </is>
      </c>
      <c r="B87" s="1" t="n">
        <v>45576.60398148148</v>
      </c>
      <c r="C87" s="1" t="n">
        <v>46090</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46090</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46090</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46090</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46090</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46090</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46090</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46090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46090</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49611-2025</t>
        </is>
      </c>
      <c r="B96" s="1" t="n">
        <v>45939.5735300926</v>
      </c>
      <c r="C96" s="1" t="n">
        <v>46090</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46090</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37063-2025</t>
        </is>
      </c>
      <c r="B98" s="1" t="n">
        <v>45875.38596064815</v>
      </c>
      <c r="C98" s="1" t="n">
        <v>46090</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52189-2024</t>
        </is>
      </c>
      <c r="B99" s="1" t="n">
        <v>45608</v>
      </c>
      <c r="C99" s="1" t="n">
        <v>46090</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46090</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56368-2024</t>
        </is>
      </c>
      <c r="B101" s="1" t="n">
        <v>45625.32978009259</v>
      </c>
      <c r="C101" s="1" t="n">
        <v>46090</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20242-2025</t>
        </is>
      </c>
      <c r="B102" s="1" t="n">
        <v>45772</v>
      </c>
      <c r="C102" s="1" t="n">
        <v>46090</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14599-2021</t>
        </is>
      </c>
      <c r="B103" s="1" t="n">
        <v>44279</v>
      </c>
      <c r="C103" s="1" t="n">
        <v>46090</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35925-2024</t>
        </is>
      </c>
      <c r="B104" s="1" t="n">
        <v>45533.43868055556</v>
      </c>
      <c r="C104" s="1" t="n">
        <v>46090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54999-2023</t>
        </is>
      </c>
      <c r="B105" s="1" t="n">
        <v>45236</v>
      </c>
      <c r="C105" s="1" t="n">
        <v>46090</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51950-2021</t>
        </is>
      </c>
      <c r="B106" s="1" t="n">
        <v>44462.9562037037</v>
      </c>
      <c r="C106" s="1" t="n">
        <v>46090</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46090</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26748-2025</t>
        </is>
      </c>
      <c r="B108" s="1" t="n">
        <v>45810.53988425926</v>
      </c>
      <c r="C108" s="1" t="n">
        <v>46090</v>
      </c>
      <c r="D108" t="inlineStr">
        <is>
          <t>JÄMTLANDS LÄN</t>
        </is>
      </c>
      <c r="E108" t="inlineStr">
        <is>
          <t>BERG</t>
        </is>
      </c>
      <c r="G108" t="n">
        <v>17.4</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26748-2025 artfynd.xlsx", "A 26748-2025")</f>
        <v/>
      </c>
      <c r="T108">
        <f>HYPERLINK("https://klasma.github.io/Logging_2326/kartor/A 26748-2025 karta.png", "A 26748-2025")</f>
        <v/>
      </c>
      <c r="V108">
        <f>HYPERLINK("https://klasma.github.io/Logging_2326/klagomål/A 26748-2025 FSC-klagomål.docx", "A 26748-2025")</f>
        <v/>
      </c>
      <c r="W108">
        <f>HYPERLINK("https://klasma.github.io/Logging_2326/klagomålsmail/A 26748-2025 FSC-klagomål mail.docx", "A 26748-2025")</f>
        <v/>
      </c>
      <c r="X108">
        <f>HYPERLINK("https://klasma.github.io/Logging_2326/tillsyn/A 26748-2025 tillsynsbegäran.docx", "A 26748-2025")</f>
        <v/>
      </c>
      <c r="Y108">
        <f>HYPERLINK("https://klasma.github.io/Logging_2326/tillsynsmail/A 26748-2025 tillsynsbegäran mail.docx", "A 26748-2025")</f>
        <v/>
      </c>
      <c r="Z108">
        <f>HYPERLINK("https://klasma.github.io/Logging_2326/fåglar/A 26748-2025 prioriterade fågelarter.docx", "A 26748-2025")</f>
        <v/>
      </c>
    </row>
    <row r="109" ht="15" customHeight="1">
      <c r="A109" t="inlineStr">
        <is>
          <t>A 27647-2025</t>
        </is>
      </c>
      <c r="B109" s="1" t="n">
        <v>45813.59454861111</v>
      </c>
      <c r="C109" s="1" t="n">
        <v>46090</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42120-2025</t>
        </is>
      </c>
      <c r="B110" s="1" t="n">
        <v>45904.34236111111</v>
      </c>
      <c r="C110" s="1" t="n">
        <v>46090</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31709-2025</t>
        </is>
      </c>
      <c r="B111" s="1" t="n">
        <v>45834.42543981481</v>
      </c>
      <c r="C111" s="1" t="n">
        <v>46090</v>
      </c>
      <c r="D111" t="inlineStr">
        <is>
          <t>JÄMTLANDS LÄN</t>
        </is>
      </c>
      <c r="E111" t="inlineStr">
        <is>
          <t>BERG</t>
        </is>
      </c>
      <c r="G111" t="n">
        <v>22.2</v>
      </c>
      <c r="H111" t="n">
        <v>1</v>
      </c>
      <c r="I111" t="n">
        <v>0</v>
      </c>
      <c r="J111" t="n">
        <v>1</v>
      </c>
      <c r="K111" t="n">
        <v>0</v>
      </c>
      <c r="L111" t="n">
        <v>1</v>
      </c>
      <c r="M111" t="n">
        <v>0</v>
      </c>
      <c r="N111" t="n">
        <v>0</v>
      </c>
      <c r="O111" t="n">
        <v>2</v>
      </c>
      <c r="P111" t="n">
        <v>1</v>
      </c>
      <c r="Q111" t="n">
        <v>2</v>
      </c>
      <c r="R111" s="2" t="inlineStr">
        <is>
          <t>Mikroskapania
Platt spretmossa</t>
        </is>
      </c>
      <c r="S111">
        <f>HYPERLINK("https://klasma.github.io/Logging_2326/artfynd/A 31709-2025 artfynd.xlsx", "A 31709-2025")</f>
        <v/>
      </c>
      <c r="T111">
        <f>HYPERLINK("https://klasma.github.io/Logging_2326/kartor/A 31709-2025 karta.png", "A 31709-2025")</f>
        <v/>
      </c>
      <c r="V111">
        <f>HYPERLINK("https://klasma.github.io/Logging_2326/klagomål/A 31709-2025 FSC-klagomål.docx", "A 31709-2025")</f>
        <v/>
      </c>
      <c r="W111">
        <f>HYPERLINK("https://klasma.github.io/Logging_2326/klagomålsmail/A 31709-2025 FSC-klagomål mail.docx", "A 31709-2025")</f>
        <v/>
      </c>
      <c r="X111">
        <f>HYPERLINK("https://klasma.github.io/Logging_2326/tillsyn/A 31709-2025 tillsynsbegäran.docx", "A 31709-2025")</f>
        <v/>
      </c>
      <c r="Y111">
        <f>HYPERLINK("https://klasma.github.io/Logging_2326/tillsynsmail/A 31709-2025 tillsynsbegäran mail.docx", "A 31709-2025")</f>
        <v/>
      </c>
    </row>
    <row r="112" ht="15" customHeight="1">
      <c r="A112" t="inlineStr">
        <is>
          <t>A 47858-2025</t>
        </is>
      </c>
      <c r="B112" s="1" t="n">
        <v>45932.40699074074</v>
      </c>
      <c r="C112" s="1" t="n">
        <v>46090</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8734-2025</t>
        </is>
      </c>
      <c r="B113" s="1" t="n">
        <v>45712.53209490741</v>
      </c>
      <c r="C113" s="1" t="n">
        <v>46090</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62161-2025</t>
        </is>
      </c>
      <c r="B114" s="1" t="n">
        <v>46006.49113425926</v>
      </c>
      <c r="C114" s="1" t="n">
        <v>46090</v>
      </c>
      <c r="D114" t="inlineStr">
        <is>
          <t>JÄMTLANDS LÄN</t>
        </is>
      </c>
      <c r="E114" t="inlineStr">
        <is>
          <t>BERG</t>
        </is>
      </c>
      <c r="F114" t="inlineStr">
        <is>
          <t>SCA</t>
        </is>
      </c>
      <c r="G114" t="n">
        <v>2.6</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62161-2025 artfynd.xlsx", "A 62161-2025")</f>
        <v/>
      </c>
      <c r="T114">
        <f>HYPERLINK("https://klasma.github.io/Logging_2326/kartor/A 62161-2025 karta.png", "A 62161-2025")</f>
        <v/>
      </c>
      <c r="V114">
        <f>HYPERLINK("https://klasma.github.io/Logging_2326/klagomål/A 62161-2025 FSC-klagomål.docx", "A 62161-2025")</f>
        <v/>
      </c>
      <c r="W114">
        <f>HYPERLINK("https://klasma.github.io/Logging_2326/klagomålsmail/A 62161-2025 FSC-klagomål mail.docx", "A 62161-2025")</f>
        <v/>
      </c>
      <c r="X114">
        <f>HYPERLINK("https://klasma.github.io/Logging_2326/tillsyn/A 62161-2025 tillsynsbegäran.docx", "A 62161-2025")</f>
        <v/>
      </c>
      <c r="Y114">
        <f>HYPERLINK("https://klasma.github.io/Logging_2326/tillsynsmail/A 62161-2025 tillsynsbegäran mail.docx", "A 62161-2025")</f>
        <v/>
      </c>
      <c r="Z114">
        <f>HYPERLINK("https://klasma.github.io/Logging_2326/fåglar/A 62161-2025 prioriterade fågelarter.docx", "A 62161-2025")</f>
        <v/>
      </c>
    </row>
    <row r="115" ht="15" customHeight="1">
      <c r="A115" t="inlineStr">
        <is>
          <t>A 50389-2025</t>
        </is>
      </c>
      <c r="B115" s="1" t="n">
        <v>45944.61539351852</v>
      </c>
      <c r="C115" s="1" t="n">
        <v>46090</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62159-2025</t>
        </is>
      </c>
      <c r="B116" s="1" t="n">
        <v>46006.49081018518</v>
      </c>
      <c r="C116" s="1" t="n">
        <v>46090</v>
      </c>
      <c r="D116" t="inlineStr">
        <is>
          <t>JÄMTLANDS LÄN</t>
        </is>
      </c>
      <c r="E116" t="inlineStr">
        <is>
          <t>BERG</t>
        </is>
      </c>
      <c r="F116" t="inlineStr">
        <is>
          <t>SCA</t>
        </is>
      </c>
      <c r="G116" t="n">
        <v>3.8</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62159-2025 artfynd.xlsx", "A 62159-2025")</f>
        <v/>
      </c>
      <c r="T116">
        <f>HYPERLINK("https://klasma.github.io/Logging_2326/kartor/A 62159-2025 karta.png", "A 62159-2025")</f>
        <v/>
      </c>
      <c r="V116">
        <f>HYPERLINK("https://klasma.github.io/Logging_2326/klagomål/A 62159-2025 FSC-klagomål.docx", "A 62159-2025")</f>
        <v/>
      </c>
      <c r="W116">
        <f>HYPERLINK("https://klasma.github.io/Logging_2326/klagomålsmail/A 62159-2025 FSC-klagomål mail.docx", "A 62159-2025")</f>
        <v/>
      </c>
      <c r="X116">
        <f>HYPERLINK("https://klasma.github.io/Logging_2326/tillsyn/A 62159-2025 tillsynsbegäran.docx", "A 62159-2025")</f>
        <v/>
      </c>
      <c r="Y116">
        <f>HYPERLINK("https://klasma.github.io/Logging_2326/tillsynsmail/A 62159-2025 tillsynsbegäran mail.docx", "A 62159-2025")</f>
        <v/>
      </c>
      <c r="Z116">
        <f>HYPERLINK("https://klasma.github.io/Logging_2326/fåglar/A 62159-2025 prioriterade fågelarter.docx", "A 62159-2025")</f>
        <v/>
      </c>
    </row>
    <row r="117" ht="15" customHeight="1">
      <c r="A117" t="inlineStr">
        <is>
          <t>A 52611-2025</t>
        </is>
      </c>
      <c r="B117" s="1" t="n">
        <v>45954.66971064815</v>
      </c>
      <c r="C117" s="1" t="n">
        <v>46090</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46090</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30334-2024</t>
        </is>
      </c>
      <c r="B119" s="1" t="n">
        <v>45490.95396990741</v>
      </c>
      <c r="C119" s="1" t="n">
        <v>46090</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14344-2025</t>
        </is>
      </c>
      <c r="B120" s="1" t="n">
        <v>45741</v>
      </c>
      <c r="C120" s="1" t="n">
        <v>46090</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5122-2026</t>
        </is>
      </c>
      <c r="B121" s="1" t="n">
        <v>46049.58273148148</v>
      </c>
      <c r="C121" s="1" t="n">
        <v>46090</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27919-2024</t>
        </is>
      </c>
      <c r="B122" s="1" t="n">
        <v>45475.94865740741</v>
      </c>
      <c r="C122" s="1" t="n">
        <v>46090</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46090</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19948-2025</t>
        </is>
      </c>
      <c r="B124" s="1" t="n">
        <v>45771</v>
      </c>
      <c r="C124" s="1" t="n">
        <v>46090</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14588-2021</t>
        </is>
      </c>
      <c r="B125" s="1" t="n">
        <v>44279</v>
      </c>
      <c r="C125" s="1" t="n">
        <v>46090</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48880-2023</t>
        </is>
      </c>
      <c r="B126" s="1" t="n">
        <v>45209</v>
      </c>
      <c r="C126" s="1" t="n">
        <v>46090</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47-2023</t>
        </is>
      </c>
      <c r="B127" s="1" t="n">
        <v>44928</v>
      </c>
      <c r="C127" s="1" t="n">
        <v>46090</v>
      </c>
      <c r="D127" t="inlineStr">
        <is>
          <t>JÄMTLANDS LÄN</t>
        </is>
      </c>
      <c r="E127" t="inlineStr">
        <is>
          <t>BERG</t>
        </is>
      </c>
      <c r="F127" t="inlineStr">
        <is>
          <t>Naturvårdsverket</t>
        </is>
      </c>
      <c r="G127" t="n">
        <v>1.5</v>
      </c>
      <c r="H127" t="n">
        <v>1</v>
      </c>
      <c r="I127" t="n">
        <v>0</v>
      </c>
      <c r="J127" t="n">
        <v>1</v>
      </c>
      <c r="K127" t="n">
        <v>1</v>
      </c>
      <c r="L127" t="n">
        <v>0</v>
      </c>
      <c r="M127" t="n">
        <v>0</v>
      </c>
      <c r="N127" t="n">
        <v>0</v>
      </c>
      <c r="O127" t="n">
        <v>2</v>
      </c>
      <c r="P127" t="n">
        <v>1</v>
      </c>
      <c r="Q127" t="n">
        <v>2</v>
      </c>
      <c r="R127" s="2" t="inlineStr">
        <is>
          <t>Knärot
Violettgrå tagellav</t>
        </is>
      </c>
      <c r="S127">
        <f>HYPERLINK("https://klasma.github.io/Logging_2326/artfynd/A 47-2023 artfynd.xlsx", "A 47-2023")</f>
        <v/>
      </c>
      <c r="T127">
        <f>HYPERLINK("https://klasma.github.io/Logging_2326/kartor/A 47-2023 karta.png", "A 47-2023")</f>
        <v/>
      </c>
      <c r="U127">
        <f>HYPERLINK("https://klasma.github.io/Logging_2326/knärot/A 47-2023 karta knärot.png",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26944-2024</t>
        </is>
      </c>
      <c r="B128" s="1" t="n">
        <v>45470.96880787037</v>
      </c>
      <c r="C128" s="1" t="n">
        <v>46090</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46090</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46090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46090</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46090</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46090</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46090</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46090</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46090</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46090</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46090</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60833-2025</t>
        </is>
      </c>
      <c r="B139" s="1" t="n">
        <v>45999.46969907408</v>
      </c>
      <c r="C139" s="1" t="n">
        <v>46090</v>
      </c>
      <c r="D139" t="inlineStr">
        <is>
          <t>JÄMTLANDS LÄN</t>
        </is>
      </c>
      <c r="E139" t="inlineStr">
        <is>
          <t>BERG</t>
        </is>
      </c>
      <c r="F139" t="inlineStr">
        <is>
          <t>SCA</t>
        </is>
      </c>
      <c r="G139" t="n">
        <v>18.1</v>
      </c>
      <c r="H139" t="n">
        <v>1</v>
      </c>
      <c r="I139" t="n">
        <v>0</v>
      </c>
      <c r="J139" t="n">
        <v>1</v>
      </c>
      <c r="K139" t="n">
        <v>0</v>
      </c>
      <c r="L139" t="n">
        <v>0</v>
      </c>
      <c r="M139" t="n">
        <v>0</v>
      </c>
      <c r="N139" t="n">
        <v>0</v>
      </c>
      <c r="O139" t="n">
        <v>1</v>
      </c>
      <c r="P139" t="n">
        <v>0</v>
      </c>
      <c r="Q139" t="n">
        <v>1</v>
      </c>
      <c r="R139" s="2" t="inlineStr">
        <is>
          <t>Spillkråka</t>
        </is>
      </c>
      <c r="S139">
        <f>HYPERLINK("https://klasma.github.io/Logging_2326/artfynd/A 60833-2025 artfynd.xlsx", "A 60833-2025")</f>
        <v/>
      </c>
      <c r="T139">
        <f>HYPERLINK("https://klasma.github.io/Logging_2326/kartor/A 60833-2025 karta.png", "A 60833-2025")</f>
        <v/>
      </c>
      <c r="V139">
        <f>HYPERLINK("https://klasma.github.io/Logging_2326/klagomål/A 60833-2025 FSC-klagomål.docx", "A 60833-2025")</f>
        <v/>
      </c>
      <c r="W139">
        <f>HYPERLINK("https://klasma.github.io/Logging_2326/klagomålsmail/A 60833-2025 FSC-klagomål mail.docx", "A 60833-2025")</f>
        <v/>
      </c>
      <c r="X139">
        <f>HYPERLINK("https://klasma.github.io/Logging_2326/tillsyn/A 60833-2025 tillsynsbegäran.docx", "A 60833-2025")</f>
        <v/>
      </c>
      <c r="Y139">
        <f>HYPERLINK("https://klasma.github.io/Logging_2326/tillsynsmail/A 60833-2025 tillsynsbegäran mail.docx", "A 60833-2025")</f>
        <v/>
      </c>
      <c r="Z139">
        <f>HYPERLINK("https://klasma.github.io/Logging_2326/fåglar/A 60833-2025 prioriterade fågelarter.docx", "A 60833-2025")</f>
        <v/>
      </c>
    </row>
    <row r="140" ht="15" customHeight="1">
      <c r="A140" t="inlineStr">
        <is>
          <t>A 24331-2025</t>
        </is>
      </c>
      <c r="B140" s="1" t="n">
        <v>45797</v>
      </c>
      <c r="C140" s="1" t="n">
        <v>46090</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39001-2025</t>
        </is>
      </c>
      <c r="B141" s="1" t="n">
        <v>45888.344375</v>
      </c>
      <c r="C141" s="1" t="n">
        <v>46090</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56202-2021</t>
        </is>
      </c>
      <c r="B142" s="1" t="n">
        <v>44477</v>
      </c>
      <c r="C142" s="1" t="n">
        <v>46090</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25556-2025</t>
        </is>
      </c>
      <c r="B143" s="1" t="n">
        <v>45803.45106481481</v>
      </c>
      <c r="C143" s="1" t="n">
        <v>46090</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54595-2024</t>
        </is>
      </c>
      <c r="B144" s="1" t="n">
        <v>45617.67353009259</v>
      </c>
      <c r="C144" s="1" t="n">
        <v>46090</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46090</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46090</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47656-2025</t>
        </is>
      </c>
      <c r="B147" s="1" t="n">
        <v>45931.55247685185</v>
      </c>
      <c r="C147" s="1" t="n">
        <v>46090</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47658-2025</t>
        </is>
      </c>
      <c r="B148" s="1" t="n">
        <v>45931.55266203704</v>
      </c>
      <c r="C148" s="1" t="n">
        <v>46090</v>
      </c>
      <c r="D148" t="inlineStr">
        <is>
          <t>JÄMTLANDS LÄN</t>
        </is>
      </c>
      <c r="E148" t="inlineStr">
        <is>
          <t>BERG</t>
        </is>
      </c>
      <c r="F148" t="inlineStr">
        <is>
          <t>SCA</t>
        </is>
      </c>
      <c r="G148" t="n">
        <v>3.2</v>
      </c>
      <c r="H148" t="n">
        <v>0</v>
      </c>
      <c r="I148" t="n">
        <v>0</v>
      </c>
      <c r="J148" t="n">
        <v>1</v>
      </c>
      <c r="K148" t="n">
        <v>0</v>
      </c>
      <c r="L148" t="n">
        <v>0</v>
      </c>
      <c r="M148" t="n">
        <v>0</v>
      </c>
      <c r="N148" t="n">
        <v>0</v>
      </c>
      <c r="O148" t="n">
        <v>1</v>
      </c>
      <c r="P148" t="n">
        <v>0</v>
      </c>
      <c r="Q148" t="n">
        <v>1</v>
      </c>
      <c r="R148" s="2" t="inlineStr">
        <is>
          <t>Blågrå svartspik</t>
        </is>
      </c>
      <c r="S148">
        <f>HYPERLINK("https://klasma.github.io/Logging_2326/artfynd/A 47658-2025 artfynd.xlsx", "A 47658-2025")</f>
        <v/>
      </c>
      <c r="T148">
        <f>HYPERLINK("https://klasma.github.io/Logging_2326/kartor/A 47658-2025 karta.png", "A 47658-2025")</f>
        <v/>
      </c>
      <c r="V148">
        <f>HYPERLINK("https://klasma.github.io/Logging_2326/klagomål/A 47658-2025 FSC-klagomål.docx", "A 47658-2025")</f>
        <v/>
      </c>
      <c r="W148">
        <f>HYPERLINK("https://klasma.github.io/Logging_2326/klagomålsmail/A 47658-2025 FSC-klagomål mail.docx", "A 47658-2025")</f>
        <v/>
      </c>
      <c r="X148">
        <f>HYPERLINK("https://klasma.github.io/Logging_2326/tillsyn/A 47658-2025 tillsynsbegäran.docx", "A 47658-2025")</f>
        <v/>
      </c>
      <c r="Y148">
        <f>HYPERLINK("https://klasma.github.io/Logging_2326/tillsynsmail/A 47658-2025 tillsynsbegäran mail.docx", "A 47658-2025")</f>
        <v/>
      </c>
    </row>
    <row r="149" ht="15" customHeight="1">
      <c r="A149" t="inlineStr">
        <is>
          <t>A 33501-2025</t>
        </is>
      </c>
      <c r="B149" s="1" t="n">
        <v>45841</v>
      </c>
      <c r="C149" s="1" t="n">
        <v>46090</v>
      </c>
      <c r="D149" t="inlineStr">
        <is>
          <t>JÄMTLANDS LÄN</t>
        </is>
      </c>
      <c r="E149" t="inlineStr">
        <is>
          <t>BERG</t>
        </is>
      </c>
      <c r="G149" t="n">
        <v>6.9</v>
      </c>
      <c r="H149" t="n">
        <v>1</v>
      </c>
      <c r="I149" t="n">
        <v>1</v>
      </c>
      <c r="J149" t="n">
        <v>0</v>
      </c>
      <c r="K149" t="n">
        <v>0</v>
      </c>
      <c r="L149" t="n">
        <v>0</v>
      </c>
      <c r="M149" t="n">
        <v>0</v>
      </c>
      <c r="N149" t="n">
        <v>0</v>
      </c>
      <c r="O149" t="n">
        <v>0</v>
      </c>
      <c r="P149" t="n">
        <v>0</v>
      </c>
      <c r="Q149" t="n">
        <v>1</v>
      </c>
      <c r="R149" s="2" t="inlineStr">
        <is>
          <t>Korallrot</t>
        </is>
      </c>
      <c r="S149">
        <f>HYPERLINK("https://klasma.github.io/Logging_2326/artfynd/A 33501-2025 artfynd.xlsx", "A 33501-2025")</f>
        <v/>
      </c>
      <c r="T149">
        <f>HYPERLINK("https://klasma.github.io/Logging_2326/kartor/A 33501-2025 karta.png", "A 33501-2025")</f>
        <v/>
      </c>
      <c r="V149">
        <f>HYPERLINK("https://klasma.github.io/Logging_2326/klagomål/A 33501-2025 FSC-klagomål.docx", "A 33501-2025")</f>
        <v/>
      </c>
      <c r="W149">
        <f>HYPERLINK("https://klasma.github.io/Logging_2326/klagomålsmail/A 33501-2025 FSC-klagomål mail.docx", "A 33501-2025")</f>
        <v/>
      </c>
      <c r="X149">
        <f>HYPERLINK("https://klasma.github.io/Logging_2326/tillsyn/A 33501-2025 tillsynsbegäran.docx", "A 33501-2025")</f>
        <v/>
      </c>
      <c r="Y149">
        <f>HYPERLINK("https://klasma.github.io/Logging_2326/tillsynsmail/A 33501-2025 tillsynsbegäran mail.docx", "A 33501-2025")</f>
        <v/>
      </c>
    </row>
    <row r="150" ht="15" customHeight="1">
      <c r="A150" t="inlineStr">
        <is>
          <t>A 47946-2025</t>
        </is>
      </c>
      <c r="B150" s="1" t="n">
        <v>45932.57346064815</v>
      </c>
      <c r="C150" s="1" t="n">
        <v>46090</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20808-2024</t>
        </is>
      </c>
      <c r="B151" s="1" t="n">
        <v>45439</v>
      </c>
      <c r="C151" s="1" t="n">
        <v>46090</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35211-2025</t>
        </is>
      </c>
      <c r="B152" s="1" t="n">
        <v>45853.45060185185</v>
      </c>
      <c r="C152" s="1" t="n">
        <v>46090</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46090</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50182-2025</t>
        </is>
      </c>
      <c r="B154" s="1" t="n">
        <v>45943.61550925926</v>
      </c>
      <c r="C154" s="1" t="n">
        <v>46090</v>
      </c>
      <c r="D154" t="inlineStr">
        <is>
          <t>JÄMTLANDS LÄN</t>
        </is>
      </c>
      <c r="E154" t="inlineStr">
        <is>
          <t>BERG</t>
        </is>
      </c>
      <c r="F154" t="inlineStr">
        <is>
          <t>SCA</t>
        </is>
      </c>
      <c r="G154" t="n">
        <v>12.8</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50182-2025 artfynd.xlsx", "A 50182-2025")</f>
        <v/>
      </c>
      <c r="T154">
        <f>HYPERLINK("https://klasma.github.io/Logging_2326/kartor/A 50182-2025 karta.png", "A 50182-2025")</f>
        <v/>
      </c>
      <c r="V154">
        <f>HYPERLINK("https://klasma.github.io/Logging_2326/klagomål/A 50182-2025 FSC-klagomål.docx", "A 50182-2025")</f>
        <v/>
      </c>
      <c r="W154">
        <f>HYPERLINK("https://klasma.github.io/Logging_2326/klagomålsmail/A 50182-2025 FSC-klagomål mail.docx", "A 50182-2025")</f>
        <v/>
      </c>
      <c r="X154">
        <f>HYPERLINK("https://klasma.github.io/Logging_2326/tillsyn/A 50182-2025 tillsynsbegäran.docx", "A 50182-2025")</f>
        <v/>
      </c>
      <c r="Y154">
        <f>HYPERLINK("https://klasma.github.io/Logging_2326/tillsynsmail/A 50182-2025 tillsynsbegäran mail.docx", "A 50182-2025")</f>
        <v/>
      </c>
      <c r="Z154">
        <f>HYPERLINK("https://klasma.github.io/Logging_2326/fåglar/A 50182-2025 prioriterade fågelarter.docx", "A 50182-2025")</f>
        <v/>
      </c>
    </row>
    <row r="155" ht="15" customHeight="1">
      <c r="A155" t="inlineStr">
        <is>
          <t>A 9281-2026</t>
        </is>
      </c>
      <c r="B155" s="1" t="n">
        <v>46070.57982638889</v>
      </c>
      <c r="C155" s="1" t="n">
        <v>46090</v>
      </c>
      <c r="D155" t="inlineStr">
        <is>
          <t>JÄMTLANDS LÄN</t>
        </is>
      </c>
      <c r="E155" t="inlineStr">
        <is>
          <t>BERG</t>
        </is>
      </c>
      <c r="G155" t="n">
        <v>4.4</v>
      </c>
      <c r="H155" t="n">
        <v>1</v>
      </c>
      <c r="I155" t="n">
        <v>0</v>
      </c>
      <c r="J155" t="n">
        <v>0</v>
      </c>
      <c r="K155" t="n">
        <v>1</v>
      </c>
      <c r="L155" t="n">
        <v>0</v>
      </c>
      <c r="M155" t="n">
        <v>0</v>
      </c>
      <c r="N155" t="n">
        <v>0</v>
      </c>
      <c r="O155" t="n">
        <v>1</v>
      </c>
      <c r="P155" t="n">
        <v>1</v>
      </c>
      <c r="Q155" t="n">
        <v>1</v>
      </c>
      <c r="R155" s="2" t="inlineStr">
        <is>
          <t>Knärot</t>
        </is>
      </c>
      <c r="S155">
        <f>HYPERLINK("https://klasma.github.io/Logging_2326/artfynd/A 9281-2026 artfynd.xlsx", "A 9281-2026")</f>
        <v/>
      </c>
      <c r="T155">
        <f>HYPERLINK("https://klasma.github.io/Logging_2326/kartor/A 9281-2026 karta.png", "A 9281-2026")</f>
        <v/>
      </c>
      <c r="U155">
        <f>HYPERLINK("https://klasma.github.io/Logging_2326/knärot/A 9281-2026 karta knärot.png", "A 9281-2026")</f>
        <v/>
      </c>
      <c r="V155">
        <f>HYPERLINK("https://klasma.github.io/Logging_2326/klagomål/A 9281-2026 FSC-klagomål.docx", "A 9281-2026")</f>
        <v/>
      </c>
      <c r="W155">
        <f>HYPERLINK("https://klasma.github.io/Logging_2326/klagomålsmail/A 9281-2026 FSC-klagomål mail.docx", "A 9281-2026")</f>
        <v/>
      </c>
      <c r="X155">
        <f>HYPERLINK("https://klasma.github.io/Logging_2326/tillsyn/A 9281-2026 tillsynsbegäran.docx", "A 9281-2026")</f>
        <v/>
      </c>
      <c r="Y155">
        <f>HYPERLINK("https://klasma.github.io/Logging_2326/tillsynsmail/A 9281-2026 tillsynsbegäran mail.docx", "A 9281-2026")</f>
        <v/>
      </c>
    </row>
    <row r="156" ht="15" customHeight="1">
      <c r="A156" t="inlineStr">
        <is>
          <t>A 53086-2024</t>
        </is>
      </c>
      <c r="B156" s="1" t="n">
        <v>45611.51084490741</v>
      </c>
      <c r="C156" s="1" t="n">
        <v>46090</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37513-2025</t>
        </is>
      </c>
      <c r="B157" s="1" t="n">
        <v>45877.69828703703</v>
      </c>
      <c r="C157" s="1" t="n">
        <v>46090</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34891-2024</t>
        </is>
      </c>
      <c r="B158" s="1" t="n">
        <v>45527.36498842593</v>
      </c>
      <c r="C158" s="1" t="n">
        <v>46090</v>
      </c>
      <c r="D158" t="inlineStr">
        <is>
          <t>JÄMTLANDS LÄN</t>
        </is>
      </c>
      <c r="E158" t="inlineStr">
        <is>
          <t>BERG</t>
        </is>
      </c>
      <c r="F158" t="inlineStr">
        <is>
          <t>SCA</t>
        </is>
      </c>
      <c r="G158" t="n">
        <v>1.5</v>
      </c>
      <c r="H158" t="n">
        <v>1</v>
      </c>
      <c r="I158" t="n">
        <v>0</v>
      </c>
      <c r="J158" t="n">
        <v>0</v>
      </c>
      <c r="K158" t="n">
        <v>1</v>
      </c>
      <c r="L158" t="n">
        <v>0</v>
      </c>
      <c r="M158" t="n">
        <v>0</v>
      </c>
      <c r="N158" t="n">
        <v>0</v>
      </c>
      <c r="O158" t="n">
        <v>1</v>
      </c>
      <c r="P158" t="n">
        <v>1</v>
      </c>
      <c r="Q158" t="n">
        <v>1</v>
      </c>
      <c r="R158" s="2" t="inlineStr">
        <is>
          <t>Knärot</t>
        </is>
      </c>
      <c r="S158">
        <f>HYPERLINK("https://klasma.github.io/Logging_2326/artfynd/A 34891-2024 artfynd.xlsx", "A 34891-2024")</f>
        <v/>
      </c>
      <c r="T158">
        <f>HYPERLINK("https://klasma.github.io/Logging_2326/kartor/A 34891-2024 karta.png", "A 34891-2024")</f>
        <v/>
      </c>
      <c r="U158">
        <f>HYPERLINK("https://klasma.github.io/Logging_2326/knärot/A 34891-2024 karta knärot.png", "A 34891-2024")</f>
        <v/>
      </c>
      <c r="V158">
        <f>HYPERLINK("https://klasma.github.io/Logging_2326/klagomål/A 34891-2024 FSC-klagomål.docx", "A 34891-2024")</f>
        <v/>
      </c>
      <c r="W158">
        <f>HYPERLINK("https://klasma.github.io/Logging_2326/klagomålsmail/A 34891-2024 FSC-klagomål mail.docx", "A 34891-2024")</f>
        <v/>
      </c>
      <c r="X158">
        <f>HYPERLINK("https://klasma.github.io/Logging_2326/tillsyn/A 34891-2024 tillsynsbegäran.docx", "A 34891-2024")</f>
        <v/>
      </c>
      <c r="Y158">
        <f>HYPERLINK("https://klasma.github.io/Logging_2326/tillsynsmail/A 34891-2024 tillsynsbegäran mail.docx", "A 34891-2024")</f>
        <v/>
      </c>
    </row>
    <row r="159" ht="15" customHeight="1">
      <c r="A159" t="inlineStr">
        <is>
          <t>A 37651-2025</t>
        </is>
      </c>
      <c r="B159" s="1" t="n">
        <v>45880.49006944444</v>
      </c>
      <c r="C159" s="1" t="n">
        <v>46090</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32171-2024</t>
        </is>
      </c>
      <c r="B160" s="1" t="n">
        <v>45511</v>
      </c>
      <c r="C160" s="1" t="n">
        <v>46090</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46090</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44259-2024</t>
        </is>
      </c>
      <c r="B162" s="1" t="n">
        <v>45573</v>
      </c>
      <c r="C162" s="1" t="n">
        <v>46090</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56198-2025</t>
        </is>
      </c>
      <c r="B163" s="1" t="n">
        <v>45974.45760416667</v>
      </c>
      <c r="C163" s="1" t="n">
        <v>46090</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9657-2023</t>
        </is>
      </c>
      <c r="B164" s="1" t="n">
        <v>44978</v>
      </c>
      <c r="C164" s="1" t="n">
        <v>46090</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971-2026</t>
        </is>
      </c>
      <c r="B165" s="1" t="n">
        <v>46029</v>
      </c>
      <c r="C165" s="1" t="n">
        <v>46090</v>
      </c>
      <c r="D165" t="inlineStr">
        <is>
          <t>JÄMTLANDS LÄN</t>
        </is>
      </c>
      <c r="E165" t="inlineStr">
        <is>
          <t>BERG</t>
        </is>
      </c>
      <c r="F165" t="inlineStr">
        <is>
          <t>SCA</t>
        </is>
      </c>
      <c r="G165" t="n">
        <v>9.699999999999999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HYPERLINK("https://klasma.github.io/Logging_2326/artfynd/A 971-2026 artfynd.xlsx", "A 971-2026")</f>
        <v/>
      </c>
      <c r="T165">
        <f>HYPERLINK("https://klasma.github.io/Logging_2326/kartor/A 971-2026 karta.png", "A 971-2026")</f>
        <v/>
      </c>
      <c r="V165">
        <f>HYPERLINK("https://klasma.github.io/Logging_2326/klagomål/A 971-2026 FSC-klagomål.docx", "A 971-2026")</f>
        <v/>
      </c>
      <c r="W165">
        <f>HYPERLINK("https://klasma.github.io/Logging_2326/klagomålsmail/A 971-2026 FSC-klagomål mail.docx", "A 971-2026")</f>
        <v/>
      </c>
      <c r="X165">
        <f>HYPERLINK("https://klasma.github.io/Logging_2326/tillsyn/A 971-2026 tillsynsbegäran.docx", "A 971-2026")</f>
        <v/>
      </c>
      <c r="Y165">
        <f>HYPERLINK("https://klasma.github.io/Logging_2326/tillsynsmail/A 971-2026 tillsynsbegäran mail.docx", "A 971-2026")</f>
        <v/>
      </c>
      <c r="Z165">
        <f>HYPERLINK("https://klasma.github.io/Logging_2326/fåglar/A 971-2026 prioriterade fågelarter.docx", "A 971-2026")</f>
        <v/>
      </c>
    </row>
    <row r="166" ht="15" customHeight="1">
      <c r="A166" t="inlineStr">
        <is>
          <t>A 49049-2024</t>
        </is>
      </c>
      <c r="B166" s="1" t="n">
        <v>45594.5742824074</v>
      </c>
      <c r="C166" s="1" t="n">
        <v>46090</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60150-2025</t>
        </is>
      </c>
      <c r="B167" s="1" t="n">
        <v>45994.38944444444</v>
      </c>
      <c r="C167" s="1" t="n">
        <v>46090</v>
      </c>
      <c r="D167" t="inlineStr">
        <is>
          <t>JÄMTLANDS LÄN</t>
        </is>
      </c>
      <c r="E167" t="inlineStr">
        <is>
          <t>BERG</t>
        </is>
      </c>
      <c r="G167" t="n">
        <v>17.6</v>
      </c>
      <c r="H167" t="n">
        <v>0</v>
      </c>
      <c r="I167" t="n">
        <v>0</v>
      </c>
      <c r="J167" t="n">
        <v>1</v>
      </c>
      <c r="K167" t="n">
        <v>0</v>
      </c>
      <c r="L167" t="n">
        <v>0</v>
      </c>
      <c r="M167" t="n">
        <v>0</v>
      </c>
      <c r="N167" t="n">
        <v>0</v>
      </c>
      <c r="O167" t="n">
        <v>1</v>
      </c>
      <c r="P167" t="n">
        <v>0</v>
      </c>
      <c r="Q167" t="n">
        <v>1</v>
      </c>
      <c r="R167" s="2" t="inlineStr">
        <is>
          <t>Kolflarnlav</t>
        </is>
      </c>
      <c r="S167">
        <f>HYPERLINK("https://klasma.github.io/Logging_2326/artfynd/A 60150-2025 artfynd.xlsx", "A 60150-2025")</f>
        <v/>
      </c>
      <c r="T167">
        <f>HYPERLINK("https://klasma.github.io/Logging_2326/kartor/A 60150-2025 karta.png", "A 60150-2025")</f>
        <v/>
      </c>
      <c r="V167">
        <f>HYPERLINK("https://klasma.github.io/Logging_2326/klagomål/A 60150-2025 FSC-klagomål.docx", "A 60150-2025")</f>
        <v/>
      </c>
      <c r="W167">
        <f>HYPERLINK("https://klasma.github.io/Logging_2326/klagomålsmail/A 60150-2025 FSC-klagomål mail.docx", "A 60150-2025")</f>
        <v/>
      </c>
      <c r="X167">
        <f>HYPERLINK("https://klasma.github.io/Logging_2326/tillsyn/A 60150-2025 tillsynsbegäran.docx", "A 60150-2025")</f>
        <v/>
      </c>
      <c r="Y167">
        <f>HYPERLINK("https://klasma.github.io/Logging_2326/tillsynsmail/A 60150-2025 tillsynsbegäran mail.docx", "A 60150-2025")</f>
        <v/>
      </c>
    </row>
    <row r="168" ht="15" customHeight="1">
      <c r="A168" t="inlineStr">
        <is>
          <t>A 60633-2025</t>
        </is>
      </c>
      <c r="B168" s="1" t="n">
        <v>45996.42788194444</v>
      </c>
      <c r="C168" s="1" t="n">
        <v>46090</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21632-2025</t>
        </is>
      </c>
      <c r="B169" s="1" t="n">
        <v>45783</v>
      </c>
      <c r="C169" s="1" t="n">
        <v>46090</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21370-2025</t>
        </is>
      </c>
      <c r="B170" s="1" t="n">
        <v>45782</v>
      </c>
      <c r="C170" s="1" t="n">
        <v>46090</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23177-2024</t>
        </is>
      </c>
      <c r="B171" s="1" t="n">
        <v>45450</v>
      </c>
      <c r="C171" s="1" t="n">
        <v>46090</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53014-2022</t>
        </is>
      </c>
      <c r="B172" s="1" t="n">
        <v>44875</v>
      </c>
      <c r="C172" s="1" t="n">
        <v>46090</v>
      </c>
      <c r="D172" t="inlineStr">
        <is>
          <t>JÄMTLANDS LÄN</t>
        </is>
      </c>
      <c r="E172" t="inlineStr">
        <is>
          <t>BERG</t>
        </is>
      </c>
      <c r="F172" t="inlineStr">
        <is>
          <t>SCA</t>
        </is>
      </c>
      <c r="G172" t="n">
        <v>13</v>
      </c>
      <c r="H172" t="n">
        <v>0</v>
      </c>
      <c r="I172" t="n">
        <v>0</v>
      </c>
      <c r="J172" t="n">
        <v>0</v>
      </c>
      <c r="K172" t="n">
        <v>1</v>
      </c>
      <c r="L172" t="n">
        <v>0</v>
      </c>
      <c r="M172" t="n">
        <v>0</v>
      </c>
      <c r="N172" t="n">
        <v>0</v>
      </c>
      <c r="O172" t="n">
        <v>1</v>
      </c>
      <c r="P172" t="n">
        <v>1</v>
      </c>
      <c r="Q172" t="n">
        <v>1</v>
      </c>
      <c r="R172" s="2" t="inlineStr">
        <is>
          <t>Gräddporing</t>
        </is>
      </c>
      <c r="S172">
        <f>HYPERLINK("https://klasma.github.io/Logging_2326/artfynd/A 53014-2022 artfynd.xlsx", "A 53014-2022")</f>
        <v/>
      </c>
      <c r="T172">
        <f>HYPERLINK("https://klasma.github.io/Logging_2326/kartor/A 53014-2022 karta.png", "A 53014-2022")</f>
        <v/>
      </c>
      <c r="V172">
        <f>HYPERLINK("https://klasma.github.io/Logging_2326/klagomål/A 53014-2022 FSC-klagomål.docx", "A 53014-2022")</f>
        <v/>
      </c>
      <c r="W172">
        <f>HYPERLINK("https://klasma.github.io/Logging_2326/klagomålsmail/A 53014-2022 FSC-klagomål mail.docx", "A 53014-2022")</f>
        <v/>
      </c>
      <c r="X172">
        <f>HYPERLINK("https://klasma.github.io/Logging_2326/tillsyn/A 53014-2022 tillsynsbegäran.docx", "A 53014-2022")</f>
        <v/>
      </c>
      <c r="Y172">
        <f>HYPERLINK("https://klasma.github.io/Logging_2326/tillsynsmail/A 53014-2022 tillsynsbegäran mail.docx", "A 53014-2022")</f>
        <v/>
      </c>
    </row>
    <row r="173" ht="15" customHeight="1">
      <c r="A173" t="inlineStr">
        <is>
          <t>A 24309-2023</t>
        </is>
      </c>
      <c r="B173" s="1" t="n">
        <v>45079</v>
      </c>
      <c r="C173" s="1" t="n">
        <v>46090</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32686-2022</t>
        </is>
      </c>
      <c r="B174" s="1" t="n">
        <v>44776</v>
      </c>
      <c r="C174" s="1" t="n">
        <v>46090</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68434-2021</t>
        </is>
      </c>
      <c r="B175" s="1" t="n">
        <v>44529</v>
      </c>
      <c r="C175" s="1" t="n">
        <v>46090</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46090</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46090</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46090</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46090</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46090</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46090</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46090</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46090</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46090</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46090</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49196-2022</t>
        </is>
      </c>
      <c r="B186" s="1" t="n">
        <v>44860.95508101852</v>
      </c>
      <c r="C186" s="1" t="n">
        <v>46090</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46090</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46090</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46090</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46090</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46090</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46090</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46090</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46090</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46090</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46090</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46090</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46090</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46090</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46090</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46090</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46090</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46090</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46090</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46090</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46090</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46090</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46090</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46090</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46090</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33558-2021</t>
        </is>
      </c>
      <c r="B211" s="1" t="n">
        <v>44377</v>
      </c>
      <c r="C211" s="1" t="n">
        <v>46090</v>
      </c>
      <c r="D211" t="inlineStr">
        <is>
          <t>JÄMTLANDS LÄN</t>
        </is>
      </c>
      <c r="E211" t="inlineStr">
        <is>
          <t>BERG</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46090</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46090</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46090</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46090</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46090</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46090</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46090</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46090</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46090</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46090</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46090</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46090</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46090</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46090</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46090</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46090</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46090</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46090</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46090</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46090</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46090</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46090</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46090</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46090</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46090</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46090</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46090</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46090</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46090</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46090</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46090</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46090</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46090</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46090</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46090</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46090</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46090</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46090</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10230-2024</t>
        </is>
      </c>
      <c r="B250" s="1" t="n">
        <v>45365.31883101852</v>
      </c>
      <c r="C250" s="1" t="n">
        <v>46090</v>
      </c>
      <c r="D250" t="inlineStr">
        <is>
          <t>JÄMTLANDS LÄN</t>
        </is>
      </c>
      <c r="E250" t="inlineStr">
        <is>
          <t>BERG</t>
        </is>
      </c>
      <c r="G250" t="n">
        <v>6.3</v>
      </c>
      <c r="H250" t="n">
        <v>0</v>
      </c>
      <c r="I250" t="n">
        <v>0</v>
      </c>
      <c r="J250" t="n">
        <v>0</v>
      </c>
      <c r="K250" t="n">
        <v>0</v>
      </c>
      <c r="L250" t="n">
        <v>0</v>
      </c>
      <c r="M250" t="n">
        <v>0</v>
      </c>
      <c r="N250" t="n">
        <v>0</v>
      </c>
      <c r="O250" t="n">
        <v>0</v>
      </c>
      <c r="P250" t="n">
        <v>0</v>
      </c>
      <c r="Q250" t="n">
        <v>0</v>
      </c>
      <c r="R250" s="2" t="inlineStr"/>
    </row>
    <row r="251" ht="15" customHeight="1">
      <c r="A251" t="inlineStr">
        <is>
          <t>A 51951-2021</t>
        </is>
      </c>
      <c r="B251" s="1" t="n">
        <v>44462</v>
      </c>
      <c r="C251" s="1" t="n">
        <v>46090</v>
      </c>
      <c r="D251" t="inlineStr">
        <is>
          <t>JÄMTLANDS LÄN</t>
        </is>
      </c>
      <c r="E251" t="inlineStr">
        <is>
          <t>BERG</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65209-2023</t>
        </is>
      </c>
      <c r="B252" s="1" t="n">
        <v>45289</v>
      </c>
      <c r="C252" s="1" t="n">
        <v>46090</v>
      </c>
      <c r="D252" t="inlineStr">
        <is>
          <t>JÄMTLANDS LÄN</t>
        </is>
      </c>
      <c r="E252" t="inlineStr">
        <is>
          <t>BERG</t>
        </is>
      </c>
      <c r="G252" t="n">
        <v>1</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46090</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18685-2024</t>
        </is>
      </c>
      <c r="B254" s="1" t="n">
        <v>45426.38322916667</v>
      </c>
      <c r="C254" s="1" t="n">
        <v>46090</v>
      </c>
      <c r="D254" t="inlineStr">
        <is>
          <t>JÄMTLANDS LÄN</t>
        </is>
      </c>
      <c r="E254" t="inlineStr">
        <is>
          <t>BERG</t>
        </is>
      </c>
      <c r="G254" t="n">
        <v>5.1</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46090</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44110-2022</t>
        </is>
      </c>
      <c r="B256" s="1" t="n">
        <v>44837</v>
      </c>
      <c r="C256" s="1" t="n">
        <v>46090</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10974-2025</t>
        </is>
      </c>
      <c r="B257" s="1" t="n">
        <v>45723.38790509259</v>
      </c>
      <c r="C257" s="1" t="n">
        <v>46090</v>
      </c>
      <c r="D257" t="inlineStr">
        <is>
          <t>JÄMTLANDS LÄN</t>
        </is>
      </c>
      <c r="E257" t="inlineStr">
        <is>
          <t>BERG</t>
        </is>
      </c>
      <c r="G257" t="n">
        <v>6.9</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46090</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47674-2024</t>
        </is>
      </c>
      <c r="B259" s="1" t="n">
        <v>45588.40413194444</v>
      </c>
      <c r="C259" s="1" t="n">
        <v>46090</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46090</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35792-2024</t>
        </is>
      </c>
      <c r="B261" s="1" t="n">
        <v>45532.62950231481</v>
      </c>
      <c r="C261" s="1" t="n">
        <v>46090</v>
      </c>
      <c r="D261" t="inlineStr">
        <is>
          <t>JÄMTLANDS LÄN</t>
        </is>
      </c>
      <c r="E261" t="inlineStr">
        <is>
          <t>BERG</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62360-2023</t>
        </is>
      </c>
      <c r="B262" s="1" t="n">
        <v>45267</v>
      </c>
      <c r="C262" s="1" t="n">
        <v>46090</v>
      </c>
      <c r="D262" t="inlineStr">
        <is>
          <t>JÄMTLANDS LÄN</t>
        </is>
      </c>
      <c r="E262" t="inlineStr">
        <is>
          <t>BERG</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9482-2024</t>
        </is>
      </c>
      <c r="B263" s="1" t="n">
        <v>45359.57847222222</v>
      </c>
      <c r="C263" s="1" t="n">
        <v>46090</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1499-2025</t>
        </is>
      </c>
      <c r="B264" s="1" t="n">
        <v>45670.41112268518</v>
      </c>
      <c r="C264" s="1" t="n">
        <v>46090</v>
      </c>
      <c r="D264" t="inlineStr">
        <is>
          <t>JÄMTLANDS LÄN</t>
        </is>
      </c>
      <c r="E264" t="inlineStr">
        <is>
          <t>BERG</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48069-2023</t>
        </is>
      </c>
      <c r="B265" s="1" t="n">
        <v>45204</v>
      </c>
      <c r="C265" s="1" t="n">
        <v>46090</v>
      </c>
      <c r="D265" t="inlineStr">
        <is>
          <t>JÄMTLANDS LÄN</t>
        </is>
      </c>
      <c r="E265" t="inlineStr">
        <is>
          <t>BERG</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46090</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46090</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46090</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4476-2025</t>
        </is>
      </c>
      <c r="B269" s="1" t="n">
        <v>45686.62828703703</v>
      </c>
      <c r="C269" s="1" t="n">
        <v>46090</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46090</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46090</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18217-2023</t>
        </is>
      </c>
      <c r="B272" s="1" t="n">
        <v>45040</v>
      </c>
      <c r="C272" s="1" t="n">
        <v>46090</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3419-2025</t>
        </is>
      </c>
      <c r="B273" s="1" t="n">
        <v>45680.4165625</v>
      </c>
      <c r="C273" s="1" t="n">
        <v>46090</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63819-2023</t>
        </is>
      </c>
      <c r="B274" s="1" t="n">
        <v>45278.44128472222</v>
      </c>
      <c r="C274" s="1" t="n">
        <v>46090</v>
      </c>
      <c r="D274" t="inlineStr">
        <is>
          <t>JÄMTLANDS LÄN</t>
        </is>
      </c>
      <c r="E274" t="inlineStr">
        <is>
          <t>BERG</t>
        </is>
      </c>
      <c r="G274" t="n">
        <v>1.8</v>
      </c>
      <c r="H274" t="n">
        <v>0</v>
      </c>
      <c r="I274" t="n">
        <v>0</v>
      </c>
      <c r="J274" t="n">
        <v>0</v>
      </c>
      <c r="K274" t="n">
        <v>0</v>
      </c>
      <c r="L274" t="n">
        <v>0</v>
      </c>
      <c r="M274" t="n">
        <v>0</v>
      </c>
      <c r="N274" t="n">
        <v>0</v>
      </c>
      <c r="O274" t="n">
        <v>0</v>
      </c>
      <c r="P274" t="n">
        <v>0</v>
      </c>
      <c r="Q274" t="n">
        <v>0</v>
      </c>
      <c r="R274" s="2" t="inlineStr"/>
    </row>
    <row r="275" ht="15" customHeight="1">
      <c r="A275" t="inlineStr">
        <is>
          <t>A 64490-2023</t>
        </is>
      </c>
      <c r="B275" s="1" t="n">
        <v>45280</v>
      </c>
      <c r="C275" s="1" t="n">
        <v>46090</v>
      </c>
      <c r="D275" t="inlineStr">
        <is>
          <t>JÄMTLANDS LÄN</t>
        </is>
      </c>
      <c r="E275" t="inlineStr">
        <is>
          <t>BERG</t>
        </is>
      </c>
      <c r="F275" t="inlineStr">
        <is>
          <t>Övriga Aktiebolag</t>
        </is>
      </c>
      <c r="G275" t="n">
        <v>7.7</v>
      </c>
      <c r="H275" t="n">
        <v>0</v>
      </c>
      <c r="I275" t="n">
        <v>0</v>
      </c>
      <c r="J275" t="n">
        <v>0</v>
      </c>
      <c r="K275" t="n">
        <v>0</v>
      </c>
      <c r="L275" t="n">
        <v>0</v>
      </c>
      <c r="M275" t="n">
        <v>0</v>
      </c>
      <c r="N275" t="n">
        <v>0</v>
      </c>
      <c r="O275" t="n">
        <v>0</v>
      </c>
      <c r="P275" t="n">
        <v>0</v>
      </c>
      <c r="Q275" t="n">
        <v>0</v>
      </c>
      <c r="R275" s="2" t="inlineStr"/>
    </row>
    <row r="276" ht="15" customHeight="1">
      <c r="A276" t="inlineStr">
        <is>
          <t>A 29540-2024</t>
        </is>
      </c>
      <c r="B276" s="1" t="n">
        <v>45484</v>
      </c>
      <c r="C276" s="1" t="n">
        <v>46090</v>
      </c>
      <c r="D276" t="inlineStr">
        <is>
          <t>JÄMTLANDS LÄN</t>
        </is>
      </c>
      <c r="E276" t="inlineStr">
        <is>
          <t>BERG</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43403-2023</t>
        </is>
      </c>
      <c r="B277" s="1" t="n">
        <v>45183</v>
      </c>
      <c r="C277" s="1" t="n">
        <v>46090</v>
      </c>
      <c r="D277" t="inlineStr">
        <is>
          <t>JÄMTLANDS LÄN</t>
        </is>
      </c>
      <c r="E277" t="inlineStr">
        <is>
          <t>BERG</t>
        </is>
      </c>
      <c r="F277" t="inlineStr">
        <is>
          <t>SCA</t>
        </is>
      </c>
      <c r="G277" t="n">
        <v>0.1</v>
      </c>
      <c r="H277" t="n">
        <v>0</v>
      </c>
      <c r="I277" t="n">
        <v>0</v>
      </c>
      <c r="J277" t="n">
        <v>0</v>
      </c>
      <c r="K277" t="n">
        <v>0</v>
      </c>
      <c r="L277" t="n">
        <v>0</v>
      </c>
      <c r="M277" t="n">
        <v>0</v>
      </c>
      <c r="N277" t="n">
        <v>0</v>
      </c>
      <c r="O277" t="n">
        <v>0</v>
      </c>
      <c r="P277" t="n">
        <v>0</v>
      </c>
      <c r="Q277" t="n">
        <v>0</v>
      </c>
      <c r="R277" s="2" t="inlineStr"/>
    </row>
    <row r="278" ht="15" customHeight="1">
      <c r="A278" t="inlineStr">
        <is>
          <t>A 54799-2021</t>
        </is>
      </c>
      <c r="B278" s="1" t="n">
        <v>44473</v>
      </c>
      <c r="C278" s="1" t="n">
        <v>46090</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5014-2024</t>
        </is>
      </c>
      <c r="B279" s="1" t="n">
        <v>45329</v>
      </c>
      <c r="C279" s="1" t="n">
        <v>46090</v>
      </c>
      <c r="D279" t="inlineStr">
        <is>
          <t>JÄMTLANDS LÄN</t>
        </is>
      </c>
      <c r="E279" t="inlineStr">
        <is>
          <t>BERG</t>
        </is>
      </c>
      <c r="G279" t="n">
        <v>1.1</v>
      </c>
      <c r="H279" t="n">
        <v>0</v>
      </c>
      <c r="I279" t="n">
        <v>0</v>
      </c>
      <c r="J279" t="n">
        <v>0</v>
      </c>
      <c r="K279" t="n">
        <v>0</v>
      </c>
      <c r="L279" t="n">
        <v>0</v>
      </c>
      <c r="M279" t="n">
        <v>0</v>
      </c>
      <c r="N279" t="n">
        <v>0</v>
      </c>
      <c r="O279" t="n">
        <v>0</v>
      </c>
      <c r="P279" t="n">
        <v>0</v>
      </c>
      <c r="Q279" t="n">
        <v>0</v>
      </c>
      <c r="R279" s="2" t="inlineStr"/>
    </row>
    <row r="280" ht="15" customHeight="1">
      <c r="A280" t="inlineStr">
        <is>
          <t>A 41927-2023</t>
        </is>
      </c>
      <c r="B280" s="1" t="n">
        <v>45176</v>
      </c>
      <c r="C280" s="1" t="n">
        <v>46090</v>
      </c>
      <c r="D280" t="inlineStr">
        <is>
          <t>JÄMTLANDS LÄN</t>
        </is>
      </c>
      <c r="E280" t="inlineStr">
        <is>
          <t>BERG</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5187-2025</t>
        </is>
      </c>
      <c r="B281" s="1" t="n">
        <v>45691.64266203704</v>
      </c>
      <c r="C281" s="1" t="n">
        <v>46090</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61085-2024</t>
        </is>
      </c>
      <c r="B282" s="1" t="n">
        <v>45645.53202546296</v>
      </c>
      <c r="C282" s="1" t="n">
        <v>46090</v>
      </c>
      <c r="D282" t="inlineStr">
        <is>
          <t>JÄMTLANDS LÄN</t>
        </is>
      </c>
      <c r="E282" t="inlineStr">
        <is>
          <t>BERG</t>
        </is>
      </c>
      <c r="F282" t="inlineStr">
        <is>
          <t>SCA</t>
        </is>
      </c>
      <c r="G282" t="n">
        <v>12.2</v>
      </c>
      <c r="H282" t="n">
        <v>0</v>
      </c>
      <c r="I282" t="n">
        <v>0</v>
      </c>
      <c r="J282" t="n">
        <v>0</v>
      </c>
      <c r="K282" t="n">
        <v>0</v>
      </c>
      <c r="L282" t="n">
        <v>0</v>
      </c>
      <c r="M282" t="n">
        <v>0</v>
      </c>
      <c r="N282" t="n">
        <v>0</v>
      </c>
      <c r="O282" t="n">
        <v>0</v>
      </c>
      <c r="P282" t="n">
        <v>0</v>
      </c>
      <c r="Q282" t="n">
        <v>0</v>
      </c>
      <c r="R282" s="2" t="inlineStr"/>
    </row>
    <row r="283" ht="15" customHeight="1">
      <c r="A283" t="inlineStr">
        <is>
          <t>A 18007-2024</t>
        </is>
      </c>
      <c r="B283" s="1" t="n">
        <v>45419.94912037037</v>
      </c>
      <c r="C283" s="1" t="n">
        <v>46090</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17899-2024</t>
        </is>
      </c>
      <c r="B284" s="1" t="n">
        <v>45419.49334490741</v>
      </c>
      <c r="C284" s="1" t="n">
        <v>46090</v>
      </c>
      <c r="D284" t="inlineStr">
        <is>
          <t>JÄMTLANDS LÄN</t>
        </is>
      </c>
      <c r="E284" t="inlineStr">
        <is>
          <t>BERG</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17922-2024</t>
        </is>
      </c>
      <c r="B285" s="1" t="n">
        <v>45419.5853587963</v>
      </c>
      <c r="C285" s="1" t="n">
        <v>46090</v>
      </c>
      <c r="D285" t="inlineStr">
        <is>
          <t>JÄMTLANDS LÄN</t>
        </is>
      </c>
      <c r="E285" t="inlineStr">
        <is>
          <t>BERG</t>
        </is>
      </c>
      <c r="F285" t="inlineStr">
        <is>
          <t>Holmen skog AB</t>
        </is>
      </c>
      <c r="G285" t="n">
        <v>6.8</v>
      </c>
      <c r="H285" t="n">
        <v>0</v>
      </c>
      <c r="I285" t="n">
        <v>0</v>
      </c>
      <c r="J285" t="n">
        <v>0</v>
      </c>
      <c r="K285" t="n">
        <v>0</v>
      </c>
      <c r="L285" t="n">
        <v>0</v>
      </c>
      <c r="M285" t="n">
        <v>0</v>
      </c>
      <c r="N285" t="n">
        <v>0</v>
      </c>
      <c r="O285" t="n">
        <v>0</v>
      </c>
      <c r="P285" t="n">
        <v>0</v>
      </c>
      <c r="Q285" t="n">
        <v>0</v>
      </c>
      <c r="R285" s="2" t="inlineStr"/>
    </row>
    <row r="286" ht="15" customHeight="1">
      <c r="A286" t="inlineStr">
        <is>
          <t>A 23766-2025</t>
        </is>
      </c>
      <c r="B286" s="1" t="n">
        <v>45793.46954861111</v>
      </c>
      <c r="C286" s="1" t="n">
        <v>46090</v>
      </c>
      <c r="D286" t="inlineStr">
        <is>
          <t>JÄMTLANDS LÄN</t>
        </is>
      </c>
      <c r="E286" t="inlineStr">
        <is>
          <t>BERG</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46902-2024</t>
        </is>
      </c>
      <c r="B287" s="1" t="n">
        <v>45583.69847222222</v>
      </c>
      <c r="C287" s="1" t="n">
        <v>46090</v>
      </c>
      <c r="D287" t="inlineStr">
        <is>
          <t>JÄMTLANDS LÄN</t>
        </is>
      </c>
      <c r="E287" t="inlineStr">
        <is>
          <t>BERG</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23913-2025</t>
        </is>
      </c>
      <c r="B288" s="1" t="n">
        <v>45795.34442129629</v>
      </c>
      <c r="C288" s="1" t="n">
        <v>46090</v>
      </c>
      <c r="D288" t="inlineStr">
        <is>
          <t>JÄMTLANDS LÄN</t>
        </is>
      </c>
      <c r="E288" t="inlineStr">
        <is>
          <t>BERG</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3842-2023</t>
        </is>
      </c>
      <c r="B289" s="1" t="n">
        <v>44951</v>
      </c>
      <c r="C289" s="1" t="n">
        <v>46090</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14834-2025</t>
        </is>
      </c>
      <c r="B290" s="1" t="n">
        <v>45743.38224537037</v>
      </c>
      <c r="C290" s="1" t="n">
        <v>46090</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23919-2025</t>
        </is>
      </c>
      <c r="B291" s="1" t="n">
        <v>45795.34497685185</v>
      </c>
      <c r="C291" s="1" t="n">
        <v>46090</v>
      </c>
      <c r="D291" t="inlineStr">
        <is>
          <t>JÄMTLANDS LÄN</t>
        </is>
      </c>
      <c r="E291" t="inlineStr">
        <is>
          <t>BERG</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44911-2021</t>
        </is>
      </c>
      <c r="B292" s="1" t="n">
        <v>44435</v>
      </c>
      <c r="C292" s="1" t="n">
        <v>46090</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24324-2025</t>
        </is>
      </c>
      <c r="B293" s="1" t="n">
        <v>45797.56049768518</v>
      </c>
      <c r="C293" s="1" t="n">
        <v>46090</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7515-2026</t>
        </is>
      </c>
      <c r="B294" s="1" t="n">
        <v>46059.59258101852</v>
      </c>
      <c r="C294" s="1" t="n">
        <v>46090</v>
      </c>
      <c r="D294" t="inlineStr">
        <is>
          <t>JÄMTLANDS LÄN</t>
        </is>
      </c>
      <c r="E294" t="inlineStr">
        <is>
          <t>BERG</t>
        </is>
      </c>
      <c r="F294" t="inlineStr">
        <is>
          <t>Övriga Aktiebolag</t>
        </is>
      </c>
      <c r="G294" t="n">
        <v>1</v>
      </c>
      <c r="H294" t="n">
        <v>0</v>
      </c>
      <c r="I294" t="n">
        <v>0</v>
      </c>
      <c r="J294" t="n">
        <v>0</v>
      </c>
      <c r="K294" t="n">
        <v>0</v>
      </c>
      <c r="L294" t="n">
        <v>0</v>
      </c>
      <c r="M294" t="n">
        <v>0</v>
      </c>
      <c r="N294" t="n">
        <v>0</v>
      </c>
      <c r="O294" t="n">
        <v>0</v>
      </c>
      <c r="P294" t="n">
        <v>0</v>
      </c>
      <c r="Q294" t="n">
        <v>0</v>
      </c>
      <c r="R294" s="2" t="inlineStr"/>
    </row>
    <row r="295" ht="15" customHeight="1">
      <c r="A295" t="inlineStr">
        <is>
          <t>A 36142-2025</t>
        </is>
      </c>
      <c r="B295" s="1" t="n">
        <v>45866</v>
      </c>
      <c r="C295" s="1" t="n">
        <v>46090</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48209-2025</t>
        </is>
      </c>
      <c r="B296" s="1" t="n">
        <v>45933.4900462963</v>
      </c>
      <c r="C296" s="1" t="n">
        <v>46090</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59526-2024</t>
        </is>
      </c>
      <c r="B297" s="1" t="n">
        <v>45638.58019675926</v>
      </c>
      <c r="C297" s="1" t="n">
        <v>46090</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45570-2025</t>
        </is>
      </c>
      <c r="B298" s="1" t="n">
        <v>45922.65715277778</v>
      </c>
      <c r="C298" s="1" t="n">
        <v>46090</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48190-2025</t>
        </is>
      </c>
      <c r="B299" s="1" t="n">
        <v>45933.46930555555</v>
      </c>
      <c r="C299" s="1" t="n">
        <v>46090</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29511-2021</t>
        </is>
      </c>
      <c r="B300" s="1" t="n">
        <v>44361</v>
      </c>
      <c r="C300" s="1" t="n">
        <v>46090</v>
      </c>
      <c r="D300" t="inlineStr">
        <is>
          <t>JÄMTLANDS LÄN</t>
        </is>
      </c>
      <c r="E300" t="inlineStr">
        <is>
          <t>BERG</t>
        </is>
      </c>
      <c r="G300" t="n">
        <v>5.6</v>
      </c>
      <c r="H300" t="n">
        <v>0</v>
      </c>
      <c r="I300" t="n">
        <v>0</v>
      </c>
      <c r="J300" t="n">
        <v>0</v>
      </c>
      <c r="K300" t="n">
        <v>0</v>
      </c>
      <c r="L300" t="n">
        <v>0</v>
      </c>
      <c r="M300" t="n">
        <v>0</v>
      </c>
      <c r="N300" t="n">
        <v>0</v>
      </c>
      <c r="O300" t="n">
        <v>0</v>
      </c>
      <c r="P300" t="n">
        <v>0</v>
      </c>
      <c r="Q300" t="n">
        <v>0</v>
      </c>
      <c r="R300" s="2" t="inlineStr"/>
    </row>
    <row r="301" ht="15" customHeight="1">
      <c r="A301" t="inlineStr">
        <is>
          <t>A 60831-2025</t>
        </is>
      </c>
      <c r="B301" s="1" t="n">
        <v>45999.46935185185</v>
      </c>
      <c r="C301" s="1" t="n">
        <v>46090</v>
      </c>
      <c r="D301" t="inlineStr">
        <is>
          <t>JÄMTLANDS LÄN</t>
        </is>
      </c>
      <c r="E301" t="inlineStr">
        <is>
          <t>BERG</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23900-2025</t>
        </is>
      </c>
      <c r="B302" s="1" t="n">
        <v>45794.34425925926</v>
      </c>
      <c r="C302" s="1" t="n">
        <v>46090</v>
      </c>
      <c r="D302" t="inlineStr">
        <is>
          <t>JÄMTLANDS LÄN</t>
        </is>
      </c>
      <c r="E302" t="inlineStr">
        <is>
          <t>BERG</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23915-2025</t>
        </is>
      </c>
      <c r="B303" s="1" t="n">
        <v>45795.3446412037</v>
      </c>
      <c r="C303" s="1" t="n">
        <v>46090</v>
      </c>
      <c r="D303" t="inlineStr">
        <is>
          <t>JÄMTLANDS LÄN</t>
        </is>
      </c>
      <c r="E303" t="inlineStr">
        <is>
          <t>BERG</t>
        </is>
      </c>
      <c r="F303" t="inlineStr">
        <is>
          <t>SCA</t>
        </is>
      </c>
      <c r="G303" t="n">
        <v>16.7</v>
      </c>
      <c r="H303" t="n">
        <v>0</v>
      </c>
      <c r="I303" t="n">
        <v>0</v>
      </c>
      <c r="J303" t="n">
        <v>0</v>
      </c>
      <c r="K303" t="n">
        <v>0</v>
      </c>
      <c r="L303" t="n">
        <v>0</v>
      </c>
      <c r="M303" t="n">
        <v>0</v>
      </c>
      <c r="N303" t="n">
        <v>0</v>
      </c>
      <c r="O303" t="n">
        <v>0</v>
      </c>
      <c r="P303" t="n">
        <v>0</v>
      </c>
      <c r="Q303" t="n">
        <v>0</v>
      </c>
      <c r="R303" s="2" t="inlineStr"/>
    </row>
    <row r="304" ht="15" customHeight="1">
      <c r="A304" t="inlineStr">
        <is>
          <t>A 23916-2025</t>
        </is>
      </c>
      <c r="B304" s="1" t="n">
        <v>45795.34472222222</v>
      </c>
      <c r="C304" s="1" t="n">
        <v>46090</v>
      </c>
      <c r="D304" t="inlineStr">
        <is>
          <t>JÄMTLANDS LÄN</t>
        </is>
      </c>
      <c r="E304" t="inlineStr">
        <is>
          <t>BERG</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24360-2025</t>
        </is>
      </c>
      <c r="B305" s="1" t="n">
        <v>45797.59502314815</v>
      </c>
      <c r="C305" s="1" t="n">
        <v>46090</v>
      </c>
      <c r="D305" t="inlineStr">
        <is>
          <t>JÄMTLANDS LÄN</t>
        </is>
      </c>
      <c r="E305" t="inlineStr">
        <is>
          <t>BERG</t>
        </is>
      </c>
      <c r="F305" t="inlineStr">
        <is>
          <t>SCA</t>
        </is>
      </c>
      <c r="G305" t="n">
        <v>10.5</v>
      </c>
      <c r="H305" t="n">
        <v>0</v>
      </c>
      <c r="I305" t="n">
        <v>0</v>
      </c>
      <c r="J305" t="n">
        <v>0</v>
      </c>
      <c r="K305" t="n">
        <v>0</v>
      </c>
      <c r="L305" t="n">
        <v>0</v>
      </c>
      <c r="M305" t="n">
        <v>0</v>
      </c>
      <c r="N305" t="n">
        <v>0</v>
      </c>
      <c r="O305" t="n">
        <v>0</v>
      </c>
      <c r="P305" t="n">
        <v>0</v>
      </c>
      <c r="Q305" t="n">
        <v>0</v>
      </c>
      <c r="R305" s="2" t="inlineStr"/>
    </row>
    <row r="306" ht="15" customHeight="1">
      <c r="A306" t="inlineStr">
        <is>
          <t>A 24060-2025</t>
        </is>
      </c>
      <c r="B306" s="1" t="n">
        <v>45796.5216087963</v>
      </c>
      <c r="C306" s="1" t="n">
        <v>46090</v>
      </c>
      <c r="D306" t="inlineStr">
        <is>
          <t>JÄMTLANDS LÄN</t>
        </is>
      </c>
      <c r="E306" t="inlineStr">
        <is>
          <t>BERG</t>
        </is>
      </c>
      <c r="G306" t="n">
        <v>4.7</v>
      </c>
      <c r="H306" t="n">
        <v>0</v>
      </c>
      <c r="I306" t="n">
        <v>0</v>
      </c>
      <c r="J306" t="n">
        <v>0</v>
      </c>
      <c r="K306" t="n">
        <v>0</v>
      </c>
      <c r="L306" t="n">
        <v>0</v>
      </c>
      <c r="M306" t="n">
        <v>0</v>
      </c>
      <c r="N306" t="n">
        <v>0</v>
      </c>
      <c r="O306" t="n">
        <v>0</v>
      </c>
      <c r="P306" t="n">
        <v>0</v>
      </c>
      <c r="Q306" t="n">
        <v>0</v>
      </c>
      <c r="R306" s="2" t="inlineStr"/>
    </row>
    <row r="307" ht="15" customHeight="1">
      <c r="A307" t="inlineStr">
        <is>
          <t>A 46908-2025</t>
        </is>
      </c>
      <c r="B307" s="1" t="n">
        <v>45929.40664351852</v>
      </c>
      <c r="C307" s="1" t="n">
        <v>46090</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24390-2025</t>
        </is>
      </c>
      <c r="B308" s="1" t="n">
        <v>45797.63576388889</v>
      </c>
      <c r="C308" s="1" t="n">
        <v>46090</v>
      </c>
      <c r="D308" t="inlineStr">
        <is>
          <t>JÄMTLANDS LÄN</t>
        </is>
      </c>
      <c r="E308" t="inlineStr">
        <is>
          <t>BERG</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23901-2025</t>
        </is>
      </c>
      <c r="B309" s="1" t="n">
        <v>45794.34436342592</v>
      </c>
      <c r="C309" s="1" t="n">
        <v>46090</v>
      </c>
      <c r="D309" t="inlineStr">
        <is>
          <t>JÄMTLANDS LÄN</t>
        </is>
      </c>
      <c r="E309" t="inlineStr">
        <is>
          <t>BERG</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23920-2025</t>
        </is>
      </c>
      <c r="B310" s="1" t="n">
        <v>45795.34505787037</v>
      </c>
      <c r="C310" s="1" t="n">
        <v>46090</v>
      </c>
      <c r="D310" t="inlineStr">
        <is>
          <t>JÄMTLANDS LÄN</t>
        </is>
      </c>
      <c r="E310" t="inlineStr">
        <is>
          <t>BERG</t>
        </is>
      </c>
      <c r="F310" t="inlineStr">
        <is>
          <t>SCA</t>
        </is>
      </c>
      <c r="G310" t="n">
        <v>8.5</v>
      </c>
      <c r="H310" t="n">
        <v>0</v>
      </c>
      <c r="I310" t="n">
        <v>0</v>
      </c>
      <c r="J310" t="n">
        <v>0</v>
      </c>
      <c r="K310" t="n">
        <v>0</v>
      </c>
      <c r="L310" t="n">
        <v>0</v>
      </c>
      <c r="M310" t="n">
        <v>0</v>
      </c>
      <c r="N310" t="n">
        <v>0</v>
      </c>
      <c r="O310" t="n">
        <v>0</v>
      </c>
      <c r="P310" t="n">
        <v>0</v>
      </c>
      <c r="Q310" t="n">
        <v>0</v>
      </c>
      <c r="R310" s="2" t="inlineStr"/>
    </row>
    <row r="311" ht="15" customHeight="1">
      <c r="A311" t="inlineStr">
        <is>
          <t>A 55223-2025</t>
        </is>
      </c>
      <c r="B311" s="1" t="n">
        <v>45968.59439814815</v>
      </c>
      <c r="C311" s="1" t="n">
        <v>46090</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57271-2025</t>
        </is>
      </c>
      <c r="B312" s="1" t="n">
        <v>45979.67789351852</v>
      </c>
      <c r="C312" s="1" t="n">
        <v>46090</v>
      </c>
      <c r="D312" t="inlineStr">
        <is>
          <t>JÄMTLANDS LÄN</t>
        </is>
      </c>
      <c r="E312" t="inlineStr">
        <is>
          <t>BERG</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46090</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46090</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48056-2025</t>
        </is>
      </c>
      <c r="B315" s="1" t="n">
        <v>45932.67946759259</v>
      </c>
      <c r="C315" s="1" t="n">
        <v>46090</v>
      </c>
      <c r="D315" t="inlineStr">
        <is>
          <t>JÄMTLANDS LÄN</t>
        </is>
      </c>
      <c r="E315" t="inlineStr">
        <is>
          <t>BERG</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55224-2025</t>
        </is>
      </c>
      <c r="B316" s="1" t="n">
        <v>45968.59447916667</v>
      </c>
      <c r="C316" s="1" t="n">
        <v>46090</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55770-2025</t>
        </is>
      </c>
      <c r="B317" s="1" t="n">
        <v>45972</v>
      </c>
      <c r="C317" s="1" t="n">
        <v>46090</v>
      </c>
      <c r="D317" t="inlineStr">
        <is>
          <t>JÄMTLANDS LÄN</t>
        </is>
      </c>
      <c r="E317" t="inlineStr">
        <is>
          <t>BERG</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23902-2025</t>
        </is>
      </c>
      <c r="B318" s="1" t="n">
        <v>45794.34447916667</v>
      </c>
      <c r="C318" s="1" t="n">
        <v>46090</v>
      </c>
      <c r="D318" t="inlineStr">
        <is>
          <t>JÄMTLANDS LÄN</t>
        </is>
      </c>
      <c r="E318" t="inlineStr">
        <is>
          <t>BERG</t>
        </is>
      </c>
      <c r="F318" t="inlineStr">
        <is>
          <t>SCA</t>
        </is>
      </c>
      <c r="G318" t="n">
        <v>14.3</v>
      </c>
      <c r="H318" t="n">
        <v>0</v>
      </c>
      <c r="I318" t="n">
        <v>0</v>
      </c>
      <c r="J318" t="n">
        <v>0</v>
      </c>
      <c r="K318" t="n">
        <v>0</v>
      </c>
      <c r="L318" t="n">
        <v>0</v>
      </c>
      <c r="M318" t="n">
        <v>0</v>
      </c>
      <c r="N318" t="n">
        <v>0</v>
      </c>
      <c r="O318" t="n">
        <v>0</v>
      </c>
      <c r="P318" t="n">
        <v>0</v>
      </c>
      <c r="Q318" t="n">
        <v>0</v>
      </c>
      <c r="R318" s="2" t="inlineStr"/>
    </row>
    <row r="319" ht="15" customHeight="1">
      <c r="A319" t="inlineStr">
        <is>
          <t>A 44051-2025</t>
        </is>
      </c>
      <c r="B319" s="1" t="n">
        <v>45915.51079861111</v>
      </c>
      <c r="C319" s="1" t="n">
        <v>46090</v>
      </c>
      <c r="D319" t="inlineStr">
        <is>
          <t>JÄMTLANDS LÄN</t>
        </is>
      </c>
      <c r="E319" t="inlineStr">
        <is>
          <t>BERG</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24954-2025</t>
        </is>
      </c>
      <c r="B320" s="1" t="n">
        <v>45799.57385416667</v>
      </c>
      <c r="C320" s="1" t="n">
        <v>46090</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46991-2024</t>
        </is>
      </c>
      <c r="B321" s="1" t="n">
        <v>45586.365625</v>
      </c>
      <c r="C321" s="1" t="n">
        <v>46090</v>
      </c>
      <c r="D321" t="inlineStr">
        <is>
          <t>JÄMTLANDS LÄN</t>
        </is>
      </c>
      <c r="E321" t="inlineStr">
        <is>
          <t>BERG</t>
        </is>
      </c>
      <c r="G321" t="n">
        <v>2.9</v>
      </c>
      <c r="H321" t="n">
        <v>0</v>
      </c>
      <c r="I321" t="n">
        <v>0</v>
      </c>
      <c r="J321" t="n">
        <v>0</v>
      </c>
      <c r="K321" t="n">
        <v>0</v>
      </c>
      <c r="L321" t="n">
        <v>0</v>
      </c>
      <c r="M321" t="n">
        <v>0</v>
      </c>
      <c r="N321" t="n">
        <v>0</v>
      </c>
      <c r="O321" t="n">
        <v>0</v>
      </c>
      <c r="P321" t="n">
        <v>0</v>
      </c>
      <c r="Q321" t="n">
        <v>0</v>
      </c>
      <c r="R321" s="2" t="inlineStr"/>
    </row>
    <row r="322" ht="15" customHeight="1">
      <c r="A322" t="inlineStr">
        <is>
          <t>A 24786-2025</t>
        </is>
      </c>
      <c r="B322" s="1" t="n">
        <v>45799.42777777778</v>
      </c>
      <c r="C322" s="1" t="n">
        <v>46090</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41098-2023</t>
        </is>
      </c>
      <c r="B323" s="1" t="n">
        <v>45170</v>
      </c>
      <c r="C323" s="1" t="n">
        <v>46090</v>
      </c>
      <c r="D323" t="inlineStr">
        <is>
          <t>JÄMTLANDS LÄN</t>
        </is>
      </c>
      <c r="E323" t="inlineStr">
        <is>
          <t>BERG</t>
        </is>
      </c>
      <c r="G323" t="n">
        <v>3.1</v>
      </c>
      <c r="H323" t="n">
        <v>0</v>
      </c>
      <c r="I323" t="n">
        <v>0</v>
      </c>
      <c r="J323" t="n">
        <v>0</v>
      </c>
      <c r="K323" t="n">
        <v>0</v>
      </c>
      <c r="L323" t="n">
        <v>0</v>
      </c>
      <c r="M323" t="n">
        <v>0</v>
      </c>
      <c r="N323" t="n">
        <v>0</v>
      </c>
      <c r="O323" t="n">
        <v>0</v>
      </c>
      <c r="P323" t="n">
        <v>0</v>
      </c>
      <c r="Q323" t="n">
        <v>0</v>
      </c>
      <c r="R323" s="2" t="inlineStr"/>
    </row>
    <row r="324" ht="15" customHeight="1">
      <c r="A324" t="inlineStr">
        <is>
          <t>A 433-2023</t>
        </is>
      </c>
      <c r="B324" s="1" t="n">
        <v>44923</v>
      </c>
      <c r="C324" s="1" t="n">
        <v>46090</v>
      </c>
      <c r="D324" t="inlineStr">
        <is>
          <t>JÄMTLANDS LÄN</t>
        </is>
      </c>
      <c r="E324" t="inlineStr">
        <is>
          <t>BERG</t>
        </is>
      </c>
      <c r="G324" t="n">
        <v>1.5</v>
      </c>
      <c r="H324" t="n">
        <v>0</v>
      </c>
      <c r="I324" t="n">
        <v>0</v>
      </c>
      <c r="J324" t="n">
        <v>0</v>
      </c>
      <c r="K324" t="n">
        <v>0</v>
      </c>
      <c r="L324" t="n">
        <v>0</v>
      </c>
      <c r="M324" t="n">
        <v>0</v>
      </c>
      <c r="N324" t="n">
        <v>0</v>
      </c>
      <c r="O324" t="n">
        <v>0</v>
      </c>
      <c r="P324" t="n">
        <v>0</v>
      </c>
      <c r="Q324" t="n">
        <v>0</v>
      </c>
      <c r="R324" s="2" t="inlineStr"/>
    </row>
    <row r="325" ht="15" customHeight="1">
      <c r="A325" t="inlineStr">
        <is>
          <t>A 24869-2025</t>
        </is>
      </c>
      <c r="B325" s="1" t="n">
        <v>45799.48994212963</v>
      </c>
      <c r="C325" s="1" t="n">
        <v>46090</v>
      </c>
      <c r="D325" t="inlineStr">
        <is>
          <t>JÄMTLANDS LÄN</t>
        </is>
      </c>
      <c r="E325" t="inlineStr">
        <is>
          <t>BERG</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4527-2025</t>
        </is>
      </c>
      <c r="B326" s="1" t="n">
        <v>45686</v>
      </c>
      <c r="C326" s="1" t="n">
        <v>46090</v>
      </c>
      <c r="D326" t="inlineStr">
        <is>
          <t>JÄMTLANDS LÄN</t>
        </is>
      </c>
      <c r="E326" t="inlineStr">
        <is>
          <t>BERG</t>
        </is>
      </c>
      <c r="G326" t="n">
        <v>17.8</v>
      </c>
      <c r="H326" t="n">
        <v>0</v>
      </c>
      <c r="I326" t="n">
        <v>0</v>
      </c>
      <c r="J326" t="n">
        <v>0</v>
      </c>
      <c r="K326" t="n">
        <v>0</v>
      </c>
      <c r="L326" t="n">
        <v>0</v>
      </c>
      <c r="M326" t="n">
        <v>0</v>
      </c>
      <c r="N326" t="n">
        <v>0</v>
      </c>
      <c r="O326" t="n">
        <v>0</v>
      </c>
      <c r="P326" t="n">
        <v>0</v>
      </c>
      <c r="Q326" t="n">
        <v>0</v>
      </c>
      <c r="R326" s="2" t="inlineStr"/>
    </row>
    <row r="327" ht="15" customHeight="1">
      <c r="A327" t="inlineStr">
        <is>
          <t>A 32147-2024</t>
        </is>
      </c>
      <c r="B327" s="1" t="n">
        <v>45511.55600694445</v>
      </c>
      <c r="C327" s="1" t="n">
        <v>46090</v>
      </c>
      <c r="D327" t="inlineStr">
        <is>
          <t>JÄMTLANDS LÄN</t>
        </is>
      </c>
      <c r="E327" t="inlineStr">
        <is>
          <t>BERG</t>
        </is>
      </c>
      <c r="G327" t="n">
        <v>2.3</v>
      </c>
      <c r="H327" t="n">
        <v>0</v>
      </c>
      <c r="I327" t="n">
        <v>0</v>
      </c>
      <c r="J327" t="n">
        <v>0</v>
      </c>
      <c r="K327" t="n">
        <v>0</v>
      </c>
      <c r="L327" t="n">
        <v>0</v>
      </c>
      <c r="M327" t="n">
        <v>0</v>
      </c>
      <c r="N327" t="n">
        <v>0</v>
      </c>
      <c r="O327" t="n">
        <v>0</v>
      </c>
      <c r="P327" t="n">
        <v>0</v>
      </c>
      <c r="Q327" t="n">
        <v>0</v>
      </c>
      <c r="R327" s="2" t="inlineStr"/>
    </row>
    <row r="328" ht="15" customHeight="1">
      <c r="A328" t="inlineStr">
        <is>
          <t>A 46872-2023</t>
        </is>
      </c>
      <c r="B328" s="1" t="n">
        <v>45200</v>
      </c>
      <c r="C328" s="1" t="n">
        <v>46090</v>
      </c>
      <c r="D328" t="inlineStr">
        <is>
          <t>JÄMTLANDS LÄN</t>
        </is>
      </c>
      <c r="E328" t="inlineStr">
        <is>
          <t>BERG</t>
        </is>
      </c>
      <c r="F328" t="inlineStr">
        <is>
          <t>Naturvårdsverket</t>
        </is>
      </c>
      <c r="G328" t="n">
        <v>1.2</v>
      </c>
      <c r="H328" t="n">
        <v>0</v>
      </c>
      <c r="I328" t="n">
        <v>0</v>
      </c>
      <c r="J328" t="n">
        <v>0</v>
      </c>
      <c r="K328" t="n">
        <v>0</v>
      </c>
      <c r="L328" t="n">
        <v>0</v>
      </c>
      <c r="M328" t="n">
        <v>0</v>
      </c>
      <c r="N328" t="n">
        <v>0</v>
      </c>
      <c r="O328" t="n">
        <v>0</v>
      </c>
      <c r="P328" t="n">
        <v>0</v>
      </c>
      <c r="Q328" t="n">
        <v>0</v>
      </c>
      <c r="R328" s="2" t="inlineStr"/>
      <c r="U328">
        <f>HYPERLINK("https://klasma.github.io/Logging_2326/knärot/A 46872-2023 karta knärot.png", "A 46872-2023")</f>
        <v/>
      </c>
      <c r="V328">
        <f>HYPERLINK("https://klasma.github.io/Logging_2326/klagomål/A 46872-2023 FSC-klagomål.docx", "A 46872-2023")</f>
        <v/>
      </c>
      <c r="W328">
        <f>HYPERLINK("https://klasma.github.io/Logging_2326/klagomålsmail/A 46872-2023 FSC-klagomål mail.docx", "A 46872-2023")</f>
        <v/>
      </c>
      <c r="X328">
        <f>HYPERLINK("https://klasma.github.io/Logging_2326/tillsyn/A 46872-2023 tillsynsbegäran.docx", "A 46872-2023")</f>
        <v/>
      </c>
      <c r="Y328">
        <f>HYPERLINK("https://klasma.github.io/Logging_2326/tillsynsmail/A 46872-2023 tillsynsbegäran mail.docx", "A 46872-2023")</f>
        <v/>
      </c>
    </row>
    <row r="329" ht="15" customHeight="1">
      <c r="A329" t="inlineStr">
        <is>
          <t>A 24442-2025</t>
        </is>
      </c>
      <c r="B329" s="1" t="n">
        <v>45797.96236111111</v>
      </c>
      <c r="C329" s="1" t="n">
        <v>46090</v>
      </c>
      <c r="D329" t="inlineStr">
        <is>
          <t>JÄMTLANDS LÄN</t>
        </is>
      </c>
      <c r="E329" t="inlineStr">
        <is>
          <t>BERG</t>
        </is>
      </c>
      <c r="G329" t="n">
        <v>9</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46090</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19428-2025</t>
        </is>
      </c>
      <c r="B331" s="1" t="n">
        <v>45769.79763888889</v>
      </c>
      <c r="C331" s="1" t="n">
        <v>46090</v>
      </c>
      <c r="D331" t="inlineStr">
        <is>
          <t>JÄMTLANDS LÄN</t>
        </is>
      </c>
      <c r="E331" t="inlineStr">
        <is>
          <t>BERG</t>
        </is>
      </c>
      <c r="G331" t="n">
        <v>7.1</v>
      </c>
      <c r="H331" t="n">
        <v>0</v>
      </c>
      <c r="I331" t="n">
        <v>0</v>
      </c>
      <c r="J331" t="n">
        <v>0</v>
      </c>
      <c r="K331" t="n">
        <v>0</v>
      </c>
      <c r="L331" t="n">
        <v>0</v>
      </c>
      <c r="M331" t="n">
        <v>0</v>
      </c>
      <c r="N331" t="n">
        <v>0</v>
      </c>
      <c r="O331" t="n">
        <v>0</v>
      </c>
      <c r="P331" t="n">
        <v>0</v>
      </c>
      <c r="Q331" t="n">
        <v>0</v>
      </c>
      <c r="R331" s="2" t="inlineStr"/>
    </row>
    <row r="332" ht="15" customHeight="1">
      <c r="A332" t="inlineStr">
        <is>
          <t>A 25452-2025</t>
        </is>
      </c>
      <c r="B332" s="1" t="n">
        <v>45802.34440972222</v>
      </c>
      <c r="C332" s="1" t="n">
        <v>46090</v>
      </c>
      <c r="D332" t="inlineStr">
        <is>
          <t>JÄMTLANDS LÄN</t>
        </is>
      </c>
      <c r="E332" t="inlineStr">
        <is>
          <t>BERG</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60409-2023</t>
        </is>
      </c>
      <c r="B333" s="1" t="n">
        <v>45259.47972222222</v>
      </c>
      <c r="C333" s="1" t="n">
        <v>46090</v>
      </c>
      <c r="D333" t="inlineStr">
        <is>
          <t>JÄMTLANDS LÄN</t>
        </is>
      </c>
      <c r="E333" t="inlineStr">
        <is>
          <t>BERG</t>
        </is>
      </c>
      <c r="G333" t="n">
        <v>5.8</v>
      </c>
      <c r="H333" t="n">
        <v>0</v>
      </c>
      <c r="I333" t="n">
        <v>0</v>
      </c>
      <c r="J333" t="n">
        <v>0</v>
      </c>
      <c r="K333" t="n">
        <v>0</v>
      </c>
      <c r="L333" t="n">
        <v>0</v>
      </c>
      <c r="M333" t="n">
        <v>0</v>
      </c>
      <c r="N333" t="n">
        <v>0</v>
      </c>
      <c r="O333" t="n">
        <v>0</v>
      </c>
      <c r="P333" t="n">
        <v>0</v>
      </c>
      <c r="Q333" t="n">
        <v>0</v>
      </c>
      <c r="R333" s="2" t="inlineStr"/>
    </row>
    <row r="334" ht="15" customHeight="1">
      <c r="A334" t="inlineStr">
        <is>
          <t>A 29378-2024</t>
        </is>
      </c>
      <c r="B334" s="1" t="n">
        <v>45483.59328703704</v>
      </c>
      <c r="C334" s="1" t="n">
        <v>46090</v>
      </c>
      <c r="D334" t="inlineStr">
        <is>
          <t>JÄMTLANDS LÄN</t>
        </is>
      </c>
      <c r="E334" t="inlineStr">
        <is>
          <t>BERG</t>
        </is>
      </c>
      <c r="G334" t="n">
        <v>5.6</v>
      </c>
      <c r="H334" t="n">
        <v>0</v>
      </c>
      <c r="I334" t="n">
        <v>0</v>
      </c>
      <c r="J334" t="n">
        <v>0</v>
      </c>
      <c r="K334" t="n">
        <v>0</v>
      </c>
      <c r="L334" t="n">
        <v>0</v>
      </c>
      <c r="M334" t="n">
        <v>0</v>
      </c>
      <c r="N334" t="n">
        <v>0</v>
      </c>
      <c r="O334" t="n">
        <v>0</v>
      </c>
      <c r="P334" t="n">
        <v>0</v>
      </c>
      <c r="Q334" t="n">
        <v>0</v>
      </c>
      <c r="R334" s="2" t="inlineStr"/>
    </row>
    <row r="335" ht="15" customHeight="1">
      <c r="A335" t="inlineStr">
        <is>
          <t>A 21508-2024</t>
        </is>
      </c>
      <c r="B335" s="1" t="n">
        <v>45441.56905092593</v>
      </c>
      <c r="C335" s="1" t="n">
        <v>46090</v>
      </c>
      <c r="D335" t="inlineStr">
        <is>
          <t>JÄMTLANDS LÄN</t>
        </is>
      </c>
      <c r="E335" t="inlineStr">
        <is>
          <t>BERG</t>
        </is>
      </c>
      <c r="G335" t="n">
        <v>3.2</v>
      </c>
      <c r="H335" t="n">
        <v>0</v>
      </c>
      <c r="I335" t="n">
        <v>0</v>
      </c>
      <c r="J335" t="n">
        <v>0</v>
      </c>
      <c r="K335" t="n">
        <v>0</v>
      </c>
      <c r="L335" t="n">
        <v>0</v>
      </c>
      <c r="M335" t="n">
        <v>0</v>
      </c>
      <c r="N335" t="n">
        <v>0</v>
      </c>
      <c r="O335" t="n">
        <v>0</v>
      </c>
      <c r="P335" t="n">
        <v>0</v>
      </c>
      <c r="Q335" t="n">
        <v>0</v>
      </c>
      <c r="R335" s="2" t="inlineStr"/>
    </row>
    <row r="336" ht="15" customHeight="1">
      <c r="A336" t="inlineStr">
        <is>
          <t>A 39418-2025</t>
        </is>
      </c>
      <c r="B336" s="1" t="n">
        <v>45889</v>
      </c>
      <c r="C336" s="1" t="n">
        <v>46090</v>
      </c>
      <c r="D336" t="inlineStr">
        <is>
          <t>JÄMTLANDS LÄN</t>
        </is>
      </c>
      <c r="E336" t="inlineStr">
        <is>
          <t>BERG</t>
        </is>
      </c>
      <c r="G336" t="n">
        <v>19.8</v>
      </c>
      <c r="H336" t="n">
        <v>0</v>
      </c>
      <c r="I336" t="n">
        <v>0</v>
      </c>
      <c r="J336" t="n">
        <v>0</v>
      </c>
      <c r="K336" t="n">
        <v>0</v>
      </c>
      <c r="L336" t="n">
        <v>0</v>
      </c>
      <c r="M336" t="n">
        <v>0</v>
      </c>
      <c r="N336" t="n">
        <v>0</v>
      </c>
      <c r="O336" t="n">
        <v>0</v>
      </c>
      <c r="P336" t="n">
        <v>0</v>
      </c>
      <c r="Q336" t="n">
        <v>0</v>
      </c>
      <c r="R336" s="2" t="inlineStr"/>
    </row>
    <row r="337" ht="15" customHeight="1">
      <c r="A337" t="inlineStr">
        <is>
          <t>A 39004-2025</t>
        </is>
      </c>
      <c r="B337" s="1" t="n">
        <v>45888.34472222222</v>
      </c>
      <c r="C337" s="1" t="n">
        <v>46090</v>
      </c>
      <c r="D337" t="inlineStr">
        <is>
          <t>JÄMTLANDS LÄN</t>
        </is>
      </c>
      <c r="E337" t="inlineStr">
        <is>
          <t>BERG</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46090</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25454-2025</t>
        </is>
      </c>
      <c r="B339" s="1" t="n">
        <v>45802.34460648148</v>
      </c>
      <c r="C339" s="1" t="n">
        <v>46090</v>
      </c>
      <c r="D339" t="inlineStr">
        <is>
          <t>JÄMTLANDS LÄN</t>
        </is>
      </c>
      <c r="E339" t="inlineStr">
        <is>
          <t>BERG</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33386-2025</t>
        </is>
      </c>
      <c r="B340" s="1" t="n">
        <v>45841.40587962963</v>
      </c>
      <c r="C340" s="1" t="n">
        <v>46090</v>
      </c>
      <c r="D340" t="inlineStr">
        <is>
          <t>JÄMTLANDS LÄN</t>
        </is>
      </c>
      <c r="E340" t="inlineStr">
        <is>
          <t>BERG</t>
        </is>
      </c>
      <c r="G340" t="n">
        <v>37.7</v>
      </c>
      <c r="H340" t="n">
        <v>0</v>
      </c>
      <c r="I340" t="n">
        <v>0</v>
      </c>
      <c r="J340" t="n">
        <v>0</v>
      </c>
      <c r="K340" t="n">
        <v>0</v>
      </c>
      <c r="L340" t="n">
        <v>0</v>
      </c>
      <c r="M340" t="n">
        <v>0</v>
      </c>
      <c r="N340" t="n">
        <v>0</v>
      </c>
      <c r="O340" t="n">
        <v>0</v>
      </c>
      <c r="P340" t="n">
        <v>0</v>
      </c>
      <c r="Q340" t="n">
        <v>0</v>
      </c>
      <c r="R340" s="2" t="inlineStr"/>
    </row>
    <row r="341" ht="15" customHeight="1">
      <c r="A341" t="inlineStr">
        <is>
          <t>A 39601-2025</t>
        </is>
      </c>
      <c r="B341" s="1" t="n">
        <v>45890.55284722222</v>
      </c>
      <c r="C341" s="1" t="n">
        <v>46090</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7759-2026</t>
        </is>
      </c>
      <c r="B342" s="1" t="n">
        <v>46062.55266203704</v>
      </c>
      <c r="C342" s="1" t="n">
        <v>46090</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25453-2025</t>
        </is>
      </c>
      <c r="B343" s="1" t="n">
        <v>45802.34451388889</v>
      </c>
      <c r="C343" s="1" t="n">
        <v>46090</v>
      </c>
      <c r="D343" t="inlineStr">
        <is>
          <t>JÄMTLANDS LÄN</t>
        </is>
      </c>
      <c r="E343" t="inlineStr">
        <is>
          <t>BERG</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39698-2025</t>
        </is>
      </c>
      <c r="B344" s="1" t="n">
        <v>45890.69837962963</v>
      </c>
      <c r="C344" s="1" t="n">
        <v>46090</v>
      </c>
      <c r="D344" t="inlineStr">
        <is>
          <t>JÄMTLANDS LÄN</t>
        </is>
      </c>
      <c r="E344" t="inlineStr">
        <is>
          <t>BERG</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61251-2022</t>
        </is>
      </c>
      <c r="B345" s="1" t="n">
        <v>44909</v>
      </c>
      <c r="C345" s="1" t="n">
        <v>46090</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61255-2022</t>
        </is>
      </c>
      <c r="B346" s="1" t="n">
        <v>44909</v>
      </c>
      <c r="C346" s="1" t="n">
        <v>46090</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47626-2023</t>
        </is>
      </c>
      <c r="B347" s="1" t="n">
        <v>45203</v>
      </c>
      <c r="C347" s="1" t="n">
        <v>46090</v>
      </c>
      <c r="D347" t="inlineStr">
        <is>
          <t>JÄMTLANDS LÄN</t>
        </is>
      </c>
      <c r="E347" t="inlineStr">
        <is>
          <t>BERG</t>
        </is>
      </c>
      <c r="G347" t="n">
        <v>1.2</v>
      </c>
      <c r="H347" t="n">
        <v>0</v>
      </c>
      <c r="I347" t="n">
        <v>0</v>
      </c>
      <c r="J347" t="n">
        <v>0</v>
      </c>
      <c r="K347" t="n">
        <v>0</v>
      </c>
      <c r="L347" t="n">
        <v>0</v>
      </c>
      <c r="M347" t="n">
        <v>0</v>
      </c>
      <c r="N347" t="n">
        <v>0</v>
      </c>
      <c r="O347" t="n">
        <v>0</v>
      </c>
      <c r="P347" t="n">
        <v>0</v>
      </c>
      <c r="Q347" t="n">
        <v>0</v>
      </c>
      <c r="R347" s="2" t="inlineStr"/>
    </row>
    <row r="348" ht="15" customHeight="1">
      <c r="A348" t="inlineStr">
        <is>
          <t>A 60331-2023</t>
        </is>
      </c>
      <c r="B348" s="1" t="n">
        <v>45258</v>
      </c>
      <c r="C348" s="1" t="n">
        <v>46090</v>
      </c>
      <c r="D348" t="inlineStr">
        <is>
          <t>JÄMTLANDS LÄN</t>
        </is>
      </c>
      <c r="E348" t="inlineStr">
        <is>
          <t>BERG</t>
        </is>
      </c>
      <c r="G348" t="n">
        <v>2.6</v>
      </c>
      <c r="H348" t="n">
        <v>0</v>
      </c>
      <c r="I348" t="n">
        <v>0</v>
      </c>
      <c r="J348" t="n">
        <v>0</v>
      </c>
      <c r="K348" t="n">
        <v>0</v>
      </c>
      <c r="L348" t="n">
        <v>0</v>
      </c>
      <c r="M348" t="n">
        <v>0</v>
      </c>
      <c r="N348" t="n">
        <v>0</v>
      </c>
      <c r="O348" t="n">
        <v>0</v>
      </c>
      <c r="P348" t="n">
        <v>0</v>
      </c>
      <c r="Q348" t="n">
        <v>0</v>
      </c>
      <c r="R348" s="2" t="inlineStr"/>
    </row>
    <row r="349" ht="15" customHeight="1">
      <c r="A349" t="inlineStr">
        <is>
          <t>A 25441-2025</t>
        </is>
      </c>
      <c r="B349" s="1" t="n">
        <v>45801.34476851852</v>
      </c>
      <c r="C349" s="1" t="n">
        <v>46090</v>
      </c>
      <c r="D349" t="inlineStr">
        <is>
          <t>JÄMTLANDS LÄN</t>
        </is>
      </c>
      <c r="E349" t="inlineStr">
        <is>
          <t>BERG</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39544-2025</t>
        </is>
      </c>
      <c r="B350" s="1" t="n">
        <v>45890.45547453704</v>
      </c>
      <c r="C350" s="1" t="n">
        <v>46090</v>
      </c>
      <c r="D350" t="inlineStr">
        <is>
          <t>JÄMTLANDS LÄN</t>
        </is>
      </c>
      <c r="E350" t="inlineStr">
        <is>
          <t>BERG</t>
        </is>
      </c>
      <c r="G350" t="n">
        <v>7.5</v>
      </c>
      <c r="H350" t="n">
        <v>0</v>
      </c>
      <c r="I350" t="n">
        <v>0</v>
      </c>
      <c r="J350" t="n">
        <v>0</v>
      </c>
      <c r="K350" t="n">
        <v>0</v>
      </c>
      <c r="L350" t="n">
        <v>0</v>
      </c>
      <c r="M350" t="n">
        <v>0</v>
      </c>
      <c r="N350" t="n">
        <v>0</v>
      </c>
      <c r="O350" t="n">
        <v>0</v>
      </c>
      <c r="P350" t="n">
        <v>0</v>
      </c>
      <c r="Q350" t="n">
        <v>0</v>
      </c>
      <c r="R350" s="2" t="inlineStr"/>
    </row>
    <row r="351" ht="15" customHeight="1">
      <c r="A351" t="inlineStr">
        <is>
          <t>A 39539-2025</t>
        </is>
      </c>
      <c r="B351" s="1" t="n">
        <v>45890.4525</v>
      </c>
      <c r="C351" s="1" t="n">
        <v>46090</v>
      </c>
      <c r="D351" t="inlineStr">
        <is>
          <t>JÄMTLANDS LÄN</t>
        </is>
      </c>
      <c r="E351" t="inlineStr">
        <is>
          <t>BERG</t>
        </is>
      </c>
      <c r="G351" t="n">
        <v>7.7</v>
      </c>
      <c r="H351" t="n">
        <v>0</v>
      </c>
      <c r="I351" t="n">
        <v>0</v>
      </c>
      <c r="J351" t="n">
        <v>0</v>
      </c>
      <c r="K351" t="n">
        <v>0</v>
      </c>
      <c r="L351" t="n">
        <v>0</v>
      </c>
      <c r="M351" t="n">
        <v>0</v>
      </c>
      <c r="N351" t="n">
        <v>0</v>
      </c>
      <c r="O351" t="n">
        <v>0</v>
      </c>
      <c r="P351" t="n">
        <v>0</v>
      </c>
      <c r="Q351" t="n">
        <v>0</v>
      </c>
      <c r="R351" s="2" t="inlineStr"/>
    </row>
    <row r="352" ht="15" customHeight="1">
      <c r="A352" t="inlineStr">
        <is>
          <t>A 47083-2024</t>
        </is>
      </c>
      <c r="B352" s="1" t="n">
        <v>45586.50625</v>
      </c>
      <c r="C352" s="1" t="n">
        <v>46090</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40266-2025</t>
        </is>
      </c>
      <c r="B353" s="1" t="n">
        <v>45895.34478009259</v>
      </c>
      <c r="C353" s="1" t="n">
        <v>46090</v>
      </c>
      <c r="D353" t="inlineStr">
        <is>
          <t>JÄMTLANDS LÄN</t>
        </is>
      </c>
      <c r="E353" t="inlineStr">
        <is>
          <t>BERG</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40060-2025</t>
        </is>
      </c>
      <c r="B354" s="1" t="n">
        <v>45894.42746527777</v>
      </c>
      <c r="C354" s="1" t="n">
        <v>46090</v>
      </c>
      <c r="D354" t="inlineStr">
        <is>
          <t>JÄMTLANDS LÄN</t>
        </is>
      </c>
      <c r="E354" t="inlineStr">
        <is>
          <t>BERG</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40410-2025</t>
        </is>
      </c>
      <c r="B355" s="1" t="n">
        <v>45895.57349537037</v>
      </c>
      <c r="C355" s="1" t="n">
        <v>46090</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40341-2025</t>
        </is>
      </c>
      <c r="B356" s="1" t="n">
        <v>45895</v>
      </c>
      <c r="C356" s="1" t="n">
        <v>46090</v>
      </c>
      <c r="D356" t="inlineStr">
        <is>
          <t>JÄMTLANDS LÄN</t>
        </is>
      </c>
      <c r="E356" t="inlineStr">
        <is>
          <t>BERG</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26013-2025</t>
        </is>
      </c>
      <c r="B357" s="1" t="n">
        <v>45804.67760416667</v>
      </c>
      <c r="C357" s="1" t="n">
        <v>46090</v>
      </c>
      <c r="D357" t="inlineStr">
        <is>
          <t>JÄMTLANDS LÄN</t>
        </is>
      </c>
      <c r="E357" t="inlineStr">
        <is>
          <t>BERG</t>
        </is>
      </c>
      <c r="F357" t="inlineStr">
        <is>
          <t>SCA</t>
        </is>
      </c>
      <c r="G357" t="n">
        <v>11.7</v>
      </c>
      <c r="H357" t="n">
        <v>0</v>
      </c>
      <c r="I357" t="n">
        <v>0</v>
      </c>
      <c r="J357" t="n">
        <v>0</v>
      </c>
      <c r="K357" t="n">
        <v>0</v>
      </c>
      <c r="L357" t="n">
        <v>0</v>
      </c>
      <c r="M357" t="n">
        <v>0</v>
      </c>
      <c r="N357" t="n">
        <v>0</v>
      </c>
      <c r="O357" t="n">
        <v>0</v>
      </c>
      <c r="P357" t="n">
        <v>0</v>
      </c>
      <c r="Q357" t="n">
        <v>0</v>
      </c>
      <c r="R357" s="2" t="inlineStr"/>
    </row>
    <row r="358" ht="15" customHeight="1">
      <c r="A358" t="inlineStr">
        <is>
          <t>A 25976-2025</t>
        </is>
      </c>
      <c r="B358" s="1" t="n">
        <v>45804.63596064815</v>
      </c>
      <c r="C358" s="1" t="n">
        <v>46090</v>
      </c>
      <c r="D358" t="inlineStr">
        <is>
          <t>JÄMTLANDS LÄN</t>
        </is>
      </c>
      <c r="E358" t="inlineStr">
        <is>
          <t>BERG</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25979-2025</t>
        </is>
      </c>
      <c r="B359" s="1" t="n">
        <v>45804.63642361111</v>
      </c>
      <c r="C359" s="1" t="n">
        <v>46090</v>
      </c>
      <c r="D359" t="inlineStr">
        <is>
          <t>JÄMTLANDS LÄN</t>
        </is>
      </c>
      <c r="E359" t="inlineStr">
        <is>
          <t>BERG</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26053-2025</t>
        </is>
      </c>
      <c r="B360" s="1" t="n">
        <v>45804.75445601852</v>
      </c>
      <c r="C360" s="1" t="n">
        <v>46090</v>
      </c>
      <c r="D360" t="inlineStr">
        <is>
          <t>JÄMTLANDS LÄN</t>
        </is>
      </c>
      <c r="E360" t="inlineStr">
        <is>
          <t>BERG</t>
        </is>
      </c>
      <c r="G360" t="n">
        <v>6</v>
      </c>
      <c r="H360" t="n">
        <v>0</v>
      </c>
      <c r="I360" t="n">
        <v>0</v>
      </c>
      <c r="J360" t="n">
        <v>0</v>
      </c>
      <c r="K360" t="n">
        <v>0</v>
      </c>
      <c r="L360" t="n">
        <v>0</v>
      </c>
      <c r="M360" t="n">
        <v>0</v>
      </c>
      <c r="N360" t="n">
        <v>0</v>
      </c>
      <c r="O360" t="n">
        <v>0</v>
      </c>
      <c r="P360" t="n">
        <v>0</v>
      </c>
      <c r="Q360" t="n">
        <v>0</v>
      </c>
      <c r="R360" s="2" t="inlineStr"/>
    </row>
    <row r="361" ht="15" customHeight="1">
      <c r="A361" t="inlineStr">
        <is>
          <t>A 25951-2025</t>
        </is>
      </c>
      <c r="B361" s="1" t="n">
        <v>45804.5984375</v>
      </c>
      <c r="C361" s="1" t="n">
        <v>46090</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58157-2021</t>
        </is>
      </c>
      <c r="B362" s="1" t="n">
        <v>44487.60703703704</v>
      </c>
      <c r="C362" s="1" t="n">
        <v>46090</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25885-2025</t>
        </is>
      </c>
      <c r="B363" s="1" t="n">
        <v>45804.51075231482</v>
      </c>
      <c r="C363" s="1" t="n">
        <v>46090</v>
      </c>
      <c r="D363" t="inlineStr">
        <is>
          <t>JÄMTLANDS LÄN</t>
        </is>
      </c>
      <c r="E363" t="inlineStr">
        <is>
          <t>BERG</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25887-2025</t>
        </is>
      </c>
      <c r="B364" s="1" t="n">
        <v>45804.51104166666</v>
      </c>
      <c r="C364" s="1" t="n">
        <v>46090</v>
      </c>
      <c r="D364" t="inlineStr">
        <is>
          <t>JÄMTLANDS LÄN</t>
        </is>
      </c>
      <c r="E364" t="inlineStr">
        <is>
          <t>BERG</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25960-2025</t>
        </is>
      </c>
      <c r="B365" s="1" t="n">
        <v>45804.60972222222</v>
      </c>
      <c r="C365" s="1" t="n">
        <v>46090</v>
      </c>
      <c r="D365" t="inlineStr">
        <is>
          <t>JÄMTLANDS LÄN</t>
        </is>
      </c>
      <c r="E365" t="inlineStr">
        <is>
          <t>BERG</t>
        </is>
      </c>
      <c r="G365" t="n">
        <v>7.3</v>
      </c>
      <c r="H365" t="n">
        <v>0</v>
      </c>
      <c r="I365" t="n">
        <v>0</v>
      </c>
      <c r="J365" t="n">
        <v>0</v>
      </c>
      <c r="K365" t="n">
        <v>0</v>
      </c>
      <c r="L365" t="n">
        <v>0</v>
      </c>
      <c r="M365" t="n">
        <v>0</v>
      </c>
      <c r="N365" t="n">
        <v>0</v>
      </c>
      <c r="O365" t="n">
        <v>0</v>
      </c>
      <c r="P365" t="n">
        <v>0</v>
      </c>
      <c r="Q365" t="n">
        <v>0</v>
      </c>
      <c r="R365" s="2" t="inlineStr"/>
    </row>
    <row r="366" ht="15" customHeight="1">
      <c r="A366" t="inlineStr">
        <is>
          <t>A 26944-2022</t>
        </is>
      </c>
      <c r="B366" s="1" t="n">
        <v>44740</v>
      </c>
      <c r="C366" s="1" t="n">
        <v>46090</v>
      </c>
      <c r="D366" t="inlineStr">
        <is>
          <t>JÄMTLANDS LÄN</t>
        </is>
      </c>
      <c r="E366" t="inlineStr">
        <is>
          <t>BERG</t>
        </is>
      </c>
      <c r="G366" t="n">
        <v>3.3</v>
      </c>
      <c r="H366" t="n">
        <v>0</v>
      </c>
      <c r="I366" t="n">
        <v>0</v>
      </c>
      <c r="J366" t="n">
        <v>0</v>
      </c>
      <c r="K366" t="n">
        <v>0</v>
      </c>
      <c r="L366" t="n">
        <v>0</v>
      </c>
      <c r="M366" t="n">
        <v>0</v>
      </c>
      <c r="N366" t="n">
        <v>0</v>
      </c>
      <c r="O366" t="n">
        <v>0</v>
      </c>
      <c r="P366" t="n">
        <v>0</v>
      </c>
      <c r="Q366" t="n">
        <v>0</v>
      </c>
      <c r="R366" s="2" t="inlineStr"/>
    </row>
    <row r="367" ht="15" customHeight="1">
      <c r="A367" t="inlineStr">
        <is>
          <t>A 7983-2026</t>
        </is>
      </c>
      <c r="B367" s="1" t="n">
        <v>46063.49013888889</v>
      </c>
      <c r="C367" s="1" t="n">
        <v>46090</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8319-2026</t>
        </is>
      </c>
      <c r="B368" s="1" t="n">
        <v>46064.60849537037</v>
      </c>
      <c r="C368" s="1" t="n">
        <v>46090</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62555-2023</t>
        </is>
      </c>
      <c r="B369" s="1" t="n">
        <v>45268.9262962963</v>
      </c>
      <c r="C369" s="1" t="n">
        <v>46090</v>
      </c>
      <c r="D369" t="inlineStr">
        <is>
          <t>JÄMTLANDS LÄN</t>
        </is>
      </c>
      <c r="E369" t="inlineStr">
        <is>
          <t>BERG</t>
        </is>
      </c>
      <c r="G369" t="n">
        <v>5</v>
      </c>
      <c r="H369" t="n">
        <v>0</v>
      </c>
      <c r="I369" t="n">
        <v>0</v>
      </c>
      <c r="J369" t="n">
        <v>0</v>
      </c>
      <c r="K369" t="n">
        <v>0</v>
      </c>
      <c r="L369" t="n">
        <v>0</v>
      </c>
      <c r="M369" t="n">
        <v>0</v>
      </c>
      <c r="N369" t="n">
        <v>0</v>
      </c>
      <c r="O369" t="n">
        <v>0</v>
      </c>
      <c r="P369" t="n">
        <v>0</v>
      </c>
      <c r="Q369" t="n">
        <v>0</v>
      </c>
      <c r="R369" s="2" t="inlineStr"/>
    </row>
    <row r="370" ht="15" customHeight="1">
      <c r="A370" t="inlineStr">
        <is>
          <t>A 64709-2021</t>
        </is>
      </c>
      <c r="B370" s="1" t="n">
        <v>44512</v>
      </c>
      <c r="C370" s="1" t="n">
        <v>46090</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47407-2024</t>
        </is>
      </c>
      <c r="B371" s="1" t="n">
        <v>45587.47828703704</v>
      </c>
      <c r="C371" s="1" t="n">
        <v>46090</v>
      </c>
      <c r="D371" t="inlineStr">
        <is>
          <t>JÄMTLANDS LÄN</t>
        </is>
      </c>
      <c r="E371" t="inlineStr">
        <is>
          <t>BERG</t>
        </is>
      </c>
      <c r="G371" t="n">
        <v>2.7</v>
      </c>
      <c r="H371" t="n">
        <v>0</v>
      </c>
      <c r="I371" t="n">
        <v>0</v>
      </c>
      <c r="J371" t="n">
        <v>0</v>
      </c>
      <c r="K371" t="n">
        <v>0</v>
      </c>
      <c r="L371" t="n">
        <v>0</v>
      </c>
      <c r="M371" t="n">
        <v>0</v>
      </c>
      <c r="N371" t="n">
        <v>0</v>
      </c>
      <c r="O371" t="n">
        <v>0</v>
      </c>
      <c r="P371" t="n">
        <v>0</v>
      </c>
      <c r="Q371" t="n">
        <v>0</v>
      </c>
      <c r="R371" s="2" t="inlineStr"/>
    </row>
    <row r="372" ht="15" customHeight="1">
      <c r="A372" t="inlineStr">
        <is>
          <t>A 25938-2025</t>
        </is>
      </c>
      <c r="B372" s="1" t="n">
        <v>45804.59414351852</v>
      </c>
      <c r="C372" s="1" t="n">
        <v>46090</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40918-2025</t>
        </is>
      </c>
      <c r="B373" s="1" t="n">
        <v>45897.6292824074</v>
      </c>
      <c r="C373" s="1" t="n">
        <v>46090</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25886-2025</t>
        </is>
      </c>
      <c r="B374" s="1" t="n">
        <v>45804.51092592593</v>
      </c>
      <c r="C374" s="1" t="n">
        <v>46090</v>
      </c>
      <c r="D374" t="inlineStr">
        <is>
          <t>JÄMTLANDS LÄN</t>
        </is>
      </c>
      <c r="E374" t="inlineStr">
        <is>
          <t>BERG</t>
        </is>
      </c>
      <c r="F374" t="inlineStr">
        <is>
          <t>SCA</t>
        </is>
      </c>
      <c r="G374" t="n">
        <v>18.3</v>
      </c>
      <c r="H374" t="n">
        <v>0</v>
      </c>
      <c r="I374" t="n">
        <v>0</v>
      </c>
      <c r="J374" t="n">
        <v>0</v>
      </c>
      <c r="K374" t="n">
        <v>0</v>
      </c>
      <c r="L374" t="n">
        <v>0</v>
      </c>
      <c r="M374" t="n">
        <v>0</v>
      </c>
      <c r="N374" t="n">
        <v>0</v>
      </c>
      <c r="O374" t="n">
        <v>0</v>
      </c>
      <c r="P374" t="n">
        <v>0</v>
      </c>
      <c r="Q374" t="n">
        <v>0</v>
      </c>
      <c r="R374" s="2" t="inlineStr"/>
    </row>
    <row r="375" ht="15" customHeight="1">
      <c r="A375" t="inlineStr">
        <is>
          <t>A 13524-2024</t>
        </is>
      </c>
      <c r="B375" s="1" t="n">
        <v>45387.78174768519</v>
      </c>
      <c r="C375" s="1" t="n">
        <v>46090</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8171-2026</t>
        </is>
      </c>
      <c r="B376" s="1" t="n">
        <v>46064.39402777778</v>
      </c>
      <c r="C376" s="1" t="n">
        <v>46090</v>
      </c>
      <c r="D376" t="inlineStr">
        <is>
          <t>JÄMTLANDS LÄN</t>
        </is>
      </c>
      <c r="E376" t="inlineStr">
        <is>
          <t>BERG</t>
        </is>
      </c>
      <c r="G376" t="n">
        <v>2.9</v>
      </c>
      <c r="H376" t="n">
        <v>0</v>
      </c>
      <c r="I376" t="n">
        <v>0</v>
      </c>
      <c r="J376" t="n">
        <v>0</v>
      </c>
      <c r="K376" t="n">
        <v>0</v>
      </c>
      <c r="L376" t="n">
        <v>0</v>
      </c>
      <c r="M376" t="n">
        <v>0</v>
      </c>
      <c r="N376" t="n">
        <v>0</v>
      </c>
      <c r="O376" t="n">
        <v>0</v>
      </c>
      <c r="P376" t="n">
        <v>0</v>
      </c>
      <c r="Q376" t="n">
        <v>0</v>
      </c>
      <c r="R376" s="2" t="inlineStr"/>
    </row>
    <row r="377" ht="15" customHeight="1">
      <c r="A377" t="inlineStr">
        <is>
          <t>A 26186-2025</t>
        </is>
      </c>
      <c r="B377" s="1" t="n">
        <v>45805.47840277778</v>
      </c>
      <c r="C377" s="1" t="n">
        <v>46090</v>
      </c>
      <c r="D377" t="inlineStr">
        <is>
          <t>JÄMTLANDS LÄN</t>
        </is>
      </c>
      <c r="E377" t="inlineStr">
        <is>
          <t>BERG</t>
        </is>
      </c>
      <c r="G377" t="n">
        <v>5.3</v>
      </c>
      <c r="H377" t="n">
        <v>0</v>
      </c>
      <c r="I377" t="n">
        <v>0</v>
      </c>
      <c r="J377" t="n">
        <v>0</v>
      </c>
      <c r="K377" t="n">
        <v>0</v>
      </c>
      <c r="L377" t="n">
        <v>0</v>
      </c>
      <c r="M377" t="n">
        <v>0</v>
      </c>
      <c r="N377" t="n">
        <v>0</v>
      </c>
      <c r="O377" t="n">
        <v>0</v>
      </c>
      <c r="P377" t="n">
        <v>0</v>
      </c>
      <c r="Q377" t="n">
        <v>0</v>
      </c>
      <c r="R377" s="2" t="inlineStr"/>
    </row>
    <row r="378" ht="15" customHeight="1">
      <c r="A378" t="inlineStr">
        <is>
          <t>A 26275-2025</t>
        </is>
      </c>
      <c r="B378" s="1" t="n">
        <v>45805.60230324074</v>
      </c>
      <c r="C378" s="1" t="n">
        <v>46090</v>
      </c>
      <c r="D378" t="inlineStr">
        <is>
          <t>JÄMTLANDS LÄN</t>
        </is>
      </c>
      <c r="E378" t="inlineStr">
        <is>
          <t>BERG</t>
        </is>
      </c>
      <c r="G378" t="n">
        <v>10.2</v>
      </c>
      <c r="H378" t="n">
        <v>0</v>
      </c>
      <c r="I378" t="n">
        <v>0</v>
      </c>
      <c r="J378" t="n">
        <v>0</v>
      </c>
      <c r="K378" t="n">
        <v>0</v>
      </c>
      <c r="L378" t="n">
        <v>0</v>
      </c>
      <c r="M378" t="n">
        <v>0</v>
      </c>
      <c r="N378" t="n">
        <v>0</v>
      </c>
      <c r="O378" t="n">
        <v>0</v>
      </c>
      <c r="P378" t="n">
        <v>0</v>
      </c>
      <c r="Q378" t="n">
        <v>0</v>
      </c>
      <c r="R378" s="2" t="inlineStr"/>
    </row>
    <row r="379" ht="15" customHeight="1">
      <c r="A379" t="inlineStr">
        <is>
          <t>A 25980-2025</t>
        </is>
      </c>
      <c r="B379" s="1" t="n">
        <v>45804.63658564815</v>
      </c>
      <c r="C379" s="1" t="n">
        <v>46090</v>
      </c>
      <c r="D379" t="inlineStr">
        <is>
          <t>JÄMTLANDS LÄN</t>
        </is>
      </c>
      <c r="E379" t="inlineStr">
        <is>
          <t>BERG</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46090</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7040-2024</t>
        </is>
      </c>
      <c r="B381" s="1" t="n">
        <v>45343</v>
      </c>
      <c r="C381" s="1" t="n">
        <v>46090</v>
      </c>
      <c r="D381" t="inlineStr">
        <is>
          <t>JÄMTLANDS LÄN</t>
        </is>
      </c>
      <c r="E381" t="inlineStr">
        <is>
          <t>BERG</t>
        </is>
      </c>
      <c r="G381" t="n">
        <v>15.9</v>
      </c>
      <c r="H381" t="n">
        <v>0</v>
      </c>
      <c r="I381" t="n">
        <v>0</v>
      </c>
      <c r="J381" t="n">
        <v>0</v>
      </c>
      <c r="K381" t="n">
        <v>0</v>
      </c>
      <c r="L381" t="n">
        <v>0</v>
      </c>
      <c r="M381" t="n">
        <v>0</v>
      </c>
      <c r="N381" t="n">
        <v>0</v>
      </c>
      <c r="O381" t="n">
        <v>0</v>
      </c>
      <c r="P381" t="n">
        <v>0</v>
      </c>
      <c r="Q381" t="n">
        <v>0</v>
      </c>
      <c r="R381" s="2" t="inlineStr"/>
    </row>
    <row r="382" ht="15" customHeight="1">
      <c r="A382" t="inlineStr">
        <is>
          <t>A 26378-2025</t>
        </is>
      </c>
      <c r="B382" s="1" t="n">
        <v>45806.48989583334</v>
      </c>
      <c r="C382" s="1" t="n">
        <v>46090</v>
      </c>
      <c r="D382" t="inlineStr">
        <is>
          <t>JÄMTLANDS LÄN</t>
        </is>
      </c>
      <c r="E382" t="inlineStr">
        <is>
          <t>BERG</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40630-2025</t>
        </is>
      </c>
      <c r="B383" s="1" t="n">
        <v>45896</v>
      </c>
      <c r="C383" s="1" t="n">
        <v>46090</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8572-2026</t>
        </is>
      </c>
      <c r="B384" s="1" t="n">
        <v>46065.68355324074</v>
      </c>
      <c r="C384" s="1" t="n">
        <v>46090</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26374-2025</t>
        </is>
      </c>
      <c r="B385" s="1" t="n">
        <v>45806.42745370371</v>
      </c>
      <c r="C385" s="1" t="n">
        <v>46090</v>
      </c>
      <c r="D385" t="inlineStr">
        <is>
          <t>JÄMTLANDS LÄN</t>
        </is>
      </c>
      <c r="E385" t="inlineStr">
        <is>
          <t>BERG</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40708-2025</t>
        </is>
      </c>
      <c r="B386" s="1" t="n">
        <v>45897</v>
      </c>
      <c r="C386" s="1" t="n">
        <v>46090</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40873-2025</t>
        </is>
      </c>
      <c r="B387" s="1" t="n">
        <v>45897.5744675926</v>
      </c>
      <c r="C387" s="1" t="n">
        <v>46090</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33962-2024</t>
        </is>
      </c>
      <c r="B388" s="1" t="n">
        <v>45523.48854166667</v>
      </c>
      <c r="C388" s="1" t="n">
        <v>46090</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40617-2025</t>
        </is>
      </c>
      <c r="B389" s="1" t="n">
        <v>45896.58326388889</v>
      </c>
      <c r="C389" s="1" t="n">
        <v>46090</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26743-2025</t>
        </is>
      </c>
      <c r="B390" s="1" t="n">
        <v>45810.53163194445</v>
      </c>
      <c r="C390" s="1" t="n">
        <v>46090</v>
      </c>
      <c r="D390" t="inlineStr">
        <is>
          <t>JÄMTLANDS LÄN</t>
        </is>
      </c>
      <c r="E390" t="inlineStr">
        <is>
          <t>BERG</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37248-2023</t>
        </is>
      </c>
      <c r="B391" s="1" t="n">
        <v>45155.954375</v>
      </c>
      <c r="C391" s="1" t="n">
        <v>46090</v>
      </c>
      <c r="D391" t="inlineStr">
        <is>
          <t>JÄMTLANDS LÄN</t>
        </is>
      </c>
      <c r="E391" t="inlineStr">
        <is>
          <t>BERG</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27044-2025</t>
        </is>
      </c>
      <c r="B392" s="1" t="n">
        <v>45811.61496527777</v>
      </c>
      <c r="C392" s="1" t="n">
        <v>46090</v>
      </c>
      <c r="D392" t="inlineStr">
        <is>
          <t>JÄMTLANDS LÄN</t>
        </is>
      </c>
      <c r="E392" t="inlineStr">
        <is>
          <t>BERG</t>
        </is>
      </c>
      <c r="F392" t="inlineStr">
        <is>
          <t>SCA</t>
        </is>
      </c>
      <c r="G392" t="n">
        <v>26.1</v>
      </c>
      <c r="H392" t="n">
        <v>0</v>
      </c>
      <c r="I392" t="n">
        <v>0</v>
      </c>
      <c r="J392" t="n">
        <v>0</v>
      </c>
      <c r="K392" t="n">
        <v>0</v>
      </c>
      <c r="L392" t="n">
        <v>0</v>
      </c>
      <c r="M392" t="n">
        <v>0</v>
      </c>
      <c r="N392" t="n">
        <v>0</v>
      </c>
      <c r="O392" t="n">
        <v>0</v>
      </c>
      <c r="P392" t="n">
        <v>0</v>
      </c>
      <c r="Q392" t="n">
        <v>0</v>
      </c>
      <c r="R392" s="2" t="inlineStr"/>
    </row>
    <row r="393" ht="15" customHeight="1">
      <c r="A393" t="inlineStr">
        <is>
          <t>A 41247-2025</t>
        </is>
      </c>
      <c r="B393" s="1" t="n">
        <v>45898.60109953704</v>
      </c>
      <c r="C393" s="1" t="n">
        <v>46090</v>
      </c>
      <c r="D393" t="inlineStr">
        <is>
          <t>JÄMTLANDS LÄN</t>
        </is>
      </c>
      <c r="E393" t="inlineStr">
        <is>
          <t>BERG</t>
        </is>
      </c>
      <c r="G393" t="n">
        <v>17.5</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46090</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27063-2025</t>
        </is>
      </c>
      <c r="B395" s="1" t="n">
        <v>45811.63626157407</v>
      </c>
      <c r="C395" s="1" t="n">
        <v>46090</v>
      </c>
      <c r="D395" t="inlineStr">
        <is>
          <t>JÄMTLANDS LÄN</t>
        </is>
      </c>
      <c r="E395" t="inlineStr">
        <is>
          <t>BERG</t>
        </is>
      </c>
      <c r="F395" t="inlineStr">
        <is>
          <t>SCA</t>
        </is>
      </c>
      <c r="G395" t="n">
        <v>18.9</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46090</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46090</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42003-2025</t>
        </is>
      </c>
      <c r="B398" s="1" t="n">
        <v>45903.55403935185</v>
      </c>
      <c r="C398" s="1" t="n">
        <v>46090</v>
      </c>
      <c r="D398" t="inlineStr">
        <is>
          <t>JÄMTLANDS LÄN</t>
        </is>
      </c>
      <c r="E398" t="inlineStr">
        <is>
          <t>BERG</t>
        </is>
      </c>
      <c r="F398" t="inlineStr">
        <is>
          <t>Övriga statliga verk och myndigheter</t>
        </is>
      </c>
      <c r="G398" t="n">
        <v>10.5</v>
      </c>
      <c r="H398" t="n">
        <v>0</v>
      </c>
      <c r="I398" t="n">
        <v>0</v>
      </c>
      <c r="J398" t="n">
        <v>0</v>
      </c>
      <c r="K398" t="n">
        <v>0</v>
      </c>
      <c r="L398" t="n">
        <v>0</v>
      </c>
      <c r="M398" t="n">
        <v>0</v>
      </c>
      <c r="N398" t="n">
        <v>0</v>
      </c>
      <c r="O398" t="n">
        <v>0</v>
      </c>
      <c r="P398" t="n">
        <v>0</v>
      </c>
      <c r="Q398" t="n">
        <v>0</v>
      </c>
      <c r="R398" s="2" t="inlineStr"/>
    </row>
    <row r="399" ht="15" customHeight="1">
      <c r="A399" t="inlineStr">
        <is>
          <t>A 27317-2025</t>
        </is>
      </c>
      <c r="B399" s="1" t="n">
        <v>45812.59011574074</v>
      </c>
      <c r="C399" s="1" t="n">
        <v>46090</v>
      </c>
      <c r="D399" t="inlineStr">
        <is>
          <t>JÄMTLANDS LÄN</t>
        </is>
      </c>
      <c r="E399" t="inlineStr">
        <is>
          <t>BERG</t>
        </is>
      </c>
      <c r="G399" t="n">
        <v>6.2</v>
      </c>
      <c r="H399" t="n">
        <v>0</v>
      </c>
      <c r="I399" t="n">
        <v>0</v>
      </c>
      <c r="J399" t="n">
        <v>0</v>
      </c>
      <c r="K399" t="n">
        <v>0</v>
      </c>
      <c r="L399" t="n">
        <v>0</v>
      </c>
      <c r="M399" t="n">
        <v>0</v>
      </c>
      <c r="N399" t="n">
        <v>0</v>
      </c>
      <c r="O399" t="n">
        <v>0</v>
      </c>
      <c r="P399" t="n">
        <v>0</v>
      </c>
      <c r="Q399" t="n">
        <v>0</v>
      </c>
      <c r="R399" s="2" t="inlineStr"/>
    </row>
    <row r="400" ht="15" customHeight="1">
      <c r="A400" t="inlineStr">
        <is>
          <t>A 27459-2025</t>
        </is>
      </c>
      <c r="B400" s="1" t="n">
        <v>45813.34561342592</v>
      </c>
      <c r="C400" s="1" t="n">
        <v>46090</v>
      </c>
      <c r="D400" t="inlineStr">
        <is>
          <t>JÄMTLANDS LÄN</t>
        </is>
      </c>
      <c r="E400" t="inlineStr">
        <is>
          <t>BERG</t>
        </is>
      </c>
      <c r="F400" t="inlineStr">
        <is>
          <t>SCA</t>
        </is>
      </c>
      <c r="G400" t="n">
        <v>19.2</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46090</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27575-2025</t>
        </is>
      </c>
      <c r="B402" s="1" t="n">
        <v>45813.49083333334</v>
      </c>
      <c r="C402" s="1" t="n">
        <v>46090</v>
      </c>
      <c r="D402" t="inlineStr">
        <is>
          <t>JÄMTLANDS LÄN</t>
        </is>
      </c>
      <c r="E402" t="inlineStr">
        <is>
          <t>BERG</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41930-2025</t>
        </is>
      </c>
      <c r="B403" s="1" t="n">
        <v>45903.43454861111</v>
      </c>
      <c r="C403" s="1" t="n">
        <v>46090</v>
      </c>
      <c r="D403" t="inlineStr">
        <is>
          <t>JÄMTLANDS LÄN</t>
        </is>
      </c>
      <c r="E403" t="inlineStr">
        <is>
          <t>BERG</t>
        </is>
      </c>
      <c r="F403" t="inlineStr">
        <is>
          <t>Övriga statliga verk och myndigheter</t>
        </is>
      </c>
      <c r="G403" t="n">
        <v>2.4</v>
      </c>
      <c r="H403" t="n">
        <v>0</v>
      </c>
      <c r="I403" t="n">
        <v>0</v>
      </c>
      <c r="J403" t="n">
        <v>0</v>
      </c>
      <c r="K403" t="n">
        <v>0</v>
      </c>
      <c r="L403" t="n">
        <v>0</v>
      </c>
      <c r="M403" t="n">
        <v>0</v>
      </c>
      <c r="N403" t="n">
        <v>0</v>
      </c>
      <c r="O403" t="n">
        <v>0</v>
      </c>
      <c r="P403" t="n">
        <v>0</v>
      </c>
      <c r="Q403" t="n">
        <v>0</v>
      </c>
      <c r="R403" s="2" t="inlineStr"/>
    </row>
    <row r="404" ht="15" customHeight="1">
      <c r="A404" t="inlineStr">
        <is>
          <t>A 8571-2026</t>
        </is>
      </c>
      <c r="B404" s="1" t="n">
        <v>46065.67915509259</v>
      </c>
      <c r="C404" s="1" t="n">
        <v>46090</v>
      </c>
      <c r="D404" t="inlineStr">
        <is>
          <t>JÄMTLANDS LÄN</t>
        </is>
      </c>
      <c r="E404" t="inlineStr">
        <is>
          <t>BERG</t>
        </is>
      </c>
      <c r="G404" t="n">
        <v>5.5</v>
      </c>
      <c r="H404" t="n">
        <v>0</v>
      </c>
      <c r="I404" t="n">
        <v>0</v>
      </c>
      <c r="J404" t="n">
        <v>0</v>
      </c>
      <c r="K404" t="n">
        <v>0</v>
      </c>
      <c r="L404" t="n">
        <v>0</v>
      </c>
      <c r="M404" t="n">
        <v>0</v>
      </c>
      <c r="N404" t="n">
        <v>0</v>
      </c>
      <c r="O404" t="n">
        <v>0</v>
      </c>
      <c r="P404" t="n">
        <v>0</v>
      </c>
      <c r="Q404" t="n">
        <v>0</v>
      </c>
      <c r="R404" s="2" t="inlineStr"/>
    </row>
    <row r="405" ht="15" customHeight="1">
      <c r="A405" t="inlineStr">
        <is>
          <t>A 38962-2024</t>
        </is>
      </c>
      <c r="B405" s="1" t="n">
        <v>45548.36175925926</v>
      </c>
      <c r="C405" s="1" t="n">
        <v>46090</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32879-2024</t>
        </is>
      </c>
      <c r="B406" s="1" t="n">
        <v>45516.68450231481</v>
      </c>
      <c r="C406" s="1" t="n">
        <v>46090</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41997-2025</t>
        </is>
      </c>
      <c r="B407" s="1" t="n">
        <v>45903.55162037037</v>
      </c>
      <c r="C407" s="1" t="n">
        <v>46090</v>
      </c>
      <c r="D407" t="inlineStr">
        <is>
          <t>JÄMTLANDS LÄN</t>
        </is>
      </c>
      <c r="E407" t="inlineStr">
        <is>
          <t>BERG</t>
        </is>
      </c>
      <c r="F407" t="inlineStr">
        <is>
          <t>Övriga statliga verk och myndigheter</t>
        </is>
      </c>
      <c r="G407" t="n">
        <v>2.2</v>
      </c>
      <c r="H407" t="n">
        <v>0</v>
      </c>
      <c r="I407" t="n">
        <v>0</v>
      </c>
      <c r="J407" t="n">
        <v>0</v>
      </c>
      <c r="K407" t="n">
        <v>0</v>
      </c>
      <c r="L407" t="n">
        <v>0</v>
      </c>
      <c r="M407" t="n">
        <v>0</v>
      </c>
      <c r="N407" t="n">
        <v>0</v>
      </c>
      <c r="O407" t="n">
        <v>0</v>
      </c>
      <c r="P407" t="n">
        <v>0</v>
      </c>
      <c r="Q407" t="n">
        <v>0</v>
      </c>
      <c r="R407" s="2" t="inlineStr"/>
    </row>
    <row r="408" ht="15" customHeight="1">
      <c r="A408" t="inlineStr">
        <is>
          <t>A 22020-2024</t>
        </is>
      </c>
      <c r="B408" s="1" t="n">
        <v>45443.5894675926</v>
      </c>
      <c r="C408" s="1" t="n">
        <v>46090</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17748-2024</t>
        </is>
      </c>
      <c r="B409" s="1" t="n">
        <v>45418</v>
      </c>
      <c r="C409" s="1" t="n">
        <v>46090</v>
      </c>
      <c r="D409" t="inlineStr">
        <is>
          <t>JÄMTLANDS LÄN</t>
        </is>
      </c>
      <c r="E409" t="inlineStr">
        <is>
          <t>BERG</t>
        </is>
      </c>
      <c r="G409" t="n">
        <v>0.9</v>
      </c>
      <c r="H409" t="n">
        <v>0</v>
      </c>
      <c r="I409" t="n">
        <v>0</v>
      </c>
      <c r="J409" t="n">
        <v>0</v>
      </c>
      <c r="K409" t="n">
        <v>0</v>
      </c>
      <c r="L409" t="n">
        <v>0</v>
      </c>
      <c r="M409" t="n">
        <v>0</v>
      </c>
      <c r="N409" t="n">
        <v>0</v>
      </c>
      <c r="O409" t="n">
        <v>0</v>
      </c>
      <c r="P409" t="n">
        <v>0</v>
      </c>
      <c r="Q409" t="n">
        <v>0</v>
      </c>
      <c r="R409" s="2" t="inlineStr"/>
    </row>
    <row r="410" ht="15" customHeight="1">
      <c r="A410" t="inlineStr">
        <is>
          <t>A 18833-2024</t>
        </is>
      </c>
      <c r="B410" s="1" t="n">
        <v>45426.65157407407</v>
      </c>
      <c r="C410" s="1" t="n">
        <v>46090</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27603-2025</t>
        </is>
      </c>
      <c r="B411" s="1" t="n">
        <v>45813.53174768519</v>
      </c>
      <c r="C411" s="1" t="n">
        <v>46090</v>
      </c>
      <c r="D411" t="inlineStr">
        <is>
          <t>JÄMTLANDS LÄN</t>
        </is>
      </c>
      <c r="E411" t="inlineStr">
        <is>
          <t>BERG</t>
        </is>
      </c>
      <c r="F411" t="inlineStr">
        <is>
          <t>SCA</t>
        </is>
      </c>
      <c r="G411" t="n">
        <v>11.3</v>
      </c>
      <c r="H411" t="n">
        <v>0</v>
      </c>
      <c r="I411" t="n">
        <v>0</v>
      </c>
      <c r="J411" t="n">
        <v>0</v>
      </c>
      <c r="K411" t="n">
        <v>0</v>
      </c>
      <c r="L411" t="n">
        <v>0</v>
      </c>
      <c r="M411" t="n">
        <v>0</v>
      </c>
      <c r="N411" t="n">
        <v>0</v>
      </c>
      <c r="O411" t="n">
        <v>0</v>
      </c>
      <c r="P411" t="n">
        <v>0</v>
      </c>
      <c r="Q411" t="n">
        <v>0</v>
      </c>
      <c r="R411" s="2" t="inlineStr"/>
    </row>
    <row r="412" ht="15" customHeight="1">
      <c r="A412" t="inlineStr">
        <is>
          <t>A 27569-2025</t>
        </is>
      </c>
      <c r="B412" s="1" t="n">
        <v>45813.49018518518</v>
      </c>
      <c r="C412" s="1" t="n">
        <v>46090</v>
      </c>
      <c r="D412" t="inlineStr">
        <is>
          <t>JÄMTLANDS LÄN</t>
        </is>
      </c>
      <c r="E412" t="inlineStr">
        <is>
          <t>BERG</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27312-2025</t>
        </is>
      </c>
      <c r="B413" s="1" t="n">
        <v>45812.58002314815</v>
      </c>
      <c r="C413" s="1" t="n">
        <v>46090</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31024-2025</t>
        </is>
      </c>
      <c r="B414" s="1" t="n">
        <v>45832.52571759259</v>
      </c>
      <c r="C414" s="1" t="n">
        <v>46090</v>
      </c>
      <c r="D414" t="inlineStr">
        <is>
          <t>JÄMTLANDS LÄN</t>
        </is>
      </c>
      <c r="E414" t="inlineStr">
        <is>
          <t>BERG</t>
        </is>
      </c>
      <c r="G414" t="n">
        <v>3.6</v>
      </c>
      <c r="H414" t="n">
        <v>0</v>
      </c>
      <c r="I414" t="n">
        <v>0</v>
      </c>
      <c r="J414" t="n">
        <v>0</v>
      </c>
      <c r="K414" t="n">
        <v>0</v>
      </c>
      <c r="L414" t="n">
        <v>0</v>
      </c>
      <c r="M414" t="n">
        <v>0</v>
      </c>
      <c r="N414" t="n">
        <v>0</v>
      </c>
      <c r="O414" t="n">
        <v>0</v>
      </c>
      <c r="P414" t="n">
        <v>0</v>
      </c>
      <c r="Q414" t="n">
        <v>0</v>
      </c>
      <c r="R414" s="2" t="inlineStr"/>
    </row>
    <row r="415" ht="15" customHeight="1">
      <c r="A415" t="inlineStr">
        <is>
          <t>A 58176-2024</t>
        </is>
      </c>
      <c r="B415" s="1" t="n">
        <v>45632.46771990741</v>
      </c>
      <c r="C415" s="1" t="n">
        <v>46090</v>
      </c>
      <c r="D415" t="inlineStr">
        <is>
          <t>JÄMTLANDS LÄN</t>
        </is>
      </c>
      <c r="E415" t="inlineStr">
        <is>
          <t>BERG</t>
        </is>
      </c>
      <c r="G415" t="n">
        <v>14.4</v>
      </c>
      <c r="H415" t="n">
        <v>0</v>
      </c>
      <c r="I415" t="n">
        <v>0</v>
      </c>
      <c r="J415" t="n">
        <v>0</v>
      </c>
      <c r="K415" t="n">
        <v>0</v>
      </c>
      <c r="L415" t="n">
        <v>0</v>
      </c>
      <c r="M415" t="n">
        <v>0</v>
      </c>
      <c r="N415" t="n">
        <v>0</v>
      </c>
      <c r="O415" t="n">
        <v>0</v>
      </c>
      <c r="P415" t="n">
        <v>0</v>
      </c>
      <c r="Q415" t="n">
        <v>0</v>
      </c>
      <c r="R415" s="2" t="inlineStr"/>
    </row>
    <row r="416" ht="15" customHeight="1">
      <c r="A416" t="inlineStr">
        <is>
          <t>A 42415-2025</t>
        </is>
      </c>
      <c r="B416" s="1" t="n">
        <v>45905.39195601852</v>
      </c>
      <c r="C416" s="1" t="n">
        <v>46090</v>
      </c>
      <c r="D416" t="inlineStr">
        <is>
          <t>JÄMTLANDS LÄN</t>
        </is>
      </c>
      <c r="E416" t="inlineStr">
        <is>
          <t>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42378-2025</t>
        </is>
      </c>
      <c r="B417" s="1" t="n">
        <v>45905.34423611111</v>
      </c>
      <c r="C417" s="1" t="n">
        <v>46090</v>
      </c>
      <c r="D417" t="inlineStr">
        <is>
          <t>JÄMTLANDS LÄN</t>
        </is>
      </c>
      <c r="E417" t="inlineStr">
        <is>
          <t>BERG</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27737-2025</t>
        </is>
      </c>
      <c r="B418" s="1" t="n">
        <v>45815.34414351852</v>
      </c>
      <c r="C418" s="1" t="n">
        <v>46090</v>
      </c>
      <c r="D418" t="inlineStr">
        <is>
          <t>JÄMTLANDS LÄN</t>
        </is>
      </c>
      <c r="E418" t="inlineStr">
        <is>
          <t>BERG</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42439-2025</t>
        </is>
      </c>
      <c r="B419" s="1" t="n">
        <v>45905.42969907408</v>
      </c>
      <c r="C419" s="1" t="n">
        <v>46090</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28079-2025</t>
        </is>
      </c>
      <c r="B420" s="1" t="n">
        <v>45817.69681712963</v>
      </c>
      <c r="C420" s="1" t="n">
        <v>46090</v>
      </c>
      <c r="D420" t="inlineStr">
        <is>
          <t>JÄMTLANDS LÄN</t>
        </is>
      </c>
      <c r="E420" t="inlineStr">
        <is>
          <t>BERG</t>
        </is>
      </c>
      <c r="G420" t="n">
        <v>3.7</v>
      </c>
      <c r="H420" t="n">
        <v>0</v>
      </c>
      <c r="I420" t="n">
        <v>0</v>
      </c>
      <c r="J420" t="n">
        <v>0</v>
      </c>
      <c r="K420" t="n">
        <v>0</v>
      </c>
      <c r="L420" t="n">
        <v>0</v>
      </c>
      <c r="M420" t="n">
        <v>0</v>
      </c>
      <c r="N420" t="n">
        <v>0</v>
      </c>
      <c r="O420" t="n">
        <v>0</v>
      </c>
      <c r="P420" t="n">
        <v>0</v>
      </c>
      <c r="Q420" t="n">
        <v>0</v>
      </c>
      <c r="R420" s="2" t="inlineStr"/>
    </row>
    <row r="421" ht="15" customHeight="1">
      <c r="A421" t="inlineStr">
        <is>
          <t>A 28077-2025</t>
        </is>
      </c>
      <c r="B421" s="1" t="n">
        <v>45817.68596064814</v>
      </c>
      <c r="C421" s="1" t="n">
        <v>46090</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53085-2024</t>
        </is>
      </c>
      <c r="B422" s="1" t="n">
        <v>45611.51072916666</v>
      </c>
      <c r="C422" s="1" t="n">
        <v>46090</v>
      </c>
      <c r="D422" t="inlineStr">
        <is>
          <t>JÄMTLANDS LÄN</t>
        </is>
      </c>
      <c r="E422" t="inlineStr">
        <is>
          <t>BERG</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6982-2025</t>
        </is>
      </c>
      <c r="B423" s="1" t="n">
        <v>45701.55769675926</v>
      </c>
      <c r="C423" s="1" t="n">
        <v>46090</v>
      </c>
      <c r="D423" t="inlineStr">
        <is>
          <t>JÄMTLANDS LÄN</t>
        </is>
      </c>
      <c r="E423" t="inlineStr">
        <is>
          <t>BERG</t>
        </is>
      </c>
      <c r="G423" t="n">
        <v>6.8</v>
      </c>
      <c r="H423" t="n">
        <v>0</v>
      </c>
      <c r="I423" t="n">
        <v>0</v>
      </c>
      <c r="J423" t="n">
        <v>0</v>
      </c>
      <c r="K423" t="n">
        <v>0</v>
      </c>
      <c r="L423" t="n">
        <v>0</v>
      </c>
      <c r="M423" t="n">
        <v>0</v>
      </c>
      <c r="N423" t="n">
        <v>0</v>
      </c>
      <c r="O423" t="n">
        <v>0</v>
      </c>
      <c r="P423" t="n">
        <v>0</v>
      </c>
      <c r="Q423" t="n">
        <v>0</v>
      </c>
      <c r="R423" s="2" t="inlineStr"/>
    </row>
    <row r="424" ht="15" customHeight="1">
      <c r="A424" t="inlineStr">
        <is>
          <t>A 27716-2025</t>
        </is>
      </c>
      <c r="B424" s="1" t="n">
        <v>45813.961875</v>
      </c>
      <c r="C424" s="1" t="n">
        <v>46090</v>
      </c>
      <c r="D424" t="inlineStr">
        <is>
          <t>JÄMTLANDS LÄN</t>
        </is>
      </c>
      <c r="E424" t="inlineStr">
        <is>
          <t>BERG</t>
        </is>
      </c>
      <c r="G424" t="n">
        <v>6.7</v>
      </c>
      <c r="H424" t="n">
        <v>0</v>
      </c>
      <c r="I424" t="n">
        <v>0</v>
      </c>
      <c r="J424" t="n">
        <v>0</v>
      </c>
      <c r="K424" t="n">
        <v>0</v>
      </c>
      <c r="L424" t="n">
        <v>0</v>
      </c>
      <c r="M424" t="n">
        <v>0</v>
      </c>
      <c r="N424" t="n">
        <v>0</v>
      </c>
      <c r="O424" t="n">
        <v>0</v>
      </c>
      <c r="P424" t="n">
        <v>0</v>
      </c>
      <c r="Q424" t="n">
        <v>0</v>
      </c>
      <c r="R424" s="2" t="inlineStr"/>
    </row>
    <row r="425" ht="15" customHeight="1">
      <c r="A425" t="inlineStr">
        <is>
          <t>A 27750-2025</t>
        </is>
      </c>
      <c r="B425" s="1" t="n">
        <v>45815.68543981481</v>
      </c>
      <c r="C425" s="1" t="n">
        <v>46090</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28232-2025</t>
        </is>
      </c>
      <c r="B426" s="1" t="n">
        <v>45818.48989583334</v>
      </c>
      <c r="C426" s="1" t="n">
        <v>46090</v>
      </c>
      <c r="D426" t="inlineStr">
        <is>
          <t>JÄMTLANDS LÄN</t>
        </is>
      </c>
      <c r="E426" t="inlineStr">
        <is>
          <t>BERG</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28257-2025</t>
        </is>
      </c>
      <c r="B427" s="1" t="n">
        <v>45818.55263888889</v>
      </c>
      <c r="C427" s="1" t="n">
        <v>46090</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28657-2025</t>
        </is>
      </c>
      <c r="B428" s="1" t="n">
        <v>45819.65709490741</v>
      </c>
      <c r="C428" s="1" t="n">
        <v>46090</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28196-2025</t>
        </is>
      </c>
      <c r="B429" s="1" t="n">
        <v>45818.42753472222</v>
      </c>
      <c r="C429" s="1" t="n">
        <v>46090</v>
      </c>
      <c r="D429" t="inlineStr">
        <is>
          <t>JÄMTLANDS LÄN</t>
        </is>
      </c>
      <c r="E429" t="inlineStr">
        <is>
          <t>BERG</t>
        </is>
      </c>
      <c r="F429" t="inlineStr">
        <is>
          <t>SCA</t>
        </is>
      </c>
      <c r="G429" t="n">
        <v>6.6</v>
      </c>
      <c r="H429" t="n">
        <v>0</v>
      </c>
      <c r="I429" t="n">
        <v>0</v>
      </c>
      <c r="J429" t="n">
        <v>0</v>
      </c>
      <c r="K429" t="n">
        <v>0</v>
      </c>
      <c r="L429" t="n">
        <v>0</v>
      </c>
      <c r="M429" t="n">
        <v>0</v>
      </c>
      <c r="N429" t="n">
        <v>0</v>
      </c>
      <c r="O429" t="n">
        <v>0</v>
      </c>
      <c r="P429" t="n">
        <v>0</v>
      </c>
      <c r="Q429" t="n">
        <v>0</v>
      </c>
      <c r="R429" s="2" t="inlineStr"/>
    </row>
    <row r="430" ht="15" customHeight="1">
      <c r="A430" t="inlineStr">
        <is>
          <t>A 42862-2025</t>
        </is>
      </c>
      <c r="B430" s="1" t="n">
        <v>45908.61515046296</v>
      </c>
      <c r="C430" s="1" t="n">
        <v>46090</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32064-2023</t>
        </is>
      </c>
      <c r="B431" s="1" t="n">
        <v>45119.57108796296</v>
      </c>
      <c r="C431" s="1" t="n">
        <v>46090</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28401-2025</t>
        </is>
      </c>
      <c r="B432" s="1" t="n">
        <v>45819.34469907408</v>
      </c>
      <c r="C432" s="1" t="n">
        <v>46090</v>
      </c>
      <c r="D432" t="inlineStr">
        <is>
          <t>JÄMTLANDS LÄN</t>
        </is>
      </c>
      <c r="E432" t="inlineStr">
        <is>
          <t>BERG</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28453-2025</t>
        </is>
      </c>
      <c r="B433" s="1" t="n">
        <v>45819.40668981482</v>
      </c>
      <c r="C433" s="1" t="n">
        <v>46090</v>
      </c>
      <c r="D433" t="inlineStr">
        <is>
          <t>JÄMTLANDS LÄN</t>
        </is>
      </c>
      <c r="E433" t="inlineStr">
        <is>
          <t>BERG</t>
        </is>
      </c>
      <c r="G433" t="n">
        <v>4.1</v>
      </c>
      <c r="H433" t="n">
        <v>0</v>
      </c>
      <c r="I433" t="n">
        <v>0</v>
      </c>
      <c r="J433" t="n">
        <v>0</v>
      </c>
      <c r="K433" t="n">
        <v>0</v>
      </c>
      <c r="L433" t="n">
        <v>0</v>
      </c>
      <c r="M433" t="n">
        <v>0</v>
      </c>
      <c r="N433" t="n">
        <v>0</v>
      </c>
      <c r="O433" t="n">
        <v>0</v>
      </c>
      <c r="P433" t="n">
        <v>0</v>
      </c>
      <c r="Q433" t="n">
        <v>0</v>
      </c>
      <c r="R433" s="2" t="inlineStr"/>
    </row>
    <row r="434" ht="15" customHeight="1">
      <c r="A434" t="inlineStr">
        <is>
          <t>A 43015-2025</t>
        </is>
      </c>
      <c r="B434" s="1" t="n">
        <v>45909.49278935185</v>
      </c>
      <c r="C434" s="1" t="n">
        <v>46090</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28157-2025</t>
        </is>
      </c>
      <c r="B435" s="1" t="n">
        <v>45818.36512731481</v>
      </c>
      <c r="C435" s="1" t="n">
        <v>46090</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28454-2025</t>
        </is>
      </c>
      <c r="B436" s="1" t="n">
        <v>45819.40679398148</v>
      </c>
      <c r="C436" s="1" t="n">
        <v>46090</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43442-2025</t>
        </is>
      </c>
      <c r="B437" s="1" t="n">
        <v>45911.44244212963</v>
      </c>
      <c r="C437" s="1" t="n">
        <v>46090</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34819-2023</t>
        </is>
      </c>
      <c r="B438" s="1" t="n">
        <v>45140</v>
      </c>
      <c r="C438" s="1" t="n">
        <v>46090</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43443-2025</t>
        </is>
      </c>
      <c r="B439" s="1" t="n">
        <v>45911.44350694444</v>
      </c>
      <c r="C439" s="1" t="n">
        <v>46090</v>
      </c>
      <c r="D439" t="inlineStr">
        <is>
          <t>JÄMTLANDS LÄN</t>
        </is>
      </c>
      <c r="E439" t="inlineStr">
        <is>
          <t>BERG</t>
        </is>
      </c>
      <c r="G439" t="n">
        <v>2.7</v>
      </c>
      <c r="H439" t="n">
        <v>0</v>
      </c>
      <c r="I439" t="n">
        <v>0</v>
      </c>
      <c r="J439" t="n">
        <v>0</v>
      </c>
      <c r="K439" t="n">
        <v>0</v>
      </c>
      <c r="L439" t="n">
        <v>0</v>
      </c>
      <c r="M439" t="n">
        <v>0</v>
      </c>
      <c r="N439" t="n">
        <v>0</v>
      </c>
      <c r="O439" t="n">
        <v>0</v>
      </c>
      <c r="P439" t="n">
        <v>0</v>
      </c>
      <c r="Q439" t="n">
        <v>0</v>
      </c>
      <c r="R439" s="2" t="inlineStr"/>
    </row>
    <row r="440" ht="15" customHeight="1">
      <c r="A440" t="inlineStr">
        <is>
          <t>A 41264-2025</t>
        </is>
      </c>
      <c r="B440" s="1" t="n">
        <v>45898</v>
      </c>
      <c r="C440" s="1" t="n">
        <v>46090</v>
      </c>
      <c r="D440" t="inlineStr">
        <is>
          <t>JÄMTLANDS LÄN</t>
        </is>
      </c>
      <c r="E440" t="inlineStr">
        <is>
          <t>BERG</t>
        </is>
      </c>
      <c r="G440" t="n">
        <v>17.4</v>
      </c>
      <c r="H440" t="n">
        <v>0</v>
      </c>
      <c r="I440" t="n">
        <v>0</v>
      </c>
      <c r="J440" t="n">
        <v>0</v>
      </c>
      <c r="K440" t="n">
        <v>0</v>
      </c>
      <c r="L440" t="n">
        <v>0</v>
      </c>
      <c r="M440" t="n">
        <v>0</v>
      </c>
      <c r="N440" t="n">
        <v>0</v>
      </c>
      <c r="O440" t="n">
        <v>0</v>
      </c>
      <c r="P440" t="n">
        <v>0</v>
      </c>
      <c r="Q440" t="n">
        <v>0</v>
      </c>
      <c r="R440" s="2" t="inlineStr"/>
    </row>
    <row r="441" ht="15" customHeight="1">
      <c r="A441" t="inlineStr">
        <is>
          <t>A 43567-2025</t>
        </is>
      </c>
      <c r="B441" s="1" t="n">
        <v>45911.6327662037</v>
      </c>
      <c r="C441" s="1" t="n">
        <v>46090</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43441-2025</t>
        </is>
      </c>
      <c r="B442" s="1" t="n">
        <v>45911.44184027778</v>
      </c>
      <c r="C442" s="1" t="n">
        <v>46090</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43456-2025</t>
        </is>
      </c>
      <c r="B443" s="1" t="n">
        <v>45911.46148148148</v>
      </c>
      <c r="C443" s="1" t="n">
        <v>46090</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43560-2025</t>
        </is>
      </c>
      <c r="B444" s="1" t="n">
        <v>45911.62758101852</v>
      </c>
      <c r="C444" s="1" t="n">
        <v>46090</v>
      </c>
      <c r="D444" t="inlineStr">
        <is>
          <t>JÄMTLANDS LÄN</t>
        </is>
      </c>
      <c r="E444" t="inlineStr">
        <is>
          <t>BERG</t>
        </is>
      </c>
      <c r="G444" t="n">
        <v>10</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46090</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43364-2025</t>
        </is>
      </c>
      <c r="B446" s="1" t="n">
        <v>45911.34483796296</v>
      </c>
      <c r="C446" s="1" t="n">
        <v>46090</v>
      </c>
      <c r="D446" t="inlineStr">
        <is>
          <t>JÄMTLANDS LÄN</t>
        </is>
      </c>
      <c r="E446" t="inlineStr">
        <is>
          <t>BERG</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43279-2024</t>
        </is>
      </c>
      <c r="B447" s="1" t="n">
        <v>45568.3975462963</v>
      </c>
      <c r="C447" s="1" t="n">
        <v>46090</v>
      </c>
      <c r="D447" t="inlineStr">
        <is>
          <t>JÄMTLANDS LÄN</t>
        </is>
      </c>
      <c r="E447" t="inlineStr">
        <is>
          <t>BERG</t>
        </is>
      </c>
      <c r="G447" t="n">
        <v>7.6</v>
      </c>
      <c r="H447" t="n">
        <v>0</v>
      </c>
      <c r="I447" t="n">
        <v>0</v>
      </c>
      <c r="J447" t="n">
        <v>0</v>
      </c>
      <c r="K447" t="n">
        <v>0</v>
      </c>
      <c r="L447" t="n">
        <v>0</v>
      </c>
      <c r="M447" t="n">
        <v>0</v>
      </c>
      <c r="N447" t="n">
        <v>0</v>
      </c>
      <c r="O447" t="n">
        <v>0</v>
      </c>
      <c r="P447" t="n">
        <v>0</v>
      </c>
      <c r="Q447" t="n">
        <v>0</v>
      </c>
      <c r="R447" s="2" t="inlineStr"/>
    </row>
    <row r="448" ht="15" customHeight="1">
      <c r="A448" t="inlineStr">
        <is>
          <t>A 44043-2025</t>
        </is>
      </c>
      <c r="B448" s="1" t="n">
        <v>45915.49266203704</v>
      </c>
      <c r="C448" s="1" t="n">
        <v>46090</v>
      </c>
      <c r="D448" t="inlineStr">
        <is>
          <t>JÄMTLANDS LÄN</t>
        </is>
      </c>
      <c r="E448" t="inlineStr">
        <is>
          <t>BERG</t>
        </is>
      </c>
      <c r="G448" t="n">
        <v>3.4</v>
      </c>
      <c r="H448" t="n">
        <v>0</v>
      </c>
      <c r="I448" t="n">
        <v>0</v>
      </c>
      <c r="J448" t="n">
        <v>0</v>
      </c>
      <c r="K448" t="n">
        <v>0</v>
      </c>
      <c r="L448" t="n">
        <v>0</v>
      </c>
      <c r="M448" t="n">
        <v>0</v>
      </c>
      <c r="N448" t="n">
        <v>0</v>
      </c>
      <c r="O448" t="n">
        <v>0</v>
      </c>
      <c r="P448" t="n">
        <v>0</v>
      </c>
      <c r="Q448" t="n">
        <v>0</v>
      </c>
      <c r="R448" s="2" t="inlineStr"/>
    </row>
    <row r="449" ht="15" customHeight="1">
      <c r="A449" t="inlineStr">
        <is>
          <t>A 43982-2025</t>
        </is>
      </c>
      <c r="B449" s="1" t="n">
        <v>45915.42771990741</v>
      </c>
      <c r="C449" s="1" t="n">
        <v>46090</v>
      </c>
      <c r="D449" t="inlineStr">
        <is>
          <t>JÄMTLANDS LÄN</t>
        </is>
      </c>
      <c r="E449" t="inlineStr">
        <is>
          <t>BERG</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29199-2025</t>
        </is>
      </c>
      <c r="B450" s="1" t="n">
        <v>45823.34459490741</v>
      </c>
      <c r="C450" s="1" t="n">
        <v>46090</v>
      </c>
      <c r="D450" t="inlineStr">
        <is>
          <t>JÄMTLANDS LÄN</t>
        </is>
      </c>
      <c r="E450" t="inlineStr">
        <is>
          <t>BERG</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29197-2025</t>
        </is>
      </c>
      <c r="B451" s="1" t="n">
        <v>45823.34438657408</v>
      </c>
      <c r="C451" s="1" t="n">
        <v>46090</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29310-2025</t>
        </is>
      </c>
      <c r="B452" s="1" t="n">
        <v>45824.46353009259</v>
      </c>
      <c r="C452" s="1" t="n">
        <v>46090</v>
      </c>
      <c r="D452" t="inlineStr">
        <is>
          <t>JÄMTLANDS LÄN</t>
        </is>
      </c>
      <c r="E452" t="inlineStr">
        <is>
          <t>BERG</t>
        </is>
      </c>
      <c r="G452" t="n">
        <v>5.6</v>
      </c>
      <c r="H452" t="n">
        <v>0</v>
      </c>
      <c r="I452" t="n">
        <v>0</v>
      </c>
      <c r="J452" t="n">
        <v>0</v>
      </c>
      <c r="K452" t="n">
        <v>0</v>
      </c>
      <c r="L452" t="n">
        <v>0</v>
      </c>
      <c r="M452" t="n">
        <v>0</v>
      </c>
      <c r="N452" t="n">
        <v>0</v>
      </c>
      <c r="O452" t="n">
        <v>0</v>
      </c>
      <c r="P452" t="n">
        <v>0</v>
      </c>
      <c r="Q452" t="n">
        <v>0</v>
      </c>
      <c r="R452" s="2" t="inlineStr"/>
    </row>
    <row r="453" ht="15" customHeight="1">
      <c r="A453" t="inlineStr">
        <is>
          <t>A 29538-2025</t>
        </is>
      </c>
      <c r="B453" s="1" t="n">
        <v>45825.34517361111</v>
      </c>
      <c r="C453" s="1" t="n">
        <v>46090</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29533-2025</t>
        </is>
      </c>
      <c r="B454" s="1" t="n">
        <v>45825.34466435185</v>
      </c>
      <c r="C454" s="1" t="n">
        <v>46090</v>
      </c>
      <c r="D454" t="inlineStr">
        <is>
          <t>JÄMTLANDS LÄN</t>
        </is>
      </c>
      <c r="E454" t="inlineStr">
        <is>
          <t>BERG</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44302-2025</t>
        </is>
      </c>
      <c r="B455" s="1" t="n">
        <v>45915</v>
      </c>
      <c r="C455" s="1" t="n">
        <v>46090</v>
      </c>
      <c r="D455" t="inlineStr">
        <is>
          <t>JÄMTLANDS LÄN</t>
        </is>
      </c>
      <c r="E455" t="inlineStr">
        <is>
          <t>BERG</t>
        </is>
      </c>
      <c r="G455" t="n">
        <v>1.6</v>
      </c>
      <c r="H455" t="n">
        <v>0</v>
      </c>
      <c r="I455" t="n">
        <v>0</v>
      </c>
      <c r="J455" t="n">
        <v>0</v>
      </c>
      <c r="K455" t="n">
        <v>0</v>
      </c>
      <c r="L455" t="n">
        <v>0</v>
      </c>
      <c r="M455" t="n">
        <v>0</v>
      </c>
      <c r="N455" t="n">
        <v>0</v>
      </c>
      <c r="O455" t="n">
        <v>0</v>
      </c>
      <c r="P455" t="n">
        <v>0</v>
      </c>
      <c r="Q455" t="n">
        <v>0</v>
      </c>
      <c r="R455" s="2" t="inlineStr"/>
    </row>
    <row r="456" ht="15" customHeight="1">
      <c r="A456" t="inlineStr">
        <is>
          <t>A 29279-2025</t>
        </is>
      </c>
      <c r="B456" s="1" t="n">
        <v>45824.42381944445</v>
      </c>
      <c r="C456" s="1" t="n">
        <v>46090</v>
      </c>
      <c r="D456" t="inlineStr">
        <is>
          <t>JÄMTLANDS LÄN</t>
        </is>
      </c>
      <c r="E456" t="inlineStr">
        <is>
          <t>BERG</t>
        </is>
      </c>
      <c r="G456" t="n">
        <v>3.6</v>
      </c>
      <c r="H456" t="n">
        <v>0</v>
      </c>
      <c r="I456" t="n">
        <v>0</v>
      </c>
      <c r="J456" t="n">
        <v>0</v>
      </c>
      <c r="K456" t="n">
        <v>0</v>
      </c>
      <c r="L456" t="n">
        <v>0</v>
      </c>
      <c r="M456" t="n">
        <v>0</v>
      </c>
      <c r="N456" t="n">
        <v>0</v>
      </c>
      <c r="O456" t="n">
        <v>0</v>
      </c>
      <c r="P456" t="n">
        <v>0</v>
      </c>
      <c r="Q456" t="n">
        <v>0</v>
      </c>
      <c r="R456" s="2" t="inlineStr"/>
    </row>
    <row r="457" ht="15" customHeight="1">
      <c r="A457" t="inlineStr">
        <is>
          <t>A 37093-2024</t>
        </is>
      </c>
      <c r="B457" s="1" t="n">
        <v>45539.50018518518</v>
      </c>
      <c r="C457" s="1" t="n">
        <v>46090</v>
      </c>
      <c r="D457" t="inlineStr">
        <is>
          <t>JÄMTLANDS LÄN</t>
        </is>
      </c>
      <c r="E457" t="inlineStr">
        <is>
          <t>BERG</t>
        </is>
      </c>
      <c r="F457" t="inlineStr">
        <is>
          <t>Övriga Aktiebolag</t>
        </is>
      </c>
      <c r="G457" t="n">
        <v>15.4</v>
      </c>
      <c r="H457" t="n">
        <v>0</v>
      </c>
      <c r="I457" t="n">
        <v>0</v>
      </c>
      <c r="J457" t="n">
        <v>0</v>
      </c>
      <c r="K457" t="n">
        <v>0</v>
      </c>
      <c r="L457" t="n">
        <v>0</v>
      </c>
      <c r="M457" t="n">
        <v>0</v>
      </c>
      <c r="N457" t="n">
        <v>0</v>
      </c>
      <c r="O457" t="n">
        <v>0</v>
      </c>
      <c r="P457" t="n">
        <v>0</v>
      </c>
      <c r="Q457" t="n">
        <v>0</v>
      </c>
      <c r="R457" s="2" t="inlineStr"/>
    </row>
    <row r="458" ht="15" customHeight="1">
      <c r="A458" t="inlineStr">
        <is>
          <t>A 44031-2025</t>
        </is>
      </c>
      <c r="B458" s="1" t="n">
        <v>45915.49019675926</v>
      </c>
      <c r="C458" s="1" t="n">
        <v>46090</v>
      </c>
      <c r="D458" t="inlineStr">
        <is>
          <t>JÄMTLANDS LÄN</t>
        </is>
      </c>
      <c r="E458" t="inlineStr">
        <is>
          <t>BERG</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43968-2025</t>
        </is>
      </c>
      <c r="B459" s="1" t="n">
        <v>45915</v>
      </c>
      <c r="C459" s="1" t="n">
        <v>46090</v>
      </c>
      <c r="D459" t="inlineStr">
        <is>
          <t>JÄMTLANDS LÄN</t>
        </is>
      </c>
      <c r="E459" t="inlineStr">
        <is>
          <t>BERG</t>
        </is>
      </c>
      <c r="G459" t="n">
        <v>2</v>
      </c>
      <c r="H459" t="n">
        <v>0</v>
      </c>
      <c r="I459" t="n">
        <v>0</v>
      </c>
      <c r="J459" t="n">
        <v>0</v>
      </c>
      <c r="K459" t="n">
        <v>0</v>
      </c>
      <c r="L459" t="n">
        <v>0</v>
      </c>
      <c r="M459" t="n">
        <v>0</v>
      </c>
      <c r="N459" t="n">
        <v>0</v>
      </c>
      <c r="O459" t="n">
        <v>0</v>
      </c>
      <c r="P459" t="n">
        <v>0</v>
      </c>
      <c r="Q459" t="n">
        <v>0</v>
      </c>
      <c r="R459" s="2" t="inlineStr"/>
    </row>
    <row r="460" ht="15" customHeight="1">
      <c r="A460" t="inlineStr">
        <is>
          <t>A 29198-2025</t>
        </is>
      </c>
      <c r="B460" s="1" t="n">
        <v>45823.34451388889</v>
      </c>
      <c r="C460" s="1" t="n">
        <v>46090</v>
      </c>
      <c r="D460" t="inlineStr">
        <is>
          <t>JÄMTLANDS LÄN</t>
        </is>
      </c>
      <c r="E460" t="inlineStr">
        <is>
          <t>BERG</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44303-2025</t>
        </is>
      </c>
      <c r="B461" s="1" t="n">
        <v>45915</v>
      </c>
      <c r="C461" s="1" t="n">
        <v>46090</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29836-2025</t>
        </is>
      </c>
      <c r="B462" s="1" t="n">
        <v>45825.9468287037</v>
      </c>
      <c r="C462" s="1" t="n">
        <v>46090</v>
      </c>
      <c r="D462" t="inlineStr">
        <is>
          <t>JÄMTLANDS LÄN</t>
        </is>
      </c>
      <c r="E462" t="inlineStr">
        <is>
          <t>BERG</t>
        </is>
      </c>
      <c r="G462" t="n">
        <v>12.7</v>
      </c>
      <c r="H462" t="n">
        <v>0</v>
      </c>
      <c r="I462" t="n">
        <v>0</v>
      </c>
      <c r="J462" t="n">
        <v>0</v>
      </c>
      <c r="K462" t="n">
        <v>0</v>
      </c>
      <c r="L462" t="n">
        <v>0</v>
      </c>
      <c r="M462" t="n">
        <v>0</v>
      </c>
      <c r="N462" t="n">
        <v>0</v>
      </c>
      <c r="O462" t="n">
        <v>0</v>
      </c>
      <c r="P462" t="n">
        <v>0</v>
      </c>
      <c r="Q462" t="n">
        <v>0</v>
      </c>
      <c r="R462" s="2" t="inlineStr"/>
    </row>
    <row r="463" ht="15" customHeight="1">
      <c r="A463" t="inlineStr">
        <is>
          <t>A 44572-2025</t>
        </is>
      </c>
      <c r="B463" s="1" t="n">
        <v>45917</v>
      </c>
      <c r="C463" s="1" t="n">
        <v>46090</v>
      </c>
      <c r="D463" t="inlineStr">
        <is>
          <t>JÄMTLANDS LÄN</t>
        </is>
      </c>
      <c r="E463" t="inlineStr">
        <is>
          <t>BERG</t>
        </is>
      </c>
      <c r="G463" t="n">
        <v>1.8</v>
      </c>
      <c r="H463" t="n">
        <v>0</v>
      </c>
      <c r="I463" t="n">
        <v>0</v>
      </c>
      <c r="J463" t="n">
        <v>0</v>
      </c>
      <c r="K463" t="n">
        <v>0</v>
      </c>
      <c r="L463" t="n">
        <v>0</v>
      </c>
      <c r="M463" t="n">
        <v>0</v>
      </c>
      <c r="N463" t="n">
        <v>0</v>
      </c>
      <c r="O463" t="n">
        <v>0</v>
      </c>
      <c r="P463" t="n">
        <v>0</v>
      </c>
      <c r="Q463" t="n">
        <v>0</v>
      </c>
      <c r="R463" s="2" t="inlineStr"/>
    </row>
    <row r="464" ht="15" customHeight="1">
      <c r="A464" t="inlineStr">
        <is>
          <t>A 30017-2025</t>
        </is>
      </c>
      <c r="B464" s="1" t="n">
        <v>45826.55306712963</v>
      </c>
      <c r="C464" s="1" t="n">
        <v>46090</v>
      </c>
      <c r="D464" t="inlineStr">
        <is>
          <t>JÄMTLANDS LÄN</t>
        </is>
      </c>
      <c r="E464" t="inlineStr">
        <is>
          <t>BERG</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10861-2024</t>
        </is>
      </c>
      <c r="B465" s="1" t="n">
        <v>45370.01967592593</v>
      </c>
      <c r="C465" s="1" t="n">
        <v>46090</v>
      </c>
      <c r="D465" t="inlineStr">
        <is>
          <t>JÄMTLANDS LÄN</t>
        </is>
      </c>
      <c r="E465" t="inlineStr">
        <is>
          <t>BERG</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44697-2025</t>
        </is>
      </c>
      <c r="B466" s="1" t="n">
        <v>45917.59888888889</v>
      </c>
      <c r="C466" s="1" t="n">
        <v>46090</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45249-2025</t>
        </is>
      </c>
      <c r="B467" s="1" t="n">
        <v>45919.61225694444</v>
      </c>
      <c r="C467" s="1" t="n">
        <v>46090</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30314-2025</t>
        </is>
      </c>
      <c r="B468" s="1" t="n">
        <v>45827.49047453704</v>
      </c>
      <c r="C468" s="1" t="n">
        <v>46090</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45171-2025</t>
        </is>
      </c>
      <c r="B469" s="1" t="n">
        <v>45919.50256944444</v>
      </c>
      <c r="C469" s="1" t="n">
        <v>46090</v>
      </c>
      <c r="D469" t="inlineStr">
        <is>
          <t>JÄMTLANDS LÄN</t>
        </is>
      </c>
      <c r="E469" t="inlineStr">
        <is>
          <t>BERG</t>
        </is>
      </c>
      <c r="F469" t="inlineStr">
        <is>
          <t>Övriga Aktiebolag</t>
        </is>
      </c>
      <c r="G469" t="n">
        <v>10.7</v>
      </c>
      <c r="H469" t="n">
        <v>0</v>
      </c>
      <c r="I469" t="n">
        <v>0</v>
      </c>
      <c r="J469" t="n">
        <v>0</v>
      </c>
      <c r="K469" t="n">
        <v>0</v>
      </c>
      <c r="L469" t="n">
        <v>0</v>
      </c>
      <c r="M469" t="n">
        <v>0</v>
      </c>
      <c r="N469" t="n">
        <v>0</v>
      </c>
      <c r="O469" t="n">
        <v>0</v>
      </c>
      <c r="P469" t="n">
        <v>0</v>
      </c>
      <c r="Q469" t="n">
        <v>0</v>
      </c>
      <c r="R469" s="2" t="inlineStr"/>
    </row>
    <row r="470" ht="15" customHeight="1">
      <c r="A470" t="inlineStr">
        <is>
          <t>A 29902-2025</t>
        </is>
      </c>
      <c r="B470" s="1" t="n">
        <v>45826</v>
      </c>
      <c r="C470" s="1" t="n">
        <v>46090</v>
      </c>
      <c r="D470" t="inlineStr">
        <is>
          <t>JÄMTLANDS LÄN</t>
        </is>
      </c>
      <c r="E470" t="inlineStr">
        <is>
          <t>BERG</t>
        </is>
      </c>
      <c r="G470" t="n">
        <v>9.1</v>
      </c>
      <c r="H470" t="n">
        <v>0</v>
      </c>
      <c r="I470" t="n">
        <v>0</v>
      </c>
      <c r="J470" t="n">
        <v>0</v>
      </c>
      <c r="K470" t="n">
        <v>0</v>
      </c>
      <c r="L470" t="n">
        <v>0</v>
      </c>
      <c r="M470" t="n">
        <v>0</v>
      </c>
      <c r="N470" t="n">
        <v>0</v>
      </c>
      <c r="O470" t="n">
        <v>0</v>
      </c>
      <c r="P470" t="n">
        <v>0</v>
      </c>
      <c r="Q470" t="n">
        <v>0</v>
      </c>
      <c r="R470" s="2" t="inlineStr"/>
    </row>
    <row r="471" ht="15" customHeight="1">
      <c r="A471" t="inlineStr">
        <is>
          <t>A 29908-2025</t>
        </is>
      </c>
      <c r="B471" s="1" t="n">
        <v>45826</v>
      </c>
      <c r="C471" s="1" t="n">
        <v>46090</v>
      </c>
      <c r="D471" t="inlineStr">
        <is>
          <t>JÄMTLANDS LÄN</t>
        </is>
      </c>
      <c r="E471" t="inlineStr">
        <is>
          <t>BERG</t>
        </is>
      </c>
      <c r="G471" t="n">
        <v>2.2</v>
      </c>
      <c r="H471" t="n">
        <v>0</v>
      </c>
      <c r="I471" t="n">
        <v>0</v>
      </c>
      <c r="J471" t="n">
        <v>0</v>
      </c>
      <c r="K471" t="n">
        <v>0</v>
      </c>
      <c r="L471" t="n">
        <v>0</v>
      </c>
      <c r="M471" t="n">
        <v>0</v>
      </c>
      <c r="N471" t="n">
        <v>0</v>
      </c>
      <c r="O471" t="n">
        <v>0</v>
      </c>
      <c r="P471" t="n">
        <v>0</v>
      </c>
      <c r="Q471" t="n">
        <v>0</v>
      </c>
      <c r="R471" s="2" t="inlineStr"/>
    </row>
    <row r="472" ht="15" customHeight="1">
      <c r="A472" t="inlineStr">
        <is>
          <t>A 21679-2023</t>
        </is>
      </c>
      <c r="B472" s="1" t="n">
        <v>45063.94199074074</v>
      </c>
      <c r="C472" s="1" t="n">
        <v>46090</v>
      </c>
      <c r="D472" t="inlineStr">
        <is>
          <t>JÄMTLANDS LÄN</t>
        </is>
      </c>
      <c r="E472" t="inlineStr">
        <is>
          <t>BERG</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45129-2025</t>
        </is>
      </c>
      <c r="B473" s="1" t="n">
        <v>45919.43584490741</v>
      </c>
      <c r="C473" s="1" t="n">
        <v>46090</v>
      </c>
      <c r="D473" t="inlineStr">
        <is>
          <t>JÄMTLANDS LÄN</t>
        </is>
      </c>
      <c r="E473" t="inlineStr">
        <is>
          <t>BERG</t>
        </is>
      </c>
      <c r="F473" t="inlineStr">
        <is>
          <t>Övriga Aktiebolag</t>
        </is>
      </c>
      <c r="G473" t="n">
        <v>3.3</v>
      </c>
      <c r="H473" t="n">
        <v>0</v>
      </c>
      <c r="I473" t="n">
        <v>0</v>
      </c>
      <c r="J473" t="n">
        <v>0</v>
      </c>
      <c r="K473" t="n">
        <v>0</v>
      </c>
      <c r="L473" t="n">
        <v>0</v>
      </c>
      <c r="M473" t="n">
        <v>0</v>
      </c>
      <c r="N473" t="n">
        <v>0</v>
      </c>
      <c r="O473" t="n">
        <v>0</v>
      </c>
      <c r="P473" t="n">
        <v>0</v>
      </c>
      <c r="Q473" t="n">
        <v>0</v>
      </c>
      <c r="R473" s="2" t="inlineStr"/>
    </row>
    <row r="474" ht="15" customHeight="1">
      <c r="A474" t="inlineStr">
        <is>
          <t>A 45150-2025</t>
        </is>
      </c>
      <c r="B474" s="1" t="n">
        <v>45919.47131944444</v>
      </c>
      <c r="C474" s="1" t="n">
        <v>46090</v>
      </c>
      <c r="D474" t="inlineStr">
        <is>
          <t>JÄMTLANDS LÄN</t>
        </is>
      </c>
      <c r="E474" t="inlineStr">
        <is>
          <t>BERG</t>
        </is>
      </c>
      <c r="F474" t="inlineStr">
        <is>
          <t>Övriga Aktiebolag</t>
        </is>
      </c>
      <c r="G474" t="n">
        <v>9.6</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46090</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45109-2025</t>
        </is>
      </c>
      <c r="B476" s="1" t="n">
        <v>45919.41850694444</v>
      </c>
      <c r="C476" s="1" t="n">
        <v>46090</v>
      </c>
      <c r="D476" t="inlineStr">
        <is>
          <t>JÄMTLANDS LÄN</t>
        </is>
      </c>
      <c r="E476" t="inlineStr">
        <is>
          <t>BERG</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45254-2025</t>
        </is>
      </c>
      <c r="B477" s="1" t="n">
        <v>45919.61523148148</v>
      </c>
      <c r="C477" s="1" t="n">
        <v>46090</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31015-2025</t>
        </is>
      </c>
      <c r="B478" s="1" t="n">
        <v>45832.51086805556</v>
      </c>
      <c r="C478" s="1" t="n">
        <v>46090</v>
      </c>
      <c r="D478" t="inlineStr">
        <is>
          <t>JÄMTLANDS LÄN</t>
        </is>
      </c>
      <c r="E478" t="inlineStr">
        <is>
          <t>BERG</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31017-2025</t>
        </is>
      </c>
      <c r="B479" s="1" t="n">
        <v>45832.51111111111</v>
      </c>
      <c r="C479" s="1" t="n">
        <v>46090</v>
      </c>
      <c r="D479" t="inlineStr">
        <is>
          <t>JÄMTLANDS LÄN</t>
        </is>
      </c>
      <c r="E479" t="inlineStr">
        <is>
          <t>BERG</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45640-2025</t>
        </is>
      </c>
      <c r="B480" s="1" t="n">
        <v>45922.961875</v>
      </c>
      <c r="C480" s="1" t="n">
        <v>46090</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44715.92443287037</v>
      </c>
      <c r="C481" s="1" t="n">
        <v>46090</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45568-2025</t>
        </is>
      </c>
      <c r="B482" s="1" t="n">
        <v>45922.65672453704</v>
      </c>
      <c r="C482" s="1" t="n">
        <v>46090</v>
      </c>
      <c r="D482" t="inlineStr">
        <is>
          <t>JÄMTLANDS LÄN</t>
        </is>
      </c>
      <c r="E482" t="inlineStr">
        <is>
          <t>BERG</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31070-2025</t>
        </is>
      </c>
      <c r="B483" s="1" t="n">
        <v>45832.57887731482</v>
      </c>
      <c r="C483" s="1" t="n">
        <v>46090</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31090-2025</t>
        </is>
      </c>
      <c r="B484" s="1" t="n">
        <v>45832.59436342592</v>
      </c>
      <c r="C484" s="1" t="n">
        <v>46090</v>
      </c>
      <c r="D484" t="inlineStr">
        <is>
          <t>JÄMTLANDS LÄN</t>
        </is>
      </c>
      <c r="E484" t="inlineStr">
        <is>
          <t>BERG</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20268-2024</t>
        </is>
      </c>
      <c r="B485" s="1" t="n">
        <v>45434.94887731481</v>
      </c>
      <c r="C485" s="1" t="n">
        <v>46090</v>
      </c>
      <c r="D485" t="inlineStr">
        <is>
          <t>JÄMTLANDS LÄN</t>
        </is>
      </c>
      <c r="E485" t="inlineStr">
        <is>
          <t>BERG</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12342-2023</t>
        </is>
      </c>
      <c r="B486" s="1" t="n">
        <v>44998</v>
      </c>
      <c r="C486" s="1" t="n">
        <v>46090</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45459-2025</t>
        </is>
      </c>
      <c r="B487" s="1" t="n">
        <v>45922.49230324074</v>
      </c>
      <c r="C487" s="1" t="n">
        <v>46090</v>
      </c>
      <c r="D487" t="inlineStr">
        <is>
          <t>JÄMTLANDS LÄN</t>
        </is>
      </c>
      <c r="E487" t="inlineStr">
        <is>
          <t>BERG</t>
        </is>
      </c>
      <c r="F487" t="inlineStr">
        <is>
          <t>Kyrkan</t>
        </is>
      </c>
      <c r="G487" t="n">
        <v>8</v>
      </c>
      <c r="H487" t="n">
        <v>0</v>
      </c>
      <c r="I487" t="n">
        <v>0</v>
      </c>
      <c r="J487" t="n">
        <v>0</v>
      </c>
      <c r="K487" t="n">
        <v>0</v>
      </c>
      <c r="L487" t="n">
        <v>0</v>
      </c>
      <c r="M487" t="n">
        <v>0</v>
      </c>
      <c r="N487" t="n">
        <v>0</v>
      </c>
      <c r="O487" t="n">
        <v>0</v>
      </c>
      <c r="P487" t="n">
        <v>0</v>
      </c>
      <c r="Q487" t="n">
        <v>0</v>
      </c>
      <c r="R487" s="2" t="inlineStr"/>
    </row>
    <row r="488" ht="15" customHeight="1">
      <c r="A488" t="inlineStr">
        <is>
          <t>A 45912-2025</t>
        </is>
      </c>
      <c r="B488" s="1" t="n">
        <v>45923</v>
      </c>
      <c r="C488" s="1" t="n">
        <v>46090</v>
      </c>
      <c r="D488" t="inlineStr">
        <is>
          <t>JÄMTLANDS LÄN</t>
        </is>
      </c>
      <c r="E488" t="inlineStr">
        <is>
          <t>BERG</t>
        </is>
      </c>
      <c r="G488" t="n">
        <v>1.1</v>
      </c>
      <c r="H488" t="n">
        <v>0</v>
      </c>
      <c r="I488" t="n">
        <v>0</v>
      </c>
      <c r="J488" t="n">
        <v>0</v>
      </c>
      <c r="K488" t="n">
        <v>0</v>
      </c>
      <c r="L488" t="n">
        <v>0</v>
      </c>
      <c r="M488" t="n">
        <v>0</v>
      </c>
      <c r="N488" t="n">
        <v>0</v>
      </c>
      <c r="O488" t="n">
        <v>0</v>
      </c>
      <c r="P488" t="n">
        <v>0</v>
      </c>
      <c r="Q488" t="n">
        <v>0</v>
      </c>
      <c r="R488" s="2" t="inlineStr"/>
    </row>
    <row r="489" ht="15" customHeight="1">
      <c r="A489" t="inlineStr">
        <is>
          <t>A 45657-2025</t>
        </is>
      </c>
      <c r="B489" s="1" t="n">
        <v>45923.34453703704</v>
      </c>
      <c r="C489" s="1" t="n">
        <v>46090</v>
      </c>
      <c r="D489" t="inlineStr">
        <is>
          <t>JÄMTLANDS LÄN</t>
        </is>
      </c>
      <c r="E489" t="inlineStr">
        <is>
          <t>BERG</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45390-2025</t>
        </is>
      </c>
      <c r="B490" s="1" t="n">
        <v>45922.40762731482</v>
      </c>
      <c r="C490" s="1" t="n">
        <v>46090</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31155-2024</t>
        </is>
      </c>
      <c r="B491" s="1" t="n">
        <v>45503</v>
      </c>
      <c r="C491" s="1" t="n">
        <v>46090</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31136-2025</t>
        </is>
      </c>
      <c r="B492" s="1" t="n">
        <v>45832.63599537037</v>
      </c>
      <c r="C492" s="1" t="n">
        <v>46090</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51172-2024</t>
        </is>
      </c>
      <c r="B493" s="1" t="n">
        <v>45603.59056712963</v>
      </c>
      <c r="C493" s="1" t="n">
        <v>46090</v>
      </c>
      <c r="D493" t="inlineStr">
        <is>
          <t>JÄMTLANDS LÄN</t>
        </is>
      </c>
      <c r="E493" t="inlineStr">
        <is>
          <t>BERG</t>
        </is>
      </c>
      <c r="G493" t="n">
        <v>12.2</v>
      </c>
      <c r="H493" t="n">
        <v>0</v>
      </c>
      <c r="I493" t="n">
        <v>0</v>
      </c>
      <c r="J493" t="n">
        <v>0</v>
      </c>
      <c r="K493" t="n">
        <v>0</v>
      </c>
      <c r="L493" t="n">
        <v>0</v>
      </c>
      <c r="M493" t="n">
        <v>0</v>
      </c>
      <c r="N493" t="n">
        <v>0</v>
      </c>
      <c r="O493" t="n">
        <v>0</v>
      </c>
      <c r="P493" t="n">
        <v>0</v>
      </c>
      <c r="Q493" t="n">
        <v>0</v>
      </c>
      <c r="R493" s="2" t="inlineStr"/>
    </row>
    <row r="494" ht="15" customHeight="1">
      <c r="A494" t="inlineStr">
        <is>
          <t>A 65210-2023</t>
        </is>
      </c>
      <c r="B494" s="1" t="n">
        <v>45289</v>
      </c>
      <c r="C494" s="1" t="n">
        <v>46090</v>
      </c>
      <c r="D494" t="inlineStr">
        <is>
          <t>JÄMTLANDS LÄN</t>
        </is>
      </c>
      <c r="E494" t="inlineStr">
        <is>
          <t>BERG</t>
        </is>
      </c>
      <c r="G494" t="n">
        <v>0.4</v>
      </c>
      <c r="H494" t="n">
        <v>0</v>
      </c>
      <c r="I494" t="n">
        <v>0</v>
      </c>
      <c r="J494" t="n">
        <v>0</v>
      </c>
      <c r="K494" t="n">
        <v>0</v>
      </c>
      <c r="L494" t="n">
        <v>0</v>
      </c>
      <c r="M494" t="n">
        <v>0</v>
      </c>
      <c r="N494" t="n">
        <v>0</v>
      </c>
      <c r="O494" t="n">
        <v>0</v>
      </c>
      <c r="P494" t="n">
        <v>0</v>
      </c>
      <c r="Q494" t="n">
        <v>0</v>
      </c>
      <c r="R494" s="2" t="inlineStr"/>
    </row>
    <row r="495" ht="15" customHeight="1">
      <c r="A495" t="inlineStr">
        <is>
          <t>A 32160-2025</t>
        </is>
      </c>
      <c r="B495" s="1" t="n">
        <v>45835.54142361111</v>
      </c>
      <c r="C495" s="1" t="n">
        <v>46090</v>
      </c>
      <c r="D495" t="inlineStr">
        <is>
          <t>JÄMTLANDS LÄN</t>
        </is>
      </c>
      <c r="E495" t="inlineStr">
        <is>
          <t>BERG</t>
        </is>
      </c>
      <c r="G495" t="n">
        <v>10.3</v>
      </c>
      <c r="H495" t="n">
        <v>0</v>
      </c>
      <c r="I495" t="n">
        <v>0</v>
      </c>
      <c r="J495" t="n">
        <v>0</v>
      </c>
      <c r="K495" t="n">
        <v>0</v>
      </c>
      <c r="L495" t="n">
        <v>0</v>
      </c>
      <c r="M495" t="n">
        <v>0</v>
      </c>
      <c r="N495" t="n">
        <v>0</v>
      </c>
      <c r="O495" t="n">
        <v>0</v>
      </c>
      <c r="P495" t="n">
        <v>0</v>
      </c>
      <c r="Q495" t="n">
        <v>0</v>
      </c>
      <c r="R495" s="2" t="inlineStr"/>
    </row>
    <row r="496" ht="15" customHeight="1">
      <c r="A496" t="inlineStr">
        <is>
          <t>A 31820-2025</t>
        </is>
      </c>
      <c r="B496" s="1" t="n">
        <v>45834.57930555556</v>
      </c>
      <c r="C496" s="1" t="n">
        <v>46090</v>
      </c>
      <c r="D496" t="inlineStr">
        <is>
          <t>JÄMTLANDS LÄN</t>
        </is>
      </c>
      <c r="E496" t="inlineStr">
        <is>
          <t>BERG</t>
        </is>
      </c>
      <c r="G496" t="n">
        <v>13.9</v>
      </c>
      <c r="H496" t="n">
        <v>0</v>
      </c>
      <c r="I496" t="n">
        <v>0</v>
      </c>
      <c r="J496" t="n">
        <v>0</v>
      </c>
      <c r="K496" t="n">
        <v>0</v>
      </c>
      <c r="L496" t="n">
        <v>0</v>
      </c>
      <c r="M496" t="n">
        <v>0</v>
      </c>
      <c r="N496" t="n">
        <v>0</v>
      </c>
      <c r="O496" t="n">
        <v>0</v>
      </c>
      <c r="P496" t="n">
        <v>0</v>
      </c>
      <c r="Q496" t="n">
        <v>0</v>
      </c>
      <c r="R496" s="2" t="inlineStr"/>
    </row>
    <row r="497" ht="15" customHeight="1">
      <c r="A497" t="inlineStr">
        <is>
          <t>A 12392-2025</t>
        </is>
      </c>
      <c r="B497" s="1" t="n">
        <v>45730.40104166666</v>
      </c>
      <c r="C497" s="1" t="n">
        <v>46090</v>
      </c>
      <c r="D497" t="inlineStr">
        <is>
          <t>JÄMTLANDS LÄN</t>
        </is>
      </c>
      <c r="E497" t="inlineStr">
        <is>
          <t>BERG</t>
        </is>
      </c>
      <c r="G497" t="n">
        <v>5.1</v>
      </c>
      <c r="H497" t="n">
        <v>0</v>
      </c>
      <c r="I497" t="n">
        <v>0</v>
      </c>
      <c r="J497" t="n">
        <v>0</v>
      </c>
      <c r="K497" t="n">
        <v>0</v>
      </c>
      <c r="L497" t="n">
        <v>0</v>
      </c>
      <c r="M497" t="n">
        <v>0</v>
      </c>
      <c r="N497" t="n">
        <v>0</v>
      </c>
      <c r="O497" t="n">
        <v>0</v>
      </c>
      <c r="P497" t="n">
        <v>0</v>
      </c>
      <c r="Q497" t="n">
        <v>0</v>
      </c>
      <c r="R497" s="2" t="inlineStr"/>
    </row>
    <row r="498" ht="15" customHeight="1">
      <c r="A498" t="inlineStr">
        <is>
          <t>A 46853-2025</t>
        </is>
      </c>
      <c r="B498" s="1" t="n">
        <v>45928.86563657408</v>
      </c>
      <c r="C498" s="1" t="n">
        <v>46090</v>
      </c>
      <c r="D498" t="inlineStr">
        <is>
          <t>JÄMTLANDS LÄN</t>
        </is>
      </c>
      <c r="E498" t="inlineStr">
        <is>
          <t>BERG</t>
        </is>
      </c>
      <c r="F498" t="inlineStr">
        <is>
          <t>Kyrkan</t>
        </is>
      </c>
      <c r="G498" t="n">
        <v>7.9</v>
      </c>
      <c r="H498" t="n">
        <v>0</v>
      </c>
      <c r="I498" t="n">
        <v>0</v>
      </c>
      <c r="J498" t="n">
        <v>0</v>
      </c>
      <c r="K498" t="n">
        <v>0</v>
      </c>
      <c r="L498" t="n">
        <v>0</v>
      </c>
      <c r="M498" t="n">
        <v>0</v>
      </c>
      <c r="N498" t="n">
        <v>0</v>
      </c>
      <c r="O498" t="n">
        <v>0</v>
      </c>
      <c r="P498" t="n">
        <v>0</v>
      </c>
      <c r="Q498" t="n">
        <v>0</v>
      </c>
      <c r="R498" s="2" t="inlineStr"/>
    </row>
    <row r="499" ht="15" customHeight="1">
      <c r="A499" t="inlineStr">
        <is>
          <t>A 64251-2023</t>
        </is>
      </c>
      <c r="B499" s="1" t="n">
        <v>45279.92756944444</v>
      </c>
      <c r="C499" s="1" t="n">
        <v>46090</v>
      </c>
      <c r="D499" t="inlineStr">
        <is>
          <t>JÄMTLANDS LÄN</t>
        </is>
      </c>
      <c r="E499" t="inlineStr">
        <is>
          <t>BERG</t>
        </is>
      </c>
      <c r="G499" t="n">
        <v>0.4</v>
      </c>
      <c r="H499" t="n">
        <v>0</v>
      </c>
      <c r="I499" t="n">
        <v>0</v>
      </c>
      <c r="J499" t="n">
        <v>0</v>
      </c>
      <c r="K499" t="n">
        <v>0</v>
      </c>
      <c r="L499" t="n">
        <v>0</v>
      </c>
      <c r="M499" t="n">
        <v>0</v>
      </c>
      <c r="N499" t="n">
        <v>0</v>
      </c>
      <c r="O499" t="n">
        <v>0</v>
      </c>
      <c r="P499" t="n">
        <v>0</v>
      </c>
      <c r="Q499" t="n">
        <v>0</v>
      </c>
      <c r="R499" s="2" t="inlineStr"/>
    </row>
    <row r="500" ht="15" customHeight="1">
      <c r="A500" t="inlineStr">
        <is>
          <t>A 46854-2025</t>
        </is>
      </c>
      <c r="B500" s="1" t="n">
        <v>45928.87376157408</v>
      </c>
      <c r="C500" s="1" t="n">
        <v>46090</v>
      </c>
      <c r="D500" t="inlineStr">
        <is>
          <t>JÄMTLANDS LÄN</t>
        </is>
      </c>
      <c r="E500" t="inlineStr">
        <is>
          <t>BERG</t>
        </is>
      </c>
      <c r="F500" t="inlineStr">
        <is>
          <t>Kyrkan</t>
        </is>
      </c>
      <c r="G500" t="n">
        <v>4.8</v>
      </c>
      <c r="H500" t="n">
        <v>0</v>
      </c>
      <c r="I500" t="n">
        <v>0</v>
      </c>
      <c r="J500" t="n">
        <v>0</v>
      </c>
      <c r="K500" t="n">
        <v>0</v>
      </c>
      <c r="L500" t="n">
        <v>0</v>
      </c>
      <c r="M500" t="n">
        <v>0</v>
      </c>
      <c r="N500" t="n">
        <v>0</v>
      </c>
      <c r="O500" t="n">
        <v>0</v>
      </c>
      <c r="P500" t="n">
        <v>0</v>
      </c>
      <c r="Q500" t="n">
        <v>0</v>
      </c>
      <c r="R500" s="2" t="inlineStr"/>
    </row>
    <row r="501" ht="15" customHeight="1">
      <c r="A501" t="inlineStr">
        <is>
          <t>A 33481-2023</t>
        </is>
      </c>
      <c r="B501" s="1" t="n">
        <v>45131</v>
      </c>
      <c r="C501" s="1" t="n">
        <v>46090</v>
      </c>
      <c r="D501" t="inlineStr">
        <is>
          <t>JÄMTLANDS LÄN</t>
        </is>
      </c>
      <c r="E501" t="inlineStr">
        <is>
          <t>BERG</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47137-2025</t>
        </is>
      </c>
      <c r="B502" s="1" t="n">
        <v>45929.69876157407</v>
      </c>
      <c r="C502" s="1" t="n">
        <v>46090</v>
      </c>
      <c r="D502" t="inlineStr">
        <is>
          <t>JÄMTLANDS LÄN</t>
        </is>
      </c>
      <c r="E502" t="inlineStr">
        <is>
          <t>BERG</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46090</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32713-2025</t>
        </is>
      </c>
      <c r="B504" s="1" t="n">
        <v>45839.36935185185</v>
      </c>
      <c r="C504" s="1" t="n">
        <v>46090</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28403-2025</t>
        </is>
      </c>
      <c r="B505" s="1" t="n">
        <v>45819</v>
      </c>
      <c r="C505" s="1" t="n">
        <v>46090</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47135-2025</t>
        </is>
      </c>
      <c r="B506" s="1" t="n">
        <v>45929.69799768519</v>
      </c>
      <c r="C506" s="1" t="n">
        <v>46090</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46090</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46090</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32919-2025</t>
        </is>
      </c>
      <c r="B509" s="1" t="n">
        <v>45839.64721064815</v>
      </c>
      <c r="C509" s="1" t="n">
        <v>46090</v>
      </c>
      <c r="D509" t="inlineStr">
        <is>
          <t>JÄMTLANDS LÄN</t>
        </is>
      </c>
      <c r="E509" t="inlineStr">
        <is>
          <t>BERG</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8711-2024</t>
        </is>
      </c>
      <c r="B510" s="1" t="n">
        <v>45356</v>
      </c>
      <c r="C510" s="1" t="n">
        <v>46090</v>
      </c>
      <c r="D510" t="inlineStr">
        <is>
          <t>JÄMTLANDS LÄN</t>
        </is>
      </c>
      <c r="E510" t="inlineStr">
        <is>
          <t>BERG</t>
        </is>
      </c>
      <c r="G510" t="n">
        <v>5.2</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46090</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14198-2023</t>
        </is>
      </c>
      <c r="B512" s="1" t="n">
        <v>45009.57518518518</v>
      </c>
      <c r="C512" s="1" t="n">
        <v>46090</v>
      </c>
      <c r="D512" t="inlineStr">
        <is>
          <t>JÄMTLANDS LÄN</t>
        </is>
      </c>
      <c r="E512" t="inlineStr">
        <is>
          <t>BERG</t>
        </is>
      </c>
      <c r="G512" t="n">
        <v>2.3</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46090</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33054-2025</t>
        </is>
      </c>
      <c r="B514" s="1" t="n">
        <v>45840.42746527777</v>
      </c>
      <c r="C514" s="1" t="n">
        <v>46090</v>
      </c>
      <c r="D514" t="inlineStr">
        <is>
          <t>JÄMTLANDS LÄN</t>
        </is>
      </c>
      <c r="E514" t="inlineStr">
        <is>
          <t>BERG</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1520-2022</t>
        </is>
      </c>
      <c r="B515" s="1" t="n">
        <v>44572</v>
      </c>
      <c r="C515" s="1" t="n">
        <v>46090</v>
      </c>
      <c r="D515" t="inlineStr">
        <is>
          <t>JÄMTLANDS LÄN</t>
        </is>
      </c>
      <c r="E515" t="inlineStr">
        <is>
          <t>BERG</t>
        </is>
      </c>
      <c r="G515" t="n">
        <v>7.7</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46090</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46090</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46090</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46090</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46090</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46090</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27239-2023</t>
        </is>
      </c>
      <c r="B522" s="1" t="n">
        <v>45092</v>
      </c>
      <c r="C522" s="1" t="n">
        <v>46090</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46090</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32248-2024</t>
        </is>
      </c>
      <c r="B524" s="1" t="n">
        <v>45511.95144675926</v>
      </c>
      <c r="C524" s="1" t="n">
        <v>46090</v>
      </c>
      <c r="D524" t="inlineStr">
        <is>
          <t>JÄMTLANDS LÄN</t>
        </is>
      </c>
      <c r="E524" t="inlineStr">
        <is>
          <t>BERG</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39103-2024</t>
        </is>
      </c>
      <c r="B525" s="1" t="n">
        <v>45548.57025462963</v>
      </c>
      <c r="C525" s="1" t="n">
        <v>46090</v>
      </c>
      <c r="D525" t="inlineStr">
        <is>
          <t>JÄMTLANDS LÄN</t>
        </is>
      </c>
      <c r="E525" t="inlineStr">
        <is>
          <t>BERG</t>
        </is>
      </c>
      <c r="G525" t="n">
        <v>38.4</v>
      </c>
      <c r="H525" t="n">
        <v>0</v>
      </c>
      <c r="I525" t="n">
        <v>0</v>
      </c>
      <c r="J525" t="n">
        <v>0</v>
      </c>
      <c r="K525" t="n">
        <v>0</v>
      </c>
      <c r="L525" t="n">
        <v>0</v>
      </c>
      <c r="M525" t="n">
        <v>0</v>
      </c>
      <c r="N525" t="n">
        <v>0</v>
      </c>
      <c r="O525" t="n">
        <v>0</v>
      </c>
      <c r="P525" t="n">
        <v>0</v>
      </c>
      <c r="Q525" t="n">
        <v>0</v>
      </c>
      <c r="R525" s="2" t="inlineStr"/>
    </row>
    <row r="526" ht="15" customHeight="1">
      <c r="A526" t="inlineStr">
        <is>
          <t>A 47534-2025</t>
        </is>
      </c>
      <c r="B526" s="1" t="n">
        <v>45931.3466550926</v>
      </c>
      <c r="C526" s="1" t="n">
        <v>46090</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46090</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33750-2025</t>
        </is>
      </c>
      <c r="B528" s="1" t="n">
        <v>45842.36243055556</v>
      </c>
      <c r="C528" s="1" t="n">
        <v>46090</v>
      </c>
      <c r="D528" t="inlineStr">
        <is>
          <t>JÄMTLANDS LÄN</t>
        </is>
      </c>
      <c r="E528" t="inlineStr">
        <is>
          <t>BERG</t>
        </is>
      </c>
      <c r="G528" t="n">
        <v>0.9</v>
      </c>
      <c r="H528" t="n">
        <v>0</v>
      </c>
      <c r="I528" t="n">
        <v>0</v>
      </c>
      <c r="J528" t="n">
        <v>0</v>
      </c>
      <c r="K528" t="n">
        <v>0</v>
      </c>
      <c r="L528" t="n">
        <v>0</v>
      </c>
      <c r="M528" t="n">
        <v>0</v>
      </c>
      <c r="N528" t="n">
        <v>0</v>
      </c>
      <c r="O528" t="n">
        <v>0</v>
      </c>
      <c r="P528" t="n">
        <v>0</v>
      </c>
      <c r="Q528" t="n">
        <v>0</v>
      </c>
      <c r="R528" s="2" t="inlineStr"/>
    </row>
    <row r="529" ht="15" customHeight="1">
      <c r="A529" t="inlineStr">
        <is>
          <t>A 48250-2025</t>
        </is>
      </c>
      <c r="B529" s="1" t="n">
        <v>45933.55259259259</v>
      </c>
      <c r="C529" s="1" t="n">
        <v>46090</v>
      </c>
      <c r="D529" t="inlineStr">
        <is>
          <t>JÄMTLANDS LÄN</t>
        </is>
      </c>
      <c r="E529" t="inlineStr">
        <is>
          <t>BERG</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33748-2025</t>
        </is>
      </c>
      <c r="B530" s="1" t="n">
        <v>45842.35685185185</v>
      </c>
      <c r="C530" s="1" t="n">
        <v>46090</v>
      </c>
      <c r="D530" t="inlineStr">
        <is>
          <t>JÄMTLANDS LÄN</t>
        </is>
      </c>
      <c r="E530" t="inlineStr">
        <is>
          <t>BERG</t>
        </is>
      </c>
      <c r="G530" t="n">
        <v>2.1</v>
      </c>
      <c r="H530" t="n">
        <v>0</v>
      </c>
      <c r="I530" t="n">
        <v>0</v>
      </c>
      <c r="J530" t="n">
        <v>0</v>
      </c>
      <c r="K530" t="n">
        <v>0</v>
      </c>
      <c r="L530" t="n">
        <v>0</v>
      </c>
      <c r="M530" t="n">
        <v>0</v>
      </c>
      <c r="N530" t="n">
        <v>0</v>
      </c>
      <c r="O530" t="n">
        <v>0</v>
      </c>
      <c r="P530" t="n">
        <v>0</v>
      </c>
      <c r="Q530" t="n">
        <v>0</v>
      </c>
      <c r="R530" s="2" t="inlineStr"/>
    </row>
    <row r="531" ht="15" customHeight="1">
      <c r="A531" t="inlineStr">
        <is>
          <t>A 9118-2026</t>
        </is>
      </c>
      <c r="B531" s="1" t="n">
        <v>46069.67773148148</v>
      </c>
      <c r="C531" s="1" t="n">
        <v>46090</v>
      </c>
      <c r="D531" t="inlineStr">
        <is>
          <t>JÄMTLANDS LÄN</t>
        </is>
      </c>
      <c r="E531" t="inlineStr">
        <is>
          <t>BERG</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34030-2025</t>
        </is>
      </c>
      <c r="B532" s="1" t="n">
        <v>45845.3633912037</v>
      </c>
      <c r="C532" s="1" t="n">
        <v>46090</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33753-2025</t>
        </is>
      </c>
      <c r="B533" s="1" t="n">
        <v>45842.37199074074</v>
      </c>
      <c r="C533" s="1" t="n">
        <v>46090</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34036-2025</t>
        </is>
      </c>
      <c r="B534" s="1" t="n">
        <v>45845.36954861111</v>
      </c>
      <c r="C534" s="1" t="n">
        <v>46090</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48168-2025</t>
        </is>
      </c>
      <c r="B535" s="1" t="n">
        <v>45933.43004629629</v>
      </c>
      <c r="C535" s="1" t="n">
        <v>46090</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25565-2023</t>
        </is>
      </c>
      <c r="B536" s="1" t="n">
        <v>45082</v>
      </c>
      <c r="C536" s="1" t="n">
        <v>46090</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57661-2024</t>
        </is>
      </c>
      <c r="B537" s="1" t="n">
        <v>45630.6140162037</v>
      </c>
      <c r="C537" s="1" t="n">
        <v>46090</v>
      </c>
      <c r="D537" t="inlineStr">
        <is>
          <t>JÄMTLANDS LÄN</t>
        </is>
      </c>
      <c r="E537" t="inlineStr">
        <is>
          <t>BERG</t>
        </is>
      </c>
      <c r="G537" t="n">
        <v>0.8</v>
      </c>
      <c r="H537" t="n">
        <v>0</v>
      </c>
      <c r="I537" t="n">
        <v>0</v>
      </c>
      <c r="J537" t="n">
        <v>0</v>
      </c>
      <c r="K537" t="n">
        <v>0</v>
      </c>
      <c r="L537" t="n">
        <v>0</v>
      </c>
      <c r="M537" t="n">
        <v>0</v>
      </c>
      <c r="N537" t="n">
        <v>0</v>
      </c>
      <c r="O537" t="n">
        <v>0</v>
      </c>
      <c r="P537" t="n">
        <v>0</v>
      </c>
      <c r="Q537" t="n">
        <v>0</v>
      </c>
      <c r="R537" s="2" t="inlineStr"/>
    </row>
    <row r="538" ht="15" customHeight="1">
      <c r="A538" t="inlineStr">
        <is>
          <t>A 48508-2025</t>
        </is>
      </c>
      <c r="B538" s="1" t="n">
        <v>45936.3859837963</v>
      </c>
      <c r="C538" s="1" t="n">
        <v>46090</v>
      </c>
      <c r="D538" t="inlineStr">
        <is>
          <t>JÄMTLANDS LÄN</t>
        </is>
      </c>
      <c r="E538" t="inlineStr">
        <is>
          <t>BERG</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45208-2024</t>
        </is>
      </c>
      <c r="B539" s="1" t="n">
        <v>45575.7077662037</v>
      </c>
      <c r="C539" s="1" t="n">
        <v>46090</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35866-2024</t>
        </is>
      </c>
      <c r="B540" s="1" t="n">
        <v>45533.3422337963</v>
      </c>
      <c r="C540" s="1" t="n">
        <v>46090</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34892-2025</t>
        </is>
      </c>
      <c r="B541" s="1" t="n">
        <v>45849.49047453704</v>
      </c>
      <c r="C541" s="1" t="n">
        <v>46090</v>
      </c>
      <c r="D541" t="inlineStr">
        <is>
          <t>JÄMTLANDS LÄN</t>
        </is>
      </c>
      <c r="E541" t="inlineStr">
        <is>
          <t>BERG</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48511-2025</t>
        </is>
      </c>
      <c r="B542" s="1" t="n">
        <v>45936.3865162037</v>
      </c>
      <c r="C542" s="1" t="n">
        <v>46090</v>
      </c>
      <c r="D542" t="inlineStr">
        <is>
          <t>JÄMTLANDS LÄN</t>
        </is>
      </c>
      <c r="E542" t="inlineStr">
        <is>
          <t>BERG</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14772-2021</t>
        </is>
      </c>
      <c r="B543" s="1" t="n">
        <v>44280.62068287037</v>
      </c>
      <c r="C543" s="1" t="n">
        <v>46090</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48704-2025</t>
        </is>
      </c>
      <c r="B544" s="1" t="n">
        <v>45936.6222337963</v>
      </c>
      <c r="C544" s="1" t="n">
        <v>46090</v>
      </c>
      <c r="D544" t="inlineStr">
        <is>
          <t>JÄMTLANDS LÄN</t>
        </is>
      </c>
      <c r="E544" t="inlineStr">
        <is>
          <t>BERG</t>
        </is>
      </c>
      <c r="G544" t="n">
        <v>2.7</v>
      </c>
      <c r="H544" t="n">
        <v>0</v>
      </c>
      <c r="I544" t="n">
        <v>0</v>
      </c>
      <c r="J544" t="n">
        <v>0</v>
      </c>
      <c r="K544" t="n">
        <v>0</v>
      </c>
      <c r="L544" t="n">
        <v>0</v>
      </c>
      <c r="M544" t="n">
        <v>0</v>
      </c>
      <c r="N544" t="n">
        <v>0</v>
      </c>
      <c r="O544" t="n">
        <v>0</v>
      </c>
      <c r="P544" t="n">
        <v>0</v>
      </c>
      <c r="Q544" t="n">
        <v>0</v>
      </c>
      <c r="R544" s="2" t="inlineStr"/>
    </row>
    <row r="545" ht="15" customHeight="1">
      <c r="A545" t="inlineStr">
        <is>
          <t>A 9012-2026</t>
        </is>
      </c>
      <c r="B545" s="1" t="n">
        <v>46069.4900462963</v>
      </c>
      <c r="C545" s="1" t="n">
        <v>46090</v>
      </c>
      <c r="D545" t="inlineStr">
        <is>
          <t>JÄMTLANDS LÄN</t>
        </is>
      </c>
      <c r="E545" t="inlineStr">
        <is>
          <t>BERG</t>
        </is>
      </c>
      <c r="G545" t="n">
        <v>10.7</v>
      </c>
      <c r="H545" t="n">
        <v>0</v>
      </c>
      <c r="I545" t="n">
        <v>0</v>
      </c>
      <c r="J545" t="n">
        <v>0</v>
      </c>
      <c r="K545" t="n">
        <v>0</v>
      </c>
      <c r="L545" t="n">
        <v>0</v>
      </c>
      <c r="M545" t="n">
        <v>0</v>
      </c>
      <c r="N545" t="n">
        <v>0</v>
      </c>
      <c r="O545" t="n">
        <v>0</v>
      </c>
      <c r="P545" t="n">
        <v>0</v>
      </c>
      <c r="Q545" t="n">
        <v>0</v>
      </c>
      <c r="R545" s="2" t="inlineStr"/>
    </row>
    <row r="546" ht="15" customHeight="1">
      <c r="A546" t="inlineStr">
        <is>
          <t>A 48865-2025</t>
        </is>
      </c>
      <c r="B546" s="1" t="n">
        <v>45937.44760416666</v>
      </c>
      <c r="C546" s="1" t="n">
        <v>46090</v>
      </c>
      <c r="D546" t="inlineStr">
        <is>
          <t>JÄMTLANDS LÄN</t>
        </is>
      </c>
      <c r="E546" t="inlineStr">
        <is>
          <t>BERG</t>
        </is>
      </c>
      <c r="G546" t="n">
        <v>5.8</v>
      </c>
      <c r="H546" t="n">
        <v>0</v>
      </c>
      <c r="I546" t="n">
        <v>0</v>
      </c>
      <c r="J546" t="n">
        <v>0</v>
      </c>
      <c r="K546" t="n">
        <v>0</v>
      </c>
      <c r="L546" t="n">
        <v>0</v>
      </c>
      <c r="M546" t="n">
        <v>0</v>
      </c>
      <c r="N546" t="n">
        <v>0</v>
      </c>
      <c r="O546" t="n">
        <v>0</v>
      </c>
      <c r="P546" t="n">
        <v>0</v>
      </c>
      <c r="Q546" t="n">
        <v>0</v>
      </c>
      <c r="R546" s="2" t="inlineStr"/>
    </row>
    <row r="547" ht="15" customHeight="1">
      <c r="A547" t="inlineStr">
        <is>
          <t>A 35183-2025</t>
        </is>
      </c>
      <c r="B547" s="1" t="n">
        <v>45853.29931712963</v>
      </c>
      <c r="C547" s="1" t="n">
        <v>46090</v>
      </c>
      <c r="D547" t="inlineStr">
        <is>
          <t>JÄMTLANDS LÄN</t>
        </is>
      </c>
      <c r="E547" t="inlineStr">
        <is>
          <t>BERG</t>
        </is>
      </c>
      <c r="G547" t="n">
        <v>2.8</v>
      </c>
      <c r="H547" t="n">
        <v>0</v>
      </c>
      <c r="I547" t="n">
        <v>0</v>
      </c>
      <c r="J547" t="n">
        <v>0</v>
      </c>
      <c r="K547" t="n">
        <v>0</v>
      </c>
      <c r="L547" t="n">
        <v>0</v>
      </c>
      <c r="M547" t="n">
        <v>0</v>
      </c>
      <c r="N547" t="n">
        <v>0</v>
      </c>
      <c r="O547" t="n">
        <v>0</v>
      </c>
      <c r="P547" t="n">
        <v>0</v>
      </c>
      <c r="Q547" t="n">
        <v>0</v>
      </c>
      <c r="R547" s="2" t="inlineStr"/>
    </row>
    <row r="548" ht="15" customHeight="1">
      <c r="A548" t="inlineStr">
        <is>
          <t>A 48968-2025</t>
        </is>
      </c>
      <c r="B548" s="1" t="n">
        <v>45937.56285879629</v>
      </c>
      <c r="C548" s="1" t="n">
        <v>46090</v>
      </c>
      <c r="D548" t="inlineStr">
        <is>
          <t>JÄMTLANDS LÄN</t>
        </is>
      </c>
      <c r="E548" t="inlineStr">
        <is>
          <t>BERG</t>
        </is>
      </c>
      <c r="G548" t="n">
        <v>20</v>
      </c>
      <c r="H548" t="n">
        <v>0</v>
      </c>
      <c r="I548" t="n">
        <v>0</v>
      </c>
      <c r="J548" t="n">
        <v>0</v>
      </c>
      <c r="K548" t="n">
        <v>0</v>
      </c>
      <c r="L548" t="n">
        <v>0</v>
      </c>
      <c r="M548" t="n">
        <v>0</v>
      </c>
      <c r="N548" t="n">
        <v>0</v>
      </c>
      <c r="O548" t="n">
        <v>0</v>
      </c>
      <c r="P548" t="n">
        <v>0</v>
      </c>
      <c r="Q548" t="n">
        <v>0</v>
      </c>
      <c r="R548" s="2" t="inlineStr"/>
    </row>
    <row r="549" ht="15" customHeight="1">
      <c r="A549" t="inlineStr">
        <is>
          <t>A 48770-2025</t>
        </is>
      </c>
      <c r="B549" s="1" t="n">
        <v>45936.91108796297</v>
      </c>
      <c r="C549" s="1" t="n">
        <v>46090</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35213-2025</t>
        </is>
      </c>
      <c r="B550" s="1" t="n">
        <v>45853.46494212963</v>
      </c>
      <c r="C550" s="1" t="n">
        <v>46090</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37101-2024</t>
        </is>
      </c>
      <c r="B551" s="1" t="n">
        <v>45539.5029050926</v>
      </c>
      <c r="C551" s="1" t="n">
        <v>46090</v>
      </c>
      <c r="D551" t="inlineStr">
        <is>
          <t>JÄMTLANDS LÄN</t>
        </is>
      </c>
      <c r="E551" t="inlineStr">
        <is>
          <t>BERG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35184-2025</t>
        </is>
      </c>
      <c r="B552" s="1" t="n">
        <v>45853.30270833334</v>
      </c>
      <c r="C552" s="1" t="n">
        <v>46090</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46090</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37067-2023</t>
        </is>
      </c>
      <c r="B554" s="1" t="n">
        <v>45154</v>
      </c>
      <c r="C554" s="1" t="n">
        <v>46090</v>
      </c>
      <c r="D554" t="inlineStr">
        <is>
          <t>JÄMTLANDS LÄN</t>
        </is>
      </c>
      <c r="E554" t="inlineStr">
        <is>
          <t>BERG</t>
        </is>
      </c>
      <c r="G554" t="n">
        <v>7.4</v>
      </c>
      <c r="H554" t="n">
        <v>0</v>
      </c>
      <c r="I554" t="n">
        <v>0</v>
      </c>
      <c r="J554" t="n">
        <v>0</v>
      </c>
      <c r="K554" t="n">
        <v>0</v>
      </c>
      <c r="L554" t="n">
        <v>0</v>
      </c>
      <c r="M554" t="n">
        <v>0</v>
      </c>
      <c r="N554" t="n">
        <v>0</v>
      </c>
      <c r="O554" t="n">
        <v>0</v>
      </c>
      <c r="P554" t="n">
        <v>0</v>
      </c>
      <c r="Q554" t="n">
        <v>0</v>
      </c>
      <c r="R554" s="2" t="inlineStr"/>
    </row>
    <row r="555" ht="15" customHeight="1">
      <c r="A555" t="inlineStr">
        <is>
          <t>A 49041-2025</t>
        </is>
      </c>
      <c r="B555" s="1" t="n">
        <v>45937.63592592593</v>
      </c>
      <c r="C555" s="1" t="n">
        <v>46090</v>
      </c>
      <c r="D555" t="inlineStr">
        <is>
          <t>JÄMTLANDS LÄN</t>
        </is>
      </c>
      <c r="E555" t="inlineStr">
        <is>
          <t>BERG</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8765-2026</t>
        </is>
      </c>
      <c r="B556" s="1" t="n">
        <v>46066.56057870371</v>
      </c>
      <c r="C556" s="1" t="n">
        <v>46090</v>
      </c>
      <c r="D556" t="inlineStr">
        <is>
          <t>JÄMTLANDS LÄN</t>
        </is>
      </c>
      <c r="E556" t="inlineStr">
        <is>
          <t>BERG</t>
        </is>
      </c>
      <c r="G556" t="n">
        <v>5.6</v>
      </c>
      <c r="H556" t="n">
        <v>0</v>
      </c>
      <c r="I556" t="n">
        <v>0</v>
      </c>
      <c r="J556" t="n">
        <v>0</v>
      </c>
      <c r="K556" t="n">
        <v>0</v>
      </c>
      <c r="L556" t="n">
        <v>0</v>
      </c>
      <c r="M556" t="n">
        <v>0</v>
      </c>
      <c r="N556" t="n">
        <v>0</v>
      </c>
      <c r="O556" t="n">
        <v>0</v>
      </c>
      <c r="P556" t="n">
        <v>0</v>
      </c>
      <c r="Q556" t="n">
        <v>0</v>
      </c>
      <c r="R556" s="2" t="inlineStr"/>
    </row>
    <row r="557" ht="15" customHeight="1">
      <c r="A557" t="inlineStr">
        <is>
          <t>A 8733-2025</t>
        </is>
      </c>
      <c r="B557" s="1" t="n">
        <v>45712.53197916667</v>
      </c>
      <c r="C557" s="1" t="n">
        <v>46090</v>
      </c>
      <c r="D557" t="inlineStr">
        <is>
          <t>JÄMTLANDS LÄN</t>
        </is>
      </c>
      <c r="E557" t="inlineStr">
        <is>
          <t>BERG</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35363-2025</t>
        </is>
      </c>
      <c r="B558" s="1" t="n">
        <v>45854.67538194444</v>
      </c>
      <c r="C558" s="1" t="n">
        <v>46090</v>
      </c>
      <c r="D558" t="inlineStr">
        <is>
          <t>JÄMTLANDS LÄN</t>
        </is>
      </c>
      <c r="E558" t="inlineStr">
        <is>
          <t>BERG</t>
        </is>
      </c>
      <c r="G558" t="n">
        <v>9.5</v>
      </c>
      <c r="H558" t="n">
        <v>0</v>
      </c>
      <c r="I558" t="n">
        <v>0</v>
      </c>
      <c r="J558" t="n">
        <v>0</v>
      </c>
      <c r="K558" t="n">
        <v>0</v>
      </c>
      <c r="L558" t="n">
        <v>0</v>
      </c>
      <c r="M558" t="n">
        <v>0</v>
      </c>
      <c r="N558" t="n">
        <v>0</v>
      </c>
      <c r="O558" t="n">
        <v>0</v>
      </c>
      <c r="P558" t="n">
        <v>0</v>
      </c>
      <c r="Q558" t="n">
        <v>0</v>
      </c>
      <c r="R558" s="2" t="inlineStr"/>
    </row>
    <row r="559" ht="15" customHeight="1">
      <c r="A559" t="inlineStr">
        <is>
          <t>A 34601-2024</t>
        </is>
      </c>
      <c r="B559" s="1" t="n">
        <v>45526.4034375</v>
      </c>
      <c r="C559" s="1" t="n">
        <v>46090</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49573-2025</t>
        </is>
      </c>
      <c r="B560" s="1" t="n">
        <v>45939.49037037037</v>
      </c>
      <c r="C560" s="1" t="n">
        <v>46090</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35360-2025</t>
        </is>
      </c>
      <c r="B561" s="1" t="n">
        <v>45854.66877314815</v>
      </c>
      <c r="C561" s="1" t="n">
        <v>46090</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49349-2025</t>
        </is>
      </c>
      <c r="B562" s="1" t="n">
        <v>45938.61060185185</v>
      </c>
      <c r="C562" s="1" t="n">
        <v>46090</v>
      </c>
      <c r="D562" t="inlineStr">
        <is>
          <t>JÄMTLANDS LÄN</t>
        </is>
      </c>
      <c r="E562" t="inlineStr">
        <is>
          <t>BERG</t>
        </is>
      </c>
      <c r="G562" t="n">
        <v>2.5</v>
      </c>
      <c r="H562" t="n">
        <v>0</v>
      </c>
      <c r="I562" t="n">
        <v>0</v>
      </c>
      <c r="J562" t="n">
        <v>0</v>
      </c>
      <c r="K562" t="n">
        <v>0</v>
      </c>
      <c r="L562" t="n">
        <v>0</v>
      </c>
      <c r="M562" t="n">
        <v>0</v>
      </c>
      <c r="N562" t="n">
        <v>0</v>
      </c>
      <c r="O562" t="n">
        <v>0</v>
      </c>
      <c r="P562" t="n">
        <v>0</v>
      </c>
      <c r="Q562" t="n">
        <v>0</v>
      </c>
      <c r="R562" s="2" t="inlineStr"/>
    </row>
    <row r="563" ht="15" customHeight="1">
      <c r="A563" t="inlineStr">
        <is>
          <t>A 49604-2025</t>
        </is>
      </c>
      <c r="B563" s="1" t="n">
        <v>45939.55241898148</v>
      </c>
      <c r="C563" s="1" t="n">
        <v>46090</v>
      </c>
      <c r="D563" t="inlineStr">
        <is>
          <t>JÄMTLANDS LÄN</t>
        </is>
      </c>
      <c r="E563" t="inlineStr">
        <is>
          <t>BERG</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49918-2025</t>
        </is>
      </c>
      <c r="B564" s="1" t="n">
        <v>45940.6290625</v>
      </c>
      <c r="C564" s="1" t="n">
        <v>46090</v>
      </c>
      <c r="D564" t="inlineStr">
        <is>
          <t>JÄMTLANDS LÄN</t>
        </is>
      </c>
      <c r="E564" t="inlineStr">
        <is>
          <t>BERG</t>
        </is>
      </c>
      <c r="G564" t="n">
        <v>0.7</v>
      </c>
      <c r="H564" t="n">
        <v>0</v>
      </c>
      <c r="I564" t="n">
        <v>0</v>
      </c>
      <c r="J564" t="n">
        <v>0</v>
      </c>
      <c r="K564" t="n">
        <v>0</v>
      </c>
      <c r="L564" t="n">
        <v>0</v>
      </c>
      <c r="M564" t="n">
        <v>0</v>
      </c>
      <c r="N564" t="n">
        <v>0</v>
      </c>
      <c r="O564" t="n">
        <v>0</v>
      </c>
      <c r="P564" t="n">
        <v>0</v>
      </c>
      <c r="Q564" t="n">
        <v>0</v>
      </c>
      <c r="R564" s="2" t="inlineStr"/>
    </row>
    <row r="565" ht="15" customHeight="1">
      <c r="A565" t="inlineStr">
        <is>
          <t>A 35684-2025</t>
        </is>
      </c>
      <c r="B565" s="1" t="n">
        <v>45859.88079861111</v>
      </c>
      <c r="C565" s="1" t="n">
        <v>46090</v>
      </c>
      <c r="D565" t="inlineStr">
        <is>
          <t>JÄMTLANDS LÄN</t>
        </is>
      </c>
      <c r="E565" t="inlineStr">
        <is>
          <t>BERG</t>
        </is>
      </c>
      <c r="G565" t="n">
        <v>6.1</v>
      </c>
      <c r="H565" t="n">
        <v>0</v>
      </c>
      <c r="I565" t="n">
        <v>0</v>
      </c>
      <c r="J565" t="n">
        <v>0</v>
      </c>
      <c r="K565" t="n">
        <v>0</v>
      </c>
      <c r="L565" t="n">
        <v>0</v>
      </c>
      <c r="M565" t="n">
        <v>0</v>
      </c>
      <c r="N565" t="n">
        <v>0</v>
      </c>
      <c r="O565" t="n">
        <v>0</v>
      </c>
      <c r="P565" t="n">
        <v>0</v>
      </c>
      <c r="Q565" t="n">
        <v>0</v>
      </c>
      <c r="R565" s="2" t="inlineStr"/>
    </row>
    <row r="566" ht="15" customHeight="1">
      <c r="A566" t="inlineStr">
        <is>
          <t>A 50024-2025</t>
        </is>
      </c>
      <c r="B566" s="1" t="n">
        <v>45943.37563657408</v>
      </c>
      <c r="C566" s="1" t="n">
        <v>46090</v>
      </c>
      <c r="D566" t="inlineStr">
        <is>
          <t>JÄMTLANDS LÄN</t>
        </is>
      </c>
      <c r="E566" t="inlineStr">
        <is>
          <t>BERG</t>
        </is>
      </c>
      <c r="G566" t="n">
        <v>2.7</v>
      </c>
      <c r="H566" t="n">
        <v>0</v>
      </c>
      <c r="I566" t="n">
        <v>0</v>
      </c>
      <c r="J566" t="n">
        <v>0</v>
      </c>
      <c r="K566" t="n">
        <v>0</v>
      </c>
      <c r="L566" t="n">
        <v>0</v>
      </c>
      <c r="M566" t="n">
        <v>0</v>
      </c>
      <c r="N566" t="n">
        <v>0</v>
      </c>
      <c r="O566" t="n">
        <v>0</v>
      </c>
      <c r="P566" t="n">
        <v>0</v>
      </c>
      <c r="Q566" t="n">
        <v>0</v>
      </c>
      <c r="R566" s="2" t="inlineStr"/>
    </row>
    <row r="567" ht="15" customHeight="1">
      <c r="A567" t="inlineStr">
        <is>
          <t>A 19258-2025</t>
        </is>
      </c>
      <c r="B567" s="1" t="n">
        <v>45769.49987268518</v>
      </c>
      <c r="C567" s="1" t="n">
        <v>46090</v>
      </c>
      <c r="D567" t="inlineStr">
        <is>
          <t>JÄMTLANDS LÄN</t>
        </is>
      </c>
      <c r="E567" t="inlineStr">
        <is>
          <t>BERG</t>
        </is>
      </c>
      <c r="G567" t="n">
        <v>10.9</v>
      </c>
      <c r="H567" t="n">
        <v>0</v>
      </c>
      <c r="I567" t="n">
        <v>0</v>
      </c>
      <c r="J567" t="n">
        <v>0</v>
      </c>
      <c r="K567" t="n">
        <v>0</v>
      </c>
      <c r="L567" t="n">
        <v>0</v>
      </c>
      <c r="M567" t="n">
        <v>0</v>
      </c>
      <c r="N567" t="n">
        <v>0</v>
      </c>
      <c r="O567" t="n">
        <v>0</v>
      </c>
      <c r="P567" t="n">
        <v>0</v>
      </c>
      <c r="Q567" t="n">
        <v>0</v>
      </c>
      <c r="R567" s="2" t="inlineStr"/>
    </row>
    <row r="568" ht="15" customHeight="1">
      <c r="A568" t="inlineStr">
        <is>
          <t>A 50094-2025</t>
        </is>
      </c>
      <c r="B568" s="1" t="n">
        <v>45943.49340277778</v>
      </c>
      <c r="C568" s="1" t="n">
        <v>46090</v>
      </c>
      <c r="D568" t="inlineStr">
        <is>
          <t>JÄMTLANDS LÄN</t>
        </is>
      </c>
      <c r="E568" t="inlineStr">
        <is>
          <t>BERG</t>
        </is>
      </c>
      <c r="G568" t="n">
        <v>3</v>
      </c>
      <c r="H568" t="n">
        <v>0</v>
      </c>
      <c r="I568" t="n">
        <v>0</v>
      </c>
      <c r="J568" t="n">
        <v>0</v>
      </c>
      <c r="K568" t="n">
        <v>0</v>
      </c>
      <c r="L568" t="n">
        <v>0</v>
      </c>
      <c r="M568" t="n">
        <v>0</v>
      </c>
      <c r="N568" t="n">
        <v>0</v>
      </c>
      <c r="O568" t="n">
        <v>0</v>
      </c>
      <c r="P568" t="n">
        <v>0</v>
      </c>
      <c r="Q568" t="n">
        <v>0</v>
      </c>
      <c r="R568" s="2" t="inlineStr"/>
    </row>
    <row r="569" ht="15" customHeight="1">
      <c r="A569" t="inlineStr">
        <is>
          <t>A 9223-2026</t>
        </is>
      </c>
      <c r="B569" s="1" t="n">
        <v>46070.44862268519</v>
      </c>
      <c r="C569" s="1" t="n">
        <v>46090</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16022-2025</t>
        </is>
      </c>
      <c r="B570" s="1" t="n">
        <v>45749.60973379629</v>
      </c>
      <c r="C570" s="1" t="n">
        <v>46090</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28098-2024</t>
        </is>
      </c>
      <c r="B571" s="1" t="n">
        <v>45476.61347222222</v>
      </c>
      <c r="C571" s="1" t="n">
        <v>46090</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12499-2021</t>
        </is>
      </c>
      <c r="B572" s="1" t="n">
        <v>44267</v>
      </c>
      <c r="C572" s="1" t="n">
        <v>46090</v>
      </c>
      <c r="D572" t="inlineStr">
        <is>
          <t>JÄMTLANDS LÄN</t>
        </is>
      </c>
      <c r="E572" t="inlineStr">
        <is>
          <t>BERG</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35681-2025</t>
        </is>
      </c>
      <c r="B573" s="1" t="n">
        <v>45859.77703703703</v>
      </c>
      <c r="C573" s="1" t="n">
        <v>46090</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9277-2026</t>
        </is>
      </c>
      <c r="B574" s="1" t="n">
        <v>46070.57337962963</v>
      </c>
      <c r="C574" s="1" t="n">
        <v>46090</v>
      </c>
      <c r="D574" t="inlineStr">
        <is>
          <t>JÄMTLANDS LÄN</t>
        </is>
      </c>
      <c r="E574" t="inlineStr">
        <is>
          <t>BERG</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50020-2025</t>
        </is>
      </c>
      <c r="B575" s="1" t="n">
        <v>45943.36899305556</v>
      </c>
      <c r="C575" s="1" t="n">
        <v>46090</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35683-2025</t>
        </is>
      </c>
      <c r="B576" s="1" t="n">
        <v>45859</v>
      </c>
      <c r="C576" s="1" t="n">
        <v>46090</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47099-2024</t>
        </is>
      </c>
      <c r="B577" s="1" t="n">
        <v>45586.53743055555</v>
      </c>
      <c r="C577" s="1" t="n">
        <v>46090</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50231-2025</t>
        </is>
      </c>
      <c r="B578" s="1" t="n">
        <v>45943.70643518519</v>
      </c>
      <c r="C578" s="1" t="n">
        <v>46090</v>
      </c>
      <c r="D578" t="inlineStr">
        <is>
          <t>JÄMTLANDS LÄN</t>
        </is>
      </c>
      <c r="E578" t="inlineStr">
        <is>
          <t>BERG</t>
        </is>
      </c>
      <c r="G578" t="n">
        <v>4.6</v>
      </c>
      <c r="H578" t="n">
        <v>0</v>
      </c>
      <c r="I578" t="n">
        <v>0</v>
      </c>
      <c r="J578" t="n">
        <v>0</v>
      </c>
      <c r="K578" t="n">
        <v>0</v>
      </c>
      <c r="L578" t="n">
        <v>0</v>
      </c>
      <c r="M578" t="n">
        <v>0</v>
      </c>
      <c r="N578" t="n">
        <v>0</v>
      </c>
      <c r="O578" t="n">
        <v>0</v>
      </c>
      <c r="P578" t="n">
        <v>0</v>
      </c>
      <c r="Q578" t="n">
        <v>0</v>
      </c>
      <c r="R578" s="2" t="inlineStr"/>
    </row>
    <row r="579" ht="15" customHeight="1">
      <c r="A579" t="inlineStr">
        <is>
          <t>A 50233-2025</t>
        </is>
      </c>
      <c r="B579" s="1" t="n">
        <v>45943.71228009259</v>
      </c>
      <c r="C579" s="1" t="n">
        <v>46090</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50227-2025</t>
        </is>
      </c>
      <c r="B580" s="1" t="n">
        <v>45943.69686342592</v>
      </c>
      <c r="C580" s="1" t="n">
        <v>46090</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50230-2025</t>
        </is>
      </c>
      <c r="B581" s="1" t="n">
        <v>45943.70216435185</v>
      </c>
      <c r="C581" s="1" t="n">
        <v>46090</v>
      </c>
      <c r="D581" t="inlineStr">
        <is>
          <t>JÄMTLANDS LÄN</t>
        </is>
      </c>
      <c r="E581" t="inlineStr">
        <is>
          <t>BERG</t>
        </is>
      </c>
      <c r="G581" t="n">
        <v>6.3</v>
      </c>
      <c r="H581" t="n">
        <v>0</v>
      </c>
      <c r="I581" t="n">
        <v>0</v>
      </c>
      <c r="J581" t="n">
        <v>0</v>
      </c>
      <c r="K581" t="n">
        <v>0</v>
      </c>
      <c r="L581" t="n">
        <v>0</v>
      </c>
      <c r="M581" t="n">
        <v>0</v>
      </c>
      <c r="N581" t="n">
        <v>0</v>
      </c>
      <c r="O581" t="n">
        <v>0</v>
      </c>
      <c r="P581" t="n">
        <v>0</v>
      </c>
      <c r="Q581" t="n">
        <v>0</v>
      </c>
      <c r="R581" s="2" t="inlineStr"/>
    </row>
    <row r="582" ht="15" customHeight="1">
      <c r="A582" t="inlineStr">
        <is>
          <t>A 50435-2025</t>
        </is>
      </c>
      <c r="B582" s="1" t="n">
        <v>45944.6984837963</v>
      </c>
      <c r="C582" s="1" t="n">
        <v>46090</v>
      </c>
      <c r="D582" t="inlineStr">
        <is>
          <t>JÄMTLANDS LÄN</t>
        </is>
      </c>
      <c r="E582" t="inlineStr">
        <is>
          <t>BERG</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50273-2025</t>
        </is>
      </c>
      <c r="B583" s="1" t="n">
        <v>45944.36600694444</v>
      </c>
      <c r="C583" s="1" t="n">
        <v>46090</v>
      </c>
      <c r="D583" t="inlineStr">
        <is>
          <t>JÄMTLANDS LÄN</t>
        </is>
      </c>
      <c r="E583" t="inlineStr">
        <is>
          <t>BERG</t>
        </is>
      </c>
      <c r="G583" t="n">
        <v>5.7</v>
      </c>
      <c r="H583" t="n">
        <v>0</v>
      </c>
      <c r="I583" t="n">
        <v>0</v>
      </c>
      <c r="J583" t="n">
        <v>0</v>
      </c>
      <c r="K583" t="n">
        <v>0</v>
      </c>
      <c r="L583" t="n">
        <v>0</v>
      </c>
      <c r="M583" t="n">
        <v>0</v>
      </c>
      <c r="N583" t="n">
        <v>0</v>
      </c>
      <c r="O583" t="n">
        <v>0</v>
      </c>
      <c r="P583" t="n">
        <v>0</v>
      </c>
      <c r="Q583" t="n">
        <v>0</v>
      </c>
      <c r="R583" s="2" t="inlineStr"/>
    </row>
    <row r="584" ht="15" customHeight="1">
      <c r="A584" t="inlineStr">
        <is>
          <t>A 50408-2025</t>
        </is>
      </c>
      <c r="B584" s="1" t="n">
        <v>45944.64006944445</v>
      </c>
      <c r="C584" s="1" t="n">
        <v>46090</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43458-2025</t>
        </is>
      </c>
      <c r="B585" s="1" t="n">
        <v>45911.46315972223</v>
      </c>
      <c r="C585" s="1" t="n">
        <v>46090</v>
      </c>
      <c r="D585" t="inlineStr">
        <is>
          <t>JÄMTLANDS LÄN</t>
        </is>
      </c>
      <c r="E585" t="inlineStr">
        <is>
          <t>BERG</t>
        </is>
      </c>
      <c r="G585" t="n">
        <v>11.2</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46090</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50531-2025</t>
        </is>
      </c>
      <c r="B587" s="1" t="n">
        <v>45945.47693287037</v>
      </c>
      <c r="C587" s="1" t="n">
        <v>46090</v>
      </c>
      <c r="D587" t="inlineStr">
        <is>
          <t>JÄMTLANDS LÄN</t>
        </is>
      </c>
      <c r="E587" t="inlineStr">
        <is>
          <t>BERG</t>
        </is>
      </c>
      <c r="G587" t="n">
        <v>13.9</v>
      </c>
      <c r="H587" t="n">
        <v>0</v>
      </c>
      <c r="I587" t="n">
        <v>0</v>
      </c>
      <c r="J587" t="n">
        <v>0</v>
      </c>
      <c r="K587" t="n">
        <v>0</v>
      </c>
      <c r="L587" t="n">
        <v>0</v>
      </c>
      <c r="M587" t="n">
        <v>0</v>
      </c>
      <c r="N587" t="n">
        <v>0</v>
      </c>
      <c r="O587" t="n">
        <v>0</v>
      </c>
      <c r="P587" t="n">
        <v>0</v>
      </c>
      <c r="Q587" t="n">
        <v>0</v>
      </c>
      <c r="R587" s="2" t="inlineStr"/>
    </row>
    <row r="588" ht="15" customHeight="1">
      <c r="A588" t="inlineStr">
        <is>
          <t>A 50547-2025</t>
        </is>
      </c>
      <c r="B588" s="1" t="n">
        <v>45945.51104166666</v>
      </c>
      <c r="C588" s="1" t="n">
        <v>46090</v>
      </c>
      <c r="D588" t="inlineStr">
        <is>
          <t>JÄMTLANDS LÄN</t>
        </is>
      </c>
      <c r="E588" t="inlineStr">
        <is>
          <t>BERG</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43137-2025</t>
        </is>
      </c>
      <c r="B589" s="1" t="n">
        <v>45909.85438657407</v>
      </c>
      <c r="C589" s="1" t="n">
        <v>46090</v>
      </c>
      <c r="D589" t="inlineStr">
        <is>
          <t>JÄMTLANDS LÄN</t>
        </is>
      </c>
      <c r="E589" t="inlineStr">
        <is>
          <t>BERG</t>
        </is>
      </c>
      <c r="F589" t="inlineStr">
        <is>
          <t>Övriga statliga verk och myndigheter</t>
        </is>
      </c>
      <c r="G589" t="n">
        <v>11.6</v>
      </c>
      <c r="H589" t="n">
        <v>0</v>
      </c>
      <c r="I589" t="n">
        <v>0</v>
      </c>
      <c r="J589" t="n">
        <v>0</v>
      </c>
      <c r="K589" t="n">
        <v>0</v>
      </c>
      <c r="L589" t="n">
        <v>0</v>
      </c>
      <c r="M589" t="n">
        <v>0</v>
      </c>
      <c r="N589" t="n">
        <v>0</v>
      </c>
      <c r="O589" t="n">
        <v>0</v>
      </c>
      <c r="P589" t="n">
        <v>0</v>
      </c>
      <c r="Q589" t="n">
        <v>0</v>
      </c>
      <c r="R589" s="2" t="inlineStr"/>
    </row>
    <row r="590" ht="15" customHeight="1">
      <c r="A590" t="inlineStr">
        <is>
          <t>A 22030-2025</t>
        </is>
      </c>
      <c r="B590" s="1" t="n">
        <v>45785.25814814815</v>
      </c>
      <c r="C590" s="1" t="n">
        <v>46090</v>
      </c>
      <c r="D590" t="inlineStr">
        <is>
          <t>JÄMTLANDS LÄN</t>
        </is>
      </c>
      <c r="E590" t="inlineStr">
        <is>
          <t>BERG</t>
        </is>
      </c>
      <c r="G590" t="n">
        <v>5</v>
      </c>
      <c r="H590" t="n">
        <v>0</v>
      </c>
      <c r="I590" t="n">
        <v>0</v>
      </c>
      <c r="J590" t="n">
        <v>0</v>
      </c>
      <c r="K590" t="n">
        <v>0</v>
      </c>
      <c r="L590" t="n">
        <v>0</v>
      </c>
      <c r="M590" t="n">
        <v>0</v>
      </c>
      <c r="N590" t="n">
        <v>0</v>
      </c>
      <c r="O590" t="n">
        <v>0</v>
      </c>
      <c r="P590" t="n">
        <v>0</v>
      </c>
      <c r="Q590" t="n">
        <v>0</v>
      </c>
      <c r="R590" s="2" t="inlineStr"/>
    </row>
    <row r="591" ht="15" customHeight="1">
      <c r="A591" t="inlineStr">
        <is>
          <t>A 36377-2025</t>
        </is>
      </c>
      <c r="B591" s="1" t="n">
        <v>45868.57342592593</v>
      </c>
      <c r="C591" s="1" t="n">
        <v>46090</v>
      </c>
      <c r="D591" t="inlineStr">
        <is>
          <t>JÄMTLANDS LÄN</t>
        </is>
      </c>
      <c r="E591" t="inlineStr">
        <is>
          <t>BERG</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51203-2025</t>
        </is>
      </c>
      <c r="B592" s="1" t="n">
        <v>45947.63592592593</v>
      </c>
      <c r="C592" s="1" t="n">
        <v>46090</v>
      </c>
      <c r="D592" t="inlineStr">
        <is>
          <t>JÄMTLANDS LÄN</t>
        </is>
      </c>
      <c r="E592" t="inlineStr">
        <is>
          <t>BERG</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1495-2025</t>
        </is>
      </c>
      <c r="B593" s="1" t="n">
        <v>45670.40652777778</v>
      </c>
      <c r="C593" s="1" t="n">
        <v>46090</v>
      </c>
      <c r="D593" t="inlineStr">
        <is>
          <t>JÄMTLANDS LÄN</t>
        </is>
      </c>
      <c r="E593" t="inlineStr">
        <is>
          <t>BERG</t>
        </is>
      </c>
      <c r="G593" t="n">
        <v>0.3</v>
      </c>
      <c r="H593" t="n">
        <v>0</v>
      </c>
      <c r="I593" t="n">
        <v>0</v>
      </c>
      <c r="J593" t="n">
        <v>0</v>
      </c>
      <c r="K593" t="n">
        <v>0</v>
      </c>
      <c r="L593" t="n">
        <v>0</v>
      </c>
      <c r="M593" t="n">
        <v>0</v>
      </c>
      <c r="N593" t="n">
        <v>0</v>
      </c>
      <c r="O593" t="n">
        <v>0</v>
      </c>
      <c r="P593" t="n">
        <v>0</v>
      </c>
      <c r="Q593" t="n">
        <v>0</v>
      </c>
      <c r="R593" s="2" t="inlineStr"/>
    </row>
    <row r="594" ht="15" customHeight="1">
      <c r="A594" t="inlineStr">
        <is>
          <t>A 34367-2024</t>
        </is>
      </c>
      <c r="B594" s="1" t="n">
        <v>45525.38040509259</v>
      </c>
      <c r="C594" s="1" t="n">
        <v>46090</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34369-2024</t>
        </is>
      </c>
      <c r="B595" s="1" t="n">
        <v>45525.38228009259</v>
      </c>
      <c r="C595" s="1" t="n">
        <v>46090</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50698-2025</t>
        </is>
      </c>
      <c r="B596" s="1" t="n">
        <v>45945.91894675926</v>
      </c>
      <c r="C596" s="1" t="n">
        <v>46090</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166-2024</t>
        </is>
      </c>
      <c r="B597" s="1" t="n">
        <v>45294</v>
      </c>
      <c r="C597" s="1" t="n">
        <v>46090</v>
      </c>
      <c r="D597" t="inlineStr">
        <is>
          <t>JÄMTLANDS LÄN</t>
        </is>
      </c>
      <c r="E597" t="inlineStr">
        <is>
          <t>BERG</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47821-2025</t>
        </is>
      </c>
      <c r="B598" s="1" t="n">
        <v>45932.34421296296</v>
      </c>
      <c r="C598" s="1" t="n">
        <v>46090</v>
      </c>
      <c r="D598" t="inlineStr">
        <is>
          <t>JÄMTLANDS LÄN</t>
        </is>
      </c>
      <c r="E598" t="inlineStr">
        <is>
          <t>BERG</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3964-2025</t>
        </is>
      </c>
      <c r="B599" s="1" t="n">
        <v>45684.50761574074</v>
      </c>
      <c r="C599" s="1" t="n">
        <v>46090</v>
      </c>
      <c r="D599" t="inlineStr">
        <is>
          <t>JÄMTLANDS LÄN</t>
        </is>
      </c>
      <c r="E599" t="inlineStr">
        <is>
          <t>BERG</t>
        </is>
      </c>
      <c r="G599" t="n">
        <v>0.7</v>
      </c>
      <c r="H599" t="n">
        <v>0</v>
      </c>
      <c r="I599" t="n">
        <v>0</v>
      </c>
      <c r="J599" t="n">
        <v>0</v>
      </c>
      <c r="K599" t="n">
        <v>0</v>
      </c>
      <c r="L599" t="n">
        <v>0</v>
      </c>
      <c r="M599" t="n">
        <v>0</v>
      </c>
      <c r="N599" t="n">
        <v>0</v>
      </c>
      <c r="O599" t="n">
        <v>0</v>
      </c>
      <c r="P599" t="n">
        <v>0</v>
      </c>
      <c r="Q599" t="n">
        <v>0</v>
      </c>
      <c r="R599" s="2" t="inlineStr"/>
    </row>
    <row r="600" ht="15" customHeight="1">
      <c r="A600" t="inlineStr">
        <is>
          <t>A 47982-2022</t>
        </is>
      </c>
      <c r="B600" s="1" t="n">
        <v>44853</v>
      </c>
      <c r="C600" s="1" t="n">
        <v>46090</v>
      </c>
      <c r="D600" t="inlineStr">
        <is>
          <t>JÄMTLANDS LÄN</t>
        </is>
      </c>
      <c r="E600" t="inlineStr">
        <is>
          <t>BERG</t>
        </is>
      </c>
      <c r="G600" t="n">
        <v>5.1</v>
      </c>
      <c r="H600" t="n">
        <v>0</v>
      </c>
      <c r="I600" t="n">
        <v>0</v>
      </c>
      <c r="J600" t="n">
        <v>0</v>
      </c>
      <c r="K600" t="n">
        <v>0</v>
      </c>
      <c r="L600" t="n">
        <v>0</v>
      </c>
      <c r="M600" t="n">
        <v>0</v>
      </c>
      <c r="N600" t="n">
        <v>0</v>
      </c>
      <c r="O600" t="n">
        <v>0</v>
      </c>
      <c r="P600" t="n">
        <v>0</v>
      </c>
      <c r="Q600" t="n">
        <v>0</v>
      </c>
      <c r="R600" s="2" t="inlineStr"/>
    </row>
    <row r="601" ht="15" customHeight="1">
      <c r="A601" t="inlineStr">
        <is>
          <t>A 61239-2022</t>
        </is>
      </c>
      <c r="B601" s="1" t="n">
        <v>44909</v>
      </c>
      <c r="C601" s="1" t="n">
        <v>46090</v>
      </c>
      <c r="D601" t="inlineStr">
        <is>
          <t>JÄMTLANDS LÄN</t>
        </is>
      </c>
      <c r="E601" t="inlineStr">
        <is>
          <t>BERG</t>
        </is>
      </c>
      <c r="G601" t="n">
        <v>13.5</v>
      </c>
      <c r="H601" t="n">
        <v>0</v>
      </c>
      <c r="I601" t="n">
        <v>0</v>
      </c>
      <c r="J601" t="n">
        <v>0</v>
      </c>
      <c r="K601" t="n">
        <v>0</v>
      </c>
      <c r="L601" t="n">
        <v>0</v>
      </c>
      <c r="M601" t="n">
        <v>0</v>
      </c>
      <c r="N601" t="n">
        <v>0</v>
      </c>
      <c r="O601" t="n">
        <v>0</v>
      </c>
      <c r="P601" t="n">
        <v>0</v>
      </c>
      <c r="Q601" t="n">
        <v>0</v>
      </c>
      <c r="R601" s="2" t="inlineStr"/>
    </row>
    <row r="602" ht="15" customHeight="1">
      <c r="A602" t="inlineStr">
        <is>
          <t>A 7021-2025</t>
        </is>
      </c>
      <c r="B602" s="1" t="n">
        <v>45701.61520833334</v>
      </c>
      <c r="C602" s="1" t="n">
        <v>46090</v>
      </c>
      <c r="D602" t="inlineStr">
        <is>
          <t>JÄMTLANDS LÄN</t>
        </is>
      </c>
      <c r="E602" t="inlineStr">
        <is>
          <t>BERG</t>
        </is>
      </c>
      <c r="G602" t="n">
        <v>4.2</v>
      </c>
      <c r="H602" t="n">
        <v>0</v>
      </c>
      <c r="I602" t="n">
        <v>0</v>
      </c>
      <c r="J602" t="n">
        <v>0</v>
      </c>
      <c r="K602" t="n">
        <v>0</v>
      </c>
      <c r="L602" t="n">
        <v>0</v>
      </c>
      <c r="M602" t="n">
        <v>0</v>
      </c>
      <c r="N602" t="n">
        <v>0</v>
      </c>
      <c r="O602" t="n">
        <v>0</v>
      </c>
      <c r="P602" t="n">
        <v>0</v>
      </c>
      <c r="Q602" t="n">
        <v>0</v>
      </c>
      <c r="R602" s="2" t="inlineStr"/>
    </row>
    <row r="603" ht="15" customHeight="1">
      <c r="A603" t="inlineStr">
        <is>
          <t>A 51083-2025</t>
        </is>
      </c>
      <c r="B603" s="1" t="n">
        <v>45947.4678587963</v>
      </c>
      <c r="C603" s="1" t="n">
        <v>46090</v>
      </c>
      <c r="D603" t="inlineStr">
        <is>
          <t>JÄMTLANDS LÄN</t>
        </is>
      </c>
      <c r="E603" t="inlineStr">
        <is>
          <t>BERG</t>
        </is>
      </c>
      <c r="F603" t="inlineStr">
        <is>
          <t>Övriga Aktiebolag</t>
        </is>
      </c>
      <c r="G603" t="n">
        <v>10.4</v>
      </c>
      <c r="H603" t="n">
        <v>0</v>
      </c>
      <c r="I603" t="n">
        <v>0</v>
      </c>
      <c r="J603" t="n">
        <v>0</v>
      </c>
      <c r="K603" t="n">
        <v>0</v>
      </c>
      <c r="L603" t="n">
        <v>0</v>
      </c>
      <c r="M603" t="n">
        <v>0</v>
      </c>
      <c r="N603" t="n">
        <v>0</v>
      </c>
      <c r="O603" t="n">
        <v>0</v>
      </c>
      <c r="P603" t="n">
        <v>0</v>
      </c>
      <c r="Q603" t="n">
        <v>0</v>
      </c>
      <c r="R603" s="2" t="inlineStr"/>
    </row>
    <row r="604" ht="15" customHeight="1">
      <c r="A604" t="inlineStr">
        <is>
          <t>A 49749-2025</t>
        </is>
      </c>
      <c r="B604" s="1" t="n">
        <v>45940.34486111111</v>
      </c>
      <c r="C604" s="1" t="n">
        <v>46090</v>
      </c>
      <c r="D604" t="inlineStr">
        <is>
          <t>JÄMTLANDS LÄN</t>
        </is>
      </c>
      <c r="E604" t="inlineStr">
        <is>
          <t>BERG</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51079-2025</t>
        </is>
      </c>
      <c r="B605" s="1" t="n">
        <v>45947.465</v>
      </c>
      <c r="C605" s="1" t="n">
        <v>46090</v>
      </c>
      <c r="D605" t="inlineStr">
        <is>
          <t>JÄMTLANDS LÄN</t>
        </is>
      </c>
      <c r="E605" t="inlineStr">
        <is>
          <t>BERG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53778-2025</t>
        </is>
      </c>
      <c r="B606" s="1" t="n">
        <v>45960.69841435185</v>
      </c>
      <c r="C606" s="1" t="n">
        <v>46090</v>
      </c>
      <c r="D606" t="inlineStr">
        <is>
          <t>JÄMTLANDS LÄN</t>
        </is>
      </c>
      <c r="E606" t="inlineStr">
        <is>
          <t>BERG</t>
        </is>
      </c>
      <c r="F606" t="inlineStr">
        <is>
          <t>SCA</t>
        </is>
      </c>
      <c r="G606" t="n">
        <v>18.7</v>
      </c>
      <c r="H606" t="n">
        <v>0</v>
      </c>
      <c r="I606" t="n">
        <v>0</v>
      </c>
      <c r="J606" t="n">
        <v>0</v>
      </c>
      <c r="K606" t="n">
        <v>0</v>
      </c>
      <c r="L606" t="n">
        <v>0</v>
      </c>
      <c r="M606" t="n">
        <v>0</v>
      </c>
      <c r="N606" t="n">
        <v>0</v>
      </c>
      <c r="O606" t="n">
        <v>0</v>
      </c>
      <c r="P606" t="n">
        <v>0</v>
      </c>
      <c r="Q606" t="n">
        <v>0</v>
      </c>
      <c r="R606" s="2" t="inlineStr"/>
      <c r="U606">
        <f>HYPERLINK("https://klasma.github.io/Logging_2326/knärot/A 53778-2025 karta knärot.png", "A 53778-2025")</f>
        <v/>
      </c>
      <c r="V606">
        <f>HYPERLINK("https://klasma.github.io/Logging_2326/klagomål/A 53778-2025 FSC-klagomål.docx", "A 53778-2025")</f>
        <v/>
      </c>
      <c r="W606">
        <f>HYPERLINK("https://klasma.github.io/Logging_2326/klagomålsmail/A 53778-2025 FSC-klagomål mail.docx", "A 53778-2025")</f>
        <v/>
      </c>
      <c r="X606">
        <f>HYPERLINK("https://klasma.github.io/Logging_2326/tillsyn/A 53778-2025 tillsynsbegäran.docx", "A 53778-2025")</f>
        <v/>
      </c>
      <c r="Y606">
        <f>HYPERLINK("https://klasma.github.io/Logging_2326/tillsynsmail/A 53778-2025 tillsynsbegäran mail.docx", "A 53778-2025")</f>
        <v/>
      </c>
    </row>
    <row r="607" ht="15" customHeight="1">
      <c r="A607" t="inlineStr">
        <is>
          <t>A 58237-2025</t>
        </is>
      </c>
      <c r="B607" s="1" t="n">
        <v>45985.38751157407</v>
      </c>
      <c r="C607" s="1" t="n">
        <v>46090</v>
      </c>
      <c r="D607" t="inlineStr">
        <is>
          <t>JÄMTLANDS LÄN</t>
        </is>
      </c>
      <c r="E607" t="inlineStr">
        <is>
          <t>BERG</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19429-2025</t>
        </is>
      </c>
      <c r="B608" s="1" t="n">
        <v>45769.8025462963</v>
      </c>
      <c r="C608" s="1" t="n">
        <v>46090</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51080-2025</t>
        </is>
      </c>
      <c r="B609" s="1" t="n">
        <v>45947.46655092593</v>
      </c>
      <c r="C609" s="1" t="n">
        <v>46090</v>
      </c>
      <c r="D609" t="inlineStr">
        <is>
          <t>JÄMTLANDS LÄN</t>
        </is>
      </c>
      <c r="E609" t="inlineStr">
        <is>
          <t>BERG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51301-2025</t>
        </is>
      </c>
      <c r="B610" s="1" t="n">
        <v>45950.36480324074</v>
      </c>
      <c r="C610" s="1" t="n">
        <v>46090</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36668-2025</t>
        </is>
      </c>
      <c r="B611" s="1" t="n">
        <v>45873.38351851852</v>
      </c>
      <c r="C611" s="1" t="n">
        <v>46090</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47176-2023</t>
        </is>
      </c>
      <c r="B612" s="1" t="n">
        <v>45201.94844907407</v>
      </c>
      <c r="C612" s="1" t="n">
        <v>46090</v>
      </c>
      <c r="D612" t="inlineStr">
        <is>
          <t>JÄMTLANDS LÄN</t>
        </is>
      </c>
      <c r="E612" t="inlineStr">
        <is>
          <t>BERG</t>
        </is>
      </c>
      <c r="F612" t="inlineStr">
        <is>
          <t>SCA</t>
        </is>
      </c>
      <c r="G612" t="n">
        <v>32.3</v>
      </c>
      <c r="H612" t="n">
        <v>0</v>
      </c>
      <c r="I612" t="n">
        <v>0</v>
      </c>
      <c r="J612" t="n">
        <v>0</v>
      </c>
      <c r="K612" t="n">
        <v>0</v>
      </c>
      <c r="L612" t="n">
        <v>0</v>
      </c>
      <c r="M612" t="n">
        <v>0</v>
      </c>
      <c r="N612" t="n">
        <v>0</v>
      </c>
      <c r="O612" t="n">
        <v>0</v>
      </c>
      <c r="P612" t="n">
        <v>0</v>
      </c>
      <c r="Q612" t="n">
        <v>0</v>
      </c>
      <c r="R612" s="2" t="inlineStr"/>
    </row>
    <row r="613" ht="15" customHeight="1">
      <c r="A613" t="inlineStr">
        <is>
          <t>A 51675-2025</t>
        </is>
      </c>
      <c r="B613" s="1" t="n">
        <v>45951.50565972222</v>
      </c>
      <c r="C613" s="1" t="n">
        <v>46090</v>
      </c>
      <c r="D613" t="inlineStr">
        <is>
          <t>JÄMTLANDS LÄN</t>
        </is>
      </c>
      <c r="E613" t="inlineStr">
        <is>
          <t>BERG</t>
        </is>
      </c>
      <c r="G613" t="n">
        <v>1</v>
      </c>
      <c r="H613" t="n">
        <v>0</v>
      </c>
      <c r="I613" t="n">
        <v>0</v>
      </c>
      <c r="J613" t="n">
        <v>0</v>
      </c>
      <c r="K613" t="n">
        <v>0</v>
      </c>
      <c r="L613" t="n">
        <v>0</v>
      </c>
      <c r="M613" t="n">
        <v>0</v>
      </c>
      <c r="N613" t="n">
        <v>0</v>
      </c>
      <c r="O613" t="n">
        <v>0</v>
      </c>
      <c r="P613" t="n">
        <v>0</v>
      </c>
      <c r="Q613" t="n">
        <v>0</v>
      </c>
      <c r="R613" s="2" t="inlineStr"/>
    </row>
    <row r="614" ht="15" customHeight="1">
      <c r="A614" t="inlineStr">
        <is>
          <t>A 9282-2026</t>
        </is>
      </c>
      <c r="B614" s="1" t="n">
        <v>46070.58050925926</v>
      </c>
      <c r="C614" s="1" t="n">
        <v>46090</v>
      </c>
      <c r="D614" t="inlineStr">
        <is>
          <t>JÄMTLANDS LÄN</t>
        </is>
      </c>
      <c r="E614" t="inlineStr">
        <is>
          <t>BERG</t>
        </is>
      </c>
      <c r="G614" t="n">
        <v>2.2</v>
      </c>
      <c r="H614" t="n">
        <v>0</v>
      </c>
      <c r="I614" t="n">
        <v>0</v>
      </c>
      <c r="J614" t="n">
        <v>0</v>
      </c>
      <c r="K614" t="n">
        <v>0</v>
      </c>
      <c r="L614" t="n">
        <v>0</v>
      </c>
      <c r="M614" t="n">
        <v>0</v>
      </c>
      <c r="N614" t="n">
        <v>0</v>
      </c>
      <c r="O614" t="n">
        <v>0</v>
      </c>
      <c r="P614" t="n">
        <v>0</v>
      </c>
      <c r="Q614" t="n">
        <v>0</v>
      </c>
      <c r="R614" s="2" t="inlineStr"/>
    </row>
    <row r="615" ht="15" customHeight="1">
      <c r="A615" t="inlineStr">
        <is>
          <t>A 13672-2024</t>
        </is>
      </c>
      <c r="B615" s="1" t="n">
        <v>45390</v>
      </c>
      <c r="C615" s="1" t="n">
        <v>46090</v>
      </c>
      <c r="D615" t="inlineStr">
        <is>
          <t>JÄMTLANDS LÄN</t>
        </is>
      </c>
      <c r="E615" t="inlineStr">
        <is>
          <t>BERG</t>
        </is>
      </c>
      <c r="G615" t="n">
        <v>0.3</v>
      </c>
      <c r="H615" t="n">
        <v>0</v>
      </c>
      <c r="I615" t="n">
        <v>0</v>
      </c>
      <c r="J615" t="n">
        <v>0</v>
      </c>
      <c r="K615" t="n">
        <v>0</v>
      </c>
      <c r="L615" t="n">
        <v>0</v>
      </c>
      <c r="M615" t="n">
        <v>0</v>
      </c>
      <c r="N615" t="n">
        <v>0</v>
      </c>
      <c r="O615" t="n">
        <v>0</v>
      </c>
      <c r="P615" t="n">
        <v>0</v>
      </c>
      <c r="Q615" t="n">
        <v>0</v>
      </c>
      <c r="R615" s="2" t="inlineStr"/>
    </row>
    <row r="616" ht="15" customHeight="1">
      <c r="A616" t="inlineStr">
        <is>
          <t>A 51495-2025</t>
        </is>
      </c>
      <c r="B616" s="1" t="n">
        <v>45950.6366550926</v>
      </c>
      <c r="C616" s="1" t="n">
        <v>46090</v>
      </c>
      <c r="D616" t="inlineStr">
        <is>
          <t>JÄMTLANDS LÄN</t>
        </is>
      </c>
      <c r="E616" t="inlineStr">
        <is>
          <t>BERG</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46090</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46090</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18775-2024</t>
        </is>
      </c>
      <c r="B619" s="1" t="n">
        <v>45426</v>
      </c>
      <c r="C619" s="1" t="n">
        <v>46090</v>
      </c>
      <c r="D619" t="inlineStr">
        <is>
          <t>JÄMTLANDS LÄN</t>
        </is>
      </c>
      <c r="E619" t="inlineStr">
        <is>
          <t>BERG</t>
        </is>
      </c>
      <c r="G619" t="n">
        <v>13.9</v>
      </c>
      <c r="H619" t="n">
        <v>0</v>
      </c>
      <c r="I619" t="n">
        <v>0</v>
      </c>
      <c r="J619" t="n">
        <v>0</v>
      </c>
      <c r="K619" t="n">
        <v>0</v>
      </c>
      <c r="L619" t="n">
        <v>0</v>
      </c>
      <c r="M619" t="n">
        <v>0</v>
      </c>
      <c r="N619" t="n">
        <v>0</v>
      </c>
      <c r="O619" t="n">
        <v>0</v>
      </c>
      <c r="P619" t="n">
        <v>0</v>
      </c>
      <c r="Q619" t="n">
        <v>0</v>
      </c>
      <c r="R619" s="2" t="inlineStr"/>
    </row>
    <row r="620" ht="15" customHeight="1">
      <c r="A620" t="inlineStr">
        <is>
          <t>A 50612-2023</t>
        </is>
      </c>
      <c r="B620" s="1" t="n">
        <v>45217.444375</v>
      </c>
      <c r="C620" s="1" t="n">
        <v>46090</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36896-2025</t>
        </is>
      </c>
      <c r="B621" s="1" t="n">
        <v>45874.4740625</v>
      </c>
      <c r="C621" s="1" t="n">
        <v>46090</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36714-2025</t>
        </is>
      </c>
      <c r="B622" s="1" t="n">
        <v>45873.46881944445</v>
      </c>
      <c r="C622" s="1" t="n">
        <v>46090</v>
      </c>
      <c r="D622" t="inlineStr">
        <is>
          <t>JÄMTLANDS LÄN</t>
        </is>
      </c>
      <c r="E622" t="inlineStr">
        <is>
          <t>BERG</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36718-2025</t>
        </is>
      </c>
      <c r="B623" s="1" t="n">
        <v>45873.47069444445</v>
      </c>
      <c r="C623" s="1" t="n">
        <v>46090</v>
      </c>
      <c r="D623" t="inlineStr">
        <is>
          <t>JÄMTLANDS LÄN</t>
        </is>
      </c>
      <c r="E623" t="inlineStr">
        <is>
          <t>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52341-2025</t>
        </is>
      </c>
      <c r="B624" s="1" t="n">
        <v>45953.71564814815</v>
      </c>
      <c r="C624" s="1" t="n">
        <v>46090</v>
      </c>
      <c r="D624" t="inlineStr">
        <is>
          <t>JÄMTLANDS LÄN</t>
        </is>
      </c>
      <c r="E624" t="inlineStr">
        <is>
          <t>BERG</t>
        </is>
      </c>
      <c r="G624" t="n">
        <v>12.2</v>
      </c>
      <c r="H624" t="n">
        <v>0</v>
      </c>
      <c r="I624" t="n">
        <v>0</v>
      </c>
      <c r="J624" t="n">
        <v>0</v>
      </c>
      <c r="K624" t="n">
        <v>0</v>
      </c>
      <c r="L624" t="n">
        <v>0</v>
      </c>
      <c r="M624" t="n">
        <v>0</v>
      </c>
      <c r="N624" t="n">
        <v>0</v>
      </c>
      <c r="O624" t="n">
        <v>0</v>
      </c>
      <c r="P624" t="n">
        <v>0</v>
      </c>
      <c r="Q624" t="n">
        <v>0</v>
      </c>
      <c r="R624" s="2" t="inlineStr"/>
    </row>
    <row r="625" ht="15" customHeight="1">
      <c r="A625" t="inlineStr">
        <is>
          <t>A 162-2024</t>
        </is>
      </c>
      <c r="B625" s="1" t="n">
        <v>45294</v>
      </c>
      <c r="C625" s="1" t="n">
        <v>46090</v>
      </c>
      <c r="D625" t="inlineStr">
        <is>
          <t>JÄMTLANDS LÄN</t>
        </is>
      </c>
      <c r="E625" t="inlineStr">
        <is>
          <t>BERG</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37062-2025</t>
        </is>
      </c>
      <c r="B626" s="1" t="n">
        <v>45875.38579861111</v>
      </c>
      <c r="C626" s="1" t="n">
        <v>46090</v>
      </c>
      <c r="D626" t="inlineStr">
        <is>
          <t>JÄMTLANDS LÄN</t>
        </is>
      </c>
      <c r="E626" t="inlineStr">
        <is>
          <t>BERG</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36341-2025</t>
        </is>
      </c>
      <c r="B627" s="1" t="n">
        <v>45868</v>
      </c>
      <c r="C627" s="1" t="n">
        <v>46090</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52128-2025</t>
        </is>
      </c>
      <c r="B628" s="1" t="n">
        <v>45952.72754629629</v>
      </c>
      <c r="C628" s="1" t="n">
        <v>46090</v>
      </c>
      <c r="D628" t="inlineStr">
        <is>
          <t>JÄMTLANDS LÄN</t>
        </is>
      </c>
      <c r="E628" t="inlineStr">
        <is>
          <t>BERG</t>
        </is>
      </c>
      <c r="G628" t="n">
        <v>2.1</v>
      </c>
      <c r="H628" t="n">
        <v>0</v>
      </c>
      <c r="I628" t="n">
        <v>0</v>
      </c>
      <c r="J628" t="n">
        <v>0</v>
      </c>
      <c r="K628" t="n">
        <v>0</v>
      </c>
      <c r="L628" t="n">
        <v>0</v>
      </c>
      <c r="M628" t="n">
        <v>0</v>
      </c>
      <c r="N628" t="n">
        <v>0</v>
      </c>
      <c r="O628" t="n">
        <v>0</v>
      </c>
      <c r="P628" t="n">
        <v>0</v>
      </c>
      <c r="Q628" t="n">
        <v>0</v>
      </c>
      <c r="R628" s="2" t="inlineStr"/>
    </row>
    <row r="629" ht="15" customHeight="1">
      <c r="A629" t="inlineStr">
        <is>
          <t>A 46298-2024</t>
        </is>
      </c>
      <c r="B629" s="1" t="n">
        <v>45581.67739583334</v>
      </c>
      <c r="C629" s="1" t="n">
        <v>46090</v>
      </c>
      <c r="D629" t="inlineStr">
        <is>
          <t>JÄMTLANDS LÄN</t>
        </is>
      </c>
      <c r="E629" t="inlineStr">
        <is>
          <t>BERG</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52256-2025</t>
        </is>
      </c>
      <c r="B630" s="1" t="n">
        <v>45953.50086805555</v>
      </c>
      <c r="C630" s="1" t="n">
        <v>46090</v>
      </c>
      <c r="D630" t="inlineStr">
        <is>
          <t>JÄMTLANDS LÄN</t>
        </is>
      </c>
      <c r="E630" t="inlineStr">
        <is>
          <t>BERG</t>
        </is>
      </c>
      <c r="G630" t="n">
        <v>3.9</v>
      </c>
      <c r="H630" t="n">
        <v>0</v>
      </c>
      <c r="I630" t="n">
        <v>0</v>
      </c>
      <c r="J630" t="n">
        <v>0</v>
      </c>
      <c r="K630" t="n">
        <v>0</v>
      </c>
      <c r="L630" t="n">
        <v>0</v>
      </c>
      <c r="M630" t="n">
        <v>0</v>
      </c>
      <c r="N630" t="n">
        <v>0</v>
      </c>
      <c r="O630" t="n">
        <v>0</v>
      </c>
      <c r="P630" t="n">
        <v>0</v>
      </c>
      <c r="Q630" t="n">
        <v>0</v>
      </c>
      <c r="R630" s="2" t="inlineStr"/>
    </row>
    <row r="631" ht="15" customHeight="1">
      <c r="A631" t="inlineStr">
        <is>
          <t>A 59824-2025</t>
        </is>
      </c>
      <c r="B631" s="1" t="n">
        <v>45992.65116898148</v>
      </c>
      <c r="C631" s="1" t="n">
        <v>46090</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37488-2025</t>
        </is>
      </c>
      <c r="B632" s="1" t="n">
        <v>45877.63582175926</v>
      </c>
      <c r="C632" s="1" t="n">
        <v>46090</v>
      </c>
      <c r="D632" t="inlineStr">
        <is>
          <t>JÄMTLANDS LÄN</t>
        </is>
      </c>
      <c r="E632" t="inlineStr">
        <is>
          <t>BERG</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36-2024</t>
        </is>
      </c>
      <c r="B633" s="1" t="n">
        <v>45293</v>
      </c>
      <c r="C633" s="1" t="n">
        <v>46090</v>
      </c>
      <c r="D633" t="inlineStr">
        <is>
          <t>JÄMTLANDS LÄN</t>
        </is>
      </c>
      <c r="E633" t="inlineStr">
        <is>
          <t>BERG</t>
        </is>
      </c>
      <c r="G633" t="n">
        <v>2.6</v>
      </c>
      <c r="H633" t="n">
        <v>0</v>
      </c>
      <c r="I633" t="n">
        <v>0</v>
      </c>
      <c r="J633" t="n">
        <v>0</v>
      </c>
      <c r="K633" t="n">
        <v>0</v>
      </c>
      <c r="L633" t="n">
        <v>0</v>
      </c>
      <c r="M633" t="n">
        <v>0</v>
      </c>
      <c r="N633" t="n">
        <v>0</v>
      </c>
      <c r="O633" t="n">
        <v>0</v>
      </c>
      <c r="P633" t="n">
        <v>0</v>
      </c>
      <c r="Q633" t="n">
        <v>0</v>
      </c>
      <c r="R633" s="2" t="inlineStr"/>
    </row>
    <row r="634" ht="15" customHeight="1">
      <c r="A634" t="inlineStr">
        <is>
          <t>A 37455-2025</t>
        </is>
      </c>
      <c r="B634" s="1" t="n">
        <v>45877.56710648148</v>
      </c>
      <c r="C634" s="1" t="n">
        <v>46090</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52340-2025</t>
        </is>
      </c>
      <c r="B635" s="1" t="n">
        <v>45953.70571759259</v>
      </c>
      <c r="C635" s="1" t="n">
        <v>46090</v>
      </c>
      <c r="D635" t="inlineStr">
        <is>
          <t>JÄMTLANDS LÄN</t>
        </is>
      </c>
      <c r="E635" t="inlineStr">
        <is>
          <t>BERG</t>
        </is>
      </c>
      <c r="G635" t="n">
        <v>6.7</v>
      </c>
      <c r="H635" t="n">
        <v>0</v>
      </c>
      <c r="I635" t="n">
        <v>0</v>
      </c>
      <c r="J635" t="n">
        <v>0</v>
      </c>
      <c r="K635" t="n">
        <v>0</v>
      </c>
      <c r="L635" t="n">
        <v>0</v>
      </c>
      <c r="M635" t="n">
        <v>0</v>
      </c>
      <c r="N635" t="n">
        <v>0</v>
      </c>
      <c r="O635" t="n">
        <v>0</v>
      </c>
      <c r="P635" t="n">
        <v>0</v>
      </c>
      <c r="Q635" t="n">
        <v>0</v>
      </c>
      <c r="R635" s="2" t="inlineStr"/>
    </row>
    <row r="636" ht="15" customHeight="1">
      <c r="A636" t="inlineStr">
        <is>
          <t>A 52260-2025</t>
        </is>
      </c>
      <c r="B636" s="1" t="n">
        <v>45953.51113425926</v>
      </c>
      <c r="C636" s="1" t="n">
        <v>46090</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51883-2025</t>
        </is>
      </c>
      <c r="B637" s="1" t="n">
        <v>45952.40701388889</v>
      </c>
      <c r="C637" s="1" t="n">
        <v>46090</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52348-2025</t>
        </is>
      </c>
      <c r="B638" s="1" t="n">
        <v>45953.72064814815</v>
      </c>
      <c r="C638" s="1" t="n">
        <v>46090</v>
      </c>
      <c r="D638" t="inlineStr">
        <is>
          <t>JÄMTLANDS LÄN</t>
        </is>
      </c>
      <c r="E638" t="inlineStr">
        <is>
          <t>BERG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45206-2024</t>
        </is>
      </c>
      <c r="B639" s="1" t="n">
        <v>45575.69966435185</v>
      </c>
      <c r="C639" s="1" t="n">
        <v>46090</v>
      </c>
      <c r="D639" t="inlineStr">
        <is>
          <t>JÄMTLANDS LÄN</t>
        </is>
      </c>
      <c r="E639" t="inlineStr">
        <is>
          <t>BERG</t>
        </is>
      </c>
      <c r="G639" t="n">
        <v>2.3</v>
      </c>
      <c r="H639" t="n">
        <v>0</v>
      </c>
      <c r="I639" t="n">
        <v>0</v>
      </c>
      <c r="J639" t="n">
        <v>0</v>
      </c>
      <c r="K639" t="n">
        <v>0</v>
      </c>
      <c r="L639" t="n">
        <v>0</v>
      </c>
      <c r="M639" t="n">
        <v>0</v>
      </c>
      <c r="N639" t="n">
        <v>0</v>
      </c>
      <c r="O639" t="n">
        <v>0</v>
      </c>
      <c r="P639" t="n">
        <v>0</v>
      </c>
      <c r="Q639" t="n">
        <v>0</v>
      </c>
      <c r="R639" s="2" t="inlineStr"/>
    </row>
    <row r="640" ht="15" customHeight="1">
      <c r="A640" t="inlineStr">
        <is>
          <t>A 37463-2025</t>
        </is>
      </c>
      <c r="B640" s="1" t="n">
        <v>45877.5738425926</v>
      </c>
      <c r="C640" s="1" t="n">
        <v>46090</v>
      </c>
      <c r="D640" t="inlineStr">
        <is>
          <t>JÄMTLANDS LÄN</t>
        </is>
      </c>
      <c r="E640" t="inlineStr">
        <is>
          <t>BERG</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52062-2025</t>
        </is>
      </c>
      <c r="B641" s="1" t="n">
        <v>45952.63679398148</v>
      </c>
      <c r="C641" s="1" t="n">
        <v>46090</v>
      </c>
      <c r="D641" t="inlineStr">
        <is>
          <t>JÄMTLANDS LÄN</t>
        </is>
      </c>
      <c r="E641" t="inlineStr">
        <is>
          <t>BERG</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52225-2025</t>
        </is>
      </c>
      <c r="B642" s="1" t="n">
        <v>45953.44831018519</v>
      </c>
      <c r="C642" s="1" t="n">
        <v>46090</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29087-2024</t>
        </is>
      </c>
      <c r="B643" s="1" t="n">
        <v>45481.92946759259</v>
      </c>
      <c r="C643" s="1" t="n">
        <v>46090</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37431-2025</t>
        </is>
      </c>
      <c r="B644" s="1" t="n">
        <v>45877.51092592593</v>
      </c>
      <c r="C644" s="1" t="n">
        <v>46090</v>
      </c>
      <c r="D644" t="inlineStr">
        <is>
          <t>JÄMTLANDS LÄN</t>
        </is>
      </c>
      <c r="E644" t="inlineStr">
        <is>
          <t>BERG</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23877-2024</t>
        </is>
      </c>
      <c r="B645" s="1" t="n">
        <v>45455.63024305556</v>
      </c>
      <c r="C645" s="1" t="n">
        <v>46090</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23880-2024</t>
        </is>
      </c>
      <c r="B646" s="1" t="n">
        <v>45455.63731481481</v>
      </c>
      <c r="C646" s="1" t="n">
        <v>46090</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52562-2025</t>
        </is>
      </c>
      <c r="B647" s="1" t="n">
        <v>45954.57357638889</v>
      </c>
      <c r="C647" s="1" t="n">
        <v>46090</v>
      </c>
      <c r="D647" t="inlineStr">
        <is>
          <t>JÄMTLANDS LÄN</t>
        </is>
      </c>
      <c r="E647" t="inlineStr">
        <is>
          <t>BERG</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52933-2025</t>
        </is>
      </c>
      <c r="B648" s="1" t="n">
        <v>45957.62528935185</v>
      </c>
      <c r="C648" s="1" t="n">
        <v>46090</v>
      </c>
      <c r="D648" t="inlineStr">
        <is>
          <t>JÄMTLANDS LÄN</t>
        </is>
      </c>
      <c r="E648" t="inlineStr">
        <is>
          <t>BERG</t>
        </is>
      </c>
      <c r="G648" t="n">
        <v>10.1</v>
      </c>
      <c r="H648" t="n">
        <v>0</v>
      </c>
      <c r="I648" t="n">
        <v>0</v>
      </c>
      <c r="J648" t="n">
        <v>0</v>
      </c>
      <c r="K648" t="n">
        <v>0</v>
      </c>
      <c r="L648" t="n">
        <v>0</v>
      </c>
      <c r="M648" t="n">
        <v>0</v>
      </c>
      <c r="N648" t="n">
        <v>0</v>
      </c>
      <c r="O648" t="n">
        <v>0</v>
      </c>
      <c r="P648" t="n">
        <v>0</v>
      </c>
      <c r="Q648" t="n">
        <v>0</v>
      </c>
      <c r="R648" s="2" t="inlineStr"/>
    </row>
    <row r="649" ht="15" customHeight="1">
      <c r="A649" t="inlineStr">
        <is>
          <t>A 62299-2023</t>
        </is>
      </c>
      <c r="B649" s="1" t="n">
        <v>45266</v>
      </c>
      <c r="C649" s="1" t="n">
        <v>46090</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52938-2025</t>
        </is>
      </c>
      <c r="B650" s="1" t="n">
        <v>45957.63680555556</v>
      </c>
      <c r="C650" s="1" t="n">
        <v>46090</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62158-2025</t>
        </is>
      </c>
      <c r="B651" s="1" t="n">
        <v>46006.490625</v>
      </c>
      <c r="C651" s="1" t="n">
        <v>46090</v>
      </c>
      <c r="D651" t="inlineStr">
        <is>
          <t>JÄMTLANDS LÄN</t>
        </is>
      </c>
      <c r="E651" t="inlineStr">
        <is>
          <t>BERG</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9201-2026</t>
        </is>
      </c>
      <c r="B652" s="1" t="n">
        <v>46070.40723379629</v>
      </c>
      <c r="C652" s="1" t="n">
        <v>46090</v>
      </c>
      <c r="D652" t="inlineStr">
        <is>
          <t>JÄMTLANDS LÄN</t>
        </is>
      </c>
      <c r="E652" t="inlineStr">
        <is>
          <t>BERG</t>
        </is>
      </c>
      <c r="G652" t="n">
        <v>2.3</v>
      </c>
      <c r="H652" t="n">
        <v>0</v>
      </c>
      <c r="I652" t="n">
        <v>0</v>
      </c>
      <c r="J652" t="n">
        <v>0</v>
      </c>
      <c r="K652" t="n">
        <v>0</v>
      </c>
      <c r="L652" t="n">
        <v>0</v>
      </c>
      <c r="M652" t="n">
        <v>0</v>
      </c>
      <c r="N652" t="n">
        <v>0</v>
      </c>
      <c r="O652" t="n">
        <v>0</v>
      </c>
      <c r="P652" t="n">
        <v>0</v>
      </c>
      <c r="Q652" t="n">
        <v>0</v>
      </c>
      <c r="R652" s="2" t="inlineStr"/>
    </row>
    <row r="653" ht="15" customHeight="1">
      <c r="A653" t="inlineStr">
        <is>
          <t>A 568-2026</t>
        </is>
      </c>
      <c r="B653" s="1" t="n">
        <v>46029.46987268519</v>
      </c>
      <c r="C653" s="1" t="n">
        <v>46090</v>
      </c>
      <c r="D653" t="inlineStr">
        <is>
          <t>JÄMTLANDS LÄN</t>
        </is>
      </c>
      <c r="E653" t="inlineStr">
        <is>
          <t>BERG</t>
        </is>
      </c>
      <c r="G653" t="n">
        <v>2.7</v>
      </c>
      <c r="H653" t="n">
        <v>0</v>
      </c>
      <c r="I653" t="n">
        <v>0</v>
      </c>
      <c r="J653" t="n">
        <v>0</v>
      </c>
      <c r="K653" t="n">
        <v>0</v>
      </c>
      <c r="L653" t="n">
        <v>0</v>
      </c>
      <c r="M653" t="n">
        <v>0</v>
      </c>
      <c r="N653" t="n">
        <v>0</v>
      </c>
      <c r="O653" t="n">
        <v>0</v>
      </c>
      <c r="P653" t="n">
        <v>0</v>
      </c>
      <c r="Q653" t="n">
        <v>0</v>
      </c>
      <c r="R653" s="2" t="inlineStr"/>
    </row>
    <row r="654" ht="15" customHeight="1">
      <c r="A654" t="inlineStr">
        <is>
          <t>A 38082-2025</t>
        </is>
      </c>
      <c r="B654" s="1" t="n">
        <v>45882</v>
      </c>
      <c r="C654" s="1" t="n">
        <v>46090</v>
      </c>
      <c r="D654" t="inlineStr">
        <is>
          <t>JÄMTLANDS LÄN</t>
        </is>
      </c>
      <c r="E654" t="inlineStr">
        <is>
          <t>BERG</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38408-2025</t>
        </is>
      </c>
      <c r="B655" s="1" t="n">
        <v>45883.59412037037</v>
      </c>
      <c r="C655" s="1" t="n">
        <v>46090</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50458-2025</t>
        </is>
      </c>
      <c r="B656" s="1" t="n">
        <v>45945</v>
      </c>
      <c r="C656" s="1" t="n">
        <v>46090</v>
      </c>
      <c r="D656" t="inlineStr">
        <is>
          <t>JÄMTLANDS LÄN</t>
        </is>
      </c>
      <c r="E656" t="inlineStr">
        <is>
          <t>BERG</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38388-2025</t>
        </is>
      </c>
      <c r="B657" s="1" t="n">
        <v>45883.57467592593</v>
      </c>
      <c r="C657" s="1" t="n">
        <v>46090</v>
      </c>
      <c r="D657" t="inlineStr">
        <is>
          <t>JÄMTLANDS LÄN</t>
        </is>
      </c>
      <c r="E657" t="inlineStr">
        <is>
          <t>BERG</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38428-2025</t>
        </is>
      </c>
      <c r="B658" s="1" t="n">
        <v>45883.63628472222</v>
      </c>
      <c r="C658" s="1" t="n">
        <v>46090</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53155-2025</t>
        </is>
      </c>
      <c r="B659" s="1" t="n">
        <v>45958.49011574074</v>
      </c>
      <c r="C659" s="1" t="n">
        <v>46090</v>
      </c>
      <c r="D659" t="inlineStr">
        <is>
          <t>JÄMTLANDS LÄN</t>
        </is>
      </c>
      <c r="E659" t="inlineStr">
        <is>
          <t>BERG</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53157-2025</t>
        </is>
      </c>
      <c r="B660" s="1" t="n">
        <v>45958.49056712963</v>
      </c>
      <c r="C660" s="1" t="n">
        <v>46090</v>
      </c>
      <c r="D660" t="inlineStr">
        <is>
          <t>JÄMTLANDS LÄN</t>
        </is>
      </c>
      <c r="E660" t="inlineStr">
        <is>
          <t>BERG</t>
        </is>
      </c>
      <c r="F660" t="inlineStr">
        <is>
          <t>SCA</t>
        </is>
      </c>
      <c r="G660" t="n">
        <v>9.5</v>
      </c>
      <c r="H660" t="n">
        <v>0</v>
      </c>
      <c r="I660" t="n">
        <v>0</v>
      </c>
      <c r="J660" t="n">
        <v>0</v>
      </c>
      <c r="K660" t="n">
        <v>0</v>
      </c>
      <c r="L660" t="n">
        <v>0</v>
      </c>
      <c r="M660" t="n">
        <v>0</v>
      </c>
      <c r="N660" t="n">
        <v>0</v>
      </c>
      <c r="O660" t="n">
        <v>0</v>
      </c>
      <c r="P660" t="n">
        <v>0</v>
      </c>
      <c r="Q660" t="n">
        <v>0</v>
      </c>
      <c r="R660" s="2" t="inlineStr"/>
    </row>
    <row r="661" ht="15" customHeight="1">
      <c r="A661" t="inlineStr">
        <is>
          <t>A 38080-2025</t>
        </is>
      </c>
      <c r="B661" s="1" t="n">
        <v>45882</v>
      </c>
      <c r="C661" s="1" t="n">
        <v>46090</v>
      </c>
      <c r="D661" t="inlineStr">
        <is>
          <t>JÄMTLANDS LÄN</t>
        </is>
      </c>
      <c r="E661" t="inlineStr">
        <is>
          <t>BERG</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679-2026</t>
        </is>
      </c>
      <c r="B662" s="1" t="n">
        <v>46029.60032407408</v>
      </c>
      <c r="C662" s="1" t="n">
        <v>46090</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53349-2025</t>
        </is>
      </c>
      <c r="B663" s="1" t="n">
        <v>45959.43579861111</v>
      </c>
      <c r="C663" s="1" t="n">
        <v>46090</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53085-2025</t>
        </is>
      </c>
      <c r="B664" s="1" t="n">
        <v>45958.40675925926</v>
      </c>
      <c r="C664" s="1" t="n">
        <v>46090</v>
      </c>
      <c r="D664" t="inlineStr">
        <is>
          <t>JÄMTLANDS LÄN</t>
        </is>
      </c>
      <c r="E664" t="inlineStr">
        <is>
          <t>BERG</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53625-2025</t>
        </is>
      </c>
      <c r="B665" s="1" t="n">
        <v>45960.49020833334</v>
      </c>
      <c r="C665" s="1" t="n">
        <v>46090</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53610-2025</t>
        </is>
      </c>
      <c r="B666" s="1" t="n">
        <v>45960.46951388889</v>
      </c>
      <c r="C666" s="1" t="n">
        <v>46090</v>
      </c>
      <c r="D666" t="inlineStr">
        <is>
          <t>JÄMTLANDS LÄN</t>
        </is>
      </c>
      <c r="E666" t="inlineStr">
        <is>
          <t>BERG</t>
        </is>
      </c>
      <c r="F666" t="inlineStr">
        <is>
          <t>SCA</t>
        </is>
      </c>
      <c r="G666" t="n">
        <v>30.7</v>
      </c>
      <c r="H666" t="n">
        <v>0</v>
      </c>
      <c r="I666" t="n">
        <v>0</v>
      </c>
      <c r="J666" t="n">
        <v>0</v>
      </c>
      <c r="K666" t="n">
        <v>0</v>
      </c>
      <c r="L666" t="n">
        <v>0</v>
      </c>
      <c r="M666" t="n">
        <v>0</v>
      </c>
      <c r="N666" t="n">
        <v>0</v>
      </c>
      <c r="O666" t="n">
        <v>0</v>
      </c>
      <c r="P666" t="n">
        <v>0</v>
      </c>
      <c r="Q666" t="n">
        <v>0</v>
      </c>
      <c r="R666" s="2" t="inlineStr"/>
    </row>
    <row r="667" ht="15" customHeight="1">
      <c r="A667" t="inlineStr">
        <is>
          <t>A 5644-2025</t>
        </is>
      </c>
      <c r="B667" s="1" t="n">
        <v>45693.6833449074</v>
      </c>
      <c r="C667" s="1" t="n">
        <v>46090</v>
      </c>
      <c r="D667" t="inlineStr">
        <is>
          <t>JÄMTLANDS LÄN</t>
        </is>
      </c>
      <c r="E667" t="inlineStr">
        <is>
          <t>BERG</t>
        </is>
      </c>
      <c r="G667" t="n">
        <v>2.1</v>
      </c>
      <c r="H667" t="n">
        <v>0</v>
      </c>
      <c r="I667" t="n">
        <v>0</v>
      </c>
      <c r="J667" t="n">
        <v>0</v>
      </c>
      <c r="K667" t="n">
        <v>0</v>
      </c>
      <c r="L667" t="n">
        <v>0</v>
      </c>
      <c r="M667" t="n">
        <v>0</v>
      </c>
      <c r="N667" t="n">
        <v>0</v>
      </c>
      <c r="O667" t="n">
        <v>0</v>
      </c>
      <c r="P667" t="n">
        <v>0</v>
      </c>
      <c r="Q667" t="n">
        <v>0</v>
      </c>
      <c r="R667" s="2" t="inlineStr"/>
    </row>
    <row r="668" ht="15" customHeight="1">
      <c r="A668" t="inlineStr">
        <is>
          <t>A 1287-2026</t>
        </is>
      </c>
      <c r="B668" s="1" t="n">
        <v>46031.49944444445</v>
      </c>
      <c r="C668" s="1" t="n">
        <v>46090</v>
      </c>
      <c r="D668" t="inlineStr">
        <is>
          <t>JÄMTLANDS LÄN</t>
        </is>
      </c>
      <c r="E668" t="inlineStr">
        <is>
          <t>BERG</t>
        </is>
      </c>
      <c r="G668" t="n">
        <v>2.2</v>
      </c>
      <c r="H668" t="n">
        <v>0</v>
      </c>
      <c r="I668" t="n">
        <v>0</v>
      </c>
      <c r="J668" t="n">
        <v>0</v>
      </c>
      <c r="K668" t="n">
        <v>0</v>
      </c>
      <c r="L668" t="n">
        <v>0</v>
      </c>
      <c r="M668" t="n">
        <v>0</v>
      </c>
      <c r="N668" t="n">
        <v>0</v>
      </c>
      <c r="O668" t="n">
        <v>0</v>
      </c>
      <c r="P668" t="n">
        <v>0</v>
      </c>
      <c r="Q668" t="n">
        <v>0</v>
      </c>
      <c r="R668" s="2" t="inlineStr"/>
    </row>
    <row r="669" ht="15" customHeight="1">
      <c r="A669" t="inlineStr">
        <is>
          <t>A 53680-2025</t>
        </is>
      </c>
      <c r="B669" s="1" t="n">
        <v>45960.57361111111</v>
      </c>
      <c r="C669" s="1" t="n">
        <v>46090</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1401-2026</t>
        </is>
      </c>
      <c r="B670" s="1" t="n">
        <v>46031.64333333333</v>
      </c>
      <c r="C670" s="1" t="n">
        <v>46090</v>
      </c>
      <c r="D670" t="inlineStr">
        <is>
          <t>JÄMTLANDS LÄN</t>
        </is>
      </c>
      <c r="E670" t="inlineStr">
        <is>
          <t>BERG</t>
        </is>
      </c>
      <c r="G670" t="n">
        <v>2.1</v>
      </c>
      <c r="H670" t="n">
        <v>0</v>
      </c>
      <c r="I670" t="n">
        <v>0</v>
      </c>
      <c r="J670" t="n">
        <v>0</v>
      </c>
      <c r="K670" t="n">
        <v>0</v>
      </c>
      <c r="L670" t="n">
        <v>0</v>
      </c>
      <c r="M670" t="n">
        <v>0</v>
      </c>
      <c r="N670" t="n">
        <v>0</v>
      </c>
      <c r="O670" t="n">
        <v>0</v>
      </c>
      <c r="P670" t="n">
        <v>0</v>
      </c>
      <c r="Q670" t="n">
        <v>0</v>
      </c>
      <c r="R670" s="2" t="inlineStr"/>
    </row>
    <row r="671" ht="15" customHeight="1">
      <c r="A671" t="inlineStr">
        <is>
          <t>A 29424-2024</t>
        </is>
      </c>
      <c r="B671" s="1" t="n">
        <v>45483.71451388889</v>
      </c>
      <c r="C671" s="1" t="n">
        <v>46090</v>
      </c>
      <c r="D671" t="inlineStr">
        <is>
          <t>JÄMTLANDS LÄN</t>
        </is>
      </c>
      <c r="E671" t="inlineStr">
        <is>
          <t>BERG</t>
        </is>
      </c>
      <c r="G671" t="n">
        <v>4</v>
      </c>
      <c r="H671" t="n">
        <v>0</v>
      </c>
      <c r="I671" t="n">
        <v>0</v>
      </c>
      <c r="J671" t="n">
        <v>0</v>
      </c>
      <c r="K671" t="n">
        <v>0</v>
      </c>
      <c r="L671" t="n">
        <v>0</v>
      </c>
      <c r="M671" t="n">
        <v>0</v>
      </c>
      <c r="N671" t="n">
        <v>0</v>
      </c>
      <c r="O671" t="n">
        <v>0</v>
      </c>
      <c r="P671" t="n">
        <v>0</v>
      </c>
      <c r="Q671" t="n">
        <v>0</v>
      </c>
      <c r="R671" s="2" t="inlineStr"/>
    </row>
    <row r="672" ht="15" customHeight="1">
      <c r="A672" t="inlineStr">
        <is>
          <t>A 60249-2022</t>
        </is>
      </c>
      <c r="B672" s="1" t="n">
        <v>44903</v>
      </c>
      <c r="C672" s="1" t="n">
        <v>46090</v>
      </c>
      <c r="D672" t="inlineStr">
        <is>
          <t>JÄMTLANDS LÄN</t>
        </is>
      </c>
      <c r="E672" t="inlineStr">
        <is>
          <t>BERG</t>
        </is>
      </c>
      <c r="G672" t="n">
        <v>6</v>
      </c>
      <c r="H672" t="n">
        <v>0</v>
      </c>
      <c r="I672" t="n">
        <v>0</v>
      </c>
      <c r="J672" t="n">
        <v>0</v>
      </c>
      <c r="K672" t="n">
        <v>0</v>
      </c>
      <c r="L672" t="n">
        <v>0</v>
      </c>
      <c r="M672" t="n">
        <v>0</v>
      </c>
      <c r="N672" t="n">
        <v>0</v>
      </c>
      <c r="O672" t="n">
        <v>0</v>
      </c>
      <c r="P672" t="n">
        <v>0</v>
      </c>
      <c r="Q672" t="n">
        <v>0</v>
      </c>
      <c r="R672" s="2" t="inlineStr"/>
    </row>
    <row r="673" ht="15" customHeight="1">
      <c r="A673" t="inlineStr">
        <is>
          <t>A 53712-2025</t>
        </is>
      </c>
      <c r="B673" s="1" t="n">
        <v>45960.61547453704</v>
      </c>
      <c r="C673" s="1" t="n">
        <v>46090</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53859-2025</t>
        </is>
      </c>
      <c r="B674" s="1" t="n">
        <v>45961</v>
      </c>
      <c r="C674" s="1" t="n">
        <v>46090</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18872-2023</t>
        </is>
      </c>
      <c r="B675" s="1" t="n">
        <v>45042</v>
      </c>
      <c r="C675" s="1" t="n">
        <v>46090</v>
      </c>
      <c r="D675" t="inlineStr">
        <is>
          <t>JÄMTLANDS LÄN</t>
        </is>
      </c>
      <c r="E675" t="inlineStr">
        <is>
          <t>BERG</t>
        </is>
      </c>
      <c r="G675" t="n">
        <v>13.2</v>
      </c>
      <c r="H675" t="n">
        <v>0</v>
      </c>
      <c r="I675" t="n">
        <v>0</v>
      </c>
      <c r="J675" t="n">
        <v>0</v>
      </c>
      <c r="K675" t="n">
        <v>0</v>
      </c>
      <c r="L675" t="n">
        <v>0</v>
      </c>
      <c r="M675" t="n">
        <v>0</v>
      </c>
      <c r="N675" t="n">
        <v>0</v>
      </c>
      <c r="O675" t="n">
        <v>0</v>
      </c>
      <c r="P675" t="n">
        <v>0</v>
      </c>
      <c r="Q675" t="n">
        <v>0</v>
      </c>
      <c r="R675" s="2" t="inlineStr"/>
    </row>
    <row r="676" ht="15" customHeight="1">
      <c r="A676" t="inlineStr">
        <is>
          <t>A 8065-2024</t>
        </is>
      </c>
      <c r="B676" s="1" t="n">
        <v>45351.40697916667</v>
      </c>
      <c r="C676" s="1" t="n">
        <v>46090</v>
      </c>
      <c r="D676" t="inlineStr">
        <is>
          <t>JÄMTLANDS LÄN</t>
        </is>
      </c>
      <c r="E676" t="inlineStr">
        <is>
          <t>BERG</t>
        </is>
      </c>
      <c r="G676" t="n">
        <v>6.9</v>
      </c>
      <c r="H676" t="n">
        <v>0</v>
      </c>
      <c r="I676" t="n">
        <v>0</v>
      </c>
      <c r="J676" t="n">
        <v>0</v>
      </c>
      <c r="K676" t="n">
        <v>0</v>
      </c>
      <c r="L676" t="n">
        <v>0</v>
      </c>
      <c r="M676" t="n">
        <v>0</v>
      </c>
      <c r="N676" t="n">
        <v>0</v>
      </c>
      <c r="O676" t="n">
        <v>0</v>
      </c>
      <c r="P676" t="n">
        <v>0</v>
      </c>
      <c r="Q676" t="n">
        <v>0</v>
      </c>
      <c r="R676" s="2" t="inlineStr"/>
    </row>
    <row r="677" ht="15" customHeight="1">
      <c r="A677" t="inlineStr">
        <is>
          <t>A 35911-2024</t>
        </is>
      </c>
      <c r="B677" s="1" t="n">
        <v>45533.41498842592</v>
      </c>
      <c r="C677" s="1" t="n">
        <v>46090</v>
      </c>
      <c r="D677" t="inlineStr">
        <is>
          <t>JÄMTLANDS LÄN</t>
        </is>
      </c>
      <c r="E677" t="inlineStr">
        <is>
          <t>BERG</t>
        </is>
      </c>
      <c r="G677" t="n">
        <v>4.1</v>
      </c>
      <c r="H677" t="n">
        <v>0</v>
      </c>
      <c r="I677" t="n">
        <v>0</v>
      </c>
      <c r="J677" t="n">
        <v>0</v>
      </c>
      <c r="K677" t="n">
        <v>0</v>
      </c>
      <c r="L677" t="n">
        <v>0</v>
      </c>
      <c r="M677" t="n">
        <v>0</v>
      </c>
      <c r="N677" t="n">
        <v>0</v>
      </c>
      <c r="O677" t="n">
        <v>0</v>
      </c>
      <c r="P677" t="n">
        <v>0</v>
      </c>
      <c r="Q677" t="n">
        <v>0</v>
      </c>
      <c r="R677" s="2" t="inlineStr"/>
    </row>
    <row r="678" ht="15" customHeight="1">
      <c r="A678" t="inlineStr">
        <is>
          <t>A 61837-2023</t>
        </is>
      </c>
      <c r="B678" s="1" t="n">
        <v>45264</v>
      </c>
      <c r="C678" s="1" t="n">
        <v>46090</v>
      </c>
      <c r="D678" t="inlineStr">
        <is>
          <t>JÄMTLANDS LÄN</t>
        </is>
      </c>
      <c r="E678" t="inlineStr">
        <is>
          <t>BERG</t>
        </is>
      </c>
      <c r="G678" t="n">
        <v>0.6</v>
      </c>
      <c r="H678" t="n">
        <v>0</v>
      </c>
      <c r="I678" t="n">
        <v>0</v>
      </c>
      <c r="J678" t="n">
        <v>0</v>
      </c>
      <c r="K678" t="n">
        <v>0</v>
      </c>
      <c r="L678" t="n">
        <v>0</v>
      </c>
      <c r="M678" t="n">
        <v>0</v>
      </c>
      <c r="N678" t="n">
        <v>0</v>
      </c>
      <c r="O678" t="n">
        <v>0</v>
      </c>
      <c r="P678" t="n">
        <v>0</v>
      </c>
      <c r="Q678" t="n">
        <v>0</v>
      </c>
      <c r="R678" s="2" t="inlineStr"/>
    </row>
    <row r="679" ht="15" customHeight="1">
      <c r="A679" t="inlineStr">
        <is>
          <t>A 62104-2023</t>
        </is>
      </c>
      <c r="B679" s="1" t="n">
        <v>45266.95052083334</v>
      </c>
      <c r="C679" s="1" t="n">
        <v>46090</v>
      </c>
      <c r="D679" t="inlineStr">
        <is>
          <t>JÄMTLANDS LÄN</t>
        </is>
      </c>
      <c r="E679" t="inlineStr">
        <is>
          <t>BERG</t>
        </is>
      </c>
      <c r="G679" t="n">
        <v>1.5</v>
      </c>
      <c r="H679" t="n">
        <v>0</v>
      </c>
      <c r="I679" t="n">
        <v>0</v>
      </c>
      <c r="J679" t="n">
        <v>0</v>
      </c>
      <c r="K679" t="n">
        <v>0</v>
      </c>
      <c r="L679" t="n">
        <v>0</v>
      </c>
      <c r="M679" t="n">
        <v>0</v>
      </c>
      <c r="N679" t="n">
        <v>0</v>
      </c>
      <c r="O679" t="n">
        <v>0</v>
      </c>
      <c r="P679" t="n">
        <v>0</v>
      </c>
      <c r="Q679" t="n">
        <v>0</v>
      </c>
      <c r="R679" s="2" t="inlineStr"/>
    </row>
    <row r="680" ht="15" customHeight="1">
      <c r="A680" t="inlineStr">
        <is>
          <t>A 62105-2023</t>
        </is>
      </c>
      <c r="B680" s="1" t="n">
        <v>45266.95074074074</v>
      </c>
      <c r="C680" s="1" t="n">
        <v>46090</v>
      </c>
      <c r="D680" t="inlineStr">
        <is>
          <t>JÄMTLANDS LÄN</t>
        </is>
      </c>
      <c r="E680" t="inlineStr">
        <is>
          <t>BERG</t>
        </is>
      </c>
      <c r="F680" t="inlineStr">
        <is>
          <t>SCA</t>
        </is>
      </c>
      <c r="G680" t="n">
        <v>13.1</v>
      </c>
      <c r="H680" t="n">
        <v>0</v>
      </c>
      <c r="I680" t="n">
        <v>0</v>
      </c>
      <c r="J680" t="n">
        <v>0</v>
      </c>
      <c r="K680" t="n">
        <v>0</v>
      </c>
      <c r="L680" t="n">
        <v>0</v>
      </c>
      <c r="M680" t="n">
        <v>0</v>
      </c>
      <c r="N680" t="n">
        <v>0</v>
      </c>
      <c r="O680" t="n">
        <v>0</v>
      </c>
      <c r="P680" t="n">
        <v>0</v>
      </c>
      <c r="Q680" t="n">
        <v>0</v>
      </c>
      <c r="R680" s="2" t="inlineStr"/>
    </row>
    <row r="681" ht="15" customHeight="1">
      <c r="A681" t="inlineStr">
        <is>
          <t>A 60028-2022</t>
        </is>
      </c>
      <c r="B681" s="1" t="n">
        <v>44902</v>
      </c>
      <c r="C681" s="1" t="n">
        <v>46090</v>
      </c>
      <c r="D681" t="inlineStr">
        <is>
          <t>JÄMTLANDS LÄN</t>
        </is>
      </c>
      <c r="E681" t="inlineStr">
        <is>
          <t>BERG</t>
        </is>
      </c>
      <c r="G681" t="n">
        <v>20</v>
      </c>
      <c r="H681" t="n">
        <v>0</v>
      </c>
      <c r="I681" t="n">
        <v>0</v>
      </c>
      <c r="J681" t="n">
        <v>0</v>
      </c>
      <c r="K681" t="n">
        <v>0</v>
      </c>
      <c r="L681" t="n">
        <v>0</v>
      </c>
      <c r="M681" t="n">
        <v>0</v>
      </c>
      <c r="N681" t="n">
        <v>0</v>
      </c>
      <c r="O681" t="n">
        <v>0</v>
      </c>
      <c r="P681" t="n">
        <v>0</v>
      </c>
      <c r="Q681" t="n">
        <v>0</v>
      </c>
      <c r="R681" s="2" t="inlineStr"/>
    </row>
    <row r="682" ht="15" customHeight="1">
      <c r="A682" t="inlineStr">
        <is>
          <t>A 32654-2025</t>
        </is>
      </c>
      <c r="B682" s="1" t="n">
        <v>45838.6778587963</v>
      </c>
      <c r="C682" s="1" t="n">
        <v>46090</v>
      </c>
      <c r="D682" t="inlineStr">
        <is>
          <t>JÄMTLANDS LÄN</t>
        </is>
      </c>
      <c r="E682" t="inlineStr">
        <is>
          <t>BERG</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1282-2026</t>
        </is>
      </c>
      <c r="B683" s="1" t="n">
        <v>46031.49096064815</v>
      </c>
      <c r="C683" s="1" t="n">
        <v>46090</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1386-2026</t>
        </is>
      </c>
      <c r="B684" s="1" t="n">
        <v>46031.62633101852</v>
      </c>
      <c r="C684" s="1" t="n">
        <v>46090</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1391-2026</t>
        </is>
      </c>
      <c r="B685" s="1" t="n">
        <v>46031.63359953704</v>
      </c>
      <c r="C685" s="1" t="n">
        <v>46090</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32465-2024</t>
        </is>
      </c>
      <c r="B686" s="1" t="n">
        <v>45512.96096064815</v>
      </c>
      <c r="C686" s="1" t="n">
        <v>46090</v>
      </c>
      <c r="D686" t="inlineStr">
        <is>
          <t>JÄMTLANDS LÄN</t>
        </is>
      </c>
      <c r="E686" t="inlineStr">
        <is>
          <t>BERG</t>
        </is>
      </c>
      <c r="G686" t="n">
        <v>6.7</v>
      </c>
      <c r="H686" t="n">
        <v>0</v>
      </c>
      <c r="I686" t="n">
        <v>0</v>
      </c>
      <c r="J686" t="n">
        <v>0</v>
      </c>
      <c r="K686" t="n">
        <v>0</v>
      </c>
      <c r="L686" t="n">
        <v>0</v>
      </c>
      <c r="M686" t="n">
        <v>0</v>
      </c>
      <c r="N686" t="n">
        <v>0</v>
      </c>
      <c r="O686" t="n">
        <v>0</v>
      </c>
      <c r="P686" t="n">
        <v>0</v>
      </c>
      <c r="Q686" t="n">
        <v>0</v>
      </c>
      <c r="R686" s="2" t="inlineStr"/>
    </row>
    <row r="687" ht="15" customHeight="1">
      <c r="A687" t="inlineStr">
        <is>
          <t>A 54852-2025</t>
        </is>
      </c>
      <c r="B687" s="1" t="n">
        <v>45966.71946759259</v>
      </c>
      <c r="C687" s="1" t="n">
        <v>46090</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1407-2026</t>
        </is>
      </c>
      <c r="B688" s="1" t="n">
        <v>46031.64733796296</v>
      </c>
      <c r="C688" s="1" t="n">
        <v>46090</v>
      </c>
      <c r="D688" t="inlineStr">
        <is>
          <t>JÄMTLANDS LÄN</t>
        </is>
      </c>
      <c r="E688" t="inlineStr">
        <is>
          <t>BERG</t>
        </is>
      </c>
      <c r="G688" t="n">
        <v>0.9</v>
      </c>
      <c r="H688" t="n">
        <v>0</v>
      </c>
      <c r="I688" t="n">
        <v>0</v>
      </c>
      <c r="J688" t="n">
        <v>0</v>
      </c>
      <c r="K688" t="n">
        <v>0</v>
      </c>
      <c r="L688" t="n">
        <v>0</v>
      </c>
      <c r="M688" t="n">
        <v>0</v>
      </c>
      <c r="N688" t="n">
        <v>0</v>
      </c>
      <c r="O688" t="n">
        <v>0</v>
      </c>
      <c r="P688" t="n">
        <v>0</v>
      </c>
      <c r="Q688" t="n">
        <v>0</v>
      </c>
      <c r="R688" s="2" t="inlineStr"/>
    </row>
    <row r="689" ht="15" customHeight="1">
      <c r="A689" t="inlineStr">
        <is>
          <t>A 54720-2025</t>
        </is>
      </c>
      <c r="B689" s="1" t="n">
        <v>45966.53177083333</v>
      </c>
      <c r="C689" s="1" t="n">
        <v>46090</v>
      </c>
      <c r="D689" t="inlineStr">
        <is>
          <t>JÄMTLANDS LÄN</t>
        </is>
      </c>
      <c r="E689" t="inlineStr">
        <is>
          <t>BERG</t>
        </is>
      </c>
      <c r="G689" t="n">
        <v>0.6</v>
      </c>
      <c r="H689" t="n">
        <v>0</v>
      </c>
      <c r="I689" t="n">
        <v>0</v>
      </c>
      <c r="J689" t="n">
        <v>0</v>
      </c>
      <c r="K689" t="n">
        <v>0</v>
      </c>
      <c r="L689" t="n">
        <v>0</v>
      </c>
      <c r="M689" t="n">
        <v>0</v>
      </c>
      <c r="N689" t="n">
        <v>0</v>
      </c>
      <c r="O689" t="n">
        <v>0</v>
      </c>
      <c r="P689" t="n">
        <v>0</v>
      </c>
      <c r="Q689" t="n">
        <v>0</v>
      </c>
      <c r="R689" s="2" t="inlineStr"/>
    </row>
    <row r="690" ht="15" customHeight="1">
      <c r="A690" t="inlineStr">
        <is>
          <t>A 54825-2025</t>
        </is>
      </c>
      <c r="B690" s="1" t="n">
        <v>45966.66768518519</v>
      </c>
      <c r="C690" s="1" t="n">
        <v>46090</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51548-2023</t>
        </is>
      </c>
      <c r="B691" s="1" t="n">
        <v>45215</v>
      </c>
      <c r="C691" s="1" t="n">
        <v>46090</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5816-2026</t>
        </is>
      </c>
      <c r="B692" s="1" t="n">
        <v>46051</v>
      </c>
      <c r="C692" s="1" t="n">
        <v>46090</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32178-2024</t>
        </is>
      </c>
      <c r="B693" s="1" t="n">
        <v>45511</v>
      </c>
      <c r="C693" s="1" t="n">
        <v>46090</v>
      </c>
      <c r="D693" t="inlineStr">
        <is>
          <t>JÄMTLANDS LÄN</t>
        </is>
      </c>
      <c r="E693" t="inlineStr">
        <is>
          <t>BERG</t>
        </is>
      </c>
      <c r="G693" t="n">
        <v>11.4</v>
      </c>
      <c r="H693" t="n">
        <v>0</v>
      </c>
      <c r="I693" t="n">
        <v>0</v>
      </c>
      <c r="J693" t="n">
        <v>0</v>
      </c>
      <c r="K693" t="n">
        <v>0</v>
      </c>
      <c r="L693" t="n">
        <v>0</v>
      </c>
      <c r="M693" t="n">
        <v>0</v>
      </c>
      <c r="N693" t="n">
        <v>0</v>
      </c>
      <c r="O693" t="n">
        <v>0</v>
      </c>
      <c r="P693" t="n">
        <v>0</v>
      </c>
      <c r="Q693" t="n">
        <v>0</v>
      </c>
      <c r="R693" s="2" t="inlineStr"/>
    </row>
    <row r="694" ht="15" customHeight="1">
      <c r="A694" t="inlineStr">
        <is>
          <t>A 55022-2025</t>
        </is>
      </c>
      <c r="B694" s="1" t="n">
        <v>45967.62862268519</v>
      </c>
      <c r="C694" s="1" t="n">
        <v>46090</v>
      </c>
      <c r="D694" t="inlineStr">
        <is>
          <t>JÄMTLANDS LÄN</t>
        </is>
      </c>
      <c r="E694" t="inlineStr">
        <is>
          <t>BERG</t>
        </is>
      </c>
      <c r="G694" t="n">
        <v>0.5</v>
      </c>
      <c r="H694" t="n">
        <v>0</v>
      </c>
      <c r="I694" t="n">
        <v>0</v>
      </c>
      <c r="J694" t="n">
        <v>0</v>
      </c>
      <c r="K694" t="n">
        <v>0</v>
      </c>
      <c r="L694" t="n">
        <v>0</v>
      </c>
      <c r="M694" t="n">
        <v>0</v>
      </c>
      <c r="N694" t="n">
        <v>0</v>
      </c>
      <c r="O694" t="n">
        <v>0</v>
      </c>
      <c r="P694" t="n">
        <v>0</v>
      </c>
      <c r="Q694" t="n">
        <v>0</v>
      </c>
      <c r="R694" s="2" t="inlineStr"/>
    </row>
    <row r="695" ht="15" customHeight="1">
      <c r="A695" t="inlineStr">
        <is>
          <t>A 55043-2025</t>
        </is>
      </c>
      <c r="B695" s="1" t="n">
        <v>45967.65983796296</v>
      </c>
      <c r="C695" s="1" t="n">
        <v>46090</v>
      </c>
      <c r="D695" t="inlineStr">
        <is>
          <t>JÄMTLANDS LÄN</t>
        </is>
      </c>
      <c r="E695" t="inlineStr">
        <is>
          <t>BERG</t>
        </is>
      </c>
      <c r="G695" t="n">
        <v>3</v>
      </c>
      <c r="H695" t="n">
        <v>0</v>
      </c>
      <c r="I695" t="n">
        <v>0</v>
      </c>
      <c r="J695" t="n">
        <v>0</v>
      </c>
      <c r="K695" t="n">
        <v>0</v>
      </c>
      <c r="L695" t="n">
        <v>0</v>
      </c>
      <c r="M695" t="n">
        <v>0</v>
      </c>
      <c r="N695" t="n">
        <v>0</v>
      </c>
      <c r="O695" t="n">
        <v>0</v>
      </c>
      <c r="P695" t="n">
        <v>0</v>
      </c>
      <c r="Q695" t="n">
        <v>0</v>
      </c>
      <c r="R695" s="2" t="inlineStr"/>
    </row>
    <row r="696" ht="15" customHeight="1">
      <c r="A696" t="inlineStr">
        <is>
          <t>A 43616-2024</t>
        </is>
      </c>
      <c r="B696" s="1" t="n">
        <v>45569</v>
      </c>
      <c r="C696" s="1" t="n">
        <v>46090</v>
      </c>
      <c r="D696" t="inlineStr">
        <is>
          <t>JÄMTLANDS LÄN</t>
        </is>
      </c>
      <c r="E696" t="inlineStr">
        <is>
          <t>BERG</t>
        </is>
      </c>
      <c r="G696" t="n">
        <v>12.3</v>
      </c>
      <c r="H696" t="n">
        <v>0</v>
      </c>
      <c r="I696" t="n">
        <v>0</v>
      </c>
      <c r="J696" t="n">
        <v>0</v>
      </c>
      <c r="K696" t="n">
        <v>0</v>
      </c>
      <c r="L696" t="n">
        <v>0</v>
      </c>
      <c r="M696" t="n">
        <v>0</v>
      </c>
      <c r="N696" t="n">
        <v>0</v>
      </c>
      <c r="O696" t="n">
        <v>0</v>
      </c>
      <c r="P696" t="n">
        <v>0</v>
      </c>
      <c r="Q696" t="n">
        <v>0</v>
      </c>
      <c r="R696" s="2" t="inlineStr"/>
    </row>
    <row r="697" ht="15" customHeight="1">
      <c r="A697" t="inlineStr">
        <is>
          <t>A 60068-2022</t>
        </is>
      </c>
      <c r="B697" s="1" t="n">
        <v>44902</v>
      </c>
      <c r="C697" s="1" t="n">
        <v>46090</v>
      </c>
      <c r="D697" t="inlineStr">
        <is>
          <t>JÄMTLANDS LÄN</t>
        </is>
      </c>
      <c r="E697" t="inlineStr">
        <is>
          <t>BERG</t>
        </is>
      </c>
      <c r="G697" t="n">
        <v>5.2</v>
      </c>
      <c r="H697" t="n">
        <v>0</v>
      </c>
      <c r="I697" t="n">
        <v>0</v>
      </c>
      <c r="J697" t="n">
        <v>0</v>
      </c>
      <c r="K697" t="n">
        <v>0</v>
      </c>
      <c r="L697" t="n">
        <v>0</v>
      </c>
      <c r="M697" t="n">
        <v>0</v>
      </c>
      <c r="N697" t="n">
        <v>0</v>
      </c>
      <c r="O697" t="n">
        <v>0</v>
      </c>
      <c r="P697" t="n">
        <v>0</v>
      </c>
      <c r="Q697" t="n">
        <v>0</v>
      </c>
      <c r="R697" s="2" t="inlineStr"/>
    </row>
    <row r="698" ht="15" customHeight="1">
      <c r="A698" t="inlineStr">
        <is>
          <t>A 7482-2022</t>
        </is>
      </c>
      <c r="B698" s="1" t="n">
        <v>44606</v>
      </c>
      <c r="C698" s="1" t="n">
        <v>46090</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55553-2025</t>
        </is>
      </c>
      <c r="B699" s="1" t="n">
        <v>45971.64445601852</v>
      </c>
      <c r="C699" s="1" t="n">
        <v>46090</v>
      </c>
      <c r="D699" t="inlineStr">
        <is>
          <t>JÄMTLANDS LÄN</t>
        </is>
      </c>
      <c r="E699" t="inlineStr">
        <is>
          <t>BERG</t>
        </is>
      </c>
      <c r="G699" t="n">
        <v>2.9</v>
      </c>
      <c r="H699" t="n">
        <v>0</v>
      </c>
      <c r="I699" t="n">
        <v>0</v>
      </c>
      <c r="J699" t="n">
        <v>0</v>
      </c>
      <c r="K699" t="n">
        <v>0</v>
      </c>
      <c r="L699" t="n">
        <v>0</v>
      </c>
      <c r="M699" t="n">
        <v>0</v>
      </c>
      <c r="N699" t="n">
        <v>0</v>
      </c>
      <c r="O699" t="n">
        <v>0</v>
      </c>
      <c r="P699" t="n">
        <v>0</v>
      </c>
      <c r="Q699" t="n">
        <v>0</v>
      </c>
      <c r="R699" s="2" t="inlineStr"/>
    </row>
    <row r="700" ht="15" customHeight="1">
      <c r="A700" t="inlineStr">
        <is>
          <t>A 1939-2026</t>
        </is>
      </c>
      <c r="B700" s="1" t="n">
        <v>46035.58862268519</v>
      </c>
      <c r="C700" s="1" t="n">
        <v>46090</v>
      </c>
      <c r="D700" t="inlineStr">
        <is>
          <t>JÄMTLANDS LÄN</t>
        </is>
      </c>
      <c r="E700" t="inlineStr">
        <is>
          <t>BERG</t>
        </is>
      </c>
      <c r="G700" t="n">
        <v>3.9</v>
      </c>
      <c r="H700" t="n">
        <v>0</v>
      </c>
      <c r="I700" t="n">
        <v>0</v>
      </c>
      <c r="J700" t="n">
        <v>0</v>
      </c>
      <c r="K700" t="n">
        <v>0</v>
      </c>
      <c r="L700" t="n">
        <v>0</v>
      </c>
      <c r="M700" t="n">
        <v>0</v>
      </c>
      <c r="N700" t="n">
        <v>0</v>
      </c>
      <c r="O700" t="n">
        <v>0</v>
      </c>
      <c r="P700" t="n">
        <v>0</v>
      </c>
      <c r="Q700" t="n">
        <v>0</v>
      </c>
      <c r="R700" s="2" t="inlineStr"/>
    </row>
    <row r="701" ht="15" customHeight="1">
      <c r="A701" t="inlineStr">
        <is>
          <t>A 55472-2025</t>
        </is>
      </c>
      <c r="B701" s="1" t="n">
        <v>45971.54526620371</v>
      </c>
      <c r="C701" s="1" t="n">
        <v>46090</v>
      </c>
      <c r="D701" t="inlineStr">
        <is>
          <t>JÄMTLANDS LÄN</t>
        </is>
      </c>
      <c r="E701" t="inlineStr">
        <is>
          <t>BERG</t>
        </is>
      </c>
      <c r="G701" t="n">
        <v>3.2</v>
      </c>
      <c r="H701" t="n">
        <v>0</v>
      </c>
      <c r="I701" t="n">
        <v>0</v>
      </c>
      <c r="J701" t="n">
        <v>0</v>
      </c>
      <c r="K701" t="n">
        <v>0</v>
      </c>
      <c r="L701" t="n">
        <v>0</v>
      </c>
      <c r="M701" t="n">
        <v>0</v>
      </c>
      <c r="N701" t="n">
        <v>0</v>
      </c>
      <c r="O701" t="n">
        <v>0</v>
      </c>
      <c r="P701" t="n">
        <v>0</v>
      </c>
      <c r="Q701" t="n">
        <v>0</v>
      </c>
      <c r="R701" s="2" t="inlineStr"/>
    </row>
    <row r="702" ht="15" customHeight="1">
      <c r="A702" t="inlineStr">
        <is>
          <t>A 55497-2025</t>
        </is>
      </c>
      <c r="B702" s="1" t="n">
        <v>45971.58337962963</v>
      </c>
      <c r="C702" s="1" t="n">
        <v>46090</v>
      </c>
      <c r="D702" t="inlineStr">
        <is>
          <t>JÄMTLANDS LÄN</t>
        </is>
      </c>
      <c r="E702" t="inlineStr">
        <is>
          <t>BERG</t>
        </is>
      </c>
      <c r="G702" t="n">
        <v>15</v>
      </c>
      <c r="H702" t="n">
        <v>0</v>
      </c>
      <c r="I702" t="n">
        <v>0</v>
      </c>
      <c r="J702" t="n">
        <v>0</v>
      </c>
      <c r="K702" t="n">
        <v>0</v>
      </c>
      <c r="L702" t="n">
        <v>0</v>
      </c>
      <c r="M702" t="n">
        <v>0</v>
      </c>
      <c r="N702" t="n">
        <v>0</v>
      </c>
      <c r="O702" t="n">
        <v>0</v>
      </c>
      <c r="P702" t="n">
        <v>0</v>
      </c>
      <c r="Q702" t="n">
        <v>0</v>
      </c>
      <c r="R702" s="2" t="inlineStr"/>
    </row>
    <row r="703" ht="15" customHeight="1">
      <c r="A703" t="inlineStr">
        <is>
          <t>A 55237-2025</t>
        </is>
      </c>
      <c r="B703" s="1" t="n">
        <v>45968</v>
      </c>
      <c r="C703" s="1" t="n">
        <v>46090</v>
      </c>
      <c r="D703" t="inlineStr">
        <is>
          <t>JÄMTLANDS LÄN</t>
        </is>
      </c>
      <c r="E703" t="inlineStr">
        <is>
          <t>BERG</t>
        </is>
      </c>
      <c r="G703" t="n">
        <v>11.9</v>
      </c>
      <c r="H703" t="n">
        <v>0</v>
      </c>
      <c r="I703" t="n">
        <v>0</v>
      </c>
      <c r="J703" t="n">
        <v>0</v>
      </c>
      <c r="K703" t="n">
        <v>0</v>
      </c>
      <c r="L703" t="n">
        <v>0</v>
      </c>
      <c r="M703" t="n">
        <v>0</v>
      </c>
      <c r="N703" t="n">
        <v>0</v>
      </c>
      <c r="O703" t="n">
        <v>0</v>
      </c>
      <c r="P703" t="n">
        <v>0</v>
      </c>
      <c r="Q703" t="n">
        <v>0</v>
      </c>
      <c r="R703" s="2" t="inlineStr"/>
    </row>
    <row r="704" ht="15" customHeight="1">
      <c r="A704" t="inlineStr">
        <is>
          <t>A 55267-2025</t>
        </is>
      </c>
      <c r="B704" s="1" t="n">
        <v>45968.66726851852</v>
      </c>
      <c r="C704" s="1" t="n">
        <v>46090</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55239-2025</t>
        </is>
      </c>
      <c r="B705" s="1" t="n">
        <v>45968</v>
      </c>
      <c r="C705" s="1" t="n">
        <v>46090</v>
      </c>
      <c r="D705" t="inlineStr">
        <is>
          <t>JÄMTLANDS LÄN</t>
        </is>
      </c>
      <c r="E705" t="inlineStr">
        <is>
          <t>BERG</t>
        </is>
      </c>
      <c r="G705" t="n">
        <v>6.3</v>
      </c>
      <c r="H705" t="n">
        <v>0</v>
      </c>
      <c r="I705" t="n">
        <v>0</v>
      </c>
      <c r="J705" t="n">
        <v>0</v>
      </c>
      <c r="K705" t="n">
        <v>0</v>
      </c>
      <c r="L705" t="n">
        <v>0</v>
      </c>
      <c r="M705" t="n">
        <v>0</v>
      </c>
      <c r="N705" t="n">
        <v>0</v>
      </c>
      <c r="O705" t="n">
        <v>0</v>
      </c>
      <c r="P705" t="n">
        <v>0</v>
      </c>
      <c r="Q705" t="n">
        <v>0</v>
      </c>
      <c r="R705" s="2" t="inlineStr"/>
    </row>
    <row r="706" ht="15" customHeight="1">
      <c r="A706" t="inlineStr">
        <is>
          <t>A 55240-2025</t>
        </is>
      </c>
      <c r="B706" s="1" t="n">
        <v>45968</v>
      </c>
      <c r="C706" s="1" t="n">
        <v>46090</v>
      </c>
      <c r="D706" t="inlineStr">
        <is>
          <t>JÄMTLANDS LÄN</t>
        </is>
      </c>
      <c r="E706" t="inlineStr">
        <is>
          <t>BERG</t>
        </is>
      </c>
      <c r="G706" t="n">
        <v>11.2</v>
      </c>
      <c r="H706" t="n">
        <v>0</v>
      </c>
      <c r="I706" t="n">
        <v>0</v>
      </c>
      <c r="J706" t="n">
        <v>0</v>
      </c>
      <c r="K706" t="n">
        <v>0</v>
      </c>
      <c r="L706" t="n">
        <v>0</v>
      </c>
      <c r="M706" t="n">
        <v>0</v>
      </c>
      <c r="N706" t="n">
        <v>0</v>
      </c>
      <c r="O706" t="n">
        <v>0</v>
      </c>
      <c r="P706" t="n">
        <v>0</v>
      </c>
      <c r="Q706" t="n">
        <v>0</v>
      </c>
      <c r="R706" s="2" t="inlineStr"/>
    </row>
    <row r="707" ht="15" customHeight="1">
      <c r="A707" t="inlineStr">
        <is>
          <t>A 55575-2025</t>
        </is>
      </c>
      <c r="B707" s="1" t="n">
        <v>45971.66145833334</v>
      </c>
      <c r="C707" s="1" t="n">
        <v>46090</v>
      </c>
      <c r="D707" t="inlineStr">
        <is>
          <t>JÄMTLANDS LÄN</t>
        </is>
      </c>
      <c r="E707" t="inlineStr">
        <is>
          <t>BERG</t>
        </is>
      </c>
      <c r="G707" t="n">
        <v>3.5</v>
      </c>
      <c r="H707" t="n">
        <v>0</v>
      </c>
      <c r="I707" t="n">
        <v>0</v>
      </c>
      <c r="J707" t="n">
        <v>0</v>
      </c>
      <c r="K707" t="n">
        <v>0</v>
      </c>
      <c r="L707" t="n">
        <v>0</v>
      </c>
      <c r="M707" t="n">
        <v>0</v>
      </c>
      <c r="N707" t="n">
        <v>0</v>
      </c>
      <c r="O707" t="n">
        <v>0</v>
      </c>
      <c r="P707" t="n">
        <v>0</v>
      </c>
      <c r="Q707" t="n">
        <v>0</v>
      </c>
      <c r="R707" s="2" t="inlineStr"/>
    </row>
    <row r="708" ht="15" customHeight="1">
      <c r="A708" t="inlineStr">
        <is>
          <t>A 8653-2026</t>
        </is>
      </c>
      <c r="B708" s="1" t="n">
        <v>46066.36811342592</v>
      </c>
      <c r="C708" s="1" t="n">
        <v>46090</v>
      </c>
      <c r="D708" t="inlineStr">
        <is>
          <t>JÄMTLANDS LÄN</t>
        </is>
      </c>
      <c r="E708" t="inlineStr">
        <is>
          <t>BERG</t>
        </is>
      </c>
      <c r="G708" t="n">
        <v>2.1</v>
      </c>
      <c r="H708" t="n">
        <v>0</v>
      </c>
      <c r="I708" t="n">
        <v>0</v>
      </c>
      <c r="J708" t="n">
        <v>0</v>
      </c>
      <c r="K708" t="n">
        <v>0</v>
      </c>
      <c r="L708" t="n">
        <v>0</v>
      </c>
      <c r="M708" t="n">
        <v>0</v>
      </c>
      <c r="N708" t="n">
        <v>0</v>
      </c>
      <c r="O708" t="n">
        <v>0</v>
      </c>
      <c r="P708" t="n">
        <v>0</v>
      </c>
      <c r="Q708" t="n">
        <v>0</v>
      </c>
      <c r="R708" s="2" t="inlineStr"/>
    </row>
    <row r="709" ht="15" customHeight="1">
      <c r="A709" t="inlineStr">
        <is>
          <t>A 1498-2026</t>
        </is>
      </c>
      <c r="B709" s="1" t="n">
        <v>46034.331875</v>
      </c>
      <c r="C709" s="1" t="n">
        <v>46090</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31641-2022</t>
        </is>
      </c>
      <c r="B710" s="1" t="n">
        <v>44775.94119212963</v>
      </c>
      <c r="C710" s="1" t="n">
        <v>46090</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2632-2026</t>
        </is>
      </c>
      <c r="B711" s="1" t="n">
        <v>46035</v>
      </c>
      <c r="C711" s="1" t="n">
        <v>46090</v>
      </c>
      <c r="D711" t="inlineStr">
        <is>
          <t>JÄMTLANDS LÄN</t>
        </is>
      </c>
      <c r="E711" t="inlineStr">
        <is>
          <t>BERG</t>
        </is>
      </c>
      <c r="G711" t="n">
        <v>0.9</v>
      </c>
      <c r="H711" t="n">
        <v>0</v>
      </c>
      <c r="I711" t="n">
        <v>0</v>
      </c>
      <c r="J711" t="n">
        <v>0</v>
      </c>
      <c r="K711" t="n">
        <v>0</v>
      </c>
      <c r="L711" t="n">
        <v>0</v>
      </c>
      <c r="M711" t="n">
        <v>0</v>
      </c>
      <c r="N711" t="n">
        <v>0</v>
      </c>
      <c r="O711" t="n">
        <v>0</v>
      </c>
      <c r="P711" t="n">
        <v>0</v>
      </c>
      <c r="Q711" t="n">
        <v>0</v>
      </c>
      <c r="R711" s="2" t="inlineStr"/>
    </row>
    <row r="712" ht="15" customHeight="1">
      <c r="A712" t="inlineStr">
        <is>
          <t>A 16247-2024</t>
        </is>
      </c>
      <c r="B712" s="1" t="n">
        <v>45407.05797453703</v>
      </c>
      <c r="C712" s="1" t="n">
        <v>46090</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46268-2023</t>
        </is>
      </c>
      <c r="B713" s="1" t="n">
        <v>45196</v>
      </c>
      <c r="C713" s="1" t="n">
        <v>46090</v>
      </c>
      <c r="D713" t="inlineStr">
        <is>
          <t>JÄMTLANDS LÄN</t>
        </is>
      </c>
      <c r="E713" t="inlineStr">
        <is>
          <t>BERG</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56199-2025</t>
        </is>
      </c>
      <c r="B714" s="1" t="n">
        <v>45974.45790509259</v>
      </c>
      <c r="C714" s="1" t="n">
        <v>46090</v>
      </c>
      <c r="D714" t="inlineStr">
        <is>
          <t>JÄMTLANDS LÄN</t>
        </is>
      </c>
      <c r="E714" t="inlineStr">
        <is>
          <t>BERG</t>
        </is>
      </c>
      <c r="G714" t="n">
        <v>0.8</v>
      </c>
      <c r="H714" t="n">
        <v>0</v>
      </c>
      <c r="I714" t="n">
        <v>0</v>
      </c>
      <c r="J714" t="n">
        <v>0</v>
      </c>
      <c r="K714" t="n">
        <v>0</v>
      </c>
      <c r="L714" t="n">
        <v>0</v>
      </c>
      <c r="M714" t="n">
        <v>0</v>
      </c>
      <c r="N714" t="n">
        <v>0</v>
      </c>
      <c r="O714" t="n">
        <v>0</v>
      </c>
      <c r="P714" t="n">
        <v>0</v>
      </c>
      <c r="Q714" t="n">
        <v>0</v>
      </c>
      <c r="R714" s="2" t="inlineStr"/>
    </row>
    <row r="715" ht="15" customHeight="1">
      <c r="A715" t="inlineStr">
        <is>
          <t>A 8069-2024</t>
        </is>
      </c>
      <c r="B715" s="1" t="n">
        <v>45351.41600694445</v>
      </c>
      <c r="C715" s="1" t="n">
        <v>46090</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61788-2023</t>
        </is>
      </c>
      <c r="B716" s="1" t="n">
        <v>45265.9577199074</v>
      </c>
      <c r="C716" s="1" t="n">
        <v>46090</v>
      </c>
      <c r="D716" t="inlineStr">
        <is>
          <t>JÄMTLANDS LÄN</t>
        </is>
      </c>
      <c r="E716" t="inlineStr">
        <is>
          <t>BERG</t>
        </is>
      </c>
      <c r="G716" t="n">
        <v>2.6</v>
      </c>
      <c r="H716" t="n">
        <v>0</v>
      </c>
      <c r="I716" t="n">
        <v>0</v>
      </c>
      <c r="J716" t="n">
        <v>0</v>
      </c>
      <c r="K716" t="n">
        <v>0</v>
      </c>
      <c r="L716" t="n">
        <v>0</v>
      </c>
      <c r="M716" t="n">
        <v>0</v>
      </c>
      <c r="N716" t="n">
        <v>0</v>
      </c>
      <c r="O716" t="n">
        <v>0</v>
      </c>
      <c r="P716" t="n">
        <v>0</v>
      </c>
      <c r="Q716" t="n">
        <v>0</v>
      </c>
      <c r="R716" s="2" t="inlineStr"/>
    </row>
    <row r="717" ht="15" customHeight="1">
      <c r="A717" t="inlineStr">
        <is>
          <t>A 39785-2024</t>
        </is>
      </c>
      <c r="B717" s="1" t="n">
        <v>45553.29927083333</v>
      </c>
      <c r="C717" s="1" t="n">
        <v>46090</v>
      </c>
      <c r="D717" t="inlineStr">
        <is>
          <t>JÄMTLANDS LÄN</t>
        </is>
      </c>
      <c r="E717" t="inlineStr">
        <is>
          <t>BERG</t>
        </is>
      </c>
      <c r="G717" t="n">
        <v>16.1</v>
      </c>
      <c r="H717" t="n">
        <v>0</v>
      </c>
      <c r="I717" t="n">
        <v>0</v>
      </c>
      <c r="J717" t="n">
        <v>0</v>
      </c>
      <c r="K717" t="n">
        <v>0</v>
      </c>
      <c r="L717" t="n">
        <v>0</v>
      </c>
      <c r="M717" t="n">
        <v>0</v>
      </c>
      <c r="N717" t="n">
        <v>0</v>
      </c>
      <c r="O717" t="n">
        <v>0</v>
      </c>
      <c r="P717" t="n">
        <v>0</v>
      </c>
      <c r="Q717" t="n">
        <v>0</v>
      </c>
      <c r="R717" s="2" t="inlineStr"/>
    </row>
    <row r="718" ht="15" customHeight="1">
      <c r="A718" t="inlineStr">
        <is>
          <t>A 56457-2025</t>
        </is>
      </c>
      <c r="B718" s="1" t="n">
        <v>45975.36277777778</v>
      </c>
      <c r="C718" s="1" t="n">
        <v>46090</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46090</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56226-2024</t>
        </is>
      </c>
      <c r="B720" s="1" t="n">
        <v>45624.61572916667</v>
      </c>
      <c r="C720" s="1" t="n">
        <v>46090</v>
      </c>
      <c r="D720" t="inlineStr">
        <is>
          <t>JÄMTLANDS LÄN</t>
        </is>
      </c>
      <c r="E720" t="inlineStr">
        <is>
          <t>BERG</t>
        </is>
      </c>
      <c r="F720" t="inlineStr">
        <is>
          <t>SCA</t>
        </is>
      </c>
      <c r="G720" t="n">
        <v>7.2</v>
      </c>
      <c r="H720" t="n">
        <v>0</v>
      </c>
      <c r="I720" t="n">
        <v>0</v>
      </c>
      <c r="J720" t="n">
        <v>0</v>
      </c>
      <c r="K720" t="n">
        <v>0</v>
      </c>
      <c r="L720" t="n">
        <v>0</v>
      </c>
      <c r="M720" t="n">
        <v>0</v>
      </c>
      <c r="N720" t="n">
        <v>0</v>
      </c>
      <c r="O720" t="n">
        <v>0</v>
      </c>
      <c r="P720" t="n">
        <v>0</v>
      </c>
      <c r="Q720" t="n">
        <v>0</v>
      </c>
      <c r="R720" s="2" t="inlineStr"/>
    </row>
    <row r="721" ht="15" customHeight="1">
      <c r="A721" t="inlineStr">
        <is>
          <t>A 56234-2025</t>
        </is>
      </c>
      <c r="B721" s="1" t="n">
        <v>45974.53696759259</v>
      </c>
      <c r="C721" s="1" t="n">
        <v>46090</v>
      </c>
      <c r="D721" t="inlineStr">
        <is>
          <t>JÄMTLANDS LÄN</t>
        </is>
      </c>
      <c r="E721" t="inlineStr">
        <is>
          <t>BERG</t>
        </is>
      </c>
      <c r="G721" t="n">
        <v>11.7</v>
      </c>
      <c r="H721" t="n">
        <v>0</v>
      </c>
      <c r="I721" t="n">
        <v>0</v>
      </c>
      <c r="J721" t="n">
        <v>0</v>
      </c>
      <c r="K721" t="n">
        <v>0</v>
      </c>
      <c r="L721" t="n">
        <v>0</v>
      </c>
      <c r="M721" t="n">
        <v>0</v>
      </c>
      <c r="N721" t="n">
        <v>0</v>
      </c>
      <c r="O721" t="n">
        <v>0</v>
      </c>
      <c r="P721" t="n">
        <v>0</v>
      </c>
      <c r="Q721" t="n">
        <v>0</v>
      </c>
      <c r="R721" s="2" t="inlineStr"/>
    </row>
    <row r="722" ht="15" customHeight="1">
      <c r="A722" t="inlineStr">
        <is>
          <t>A 41868-2024</t>
        </is>
      </c>
      <c r="B722" s="1" t="n">
        <v>45561.46900462963</v>
      </c>
      <c r="C722" s="1" t="n">
        <v>46090</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1495-2026</t>
        </is>
      </c>
      <c r="B723" s="1" t="n">
        <v>46034.32285879629</v>
      </c>
      <c r="C723" s="1" t="n">
        <v>46090</v>
      </c>
      <c r="D723" t="inlineStr">
        <is>
          <t>JÄMTLANDS LÄN</t>
        </is>
      </c>
      <c r="E723" t="inlineStr">
        <is>
          <t>BERG</t>
        </is>
      </c>
      <c r="G723" t="n">
        <v>2</v>
      </c>
      <c r="H723" t="n">
        <v>0</v>
      </c>
      <c r="I723" t="n">
        <v>0</v>
      </c>
      <c r="J723" t="n">
        <v>0</v>
      </c>
      <c r="K723" t="n">
        <v>0</v>
      </c>
      <c r="L723" t="n">
        <v>0</v>
      </c>
      <c r="M723" t="n">
        <v>0</v>
      </c>
      <c r="N723" t="n">
        <v>0</v>
      </c>
      <c r="O723" t="n">
        <v>0</v>
      </c>
      <c r="P723" t="n">
        <v>0</v>
      </c>
      <c r="Q723" t="n">
        <v>0</v>
      </c>
      <c r="R723" s="2" t="inlineStr"/>
    </row>
    <row r="724" ht="15" customHeight="1">
      <c r="A724" t="inlineStr">
        <is>
          <t>A 1684-2026</t>
        </is>
      </c>
      <c r="B724" s="1" t="n">
        <v>46034.58386574074</v>
      </c>
      <c r="C724" s="1" t="n">
        <v>46090</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18261-2022</t>
        </is>
      </c>
      <c r="B725" s="1" t="n">
        <v>44685.45633101852</v>
      </c>
      <c r="C725" s="1" t="n">
        <v>46090</v>
      </c>
      <c r="D725" t="inlineStr">
        <is>
          <t>JÄMTLANDS LÄN</t>
        </is>
      </c>
      <c r="E725" t="inlineStr">
        <is>
          <t>BERG</t>
        </is>
      </c>
      <c r="G725" t="n">
        <v>3</v>
      </c>
      <c r="H725" t="n">
        <v>0</v>
      </c>
      <c r="I725" t="n">
        <v>0</v>
      </c>
      <c r="J725" t="n">
        <v>0</v>
      </c>
      <c r="K725" t="n">
        <v>0</v>
      </c>
      <c r="L725" t="n">
        <v>0</v>
      </c>
      <c r="M725" t="n">
        <v>0</v>
      </c>
      <c r="N725" t="n">
        <v>0</v>
      </c>
      <c r="O725" t="n">
        <v>0</v>
      </c>
      <c r="P725" t="n">
        <v>0</v>
      </c>
      <c r="Q725" t="n">
        <v>0</v>
      </c>
      <c r="R725" s="2" t="inlineStr"/>
    </row>
    <row r="726" ht="15" customHeight="1">
      <c r="A726" t="inlineStr">
        <is>
          <t>A 57046-2025</t>
        </is>
      </c>
      <c r="B726" s="1" t="n">
        <v>45979.34672453703</v>
      </c>
      <c r="C726" s="1" t="n">
        <v>46090</v>
      </c>
      <c r="D726" t="inlineStr">
        <is>
          <t>JÄMTLANDS LÄN</t>
        </is>
      </c>
      <c r="E726" t="inlineStr">
        <is>
          <t>BERG</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57039-2025</t>
        </is>
      </c>
      <c r="B727" s="1" t="n">
        <v>45979.34543981482</v>
      </c>
      <c r="C727" s="1" t="n">
        <v>46090</v>
      </c>
      <c r="D727" t="inlineStr">
        <is>
          <t>JÄMTLANDS LÄN</t>
        </is>
      </c>
      <c r="E727" t="inlineStr">
        <is>
          <t>BERG</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57192-2025</t>
        </is>
      </c>
      <c r="B728" s="1" t="n">
        <v>45979.57696759259</v>
      </c>
      <c r="C728" s="1" t="n">
        <v>46090</v>
      </c>
      <c r="D728" t="inlineStr">
        <is>
          <t>JÄMTLANDS LÄN</t>
        </is>
      </c>
      <c r="E728" t="inlineStr">
        <is>
          <t>BERG</t>
        </is>
      </c>
      <c r="G728" t="n">
        <v>0.8</v>
      </c>
      <c r="H728" t="n">
        <v>0</v>
      </c>
      <c r="I728" t="n">
        <v>0</v>
      </c>
      <c r="J728" t="n">
        <v>0</v>
      </c>
      <c r="K728" t="n">
        <v>0</v>
      </c>
      <c r="L728" t="n">
        <v>0</v>
      </c>
      <c r="M728" t="n">
        <v>0</v>
      </c>
      <c r="N728" t="n">
        <v>0</v>
      </c>
      <c r="O728" t="n">
        <v>0</v>
      </c>
      <c r="P728" t="n">
        <v>0</v>
      </c>
      <c r="Q728" t="n">
        <v>0</v>
      </c>
      <c r="R728" s="2" t="inlineStr"/>
    </row>
    <row r="729" ht="15" customHeight="1">
      <c r="A729" t="inlineStr">
        <is>
          <t>A 11134-2026</t>
        </is>
      </c>
      <c r="B729" s="1" t="n">
        <v>46079.74704861111</v>
      </c>
      <c r="C729" s="1" t="n">
        <v>46090</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57602-2025</t>
        </is>
      </c>
      <c r="B730" s="1" t="n">
        <v>45981.31667824074</v>
      </c>
      <c r="C730" s="1" t="n">
        <v>46090</v>
      </c>
      <c r="D730" t="inlineStr">
        <is>
          <t>JÄMTLANDS LÄN</t>
        </is>
      </c>
      <c r="E730" t="inlineStr">
        <is>
          <t>BERG</t>
        </is>
      </c>
      <c r="G730" t="n">
        <v>2.7</v>
      </c>
      <c r="H730" t="n">
        <v>0</v>
      </c>
      <c r="I730" t="n">
        <v>0</v>
      </c>
      <c r="J730" t="n">
        <v>0</v>
      </c>
      <c r="K730" t="n">
        <v>0</v>
      </c>
      <c r="L730" t="n">
        <v>0</v>
      </c>
      <c r="M730" t="n">
        <v>0</v>
      </c>
      <c r="N730" t="n">
        <v>0</v>
      </c>
      <c r="O730" t="n">
        <v>0</v>
      </c>
      <c r="P730" t="n">
        <v>0</v>
      </c>
      <c r="Q730" t="n">
        <v>0</v>
      </c>
      <c r="R730" s="2" t="inlineStr"/>
    </row>
    <row r="731" ht="15" customHeight="1">
      <c r="A731" t="inlineStr">
        <is>
          <t>A 57763-2025</t>
        </is>
      </c>
      <c r="B731" s="1" t="n">
        <v>45981.55693287037</v>
      </c>
      <c r="C731" s="1" t="n">
        <v>46090</v>
      </c>
      <c r="D731" t="inlineStr">
        <is>
          <t>JÄMTLANDS LÄN</t>
        </is>
      </c>
      <c r="E731" t="inlineStr">
        <is>
          <t>BERG</t>
        </is>
      </c>
      <c r="F731" t="inlineStr">
        <is>
          <t>Övriga Aktiebolag</t>
        </is>
      </c>
      <c r="G731" t="n">
        <v>13.1</v>
      </c>
      <c r="H731" t="n">
        <v>0</v>
      </c>
      <c r="I731" t="n">
        <v>0</v>
      </c>
      <c r="J731" t="n">
        <v>0</v>
      </c>
      <c r="K731" t="n">
        <v>0</v>
      </c>
      <c r="L731" t="n">
        <v>0</v>
      </c>
      <c r="M731" t="n">
        <v>0</v>
      </c>
      <c r="N731" t="n">
        <v>0</v>
      </c>
      <c r="O731" t="n">
        <v>0</v>
      </c>
      <c r="P731" t="n">
        <v>0</v>
      </c>
      <c r="Q731" t="n">
        <v>0</v>
      </c>
      <c r="R731" s="2" t="inlineStr"/>
    </row>
    <row r="732" ht="15" customHeight="1">
      <c r="A732" t="inlineStr">
        <is>
          <t>A 44997-2021</t>
        </is>
      </c>
      <c r="B732" s="1" t="n">
        <v>44438</v>
      </c>
      <c r="C732" s="1" t="n">
        <v>46090</v>
      </c>
      <c r="D732" t="inlineStr">
        <is>
          <t>JÄMTLANDS LÄN</t>
        </is>
      </c>
      <c r="E732" t="inlineStr">
        <is>
          <t>BERG</t>
        </is>
      </c>
      <c r="G732" t="n">
        <v>3.8</v>
      </c>
      <c r="H732" t="n">
        <v>0</v>
      </c>
      <c r="I732" t="n">
        <v>0</v>
      </c>
      <c r="J732" t="n">
        <v>0</v>
      </c>
      <c r="K732" t="n">
        <v>0</v>
      </c>
      <c r="L732" t="n">
        <v>0</v>
      </c>
      <c r="M732" t="n">
        <v>0</v>
      </c>
      <c r="N732" t="n">
        <v>0</v>
      </c>
      <c r="O732" t="n">
        <v>0</v>
      </c>
      <c r="P732" t="n">
        <v>0</v>
      </c>
      <c r="Q732" t="n">
        <v>0</v>
      </c>
      <c r="R732" s="2" t="inlineStr"/>
    </row>
    <row r="733" ht="15" customHeight="1">
      <c r="A733" t="inlineStr">
        <is>
          <t>A 57861-2025</t>
        </is>
      </c>
      <c r="B733" s="1" t="n">
        <v>45981.64236111111</v>
      </c>
      <c r="C733" s="1" t="n">
        <v>46090</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57503-2025</t>
        </is>
      </c>
      <c r="B734" s="1" t="n">
        <v>45980.59431712963</v>
      </c>
      <c r="C734" s="1" t="n">
        <v>46090</v>
      </c>
      <c r="D734" t="inlineStr">
        <is>
          <t>JÄMTLANDS LÄN</t>
        </is>
      </c>
      <c r="E734" t="inlineStr">
        <is>
          <t>BERG</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57849-2025</t>
        </is>
      </c>
      <c r="B735" s="1" t="n">
        <v>45981.63472222222</v>
      </c>
      <c r="C735" s="1" t="n">
        <v>46090</v>
      </c>
      <c r="D735" t="inlineStr">
        <is>
          <t>JÄMTLANDS LÄN</t>
        </is>
      </c>
      <c r="E735" t="inlineStr">
        <is>
          <t>BERG</t>
        </is>
      </c>
      <c r="G735" t="n">
        <v>1.8</v>
      </c>
      <c r="H735" t="n">
        <v>0</v>
      </c>
      <c r="I735" t="n">
        <v>0</v>
      </c>
      <c r="J735" t="n">
        <v>0</v>
      </c>
      <c r="K735" t="n">
        <v>0</v>
      </c>
      <c r="L735" t="n">
        <v>0</v>
      </c>
      <c r="M735" t="n">
        <v>0</v>
      </c>
      <c r="N735" t="n">
        <v>0</v>
      </c>
      <c r="O735" t="n">
        <v>0</v>
      </c>
      <c r="P735" t="n">
        <v>0</v>
      </c>
      <c r="Q735" t="n">
        <v>0</v>
      </c>
      <c r="R735" s="2" t="inlineStr"/>
    </row>
    <row r="736" ht="15" customHeight="1">
      <c r="A736" t="inlineStr">
        <is>
          <t>A 13473-2025</t>
        </is>
      </c>
      <c r="B736" s="1" t="n">
        <v>45736.40671296296</v>
      </c>
      <c r="C736" s="1" t="n">
        <v>46090</v>
      </c>
      <c r="D736" t="inlineStr">
        <is>
          <t>JÄMTLANDS LÄN</t>
        </is>
      </c>
      <c r="E736" t="inlineStr">
        <is>
          <t>BERG</t>
        </is>
      </c>
      <c r="F736" t="inlineStr">
        <is>
          <t>SCA</t>
        </is>
      </c>
      <c r="G736" t="n">
        <v>13.7</v>
      </c>
      <c r="H736" t="n">
        <v>0</v>
      </c>
      <c r="I736" t="n">
        <v>0</v>
      </c>
      <c r="J736" t="n">
        <v>0</v>
      </c>
      <c r="K736" t="n">
        <v>0</v>
      </c>
      <c r="L736" t="n">
        <v>0</v>
      </c>
      <c r="M736" t="n">
        <v>0</v>
      </c>
      <c r="N736" t="n">
        <v>0</v>
      </c>
      <c r="O736" t="n">
        <v>0</v>
      </c>
      <c r="P736" t="n">
        <v>0</v>
      </c>
      <c r="Q736" t="n">
        <v>0</v>
      </c>
      <c r="R736" s="2" t="inlineStr"/>
    </row>
    <row r="737" ht="15" customHeight="1">
      <c r="A737" t="inlineStr">
        <is>
          <t>A 59498-2024</t>
        </is>
      </c>
      <c r="B737" s="1" t="n">
        <v>45638.54635416667</v>
      </c>
      <c r="C737" s="1" t="n">
        <v>46090</v>
      </c>
      <c r="D737" t="inlineStr">
        <is>
          <t>JÄMTLANDS LÄN</t>
        </is>
      </c>
      <c r="E737" t="inlineStr">
        <is>
          <t>BERG</t>
        </is>
      </c>
      <c r="G737" t="n">
        <v>2.4</v>
      </c>
      <c r="H737" t="n">
        <v>0</v>
      </c>
      <c r="I737" t="n">
        <v>0</v>
      </c>
      <c r="J737" t="n">
        <v>0</v>
      </c>
      <c r="K737" t="n">
        <v>0</v>
      </c>
      <c r="L737" t="n">
        <v>0</v>
      </c>
      <c r="M737" t="n">
        <v>0</v>
      </c>
      <c r="N737" t="n">
        <v>0</v>
      </c>
      <c r="O737" t="n">
        <v>0</v>
      </c>
      <c r="P737" t="n">
        <v>0</v>
      </c>
      <c r="Q737" t="n">
        <v>0</v>
      </c>
      <c r="R737" s="2" t="inlineStr"/>
    </row>
    <row r="738" ht="15" customHeight="1">
      <c r="A738" t="inlineStr">
        <is>
          <t>A 58413-2025</t>
        </is>
      </c>
      <c r="B738" s="1" t="n">
        <v>45985.57662037037</v>
      </c>
      <c r="C738" s="1" t="n">
        <v>46090</v>
      </c>
      <c r="D738" t="inlineStr">
        <is>
          <t>JÄMTLANDS LÄN</t>
        </is>
      </c>
      <c r="E738" t="inlineStr">
        <is>
          <t>BERG</t>
        </is>
      </c>
      <c r="G738" t="n">
        <v>4.2</v>
      </c>
      <c r="H738" t="n">
        <v>0</v>
      </c>
      <c r="I738" t="n">
        <v>0</v>
      </c>
      <c r="J738" t="n">
        <v>0</v>
      </c>
      <c r="K738" t="n">
        <v>0</v>
      </c>
      <c r="L738" t="n">
        <v>0</v>
      </c>
      <c r="M738" t="n">
        <v>0</v>
      </c>
      <c r="N738" t="n">
        <v>0</v>
      </c>
      <c r="O738" t="n">
        <v>0</v>
      </c>
      <c r="P738" t="n">
        <v>0</v>
      </c>
      <c r="Q738" t="n">
        <v>0</v>
      </c>
      <c r="R738" s="2" t="inlineStr"/>
    </row>
    <row r="739" ht="15" customHeight="1">
      <c r="A739" t="inlineStr">
        <is>
          <t>A 58438-2025</t>
        </is>
      </c>
      <c r="B739" s="1" t="n">
        <v>45985.61513888889</v>
      </c>
      <c r="C739" s="1" t="n">
        <v>46090</v>
      </c>
      <c r="D739" t="inlineStr">
        <is>
          <t>JÄMTLANDS LÄN</t>
        </is>
      </c>
      <c r="E739" t="inlineStr">
        <is>
          <t>BERG</t>
        </is>
      </c>
      <c r="G739" t="n">
        <v>5.1</v>
      </c>
      <c r="H739" t="n">
        <v>0</v>
      </c>
      <c r="I739" t="n">
        <v>0</v>
      </c>
      <c r="J739" t="n">
        <v>0</v>
      </c>
      <c r="K739" t="n">
        <v>0</v>
      </c>
      <c r="L739" t="n">
        <v>0</v>
      </c>
      <c r="M739" t="n">
        <v>0</v>
      </c>
      <c r="N739" t="n">
        <v>0</v>
      </c>
      <c r="O739" t="n">
        <v>0</v>
      </c>
      <c r="P739" t="n">
        <v>0</v>
      </c>
      <c r="Q739" t="n">
        <v>0</v>
      </c>
      <c r="R739" s="2" t="inlineStr"/>
    </row>
    <row r="740" ht="15" customHeight="1">
      <c r="A740" t="inlineStr">
        <is>
          <t>A 11141-2026</t>
        </is>
      </c>
      <c r="B740" s="1" t="n">
        <v>46079.85365740741</v>
      </c>
      <c r="C740" s="1" t="n">
        <v>46090</v>
      </c>
      <c r="D740" t="inlineStr">
        <is>
          <t>JÄMTLANDS LÄN</t>
        </is>
      </c>
      <c r="E740" t="inlineStr">
        <is>
          <t>BERG</t>
        </is>
      </c>
      <c r="G740" t="n">
        <v>5.2</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46036.59519675926</v>
      </c>
      <c r="C741" s="1" t="n">
        <v>46090</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58436-2025</t>
        </is>
      </c>
      <c r="B742" s="1" t="n">
        <v>45985.61510416667</v>
      </c>
      <c r="C742" s="1" t="n">
        <v>46090</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58470-2025</t>
        </is>
      </c>
      <c r="B743" s="1" t="n">
        <v>45985.63704861111</v>
      </c>
      <c r="C743" s="1" t="n">
        <v>46090</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2346-2026</t>
        </is>
      </c>
      <c r="B744" s="1" t="n">
        <v>46036.62737268519</v>
      </c>
      <c r="C744" s="1" t="n">
        <v>46090</v>
      </c>
      <c r="D744" t="inlineStr">
        <is>
          <t>JÄMTLANDS LÄN</t>
        </is>
      </c>
      <c r="E744" t="inlineStr">
        <is>
          <t>BERG</t>
        </is>
      </c>
      <c r="G744" t="n">
        <v>4.2</v>
      </c>
      <c r="H744" t="n">
        <v>0</v>
      </c>
      <c r="I744" t="n">
        <v>0</v>
      </c>
      <c r="J744" t="n">
        <v>0</v>
      </c>
      <c r="K744" t="n">
        <v>0</v>
      </c>
      <c r="L744" t="n">
        <v>0</v>
      </c>
      <c r="M744" t="n">
        <v>0</v>
      </c>
      <c r="N744" t="n">
        <v>0</v>
      </c>
      <c r="O744" t="n">
        <v>0</v>
      </c>
      <c r="P744" t="n">
        <v>0</v>
      </c>
      <c r="Q744" t="n">
        <v>0</v>
      </c>
      <c r="R744" s="2" t="inlineStr"/>
    </row>
    <row r="745" ht="15" customHeight="1">
      <c r="A745" t="inlineStr">
        <is>
          <t>A 10778-2026</t>
        </is>
      </c>
      <c r="B745" s="1" t="n">
        <v>46078.5741087963</v>
      </c>
      <c r="C745" s="1" t="n">
        <v>46090</v>
      </c>
      <c r="D745" t="inlineStr">
        <is>
          <t>JÄMTLANDS LÄN</t>
        </is>
      </c>
      <c r="E745" t="inlineStr">
        <is>
          <t>BERG</t>
        </is>
      </c>
      <c r="G745" t="n">
        <v>7.1</v>
      </c>
      <c r="H745" t="n">
        <v>0</v>
      </c>
      <c r="I745" t="n">
        <v>0</v>
      </c>
      <c r="J745" t="n">
        <v>0</v>
      </c>
      <c r="K745" t="n">
        <v>0</v>
      </c>
      <c r="L745" t="n">
        <v>0</v>
      </c>
      <c r="M745" t="n">
        <v>0</v>
      </c>
      <c r="N745" t="n">
        <v>0</v>
      </c>
      <c r="O745" t="n">
        <v>0</v>
      </c>
      <c r="P745" t="n">
        <v>0</v>
      </c>
      <c r="Q745" t="n">
        <v>0</v>
      </c>
      <c r="R745" s="2" t="inlineStr"/>
    </row>
    <row r="746" ht="15" customHeight="1">
      <c r="A746" t="inlineStr">
        <is>
          <t>A 47119-2024</t>
        </is>
      </c>
      <c r="B746" s="1" t="n">
        <v>45586.56431712963</v>
      </c>
      <c r="C746" s="1" t="n">
        <v>46090</v>
      </c>
      <c r="D746" t="inlineStr">
        <is>
          <t>JÄMTLANDS LÄN</t>
        </is>
      </c>
      <c r="E746" t="inlineStr">
        <is>
          <t>BERG</t>
        </is>
      </c>
      <c r="G746" t="n">
        <v>5</v>
      </c>
      <c r="H746" t="n">
        <v>0</v>
      </c>
      <c r="I746" t="n">
        <v>0</v>
      </c>
      <c r="J746" t="n">
        <v>0</v>
      </c>
      <c r="K746" t="n">
        <v>0</v>
      </c>
      <c r="L746" t="n">
        <v>0</v>
      </c>
      <c r="M746" t="n">
        <v>0</v>
      </c>
      <c r="N746" t="n">
        <v>0</v>
      </c>
      <c r="O746" t="n">
        <v>0</v>
      </c>
      <c r="P746" t="n">
        <v>0</v>
      </c>
      <c r="Q746" t="n">
        <v>0</v>
      </c>
      <c r="R746" s="2" t="inlineStr"/>
    </row>
    <row r="747" ht="15" customHeight="1">
      <c r="A747" t="inlineStr">
        <is>
          <t>A 58437-2025</t>
        </is>
      </c>
      <c r="B747" s="1" t="n">
        <v>45985.61512731481</v>
      </c>
      <c r="C747" s="1" t="n">
        <v>46090</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50169-2023</t>
        </is>
      </c>
      <c r="B748" s="1" t="n">
        <v>45208</v>
      </c>
      <c r="C748" s="1" t="n">
        <v>46090</v>
      </c>
      <c r="D748" t="inlineStr">
        <is>
          <t>JÄMTLANDS LÄN</t>
        </is>
      </c>
      <c r="E748" t="inlineStr">
        <is>
          <t>BERG</t>
        </is>
      </c>
      <c r="G748" t="n">
        <v>3.9</v>
      </c>
      <c r="H748" t="n">
        <v>0</v>
      </c>
      <c r="I748" t="n">
        <v>0</v>
      </c>
      <c r="J748" t="n">
        <v>0</v>
      </c>
      <c r="K748" t="n">
        <v>0</v>
      </c>
      <c r="L748" t="n">
        <v>0</v>
      </c>
      <c r="M748" t="n">
        <v>0</v>
      </c>
      <c r="N748" t="n">
        <v>0</v>
      </c>
      <c r="O748" t="n">
        <v>0</v>
      </c>
      <c r="P748" t="n">
        <v>0</v>
      </c>
      <c r="Q748" t="n">
        <v>0</v>
      </c>
      <c r="R748" s="2" t="inlineStr"/>
    </row>
    <row r="749" ht="15" customHeight="1">
      <c r="A749" t="inlineStr">
        <is>
          <t>A 50172-2023</t>
        </is>
      </c>
      <c r="B749" s="1" t="n">
        <v>45208</v>
      </c>
      <c r="C749" s="1" t="n">
        <v>46090</v>
      </c>
      <c r="D749" t="inlineStr">
        <is>
          <t>JÄMTLANDS LÄN</t>
        </is>
      </c>
      <c r="E749" t="inlineStr">
        <is>
          <t>BERG</t>
        </is>
      </c>
      <c r="G749" t="n">
        <v>0.9</v>
      </c>
      <c r="H749" t="n">
        <v>0</v>
      </c>
      <c r="I749" t="n">
        <v>0</v>
      </c>
      <c r="J749" t="n">
        <v>0</v>
      </c>
      <c r="K749" t="n">
        <v>0</v>
      </c>
      <c r="L749" t="n">
        <v>0</v>
      </c>
      <c r="M749" t="n">
        <v>0</v>
      </c>
      <c r="N749" t="n">
        <v>0</v>
      </c>
      <c r="O749" t="n">
        <v>0</v>
      </c>
      <c r="P749" t="n">
        <v>0</v>
      </c>
      <c r="Q749" t="n">
        <v>0</v>
      </c>
      <c r="R749" s="2" t="inlineStr"/>
    </row>
    <row r="750" ht="15" customHeight="1">
      <c r="A750" t="inlineStr">
        <is>
          <t>A 2474-2025</t>
        </is>
      </c>
      <c r="B750" s="1" t="n">
        <v>45674.47496527778</v>
      </c>
      <c r="C750" s="1" t="n">
        <v>46090</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41886-2024</t>
        </is>
      </c>
      <c r="B751" s="1" t="n">
        <v>45561.48825231481</v>
      </c>
      <c r="C751" s="1" t="n">
        <v>46090</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58581-2025</t>
        </is>
      </c>
      <c r="B752" s="1" t="n">
        <v>45986.38626157407</v>
      </c>
      <c r="C752" s="1" t="n">
        <v>46090</v>
      </c>
      <c r="D752" t="inlineStr">
        <is>
          <t>JÄMTLANDS LÄN</t>
        </is>
      </c>
      <c r="E752" t="inlineStr">
        <is>
          <t>BERG</t>
        </is>
      </c>
      <c r="G752" t="n">
        <v>6.9</v>
      </c>
      <c r="H752" t="n">
        <v>0</v>
      </c>
      <c r="I752" t="n">
        <v>0</v>
      </c>
      <c r="J752" t="n">
        <v>0</v>
      </c>
      <c r="K752" t="n">
        <v>0</v>
      </c>
      <c r="L752" t="n">
        <v>0</v>
      </c>
      <c r="M752" t="n">
        <v>0</v>
      </c>
      <c r="N752" t="n">
        <v>0</v>
      </c>
      <c r="O752" t="n">
        <v>0</v>
      </c>
      <c r="P752" t="n">
        <v>0</v>
      </c>
      <c r="Q752" t="n">
        <v>0</v>
      </c>
      <c r="R752" s="2" t="inlineStr"/>
    </row>
    <row r="753" ht="15" customHeight="1">
      <c r="A753" t="inlineStr">
        <is>
          <t>A 49277-2024</t>
        </is>
      </c>
      <c r="B753" s="1" t="n">
        <v>45595.50820601852</v>
      </c>
      <c r="C753" s="1" t="n">
        <v>46090</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59010-2025</t>
        </is>
      </c>
      <c r="B754" s="1" t="n">
        <v>45987</v>
      </c>
      <c r="C754" s="1" t="n">
        <v>46090</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34225-2024</t>
        </is>
      </c>
      <c r="B755" s="1" t="n">
        <v>45524.55398148148</v>
      </c>
      <c r="C755" s="1" t="n">
        <v>46090</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19538-2023</t>
        </is>
      </c>
      <c r="B756" s="1" t="n">
        <v>45050</v>
      </c>
      <c r="C756" s="1" t="n">
        <v>46090</v>
      </c>
      <c r="D756" t="inlineStr">
        <is>
          <t>JÄMTLANDS LÄN</t>
        </is>
      </c>
      <c r="E756" t="inlineStr">
        <is>
          <t>BERG</t>
        </is>
      </c>
      <c r="G756" t="n">
        <v>1.4</v>
      </c>
      <c r="H756" t="n">
        <v>0</v>
      </c>
      <c r="I756" t="n">
        <v>0</v>
      </c>
      <c r="J756" t="n">
        <v>0</v>
      </c>
      <c r="K756" t="n">
        <v>0</v>
      </c>
      <c r="L756" t="n">
        <v>0</v>
      </c>
      <c r="M756" t="n">
        <v>0</v>
      </c>
      <c r="N756" t="n">
        <v>0</v>
      </c>
      <c r="O756" t="n">
        <v>0</v>
      </c>
      <c r="P756" t="n">
        <v>0</v>
      </c>
      <c r="Q756" t="n">
        <v>0</v>
      </c>
      <c r="R756" s="2" t="inlineStr"/>
    </row>
    <row r="757" ht="15" customHeight="1">
      <c r="A757" t="inlineStr">
        <is>
          <t>A 58861-2025</t>
        </is>
      </c>
      <c r="B757" s="1" t="n">
        <v>45987.42820601852</v>
      </c>
      <c r="C757" s="1" t="n">
        <v>46090</v>
      </c>
      <c r="D757" t="inlineStr">
        <is>
          <t>JÄMTLANDS LÄN</t>
        </is>
      </c>
      <c r="E757" t="inlineStr">
        <is>
          <t>BERG</t>
        </is>
      </c>
      <c r="G757" t="n">
        <v>29.3</v>
      </c>
      <c r="H757" t="n">
        <v>0</v>
      </c>
      <c r="I757" t="n">
        <v>0</v>
      </c>
      <c r="J757" t="n">
        <v>0</v>
      </c>
      <c r="K757" t="n">
        <v>0</v>
      </c>
      <c r="L757" t="n">
        <v>0</v>
      </c>
      <c r="M757" t="n">
        <v>0</v>
      </c>
      <c r="N757" t="n">
        <v>0</v>
      </c>
      <c r="O757" t="n">
        <v>0</v>
      </c>
      <c r="P757" t="n">
        <v>0</v>
      </c>
      <c r="Q757" t="n">
        <v>0</v>
      </c>
      <c r="R757" s="2" t="inlineStr"/>
    </row>
    <row r="758" ht="15" customHeight="1">
      <c r="A758" t="inlineStr">
        <is>
          <t>A 9077-2023</t>
        </is>
      </c>
      <c r="B758" s="1" t="n">
        <v>44979</v>
      </c>
      <c r="C758" s="1" t="n">
        <v>46090</v>
      </c>
      <c r="D758" t="inlineStr">
        <is>
          <t>JÄMTLANDS LÄN</t>
        </is>
      </c>
      <c r="E758" t="inlineStr">
        <is>
          <t>BERG</t>
        </is>
      </c>
      <c r="G758" t="n">
        <v>3.6</v>
      </c>
      <c r="H758" t="n">
        <v>0</v>
      </c>
      <c r="I758" t="n">
        <v>0</v>
      </c>
      <c r="J758" t="n">
        <v>0</v>
      </c>
      <c r="K758" t="n">
        <v>0</v>
      </c>
      <c r="L758" t="n">
        <v>0</v>
      </c>
      <c r="M758" t="n">
        <v>0</v>
      </c>
      <c r="N758" t="n">
        <v>0</v>
      </c>
      <c r="O758" t="n">
        <v>0</v>
      </c>
      <c r="P758" t="n">
        <v>0</v>
      </c>
      <c r="Q758" t="n">
        <v>0</v>
      </c>
      <c r="R758" s="2" t="inlineStr"/>
    </row>
    <row r="759" ht="15" customHeight="1">
      <c r="A759" t="inlineStr">
        <is>
          <t>A 58822-2025</t>
        </is>
      </c>
      <c r="B759" s="1" t="n">
        <v>45987.34506944445</v>
      </c>
      <c r="C759" s="1" t="n">
        <v>46090</v>
      </c>
      <c r="D759" t="inlineStr">
        <is>
          <t>JÄMTLANDS LÄN</t>
        </is>
      </c>
      <c r="E759" t="inlineStr">
        <is>
          <t>BERG</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58708-2025</t>
        </is>
      </c>
      <c r="B760" s="1" t="n">
        <v>45986.60412037037</v>
      </c>
      <c r="C760" s="1" t="n">
        <v>46090</v>
      </c>
      <c r="D760" t="inlineStr">
        <is>
          <t>JÄMTLANDS LÄN</t>
        </is>
      </c>
      <c r="E760" t="inlineStr">
        <is>
          <t>BERG</t>
        </is>
      </c>
      <c r="G760" t="n">
        <v>2.5</v>
      </c>
      <c r="H760" t="n">
        <v>0</v>
      </c>
      <c r="I760" t="n">
        <v>0</v>
      </c>
      <c r="J760" t="n">
        <v>0</v>
      </c>
      <c r="K760" t="n">
        <v>0</v>
      </c>
      <c r="L760" t="n">
        <v>0</v>
      </c>
      <c r="M760" t="n">
        <v>0</v>
      </c>
      <c r="N760" t="n">
        <v>0</v>
      </c>
      <c r="O760" t="n">
        <v>0</v>
      </c>
      <c r="P760" t="n">
        <v>0</v>
      </c>
      <c r="Q760" t="n">
        <v>0</v>
      </c>
      <c r="R760" s="2" t="inlineStr"/>
    </row>
    <row r="761" ht="15" customHeight="1">
      <c r="A761" t="inlineStr">
        <is>
          <t>A 18752-2024</t>
        </is>
      </c>
      <c r="B761" s="1" t="n">
        <v>45426.54224537037</v>
      </c>
      <c r="C761" s="1" t="n">
        <v>46090</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59401-2025</t>
        </is>
      </c>
      <c r="B762" s="1" t="n">
        <v>45989.48791666667</v>
      </c>
      <c r="C762" s="1" t="n">
        <v>46090</v>
      </c>
      <c r="D762" t="inlineStr">
        <is>
          <t>JÄMTLANDS LÄN</t>
        </is>
      </c>
      <c r="E762" t="inlineStr">
        <is>
          <t>BERG</t>
        </is>
      </c>
      <c r="G762" t="n">
        <v>4.6</v>
      </c>
      <c r="H762" t="n">
        <v>0</v>
      </c>
      <c r="I762" t="n">
        <v>0</v>
      </c>
      <c r="J762" t="n">
        <v>0</v>
      </c>
      <c r="K762" t="n">
        <v>0</v>
      </c>
      <c r="L762" t="n">
        <v>0</v>
      </c>
      <c r="M762" t="n">
        <v>0</v>
      </c>
      <c r="N762" t="n">
        <v>0</v>
      </c>
      <c r="O762" t="n">
        <v>0</v>
      </c>
      <c r="P762" t="n">
        <v>0</v>
      </c>
      <c r="Q762" t="n">
        <v>0</v>
      </c>
      <c r="R762" s="2" t="inlineStr"/>
    </row>
    <row r="763" ht="15" customHeight="1">
      <c r="A763" t="inlineStr">
        <is>
          <t>A 59411-2025</t>
        </is>
      </c>
      <c r="B763" s="1" t="n">
        <v>45989.49638888889</v>
      </c>
      <c r="C763" s="1" t="n">
        <v>46090</v>
      </c>
      <c r="D763" t="inlineStr">
        <is>
          <t>JÄMTLANDS LÄN</t>
        </is>
      </c>
      <c r="E763" t="inlineStr">
        <is>
          <t>BERG</t>
        </is>
      </c>
      <c r="G763" t="n">
        <v>2.4</v>
      </c>
      <c r="H763" t="n">
        <v>0</v>
      </c>
      <c r="I763" t="n">
        <v>0</v>
      </c>
      <c r="J763" t="n">
        <v>0</v>
      </c>
      <c r="K763" t="n">
        <v>0</v>
      </c>
      <c r="L763" t="n">
        <v>0</v>
      </c>
      <c r="M763" t="n">
        <v>0</v>
      </c>
      <c r="N763" t="n">
        <v>0</v>
      </c>
      <c r="O763" t="n">
        <v>0</v>
      </c>
      <c r="P763" t="n">
        <v>0</v>
      </c>
      <c r="Q763" t="n">
        <v>0</v>
      </c>
      <c r="R763" s="2" t="inlineStr"/>
    </row>
    <row r="764" ht="15" customHeight="1">
      <c r="A764" t="inlineStr">
        <is>
          <t>A 59415-2025</t>
        </is>
      </c>
      <c r="B764" s="1" t="n">
        <v>45989.50196759259</v>
      </c>
      <c r="C764" s="1" t="n">
        <v>46090</v>
      </c>
      <c r="D764" t="inlineStr">
        <is>
          <t>JÄMTLANDS LÄN</t>
        </is>
      </c>
      <c r="E764" t="inlineStr">
        <is>
          <t>BERG</t>
        </is>
      </c>
      <c r="G764" t="n">
        <v>6.8</v>
      </c>
      <c r="H764" t="n">
        <v>0</v>
      </c>
      <c r="I764" t="n">
        <v>0</v>
      </c>
      <c r="J764" t="n">
        <v>0</v>
      </c>
      <c r="K764" t="n">
        <v>0</v>
      </c>
      <c r="L764" t="n">
        <v>0</v>
      </c>
      <c r="M764" t="n">
        <v>0</v>
      </c>
      <c r="N764" t="n">
        <v>0</v>
      </c>
      <c r="O764" t="n">
        <v>0</v>
      </c>
      <c r="P764" t="n">
        <v>0</v>
      </c>
      <c r="Q764" t="n">
        <v>0</v>
      </c>
      <c r="R764" s="2" t="inlineStr"/>
    </row>
    <row r="765" ht="15" customHeight="1">
      <c r="A765" t="inlineStr">
        <is>
          <t>A 64486-2023</t>
        </is>
      </c>
      <c r="B765" s="1" t="n">
        <v>45280</v>
      </c>
      <c r="C765" s="1" t="n">
        <v>46090</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64488-2023</t>
        </is>
      </c>
      <c r="B766" s="1" t="n">
        <v>45280.92618055556</v>
      </c>
      <c r="C766" s="1" t="n">
        <v>46090</v>
      </c>
      <c r="D766" t="inlineStr">
        <is>
          <t>JÄMTLANDS LÄN</t>
        </is>
      </c>
      <c r="E766" t="inlineStr">
        <is>
          <t>BERG</t>
        </is>
      </c>
      <c r="F766" t="inlineStr">
        <is>
          <t>Övriga Aktiebolag</t>
        </is>
      </c>
      <c r="G766" t="n">
        <v>7.1</v>
      </c>
      <c r="H766" t="n">
        <v>0</v>
      </c>
      <c r="I766" t="n">
        <v>0</v>
      </c>
      <c r="J766" t="n">
        <v>0</v>
      </c>
      <c r="K766" t="n">
        <v>0</v>
      </c>
      <c r="L766" t="n">
        <v>0</v>
      </c>
      <c r="M766" t="n">
        <v>0</v>
      </c>
      <c r="N766" t="n">
        <v>0</v>
      </c>
      <c r="O766" t="n">
        <v>0</v>
      </c>
      <c r="P766" t="n">
        <v>0</v>
      </c>
      <c r="Q766" t="n">
        <v>0</v>
      </c>
      <c r="R766" s="2" t="inlineStr"/>
    </row>
    <row r="767" ht="15" customHeight="1">
      <c r="A767" t="inlineStr">
        <is>
          <t>A 58817-2024</t>
        </is>
      </c>
      <c r="B767" s="1" t="n">
        <v>45636.35909722222</v>
      </c>
      <c r="C767" s="1" t="n">
        <v>46090</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11093-2026</t>
        </is>
      </c>
      <c r="B768" s="1" t="n">
        <v>46079.64143518519</v>
      </c>
      <c r="C768" s="1" t="n">
        <v>46090</v>
      </c>
      <c r="D768" t="inlineStr">
        <is>
          <t>JÄMTLANDS LÄN</t>
        </is>
      </c>
      <c r="E768" t="inlineStr">
        <is>
          <t>BERG</t>
        </is>
      </c>
      <c r="G768" t="n">
        <v>4.5</v>
      </c>
      <c r="H768" t="n">
        <v>0</v>
      </c>
      <c r="I768" t="n">
        <v>0</v>
      </c>
      <c r="J768" t="n">
        <v>0</v>
      </c>
      <c r="K768" t="n">
        <v>0</v>
      </c>
      <c r="L768" t="n">
        <v>0</v>
      </c>
      <c r="M768" t="n">
        <v>0</v>
      </c>
      <c r="N768" t="n">
        <v>0</v>
      </c>
      <c r="O768" t="n">
        <v>0</v>
      </c>
      <c r="P768" t="n">
        <v>0</v>
      </c>
      <c r="Q768" t="n">
        <v>0</v>
      </c>
      <c r="R768" s="2" t="inlineStr"/>
    </row>
    <row r="769" ht="15" customHeight="1">
      <c r="A769" t="inlineStr">
        <is>
          <t>A 59404-2025</t>
        </is>
      </c>
      <c r="B769" s="1" t="n">
        <v>45989.48997685185</v>
      </c>
      <c r="C769" s="1" t="n">
        <v>46090</v>
      </c>
      <c r="D769" t="inlineStr">
        <is>
          <t>JÄMTLANDS LÄN</t>
        </is>
      </c>
      <c r="E769" t="inlineStr">
        <is>
          <t>BERG</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59447-2025</t>
        </is>
      </c>
      <c r="B770" s="1" t="n">
        <v>45989</v>
      </c>
      <c r="C770" s="1" t="n">
        <v>46090</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59210-2025</t>
        </is>
      </c>
      <c r="B771" s="1" t="n">
        <v>45988.61516203704</v>
      </c>
      <c r="C771" s="1" t="n">
        <v>46090</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11142-2026</t>
        </is>
      </c>
      <c r="B772" s="1" t="n">
        <v>46079.87018518519</v>
      </c>
      <c r="C772" s="1" t="n">
        <v>46090</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59253-2025</t>
        </is>
      </c>
      <c r="B773" s="1" t="n">
        <v>45988.65121527778</v>
      </c>
      <c r="C773" s="1" t="n">
        <v>46090</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59267-2025</t>
        </is>
      </c>
      <c r="B774" s="1" t="n">
        <v>45988.66127314815</v>
      </c>
      <c r="C774" s="1" t="n">
        <v>46090</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59281-2025</t>
        </is>
      </c>
      <c r="B775" s="1" t="n">
        <v>45988.7234375</v>
      </c>
      <c r="C775" s="1" t="n">
        <v>46090</v>
      </c>
      <c r="D775" t="inlineStr">
        <is>
          <t>JÄMTLANDS LÄN</t>
        </is>
      </c>
      <c r="E775" t="inlineStr">
        <is>
          <t>BERG</t>
        </is>
      </c>
      <c r="G775" t="n">
        <v>16.7</v>
      </c>
      <c r="H775" t="n">
        <v>0</v>
      </c>
      <c r="I775" t="n">
        <v>0</v>
      </c>
      <c r="J775" t="n">
        <v>0</v>
      </c>
      <c r="K775" t="n">
        <v>0</v>
      </c>
      <c r="L775" t="n">
        <v>0</v>
      </c>
      <c r="M775" t="n">
        <v>0</v>
      </c>
      <c r="N775" t="n">
        <v>0</v>
      </c>
      <c r="O775" t="n">
        <v>0</v>
      </c>
      <c r="P775" t="n">
        <v>0</v>
      </c>
      <c r="Q775" t="n">
        <v>0</v>
      </c>
      <c r="R775" s="2" t="inlineStr"/>
    </row>
    <row r="776" ht="15" customHeight="1">
      <c r="A776" t="inlineStr">
        <is>
          <t>A 59424-2025</t>
        </is>
      </c>
      <c r="B776" s="1" t="n">
        <v>45989.53782407408</v>
      </c>
      <c r="C776" s="1" t="n">
        <v>46090</v>
      </c>
      <c r="D776" t="inlineStr">
        <is>
          <t>JÄMTLANDS LÄN</t>
        </is>
      </c>
      <c r="E776" t="inlineStr">
        <is>
          <t>BERG</t>
        </is>
      </c>
      <c r="G776" t="n">
        <v>3.9</v>
      </c>
      <c r="H776" t="n">
        <v>0</v>
      </c>
      <c r="I776" t="n">
        <v>0</v>
      </c>
      <c r="J776" t="n">
        <v>0</v>
      </c>
      <c r="K776" t="n">
        <v>0</v>
      </c>
      <c r="L776" t="n">
        <v>0</v>
      </c>
      <c r="M776" t="n">
        <v>0</v>
      </c>
      <c r="N776" t="n">
        <v>0</v>
      </c>
      <c r="O776" t="n">
        <v>0</v>
      </c>
      <c r="P776" t="n">
        <v>0</v>
      </c>
      <c r="Q776" t="n">
        <v>0</v>
      </c>
      <c r="R776" s="2" t="inlineStr"/>
    </row>
    <row r="777" ht="15" customHeight="1">
      <c r="A777" t="inlineStr">
        <is>
          <t>A 59652-2025</t>
        </is>
      </c>
      <c r="B777" s="1" t="n">
        <v>45992</v>
      </c>
      <c r="C777" s="1" t="n">
        <v>46090</v>
      </c>
      <c r="D777" t="inlineStr">
        <is>
          <t>JÄMTLANDS LÄN</t>
        </is>
      </c>
      <c r="E777" t="inlineStr">
        <is>
          <t>BERG</t>
        </is>
      </c>
      <c r="G777" t="n">
        <v>4</v>
      </c>
      <c r="H777" t="n">
        <v>0</v>
      </c>
      <c r="I777" t="n">
        <v>0</v>
      </c>
      <c r="J777" t="n">
        <v>0</v>
      </c>
      <c r="K777" t="n">
        <v>0</v>
      </c>
      <c r="L777" t="n">
        <v>0</v>
      </c>
      <c r="M777" t="n">
        <v>0</v>
      </c>
      <c r="N777" t="n">
        <v>0</v>
      </c>
      <c r="O777" t="n">
        <v>0</v>
      </c>
      <c r="P777" t="n">
        <v>0</v>
      </c>
      <c r="Q777" t="n">
        <v>0</v>
      </c>
      <c r="R777" s="2" t="inlineStr"/>
    </row>
    <row r="778" ht="15" customHeight="1">
      <c r="A778" t="inlineStr">
        <is>
          <t>A 59890-2025</t>
        </is>
      </c>
      <c r="B778" s="1" t="n">
        <v>45993.33128472222</v>
      </c>
      <c r="C778" s="1" t="n">
        <v>46090</v>
      </c>
      <c r="D778" t="inlineStr">
        <is>
          <t>JÄMTLANDS LÄN</t>
        </is>
      </c>
      <c r="E778" t="inlineStr">
        <is>
          <t>BERG</t>
        </is>
      </c>
      <c r="G778" t="n">
        <v>4</v>
      </c>
      <c r="H778" t="n">
        <v>0</v>
      </c>
      <c r="I778" t="n">
        <v>0</v>
      </c>
      <c r="J778" t="n">
        <v>0</v>
      </c>
      <c r="K778" t="n">
        <v>0</v>
      </c>
      <c r="L778" t="n">
        <v>0</v>
      </c>
      <c r="M778" t="n">
        <v>0</v>
      </c>
      <c r="N778" t="n">
        <v>0</v>
      </c>
      <c r="O778" t="n">
        <v>0</v>
      </c>
      <c r="P778" t="n">
        <v>0</v>
      </c>
      <c r="Q778" t="n">
        <v>0</v>
      </c>
      <c r="R778" s="2" t="inlineStr"/>
    </row>
    <row r="779" ht="15" customHeight="1">
      <c r="A779" t="inlineStr">
        <is>
          <t>A 59763-2025</t>
        </is>
      </c>
      <c r="B779" s="1" t="n">
        <v>45992.59430555555</v>
      </c>
      <c r="C779" s="1" t="n">
        <v>46090</v>
      </c>
      <c r="D779" t="inlineStr">
        <is>
          <t>JÄMTLANDS LÄN</t>
        </is>
      </c>
      <c r="E779" t="inlineStr">
        <is>
          <t>BERG</t>
        </is>
      </c>
      <c r="F779" t="inlineStr">
        <is>
          <t>SCA</t>
        </is>
      </c>
      <c r="G779" t="n">
        <v>16.5</v>
      </c>
      <c r="H779" t="n">
        <v>0</v>
      </c>
      <c r="I779" t="n">
        <v>0</v>
      </c>
      <c r="J779" t="n">
        <v>0</v>
      </c>
      <c r="K779" t="n">
        <v>0</v>
      </c>
      <c r="L779" t="n">
        <v>0</v>
      </c>
      <c r="M779" t="n">
        <v>0</v>
      </c>
      <c r="N779" t="n">
        <v>0</v>
      </c>
      <c r="O779" t="n">
        <v>0</v>
      </c>
      <c r="P779" t="n">
        <v>0</v>
      </c>
      <c r="Q779" t="n">
        <v>0</v>
      </c>
      <c r="R779" s="2" t="inlineStr"/>
    </row>
    <row r="780" ht="15" customHeight="1">
      <c r="A780" t="inlineStr">
        <is>
          <t>A 59841-2025</t>
        </is>
      </c>
      <c r="B780" s="1" t="n">
        <v>45992</v>
      </c>
      <c r="C780" s="1" t="n">
        <v>46090</v>
      </c>
      <c r="D780" t="inlineStr">
        <is>
          <t>JÄMTLANDS LÄN</t>
        </is>
      </c>
      <c r="E780" t="inlineStr">
        <is>
          <t>BERG</t>
        </is>
      </c>
      <c r="G780" t="n">
        <v>14.9</v>
      </c>
      <c r="H780" t="n">
        <v>0</v>
      </c>
      <c r="I780" t="n">
        <v>0</v>
      </c>
      <c r="J780" t="n">
        <v>0</v>
      </c>
      <c r="K780" t="n">
        <v>0</v>
      </c>
      <c r="L780" t="n">
        <v>0</v>
      </c>
      <c r="M780" t="n">
        <v>0</v>
      </c>
      <c r="N780" t="n">
        <v>0</v>
      </c>
      <c r="O780" t="n">
        <v>0</v>
      </c>
      <c r="P780" t="n">
        <v>0</v>
      </c>
      <c r="Q780" t="n">
        <v>0</v>
      </c>
      <c r="R780" s="2" t="inlineStr"/>
    </row>
    <row r="781" ht="15" customHeight="1">
      <c r="A781" t="inlineStr">
        <is>
          <t>A 60077-2025</t>
        </is>
      </c>
      <c r="B781" s="1" t="n">
        <v>45993.67987268518</v>
      </c>
      <c r="C781" s="1" t="n">
        <v>46090</v>
      </c>
      <c r="D781" t="inlineStr">
        <is>
          <t>JÄMTLANDS LÄN</t>
        </is>
      </c>
      <c r="E781" t="inlineStr">
        <is>
          <t>BERG</t>
        </is>
      </c>
      <c r="G781" t="n">
        <v>0.7</v>
      </c>
      <c r="H781" t="n">
        <v>0</v>
      </c>
      <c r="I781" t="n">
        <v>0</v>
      </c>
      <c r="J781" t="n">
        <v>0</v>
      </c>
      <c r="K781" t="n">
        <v>0</v>
      </c>
      <c r="L781" t="n">
        <v>0</v>
      </c>
      <c r="M781" t="n">
        <v>0</v>
      </c>
      <c r="N781" t="n">
        <v>0</v>
      </c>
      <c r="O781" t="n">
        <v>0</v>
      </c>
      <c r="P781" t="n">
        <v>0</v>
      </c>
      <c r="Q781" t="n">
        <v>0</v>
      </c>
      <c r="R781" s="2" t="inlineStr"/>
    </row>
    <row r="782" ht="15" customHeight="1">
      <c r="A782" t="inlineStr">
        <is>
          <t>A 13108-2025</t>
        </is>
      </c>
      <c r="B782" s="1" t="n">
        <v>45734</v>
      </c>
      <c r="C782" s="1" t="n">
        <v>46090</v>
      </c>
      <c r="D782" t="inlineStr">
        <is>
          <t>JÄMTLANDS LÄN</t>
        </is>
      </c>
      <c r="E782" t="inlineStr">
        <is>
          <t>BERG</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60051-2025</t>
        </is>
      </c>
      <c r="B783" s="1" t="n">
        <v>45993.6353125</v>
      </c>
      <c r="C783" s="1" t="n">
        <v>46090</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5215-2024</t>
        </is>
      </c>
      <c r="B784" s="1" t="n">
        <v>45330</v>
      </c>
      <c r="C784" s="1" t="n">
        <v>46090</v>
      </c>
      <c r="D784" t="inlineStr">
        <is>
          <t>JÄMTLANDS LÄN</t>
        </is>
      </c>
      <c r="E784" t="inlineStr">
        <is>
          <t>BERG</t>
        </is>
      </c>
      <c r="G784" t="n">
        <v>0.8</v>
      </c>
      <c r="H784" t="n">
        <v>0</v>
      </c>
      <c r="I784" t="n">
        <v>0</v>
      </c>
      <c r="J784" t="n">
        <v>0</v>
      </c>
      <c r="K784" t="n">
        <v>0</v>
      </c>
      <c r="L784" t="n">
        <v>0</v>
      </c>
      <c r="M784" t="n">
        <v>0</v>
      </c>
      <c r="N784" t="n">
        <v>0</v>
      </c>
      <c r="O784" t="n">
        <v>0</v>
      </c>
      <c r="P784" t="n">
        <v>0</v>
      </c>
      <c r="Q784" t="n">
        <v>0</v>
      </c>
      <c r="R784" s="2" t="inlineStr"/>
    </row>
    <row r="785" ht="15" customHeight="1">
      <c r="A785" t="inlineStr">
        <is>
          <t>A 11322-2026</t>
        </is>
      </c>
      <c r="B785" s="1" t="n">
        <v>46080</v>
      </c>
      <c r="C785" s="1" t="n">
        <v>46090</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60163-2025</t>
        </is>
      </c>
      <c r="B786" s="1" t="n">
        <v>45994.43094907407</v>
      </c>
      <c r="C786" s="1" t="n">
        <v>46090</v>
      </c>
      <c r="D786" t="inlineStr">
        <is>
          <t>JÄMTLANDS LÄN</t>
        </is>
      </c>
      <c r="E786" t="inlineStr">
        <is>
          <t>BERG</t>
        </is>
      </c>
      <c r="F786" t="inlineStr">
        <is>
          <t>Övriga Aktiebolag</t>
        </is>
      </c>
      <c r="G786" t="n">
        <v>7</v>
      </c>
      <c r="H786" t="n">
        <v>0</v>
      </c>
      <c r="I786" t="n">
        <v>0</v>
      </c>
      <c r="J786" t="n">
        <v>0</v>
      </c>
      <c r="K786" t="n">
        <v>0</v>
      </c>
      <c r="L786" t="n">
        <v>0</v>
      </c>
      <c r="M786" t="n">
        <v>0</v>
      </c>
      <c r="N786" t="n">
        <v>0</v>
      </c>
      <c r="O786" t="n">
        <v>0</v>
      </c>
      <c r="P786" t="n">
        <v>0</v>
      </c>
      <c r="Q786" t="n">
        <v>0</v>
      </c>
      <c r="R786" s="2" t="inlineStr"/>
    </row>
    <row r="787" ht="15" customHeight="1">
      <c r="A787" t="inlineStr">
        <is>
          <t>A 2270-2026</t>
        </is>
      </c>
      <c r="B787" s="1" t="n">
        <v>46029</v>
      </c>
      <c r="C787" s="1" t="n">
        <v>46090</v>
      </c>
      <c r="D787" t="inlineStr">
        <is>
          <t>JÄMTLANDS LÄN</t>
        </is>
      </c>
      <c r="E787" t="inlineStr">
        <is>
          <t>BERG</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16002-2025</t>
        </is>
      </c>
      <c r="B788" s="1" t="n">
        <v>45749.59398148148</v>
      </c>
      <c r="C788" s="1" t="n">
        <v>46090</v>
      </c>
      <c r="D788" t="inlineStr">
        <is>
          <t>JÄMTLANDS LÄN</t>
        </is>
      </c>
      <c r="E788" t="inlineStr">
        <is>
          <t>BERG</t>
        </is>
      </c>
      <c r="G788" t="n">
        <v>0.7</v>
      </c>
      <c r="H788" t="n">
        <v>0</v>
      </c>
      <c r="I788" t="n">
        <v>0</v>
      </c>
      <c r="J788" t="n">
        <v>0</v>
      </c>
      <c r="K788" t="n">
        <v>0</v>
      </c>
      <c r="L788" t="n">
        <v>0</v>
      </c>
      <c r="M788" t="n">
        <v>0</v>
      </c>
      <c r="N788" t="n">
        <v>0</v>
      </c>
      <c r="O788" t="n">
        <v>0</v>
      </c>
      <c r="P788" t="n">
        <v>0</v>
      </c>
      <c r="Q788" t="n">
        <v>0</v>
      </c>
      <c r="R788" s="2" t="inlineStr"/>
    </row>
    <row r="789" ht="15" customHeight="1">
      <c r="A789" t="inlineStr">
        <is>
          <t>A 11403-2026</t>
        </is>
      </c>
      <c r="B789" s="1" t="n">
        <v>46083.45075231481</v>
      </c>
      <c r="C789" s="1" t="n">
        <v>46090</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11408-2026</t>
        </is>
      </c>
      <c r="B790" s="1" t="n">
        <v>46083.45653935185</v>
      </c>
      <c r="C790" s="1" t="n">
        <v>46090</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11418-2026</t>
        </is>
      </c>
      <c r="B791" s="1" t="n">
        <v>46083.47025462963</v>
      </c>
      <c r="C791" s="1" t="n">
        <v>46090</v>
      </c>
      <c r="D791" t="inlineStr">
        <is>
          <t>JÄMTLANDS LÄN</t>
        </is>
      </c>
      <c r="E791" t="inlineStr">
        <is>
          <t>BERG</t>
        </is>
      </c>
      <c r="G791" t="n">
        <v>17.8</v>
      </c>
      <c r="H791" t="n">
        <v>0</v>
      </c>
      <c r="I791" t="n">
        <v>0</v>
      </c>
      <c r="J791" t="n">
        <v>0</v>
      </c>
      <c r="K791" t="n">
        <v>0</v>
      </c>
      <c r="L791" t="n">
        <v>0</v>
      </c>
      <c r="M791" t="n">
        <v>0</v>
      </c>
      <c r="N791" t="n">
        <v>0</v>
      </c>
      <c r="O791" t="n">
        <v>0</v>
      </c>
      <c r="P791" t="n">
        <v>0</v>
      </c>
      <c r="Q791" t="n">
        <v>0</v>
      </c>
      <c r="R791" s="2" t="inlineStr"/>
    </row>
    <row r="792" ht="15" customHeight="1">
      <c r="A792" t="inlineStr">
        <is>
          <t>A 11442-2026</t>
        </is>
      </c>
      <c r="B792" s="1" t="n">
        <v>46083.52256944445</v>
      </c>
      <c r="C792" s="1" t="n">
        <v>46090</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35691-2025</t>
        </is>
      </c>
      <c r="B793" s="1" t="n">
        <v>45860.344375</v>
      </c>
      <c r="C793" s="1" t="n">
        <v>46090</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60463-2025</t>
        </is>
      </c>
      <c r="B794" s="1" t="n">
        <v>45995.55276620371</v>
      </c>
      <c r="C794" s="1" t="n">
        <v>46090</v>
      </c>
      <c r="D794" t="inlineStr">
        <is>
          <t>JÄMTLANDS LÄN</t>
        </is>
      </c>
      <c r="E794" t="inlineStr">
        <is>
          <t>BERG</t>
        </is>
      </c>
      <c r="G794" t="n">
        <v>4.3</v>
      </c>
      <c r="H794" t="n">
        <v>0</v>
      </c>
      <c r="I794" t="n">
        <v>0</v>
      </c>
      <c r="J794" t="n">
        <v>0</v>
      </c>
      <c r="K794" t="n">
        <v>0</v>
      </c>
      <c r="L794" t="n">
        <v>0</v>
      </c>
      <c r="M794" t="n">
        <v>0</v>
      </c>
      <c r="N794" t="n">
        <v>0</v>
      </c>
      <c r="O794" t="n">
        <v>0</v>
      </c>
      <c r="P794" t="n">
        <v>0</v>
      </c>
      <c r="Q794" t="n">
        <v>0</v>
      </c>
      <c r="R794" s="2" t="inlineStr"/>
    </row>
    <row r="795" ht="15" customHeight="1">
      <c r="A795" t="inlineStr">
        <is>
          <t>A 35576-2025</t>
        </is>
      </c>
      <c r="B795" s="1" t="n">
        <v>45856.63608796296</v>
      </c>
      <c r="C795" s="1" t="n">
        <v>46090</v>
      </c>
      <c r="D795" t="inlineStr">
        <is>
          <t>JÄMTLANDS LÄN</t>
        </is>
      </c>
      <c r="E795" t="inlineStr">
        <is>
          <t>BERG</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18032-2024</t>
        </is>
      </c>
      <c r="B796" s="1" t="n">
        <v>45420.34979166667</v>
      </c>
      <c r="C796" s="1" t="n">
        <v>46090</v>
      </c>
      <c r="D796" t="inlineStr">
        <is>
          <t>JÄMTLANDS LÄN</t>
        </is>
      </c>
      <c r="E796" t="inlineStr">
        <is>
          <t>BERG</t>
        </is>
      </c>
      <c r="F796" t="inlineStr">
        <is>
          <t>Holmen skog AB</t>
        </is>
      </c>
      <c r="G796" t="n">
        <v>0.6</v>
      </c>
      <c r="H796" t="n">
        <v>0</v>
      </c>
      <c r="I796" t="n">
        <v>0</v>
      </c>
      <c r="J796" t="n">
        <v>0</v>
      </c>
      <c r="K796" t="n">
        <v>0</v>
      </c>
      <c r="L796" t="n">
        <v>0</v>
      </c>
      <c r="M796" t="n">
        <v>0</v>
      </c>
      <c r="N796" t="n">
        <v>0</v>
      </c>
      <c r="O796" t="n">
        <v>0</v>
      </c>
      <c r="P796" t="n">
        <v>0</v>
      </c>
      <c r="Q796" t="n">
        <v>0</v>
      </c>
      <c r="R796" s="2" t="inlineStr"/>
    </row>
    <row r="797" ht="15" customHeight="1">
      <c r="A797" t="inlineStr">
        <is>
          <t>A 11428-2026</t>
        </is>
      </c>
      <c r="B797" s="1" t="n">
        <v>46083.49012731481</v>
      </c>
      <c r="C797" s="1" t="n">
        <v>46090</v>
      </c>
      <c r="D797" t="inlineStr">
        <is>
          <t>JÄMTLANDS LÄN</t>
        </is>
      </c>
      <c r="E797" t="inlineStr">
        <is>
          <t>BERG</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60632-2025</t>
        </is>
      </c>
      <c r="B798" s="1" t="n">
        <v>45996.42769675926</v>
      </c>
      <c r="C798" s="1" t="n">
        <v>46090</v>
      </c>
      <c r="D798" t="inlineStr">
        <is>
          <t>JÄMTLANDS LÄN</t>
        </is>
      </c>
      <c r="E798" t="inlineStr">
        <is>
          <t>BERG</t>
        </is>
      </c>
      <c r="F798" t="inlineStr">
        <is>
          <t>SCA</t>
        </is>
      </c>
      <c r="G798" t="n">
        <v>18.2</v>
      </c>
      <c r="H798" t="n">
        <v>0</v>
      </c>
      <c r="I798" t="n">
        <v>0</v>
      </c>
      <c r="J798" t="n">
        <v>0</v>
      </c>
      <c r="K798" t="n">
        <v>0</v>
      </c>
      <c r="L798" t="n">
        <v>0</v>
      </c>
      <c r="M798" t="n">
        <v>0</v>
      </c>
      <c r="N798" t="n">
        <v>0</v>
      </c>
      <c r="O798" t="n">
        <v>0</v>
      </c>
      <c r="P798" t="n">
        <v>0</v>
      </c>
      <c r="Q798" t="n">
        <v>0</v>
      </c>
      <c r="R798" s="2" t="inlineStr"/>
    </row>
    <row r="799" ht="15" customHeight="1">
      <c r="A799" t="inlineStr">
        <is>
          <t>A 60635-2025</t>
        </is>
      </c>
      <c r="B799" s="1" t="n">
        <v>45996.42826388889</v>
      </c>
      <c r="C799" s="1" t="n">
        <v>46090</v>
      </c>
      <c r="D799" t="inlineStr">
        <is>
          <t>JÄMTLANDS LÄN</t>
        </is>
      </c>
      <c r="E799" t="inlineStr">
        <is>
          <t>BERG</t>
        </is>
      </c>
      <c r="F799" t="inlineStr">
        <is>
          <t>SCA</t>
        </is>
      </c>
      <c r="G799" t="n">
        <v>7.4</v>
      </c>
      <c r="H799" t="n">
        <v>0</v>
      </c>
      <c r="I799" t="n">
        <v>0</v>
      </c>
      <c r="J799" t="n">
        <v>0</v>
      </c>
      <c r="K799" t="n">
        <v>0</v>
      </c>
      <c r="L799" t="n">
        <v>0</v>
      </c>
      <c r="M799" t="n">
        <v>0</v>
      </c>
      <c r="N799" t="n">
        <v>0</v>
      </c>
      <c r="O799" t="n">
        <v>0</v>
      </c>
      <c r="P799" t="n">
        <v>0</v>
      </c>
      <c r="Q799" t="n">
        <v>0</v>
      </c>
      <c r="R799" s="2" t="inlineStr"/>
    </row>
    <row r="800" ht="15" customHeight="1">
      <c r="A800" t="inlineStr">
        <is>
          <t>A 11395-2026</t>
        </is>
      </c>
      <c r="B800" s="1" t="n">
        <v>46083.43694444445</v>
      </c>
      <c r="C800" s="1" t="n">
        <v>46090</v>
      </c>
      <c r="D800" t="inlineStr">
        <is>
          <t>JÄMTLANDS LÄN</t>
        </is>
      </c>
      <c r="E800" t="inlineStr">
        <is>
          <t>BERG</t>
        </is>
      </c>
      <c r="G800" t="n">
        <v>8.6</v>
      </c>
      <c r="H800" t="n">
        <v>0</v>
      </c>
      <c r="I800" t="n">
        <v>0</v>
      </c>
      <c r="J800" t="n">
        <v>0</v>
      </c>
      <c r="K800" t="n">
        <v>0</v>
      </c>
      <c r="L800" t="n">
        <v>0</v>
      </c>
      <c r="M800" t="n">
        <v>0</v>
      </c>
      <c r="N800" t="n">
        <v>0</v>
      </c>
      <c r="O800" t="n">
        <v>0</v>
      </c>
      <c r="P800" t="n">
        <v>0</v>
      </c>
      <c r="Q800" t="n">
        <v>0</v>
      </c>
      <c r="R800" s="2" t="inlineStr"/>
    </row>
    <row r="801" ht="15" customHeight="1">
      <c r="A801" t="inlineStr">
        <is>
          <t>A 11399-2026</t>
        </is>
      </c>
      <c r="B801" s="1" t="n">
        <v>46083.4437962963</v>
      </c>
      <c r="C801" s="1" t="n">
        <v>46090</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60634-2025</t>
        </is>
      </c>
      <c r="B802" s="1" t="n">
        <v>45996.42805555555</v>
      </c>
      <c r="C802" s="1" t="n">
        <v>46090</v>
      </c>
      <c r="D802" t="inlineStr">
        <is>
          <t>JÄMTLANDS LÄN</t>
        </is>
      </c>
      <c r="E802" t="inlineStr">
        <is>
          <t>BERG</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34845-2023</t>
        </is>
      </c>
      <c r="B803" s="1" t="n">
        <v>45141.95964120371</v>
      </c>
      <c r="C803" s="1" t="n">
        <v>46090</v>
      </c>
      <c r="D803" t="inlineStr">
        <is>
          <t>JÄMTLANDS LÄN</t>
        </is>
      </c>
      <c r="E803" t="inlineStr">
        <is>
          <t>BERG</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11390-2026</t>
        </is>
      </c>
      <c r="B804" s="1" t="n">
        <v>46083.42858796296</v>
      </c>
      <c r="C804" s="1" t="n">
        <v>46090</v>
      </c>
      <c r="D804" t="inlineStr">
        <is>
          <t>JÄMTLANDS LÄN</t>
        </is>
      </c>
      <c r="E804" t="inlineStr">
        <is>
          <t>BERG</t>
        </is>
      </c>
      <c r="G804" t="n">
        <v>7</v>
      </c>
      <c r="H804" t="n">
        <v>0</v>
      </c>
      <c r="I804" t="n">
        <v>0</v>
      </c>
      <c r="J804" t="n">
        <v>0</v>
      </c>
      <c r="K804" t="n">
        <v>0</v>
      </c>
      <c r="L804" t="n">
        <v>0</v>
      </c>
      <c r="M804" t="n">
        <v>0</v>
      </c>
      <c r="N804" t="n">
        <v>0</v>
      </c>
      <c r="O804" t="n">
        <v>0</v>
      </c>
      <c r="P804" t="n">
        <v>0</v>
      </c>
      <c r="Q804" t="n">
        <v>0</v>
      </c>
      <c r="R804" s="2" t="inlineStr"/>
    </row>
    <row r="805" ht="15" customHeight="1">
      <c r="A805" t="inlineStr">
        <is>
          <t>A 11400-2026</t>
        </is>
      </c>
      <c r="B805" s="1" t="n">
        <v>46083.44576388889</v>
      </c>
      <c r="C805" s="1" t="n">
        <v>46090</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11409-2026</t>
        </is>
      </c>
      <c r="B806" s="1" t="n">
        <v>46083.4584375</v>
      </c>
      <c r="C806" s="1" t="n">
        <v>46090</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41069-2022</t>
        </is>
      </c>
      <c r="B807" s="1" t="n">
        <v>44825.60015046296</v>
      </c>
      <c r="C807" s="1" t="n">
        <v>46090</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11292-2026</t>
        </is>
      </c>
      <c r="B808" s="1" t="n">
        <v>46080.6150462963</v>
      </c>
      <c r="C808" s="1" t="n">
        <v>46090</v>
      </c>
      <c r="D808" t="inlineStr">
        <is>
          <t>JÄMTLANDS LÄN</t>
        </is>
      </c>
      <c r="E808" t="inlineStr">
        <is>
          <t>BERG</t>
        </is>
      </c>
      <c r="G808" t="n">
        <v>1.7</v>
      </c>
      <c r="H808" t="n">
        <v>0</v>
      </c>
      <c r="I808" t="n">
        <v>0</v>
      </c>
      <c r="J808" t="n">
        <v>0</v>
      </c>
      <c r="K808" t="n">
        <v>0</v>
      </c>
      <c r="L808" t="n">
        <v>0</v>
      </c>
      <c r="M808" t="n">
        <v>0</v>
      </c>
      <c r="N808" t="n">
        <v>0</v>
      </c>
      <c r="O808" t="n">
        <v>0</v>
      </c>
      <c r="P808" t="n">
        <v>0</v>
      </c>
      <c r="Q808" t="n">
        <v>0</v>
      </c>
      <c r="R808" s="2" t="inlineStr"/>
    </row>
    <row r="809" ht="15" customHeight="1">
      <c r="A809" t="inlineStr">
        <is>
          <t>A 11143-2026</t>
        </is>
      </c>
      <c r="B809" s="1" t="n">
        <v>46079.87586805555</v>
      </c>
      <c r="C809" s="1" t="n">
        <v>46090</v>
      </c>
      <c r="D809" t="inlineStr">
        <is>
          <t>JÄMTLANDS LÄN</t>
        </is>
      </c>
      <c r="E809" t="inlineStr">
        <is>
          <t>BERG</t>
        </is>
      </c>
      <c r="G809" t="n">
        <v>4.1</v>
      </c>
      <c r="H809" t="n">
        <v>0</v>
      </c>
      <c r="I809" t="n">
        <v>0</v>
      </c>
      <c r="J809" t="n">
        <v>0</v>
      </c>
      <c r="K809" t="n">
        <v>0</v>
      </c>
      <c r="L809" t="n">
        <v>0</v>
      </c>
      <c r="M809" t="n">
        <v>0</v>
      </c>
      <c r="N809" t="n">
        <v>0</v>
      </c>
      <c r="O809" t="n">
        <v>0</v>
      </c>
      <c r="P809" t="n">
        <v>0</v>
      </c>
      <c r="Q809" t="n">
        <v>0</v>
      </c>
      <c r="R809" s="2" t="inlineStr"/>
    </row>
    <row r="810" ht="15" customHeight="1">
      <c r="A810" t="inlineStr">
        <is>
          <t>A 54863-2023</t>
        </is>
      </c>
      <c r="B810" s="1" t="n">
        <v>45236</v>
      </c>
      <c r="C810" s="1" t="n">
        <v>46090</v>
      </c>
      <c r="D810" t="inlineStr">
        <is>
          <t>JÄMTLANDS LÄN</t>
        </is>
      </c>
      <c r="E810" t="inlineStr">
        <is>
          <t>BERG</t>
        </is>
      </c>
      <c r="G810" t="n">
        <v>3.3</v>
      </c>
      <c r="H810" t="n">
        <v>0</v>
      </c>
      <c r="I810" t="n">
        <v>0</v>
      </c>
      <c r="J810" t="n">
        <v>0</v>
      </c>
      <c r="K810" t="n">
        <v>0</v>
      </c>
      <c r="L810" t="n">
        <v>0</v>
      </c>
      <c r="M810" t="n">
        <v>0</v>
      </c>
      <c r="N810" t="n">
        <v>0</v>
      </c>
      <c r="O810" t="n">
        <v>0</v>
      </c>
      <c r="P810" t="n">
        <v>0</v>
      </c>
      <c r="Q810" t="n">
        <v>0</v>
      </c>
      <c r="R810" s="2" t="inlineStr"/>
    </row>
    <row r="811" ht="15" customHeight="1">
      <c r="A811" t="inlineStr">
        <is>
          <t>A 61501-2025</t>
        </is>
      </c>
      <c r="B811" s="1" t="n">
        <v>46001.65951388889</v>
      </c>
      <c r="C811" s="1" t="n">
        <v>46090</v>
      </c>
      <c r="D811" t="inlineStr">
        <is>
          <t>JÄMTLANDS LÄN</t>
        </is>
      </c>
      <c r="E811" t="inlineStr">
        <is>
          <t>BERG</t>
        </is>
      </c>
      <c r="G811" t="n">
        <v>1.8</v>
      </c>
      <c r="H811" t="n">
        <v>0</v>
      </c>
      <c r="I811" t="n">
        <v>0</v>
      </c>
      <c r="J811" t="n">
        <v>0</v>
      </c>
      <c r="K811" t="n">
        <v>0</v>
      </c>
      <c r="L811" t="n">
        <v>0</v>
      </c>
      <c r="M811" t="n">
        <v>0</v>
      </c>
      <c r="N811" t="n">
        <v>0</v>
      </c>
      <c r="O811" t="n">
        <v>0</v>
      </c>
      <c r="P811" t="n">
        <v>0</v>
      </c>
      <c r="Q811" t="n">
        <v>0</v>
      </c>
      <c r="R811" s="2" t="inlineStr"/>
    </row>
    <row r="812" ht="15" customHeight="1">
      <c r="A812" t="inlineStr">
        <is>
          <t>A 47168-2025</t>
        </is>
      </c>
      <c r="B812" s="1" t="n">
        <v>45929</v>
      </c>
      <c r="C812" s="1" t="n">
        <v>46090</v>
      </c>
      <c r="D812" t="inlineStr">
        <is>
          <t>JÄMTLANDS LÄN</t>
        </is>
      </c>
      <c r="E812" t="inlineStr">
        <is>
          <t>BERG</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46167-2022</t>
        </is>
      </c>
      <c r="B813" s="1" t="n">
        <v>44845</v>
      </c>
      <c r="C813" s="1" t="n">
        <v>46090</v>
      </c>
      <c r="D813" t="inlineStr">
        <is>
          <t>JÄMTLANDS LÄN</t>
        </is>
      </c>
      <c r="E813" t="inlineStr">
        <is>
          <t>BERG</t>
        </is>
      </c>
      <c r="G813" t="n">
        <v>35.2</v>
      </c>
      <c r="H813" t="n">
        <v>0</v>
      </c>
      <c r="I813" t="n">
        <v>0</v>
      </c>
      <c r="J813" t="n">
        <v>0</v>
      </c>
      <c r="K813" t="n">
        <v>0</v>
      </c>
      <c r="L813" t="n">
        <v>0</v>
      </c>
      <c r="M813" t="n">
        <v>0</v>
      </c>
      <c r="N813" t="n">
        <v>0</v>
      </c>
      <c r="O813" t="n">
        <v>0</v>
      </c>
      <c r="P813" t="n">
        <v>0</v>
      </c>
      <c r="Q813" t="n">
        <v>0</v>
      </c>
      <c r="R813" s="2" t="inlineStr"/>
    </row>
    <row r="814" ht="15" customHeight="1">
      <c r="A814" t="inlineStr">
        <is>
          <t>A 39269-2024</t>
        </is>
      </c>
      <c r="B814" s="1" t="n">
        <v>45551.34488425926</v>
      </c>
      <c r="C814" s="1" t="n">
        <v>46090</v>
      </c>
      <c r="D814" t="inlineStr">
        <is>
          <t>JÄMTLANDS LÄN</t>
        </is>
      </c>
      <c r="E814" t="inlineStr">
        <is>
          <t>BERG</t>
        </is>
      </c>
      <c r="G814" t="n">
        <v>3.1</v>
      </c>
      <c r="H814" t="n">
        <v>0</v>
      </c>
      <c r="I814" t="n">
        <v>0</v>
      </c>
      <c r="J814" t="n">
        <v>0</v>
      </c>
      <c r="K814" t="n">
        <v>0</v>
      </c>
      <c r="L814" t="n">
        <v>0</v>
      </c>
      <c r="M814" t="n">
        <v>0</v>
      </c>
      <c r="N814" t="n">
        <v>0</v>
      </c>
      <c r="O814" t="n">
        <v>0</v>
      </c>
      <c r="P814" t="n">
        <v>0</v>
      </c>
      <c r="Q814" t="n">
        <v>0</v>
      </c>
      <c r="R814" s="2" t="inlineStr"/>
    </row>
    <row r="815" ht="15" customHeight="1">
      <c r="A815" t="inlineStr">
        <is>
          <t>A 11255-2026</t>
        </is>
      </c>
      <c r="B815" s="1" t="n">
        <v>46080.55252314815</v>
      </c>
      <c r="C815" s="1" t="n">
        <v>46090</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13805-2024</t>
        </is>
      </c>
      <c r="B816" s="1" t="n">
        <v>45390</v>
      </c>
      <c r="C816" s="1" t="n">
        <v>46090</v>
      </c>
      <c r="D816" t="inlineStr">
        <is>
          <t>JÄMTLANDS LÄN</t>
        </is>
      </c>
      <c r="E816" t="inlineStr">
        <is>
          <t>BERG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37589-2021</t>
        </is>
      </c>
      <c r="B817" s="1" t="n">
        <v>44399</v>
      </c>
      <c r="C817" s="1" t="n">
        <v>46090</v>
      </c>
      <c r="D817" t="inlineStr">
        <is>
          <t>JÄMTLANDS LÄN</t>
        </is>
      </c>
      <c r="E817" t="inlineStr">
        <is>
          <t>BERG</t>
        </is>
      </c>
      <c r="G817" t="n">
        <v>8.6</v>
      </c>
      <c r="H817" t="n">
        <v>0</v>
      </c>
      <c r="I817" t="n">
        <v>0</v>
      </c>
      <c r="J817" t="n">
        <v>0</v>
      </c>
      <c r="K817" t="n">
        <v>0</v>
      </c>
      <c r="L817" t="n">
        <v>0</v>
      </c>
      <c r="M817" t="n">
        <v>0</v>
      </c>
      <c r="N817" t="n">
        <v>0</v>
      </c>
      <c r="O817" t="n">
        <v>0</v>
      </c>
      <c r="P817" t="n">
        <v>0</v>
      </c>
      <c r="Q817" t="n">
        <v>0</v>
      </c>
      <c r="R817" s="2" t="inlineStr"/>
    </row>
    <row r="818" ht="15" customHeight="1">
      <c r="A818" t="inlineStr">
        <is>
          <t>A 11144-2026</t>
        </is>
      </c>
      <c r="B818" s="1" t="n">
        <v>46079.88511574074</v>
      </c>
      <c r="C818" s="1" t="n">
        <v>46090</v>
      </c>
      <c r="D818" t="inlineStr">
        <is>
          <t>JÄMTLANDS LÄN</t>
        </is>
      </c>
      <c r="E818" t="inlineStr">
        <is>
          <t>BERG</t>
        </is>
      </c>
      <c r="G818" t="n">
        <v>3.7</v>
      </c>
      <c r="H818" t="n">
        <v>0</v>
      </c>
      <c r="I818" t="n">
        <v>0</v>
      </c>
      <c r="J818" t="n">
        <v>0</v>
      </c>
      <c r="K818" t="n">
        <v>0</v>
      </c>
      <c r="L818" t="n">
        <v>0</v>
      </c>
      <c r="M818" t="n">
        <v>0</v>
      </c>
      <c r="N818" t="n">
        <v>0</v>
      </c>
      <c r="O818" t="n">
        <v>0</v>
      </c>
      <c r="P818" t="n">
        <v>0</v>
      </c>
      <c r="Q818" t="n">
        <v>0</v>
      </c>
      <c r="R818" s="2" t="inlineStr"/>
    </row>
    <row r="819" ht="15" customHeight="1">
      <c r="A819" t="inlineStr">
        <is>
          <t>A 16491-2023</t>
        </is>
      </c>
      <c r="B819" s="1" t="n">
        <v>45027</v>
      </c>
      <c r="C819" s="1" t="n">
        <v>46090</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14431-2025</t>
        </is>
      </c>
      <c r="B820" s="1" t="n">
        <v>45741</v>
      </c>
      <c r="C820" s="1" t="n">
        <v>46090</v>
      </c>
      <c r="D820" t="inlineStr">
        <is>
          <t>JÄMTLANDS LÄN</t>
        </is>
      </c>
      <c r="E820" t="inlineStr">
        <is>
          <t>BERG</t>
        </is>
      </c>
      <c r="G820" t="n">
        <v>1.7</v>
      </c>
      <c r="H820" t="n">
        <v>0</v>
      </c>
      <c r="I820" t="n">
        <v>0</v>
      </c>
      <c r="J820" t="n">
        <v>0</v>
      </c>
      <c r="K820" t="n">
        <v>0</v>
      </c>
      <c r="L820" t="n">
        <v>0</v>
      </c>
      <c r="M820" t="n">
        <v>0</v>
      </c>
      <c r="N820" t="n">
        <v>0</v>
      </c>
      <c r="O820" t="n">
        <v>0</v>
      </c>
      <c r="P820" t="n">
        <v>0</v>
      </c>
      <c r="Q820" t="n">
        <v>0</v>
      </c>
      <c r="R820" s="2" t="inlineStr"/>
    </row>
    <row r="821" ht="15" customHeight="1">
      <c r="A821" t="inlineStr">
        <is>
          <t>A 61459-2025</t>
        </is>
      </c>
      <c r="B821" s="1" t="n">
        <v>46001.59416666667</v>
      </c>
      <c r="C821" s="1" t="n">
        <v>46090</v>
      </c>
      <c r="D821" t="inlineStr">
        <is>
          <t>JÄMTLANDS LÄN</t>
        </is>
      </c>
      <c r="E821" t="inlineStr">
        <is>
          <t>BERG</t>
        </is>
      </c>
      <c r="G821" t="n">
        <v>2.7</v>
      </c>
      <c r="H821" t="n">
        <v>0</v>
      </c>
      <c r="I821" t="n">
        <v>0</v>
      </c>
      <c r="J821" t="n">
        <v>0</v>
      </c>
      <c r="K821" t="n">
        <v>0</v>
      </c>
      <c r="L821" t="n">
        <v>0</v>
      </c>
      <c r="M821" t="n">
        <v>0</v>
      </c>
      <c r="N821" t="n">
        <v>0</v>
      </c>
      <c r="O821" t="n">
        <v>0</v>
      </c>
      <c r="P821" t="n">
        <v>0</v>
      </c>
      <c r="Q821" t="n">
        <v>0</v>
      </c>
      <c r="R821" s="2" t="inlineStr"/>
    </row>
    <row r="822" ht="15" customHeight="1">
      <c r="A822" t="inlineStr">
        <is>
          <t>A 61460-2025</t>
        </is>
      </c>
      <c r="B822" s="1" t="n">
        <v>46001.59425925926</v>
      </c>
      <c r="C822" s="1" t="n">
        <v>46090</v>
      </c>
      <c r="D822" t="inlineStr">
        <is>
          <t>JÄMTLANDS LÄN</t>
        </is>
      </c>
      <c r="E822" t="inlineStr">
        <is>
          <t>BERG</t>
        </is>
      </c>
      <c r="G822" t="n">
        <v>1.9</v>
      </c>
      <c r="H822" t="n">
        <v>0</v>
      </c>
      <c r="I822" t="n">
        <v>0</v>
      </c>
      <c r="J822" t="n">
        <v>0</v>
      </c>
      <c r="K822" t="n">
        <v>0</v>
      </c>
      <c r="L822" t="n">
        <v>0</v>
      </c>
      <c r="M822" t="n">
        <v>0</v>
      </c>
      <c r="N822" t="n">
        <v>0</v>
      </c>
      <c r="O822" t="n">
        <v>0</v>
      </c>
      <c r="P822" t="n">
        <v>0</v>
      </c>
      <c r="Q822" t="n">
        <v>0</v>
      </c>
      <c r="R822" s="2" t="inlineStr"/>
    </row>
    <row r="823" ht="15" customHeight="1">
      <c r="A823" t="inlineStr">
        <is>
          <t>A 57669-2024</t>
        </is>
      </c>
      <c r="B823" s="1" t="n">
        <v>45630.62520833333</v>
      </c>
      <c r="C823" s="1" t="n">
        <v>46090</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4337-2026</t>
        </is>
      </c>
      <c r="B824" s="1" t="n">
        <v>46045</v>
      </c>
      <c r="C824" s="1" t="n">
        <v>46090</v>
      </c>
      <c r="D824" t="inlineStr">
        <is>
          <t>JÄMTLANDS LÄN</t>
        </is>
      </c>
      <c r="E824" t="inlineStr">
        <is>
          <t>BERG</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3241-2026</t>
        </is>
      </c>
      <c r="B825" s="1" t="n">
        <v>46041.56872685185</v>
      </c>
      <c r="C825" s="1" t="n">
        <v>46090</v>
      </c>
      <c r="D825" t="inlineStr">
        <is>
          <t>JÄMTLANDS LÄN</t>
        </is>
      </c>
      <c r="E825" t="inlineStr">
        <is>
          <t>BERG</t>
        </is>
      </c>
      <c r="G825" t="n">
        <v>2</v>
      </c>
      <c r="H825" t="n">
        <v>0</v>
      </c>
      <c r="I825" t="n">
        <v>0</v>
      </c>
      <c r="J825" t="n">
        <v>0</v>
      </c>
      <c r="K825" t="n">
        <v>0</v>
      </c>
      <c r="L825" t="n">
        <v>0</v>
      </c>
      <c r="M825" t="n">
        <v>0</v>
      </c>
      <c r="N825" t="n">
        <v>0</v>
      </c>
      <c r="O825" t="n">
        <v>0</v>
      </c>
      <c r="P825" t="n">
        <v>0</v>
      </c>
      <c r="Q825" t="n">
        <v>0</v>
      </c>
      <c r="R825" s="2" t="inlineStr"/>
    </row>
    <row r="826" ht="15" customHeight="1">
      <c r="A826" t="inlineStr">
        <is>
          <t>A 35921-2024</t>
        </is>
      </c>
      <c r="B826" s="1" t="n">
        <v>45533.42659722222</v>
      </c>
      <c r="C826" s="1" t="n">
        <v>46090</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31682-2022</t>
        </is>
      </c>
      <c r="B827" s="1" t="n">
        <v>44776</v>
      </c>
      <c r="C827" s="1" t="n">
        <v>46090</v>
      </c>
      <c r="D827" t="inlineStr">
        <is>
          <t>JÄMTLANDS LÄN</t>
        </is>
      </c>
      <c r="E827" t="inlineStr">
        <is>
          <t>BERG</t>
        </is>
      </c>
      <c r="G827" t="n">
        <v>8</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46090</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11978-2026</t>
        </is>
      </c>
      <c r="B829" s="1" t="n">
        <v>46085.63597222222</v>
      </c>
      <c r="C829" s="1" t="n">
        <v>46090</v>
      </c>
      <c r="D829" t="inlineStr">
        <is>
          <t>JÄMTLANDS LÄN</t>
        </is>
      </c>
      <c r="E829" t="inlineStr">
        <is>
          <t>BERG</t>
        </is>
      </c>
      <c r="F829" t="inlineStr">
        <is>
          <t>SCA</t>
        </is>
      </c>
      <c r="G829" t="n">
        <v>15.6</v>
      </c>
      <c r="H829" t="n">
        <v>0</v>
      </c>
      <c r="I829" t="n">
        <v>0</v>
      </c>
      <c r="J829" t="n">
        <v>0</v>
      </c>
      <c r="K829" t="n">
        <v>0</v>
      </c>
      <c r="L829" t="n">
        <v>0</v>
      </c>
      <c r="M829" t="n">
        <v>0</v>
      </c>
      <c r="N829" t="n">
        <v>0</v>
      </c>
      <c r="O829" t="n">
        <v>0</v>
      </c>
      <c r="P829" t="n">
        <v>0</v>
      </c>
      <c r="Q829" t="n">
        <v>0</v>
      </c>
      <c r="R829" s="2" t="inlineStr"/>
    </row>
    <row r="830" ht="15" customHeight="1">
      <c r="A830" t="inlineStr">
        <is>
          <t>A 3810-2026</t>
        </is>
      </c>
      <c r="B830" s="1" t="n">
        <v>46043.58373842593</v>
      </c>
      <c r="C830" s="1" t="n">
        <v>46090</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14728-2025</t>
        </is>
      </c>
      <c r="B831" s="1" t="n">
        <v>45742.63574074074</v>
      </c>
      <c r="C831" s="1" t="n">
        <v>46090</v>
      </c>
      <c r="D831" t="inlineStr">
        <is>
          <t>JÄMTLANDS LÄN</t>
        </is>
      </c>
      <c r="E831" t="inlineStr">
        <is>
          <t>BERG</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31129-2024</t>
        </is>
      </c>
      <c r="B832" s="1" t="n">
        <v>45502</v>
      </c>
      <c r="C832" s="1" t="n">
        <v>46090</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61647-2025</t>
        </is>
      </c>
      <c r="B833" s="1" t="n">
        <v>46002.4403587963</v>
      </c>
      <c r="C833" s="1" t="n">
        <v>46090</v>
      </c>
      <c r="D833" t="inlineStr">
        <is>
          <t>JÄMTLANDS LÄN</t>
        </is>
      </c>
      <c r="E833" t="inlineStr">
        <is>
          <t>BERG</t>
        </is>
      </c>
      <c r="G833" t="n">
        <v>3.2</v>
      </c>
      <c r="H833" t="n">
        <v>0</v>
      </c>
      <c r="I833" t="n">
        <v>0</v>
      </c>
      <c r="J833" t="n">
        <v>0</v>
      </c>
      <c r="K833" t="n">
        <v>0</v>
      </c>
      <c r="L833" t="n">
        <v>0</v>
      </c>
      <c r="M833" t="n">
        <v>0</v>
      </c>
      <c r="N833" t="n">
        <v>0</v>
      </c>
      <c r="O833" t="n">
        <v>0</v>
      </c>
      <c r="P833" t="n">
        <v>0</v>
      </c>
      <c r="Q833" t="n">
        <v>0</v>
      </c>
      <c r="R833" s="2" t="inlineStr"/>
    </row>
    <row r="834" ht="15" customHeight="1">
      <c r="A834" t="inlineStr">
        <is>
          <t>A 11872-2026</t>
        </is>
      </c>
      <c r="B834" s="1" t="n">
        <v>46085.49086805555</v>
      </c>
      <c r="C834" s="1" t="n">
        <v>46090</v>
      </c>
      <c r="D834" t="inlineStr">
        <is>
          <t>JÄMTLANDS LÄN</t>
        </is>
      </c>
      <c r="E834" t="inlineStr">
        <is>
          <t>BERG</t>
        </is>
      </c>
      <c r="G834" t="n">
        <v>23.6</v>
      </c>
      <c r="H834" t="n">
        <v>0</v>
      </c>
      <c r="I834" t="n">
        <v>0</v>
      </c>
      <c r="J834" t="n">
        <v>0</v>
      </c>
      <c r="K834" t="n">
        <v>0</v>
      </c>
      <c r="L834" t="n">
        <v>0</v>
      </c>
      <c r="M834" t="n">
        <v>0</v>
      </c>
      <c r="N834" t="n">
        <v>0</v>
      </c>
      <c r="O834" t="n">
        <v>0</v>
      </c>
      <c r="P834" t="n">
        <v>0</v>
      </c>
      <c r="Q834" t="n">
        <v>0</v>
      </c>
      <c r="R834" s="2" t="inlineStr"/>
    </row>
    <row r="835" ht="15" customHeight="1">
      <c r="A835" t="inlineStr">
        <is>
          <t>A 3796-2026</t>
        </is>
      </c>
      <c r="B835" s="1" t="n">
        <v>46043.57982638889</v>
      </c>
      <c r="C835" s="1" t="n">
        <v>46090</v>
      </c>
      <c r="D835" t="inlineStr">
        <is>
          <t>JÄMTLANDS LÄN</t>
        </is>
      </c>
      <c r="E835" t="inlineStr">
        <is>
          <t>BERG</t>
        </is>
      </c>
      <c r="G835" t="n">
        <v>2.5</v>
      </c>
      <c r="H835" t="n">
        <v>0</v>
      </c>
      <c r="I835" t="n">
        <v>0</v>
      </c>
      <c r="J835" t="n">
        <v>0</v>
      </c>
      <c r="K835" t="n">
        <v>0</v>
      </c>
      <c r="L835" t="n">
        <v>0</v>
      </c>
      <c r="M835" t="n">
        <v>0</v>
      </c>
      <c r="N835" t="n">
        <v>0</v>
      </c>
      <c r="O835" t="n">
        <v>0</v>
      </c>
      <c r="P835" t="n">
        <v>0</v>
      </c>
      <c r="Q835" t="n">
        <v>0</v>
      </c>
      <c r="R835" s="2" t="inlineStr"/>
    </row>
    <row r="836" ht="15" customHeight="1">
      <c r="A836" t="inlineStr">
        <is>
          <t>A 61987-2025</t>
        </is>
      </c>
      <c r="B836" s="1" t="n">
        <v>46003.62914351852</v>
      </c>
      <c r="C836" s="1" t="n">
        <v>46090</v>
      </c>
      <c r="D836" t="inlineStr">
        <is>
          <t>JÄMTLANDS LÄN</t>
        </is>
      </c>
      <c r="E836" t="inlineStr">
        <is>
          <t>BERG</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11933-2026</t>
        </is>
      </c>
      <c r="B837" s="1" t="n">
        <v>46085.58731481482</v>
      </c>
      <c r="C837" s="1" t="n">
        <v>46090</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61977-2025</t>
        </is>
      </c>
      <c r="B838" s="1" t="n">
        <v>46003.61158564815</v>
      </c>
      <c r="C838" s="1" t="n">
        <v>46090</v>
      </c>
      <c r="D838" t="inlineStr">
        <is>
          <t>JÄMTLANDS LÄN</t>
        </is>
      </c>
      <c r="E838" t="inlineStr">
        <is>
          <t>BERG</t>
        </is>
      </c>
      <c r="G838" t="n">
        <v>2.7</v>
      </c>
      <c r="H838" t="n">
        <v>0</v>
      </c>
      <c r="I838" t="n">
        <v>0</v>
      </c>
      <c r="J838" t="n">
        <v>0</v>
      </c>
      <c r="K838" t="n">
        <v>0</v>
      </c>
      <c r="L838" t="n">
        <v>0</v>
      </c>
      <c r="M838" t="n">
        <v>0</v>
      </c>
      <c r="N838" t="n">
        <v>0</v>
      </c>
      <c r="O838" t="n">
        <v>0</v>
      </c>
      <c r="P838" t="n">
        <v>0</v>
      </c>
      <c r="Q838" t="n">
        <v>0</v>
      </c>
      <c r="R838" s="2" t="inlineStr"/>
    </row>
    <row r="839" ht="15" customHeight="1">
      <c r="A839" t="inlineStr">
        <is>
          <t>A 61991-2025</t>
        </is>
      </c>
      <c r="B839" s="1" t="n">
        <v>46003.62962962963</v>
      </c>
      <c r="C839" s="1" t="n">
        <v>46090</v>
      </c>
      <c r="D839" t="inlineStr">
        <is>
          <t>JÄMTLANDS LÄN</t>
        </is>
      </c>
      <c r="E839" t="inlineStr">
        <is>
          <t>BERG</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11971-2026</t>
        </is>
      </c>
      <c r="B840" s="1" t="n">
        <v>46085.62383101852</v>
      </c>
      <c r="C840" s="1" t="n">
        <v>46090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11990-2026</t>
        </is>
      </c>
      <c r="B841" s="1" t="n">
        <v>46085.65671296296</v>
      </c>
      <c r="C841" s="1" t="n">
        <v>46090</v>
      </c>
      <c r="D841" t="inlineStr">
        <is>
          <t>JÄMTLANDS LÄN</t>
        </is>
      </c>
      <c r="E841" t="inlineStr">
        <is>
          <t>BERG</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11923-2026</t>
        </is>
      </c>
      <c r="B842" s="1" t="n">
        <v>46085.57335648148</v>
      </c>
      <c r="C842" s="1" t="n">
        <v>46090</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3961-2025</t>
        </is>
      </c>
      <c r="B843" s="1" t="n">
        <v>45684.50217592593</v>
      </c>
      <c r="C843" s="1" t="n">
        <v>46090</v>
      </c>
      <c r="D843" t="inlineStr">
        <is>
          <t>JÄMTLANDS LÄN</t>
        </is>
      </c>
      <c r="E843" t="inlineStr">
        <is>
          <t>BERG</t>
        </is>
      </c>
      <c r="G843" t="n">
        <v>14.9</v>
      </c>
      <c r="H843" t="n">
        <v>0</v>
      </c>
      <c r="I843" t="n">
        <v>0</v>
      </c>
      <c r="J843" t="n">
        <v>0</v>
      </c>
      <c r="K843" t="n">
        <v>0</v>
      </c>
      <c r="L843" t="n">
        <v>0</v>
      </c>
      <c r="M843" t="n">
        <v>0</v>
      </c>
      <c r="N843" t="n">
        <v>0</v>
      </c>
      <c r="O843" t="n">
        <v>0</v>
      </c>
      <c r="P843" t="n">
        <v>0</v>
      </c>
      <c r="Q843" t="n">
        <v>0</v>
      </c>
      <c r="R843" s="2" t="inlineStr"/>
    </row>
    <row r="844" ht="15" customHeight="1">
      <c r="A844" t="inlineStr">
        <is>
          <t>A 35636-2023</t>
        </is>
      </c>
      <c r="B844" s="1" t="n">
        <v>45147</v>
      </c>
      <c r="C844" s="1" t="n">
        <v>46090</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45347-2023</t>
        </is>
      </c>
      <c r="B845" s="1" t="n">
        <v>45191</v>
      </c>
      <c r="C845" s="1" t="n">
        <v>46090</v>
      </c>
      <c r="D845" t="inlineStr">
        <is>
          <t>JÄMTLANDS LÄN</t>
        </is>
      </c>
      <c r="E845" t="inlineStr">
        <is>
          <t>BERG</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17266-2025</t>
        </is>
      </c>
      <c r="B846" s="1" t="n">
        <v>45756</v>
      </c>
      <c r="C846" s="1" t="n">
        <v>46090</v>
      </c>
      <c r="D846" t="inlineStr">
        <is>
          <t>JÄMTLANDS LÄN</t>
        </is>
      </c>
      <c r="E846" t="inlineStr">
        <is>
          <t>BERG</t>
        </is>
      </c>
      <c r="G846" t="n">
        <v>20.1</v>
      </c>
      <c r="H846" t="n">
        <v>0</v>
      </c>
      <c r="I846" t="n">
        <v>0</v>
      </c>
      <c r="J846" t="n">
        <v>0</v>
      </c>
      <c r="K846" t="n">
        <v>0</v>
      </c>
      <c r="L846" t="n">
        <v>0</v>
      </c>
      <c r="M846" t="n">
        <v>0</v>
      </c>
      <c r="N846" t="n">
        <v>0</v>
      </c>
      <c r="O846" t="n">
        <v>0</v>
      </c>
      <c r="P846" t="n">
        <v>0</v>
      </c>
      <c r="Q846" t="n">
        <v>0</v>
      </c>
      <c r="R846" s="2" t="inlineStr"/>
    </row>
    <row r="847" ht="15" customHeight="1">
      <c r="A847" t="inlineStr">
        <is>
          <t>A 4833-2026</t>
        </is>
      </c>
      <c r="B847" s="1" t="n">
        <v>46048.60271990741</v>
      </c>
      <c r="C847" s="1" t="n">
        <v>46090</v>
      </c>
      <c r="D847" t="inlineStr">
        <is>
          <t>JÄMTLANDS LÄN</t>
        </is>
      </c>
      <c r="E847" t="inlineStr">
        <is>
          <t>BERG</t>
        </is>
      </c>
      <c r="G847" t="n">
        <v>0.8</v>
      </c>
      <c r="H847" t="n">
        <v>0</v>
      </c>
      <c r="I847" t="n">
        <v>0</v>
      </c>
      <c r="J847" t="n">
        <v>0</v>
      </c>
      <c r="K847" t="n">
        <v>0</v>
      </c>
      <c r="L847" t="n">
        <v>0</v>
      </c>
      <c r="M847" t="n">
        <v>0</v>
      </c>
      <c r="N847" t="n">
        <v>0</v>
      </c>
      <c r="O847" t="n">
        <v>0</v>
      </c>
      <c r="P847" t="n">
        <v>0</v>
      </c>
      <c r="Q847" t="n">
        <v>0</v>
      </c>
      <c r="R847" s="2" t="inlineStr"/>
    </row>
    <row r="848" ht="15" customHeight="1">
      <c r="A848" t="inlineStr">
        <is>
          <t>A 11566-2026</t>
        </is>
      </c>
      <c r="B848" s="1" t="n">
        <v>46084.37027777778</v>
      </c>
      <c r="C848" s="1" t="n">
        <v>46090</v>
      </c>
      <c r="D848" t="inlineStr">
        <is>
          <t>JÄMTLANDS LÄN</t>
        </is>
      </c>
      <c r="E848" t="inlineStr">
        <is>
          <t>BERG</t>
        </is>
      </c>
      <c r="G848" t="n">
        <v>2.3</v>
      </c>
      <c r="H848" t="n">
        <v>0</v>
      </c>
      <c r="I848" t="n">
        <v>0</v>
      </c>
      <c r="J848" t="n">
        <v>0</v>
      </c>
      <c r="K848" t="n">
        <v>0</v>
      </c>
      <c r="L848" t="n">
        <v>0</v>
      </c>
      <c r="M848" t="n">
        <v>0</v>
      </c>
      <c r="N848" t="n">
        <v>0</v>
      </c>
      <c r="O848" t="n">
        <v>0</v>
      </c>
      <c r="P848" t="n">
        <v>0</v>
      </c>
      <c r="Q848" t="n">
        <v>0</v>
      </c>
      <c r="R848" s="2" t="inlineStr"/>
    </row>
    <row r="849" ht="15" customHeight="1">
      <c r="A849" t="inlineStr">
        <is>
          <t>A 62052-2025</t>
        </is>
      </c>
      <c r="B849" s="1" t="n">
        <v>46006.32145833333</v>
      </c>
      <c r="C849" s="1" t="n">
        <v>46090</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11889-2026</t>
        </is>
      </c>
      <c r="B850" s="1" t="n">
        <v>46085.51912037037</v>
      </c>
      <c r="C850" s="1" t="n">
        <v>46090</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39809-2025</t>
        </is>
      </c>
      <c r="B851" s="1" t="n">
        <v>45891</v>
      </c>
      <c r="C851" s="1" t="n">
        <v>46090</v>
      </c>
      <c r="D851" t="inlineStr">
        <is>
          <t>JÄMTLANDS LÄN</t>
        </is>
      </c>
      <c r="E851" t="inlineStr">
        <is>
          <t>BERG</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5089-2026</t>
        </is>
      </c>
      <c r="B852" s="1" t="n">
        <v>46049.55258101852</v>
      </c>
      <c r="C852" s="1" t="n">
        <v>46090</v>
      </c>
      <c r="D852" t="inlineStr">
        <is>
          <t>JÄMTLANDS LÄN</t>
        </is>
      </c>
      <c r="E852" t="inlineStr">
        <is>
          <t>BERG</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11950-2026</t>
        </is>
      </c>
      <c r="B853" s="1" t="n">
        <v>46085.60175925926</v>
      </c>
      <c r="C853" s="1" t="n">
        <v>46090</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5491-2026</t>
        </is>
      </c>
      <c r="B854" s="1" t="n">
        <v>46050.61548611111</v>
      </c>
      <c r="C854" s="1" t="n">
        <v>46090</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5688-2026</t>
        </is>
      </c>
      <c r="B855" s="1" t="n">
        <v>46051.49005787037</v>
      </c>
      <c r="C855" s="1" t="n">
        <v>46090</v>
      </c>
      <c r="D855" t="inlineStr">
        <is>
          <t>JÄMTLANDS LÄN</t>
        </is>
      </c>
      <c r="E855" t="inlineStr">
        <is>
          <t>BERG</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62826-2025</t>
        </is>
      </c>
      <c r="B856" s="1" t="n">
        <v>46008.65883101852</v>
      </c>
      <c r="C856" s="1" t="n">
        <v>46090</v>
      </c>
      <c r="D856" t="inlineStr">
        <is>
          <t>JÄMTLANDS LÄN</t>
        </is>
      </c>
      <c r="E856" t="inlineStr">
        <is>
          <t>BERG</t>
        </is>
      </c>
      <c r="G856" t="n">
        <v>4</v>
      </c>
      <c r="H856" t="n">
        <v>0</v>
      </c>
      <c r="I856" t="n">
        <v>0</v>
      </c>
      <c r="J856" t="n">
        <v>0</v>
      </c>
      <c r="K856" t="n">
        <v>0</v>
      </c>
      <c r="L856" t="n">
        <v>0</v>
      </c>
      <c r="M856" t="n">
        <v>0</v>
      </c>
      <c r="N856" t="n">
        <v>0</v>
      </c>
      <c r="O856" t="n">
        <v>0</v>
      </c>
      <c r="P856" t="n">
        <v>0</v>
      </c>
      <c r="Q856" t="n">
        <v>0</v>
      </c>
      <c r="R856" s="2" t="inlineStr"/>
    </row>
    <row r="857" ht="15" customHeight="1">
      <c r="A857" t="inlineStr">
        <is>
          <t>A 53427-2025</t>
        </is>
      </c>
      <c r="B857" s="1" t="n">
        <v>45959</v>
      </c>
      <c r="C857" s="1" t="n">
        <v>46090</v>
      </c>
      <c r="D857" t="inlineStr">
        <is>
          <t>JÄMTLANDS LÄN</t>
        </is>
      </c>
      <c r="E857" t="inlineStr">
        <is>
          <t>BERG</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62814-2025</t>
        </is>
      </c>
      <c r="B858" s="1" t="n">
        <v>46008.6502662037</v>
      </c>
      <c r="C858" s="1" t="n">
        <v>46090</v>
      </c>
      <c r="D858" t="inlineStr">
        <is>
          <t>JÄMTLANDS LÄN</t>
        </is>
      </c>
      <c r="E858" t="inlineStr">
        <is>
          <t>BERG</t>
        </is>
      </c>
      <c r="G858" t="n">
        <v>7.8</v>
      </c>
      <c r="H858" t="n">
        <v>0</v>
      </c>
      <c r="I858" t="n">
        <v>0</v>
      </c>
      <c r="J858" t="n">
        <v>0</v>
      </c>
      <c r="K858" t="n">
        <v>0</v>
      </c>
      <c r="L858" t="n">
        <v>0</v>
      </c>
      <c r="M858" t="n">
        <v>0</v>
      </c>
      <c r="N858" t="n">
        <v>0</v>
      </c>
      <c r="O858" t="n">
        <v>0</v>
      </c>
      <c r="P858" t="n">
        <v>0</v>
      </c>
      <c r="Q858" t="n">
        <v>0</v>
      </c>
      <c r="R858" s="2" t="inlineStr"/>
    </row>
    <row r="859" ht="15" customHeight="1">
      <c r="A859" t="inlineStr">
        <is>
          <t>A 4383-2026</t>
        </is>
      </c>
      <c r="B859" s="1" t="n">
        <v>46045.56296296296</v>
      </c>
      <c r="C859" s="1" t="n">
        <v>46090</v>
      </c>
      <c r="D859" t="inlineStr">
        <is>
          <t>JÄMTLANDS LÄN</t>
        </is>
      </c>
      <c r="E859" t="inlineStr">
        <is>
          <t>BERG</t>
        </is>
      </c>
      <c r="G859" t="n">
        <v>0.9</v>
      </c>
      <c r="H859" t="n">
        <v>0</v>
      </c>
      <c r="I859" t="n">
        <v>0</v>
      </c>
      <c r="J859" t="n">
        <v>0</v>
      </c>
      <c r="K859" t="n">
        <v>0</v>
      </c>
      <c r="L859" t="n">
        <v>0</v>
      </c>
      <c r="M859" t="n">
        <v>0</v>
      </c>
      <c r="N859" t="n">
        <v>0</v>
      </c>
      <c r="O859" t="n">
        <v>0</v>
      </c>
      <c r="P859" t="n">
        <v>0</v>
      </c>
      <c r="Q859" t="n">
        <v>0</v>
      </c>
      <c r="R859" s="2" t="inlineStr"/>
    </row>
    <row r="860" ht="15" customHeight="1">
      <c r="A860" t="inlineStr">
        <is>
          <t>A 63345-2025</t>
        </is>
      </c>
      <c r="B860" s="1" t="n">
        <v>46010.65959490741</v>
      </c>
      <c r="C860" s="1" t="n">
        <v>46090</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45595.4177662037</v>
      </c>
      <c r="C861" s="1" t="n">
        <v>46090</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5858-2026</t>
        </is>
      </c>
      <c r="B862" s="1" t="n">
        <v>46052.36512731481</v>
      </c>
      <c r="C862" s="1" t="n">
        <v>46090</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6333-2026</t>
        </is>
      </c>
      <c r="B863" s="1" t="n">
        <v>46055.59460648148</v>
      </c>
      <c r="C863" s="1" t="n">
        <v>46090</v>
      </c>
      <c r="D863" t="inlineStr">
        <is>
          <t>JÄMTLANDS LÄN</t>
        </is>
      </c>
      <c r="E863" t="inlineStr">
        <is>
          <t>BERG</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63332-2025</t>
        </is>
      </c>
      <c r="B864" s="1" t="n">
        <v>46010.64340277778</v>
      </c>
      <c r="C864" s="1" t="n">
        <v>46090</v>
      </c>
      <c r="D864" t="inlineStr">
        <is>
          <t>JÄMTLANDS LÄN</t>
        </is>
      </c>
      <c r="E864" t="inlineStr">
        <is>
          <t>BERG</t>
        </is>
      </c>
      <c r="G864" t="n">
        <v>5.4</v>
      </c>
      <c r="H864" t="n">
        <v>0</v>
      </c>
      <c r="I864" t="n">
        <v>0</v>
      </c>
      <c r="J864" t="n">
        <v>0</v>
      </c>
      <c r="K864" t="n">
        <v>0</v>
      </c>
      <c r="L864" t="n">
        <v>0</v>
      </c>
      <c r="M864" t="n">
        <v>0</v>
      </c>
      <c r="N864" t="n">
        <v>0</v>
      </c>
      <c r="O864" t="n">
        <v>0</v>
      </c>
      <c r="P864" t="n">
        <v>0</v>
      </c>
      <c r="Q864" t="n">
        <v>0</v>
      </c>
      <c r="R864" s="2" t="inlineStr"/>
    </row>
    <row r="865" ht="15" customHeight="1">
      <c r="A865" t="inlineStr">
        <is>
          <t>A 63381-2025</t>
        </is>
      </c>
      <c r="B865" s="1" t="n">
        <v>46010.89377314815</v>
      </c>
      <c r="C865" s="1" t="n">
        <v>46090</v>
      </c>
      <c r="D865" t="inlineStr">
        <is>
          <t>JÄMTLANDS LÄN</t>
        </is>
      </c>
      <c r="E865" t="inlineStr">
        <is>
          <t>BERG</t>
        </is>
      </c>
      <c r="G865" t="n">
        <v>3.6</v>
      </c>
      <c r="H865" t="n">
        <v>0</v>
      </c>
      <c r="I865" t="n">
        <v>0</v>
      </c>
      <c r="J865" t="n">
        <v>0</v>
      </c>
      <c r="K865" t="n">
        <v>0</v>
      </c>
      <c r="L865" t="n">
        <v>0</v>
      </c>
      <c r="M865" t="n">
        <v>0</v>
      </c>
      <c r="N865" t="n">
        <v>0</v>
      </c>
      <c r="O865" t="n">
        <v>0</v>
      </c>
      <c r="P865" t="n">
        <v>0</v>
      </c>
      <c r="Q865" t="n">
        <v>0</v>
      </c>
      <c r="R865" s="2" t="inlineStr"/>
    </row>
    <row r="866" ht="15" customHeight="1">
      <c r="A866" t="inlineStr">
        <is>
          <t>A 12043-2026</t>
        </is>
      </c>
      <c r="B866" s="1" t="n">
        <v>46086.34070601852</v>
      </c>
      <c r="C866" s="1" t="n">
        <v>46090</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5832-2026</t>
        </is>
      </c>
      <c r="B867" s="1" t="n">
        <v>46052.32890046296</v>
      </c>
      <c r="C867" s="1" t="n">
        <v>46090</v>
      </c>
      <c r="D867" t="inlineStr">
        <is>
          <t>JÄMTLANDS LÄN</t>
        </is>
      </c>
      <c r="E867" t="inlineStr">
        <is>
          <t>BERG</t>
        </is>
      </c>
      <c r="G867" t="n">
        <v>5.7</v>
      </c>
      <c r="H867" t="n">
        <v>0</v>
      </c>
      <c r="I867" t="n">
        <v>0</v>
      </c>
      <c r="J867" t="n">
        <v>0</v>
      </c>
      <c r="K867" t="n">
        <v>0</v>
      </c>
      <c r="L867" t="n">
        <v>0</v>
      </c>
      <c r="M867" t="n">
        <v>0</v>
      </c>
      <c r="N867" t="n">
        <v>0</v>
      </c>
      <c r="O867" t="n">
        <v>0</v>
      </c>
      <c r="P867" t="n">
        <v>0</v>
      </c>
      <c r="Q867" t="n">
        <v>0</v>
      </c>
      <c r="R867" s="2" t="inlineStr"/>
    </row>
    <row r="868" ht="15" customHeight="1">
      <c r="A868" t="inlineStr">
        <is>
          <t>A 15624-2023</t>
        </is>
      </c>
      <c r="B868" s="1" t="n">
        <v>45020.94496527778</v>
      </c>
      <c r="C868" s="1" t="n">
        <v>46090</v>
      </c>
      <c r="D868" t="inlineStr">
        <is>
          <t>JÄMTLANDS LÄN</t>
        </is>
      </c>
      <c r="E868" t="inlineStr">
        <is>
          <t>BERG</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6332-2026</t>
        </is>
      </c>
      <c r="B869" s="1" t="n">
        <v>46055.59442129629</v>
      </c>
      <c r="C869" s="1" t="n">
        <v>46090</v>
      </c>
      <c r="D869" t="inlineStr">
        <is>
          <t>JÄMTLANDS LÄN</t>
        </is>
      </c>
      <c r="E869" t="inlineStr">
        <is>
          <t>BERG</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20882-2023</t>
        </is>
      </c>
      <c r="B870" s="1" t="n">
        <v>45058</v>
      </c>
      <c r="C870" s="1" t="n">
        <v>46090</v>
      </c>
      <c r="D870" t="inlineStr">
        <is>
          <t>JÄMTLANDS LÄN</t>
        </is>
      </c>
      <c r="E870" t="inlineStr">
        <is>
          <t>BERG</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63559-2025</t>
        </is>
      </c>
      <c r="B871" s="1" t="n">
        <v>46013.61951388889</v>
      </c>
      <c r="C871" s="1" t="n">
        <v>46090</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5857-2026</t>
        </is>
      </c>
      <c r="B872" s="1" t="n">
        <v>46052.36511574074</v>
      </c>
      <c r="C872" s="1" t="n">
        <v>46090</v>
      </c>
      <c r="D872" t="inlineStr">
        <is>
          <t>JÄMTLANDS LÄN</t>
        </is>
      </c>
      <c r="E872" t="inlineStr">
        <is>
          <t>BERG</t>
        </is>
      </c>
      <c r="G872" t="n">
        <v>0.2</v>
      </c>
      <c r="H872" t="n">
        <v>0</v>
      </c>
      <c r="I872" t="n">
        <v>0</v>
      </c>
      <c r="J872" t="n">
        <v>0</v>
      </c>
      <c r="K872" t="n">
        <v>0</v>
      </c>
      <c r="L872" t="n">
        <v>0</v>
      </c>
      <c r="M872" t="n">
        <v>0</v>
      </c>
      <c r="N872" t="n">
        <v>0</v>
      </c>
      <c r="O872" t="n">
        <v>0</v>
      </c>
      <c r="P872" t="n">
        <v>0</v>
      </c>
      <c r="Q872" t="n">
        <v>0</v>
      </c>
      <c r="R872" s="2" t="inlineStr"/>
    </row>
    <row r="873" ht="15" customHeight="1">
      <c r="A873" t="inlineStr">
        <is>
          <t>A 5859-2026</t>
        </is>
      </c>
      <c r="B873" s="1" t="n">
        <v>46052.36515046296</v>
      </c>
      <c r="C873" s="1" t="n">
        <v>46090</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63562-2025</t>
        </is>
      </c>
      <c r="B874" s="1" t="n">
        <v>46013.62353009259</v>
      </c>
      <c r="C874" s="1" t="n">
        <v>46090</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63597-2025</t>
        </is>
      </c>
      <c r="B875" s="1" t="n">
        <v>46014.28792824074</v>
      </c>
      <c r="C875" s="1" t="n">
        <v>46090</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6872-2026</t>
        </is>
      </c>
      <c r="B876" s="1" t="n">
        <v>46057</v>
      </c>
      <c r="C876" s="1" t="n">
        <v>46090</v>
      </c>
      <c r="D876" t="inlineStr">
        <is>
          <t>JÄMTLANDS LÄN</t>
        </is>
      </c>
      <c r="E876" t="inlineStr">
        <is>
          <t>BERG</t>
        </is>
      </c>
      <c r="G876" t="n">
        <v>42.2</v>
      </c>
      <c r="H876" t="n">
        <v>0</v>
      </c>
      <c r="I876" t="n">
        <v>0</v>
      </c>
      <c r="J876" t="n">
        <v>0</v>
      </c>
      <c r="K876" t="n">
        <v>0</v>
      </c>
      <c r="L876" t="n">
        <v>0</v>
      </c>
      <c r="M876" t="n">
        <v>0</v>
      </c>
      <c r="N876" t="n">
        <v>0</v>
      </c>
      <c r="O876" t="n">
        <v>0</v>
      </c>
      <c r="P876" t="n">
        <v>0</v>
      </c>
      <c r="Q876" t="n">
        <v>0</v>
      </c>
      <c r="R876" s="2" t="inlineStr"/>
    </row>
    <row r="877" ht="15" customHeight="1">
      <c r="A877" t="inlineStr">
        <is>
          <t>A 12196-2026</t>
        </is>
      </c>
      <c r="B877" s="1" t="n">
        <v>46086.87208333334</v>
      </c>
      <c r="C877" s="1" t="n">
        <v>46090</v>
      </c>
      <c r="D877" t="inlineStr">
        <is>
          <t>JÄMTLANDS LÄN</t>
        </is>
      </c>
      <c r="E877" t="inlineStr">
        <is>
          <t>BERG</t>
        </is>
      </c>
      <c r="G877" t="n">
        <v>4.8</v>
      </c>
      <c r="H877" t="n">
        <v>0</v>
      </c>
      <c r="I877" t="n">
        <v>0</v>
      </c>
      <c r="J877" t="n">
        <v>0</v>
      </c>
      <c r="K877" t="n">
        <v>0</v>
      </c>
      <c r="L877" t="n">
        <v>0</v>
      </c>
      <c r="M877" t="n">
        <v>0</v>
      </c>
      <c r="N877" t="n">
        <v>0</v>
      </c>
      <c r="O877" t="n">
        <v>0</v>
      </c>
      <c r="P877" t="n">
        <v>0</v>
      </c>
      <c r="Q877" t="n">
        <v>0</v>
      </c>
      <c r="R877" s="2" t="inlineStr"/>
    </row>
    <row r="878" ht="15" customHeight="1">
      <c r="A878" t="inlineStr">
        <is>
          <t>A 12037-2026</t>
        </is>
      </c>
      <c r="B878" s="1" t="n">
        <v>46086.32107638889</v>
      </c>
      <c r="C878" s="1" t="n">
        <v>46090</v>
      </c>
      <c r="D878" t="inlineStr">
        <is>
          <t>JÄMTLANDS LÄN</t>
        </is>
      </c>
      <c r="E878" t="inlineStr">
        <is>
          <t>BERG</t>
        </is>
      </c>
      <c r="G878" t="n">
        <v>5.1</v>
      </c>
      <c r="H878" t="n">
        <v>0</v>
      </c>
      <c r="I878" t="n">
        <v>0</v>
      </c>
      <c r="J878" t="n">
        <v>0</v>
      </c>
      <c r="K878" t="n">
        <v>0</v>
      </c>
      <c r="L878" t="n">
        <v>0</v>
      </c>
      <c r="M878" t="n">
        <v>0</v>
      </c>
      <c r="N878" t="n">
        <v>0</v>
      </c>
      <c r="O878" t="n">
        <v>0</v>
      </c>
      <c r="P878" t="n">
        <v>0</v>
      </c>
      <c r="Q878" t="n">
        <v>0</v>
      </c>
      <c r="R878" s="2" t="inlineStr"/>
    </row>
    <row r="879" ht="15" customHeight="1">
      <c r="A879" t="inlineStr">
        <is>
          <t>A 12774-2023</t>
        </is>
      </c>
      <c r="B879" s="1" t="n">
        <v>45001</v>
      </c>
      <c r="C879" s="1" t="n">
        <v>46090</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6885-2026</t>
        </is>
      </c>
      <c r="B880" s="1" t="n">
        <v>46057</v>
      </c>
      <c r="C880" s="1" t="n">
        <v>46090</v>
      </c>
      <c r="D880" t="inlineStr">
        <is>
          <t>JÄMTLANDS LÄN</t>
        </is>
      </c>
      <c r="E880" t="inlineStr">
        <is>
          <t>BERG</t>
        </is>
      </c>
      <c r="G880" t="n">
        <v>4.6</v>
      </c>
      <c r="H880" t="n">
        <v>0</v>
      </c>
      <c r="I880" t="n">
        <v>0</v>
      </c>
      <c r="J880" t="n">
        <v>0</v>
      </c>
      <c r="K880" t="n">
        <v>0</v>
      </c>
      <c r="L880" t="n">
        <v>0</v>
      </c>
      <c r="M880" t="n">
        <v>0</v>
      </c>
      <c r="N880" t="n">
        <v>0</v>
      </c>
      <c r="O880" t="n">
        <v>0</v>
      </c>
      <c r="P880" t="n">
        <v>0</v>
      </c>
      <c r="Q880" t="n">
        <v>0</v>
      </c>
      <c r="R880" s="2" t="inlineStr"/>
    </row>
    <row r="881" ht="15" customHeight="1">
      <c r="A881" t="inlineStr">
        <is>
          <t>A 12038-2026</t>
        </is>
      </c>
      <c r="B881" s="1" t="n">
        <v>46086.32611111111</v>
      </c>
      <c r="C881" s="1" t="n">
        <v>46090</v>
      </c>
      <c r="D881" t="inlineStr">
        <is>
          <t>JÄMTLANDS LÄN</t>
        </is>
      </c>
      <c r="E881" t="inlineStr">
        <is>
          <t>BERG</t>
        </is>
      </c>
      <c r="G881" t="n">
        <v>6.3</v>
      </c>
      <c r="H881" t="n">
        <v>0</v>
      </c>
      <c r="I881" t="n">
        <v>0</v>
      </c>
      <c r="J881" t="n">
        <v>0</v>
      </c>
      <c r="K881" t="n">
        <v>0</v>
      </c>
      <c r="L881" t="n">
        <v>0</v>
      </c>
      <c r="M881" t="n">
        <v>0</v>
      </c>
      <c r="N881" t="n">
        <v>0</v>
      </c>
      <c r="O881" t="n">
        <v>0</v>
      </c>
      <c r="P881" t="n">
        <v>0</v>
      </c>
      <c r="Q881" t="n">
        <v>0</v>
      </c>
      <c r="R881" s="2" t="inlineStr"/>
    </row>
    <row r="882" ht="15" customHeight="1">
      <c r="A882" t="inlineStr">
        <is>
          <t>A 60587-2022</t>
        </is>
      </c>
      <c r="B882" s="1" t="n">
        <v>44911.58445601852</v>
      </c>
      <c r="C882" s="1" t="n">
        <v>46090</v>
      </c>
      <c r="D882" t="inlineStr">
        <is>
          <t>JÄMTLANDS LÄN</t>
        </is>
      </c>
      <c r="E882" t="inlineStr">
        <is>
          <t>BERG</t>
        </is>
      </c>
      <c r="G882" t="n">
        <v>4.8</v>
      </c>
      <c r="H882" t="n">
        <v>0</v>
      </c>
      <c r="I882" t="n">
        <v>0</v>
      </c>
      <c r="J882" t="n">
        <v>0</v>
      </c>
      <c r="K882" t="n">
        <v>0</v>
      </c>
      <c r="L882" t="n">
        <v>0</v>
      </c>
      <c r="M882" t="n">
        <v>0</v>
      </c>
      <c r="N882" t="n">
        <v>0</v>
      </c>
      <c r="O882" t="n">
        <v>0</v>
      </c>
      <c r="P882" t="n">
        <v>0</v>
      </c>
      <c r="Q882" t="n">
        <v>0</v>
      </c>
      <c r="R882" s="2" t="inlineStr"/>
    </row>
    <row r="883" ht="15" customHeight="1">
      <c r="A883" t="inlineStr">
        <is>
          <t>A 6645-2025</t>
        </is>
      </c>
      <c r="B883" s="1" t="n">
        <v>45700.39645833334</v>
      </c>
      <c r="C883" s="1" t="n">
        <v>46090</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12254-2025</t>
        </is>
      </c>
      <c r="B884" s="1" t="n">
        <v>45729</v>
      </c>
      <c r="C884" s="1" t="n">
        <v>46090</v>
      </c>
      <c r="D884" t="inlineStr">
        <is>
          <t>JÄMTLANDS LÄN</t>
        </is>
      </c>
      <c r="E884" t="inlineStr">
        <is>
          <t>BERG</t>
        </is>
      </c>
      <c r="G884" t="n">
        <v>26.3</v>
      </c>
      <c r="H884" t="n">
        <v>0</v>
      </c>
      <c r="I884" t="n">
        <v>0</v>
      </c>
      <c r="J884" t="n">
        <v>0</v>
      </c>
      <c r="K884" t="n">
        <v>0</v>
      </c>
      <c r="L884" t="n">
        <v>0</v>
      </c>
      <c r="M884" t="n">
        <v>0</v>
      </c>
      <c r="N884" t="n">
        <v>0</v>
      </c>
      <c r="O884" t="n">
        <v>0</v>
      </c>
      <c r="P884" t="n">
        <v>0</v>
      </c>
      <c r="Q884" t="n">
        <v>0</v>
      </c>
      <c r="R884" s="2" t="inlineStr"/>
    </row>
    <row r="885" ht="15" customHeight="1">
      <c r="A885" t="inlineStr">
        <is>
          <t>A 23560-2024</t>
        </is>
      </c>
      <c r="B885" s="1" t="n">
        <v>45453.95467592592</v>
      </c>
      <c r="C885" s="1" t="n">
        <v>46090</v>
      </c>
      <c r="D885" t="inlineStr">
        <is>
          <t>JÄMTLANDS LÄN</t>
        </is>
      </c>
      <c r="E885" t="inlineStr">
        <is>
          <t>BERG</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1982-2022</t>
        </is>
      </c>
      <c r="B886" s="1" t="n">
        <v>44575</v>
      </c>
      <c r="C886" s="1" t="n">
        <v>46090</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1989-2022</t>
        </is>
      </c>
      <c r="B887" s="1" t="n">
        <v>44575.55935185185</v>
      </c>
      <c r="C887" s="1" t="n">
        <v>46090</v>
      </c>
      <c r="D887" t="inlineStr">
        <is>
          <t>JÄMTLANDS LÄN</t>
        </is>
      </c>
      <c r="E887" t="inlineStr">
        <is>
          <t>BERG</t>
        </is>
      </c>
      <c r="G887" t="n">
        <v>0.7</v>
      </c>
      <c r="H887" t="n">
        <v>0</v>
      </c>
      <c r="I887" t="n">
        <v>0</v>
      </c>
      <c r="J887" t="n">
        <v>0</v>
      </c>
      <c r="K887" t="n">
        <v>0</v>
      </c>
      <c r="L887" t="n">
        <v>0</v>
      </c>
      <c r="M887" t="n">
        <v>0</v>
      </c>
      <c r="N887" t="n">
        <v>0</v>
      </c>
      <c r="O887" t="n">
        <v>0</v>
      </c>
      <c r="P887" t="n">
        <v>0</v>
      </c>
      <c r="Q887" t="n">
        <v>0</v>
      </c>
      <c r="R887" s="2" t="inlineStr"/>
    </row>
    <row r="888" ht="15" customHeight="1">
      <c r="A888" t="inlineStr">
        <is>
          <t>A 3173-2025</t>
        </is>
      </c>
      <c r="B888" s="1" t="n">
        <v>45679.38309027778</v>
      </c>
      <c r="C888" s="1" t="n">
        <v>46090</v>
      </c>
      <c r="D888" t="inlineStr">
        <is>
          <t>JÄMTLANDS LÄN</t>
        </is>
      </c>
      <c r="E888" t="inlineStr">
        <is>
          <t>BERG</t>
        </is>
      </c>
      <c r="G888" t="n">
        <v>8.9</v>
      </c>
      <c r="H888" t="n">
        <v>0</v>
      </c>
      <c r="I888" t="n">
        <v>0</v>
      </c>
      <c r="J888" t="n">
        <v>0</v>
      </c>
      <c r="K888" t="n">
        <v>0</v>
      </c>
      <c r="L888" t="n">
        <v>0</v>
      </c>
      <c r="M888" t="n">
        <v>0</v>
      </c>
      <c r="N888" t="n">
        <v>0</v>
      </c>
      <c r="O888" t="n">
        <v>0</v>
      </c>
      <c r="P888" t="n">
        <v>0</v>
      </c>
      <c r="Q888" t="n">
        <v>0</v>
      </c>
      <c r="R888" s="2" t="inlineStr"/>
    </row>
    <row r="889" ht="15" customHeight="1">
      <c r="A889" t="inlineStr">
        <is>
          <t>A 62153-2022</t>
        </is>
      </c>
      <c r="B889" s="1" t="n">
        <v>44914</v>
      </c>
      <c r="C889" s="1" t="n">
        <v>46090</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15156-2024</t>
        </is>
      </c>
      <c r="B890" s="1" t="n">
        <v>45399.94496527778</v>
      </c>
      <c r="C890" s="1" t="n">
        <v>46090</v>
      </c>
      <c r="D890" t="inlineStr">
        <is>
          <t>JÄMTLANDS LÄN</t>
        </is>
      </c>
      <c r="E890" t="inlineStr">
        <is>
          <t>BERG</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46858-2023</t>
        </is>
      </c>
      <c r="B891" s="1" t="n">
        <v>45199.97042824074</v>
      </c>
      <c r="C891" s="1" t="n">
        <v>46090</v>
      </c>
      <c r="D891" t="inlineStr">
        <is>
          <t>JÄMTLANDS LÄN</t>
        </is>
      </c>
      <c r="E891" t="inlineStr">
        <is>
          <t>BERG</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36192-2024</t>
        </is>
      </c>
      <c r="B892" s="1" t="n">
        <v>45534.42809027778</v>
      </c>
      <c r="C892" s="1" t="n">
        <v>46090</v>
      </c>
      <c r="D892" t="inlineStr">
        <is>
          <t>JÄMTLANDS LÄN</t>
        </is>
      </c>
      <c r="E892" t="inlineStr">
        <is>
          <t>BERG</t>
        </is>
      </c>
      <c r="G892" t="n">
        <v>1.4</v>
      </c>
      <c r="H892" t="n">
        <v>0</v>
      </c>
      <c r="I892" t="n">
        <v>0</v>
      </c>
      <c r="J892" t="n">
        <v>0</v>
      </c>
      <c r="K892" t="n">
        <v>0</v>
      </c>
      <c r="L892" t="n">
        <v>0</v>
      </c>
      <c r="M892" t="n">
        <v>0</v>
      </c>
      <c r="N892" t="n">
        <v>0</v>
      </c>
      <c r="O892" t="n">
        <v>0</v>
      </c>
      <c r="P892" t="n">
        <v>0</v>
      </c>
      <c r="Q892" t="n">
        <v>0</v>
      </c>
      <c r="R892" s="2" t="inlineStr"/>
    </row>
    <row r="893" ht="15" customHeight="1">
      <c r="A893" t="inlineStr">
        <is>
          <t>A 14594-2025</t>
        </is>
      </c>
      <c r="B893" s="1" t="n">
        <v>45742.34414351852</v>
      </c>
      <c r="C893" s="1" t="n">
        <v>46090</v>
      </c>
      <c r="D893" t="inlineStr">
        <is>
          <t>JÄMTLANDS LÄN</t>
        </is>
      </c>
      <c r="E893" t="inlineStr">
        <is>
          <t>BERG</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14596-2025</t>
        </is>
      </c>
      <c r="B894" s="1" t="n">
        <v>45742.34449074074</v>
      </c>
      <c r="C894" s="1" t="n">
        <v>46090</v>
      </c>
      <c r="D894" t="inlineStr">
        <is>
          <t>JÄMTLANDS LÄN</t>
        </is>
      </c>
      <c r="E894" t="inlineStr">
        <is>
          <t>BERG</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3798-2022</t>
        </is>
      </c>
      <c r="B895" s="1" t="n">
        <v>44586</v>
      </c>
      <c r="C895" s="1" t="n">
        <v>46090</v>
      </c>
      <c r="D895" t="inlineStr">
        <is>
          <t>JÄMTLANDS LÄN</t>
        </is>
      </c>
      <c r="E895" t="inlineStr">
        <is>
          <t>BERG</t>
        </is>
      </c>
      <c r="G895" t="n">
        <v>0.1</v>
      </c>
      <c r="H895" t="n">
        <v>0</v>
      </c>
      <c r="I895" t="n">
        <v>0</v>
      </c>
      <c r="J895" t="n">
        <v>0</v>
      </c>
      <c r="K895" t="n">
        <v>0</v>
      </c>
      <c r="L895" t="n">
        <v>0</v>
      </c>
      <c r="M895" t="n">
        <v>0</v>
      </c>
      <c r="N895" t="n">
        <v>0</v>
      </c>
      <c r="O895" t="n">
        <v>0</v>
      </c>
      <c r="P895" t="n">
        <v>0</v>
      </c>
      <c r="Q895" t="n">
        <v>0</v>
      </c>
      <c r="R895" s="2" t="inlineStr"/>
    </row>
    <row r="896" ht="15" customHeight="1">
      <c r="A896" t="inlineStr">
        <is>
          <t>A 11274-2025</t>
        </is>
      </c>
      <c r="B896" s="1" t="n">
        <v>45726.40868055556</v>
      </c>
      <c r="C896" s="1" t="n">
        <v>46090</v>
      </c>
      <c r="D896" t="inlineStr">
        <is>
          <t>JÄMTLANDS LÄN</t>
        </is>
      </c>
      <c r="E896" t="inlineStr">
        <is>
          <t>BERG</t>
        </is>
      </c>
      <c r="G896" t="n">
        <v>3</v>
      </c>
      <c r="H896" t="n">
        <v>0</v>
      </c>
      <c r="I896" t="n">
        <v>0</v>
      </c>
      <c r="J896" t="n">
        <v>0</v>
      </c>
      <c r="K896" t="n">
        <v>0</v>
      </c>
      <c r="L896" t="n">
        <v>0</v>
      </c>
      <c r="M896" t="n">
        <v>0</v>
      </c>
      <c r="N896" t="n">
        <v>0</v>
      </c>
      <c r="O896" t="n">
        <v>0</v>
      </c>
      <c r="P896" t="n">
        <v>0</v>
      </c>
      <c r="Q896" t="n">
        <v>0</v>
      </c>
      <c r="R896" s="2" t="inlineStr"/>
    </row>
    <row r="897" ht="15" customHeight="1">
      <c r="A897" t="inlineStr">
        <is>
          <t>A 149-2024</t>
        </is>
      </c>
      <c r="B897" s="1" t="n">
        <v>45294</v>
      </c>
      <c r="C897" s="1" t="n">
        <v>46090</v>
      </c>
      <c r="D897" t="inlineStr">
        <is>
          <t>JÄMTLANDS LÄN</t>
        </is>
      </c>
      <c r="E897" t="inlineStr">
        <is>
          <t>BERG</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36708-2023</t>
        </is>
      </c>
      <c r="B898" s="1" t="n">
        <v>45153.65226851852</v>
      </c>
      <c r="C898" s="1" t="n">
        <v>46090</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33750-2023</t>
        </is>
      </c>
      <c r="B899" s="1" t="n">
        <v>45120</v>
      </c>
      <c r="C899" s="1" t="n">
        <v>46090</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8722-2024</t>
        </is>
      </c>
      <c r="B900" s="1" t="n">
        <v>45355</v>
      </c>
      <c r="C900" s="1" t="n">
        <v>46090</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8726-2024</t>
        </is>
      </c>
      <c r="B901" s="1" t="n">
        <v>45355</v>
      </c>
      <c r="C901" s="1" t="n">
        <v>46090</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8733-2024</t>
        </is>
      </c>
      <c r="B902" s="1" t="n">
        <v>45355</v>
      </c>
      <c r="C902" s="1" t="n">
        <v>46090</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30992-2024</t>
        </is>
      </c>
      <c r="B903" s="1" t="n">
        <v>45499</v>
      </c>
      <c r="C903" s="1" t="n">
        <v>46090</v>
      </c>
      <c r="D903" t="inlineStr">
        <is>
          <t>JÄMTLANDS LÄN</t>
        </is>
      </c>
      <c r="E903" t="inlineStr">
        <is>
          <t>BERG</t>
        </is>
      </c>
      <c r="F903" t="inlineStr">
        <is>
          <t>Sveaskog</t>
        </is>
      </c>
      <c r="G903" t="n">
        <v>5.1</v>
      </c>
      <c r="H903" t="n">
        <v>0</v>
      </c>
      <c r="I903" t="n">
        <v>0</v>
      </c>
      <c r="J903" t="n">
        <v>0</v>
      </c>
      <c r="K903" t="n">
        <v>0</v>
      </c>
      <c r="L903" t="n">
        <v>0</v>
      </c>
      <c r="M903" t="n">
        <v>0</v>
      </c>
      <c r="N903" t="n">
        <v>0</v>
      </c>
      <c r="O903" t="n">
        <v>0</v>
      </c>
      <c r="P903" t="n">
        <v>0</v>
      </c>
      <c r="Q903" t="n">
        <v>0</v>
      </c>
      <c r="R903" s="2" t="inlineStr"/>
    </row>
    <row r="904" ht="15" customHeight="1">
      <c r="A904" t="inlineStr">
        <is>
          <t>A 49048-2024</t>
        </is>
      </c>
      <c r="B904" s="1" t="n">
        <v>45594.57427083333</v>
      </c>
      <c r="C904" s="1" t="n">
        <v>46090</v>
      </c>
      <c r="D904" t="inlineStr">
        <is>
          <t>JÄMTLANDS LÄN</t>
        </is>
      </c>
      <c r="E904" t="inlineStr">
        <is>
          <t>BERG</t>
        </is>
      </c>
      <c r="G904" t="n">
        <v>1.3</v>
      </c>
      <c r="H904" t="n">
        <v>0</v>
      </c>
      <c r="I904" t="n">
        <v>0</v>
      </c>
      <c r="J904" t="n">
        <v>0</v>
      </c>
      <c r="K904" t="n">
        <v>0</v>
      </c>
      <c r="L904" t="n">
        <v>0</v>
      </c>
      <c r="M904" t="n">
        <v>0</v>
      </c>
      <c r="N904" t="n">
        <v>0</v>
      </c>
      <c r="O904" t="n">
        <v>0</v>
      </c>
      <c r="P904" t="n">
        <v>0</v>
      </c>
      <c r="Q904" t="n">
        <v>0</v>
      </c>
      <c r="R904" s="2" t="inlineStr"/>
    </row>
    <row r="905" ht="15" customHeight="1">
      <c r="A905" t="inlineStr">
        <is>
          <t>A 54071-2023</t>
        </is>
      </c>
      <c r="B905" s="1" t="n">
        <v>45231</v>
      </c>
      <c r="C905" s="1" t="n">
        <v>46090</v>
      </c>
      <c r="D905" t="inlineStr">
        <is>
          <t>JÄMTLANDS LÄN</t>
        </is>
      </c>
      <c r="E905" t="inlineStr">
        <is>
          <t>BERG</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461-2023</t>
        </is>
      </c>
      <c r="B906" s="1" t="n">
        <v>44929</v>
      </c>
      <c r="C906" s="1" t="n">
        <v>46090</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525-2023</t>
        </is>
      </c>
      <c r="B907" s="1" t="n">
        <v>44924</v>
      </c>
      <c r="C907" s="1" t="n">
        <v>46090</v>
      </c>
      <c r="D907" t="inlineStr">
        <is>
          <t>JÄMTLANDS LÄN</t>
        </is>
      </c>
      <c r="E907" t="inlineStr">
        <is>
          <t>BERG</t>
        </is>
      </c>
      <c r="G907" t="n">
        <v>4</v>
      </c>
      <c r="H907" t="n">
        <v>0</v>
      </c>
      <c r="I907" t="n">
        <v>0</v>
      </c>
      <c r="J907" t="n">
        <v>0</v>
      </c>
      <c r="K907" t="n">
        <v>0</v>
      </c>
      <c r="L907" t="n">
        <v>0</v>
      </c>
      <c r="M907" t="n">
        <v>0</v>
      </c>
      <c r="N907" t="n">
        <v>0</v>
      </c>
      <c r="O907" t="n">
        <v>0</v>
      </c>
      <c r="P907" t="n">
        <v>0</v>
      </c>
      <c r="Q907" t="n">
        <v>0</v>
      </c>
      <c r="R907" s="2" t="inlineStr"/>
    </row>
    <row r="908" ht="15" customHeight="1">
      <c r="A908" t="inlineStr">
        <is>
          <t>A 26918-2024</t>
        </is>
      </c>
      <c r="B908" s="1" t="n">
        <v>45470</v>
      </c>
      <c r="C908" s="1" t="n">
        <v>46090</v>
      </c>
      <c r="D908" t="inlineStr">
        <is>
          <t>JÄMTLANDS LÄN</t>
        </is>
      </c>
      <c r="E908" t="inlineStr">
        <is>
          <t>BERG</t>
        </is>
      </c>
      <c r="G908" t="n">
        <v>0.4</v>
      </c>
      <c r="H908" t="n">
        <v>0</v>
      </c>
      <c r="I908" t="n">
        <v>0</v>
      </c>
      <c r="J908" t="n">
        <v>0</v>
      </c>
      <c r="K908" t="n">
        <v>0</v>
      </c>
      <c r="L908" t="n">
        <v>0</v>
      </c>
      <c r="M908" t="n">
        <v>0</v>
      </c>
      <c r="N908" t="n">
        <v>0</v>
      </c>
      <c r="O908" t="n">
        <v>0</v>
      </c>
      <c r="P908" t="n">
        <v>0</v>
      </c>
      <c r="Q908" t="n">
        <v>0</v>
      </c>
      <c r="R908" s="2" t="inlineStr"/>
    </row>
    <row r="909" ht="15" customHeight="1">
      <c r="A909" t="inlineStr">
        <is>
          <t>A 27579-2024</t>
        </is>
      </c>
      <c r="B909" s="1" t="n">
        <v>45474.65244212963</v>
      </c>
      <c r="C909" s="1" t="n">
        <v>46090</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54992-2023</t>
        </is>
      </c>
      <c r="B910" s="1" t="n">
        <v>45236.96789351852</v>
      </c>
      <c r="C910" s="1" t="n">
        <v>46090</v>
      </c>
      <c r="D910" t="inlineStr">
        <is>
          <t>JÄMTLANDS LÄN</t>
        </is>
      </c>
      <c r="E910" t="inlineStr">
        <is>
          <t>BERG</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54994-2023</t>
        </is>
      </c>
      <c r="B911" s="1" t="n">
        <v>45236</v>
      </c>
      <c r="C911" s="1" t="n">
        <v>46090</v>
      </c>
      <c r="D911" t="inlineStr">
        <is>
          <t>JÄMTLANDS LÄN</t>
        </is>
      </c>
      <c r="E911" t="inlineStr">
        <is>
          <t>BERG</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57226-2022</t>
        </is>
      </c>
      <c r="B912" s="1" t="n">
        <v>44895.66629629629</v>
      </c>
      <c r="C912" s="1" t="n">
        <v>46090</v>
      </c>
      <c r="D912" t="inlineStr">
        <is>
          <t>JÄMTLANDS LÄN</t>
        </is>
      </c>
      <c r="E912" t="inlineStr">
        <is>
          <t>BERG</t>
        </is>
      </c>
      <c r="G912" t="n">
        <v>4.6</v>
      </c>
      <c r="H912" t="n">
        <v>0</v>
      </c>
      <c r="I912" t="n">
        <v>0</v>
      </c>
      <c r="J912" t="n">
        <v>0</v>
      </c>
      <c r="K912" t="n">
        <v>0</v>
      </c>
      <c r="L912" t="n">
        <v>0</v>
      </c>
      <c r="M912" t="n">
        <v>0</v>
      </c>
      <c r="N912" t="n">
        <v>0</v>
      </c>
      <c r="O912" t="n">
        <v>0</v>
      </c>
      <c r="P912" t="n">
        <v>0</v>
      </c>
      <c r="Q912" t="n">
        <v>0</v>
      </c>
      <c r="R912" s="2" t="inlineStr"/>
    </row>
    <row r="913" ht="15" customHeight="1">
      <c r="A913" t="inlineStr">
        <is>
          <t>A 5911-2024</t>
        </is>
      </c>
      <c r="B913" s="1" t="n">
        <v>45335</v>
      </c>
      <c r="C913" s="1" t="n">
        <v>46090</v>
      </c>
      <c r="D913" t="inlineStr">
        <is>
          <t>JÄMTLANDS LÄN</t>
        </is>
      </c>
      <c r="E913" t="inlineStr">
        <is>
          <t>BERG</t>
        </is>
      </c>
      <c r="F913" t="inlineStr">
        <is>
          <t>SCA</t>
        </is>
      </c>
      <c r="G913" t="n">
        <v>28.6</v>
      </c>
      <c r="H913" t="n">
        <v>0</v>
      </c>
      <c r="I913" t="n">
        <v>0</v>
      </c>
      <c r="J913" t="n">
        <v>0</v>
      </c>
      <c r="K913" t="n">
        <v>0</v>
      </c>
      <c r="L913" t="n">
        <v>0</v>
      </c>
      <c r="M913" t="n">
        <v>0</v>
      </c>
      <c r="N913" t="n">
        <v>0</v>
      </c>
      <c r="O913" t="n">
        <v>0</v>
      </c>
      <c r="P913" t="n">
        <v>0</v>
      </c>
      <c r="Q913" t="n">
        <v>0</v>
      </c>
      <c r="R913" s="2" t="inlineStr"/>
    </row>
    <row r="914" ht="15" customHeight="1">
      <c r="A914" t="inlineStr">
        <is>
          <t>A 25306-2023</t>
        </is>
      </c>
      <c r="B914" s="1" t="n">
        <v>45086</v>
      </c>
      <c r="C914" s="1" t="n">
        <v>46090</v>
      </c>
      <c r="D914" t="inlineStr">
        <is>
          <t>JÄMTLANDS LÄN</t>
        </is>
      </c>
      <c r="E914" t="inlineStr">
        <is>
          <t>BERG</t>
        </is>
      </c>
      <c r="G914" t="n">
        <v>23.3</v>
      </c>
      <c r="H914" t="n">
        <v>0</v>
      </c>
      <c r="I914" t="n">
        <v>0</v>
      </c>
      <c r="J914" t="n">
        <v>0</v>
      </c>
      <c r="K914" t="n">
        <v>0</v>
      </c>
      <c r="L914" t="n">
        <v>0</v>
      </c>
      <c r="M914" t="n">
        <v>0</v>
      </c>
      <c r="N914" t="n">
        <v>0</v>
      </c>
      <c r="O914" t="n">
        <v>0</v>
      </c>
      <c r="P914" t="n">
        <v>0</v>
      </c>
      <c r="Q914" t="n">
        <v>0</v>
      </c>
      <c r="R914" s="2" t="inlineStr"/>
    </row>
    <row r="915" ht="15" customHeight="1">
      <c r="A915" t="inlineStr">
        <is>
          <t>A 13373-2024</t>
        </is>
      </c>
      <c r="B915" s="1" t="n">
        <v>45387.37010416666</v>
      </c>
      <c r="C915" s="1" t="n">
        <v>46090</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52774-2023</t>
        </is>
      </c>
      <c r="B916" s="1" t="n">
        <v>45219</v>
      </c>
      <c r="C916" s="1" t="n">
        <v>46090</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24011-2023</t>
        </is>
      </c>
      <c r="B917" s="1" t="n">
        <v>45078</v>
      </c>
      <c r="C917" s="1" t="n">
        <v>46090</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11704-2023</t>
        </is>
      </c>
      <c r="B918" s="1" t="n">
        <v>44994.54274305556</v>
      </c>
      <c r="C918" s="1" t="n">
        <v>46090</v>
      </c>
      <c r="D918" t="inlineStr">
        <is>
          <t>JÄMTLANDS LÄN</t>
        </is>
      </c>
      <c r="E918" t="inlineStr">
        <is>
          <t>BERG</t>
        </is>
      </c>
      <c r="G918" t="n">
        <v>1</v>
      </c>
      <c r="H918" t="n">
        <v>0</v>
      </c>
      <c r="I918" t="n">
        <v>0</v>
      </c>
      <c r="J918" t="n">
        <v>0</v>
      </c>
      <c r="K918" t="n">
        <v>0</v>
      </c>
      <c r="L918" t="n">
        <v>0</v>
      </c>
      <c r="M918" t="n">
        <v>0</v>
      </c>
      <c r="N918" t="n">
        <v>0</v>
      </c>
      <c r="O918" t="n">
        <v>0</v>
      </c>
      <c r="P918" t="n">
        <v>0</v>
      </c>
      <c r="Q918" t="n">
        <v>0</v>
      </c>
      <c r="R918" s="2" t="inlineStr"/>
    </row>
    <row r="919" ht="15" customHeight="1">
      <c r="A919" t="inlineStr">
        <is>
          <t>A 59459-2024</t>
        </is>
      </c>
      <c r="B919" s="1" t="n">
        <v>45638</v>
      </c>
      <c r="C919" s="1" t="n">
        <v>46090</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14153-2023</t>
        </is>
      </c>
      <c r="B920" s="1" t="n">
        <v>45008</v>
      </c>
      <c r="C920" s="1" t="n">
        <v>46090</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20899-2023</t>
        </is>
      </c>
      <c r="B921" s="1" t="n">
        <v>45060</v>
      </c>
      <c r="C921" s="1" t="n">
        <v>46090</v>
      </c>
      <c r="D921" t="inlineStr">
        <is>
          <t>JÄMTLANDS LÄN</t>
        </is>
      </c>
      <c r="E921" t="inlineStr">
        <is>
          <t>BERG</t>
        </is>
      </c>
      <c r="G921" t="n">
        <v>1.9</v>
      </c>
      <c r="H921" t="n">
        <v>0</v>
      </c>
      <c r="I921" t="n">
        <v>0</v>
      </c>
      <c r="J921" t="n">
        <v>0</v>
      </c>
      <c r="K921" t="n">
        <v>0</v>
      </c>
      <c r="L921" t="n">
        <v>0</v>
      </c>
      <c r="M921" t="n">
        <v>0</v>
      </c>
      <c r="N921" t="n">
        <v>0</v>
      </c>
      <c r="O921" t="n">
        <v>0</v>
      </c>
      <c r="P921" t="n">
        <v>0</v>
      </c>
      <c r="Q921" t="n">
        <v>0</v>
      </c>
      <c r="R921" s="2" t="inlineStr"/>
    </row>
    <row r="922" ht="15" customHeight="1">
      <c r="A922" t="inlineStr">
        <is>
          <t>A 41106-2023</t>
        </is>
      </c>
      <c r="B922" s="1" t="n">
        <v>45170</v>
      </c>
      <c r="C922" s="1" t="n">
        <v>46090</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7744-2024</t>
        </is>
      </c>
      <c r="B923" s="1" t="n">
        <v>45349</v>
      </c>
      <c r="C923" s="1" t="n">
        <v>46090</v>
      </c>
      <c r="D923" t="inlineStr">
        <is>
          <t>JÄMTLANDS LÄN</t>
        </is>
      </c>
      <c r="E923" t="inlineStr">
        <is>
          <t>BERG</t>
        </is>
      </c>
      <c r="G923" t="n">
        <v>1.7</v>
      </c>
      <c r="H923" t="n">
        <v>0</v>
      </c>
      <c r="I923" t="n">
        <v>0</v>
      </c>
      <c r="J923" t="n">
        <v>0</v>
      </c>
      <c r="K923" t="n">
        <v>0</v>
      </c>
      <c r="L923" t="n">
        <v>0</v>
      </c>
      <c r="M923" t="n">
        <v>0</v>
      </c>
      <c r="N923" t="n">
        <v>0</v>
      </c>
      <c r="O923" t="n">
        <v>0</v>
      </c>
      <c r="P923" t="n">
        <v>0</v>
      </c>
      <c r="Q923" t="n">
        <v>0</v>
      </c>
      <c r="R923" s="2" t="inlineStr"/>
    </row>
    <row r="924" ht="15" customHeight="1">
      <c r="A924" t="inlineStr">
        <is>
          <t>A 511-2025</t>
        </is>
      </c>
      <c r="B924" s="1" t="n">
        <v>45664.47284722222</v>
      </c>
      <c r="C924" s="1" t="n">
        <v>46090</v>
      </c>
      <c r="D924" t="inlineStr">
        <is>
          <t>JÄMTLANDS LÄN</t>
        </is>
      </c>
      <c r="E924" t="inlineStr">
        <is>
          <t>BERG</t>
        </is>
      </c>
      <c r="G924" t="n">
        <v>4.5</v>
      </c>
      <c r="H924" t="n">
        <v>0</v>
      </c>
      <c r="I924" t="n">
        <v>0</v>
      </c>
      <c r="J924" t="n">
        <v>0</v>
      </c>
      <c r="K924" t="n">
        <v>0</v>
      </c>
      <c r="L924" t="n">
        <v>0</v>
      </c>
      <c r="M924" t="n">
        <v>0</v>
      </c>
      <c r="N924" t="n">
        <v>0</v>
      </c>
      <c r="O924" t="n">
        <v>0</v>
      </c>
      <c r="P924" t="n">
        <v>0</v>
      </c>
      <c r="Q924" t="n">
        <v>0</v>
      </c>
      <c r="R924" s="2" t="inlineStr"/>
    </row>
    <row r="925" ht="15" customHeight="1">
      <c r="A925" t="inlineStr">
        <is>
          <t>A 40415-2023</t>
        </is>
      </c>
      <c r="B925" s="1" t="n">
        <v>45169.93925925926</v>
      </c>
      <c r="C925" s="1" t="n">
        <v>46090</v>
      </c>
      <c r="D925" t="inlineStr">
        <is>
          <t>JÄMTLANDS LÄN</t>
        </is>
      </c>
      <c r="E925" t="inlineStr">
        <is>
          <t>BERG</t>
        </is>
      </c>
      <c r="F925" t="inlineStr">
        <is>
          <t>SCA</t>
        </is>
      </c>
      <c r="G925" t="n">
        <v>10.2</v>
      </c>
      <c r="H925" t="n">
        <v>0</v>
      </c>
      <c r="I925" t="n">
        <v>0</v>
      </c>
      <c r="J925" t="n">
        <v>0</v>
      </c>
      <c r="K925" t="n">
        <v>0</v>
      </c>
      <c r="L925" t="n">
        <v>0</v>
      </c>
      <c r="M925" t="n">
        <v>0</v>
      </c>
      <c r="N925" t="n">
        <v>0</v>
      </c>
      <c r="O925" t="n">
        <v>0</v>
      </c>
      <c r="P925" t="n">
        <v>0</v>
      </c>
      <c r="Q925" t="n">
        <v>0</v>
      </c>
      <c r="R925" s="2" t="inlineStr"/>
    </row>
    <row r="926" ht="15" customHeight="1">
      <c r="A926" t="inlineStr">
        <is>
          <t>A 12611-2025</t>
        </is>
      </c>
      <c r="B926" s="1" t="n">
        <v>45733.33921296296</v>
      </c>
      <c r="C926" s="1" t="n">
        <v>46090</v>
      </c>
      <c r="D926" t="inlineStr">
        <is>
          <t>JÄMTLANDS LÄN</t>
        </is>
      </c>
      <c r="E926" t="inlineStr">
        <is>
          <t>BERG</t>
        </is>
      </c>
      <c r="G926" t="n">
        <v>7.7</v>
      </c>
      <c r="H926" t="n">
        <v>0</v>
      </c>
      <c r="I926" t="n">
        <v>0</v>
      </c>
      <c r="J926" t="n">
        <v>0</v>
      </c>
      <c r="K926" t="n">
        <v>0</v>
      </c>
      <c r="L926" t="n">
        <v>0</v>
      </c>
      <c r="M926" t="n">
        <v>0</v>
      </c>
      <c r="N926" t="n">
        <v>0</v>
      </c>
      <c r="O926" t="n">
        <v>0</v>
      </c>
      <c r="P926" t="n">
        <v>0</v>
      </c>
      <c r="Q926" t="n">
        <v>0</v>
      </c>
      <c r="R926" s="2" t="inlineStr"/>
    </row>
    <row r="927" ht="15" customHeight="1">
      <c r="A927" t="inlineStr">
        <is>
          <t>A 2247-2025</t>
        </is>
      </c>
      <c r="B927" s="1" t="n">
        <v>45673.49039351852</v>
      </c>
      <c r="C927" s="1" t="n">
        <v>46090</v>
      </c>
      <c r="D927" t="inlineStr">
        <is>
          <t>JÄMTLANDS LÄN</t>
        </is>
      </c>
      <c r="E927" t="inlineStr">
        <is>
          <t>BERG</t>
        </is>
      </c>
      <c r="F927" t="inlineStr">
        <is>
          <t>SCA</t>
        </is>
      </c>
      <c r="G927" t="n">
        <v>13.3</v>
      </c>
      <c r="H927" t="n">
        <v>0</v>
      </c>
      <c r="I927" t="n">
        <v>0</v>
      </c>
      <c r="J927" t="n">
        <v>0</v>
      </c>
      <c r="K927" t="n">
        <v>0</v>
      </c>
      <c r="L927" t="n">
        <v>0</v>
      </c>
      <c r="M927" t="n">
        <v>0</v>
      </c>
      <c r="N927" t="n">
        <v>0</v>
      </c>
      <c r="O927" t="n">
        <v>0</v>
      </c>
      <c r="P927" t="n">
        <v>0</v>
      </c>
      <c r="Q927" t="n">
        <v>0</v>
      </c>
      <c r="R927" s="2" t="inlineStr"/>
    </row>
    <row r="928" ht="15" customHeight="1">
      <c r="A928" t="inlineStr">
        <is>
          <t>A 1983-2022</t>
        </is>
      </c>
      <c r="B928" s="1" t="n">
        <v>44575</v>
      </c>
      <c r="C928" s="1" t="n">
        <v>46090</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13936-2024</t>
        </is>
      </c>
      <c r="B929" s="1" t="n">
        <v>45391.9533912037</v>
      </c>
      <c r="C929" s="1" t="n">
        <v>46090</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37098-2024</t>
        </is>
      </c>
      <c r="B930" s="1" t="n">
        <v>45539.50243055556</v>
      </c>
      <c r="C930" s="1" t="n">
        <v>46090</v>
      </c>
      <c r="D930" t="inlineStr">
        <is>
          <t>JÄMTLANDS LÄN</t>
        </is>
      </c>
      <c r="E930" t="inlineStr">
        <is>
          <t>BERG</t>
        </is>
      </c>
      <c r="F930" t="inlineStr">
        <is>
          <t>Övriga Aktiebolag</t>
        </is>
      </c>
      <c r="G930" t="n">
        <v>4.5</v>
      </c>
      <c r="H930" t="n">
        <v>0</v>
      </c>
      <c r="I930" t="n">
        <v>0</v>
      </c>
      <c r="J930" t="n">
        <v>0</v>
      </c>
      <c r="K930" t="n">
        <v>0</v>
      </c>
      <c r="L930" t="n">
        <v>0</v>
      </c>
      <c r="M930" t="n">
        <v>0</v>
      </c>
      <c r="N930" t="n">
        <v>0</v>
      </c>
      <c r="O930" t="n">
        <v>0</v>
      </c>
      <c r="P930" t="n">
        <v>0</v>
      </c>
      <c r="Q930" t="n">
        <v>0</v>
      </c>
      <c r="R930" s="2" t="inlineStr"/>
    </row>
    <row r="931" ht="15" customHeight="1">
      <c r="A931" t="inlineStr">
        <is>
          <t>A 44088-2021</t>
        </is>
      </c>
      <c r="B931" s="1" t="n">
        <v>44434</v>
      </c>
      <c r="C931" s="1" t="n">
        <v>46090</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26959-2022</t>
        </is>
      </c>
      <c r="B932" s="1" t="n">
        <v>44740.66048611111</v>
      </c>
      <c r="C932" s="1" t="n">
        <v>46090</v>
      </c>
      <c r="D932" t="inlineStr">
        <is>
          <t>JÄMTLANDS LÄN</t>
        </is>
      </c>
      <c r="E932" t="inlineStr">
        <is>
          <t>BERG</t>
        </is>
      </c>
      <c r="G932" t="n">
        <v>2.8</v>
      </c>
      <c r="H932" t="n">
        <v>0</v>
      </c>
      <c r="I932" t="n">
        <v>0</v>
      </c>
      <c r="J932" t="n">
        <v>0</v>
      </c>
      <c r="K932" t="n">
        <v>0</v>
      </c>
      <c r="L932" t="n">
        <v>0</v>
      </c>
      <c r="M932" t="n">
        <v>0</v>
      </c>
      <c r="N932" t="n">
        <v>0</v>
      </c>
      <c r="O932" t="n">
        <v>0</v>
      </c>
      <c r="P932" t="n">
        <v>0</v>
      </c>
      <c r="Q932" t="n">
        <v>0</v>
      </c>
      <c r="R932" s="2" t="inlineStr"/>
    </row>
    <row r="933" ht="15" customHeight="1">
      <c r="A933" t="inlineStr">
        <is>
          <t>A 2855-2025</t>
        </is>
      </c>
      <c r="B933" s="1" t="n">
        <v>45678</v>
      </c>
      <c r="C933" s="1" t="n">
        <v>46090</v>
      </c>
      <c r="D933" t="inlineStr">
        <is>
          <t>JÄMTLANDS LÄN</t>
        </is>
      </c>
      <c r="E933" t="inlineStr">
        <is>
          <t>BERG</t>
        </is>
      </c>
      <c r="G933" t="n">
        <v>1</v>
      </c>
      <c r="H933" t="n">
        <v>0</v>
      </c>
      <c r="I933" t="n">
        <v>0</v>
      </c>
      <c r="J933" t="n">
        <v>0</v>
      </c>
      <c r="K933" t="n">
        <v>0</v>
      </c>
      <c r="L933" t="n">
        <v>0</v>
      </c>
      <c r="M933" t="n">
        <v>0</v>
      </c>
      <c r="N933" t="n">
        <v>0</v>
      </c>
      <c r="O933" t="n">
        <v>0</v>
      </c>
      <c r="P933" t="n">
        <v>0</v>
      </c>
      <c r="Q933" t="n">
        <v>0</v>
      </c>
      <c r="R933" s="2" t="inlineStr"/>
    </row>
    <row r="934" ht="15" customHeight="1">
      <c r="A934" t="inlineStr">
        <is>
          <t>A 57905-2024</t>
        </is>
      </c>
      <c r="B934" s="1" t="n">
        <v>45631.48989583334</v>
      </c>
      <c r="C934" s="1" t="n">
        <v>46090</v>
      </c>
      <c r="D934" t="inlineStr">
        <is>
          <t>JÄMTLANDS LÄN</t>
        </is>
      </c>
      <c r="E934" t="inlineStr">
        <is>
          <t>BERG</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41782-2024</t>
        </is>
      </c>
      <c r="B935" s="1" t="n">
        <v>45561</v>
      </c>
      <c r="C935" s="1" t="n">
        <v>46090</v>
      </c>
      <c r="D935" t="inlineStr">
        <is>
          <t>JÄMTLANDS LÄN</t>
        </is>
      </c>
      <c r="E935" t="inlineStr">
        <is>
          <t>BERG</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10465-2023</t>
        </is>
      </c>
      <c r="B936" s="1" t="n">
        <v>44987.60319444445</v>
      </c>
      <c r="C936" s="1" t="n">
        <v>46090</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18551-2025</t>
        </is>
      </c>
      <c r="B937" s="1" t="n">
        <v>45763.43650462963</v>
      </c>
      <c r="C937" s="1" t="n">
        <v>46090</v>
      </c>
      <c r="D937" t="inlineStr">
        <is>
          <t>JÄMTLANDS LÄN</t>
        </is>
      </c>
      <c r="E937" t="inlineStr">
        <is>
          <t>BERG</t>
        </is>
      </c>
      <c r="G937" t="n">
        <v>3.5</v>
      </c>
      <c r="H937" t="n">
        <v>0</v>
      </c>
      <c r="I937" t="n">
        <v>0</v>
      </c>
      <c r="J937" t="n">
        <v>0</v>
      </c>
      <c r="K937" t="n">
        <v>0</v>
      </c>
      <c r="L937" t="n">
        <v>0</v>
      </c>
      <c r="M937" t="n">
        <v>0</v>
      </c>
      <c r="N937" t="n">
        <v>0</v>
      </c>
      <c r="O937" t="n">
        <v>0</v>
      </c>
      <c r="P937" t="n">
        <v>0</v>
      </c>
      <c r="Q937" t="n">
        <v>0</v>
      </c>
      <c r="R937" s="2" t="inlineStr"/>
    </row>
    <row r="938" ht="15" customHeight="1">
      <c r="A938" t="inlineStr">
        <is>
          <t>A 31131-2024</t>
        </is>
      </c>
      <c r="B938" s="1" t="n">
        <v>45502</v>
      </c>
      <c r="C938" s="1" t="n">
        <v>46090</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31154-2024</t>
        </is>
      </c>
      <c r="B939" s="1" t="n">
        <v>45503.32976851852</v>
      </c>
      <c r="C939" s="1" t="n">
        <v>46090</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17929-2024</t>
        </is>
      </c>
      <c r="B940" s="1" t="n">
        <v>45419.60266203704</v>
      </c>
      <c r="C940" s="1" t="n">
        <v>46090</v>
      </c>
      <c r="D940" t="inlineStr">
        <is>
          <t>JÄMTLANDS LÄN</t>
        </is>
      </c>
      <c r="E940" t="inlineStr">
        <is>
          <t>BERG</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7447-2022</t>
        </is>
      </c>
      <c r="B941" s="1" t="n">
        <v>44606</v>
      </c>
      <c r="C941" s="1" t="n">
        <v>46090</v>
      </c>
      <c r="D941" t="inlineStr">
        <is>
          <t>JÄMTLANDS LÄN</t>
        </is>
      </c>
      <c r="E941" t="inlineStr">
        <is>
          <t>BERG</t>
        </is>
      </c>
      <c r="G941" t="n">
        <v>0.9</v>
      </c>
      <c r="H941" t="n">
        <v>0</v>
      </c>
      <c r="I941" t="n">
        <v>0</v>
      </c>
      <c r="J941" t="n">
        <v>0</v>
      </c>
      <c r="K941" t="n">
        <v>0</v>
      </c>
      <c r="L941" t="n">
        <v>0</v>
      </c>
      <c r="M941" t="n">
        <v>0</v>
      </c>
      <c r="N941" t="n">
        <v>0</v>
      </c>
      <c r="O941" t="n">
        <v>0</v>
      </c>
      <c r="P941" t="n">
        <v>0</v>
      </c>
      <c r="Q941" t="n">
        <v>0</v>
      </c>
      <c r="R941" s="2" t="inlineStr"/>
    </row>
    <row r="942" ht="15" customHeight="1">
      <c r="A942" t="inlineStr">
        <is>
          <t>A 41105-2023</t>
        </is>
      </c>
      <c r="B942" s="1" t="n">
        <v>45170</v>
      </c>
      <c r="C942" s="1" t="n">
        <v>46090</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61980-2024</t>
        </is>
      </c>
      <c r="B943" s="1" t="n">
        <v>45653.66269675926</v>
      </c>
      <c r="C943" s="1" t="n">
        <v>46090</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18112-2024</t>
        </is>
      </c>
      <c r="B944" s="1" t="n">
        <v>45420.49851851852</v>
      </c>
      <c r="C944" s="1" t="n">
        <v>46090</v>
      </c>
      <c r="D944" t="inlineStr">
        <is>
          <t>JÄMTLANDS LÄN</t>
        </is>
      </c>
      <c r="E944" t="inlineStr">
        <is>
          <t>BERG</t>
        </is>
      </c>
      <c r="F944" t="inlineStr">
        <is>
          <t>Holmen skog AB</t>
        </is>
      </c>
      <c r="G944" t="n">
        <v>16.6</v>
      </c>
      <c r="H944" t="n">
        <v>0</v>
      </c>
      <c r="I944" t="n">
        <v>0</v>
      </c>
      <c r="J944" t="n">
        <v>0</v>
      </c>
      <c r="K944" t="n">
        <v>0</v>
      </c>
      <c r="L944" t="n">
        <v>0</v>
      </c>
      <c r="M944" t="n">
        <v>0</v>
      </c>
      <c r="N944" t="n">
        <v>0</v>
      </c>
      <c r="O944" t="n">
        <v>0</v>
      </c>
      <c r="P944" t="n">
        <v>0</v>
      </c>
      <c r="Q944" t="n">
        <v>0</v>
      </c>
      <c r="R944" s="2" t="inlineStr"/>
    </row>
    <row r="945" ht="15" customHeight="1">
      <c r="A945" t="inlineStr">
        <is>
          <t>A 13436-2024</t>
        </is>
      </c>
      <c r="B945" s="1" t="n">
        <v>45387.4865625</v>
      </c>
      <c r="C945" s="1" t="n">
        <v>46090</v>
      </c>
      <c r="D945" t="inlineStr">
        <is>
          <t>JÄMTLANDS LÄN</t>
        </is>
      </c>
      <c r="E945" t="inlineStr">
        <is>
          <t>BERG</t>
        </is>
      </c>
      <c r="G945" t="n">
        <v>28.9</v>
      </c>
      <c r="H945" t="n">
        <v>0</v>
      </c>
      <c r="I945" t="n">
        <v>0</v>
      </c>
      <c r="J945" t="n">
        <v>0</v>
      </c>
      <c r="K945" t="n">
        <v>0</v>
      </c>
      <c r="L945" t="n">
        <v>0</v>
      </c>
      <c r="M945" t="n">
        <v>0</v>
      </c>
      <c r="N945" t="n">
        <v>0</v>
      </c>
      <c r="O945" t="n">
        <v>0</v>
      </c>
      <c r="P945" t="n">
        <v>0</v>
      </c>
      <c r="Q945" t="n">
        <v>0</v>
      </c>
      <c r="R945" s="2" t="inlineStr"/>
    </row>
    <row r="946" ht="15" customHeight="1">
      <c r="A946" t="inlineStr">
        <is>
          <t>A 18153-2024</t>
        </is>
      </c>
      <c r="B946" s="1" t="n">
        <v>45420</v>
      </c>
      <c r="C946" s="1" t="n">
        <v>46090</v>
      </c>
      <c r="D946" t="inlineStr">
        <is>
          <t>JÄMTLANDS LÄN</t>
        </is>
      </c>
      <c r="E946" t="inlineStr">
        <is>
          <t>BERG</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46874-2023</t>
        </is>
      </c>
      <c r="B947" s="1" t="n">
        <v>45200</v>
      </c>
      <c r="C947" s="1" t="n">
        <v>46090</v>
      </c>
      <c r="D947" t="inlineStr">
        <is>
          <t>JÄMTLANDS LÄN</t>
        </is>
      </c>
      <c r="E947" t="inlineStr">
        <is>
          <t>BERG</t>
        </is>
      </c>
      <c r="F947" t="inlineStr">
        <is>
          <t>Naturvårdsverket</t>
        </is>
      </c>
      <c r="G947" t="n">
        <v>1.1</v>
      </c>
      <c r="H947" t="n">
        <v>0</v>
      </c>
      <c r="I947" t="n">
        <v>0</v>
      </c>
      <c r="J947" t="n">
        <v>0</v>
      </c>
      <c r="K947" t="n">
        <v>0</v>
      </c>
      <c r="L947" t="n">
        <v>0</v>
      </c>
      <c r="M947" t="n">
        <v>0</v>
      </c>
      <c r="N947" t="n">
        <v>0</v>
      </c>
      <c r="O947" t="n">
        <v>0</v>
      </c>
      <c r="P947" t="n">
        <v>0</v>
      </c>
      <c r="Q947" t="n">
        <v>0</v>
      </c>
      <c r="R947" s="2" t="inlineStr"/>
    </row>
    <row r="948" ht="15" customHeight="1">
      <c r="A948" t="inlineStr">
        <is>
          <t>A 47304-2023</t>
        </is>
      </c>
      <c r="B948" s="1" t="n">
        <v>45202.48180555556</v>
      </c>
      <c r="C948" s="1" t="n">
        <v>46090</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14697-2025</t>
        </is>
      </c>
      <c r="B949" s="1" t="n">
        <v>45742.59415509259</v>
      </c>
      <c r="C949" s="1" t="n">
        <v>46090</v>
      </c>
      <c r="D949" t="inlineStr">
        <is>
          <t>JÄMTLANDS LÄN</t>
        </is>
      </c>
      <c r="E949" t="inlineStr">
        <is>
          <t>BERG</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54415-2023</t>
        </is>
      </c>
      <c r="B950" s="1" t="n">
        <v>45233.40039351852</v>
      </c>
      <c r="C950" s="1" t="n">
        <v>46090</v>
      </c>
      <c r="D950" t="inlineStr">
        <is>
          <t>JÄMTLANDS LÄN</t>
        </is>
      </c>
      <c r="E950" t="inlineStr">
        <is>
          <t>BERG</t>
        </is>
      </c>
      <c r="G950" t="n">
        <v>1.5</v>
      </c>
      <c r="H950" t="n">
        <v>0</v>
      </c>
      <c r="I950" t="n">
        <v>0</v>
      </c>
      <c r="J950" t="n">
        <v>0</v>
      </c>
      <c r="K950" t="n">
        <v>0</v>
      </c>
      <c r="L950" t="n">
        <v>0</v>
      </c>
      <c r="M950" t="n">
        <v>0</v>
      </c>
      <c r="N950" t="n">
        <v>0</v>
      </c>
      <c r="O950" t="n">
        <v>0</v>
      </c>
      <c r="P950" t="n">
        <v>0</v>
      </c>
      <c r="Q950" t="n">
        <v>0</v>
      </c>
      <c r="R950" s="2" t="inlineStr"/>
    </row>
    <row r="951" ht="15" customHeight="1">
      <c r="A951" t="inlineStr">
        <is>
          <t>A 24307-2023</t>
        </is>
      </c>
      <c r="B951" s="1" t="n">
        <v>45079.94229166667</v>
      </c>
      <c r="C951" s="1" t="n">
        <v>46090</v>
      </c>
      <c r="D951" t="inlineStr">
        <is>
          <t>JÄMTLANDS LÄN</t>
        </is>
      </c>
      <c r="E951" t="inlineStr">
        <is>
          <t>BERG</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40990-2022</t>
        </is>
      </c>
      <c r="B952" s="1" t="n">
        <v>44823</v>
      </c>
      <c r="C952" s="1" t="n">
        <v>46090</v>
      </c>
      <c r="D952" t="inlineStr">
        <is>
          <t>JÄMTLANDS LÄN</t>
        </is>
      </c>
      <c r="E952" t="inlineStr">
        <is>
          <t>BERG</t>
        </is>
      </c>
      <c r="G952" t="n">
        <v>11.7</v>
      </c>
      <c r="H952" t="n">
        <v>0</v>
      </c>
      <c r="I952" t="n">
        <v>0</v>
      </c>
      <c r="J952" t="n">
        <v>0</v>
      </c>
      <c r="K952" t="n">
        <v>0</v>
      </c>
      <c r="L952" t="n">
        <v>0</v>
      </c>
      <c r="M952" t="n">
        <v>0</v>
      </c>
      <c r="N952" t="n">
        <v>0</v>
      </c>
      <c r="O952" t="n">
        <v>0</v>
      </c>
      <c r="P952" t="n">
        <v>0</v>
      </c>
      <c r="Q952" t="n">
        <v>0</v>
      </c>
      <c r="R952" s="2" t="inlineStr"/>
    </row>
    <row r="953" ht="15" customHeight="1">
      <c r="A953" t="inlineStr">
        <is>
          <t>A 21521-2024</t>
        </is>
      </c>
      <c r="B953" s="1" t="n">
        <v>45441.58313657407</v>
      </c>
      <c r="C953" s="1" t="n">
        <v>46090</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54998-2023</t>
        </is>
      </c>
      <c r="B954" s="1" t="n">
        <v>45236</v>
      </c>
      <c r="C954" s="1" t="n">
        <v>46090</v>
      </c>
      <c r="D954" t="inlineStr">
        <is>
          <t>JÄMTLANDS LÄN</t>
        </is>
      </c>
      <c r="E954" t="inlineStr">
        <is>
          <t>BERG</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32156-2024</t>
        </is>
      </c>
      <c r="B955" s="1" t="n">
        <v>45511</v>
      </c>
      <c r="C955" s="1" t="n">
        <v>46090</v>
      </c>
      <c r="D955" t="inlineStr">
        <is>
          <t>JÄMTLANDS LÄN</t>
        </is>
      </c>
      <c r="E955" t="inlineStr">
        <is>
          <t>BERG</t>
        </is>
      </c>
      <c r="G955" t="n">
        <v>3.4</v>
      </c>
      <c r="H955" t="n">
        <v>0</v>
      </c>
      <c r="I955" t="n">
        <v>0</v>
      </c>
      <c r="J955" t="n">
        <v>0</v>
      </c>
      <c r="K955" t="n">
        <v>0</v>
      </c>
      <c r="L955" t="n">
        <v>0</v>
      </c>
      <c r="M955" t="n">
        <v>0</v>
      </c>
      <c r="N955" t="n">
        <v>0</v>
      </c>
      <c r="O955" t="n">
        <v>0</v>
      </c>
      <c r="P955" t="n">
        <v>0</v>
      </c>
      <c r="Q955" t="n">
        <v>0</v>
      </c>
      <c r="R955" s="2" t="inlineStr"/>
    </row>
    <row r="956" ht="15" customHeight="1">
      <c r="A956" t="inlineStr">
        <is>
          <t>A 23165-2024</t>
        </is>
      </c>
      <c r="B956" s="1" t="n">
        <v>45450</v>
      </c>
      <c r="C956" s="1" t="n">
        <v>46090</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19345-2024</t>
        </is>
      </c>
      <c r="B957" s="1" t="n">
        <v>45428.97185185185</v>
      </c>
      <c r="C957" s="1" t="n">
        <v>46090</v>
      </c>
      <c r="D957" t="inlineStr">
        <is>
          <t>JÄMTLANDS LÄN</t>
        </is>
      </c>
      <c r="E957" t="inlineStr">
        <is>
          <t>BERG</t>
        </is>
      </c>
      <c r="F957" t="inlineStr">
        <is>
          <t>SCA</t>
        </is>
      </c>
      <c r="G957" t="n">
        <v>14.7</v>
      </c>
      <c r="H957" t="n">
        <v>0</v>
      </c>
      <c r="I957" t="n">
        <v>0</v>
      </c>
      <c r="J957" t="n">
        <v>0</v>
      </c>
      <c r="K957" t="n">
        <v>0</v>
      </c>
      <c r="L957" t="n">
        <v>0</v>
      </c>
      <c r="M957" t="n">
        <v>0</v>
      </c>
      <c r="N957" t="n">
        <v>0</v>
      </c>
      <c r="O957" t="n">
        <v>0</v>
      </c>
      <c r="P957" t="n">
        <v>0</v>
      </c>
      <c r="Q957" t="n">
        <v>0</v>
      </c>
      <c r="R957" s="2" t="inlineStr"/>
    </row>
    <row r="958" ht="15" customHeight="1">
      <c r="A958" t="inlineStr">
        <is>
          <t>A 53456-2022</t>
        </is>
      </c>
      <c r="B958" s="1" t="n">
        <v>44874</v>
      </c>
      <c r="C958" s="1" t="n">
        <v>46090</v>
      </c>
      <c r="D958" t="inlineStr">
        <is>
          <t>JÄMTLANDS LÄN</t>
        </is>
      </c>
      <c r="E958" t="inlineStr">
        <is>
          <t>BERG</t>
        </is>
      </c>
      <c r="G958" t="n">
        <v>13.3</v>
      </c>
      <c r="H958" t="n">
        <v>0</v>
      </c>
      <c r="I958" t="n">
        <v>0</v>
      </c>
      <c r="J958" t="n">
        <v>0</v>
      </c>
      <c r="K958" t="n">
        <v>0</v>
      </c>
      <c r="L958" t="n">
        <v>0</v>
      </c>
      <c r="M958" t="n">
        <v>0</v>
      </c>
      <c r="N958" t="n">
        <v>0</v>
      </c>
      <c r="O958" t="n">
        <v>0</v>
      </c>
      <c r="P958" t="n">
        <v>0</v>
      </c>
      <c r="Q958" t="n">
        <v>0</v>
      </c>
      <c r="R958" s="2" t="inlineStr"/>
    </row>
    <row r="959" ht="15" customHeight="1">
      <c r="A959" t="inlineStr">
        <is>
          <t>A 9252-2025</t>
        </is>
      </c>
      <c r="B959" s="1" t="n">
        <v>45714.59415509259</v>
      </c>
      <c r="C959" s="1" t="n">
        <v>46090</v>
      </c>
      <c r="D959" t="inlineStr">
        <is>
          <t>JÄMTLANDS LÄN</t>
        </is>
      </c>
      <c r="E959" t="inlineStr">
        <is>
          <t>BERG</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64247-2023</t>
        </is>
      </c>
      <c r="B960" s="1" t="n">
        <v>45279.92739583334</v>
      </c>
      <c r="C960" s="1" t="n">
        <v>46090</v>
      </c>
      <c r="D960" t="inlineStr">
        <is>
          <t>JÄMTLANDS LÄN</t>
        </is>
      </c>
      <c r="E960" t="inlineStr">
        <is>
          <t>BERG</t>
        </is>
      </c>
      <c r="G960" t="n">
        <v>0.9</v>
      </c>
      <c r="H960" t="n">
        <v>0</v>
      </c>
      <c r="I960" t="n">
        <v>0</v>
      </c>
      <c r="J960" t="n">
        <v>0</v>
      </c>
      <c r="K960" t="n">
        <v>0</v>
      </c>
      <c r="L960" t="n">
        <v>0</v>
      </c>
      <c r="M960" t="n">
        <v>0</v>
      </c>
      <c r="N960" t="n">
        <v>0</v>
      </c>
      <c r="O960" t="n">
        <v>0</v>
      </c>
      <c r="P960" t="n">
        <v>0</v>
      </c>
      <c r="Q960" t="n">
        <v>0</v>
      </c>
      <c r="R960" s="2" t="inlineStr"/>
    </row>
    <row r="961" ht="15" customHeight="1">
      <c r="A961" t="inlineStr">
        <is>
          <t>A 31330-2024</t>
        </is>
      </c>
      <c r="B961" s="1" t="n">
        <v>45504</v>
      </c>
      <c r="C961" s="1" t="n">
        <v>46090</v>
      </c>
      <c r="D961" t="inlineStr">
        <is>
          <t>JÄMTLANDS LÄN</t>
        </is>
      </c>
      <c r="E961" t="inlineStr">
        <is>
          <t>BERG</t>
        </is>
      </c>
      <c r="G961" t="n">
        <v>30.5</v>
      </c>
      <c r="H961" t="n">
        <v>0</v>
      </c>
      <c r="I961" t="n">
        <v>0</v>
      </c>
      <c r="J961" t="n">
        <v>0</v>
      </c>
      <c r="K961" t="n">
        <v>0</v>
      </c>
      <c r="L961" t="n">
        <v>0</v>
      </c>
      <c r="M961" t="n">
        <v>0</v>
      </c>
      <c r="N961" t="n">
        <v>0</v>
      </c>
      <c r="O961" t="n">
        <v>0</v>
      </c>
      <c r="P961" t="n">
        <v>0</v>
      </c>
      <c r="Q961" t="n">
        <v>0</v>
      </c>
      <c r="R961" s="2" t="inlineStr"/>
    </row>
    <row r="962" ht="15" customHeight="1">
      <c r="A962" t="inlineStr">
        <is>
          <t>A 60404-2023</t>
        </is>
      </c>
      <c r="B962" s="1" t="n">
        <v>45259.46332175926</v>
      </c>
      <c r="C962" s="1" t="n">
        <v>46090</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39186-2024</t>
        </is>
      </c>
      <c r="B963" s="1" t="n">
        <v>45548.66489583333</v>
      </c>
      <c r="C963" s="1" t="n">
        <v>46090</v>
      </c>
      <c r="D963" t="inlineStr">
        <is>
          <t>JÄMTLANDS LÄN</t>
        </is>
      </c>
      <c r="E963" t="inlineStr">
        <is>
          <t>BERG</t>
        </is>
      </c>
      <c r="G963" t="n">
        <v>38.4</v>
      </c>
      <c r="H963" t="n">
        <v>0</v>
      </c>
      <c r="I963" t="n">
        <v>0</v>
      </c>
      <c r="J963" t="n">
        <v>0</v>
      </c>
      <c r="K963" t="n">
        <v>0</v>
      </c>
      <c r="L963" t="n">
        <v>0</v>
      </c>
      <c r="M963" t="n">
        <v>0</v>
      </c>
      <c r="N963" t="n">
        <v>0</v>
      </c>
      <c r="O963" t="n">
        <v>0</v>
      </c>
      <c r="P963" t="n">
        <v>0</v>
      </c>
      <c r="Q963" t="n">
        <v>0</v>
      </c>
      <c r="R963" s="2" t="inlineStr"/>
    </row>
    <row r="964" ht="15" customHeight="1">
      <c r="A964" t="inlineStr">
        <is>
          <t>A 50706-2023</t>
        </is>
      </c>
      <c r="B964" s="1" t="n">
        <v>45217.55832175926</v>
      </c>
      <c r="C964" s="1" t="n">
        <v>46090</v>
      </c>
      <c r="D964" t="inlineStr">
        <is>
          <t>JÄMTLANDS LÄN</t>
        </is>
      </c>
      <c r="E964" t="inlineStr">
        <is>
          <t>BERG</t>
        </is>
      </c>
      <c r="G964" t="n">
        <v>4.1</v>
      </c>
      <c r="H964" t="n">
        <v>0</v>
      </c>
      <c r="I964" t="n">
        <v>0</v>
      </c>
      <c r="J964" t="n">
        <v>0</v>
      </c>
      <c r="K964" t="n">
        <v>0</v>
      </c>
      <c r="L964" t="n">
        <v>0</v>
      </c>
      <c r="M964" t="n">
        <v>0</v>
      </c>
      <c r="N964" t="n">
        <v>0</v>
      </c>
      <c r="O964" t="n">
        <v>0</v>
      </c>
      <c r="P964" t="n">
        <v>0</v>
      </c>
      <c r="Q964" t="n">
        <v>0</v>
      </c>
      <c r="R964" s="2" t="inlineStr"/>
    </row>
    <row r="965" ht="15" customHeight="1">
      <c r="A965" t="inlineStr">
        <is>
          <t>A 3625-2024</t>
        </is>
      </c>
      <c r="B965" s="1" t="n">
        <v>45320</v>
      </c>
      <c r="C965" s="1" t="n">
        <v>46090</v>
      </c>
      <c r="D965" t="inlineStr">
        <is>
          <t>JÄMTLANDS LÄN</t>
        </is>
      </c>
      <c r="E965" t="inlineStr">
        <is>
          <t>BERG</t>
        </is>
      </c>
      <c r="F965" t="inlineStr">
        <is>
          <t>SCA</t>
        </is>
      </c>
      <c r="G965" t="n">
        <v>23.7</v>
      </c>
      <c r="H965" t="n">
        <v>0</v>
      </c>
      <c r="I965" t="n">
        <v>0</v>
      </c>
      <c r="J965" t="n">
        <v>0</v>
      </c>
      <c r="K965" t="n">
        <v>0</v>
      </c>
      <c r="L965" t="n">
        <v>0</v>
      </c>
      <c r="M965" t="n">
        <v>0</v>
      </c>
      <c r="N965" t="n">
        <v>0</v>
      </c>
      <c r="O965" t="n">
        <v>0</v>
      </c>
      <c r="P965" t="n">
        <v>0</v>
      </c>
      <c r="Q965" t="n">
        <v>0</v>
      </c>
      <c r="R965" s="2" t="inlineStr"/>
    </row>
    <row r="966" ht="15" customHeight="1">
      <c r="A966" t="inlineStr">
        <is>
          <t>A 18408-2025</t>
        </is>
      </c>
      <c r="B966" s="1" t="n">
        <v>45762.61128472222</v>
      </c>
      <c r="C966" s="1" t="n">
        <v>46090</v>
      </c>
      <c r="D966" t="inlineStr">
        <is>
          <t>JÄMTLANDS LÄN</t>
        </is>
      </c>
      <c r="E966" t="inlineStr">
        <is>
          <t>BERG</t>
        </is>
      </c>
      <c r="G966" t="n">
        <v>5.1</v>
      </c>
      <c r="H966" t="n">
        <v>0</v>
      </c>
      <c r="I966" t="n">
        <v>0</v>
      </c>
      <c r="J966" t="n">
        <v>0</v>
      </c>
      <c r="K966" t="n">
        <v>0</v>
      </c>
      <c r="L966" t="n">
        <v>0</v>
      </c>
      <c r="M966" t="n">
        <v>0</v>
      </c>
      <c r="N966" t="n">
        <v>0</v>
      </c>
      <c r="O966" t="n">
        <v>0</v>
      </c>
      <c r="P966" t="n">
        <v>0</v>
      </c>
      <c r="Q966" t="n">
        <v>0</v>
      </c>
      <c r="R966" s="2" t="inlineStr"/>
    </row>
    <row r="967" ht="15" customHeight="1">
      <c r="A967" t="inlineStr">
        <is>
          <t>A 37086-2024</t>
        </is>
      </c>
      <c r="B967" s="1" t="n">
        <v>45539.49776620371</v>
      </c>
      <c r="C967" s="1" t="n">
        <v>46090</v>
      </c>
      <c r="D967" t="inlineStr">
        <is>
          <t>JÄMTLANDS LÄN</t>
        </is>
      </c>
      <c r="E967" t="inlineStr">
        <is>
          <t>BERG</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59968-2024</t>
        </is>
      </c>
      <c r="B968" s="1" t="n">
        <v>45642</v>
      </c>
      <c r="C968" s="1" t="n">
        <v>46090</v>
      </c>
      <c r="D968" t="inlineStr">
        <is>
          <t>JÄMTLANDS LÄN</t>
        </is>
      </c>
      <c r="E968" t="inlineStr">
        <is>
          <t>BERG</t>
        </is>
      </c>
      <c r="G968" t="n">
        <v>4.7</v>
      </c>
      <c r="H968" t="n">
        <v>0</v>
      </c>
      <c r="I968" t="n">
        <v>0</v>
      </c>
      <c r="J968" t="n">
        <v>0</v>
      </c>
      <c r="K968" t="n">
        <v>0</v>
      </c>
      <c r="L968" t="n">
        <v>0</v>
      </c>
      <c r="M968" t="n">
        <v>0</v>
      </c>
      <c r="N968" t="n">
        <v>0</v>
      </c>
      <c r="O968" t="n">
        <v>0</v>
      </c>
      <c r="P968" t="n">
        <v>0</v>
      </c>
      <c r="Q968" t="n">
        <v>0</v>
      </c>
      <c r="R968" s="2" t="inlineStr"/>
    </row>
    <row r="969" ht="15" customHeight="1">
      <c r="A969" t="inlineStr">
        <is>
          <t>A 22275-2022</t>
        </is>
      </c>
      <c r="B969" s="1" t="n">
        <v>44712</v>
      </c>
      <c r="C969" s="1" t="n">
        <v>46090</v>
      </c>
      <c r="D969" t="inlineStr">
        <is>
          <t>JÄMTLANDS LÄN</t>
        </is>
      </c>
      <c r="E969" t="inlineStr">
        <is>
          <t>BERG</t>
        </is>
      </c>
      <c r="G969" t="n">
        <v>2.1</v>
      </c>
      <c r="H969" t="n">
        <v>0</v>
      </c>
      <c r="I969" t="n">
        <v>0</v>
      </c>
      <c r="J969" t="n">
        <v>0</v>
      </c>
      <c r="K969" t="n">
        <v>0</v>
      </c>
      <c r="L969" t="n">
        <v>0</v>
      </c>
      <c r="M969" t="n">
        <v>0</v>
      </c>
      <c r="N969" t="n">
        <v>0</v>
      </c>
      <c r="O969" t="n">
        <v>0</v>
      </c>
      <c r="P969" t="n">
        <v>0</v>
      </c>
      <c r="Q969" t="n">
        <v>0</v>
      </c>
      <c r="R969" s="2" t="inlineStr"/>
    </row>
    <row r="970" ht="15" customHeight="1">
      <c r="A970" t="inlineStr">
        <is>
          <t>A 4561-2024</t>
        </is>
      </c>
      <c r="B970" s="1" t="n">
        <v>45327</v>
      </c>
      <c r="C970" s="1" t="n">
        <v>46090</v>
      </c>
      <c r="D970" t="inlineStr">
        <is>
          <t>JÄMTLANDS LÄN</t>
        </is>
      </c>
      <c r="E970" t="inlineStr">
        <is>
          <t>BERG</t>
        </is>
      </c>
      <c r="G970" t="n">
        <v>7.4</v>
      </c>
      <c r="H970" t="n">
        <v>0</v>
      </c>
      <c r="I970" t="n">
        <v>0</v>
      </c>
      <c r="J970" t="n">
        <v>0</v>
      </c>
      <c r="K970" t="n">
        <v>0</v>
      </c>
      <c r="L970" t="n">
        <v>0</v>
      </c>
      <c r="M970" t="n">
        <v>0</v>
      </c>
      <c r="N970" t="n">
        <v>0</v>
      </c>
      <c r="O970" t="n">
        <v>0</v>
      </c>
      <c r="P970" t="n">
        <v>0</v>
      </c>
      <c r="Q970" t="n">
        <v>0</v>
      </c>
      <c r="R970" s="2" t="inlineStr"/>
    </row>
    <row r="971" ht="15" customHeight="1">
      <c r="A971" t="inlineStr">
        <is>
          <t>A 14190-2023</t>
        </is>
      </c>
      <c r="B971" s="1" t="n">
        <v>45009.56106481481</v>
      </c>
      <c r="C971" s="1" t="n">
        <v>46090</v>
      </c>
      <c r="D971" t="inlineStr">
        <is>
          <t>JÄMTLANDS LÄN</t>
        </is>
      </c>
      <c r="E971" t="inlineStr">
        <is>
          <t>BERG</t>
        </is>
      </c>
      <c r="G971" t="n">
        <v>3.8</v>
      </c>
      <c r="H971" t="n">
        <v>0</v>
      </c>
      <c r="I971" t="n">
        <v>0</v>
      </c>
      <c r="J971" t="n">
        <v>0</v>
      </c>
      <c r="K971" t="n">
        <v>0</v>
      </c>
      <c r="L971" t="n">
        <v>0</v>
      </c>
      <c r="M971" t="n">
        <v>0</v>
      </c>
      <c r="N971" t="n">
        <v>0</v>
      </c>
      <c r="O971" t="n">
        <v>0</v>
      </c>
      <c r="P971" t="n">
        <v>0</v>
      </c>
      <c r="Q971" t="n">
        <v>0</v>
      </c>
      <c r="R971" s="2" t="inlineStr"/>
    </row>
    <row r="972" ht="15" customHeight="1">
      <c r="A972" t="inlineStr">
        <is>
          <t>A 31079-2024</t>
        </is>
      </c>
      <c r="B972" s="1" t="n">
        <v>45502.46423611111</v>
      </c>
      <c r="C972" s="1" t="n">
        <v>46090</v>
      </c>
      <c r="D972" t="inlineStr">
        <is>
          <t>JÄMTLANDS LÄN</t>
        </is>
      </c>
      <c r="E972" t="inlineStr">
        <is>
          <t>BERG</t>
        </is>
      </c>
      <c r="G972" t="n">
        <v>2.5</v>
      </c>
      <c r="H972" t="n">
        <v>0</v>
      </c>
      <c r="I972" t="n">
        <v>0</v>
      </c>
      <c r="J972" t="n">
        <v>0</v>
      </c>
      <c r="K972" t="n">
        <v>0</v>
      </c>
      <c r="L972" t="n">
        <v>0</v>
      </c>
      <c r="M972" t="n">
        <v>0</v>
      </c>
      <c r="N972" t="n">
        <v>0</v>
      </c>
      <c r="O972" t="n">
        <v>0</v>
      </c>
      <c r="P972" t="n">
        <v>0</v>
      </c>
      <c r="Q972" t="n">
        <v>0</v>
      </c>
      <c r="R972" s="2" t="inlineStr"/>
    </row>
    <row r="973" ht="15" customHeight="1">
      <c r="A973" t="inlineStr">
        <is>
          <t>A 64487-2023</t>
        </is>
      </c>
      <c r="B973" s="1" t="n">
        <v>45280.92613425926</v>
      </c>
      <c r="C973" s="1" t="n">
        <v>46090</v>
      </c>
      <c r="D973" t="inlineStr">
        <is>
          <t>JÄMTLANDS LÄN</t>
        </is>
      </c>
      <c r="E973" t="inlineStr">
        <is>
          <t>BERG</t>
        </is>
      </c>
      <c r="F973" t="inlineStr">
        <is>
          <t>Övriga Aktiebolag</t>
        </is>
      </c>
      <c r="G973" t="n">
        <v>7.6</v>
      </c>
      <c r="H973" t="n">
        <v>0</v>
      </c>
      <c r="I973" t="n">
        <v>0</v>
      </c>
      <c r="J973" t="n">
        <v>0</v>
      </c>
      <c r="K973" t="n">
        <v>0</v>
      </c>
      <c r="L973" t="n">
        <v>0</v>
      </c>
      <c r="M973" t="n">
        <v>0</v>
      </c>
      <c r="N973" t="n">
        <v>0</v>
      </c>
      <c r="O973" t="n">
        <v>0</v>
      </c>
      <c r="P973" t="n">
        <v>0</v>
      </c>
      <c r="Q973" t="n">
        <v>0</v>
      </c>
      <c r="R973" s="2" t="inlineStr"/>
    </row>
    <row r="974" ht="15" customHeight="1">
      <c r="A974" t="inlineStr">
        <is>
          <t>A 64489-2023</t>
        </is>
      </c>
      <c r="B974" s="1" t="n">
        <v>45280</v>
      </c>
      <c r="C974" s="1" t="n">
        <v>46090</v>
      </c>
      <c r="D974" t="inlineStr">
        <is>
          <t>JÄMTLANDS LÄN</t>
        </is>
      </c>
      <c r="E974" t="inlineStr">
        <is>
          <t>BERG</t>
        </is>
      </c>
      <c r="F974" t="inlineStr">
        <is>
          <t>Övriga Aktiebolag</t>
        </is>
      </c>
      <c r="G974" t="n">
        <v>14.1</v>
      </c>
      <c r="H974" t="n">
        <v>0</v>
      </c>
      <c r="I974" t="n">
        <v>0</v>
      </c>
      <c r="J974" t="n">
        <v>0</v>
      </c>
      <c r="K974" t="n">
        <v>0</v>
      </c>
      <c r="L974" t="n">
        <v>0</v>
      </c>
      <c r="M974" t="n">
        <v>0</v>
      </c>
      <c r="N974" t="n">
        <v>0</v>
      </c>
      <c r="O974" t="n">
        <v>0</v>
      </c>
      <c r="P974" t="n">
        <v>0</v>
      </c>
      <c r="Q974" t="n">
        <v>0</v>
      </c>
      <c r="R974" s="2" t="inlineStr"/>
    </row>
    <row r="975" ht="15" customHeight="1">
      <c r="A975" t="inlineStr">
        <is>
          <t>A 39510-2023</t>
        </is>
      </c>
      <c r="B975" s="1" t="n">
        <v>45166</v>
      </c>
      <c r="C975" s="1" t="n">
        <v>46090</v>
      </c>
      <c r="D975" t="inlineStr">
        <is>
          <t>JÄMTLANDS LÄN</t>
        </is>
      </c>
      <c r="E975" t="inlineStr">
        <is>
          <t>BERG</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41636-2024</t>
        </is>
      </c>
      <c r="B976" s="1" t="n">
        <v>45560.61606481481</v>
      </c>
      <c r="C976" s="1" t="n">
        <v>46090</v>
      </c>
      <c r="D976" t="inlineStr">
        <is>
          <t>JÄMTLANDS LÄN</t>
        </is>
      </c>
      <c r="E976" t="inlineStr">
        <is>
          <t>BERG</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41634-2024</t>
        </is>
      </c>
      <c r="B977" s="1" t="n">
        <v>45560.61496527777</v>
      </c>
      <c r="C977" s="1" t="n">
        <v>46090</v>
      </c>
      <c r="D977" t="inlineStr">
        <is>
          <t>JÄMTLANDS LÄN</t>
        </is>
      </c>
      <c r="E977" t="inlineStr">
        <is>
          <t>BERG</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27395-2021</t>
        </is>
      </c>
      <c r="B978" s="1" t="n">
        <v>44350</v>
      </c>
      <c r="C978" s="1" t="n">
        <v>46090</v>
      </c>
      <c r="D978" t="inlineStr">
        <is>
          <t>JÄMTLANDS LÄN</t>
        </is>
      </c>
      <c r="E978" t="inlineStr">
        <is>
          <t>BERG</t>
        </is>
      </c>
      <c r="G978" t="n">
        <v>4.4</v>
      </c>
      <c r="H978" t="n">
        <v>0</v>
      </c>
      <c r="I978" t="n">
        <v>0</v>
      </c>
      <c r="J978" t="n">
        <v>0</v>
      </c>
      <c r="K978" t="n">
        <v>0</v>
      </c>
      <c r="L978" t="n">
        <v>0</v>
      </c>
      <c r="M978" t="n">
        <v>0</v>
      </c>
      <c r="N978" t="n">
        <v>0</v>
      </c>
      <c r="O978" t="n">
        <v>0</v>
      </c>
      <c r="P978" t="n">
        <v>0</v>
      </c>
      <c r="Q978" t="n">
        <v>0</v>
      </c>
      <c r="R978" s="2" t="inlineStr"/>
    </row>
    <row r="979" ht="15" customHeight="1">
      <c r="A979" t="inlineStr">
        <is>
          <t>A 5219-2022</t>
        </is>
      </c>
      <c r="B979" s="1" t="n">
        <v>44594.48569444445</v>
      </c>
      <c r="C979" s="1" t="n">
        <v>46090</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14672-2025</t>
        </is>
      </c>
      <c r="B980" s="1" t="n">
        <v>45742.55269675926</v>
      </c>
      <c r="C980" s="1" t="n">
        <v>46090</v>
      </c>
      <c r="D980" t="inlineStr">
        <is>
          <t>JÄMTLANDS LÄN</t>
        </is>
      </c>
      <c r="E980" t="inlineStr">
        <is>
          <t>BERG</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13149-2025</t>
        </is>
      </c>
      <c r="B981" s="1" t="n">
        <v>45735.34424768519</v>
      </c>
      <c r="C981" s="1" t="n">
        <v>46090</v>
      </c>
      <c r="D981" t="inlineStr">
        <is>
          <t>JÄMTLANDS LÄN</t>
        </is>
      </c>
      <c r="E981" t="inlineStr">
        <is>
          <t>BERG</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15013-2025</t>
        </is>
      </c>
      <c r="B982" s="1" t="n">
        <v>45743.62734953704</v>
      </c>
      <c r="C982" s="1" t="n">
        <v>46090</v>
      </c>
      <c r="D982" t="inlineStr">
        <is>
          <t>JÄMTLANDS LÄN</t>
        </is>
      </c>
      <c r="E982" t="inlineStr">
        <is>
          <t>BERG</t>
        </is>
      </c>
      <c r="G982" t="n">
        <v>4.6</v>
      </c>
      <c r="H982" t="n">
        <v>0</v>
      </c>
      <c r="I982" t="n">
        <v>0</v>
      </c>
      <c r="J982" t="n">
        <v>0</v>
      </c>
      <c r="K982" t="n">
        <v>0</v>
      </c>
      <c r="L982" t="n">
        <v>0</v>
      </c>
      <c r="M982" t="n">
        <v>0</v>
      </c>
      <c r="N982" t="n">
        <v>0</v>
      </c>
      <c r="O982" t="n">
        <v>0</v>
      </c>
      <c r="P982" t="n">
        <v>0</v>
      </c>
      <c r="Q982" t="n">
        <v>0</v>
      </c>
      <c r="R982" s="2" t="inlineStr"/>
    </row>
    <row r="983" ht="15" customHeight="1">
      <c r="A983" t="inlineStr">
        <is>
          <t>A 40824-2023</t>
        </is>
      </c>
      <c r="B983" s="1" t="n">
        <v>45171</v>
      </c>
      <c r="C983" s="1" t="n">
        <v>46090</v>
      </c>
      <c r="D983" t="inlineStr">
        <is>
          <t>JÄMTLANDS LÄN</t>
        </is>
      </c>
      <c r="E983" t="inlineStr">
        <is>
          <t>BERG</t>
        </is>
      </c>
      <c r="G983" t="n">
        <v>0.5</v>
      </c>
      <c r="H983" t="n">
        <v>0</v>
      </c>
      <c r="I983" t="n">
        <v>0</v>
      </c>
      <c r="J983" t="n">
        <v>0</v>
      </c>
      <c r="K983" t="n">
        <v>0</v>
      </c>
      <c r="L983" t="n">
        <v>0</v>
      </c>
      <c r="M983" t="n">
        <v>0</v>
      </c>
      <c r="N983" t="n">
        <v>0</v>
      </c>
      <c r="O983" t="n">
        <v>0</v>
      </c>
      <c r="P983" t="n">
        <v>0</v>
      </c>
      <c r="Q983" t="n">
        <v>0</v>
      </c>
      <c r="R983" s="2" t="inlineStr"/>
    </row>
    <row r="984" ht="15" customHeight="1">
      <c r="A984" t="inlineStr">
        <is>
          <t>A 35986-2023</t>
        </is>
      </c>
      <c r="B984" s="1" t="n">
        <v>45148</v>
      </c>
      <c r="C984" s="1" t="n">
        <v>46090</v>
      </c>
      <c r="D984" t="inlineStr">
        <is>
          <t>JÄMTLANDS LÄN</t>
        </is>
      </c>
      <c r="E984" t="inlineStr">
        <is>
          <t>BERG</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171-2022</t>
        </is>
      </c>
      <c r="B985" s="1" t="n">
        <v>44564</v>
      </c>
      <c r="C985" s="1" t="n">
        <v>46090</v>
      </c>
      <c r="D985" t="inlineStr">
        <is>
          <t>JÄMTLANDS LÄN</t>
        </is>
      </c>
      <c r="E985" t="inlineStr">
        <is>
          <t>BERG</t>
        </is>
      </c>
      <c r="G985" t="n">
        <v>2.3</v>
      </c>
      <c r="H985" t="n">
        <v>0</v>
      </c>
      <c r="I985" t="n">
        <v>0</v>
      </c>
      <c r="J985" t="n">
        <v>0</v>
      </c>
      <c r="K985" t="n">
        <v>0</v>
      </c>
      <c r="L985" t="n">
        <v>0</v>
      </c>
      <c r="M985" t="n">
        <v>0</v>
      </c>
      <c r="N985" t="n">
        <v>0</v>
      </c>
      <c r="O985" t="n">
        <v>0</v>
      </c>
      <c r="P985" t="n">
        <v>0</v>
      </c>
      <c r="Q985" t="n">
        <v>0</v>
      </c>
      <c r="R985" s="2" t="inlineStr"/>
    </row>
    <row r="986" ht="15" customHeight="1">
      <c r="A986" t="inlineStr">
        <is>
          <t>A 2002-2022</t>
        </is>
      </c>
      <c r="B986" s="1" t="n">
        <v>44575</v>
      </c>
      <c r="C986" s="1" t="n">
        <v>46090</v>
      </c>
      <c r="D986" t="inlineStr">
        <is>
          <t>JÄMTLANDS LÄN</t>
        </is>
      </c>
      <c r="E986" t="inlineStr">
        <is>
          <t>BERG</t>
        </is>
      </c>
      <c r="G986" t="n">
        <v>11.3</v>
      </c>
      <c r="H986" t="n">
        <v>0</v>
      </c>
      <c r="I986" t="n">
        <v>0</v>
      </c>
      <c r="J986" t="n">
        <v>0</v>
      </c>
      <c r="K986" t="n">
        <v>0</v>
      </c>
      <c r="L986" t="n">
        <v>0</v>
      </c>
      <c r="M986" t="n">
        <v>0</v>
      </c>
      <c r="N986" t="n">
        <v>0</v>
      </c>
      <c r="O986" t="n">
        <v>0</v>
      </c>
      <c r="P986" t="n">
        <v>0</v>
      </c>
      <c r="Q986" t="n">
        <v>0</v>
      </c>
      <c r="R986" s="2" t="inlineStr"/>
    </row>
    <row r="987" ht="15" customHeight="1">
      <c r="A987" t="inlineStr">
        <is>
          <t>A 53883-2023</t>
        </is>
      </c>
      <c r="B987" s="1" t="n">
        <v>45231.5221875</v>
      </c>
      <c r="C987" s="1" t="n">
        <v>46090</v>
      </c>
      <c r="D987" t="inlineStr">
        <is>
          <t>JÄMTLANDS LÄN</t>
        </is>
      </c>
      <c r="E987" t="inlineStr">
        <is>
          <t>BERG</t>
        </is>
      </c>
      <c r="G987" t="n">
        <v>2</v>
      </c>
      <c r="H987" t="n">
        <v>0</v>
      </c>
      <c r="I987" t="n">
        <v>0</v>
      </c>
      <c r="J987" t="n">
        <v>0</v>
      </c>
      <c r="K987" t="n">
        <v>0</v>
      </c>
      <c r="L987" t="n">
        <v>0</v>
      </c>
      <c r="M987" t="n">
        <v>0</v>
      </c>
      <c r="N987" t="n">
        <v>0</v>
      </c>
      <c r="O987" t="n">
        <v>0</v>
      </c>
      <c r="P987" t="n">
        <v>0</v>
      </c>
      <c r="Q987" t="n">
        <v>0</v>
      </c>
      <c r="R987" s="2" t="inlineStr"/>
    </row>
    <row r="988" ht="15" customHeight="1">
      <c r="A988" t="inlineStr">
        <is>
          <t>A 41875-2024</t>
        </is>
      </c>
      <c r="B988" s="1" t="n">
        <v>45561.47431712963</v>
      </c>
      <c r="C988" s="1" t="n">
        <v>46090</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4246-2025</t>
        </is>
      </c>
      <c r="B989" s="1" t="n">
        <v>45685.59083333334</v>
      </c>
      <c r="C989" s="1" t="n">
        <v>46090</v>
      </c>
      <c r="D989" t="inlineStr">
        <is>
          <t>JÄMTLANDS LÄN</t>
        </is>
      </c>
      <c r="E989" t="inlineStr">
        <is>
          <t>BERG</t>
        </is>
      </c>
      <c r="G989" t="n">
        <v>2.4</v>
      </c>
      <c r="H989" t="n">
        <v>0</v>
      </c>
      <c r="I989" t="n">
        <v>0</v>
      </c>
      <c r="J989" t="n">
        <v>0</v>
      </c>
      <c r="K989" t="n">
        <v>0</v>
      </c>
      <c r="L989" t="n">
        <v>0</v>
      </c>
      <c r="M989" t="n">
        <v>0</v>
      </c>
      <c r="N989" t="n">
        <v>0</v>
      </c>
      <c r="O989" t="n">
        <v>0</v>
      </c>
      <c r="P989" t="n">
        <v>0</v>
      </c>
      <c r="Q989" t="n">
        <v>0</v>
      </c>
      <c r="R989" s="2" t="inlineStr"/>
    </row>
    <row r="990" ht="15" customHeight="1">
      <c r="A990" t="inlineStr">
        <is>
          <t>A 8251-2023</t>
        </is>
      </c>
      <c r="B990" s="1" t="n">
        <v>44974</v>
      </c>
      <c r="C990" s="1" t="n">
        <v>46090</v>
      </c>
      <c r="D990" t="inlineStr">
        <is>
          <t>JÄMTLANDS LÄN</t>
        </is>
      </c>
      <c r="E990" t="inlineStr">
        <is>
          <t>BERG</t>
        </is>
      </c>
      <c r="G990" t="n">
        <v>1.7</v>
      </c>
      <c r="H990" t="n">
        <v>0</v>
      </c>
      <c r="I990" t="n">
        <v>0</v>
      </c>
      <c r="J990" t="n">
        <v>0</v>
      </c>
      <c r="K990" t="n">
        <v>0</v>
      </c>
      <c r="L990" t="n">
        <v>0</v>
      </c>
      <c r="M990" t="n">
        <v>0</v>
      </c>
      <c r="N990" t="n">
        <v>0</v>
      </c>
      <c r="O990" t="n">
        <v>0</v>
      </c>
      <c r="P990" t="n">
        <v>0</v>
      </c>
      <c r="Q990" t="n">
        <v>0</v>
      </c>
      <c r="R990" s="2" t="inlineStr"/>
    </row>
    <row r="991" ht="15" customHeight="1">
      <c r="A991" t="inlineStr">
        <is>
          <t>A 16553-2025</t>
        </is>
      </c>
      <c r="B991" s="1" t="n">
        <v>45751.69967592593</v>
      </c>
      <c r="C991" s="1" t="n">
        <v>46090</v>
      </c>
      <c r="D991" t="inlineStr">
        <is>
          <t>JÄMTLANDS LÄN</t>
        </is>
      </c>
      <c r="E991" t="inlineStr">
        <is>
          <t>BERG</t>
        </is>
      </c>
      <c r="G991" t="n">
        <v>2</v>
      </c>
      <c r="H991" t="n">
        <v>0</v>
      </c>
      <c r="I991" t="n">
        <v>0</v>
      </c>
      <c r="J991" t="n">
        <v>0</v>
      </c>
      <c r="K991" t="n">
        <v>0</v>
      </c>
      <c r="L991" t="n">
        <v>0</v>
      </c>
      <c r="M991" t="n">
        <v>0</v>
      </c>
      <c r="N991" t="n">
        <v>0</v>
      </c>
      <c r="O991" t="n">
        <v>0</v>
      </c>
      <c r="P991" t="n">
        <v>0</v>
      </c>
      <c r="Q991" t="n">
        <v>0</v>
      </c>
      <c r="R991" s="2" t="inlineStr"/>
    </row>
    <row r="992" ht="15" customHeight="1">
      <c r="A992" t="inlineStr">
        <is>
          <t>A 45081-2022</t>
        </is>
      </c>
      <c r="B992" s="1" t="n">
        <v>44841</v>
      </c>
      <c r="C992" s="1" t="n">
        <v>46090</v>
      </c>
      <c r="D992" t="inlineStr">
        <is>
          <t>JÄMTLANDS LÄN</t>
        </is>
      </c>
      <c r="E992" t="inlineStr">
        <is>
          <t>BERG</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47289-2023</t>
        </is>
      </c>
      <c r="B993" s="1" t="n">
        <v>45202.46581018518</v>
      </c>
      <c r="C993" s="1" t="n">
        <v>46090</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8388-2022</t>
        </is>
      </c>
      <c r="B994" s="1" t="n">
        <v>44610</v>
      </c>
      <c r="C994" s="1" t="n">
        <v>46090</v>
      </c>
      <c r="D994" t="inlineStr">
        <is>
          <t>JÄMTLANDS LÄN</t>
        </is>
      </c>
      <c r="E994" t="inlineStr">
        <is>
          <t>BERG</t>
        </is>
      </c>
      <c r="G994" t="n">
        <v>2.6</v>
      </c>
      <c r="H994" t="n">
        <v>0</v>
      </c>
      <c r="I994" t="n">
        <v>0</v>
      </c>
      <c r="J994" t="n">
        <v>0</v>
      </c>
      <c r="K994" t="n">
        <v>0</v>
      </c>
      <c r="L994" t="n">
        <v>0</v>
      </c>
      <c r="M994" t="n">
        <v>0</v>
      </c>
      <c r="N994" t="n">
        <v>0</v>
      </c>
      <c r="O994" t="n">
        <v>0</v>
      </c>
      <c r="P994" t="n">
        <v>0</v>
      </c>
      <c r="Q994" t="n">
        <v>0</v>
      </c>
      <c r="R994" s="2" t="inlineStr"/>
    </row>
    <row r="995" ht="15" customHeight="1">
      <c r="A995" t="inlineStr">
        <is>
          <t>A 4522-2024</t>
        </is>
      </c>
      <c r="B995" s="1" t="n">
        <v>45327</v>
      </c>
      <c r="C995" s="1" t="n">
        <v>46090</v>
      </c>
      <c r="D995" t="inlineStr">
        <is>
          <t>JÄMTLANDS LÄN</t>
        </is>
      </c>
      <c r="E995" t="inlineStr">
        <is>
          <t>BERG</t>
        </is>
      </c>
      <c r="G995" t="n">
        <v>0.6</v>
      </c>
      <c r="H995" t="n">
        <v>0</v>
      </c>
      <c r="I995" t="n">
        <v>0</v>
      </c>
      <c r="J995" t="n">
        <v>0</v>
      </c>
      <c r="K995" t="n">
        <v>0</v>
      </c>
      <c r="L995" t="n">
        <v>0</v>
      </c>
      <c r="M995" t="n">
        <v>0</v>
      </c>
      <c r="N995" t="n">
        <v>0</v>
      </c>
      <c r="O995" t="n">
        <v>0</v>
      </c>
      <c r="P995" t="n">
        <v>0</v>
      </c>
      <c r="Q995" t="n">
        <v>0</v>
      </c>
      <c r="R995" s="2" t="inlineStr"/>
    </row>
    <row r="996" ht="15" customHeight="1">
      <c r="A996" t="inlineStr">
        <is>
          <t>A 11599-2025</t>
        </is>
      </c>
      <c r="B996" s="1" t="n">
        <v>45727.4261574074</v>
      </c>
      <c r="C996" s="1" t="n">
        <v>46090</v>
      </c>
      <c r="D996" t="inlineStr">
        <is>
          <t>JÄMTLANDS LÄN</t>
        </is>
      </c>
      <c r="E996" t="inlineStr">
        <is>
          <t>BERG</t>
        </is>
      </c>
      <c r="G996" t="n">
        <v>1.4</v>
      </c>
      <c r="H996" t="n">
        <v>0</v>
      </c>
      <c r="I996" t="n">
        <v>0</v>
      </c>
      <c r="J996" t="n">
        <v>0</v>
      </c>
      <c r="K996" t="n">
        <v>0</v>
      </c>
      <c r="L996" t="n">
        <v>0</v>
      </c>
      <c r="M996" t="n">
        <v>0</v>
      </c>
      <c r="N996" t="n">
        <v>0</v>
      </c>
      <c r="O996" t="n">
        <v>0</v>
      </c>
      <c r="P996" t="n">
        <v>0</v>
      </c>
      <c r="Q996" t="n">
        <v>0</v>
      </c>
      <c r="R996" s="2" t="inlineStr"/>
    </row>
    <row r="997" ht="15" customHeight="1">
      <c r="A997" t="inlineStr">
        <is>
          <t>A 48307-2024</t>
        </is>
      </c>
      <c r="B997" s="1" t="n">
        <v>45590.47684027778</v>
      </c>
      <c r="C997" s="1" t="n">
        <v>46090</v>
      </c>
      <c r="D997" t="inlineStr">
        <is>
          <t>JÄMTLANDS LÄN</t>
        </is>
      </c>
      <c r="E997" t="inlineStr">
        <is>
          <t>BERG</t>
        </is>
      </c>
      <c r="G997" t="n">
        <v>3.8</v>
      </c>
      <c r="H997" t="n">
        <v>0</v>
      </c>
      <c r="I997" t="n">
        <v>0</v>
      </c>
      <c r="J997" t="n">
        <v>0</v>
      </c>
      <c r="K997" t="n">
        <v>0</v>
      </c>
      <c r="L997" t="n">
        <v>0</v>
      </c>
      <c r="M997" t="n">
        <v>0</v>
      </c>
      <c r="N997" t="n">
        <v>0</v>
      </c>
      <c r="O997" t="n">
        <v>0</v>
      </c>
      <c r="P997" t="n">
        <v>0</v>
      </c>
      <c r="Q997" t="n">
        <v>0</v>
      </c>
      <c r="R997" s="2" t="inlineStr"/>
    </row>
    <row r="998" ht="15" customHeight="1">
      <c r="A998" t="inlineStr">
        <is>
          <t>A 61652-2024</t>
        </is>
      </c>
      <c r="B998" s="1" t="n">
        <v>45646.72293981481</v>
      </c>
      <c r="C998" s="1" t="n">
        <v>46090</v>
      </c>
      <c r="D998" t="inlineStr">
        <is>
          <t>JÄMTLANDS LÄN</t>
        </is>
      </c>
      <c r="E998" t="inlineStr">
        <is>
          <t>BERG</t>
        </is>
      </c>
      <c r="G998" t="n">
        <v>6.4</v>
      </c>
      <c r="H998" t="n">
        <v>0</v>
      </c>
      <c r="I998" t="n">
        <v>0</v>
      </c>
      <c r="J998" t="n">
        <v>0</v>
      </c>
      <c r="K998" t="n">
        <v>0</v>
      </c>
      <c r="L998" t="n">
        <v>0</v>
      </c>
      <c r="M998" t="n">
        <v>0</v>
      </c>
      <c r="N998" t="n">
        <v>0</v>
      </c>
      <c r="O998" t="n">
        <v>0</v>
      </c>
      <c r="P998" t="n">
        <v>0</v>
      </c>
      <c r="Q998" t="n">
        <v>0</v>
      </c>
      <c r="R998" s="2" t="inlineStr"/>
    </row>
    <row r="999" ht="15" customHeight="1">
      <c r="A999" t="inlineStr">
        <is>
          <t>A 48663-2023</t>
        </is>
      </c>
      <c r="B999" s="1" t="n">
        <v>45202</v>
      </c>
      <c r="C999" s="1" t="n">
        <v>46090</v>
      </c>
      <c r="D999" t="inlineStr">
        <is>
          <t>JÄMTLANDS LÄN</t>
        </is>
      </c>
      <c r="E999" t="inlineStr">
        <is>
          <t>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15785-2021</t>
        </is>
      </c>
      <c r="B1000" s="1" t="n">
        <v>44286.58679398148</v>
      </c>
      <c r="C1000" s="1" t="n">
        <v>46090</v>
      </c>
      <c r="D1000" t="inlineStr">
        <is>
          <t>JÄMTLANDS LÄN</t>
        </is>
      </c>
      <c r="E1000" t="inlineStr">
        <is>
          <t>BERG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38-2024</t>
        </is>
      </c>
      <c r="B1001" s="1" t="n">
        <v>45293</v>
      </c>
      <c r="C1001" s="1" t="n">
        <v>46090</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43762-2023</t>
        </is>
      </c>
      <c r="B1002" s="1" t="n">
        <v>45182</v>
      </c>
      <c r="C1002" s="1" t="n">
        <v>46090</v>
      </c>
      <c r="D1002" t="inlineStr">
        <is>
          <t>JÄMTLANDS LÄN</t>
        </is>
      </c>
      <c r="E1002" t="inlineStr">
        <is>
          <t>BERG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51039-2024</t>
        </is>
      </c>
      <c r="B1003" s="1" t="n">
        <v>45603.43164351852</v>
      </c>
      <c r="C1003" s="1" t="n">
        <v>46090</v>
      </c>
      <c r="D1003" t="inlineStr">
        <is>
          <t>JÄMTLANDS LÄN</t>
        </is>
      </c>
      <c r="E1003" t="inlineStr">
        <is>
          <t>BERG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60076-2024</t>
        </is>
      </c>
      <c r="B1004" s="1" t="n">
        <v>45642.53166666667</v>
      </c>
      <c r="C1004" s="1" t="n">
        <v>46090</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32711-2024</t>
        </is>
      </c>
      <c r="B1005" s="1" t="n">
        <v>45516</v>
      </c>
      <c r="C1005" s="1" t="n">
        <v>46090</v>
      </c>
      <c r="D1005" t="inlineStr">
        <is>
          <t>JÄMTLANDS LÄN</t>
        </is>
      </c>
      <c r="E1005" t="inlineStr">
        <is>
          <t>BERG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15992-2025</t>
        </is>
      </c>
      <c r="B1006" s="1" t="n">
        <v>45749.58319444444</v>
      </c>
      <c r="C1006" s="1" t="n">
        <v>46090</v>
      </c>
      <c r="D1006" t="inlineStr">
        <is>
          <t>JÄMTLANDS LÄN</t>
        </is>
      </c>
      <c r="E1006" t="inlineStr">
        <is>
          <t>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2472-2025</t>
        </is>
      </c>
      <c r="B1007" s="1" t="n">
        <v>45674.47341435185</v>
      </c>
      <c r="C1007" s="1" t="n">
        <v>46090</v>
      </c>
      <c r="D1007" t="inlineStr">
        <is>
          <t>JÄMTLANDS LÄN</t>
        </is>
      </c>
      <c r="E1007" t="inlineStr">
        <is>
          <t>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46090</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65207-2023</t>
        </is>
      </c>
      <c r="B1009" s="1" t="n">
        <v>45289</v>
      </c>
      <c r="C1009" s="1" t="n">
        <v>46090</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44313-2023</t>
        </is>
      </c>
      <c r="B1010" s="1" t="n">
        <v>45188.6505787037</v>
      </c>
      <c r="C1010" s="1" t="n">
        <v>46090</v>
      </c>
      <c r="D1010" t="inlineStr">
        <is>
          <t>JÄMTLANDS LÄN</t>
        </is>
      </c>
      <c r="E1010" t="inlineStr">
        <is>
          <t>BERG</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19181-2025</t>
        </is>
      </c>
      <c r="B1011" s="1" t="n">
        <v>45769.40174768519</v>
      </c>
      <c r="C1011" s="1" t="n">
        <v>46090</v>
      </c>
      <c r="D1011" t="inlineStr">
        <is>
          <t>JÄMTLANDS LÄN</t>
        </is>
      </c>
      <c r="E1011" t="inlineStr">
        <is>
          <t>BERG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19891-2025</t>
        </is>
      </c>
      <c r="B1012" s="1" t="n">
        <v>45771.5743287037</v>
      </c>
      <c r="C1012" s="1" t="n">
        <v>46090</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30917-2024</t>
        </is>
      </c>
      <c r="B1013" s="1" t="n">
        <v>45498.66611111111</v>
      </c>
      <c r="C1013" s="1" t="n">
        <v>46090</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14341-2025</t>
        </is>
      </c>
      <c r="B1014" s="1" t="n">
        <v>45741.26008101852</v>
      </c>
      <c r="C1014" s="1" t="n">
        <v>46090</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59634-2022</t>
        </is>
      </c>
      <c r="B1015" s="1" t="n">
        <v>44907.9645949074</v>
      </c>
      <c r="C1015" s="1" t="n">
        <v>46090</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46816-2023</t>
        </is>
      </c>
      <c r="B1016" s="1" t="n">
        <v>45198</v>
      </c>
      <c r="C1016" s="1" t="n">
        <v>46090</v>
      </c>
      <c r="D1016" t="inlineStr">
        <is>
          <t>JÄMTLANDS LÄN</t>
        </is>
      </c>
      <c r="E1016" t="inlineStr">
        <is>
          <t>BERG</t>
        </is>
      </c>
      <c r="F1016" t="inlineStr">
        <is>
          <t>SCA</t>
        </is>
      </c>
      <c r="G1016" t="n">
        <v>66.2</v>
      </c>
      <c r="H1016" t="n">
        <v>0</v>
      </c>
      <c r="I1016" t="n">
        <v>0</v>
      </c>
      <c r="J1016" t="n">
        <v>0</v>
      </c>
      <c r="K1016" t="n">
        <v>0</v>
      </c>
      <c r="L1016" t="n">
        <v>0</v>
      </c>
      <c r="M1016" t="n">
        <v>0</v>
      </c>
      <c r="N1016" t="n">
        <v>0</v>
      </c>
      <c r="O1016" t="n">
        <v>0</v>
      </c>
      <c r="P1016" t="n">
        <v>0</v>
      </c>
      <c r="Q1016" t="n">
        <v>0</v>
      </c>
      <c r="R1016" s="2" t="inlineStr"/>
    </row>
    <row r="1017" ht="15" customHeight="1">
      <c r="A1017" t="inlineStr">
        <is>
          <t>A 49555-2023</t>
        </is>
      </c>
      <c r="B1017" s="1" t="n">
        <v>45205</v>
      </c>
      <c r="C1017" s="1" t="n">
        <v>46090</v>
      </c>
      <c r="D1017" t="inlineStr">
        <is>
          <t>JÄMTLANDS LÄN</t>
        </is>
      </c>
      <c r="E1017" t="inlineStr">
        <is>
          <t>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59521-2024</t>
        </is>
      </c>
      <c r="B1018" s="1" t="n">
        <v>45638.57283564815</v>
      </c>
      <c r="C1018" s="1" t="n">
        <v>46090</v>
      </c>
      <c r="D1018" t="inlineStr">
        <is>
          <t>JÄMTLANDS LÄN</t>
        </is>
      </c>
      <c r="E1018" t="inlineStr">
        <is>
          <t>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19513-2025</t>
        </is>
      </c>
      <c r="B1019" s="1" t="n">
        <v>45770.42762731481</v>
      </c>
      <c r="C1019" s="1" t="n">
        <v>46090</v>
      </c>
      <c r="D1019" t="inlineStr">
        <is>
          <t>JÄMTLANDS LÄN</t>
        </is>
      </c>
      <c r="E1019" t="inlineStr">
        <is>
          <t>BERG</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9478-2024</t>
        </is>
      </c>
      <c r="B1020" s="1" t="n">
        <v>45359.5732175926</v>
      </c>
      <c r="C1020" s="1" t="n">
        <v>46090</v>
      </c>
      <c r="D1020" t="inlineStr">
        <is>
          <t>JÄMTLANDS LÄN</t>
        </is>
      </c>
      <c r="E1020" t="inlineStr">
        <is>
          <t>BERG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21156-2025</t>
        </is>
      </c>
      <c r="B1021" s="1" t="n">
        <v>45779.37599537037</v>
      </c>
      <c r="C1021" s="1" t="n">
        <v>46090</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21472-2025</t>
        </is>
      </c>
      <c r="B1022" s="1" t="n">
        <v>45782.59024305556</v>
      </c>
      <c r="C1022" s="1" t="n">
        <v>46090</v>
      </c>
      <c r="D1022" t="inlineStr">
        <is>
          <t>JÄMTLANDS LÄN</t>
        </is>
      </c>
      <c r="E1022" t="inlineStr">
        <is>
          <t>BERG</t>
        </is>
      </c>
      <c r="G1022" t="n">
        <v>21.9</v>
      </c>
      <c r="H1022" t="n">
        <v>0</v>
      </c>
      <c r="I1022" t="n">
        <v>0</v>
      </c>
      <c r="J1022" t="n">
        <v>0</v>
      </c>
      <c r="K1022" t="n">
        <v>0</v>
      </c>
      <c r="L1022" t="n">
        <v>0</v>
      </c>
      <c r="M1022" t="n">
        <v>0</v>
      </c>
      <c r="N1022" t="n">
        <v>0</v>
      </c>
      <c r="O1022" t="n">
        <v>0</v>
      </c>
      <c r="P1022" t="n">
        <v>0</v>
      </c>
      <c r="Q1022" t="n">
        <v>0</v>
      </c>
      <c r="R1022" s="2" t="inlineStr"/>
    </row>
    <row r="1023" ht="15" customHeight="1">
      <c r="A1023" t="inlineStr">
        <is>
          <t>A 21292-2025</t>
        </is>
      </c>
      <c r="B1023" s="1" t="n">
        <v>45780.39354166666</v>
      </c>
      <c r="C1023" s="1" t="n">
        <v>46090</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32020-2023</t>
        </is>
      </c>
      <c r="B1024" s="1" t="n">
        <v>45119.49261574074</v>
      </c>
      <c r="C1024" s="1" t="n">
        <v>46090</v>
      </c>
      <c r="D1024" t="inlineStr">
        <is>
          <t>JÄMTLANDS LÄN</t>
        </is>
      </c>
      <c r="E1024" t="inlineStr">
        <is>
          <t>BERG</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22180-2025</t>
        </is>
      </c>
      <c r="B1025" s="1" t="n">
        <v>45785</v>
      </c>
      <c r="C1025" s="1" t="n">
        <v>46090</v>
      </c>
      <c r="D1025" t="inlineStr">
        <is>
          <t>JÄMTLANDS LÄN</t>
        </is>
      </c>
      <c r="E1025" t="inlineStr">
        <is>
          <t>BERG</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60847-2023</t>
        </is>
      </c>
      <c r="B1026" s="1" t="n">
        <v>45260</v>
      </c>
      <c r="C1026" s="1" t="n">
        <v>46090</v>
      </c>
      <c r="D1026" t="inlineStr">
        <is>
          <t>JÄMTLANDS LÄN</t>
        </is>
      </c>
      <c r="E1026" t="inlineStr">
        <is>
          <t>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21851-2025</t>
        </is>
      </c>
      <c r="B1027" s="1" t="n">
        <v>45784.34417824074</v>
      </c>
      <c r="C1027" s="1" t="n">
        <v>46090</v>
      </c>
      <c r="D1027" t="inlineStr">
        <is>
          <t>JÄMTLANDS LÄN</t>
        </is>
      </c>
      <c r="E1027" t="inlineStr">
        <is>
          <t>BERG</t>
        </is>
      </c>
      <c r="F1027" t="inlineStr">
        <is>
          <t>SCA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46366-2024</t>
        </is>
      </c>
      <c r="B1028" s="1" t="n">
        <v>45582.36490740741</v>
      </c>
      <c r="C1028" s="1" t="n">
        <v>46090</v>
      </c>
      <c r="D1028" t="inlineStr">
        <is>
          <t>JÄMTLANDS LÄN</t>
        </is>
      </c>
      <c r="E1028" t="inlineStr">
        <is>
          <t>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22724-2025</t>
        </is>
      </c>
      <c r="B1029" s="1" t="n">
        <v>45789.57361111111</v>
      </c>
      <c r="C1029" s="1" t="n">
        <v>46090</v>
      </c>
      <c r="D1029" t="inlineStr">
        <is>
          <t>JÄMTLANDS LÄN</t>
        </is>
      </c>
      <c r="E1029" t="inlineStr">
        <is>
          <t>BERG</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22672-2025</t>
        </is>
      </c>
      <c r="B1030" s="1" t="n">
        <v>45789.4903587963</v>
      </c>
      <c r="C1030" s="1" t="n">
        <v>46090</v>
      </c>
      <c r="D1030" t="inlineStr">
        <is>
          <t>JÄMTLANDS LÄN</t>
        </is>
      </c>
      <c r="E1030" t="inlineStr">
        <is>
          <t>BERG</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22653-2025</t>
        </is>
      </c>
      <c r="B1031" s="1" t="n">
        <v>45789.46931712963</v>
      </c>
      <c r="C1031" s="1" t="n">
        <v>46090</v>
      </c>
      <c r="D1031" t="inlineStr">
        <is>
          <t>JÄMTLANDS LÄN</t>
        </is>
      </c>
      <c r="E1031" t="inlineStr">
        <is>
          <t>BERG</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22478-2025</t>
        </is>
      </c>
      <c r="B1032" s="1" t="n">
        <v>45786.6349537037</v>
      </c>
      <c r="C1032" s="1" t="n">
        <v>46090</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34650-2024</t>
        </is>
      </c>
      <c r="B1033" s="1" t="n">
        <v>45526.48329861111</v>
      </c>
      <c r="C1033" s="1" t="n">
        <v>46090</v>
      </c>
      <c r="D1033" t="inlineStr">
        <is>
          <t>JÄMTLANDS LÄN</t>
        </is>
      </c>
      <c r="E1033" t="inlineStr">
        <is>
          <t>BERG</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22991-2025</t>
        </is>
      </c>
      <c r="B1034" s="1" t="n">
        <v>45790.57836805555</v>
      </c>
      <c r="C1034" s="1" t="n">
        <v>46090</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23026-2025</t>
        </is>
      </c>
      <c r="B1035" s="1" t="n">
        <v>45790.65690972222</v>
      </c>
      <c r="C1035" s="1" t="n">
        <v>46090</v>
      </c>
      <c r="D1035" t="inlineStr">
        <is>
          <t>JÄMTLANDS LÄN</t>
        </is>
      </c>
      <c r="E1035" t="inlineStr">
        <is>
          <t>BERG</t>
        </is>
      </c>
      <c r="F1035" t="inlineStr">
        <is>
          <t>SCA</t>
        </is>
      </c>
      <c r="G1035" t="n">
        <v>4.8</v>
      </c>
      <c r="H1035" t="n">
        <v>0</v>
      </c>
      <c r="I1035" t="n">
        <v>0</v>
      </c>
      <c r="J1035" t="n">
        <v>0</v>
      </c>
      <c r="K1035" t="n">
        <v>0</v>
      </c>
      <c r="L1035" t="n">
        <v>0</v>
      </c>
      <c r="M1035" t="n">
        <v>0</v>
      </c>
      <c r="N1035" t="n">
        <v>0</v>
      </c>
      <c r="O1035" t="n">
        <v>0</v>
      </c>
      <c r="P1035" t="n">
        <v>0</v>
      </c>
      <c r="Q1035" t="n">
        <v>0</v>
      </c>
      <c r="R1035" s="2" t="inlineStr"/>
    </row>
    <row r="1036">
      <c r="A1036" t="inlineStr">
        <is>
          <t>A 22995-2025</t>
        </is>
      </c>
      <c r="B1036" s="1" t="n">
        <v>45790.58265046297</v>
      </c>
      <c r="C1036" s="1" t="n">
        <v>46090</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2026-03-09T11:16:39Z</dcterms:created>
  <dcterms:modified xmlns:dcterms="http://purl.org/dc/terms/" xmlns:xsi="http://www.w3.org/2001/XMLSchema-instance" xsi:type="dcterms:W3CDTF">2026-03-09T11:16:40Z</dcterms:modified>
</cp:coreProperties>
</file>