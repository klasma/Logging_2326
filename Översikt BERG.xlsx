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45844</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45844</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45844</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45844</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45844</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45844</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45844</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45844</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45844</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45844</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45844</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45844</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45844</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45844</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45844</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45844</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45844</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45844</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45844</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45844</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45844</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45844</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45844</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45844</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45844</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45844</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45844</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45844</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45844</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45844</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45844</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45844</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45844</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45844</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45844</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45844</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45844</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45844</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45844</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45844</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45844</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45844</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45844</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45844</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45844</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45844</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45844</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45844</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45844</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45844</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45844</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45844</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45844</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45844</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45844</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45844</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45844</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45844</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45844</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45844</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45844</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45844</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45844</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45844</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45844</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45844</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45844</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45844</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45844</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45844</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45844</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45844</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45844</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45844</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45844</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45844</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45844</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45844</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45844</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45844</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45844</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45844</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45844</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45844</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45844</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45844</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45844</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45844</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45844</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45844</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45844</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45844</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45844</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45844</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45844</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45844</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45844</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45844</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45844</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45844</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45844</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45844</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45844</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45844</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45844</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45844</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45844</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45844</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31742-2025</t>
        </is>
      </c>
      <c r="B114" s="1" t="n">
        <v>45834</v>
      </c>
      <c r="C114" s="1" t="n">
        <v>45844</v>
      </c>
      <c r="D114" t="inlineStr">
        <is>
          <t>JÄMTLANDS LÄN</t>
        </is>
      </c>
      <c r="E114" t="inlineStr">
        <is>
          <t>BERG</t>
        </is>
      </c>
      <c r="G114" t="n">
        <v>10.7</v>
      </c>
      <c r="H114" t="n">
        <v>0</v>
      </c>
      <c r="I114" t="n">
        <v>0</v>
      </c>
      <c r="J114" t="n">
        <v>4</v>
      </c>
      <c r="K114" t="n">
        <v>0</v>
      </c>
      <c r="L114" t="n">
        <v>0</v>
      </c>
      <c r="M114" t="n">
        <v>0</v>
      </c>
      <c r="N114" t="n">
        <v>0</v>
      </c>
      <c r="O114" t="n">
        <v>4</v>
      </c>
      <c r="P114" t="n">
        <v>0</v>
      </c>
      <c r="Q114" t="n">
        <v>4</v>
      </c>
      <c r="R114" s="2" t="inlineStr">
        <is>
          <t>Blågrå svartspik
Dvärgbägarlav
Kolflarnlav
Mörk kolflarnlav</t>
        </is>
      </c>
      <c r="S114">
        <f>HYPERLINK("https://klasma.github.io/Logging_232326/artfynd/A 31742-2025 artfynd.xlsx", "A 31742-2025")</f>
        <v/>
      </c>
      <c r="T114">
        <f>HYPERLINK("https://klasma.github.io/Logging_232326/kartor/A 31742-2025 karta.png", "A 31742-2025")</f>
        <v/>
      </c>
      <c r="V114">
        <f>HYPERLINK("https://klasma.github.io/Logging_232326/klagomål/A 31742-2025 FSC-klagomål.docx", "A 31742-2025")</f>
        <v/>
      </c>
      <c r="W114">
        <f>HYPERLINK("https://klasma.github.io/Logging_232326/klagomålsmail/A 31742-2025 FSC-klagomål mail.docx", "A 31742-2025")</f>
        <v/>
      </c>
      <c r="X114">
        <f>HYPERLINK("https://klasma.github.io/Logging_232326/tillsyn/A 31742-2025 tillsynsbegäran.docx", "A 31742-2025")</f>
        <v/>
      </c>
      <c r="Y114">
        <f>HYPERLINK("https://klasma.github.io/Logging_232326/tillsynsmail/A 31742-2025 tillsynsbegäran mail.docx", "A 31742-2025")</f>
        <v/>
      </c>
    </row>
    <row r="115" ht="15" customHeight="1">
      <c r="A115" t="inlineStr">
        <is>
          <t>A 31715-2025</t>
        </is>
      </c>
      <c r="B115" s="1" t="n">
        <v>45834</v>
      </c>
      <c r="C115" s="1" t="n">
        <v>45844</v>
      </c>
      <c r="D115" t="inlineStr">
        <is>
          <t>JÄMTLANDS LÄN</t>
        </is>
      </c>
      <c r="E115" t="inlineStr">
        <is>
          <t>BERG</t>
        </is>
      </c>
      <c r="G115" t="n">
        <v>1.6</v>
      </c>
      <c r="H115" t="n">
        <v>1</v>
      </c>
      <c r="I115" t="n">
        <v>1</v>
      </c>
      <c r="J115" t="n">
        <v>2</v>
      </c>
      <c r="K115" t="n">
        <v>1</v>
      </c>
      <c r="L115" t="n">
        <v>0</v>
      </c>
      <c r="M115" t="n">
        <v>0</v>
      </c>
      <c r="N115" t="n">
        <v>0</v>
      </c>
      <c r="O115" t="n">
        <v>3</v>
      </c>
      <c r="P115" t="n">
        <v>1</v>
      </c>
      <c r="Q115" t="n">
        <v>4</v>
      </c>
      <c r="R115" s="2" t="inlineStr">
        <is>
          <t>Knärot
Gammelgransskål
Garnlav
Norrlandslav</t>
        </is>
      </c>
      <c r="S115">
        <f>HYPERLINK("https://klasma.github.io/Logging_232326/artfynd/A 31715-2025 artfynd.xlsx", "A 31715-2025")</f>
        <v/>
      </c>
      <c r="T115">
        <f>HYPERLINK("https://klasma.github.io/Logging_232326/kartor/A 31715-2025 karta.png", "A 31715-2025")</f>
        <v/>
      </c>
      <c r="U115">
        <f>HYPERLINK("https://klasma.github.io/Logging_232326/knärot/A 31715-2025 karta knärot.png", "A 31715-2025")</f>
        <v/>
      </c>
      <c r="V115">
        <f>HYPERLINK("https://klasma.github.io/Logging_232326/klagomål/A 31715-2025 FSC-klagomål.docx", "A 31715-2025")</f>
        <v/>
      </c>
      <c r="W115">
        <f>HYPERLINK("https://klasma.github.io/Logging_232326/klagomålsmail/A 31715-2025 FSC-klagomål mail.docx", "A 31715-2025")</f>
        <v/>
      </c>
      <c r="X115">
        <f>HYPERLINK("https://klasma.github.io/Logging_232326/tillsyn/A 31715-2025 tillsynsbegäran.docx", "A 31715-2025")</f>
        <v/>
      </c>
      <c r="Y115">
        <f>HYPERLINK("https://klasma.github.io/Logging_232326/tillsynsmail/A 31715-2025 tillsynsbegäran mail.docx", "A 31715-2025")</f>
        <v/>
      </c>
    </row>
    <row r="116" ht="15" customHeight="1">
      <c r="A116" t="inlineStr">
        <is>
          <t>A 52190-2020</t>
        </is>
      </c>
      <c r="B116" s="1" t="n">
        <v>44111</v>
      </c>
      <c r="C116" s="1" t="n">
        <v>45844</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45844</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45844</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45844</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45844</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45844</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45844</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45844</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45844</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45844</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45844</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45844</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45844</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45844</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45844</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45844</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45844</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45844</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45844</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45844</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45844</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45844</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45844</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45844</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45844</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45844</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45844</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45844</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45844</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45844</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45844</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45844</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45844</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45844</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45844</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45844</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45844</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45844</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45844</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45844</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45844</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45844</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45844</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45844</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45844</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45844</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45844</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45844</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45844</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45844</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45844</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45844</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45844</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45844</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45844</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45844</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45844</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45844</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45844</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45844</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45844</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45844</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45844</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45844</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45844</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45844</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45844</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45844</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45844</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45844</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45844</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45844</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45844</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45844</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45844</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45844</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45844</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45844</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45844</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45844</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45844</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45844</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45844</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45844</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45844</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45844</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45844</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45844</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45844</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45844</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45844</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45844</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45844</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45844</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45844</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45844</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45844</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45844</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45844</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45844</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45844</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45844</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45844</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45844</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45844</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45844</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45844</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45844</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45844</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45844</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45844</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45844</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45844</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45844</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45844</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45844</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45844</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45844</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45844</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45844</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45844</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45844</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45844</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45844</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45844</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45844</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45844</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45844</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45844</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45844</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45844</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45844</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45844</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45844</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45844</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45844</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45844</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45844</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45844</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45844</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45844</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45844</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45844</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45844</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45844</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45844</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45844</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45844</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45844</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45844</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45844</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45844</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45844</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45844</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45844</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45844</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45844</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45844</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45844</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45844</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45844</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45844</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45844</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45844</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45844</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45844</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45844</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45844</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45844</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45844</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45844</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45844</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45844</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45844</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45844</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45844</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45844</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45844</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45844</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45844</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45844</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45844</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45844</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45844</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45844</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45844</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45844</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45844</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45844</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45844</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45844</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45844</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45844</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45844</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45844</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45844</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45844</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45844</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45844</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45844</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45844</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45844</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45844</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45844</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45844</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45844</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45844</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45844</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45844</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45844</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45844</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45844</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45844</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45844</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45844</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45844</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45844</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45844</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45844</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45844</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45844</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45844</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45844</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45844</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45844</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45844</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45844</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45844</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45844</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45844</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45844</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45844</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45844</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45844</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45844</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45844</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45844</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45844</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45844</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45844</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45844</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45844</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45844</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45844</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45844</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45844</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45844</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45844</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45844</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45844</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45844</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45844</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45844</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45844</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45844</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45844</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45844</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45844</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45844</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45844</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45844</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45844</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45844</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45844</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45844</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45844</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45844</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45844</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45844</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45844</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45844</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45844</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45844</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45844</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45844</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45844</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45844</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45844</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45844</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45844</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45844</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45844</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45844</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45844</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45844</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45844</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45844</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45844</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45844</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45844</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45844</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45844</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45844</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45844</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45844</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45844</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45844</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45844</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45844</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45844</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45844</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45844</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45844</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45844</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45844</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45844</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45844</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45844</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45844</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45844</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45844</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45844</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45844</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45844</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45844</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45844</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45844</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45844</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45844</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45844</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45844</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45844</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45844</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45844</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45844</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45844</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45844</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45844</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45844</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45844</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45844</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45844</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45844</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45844</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45844</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45844</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45844</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45844</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45844</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45844</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45844</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45844</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45844</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45844</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45844</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45844</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45844</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45844</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45844</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45844</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45844</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45844</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45844</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45844</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45844</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45844</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45844</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45844</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45844</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45844</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45844</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45844</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45844</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45844</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45844</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45844</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45844</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45844</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45844</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45844</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45844</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45844</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45844</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45844</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45844</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45844</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45844</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45844</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45844</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45844</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45844</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45844</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45844</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45844</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45844</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45844</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45844</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45844</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45844</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45844</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45844</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45844</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45844</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45844</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45844</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45844</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45844</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45844</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45844</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45844</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45844</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45844</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45844</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45844</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45844</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45844</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45844</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45844</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45844</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45844</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45844</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45844</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45844</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45844</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45844</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45844</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45844</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45844</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45844</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45844</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45844</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45844</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45844</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45844</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45844</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45844</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45844</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45844</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45844</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45844</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45844</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45844</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45844</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45844</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45844</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45844</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45844</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45844</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45844</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45844</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45844</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45844</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45844</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45844</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45844</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45844</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45844</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45844</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45844</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45844</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45844</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45844</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45844</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45844</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45844</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45844</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45844</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45844</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45844</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45844</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45844</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45844</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45844</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45844</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45844</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45844</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45844</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45844</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45844</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45844</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45844</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45844</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45844</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45844</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45844</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45844</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45844</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45844</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45844</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45844</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45844</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45844</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45844</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45844</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45844</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45844</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45844</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45844</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45844</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45844</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45844</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45844</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45844</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45844</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45844</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45844</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45844</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45844</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45844</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45844</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45844</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45844</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45844</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45844</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45844</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45844</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45844</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45844</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45844</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45844</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45844</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45844</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45844</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45844</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45844</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45844</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45844</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45844</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45844</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45844</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45844</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45844</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45844</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45844</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45844</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45844</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45844</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45844</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45844</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45844</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45844</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45844</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45844</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45844</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45844</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45844</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45844</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45844</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45844</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45844</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45844</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45844</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45844</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45844</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45844</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45844</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45844</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45844</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45844</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45844</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45844</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45844</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45844</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45844</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45844</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45844</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45844</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45844</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45844</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45844</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45844</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45844</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45844</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45844</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45844</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45844</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45844</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45844</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45844</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45844</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45844</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45844</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45844</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45844</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45844</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45844</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45844</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45844</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45844</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45844</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45844</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45844</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45844</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45844</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45844</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45844</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45844</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45844</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45844</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45844</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45844</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45844</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45844</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45844</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45844</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45844</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45844</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45844</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45844</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45844</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45844</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45844</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45844</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45844</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45844</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45844</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45844</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45844</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45844</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45844</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45844</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45844</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45844</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45844</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45844</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45844</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45844</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45844</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45844</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45844</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45844</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45844</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45844</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45844</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45844</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45844</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45844</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45844</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45844</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45844</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45844</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45844</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45844</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45844</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45844</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45844</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45844</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45844</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45844</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45844</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45844</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45844</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45844</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45844</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45844</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45844</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45844</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45844</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45844</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45844</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45844</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45844</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45844</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45844</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45844</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45844</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45844</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45844</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45844</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45844</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45844</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45844</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45844</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45844</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45844</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45844</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45844</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45844</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45844</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45844</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45844</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45844</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45844</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45844</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45844</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45844</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45844</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45844</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45844</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45844</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45844</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45844</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45844</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45844</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45844</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45844</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45844</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45844</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45844</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45844</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45844</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45844</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45844</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45844</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45844</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45844</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45844</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45844</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45844</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45844</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45844</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45844</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45844</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45844</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45844</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45844</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45844</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45844</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45844</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45844</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45844</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45844</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45844</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45844</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45844</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45844</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45844</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45844</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45844</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45844</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45844</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45844</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45844</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45844</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45844</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45844</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45844</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45844</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45844</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45844</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45844</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45844</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45844</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45844</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45844</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45844</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45844</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45844</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45844</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45844</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45844</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45844</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45844</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45844</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45844</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45844</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45844</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45844</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45844</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45844</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45844</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45844</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45844</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45844</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45844</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45844</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45844</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45844</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45844</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45844</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45844</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45844</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45844</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45844</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45844</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45844</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45844</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45844</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45844</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45844</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45844</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45844</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45844</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45844</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45844</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45844</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45844</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45844</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45844</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45844</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45844</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45844</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45844</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45844</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45844</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45844</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45844</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45844</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45844</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45844</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45844</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45844</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45844</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45844</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45844</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45844</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45844</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45844</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45844</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45844</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45844</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45844</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45844</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45844</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45844</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45844</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45844</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45844</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45844</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45844</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45844</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45844</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45844</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45844</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45844</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45844</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45844</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45844</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45844</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45844</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45844</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45844</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45844</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45844</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45844</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45844</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45844</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45844</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45844</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45844</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45844</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45844</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45844</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45844</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45844</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45844</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45844</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45844</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45844</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45844</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45844</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45844</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45844</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45844</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45844</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45844</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45844</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45844</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45844</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45844</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45844</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45844</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45844</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45844</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45844</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45844</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45844</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45844</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45844</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45844</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45844</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45844</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45844</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45844</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45844</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45844</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45844</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45844</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45844</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45844</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45844</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45844</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45844</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45844</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45844</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45844</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45844</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45844</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45844</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45844</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45844</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45844</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45844</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45844</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45844</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45844</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45844</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45844</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45844</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45844</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45844</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45844</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45844</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45844</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45844</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45844</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45844</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45844</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45844</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45844</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45844</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45844</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45844</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45844</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45844</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45844</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45844</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45844</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45844</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45844</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45844</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45844</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45844</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45844</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45844</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45844</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45844</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45844</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45844</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45844</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45844</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45844</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45844</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45844</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45844</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45844</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45844</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45844</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45844</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45844</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45844</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45844</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45844</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45844</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45844</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45844</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45844</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45844</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45844</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45844</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45844</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45844</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45844</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45844</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45844</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45844</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45844</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45844</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45844</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45844</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45844</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45844</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45844</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45844</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45844</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45844</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45844</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45844</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45844</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45844</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45844</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45844</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45844</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45844</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45844</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45844</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45844</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45844</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45844</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45844</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45844</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45844</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45844</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45844</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45844</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45844</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45844</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45844</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45844</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45844</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45844</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45844</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45844</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45844</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45844</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45844</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45844</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45844</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45844</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45844</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45844</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45844</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45844</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45844</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45844</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45844</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45844</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45844</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45844</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45844</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45844</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45844</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45844</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45844</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45844</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45844</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45844</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45844</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45844</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45844</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45844</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45844</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45844</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45844</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45844</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45844</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45844</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45844</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45844</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45844</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45844</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45844</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45844</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45844</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45844</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45844</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45844</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45844</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45844</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45844</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45844</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45844</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45844</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45844</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45844</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45844</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45844</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45844</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45844</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45844</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45844</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45844</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45844</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45844</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45844</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45844</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45844</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45844</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45844</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45844</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45844</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45844</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45844</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45844</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45844</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45844</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45844</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45844</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45844</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45844</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45844</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45844</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45844</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45844</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45844</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45844</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45844</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45844</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45844</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45844</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45844</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45844</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45844</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45844</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45844</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45844</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45844</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45844</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45844</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45844</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45844</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45844</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45844</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45844</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45844</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45844</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45844</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45844</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45844</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45844</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45844</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45844</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45844</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45844</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45844</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45844</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45844</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45844</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45844</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45844</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45844</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45844</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45844</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45844</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45844</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45844</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45844</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45844</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45844</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45844</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45844</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45844</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45844</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45844</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45844</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45844</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45844</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45844</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45844</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45844</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45844</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45844</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45844</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45844</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45844</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45844</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45844</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45844</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45844</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45844</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45844</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45844</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45844</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45844</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45844</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45844</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45844</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45844</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45844</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45844</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45844</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45844</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45844</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45844</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45844</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45844</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45844</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45844</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45844</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45844</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45844</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45844</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45844</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45844</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45844</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45844</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45844</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45844</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45844</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45844</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45844</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45844</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45844</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45844</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45844</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45844</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45844</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45844</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45844</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45844</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45844</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45844</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45844</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45844</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45844</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45844</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45844</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45844</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45844</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45844</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45844</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45844</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45844</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45844</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45844</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45844</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45844</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45844</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45844</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45844</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45844</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45844</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45844</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45844</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45844</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45844</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45844</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45844</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45844</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45844</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45844</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45844</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45844</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45844</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45844</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45844</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45844</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45844</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45844</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45844</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45844</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45844</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45844</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45844</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45844</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45844</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45844</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45844</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45844</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45844</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45844</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45844</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45844</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45844</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45844</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45844</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45844</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45844</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45844</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45844</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45844</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45844</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45844</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45844</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45844</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45844</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45844</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45844</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45844</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45844</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45844</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45844</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45844</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45844</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45844</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45844</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45844</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45844</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45844</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45844</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45844</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45844</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45844</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45844</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45844</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45844</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45844</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45844</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45844</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45844</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45844</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45844</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45844</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45844</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45844</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45844</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45844</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45844</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45844</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45844</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45844</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45844</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45844</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45844</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45844</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45844</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45844</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45844</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45844</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45844</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45844</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45844</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45844</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45844</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45844</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45844</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45844</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45844</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45844</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45844</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45844</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45844</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45844</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45844</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45844</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45844</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45844</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45844</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45844</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45844</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45844</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45844</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45844</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45844</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45844</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45844</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45844</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45844</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45844</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45844</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45844</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45844</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45844</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45844</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45844</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45844</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45844</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45844</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45844</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45844</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45844</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45844</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45844</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45844</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45844</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45844</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45844</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45844</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45844</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45844</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45844</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45844</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45844</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45844</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45844</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45844</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45844</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45844</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45844</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45844</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45844</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45844</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45844</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45844</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45844</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27603-2025</t>
        </is>
      </c>
      <c r="B1461" s="1" t="n">
        <v>45813</v>
      </c>
      <c r="C1461" s="1" t="n">
        <v>45844</v>
      </c>
      <c r="D1461" t="inlineStr">
        <is>
          <t>JÄMTLANDS LÄN</t>
        </is>
      </c>
      <c r="E1461" t="inlineStr">
        <is>
          <t>BERG</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45844</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45844</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45844</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28079-2025</t>
        </is>
      </c>
      <c r="B1465" s="1" t="n">
        <v>45817</v>
      </c>
      <c r="C1465" s="1" t="n">
        <v>45844</v>
      </c>
      <c r="D1465" t="inlineStr">
        <is>
          <t>JÄMTLANDS LÄN</t>
        </is>
      </c>
      <c r="E1465" t="inlineStr">
        <is>
          <t>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28077-2025</t>
        </is>
      </c>
      <c r="B1466" s="1" t="n">
        <v>45817</v>
      </c>
      <c r="C1466" s="1" t="n">
        <v>45844</v>
      </c>
      <c r="D1466" t="inlineStr">
        <is>
          <t>JÄMTLANDS LÄN</t>
        </is>
      </c>
      <c r="E1466" t="inlineStr">
        <is>
          <t>BERG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45844</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45844</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28257-2025</t>
        </is>
      </c>
      <c r="B1469" s="1" t="n">
        <v>45818</v>
      </c>
      <c r="C1469" s="1" t="n">
        <v>45844</v>
      </c>
      <c r="D1469" t="inlineStr">
        <is>
          <t>JÄMTLANDS LÄN</t>
        </is>
      </c>
      <c r="E1469" t="inlineStr">
        <is>
          <t>BERG</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45844</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28657-2025</t>
        </is>
      </c>
      <c r="B1471" s="1" t="n">
        <v>45819</v>
      </c>
      <c r="C1471" s="1" t="n">
        <v>45844</v>
      </c>
      <c r="D1471" t="inlineStr">
        <is>
          <t>JÄMTLANDS LÄN</t>
        </is>
      </c>
      <c r="E1471" t="inlineStr">
        <is>
          <t>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45844</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45844</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28538-2025</t>
        </is>
      </c>
      <c r="B1474" s="1" t="n">
        <v>45819</v>
      </c>
      <c r="C1474" s="1" t="n">
        <v>45844</v>
      </c>
      <c r="D1474" t="inlineStr">
        <is>
          <t>JÄMTLANDS LÄN</t>
        </is>
      </c>
      <c r="E1474" t="inlineStr">
        <is>
          <t>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28454-2025</t>
        </is>
      </c>
      <c r="B1475" s="1" t="n">
        <v>45819</v>
      </c>
      <c r="C1475" s="1" t="n">
        <v>45844</v>
      </c>
      <c r="D1475" t="inlineStr">
        <is>
          <t>JÄMTLANDS LÄN</t>
        </is>
      </c>
      <c r="E1475" t="inlineStr">
        <is>
          <t>BERG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29198-2025</t>
        </is>
      </c>
      <c r="B1476" s="1" t="n">
        <v>45823</v>
      </c>
      <c r="C1476" s="1" t="n">
        <v>45844</v>
      </c>
      <c r="D1476" t="inlineStr">
        <is>
          <t>JÄMTLANDS LÄN</t>
        </is>
      </c>
      <c r="E1476" t="inlineStr">
        <is>
          <t>BERG</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29197-2025</t>
        </is>
      </c>
      <c r="B1477" s="1" t="n">
        <v>45823</v>
      </c>
      <c r="C1477" s="1" t="n">
        <v>45844</v>
      </c>
      <c r="D1477" t="inlineStr">
        <is>
          <t>JÄMTLANDS LÄN</t>
        </is>
      </c>
      <c r="E1477" t="inlineStr">
        <is>
          <t>BERG</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29199-2025</t>
        </is>
      </c>
      <c r="B1478" s="1" t="n">
        <v>45823</v>
      </c>
      <c r="C1478" s="1" t="n">
        <v>45844</v>
      </c>
      <c r="D1478" t="inlineStr">
        <is>
          <t>JÄMTLANDS LÄN</t>
        </is>
      </c>
      <c r="E1478" t="inlineStr">
        <is>
          <t>BERG</t>
        </is>
      </c>
      <c r="F1478" t="inlineStr">
        <is>
          <t>SCA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29310-2025</t>
        </is>
      </c>
      <c r="B1479" s="1" t="n">
        <v>45824</v>
      </c>
      <c r="C1479" s="1" t="n">
        <v>45844</v>
      </c>
      <c r="D1479" t="inlineStr">
        <is>
          <t>JÄMTLANDS LÄN</t>
        </is>
      </c>
      <c r="E1479" t="inlineStr">
        <is>
          <t>BERG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45844</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29836-2025</t>
        </is>
      </c>
      <c r="B1481" s="1" t="n">
        <v>45826</v>
      </c>
      <c r="C1481" s="1" t="n">
        <v>45844</v>
      </c>
      <c r="D1481" t="inlineStr">
        <is>
          <t>JÄMTLANDS LÄN</t>
        </is>
      </c>
      <c r="E1481" t="inlineStr">
        <is>
          <t>BERG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29533-2025</t>
        </is>
      </c>
      <c r="B1482" s="1" t="n">
        <v>45825</v>
      </c>
      <c r="C1482" s="1" t="n">
        <v>45844</v>
      </c>
      <c r="D1482" t="inlineStr">
        <is>
          <t>JÄMTLANDS LÄN</t>
        </is>
      </c>
      <c r="E1482" t="inlineStr">
        <is>
          <t>BERG</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29538-2025</t>
        </is>
      </c>
      <c r="B1483" s="1" t="n">
        <v>45825</v>
      </c>
      <c r="C1483" s="1" t="n">
        <v>45844</v>
      </c>
      <c r="D1483" t="inlineStr">
        <is>
          <t>JÄMTLANDS LÄN</t>
        </is>
      </c>
      <c r="E1483" t="inlineStr">
        <is>
          <t>BERG</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30017-2025</t>
        </is>
      </c>
      <c r="B1484" s="1" t="n">
        <v>45826</v>
      </c>
      <c r="C1484" s="1" t="n">
        <v>45844</v>
      </c>
      <c r="D1484" t="inlineStr">
        <is>
          <t>JÄMTLANDS LÄN</t>
        </is>
      </c>
      <c r="E1484" t="inlineStr">
        <is>
          <t>BERG</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45844</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45844</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31092-2025</t>
        </is>
      </c>
      <c r="B1487" s="1" t="n">
        <v>45832</v>
      </c>
      <c r="C1487" s="1" t="n">
        <v>45844</v>
      </c>
      <c r="D1487" t="inlineStr">
        <is>
          <t>JÄMTLANDS LÄN</t>
        </is>
      </c>
      <c r="E1487" t="inlineStr">
        <is>
          <t>BERG</t>
        </is>
      </c>
      <c r="F1487" t="inlineStr">
        <is>
          <t>SCA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31090-2025</t>
        </is>
      </c>
      <c r="B1488" s="1" t="n">
        <v>45832</v>
      </c>
      <c r="C1488" s="1" t="n">
        <v>45844</v>
      </c>
      <c r="D1488" t="inlineStr">
        <is>
          <t>JÄMTLANDS LÄN</t>
        </is>
      </c>
      <c r="E1488" t="inlineStr">
        <is>
          <t>BERG</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31136-2025</t>
        </is>
      </c>
      <c r="B1489" s="1" t="n">
        <v>45832</v>
      </c>
      <c r="C1489" s="1" t="n">
        <v>45844</v>
      </c>
      <c r="D1489" t="inlineStr">
        <is>
          <t>JÄMTLANDS LÄN</t>
        </is>
      </c>
      <c r="E1489" t="inlineStr">
        <is>
          <t>BERG</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31017-2025</t>
        </is>
      </c>
      <c r="B1490" s="1" t="n">
        <v>45832</v>
      </c>
      <c r="C1490" s="1" t="n">
        <v>45844</v>
      </c>
      <c r="D1490" t="inlineStr">
        <is>
          <t>JÄMTLANDS LÄN</t>
        </is>
      </c>
      <c r="E1490" t="inlineStr">
        <is>
          <t>BERG</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31024-2025</t>
        </is>
      </c>
      <c r="B1491" s="1" t="n">
        <v>45832</v>
      </c>
      <c r="C1491" s="1" t="n">
        <v>45844</v>
      </c>
      <c r="D1491" t="inlineStr">
        <is>
          <t>JÄMTLANDS LÄN</t>
        </is>
      </c>
      <c r="E1491" t="inlineStr">
        <is>
          <t>BERG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31015-2025</t>
        </is>
      </c>
      <c r="B1492" s="1" t="n">
        <v>45832</v>
      </c>
      <c r="C1492" s="1" t="n">
        <v>45844</v>
      </c>
      <c r="D1492" t="inlineStr">
        <is>
          <t>JÄMTLANDS LÄN</t>
        </is>
      </c>
      <c r="E1492" t="inlineStr">
        <is>
          <t>BERG</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31070-2025</t>
        </is>
      </c>
      <c r="B1493" s="1" t="n">
        <v>45832</v>
      </c>
      <c r="C1493" s="1" t="n">
        <v>45844</v>
      </c>
      <c r="D1493" t="inlineStr">
        <is>
          <t>JÄMTLANDS LÄN</t>
        </is>
      </c>
      <c r="E1493" t="inlineStr">
        <is>
          <t>BERG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45844</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45844</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45844</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32713-2025</t>
        </is>
      </c>
      <c r="B1497" s="1" t="n">
        <v>45839</v>
      </c>
      <c r="C1497" s="1" t="n">
        <v>45844</v>
      </c>
      <c r="D1497" t="inlineStr">
        <is>
          <t>JÄMTLANDS LÄN</t>
        </is>
      </c>
      <c r="E1497" t="inlineStr">
        <is>
          <t>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32919-2025</t>
        </is>
      </c>
      <c r="B1498" s="1" t="n">
        <v>45839</v>
      </c>
      <c r="C1498" s="1" t="n">
        <v>45844</v>
      </c>
      <c r="D1498" t="inlineStr">
        <is>
          <t>JÄMTLANDS LÄN</t>
        </is>
      </c>
      <c r="E1498" t="inlineStr">
        <is>
          <t>BERG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45844</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33386-2025</t>
        </is>
      </c>
      <c r="B1500" s="1" t="n">
        <v>45841</v>
      </c>
      <c r="C1500" s="1" t="n">
        <v>45844</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row r="1501" ht="15" customHeight="1">
      <c r="A1501" t="inlineStr">
        <is>
          <t>A 33750-2025</t>
        </is>
      </c>
      <c r="B1501" s="1" t="n">
        <v>45842</v>
      </c>
      <c r="C1501" s="1" t="n">
        <v>45844</v>
      </c>
      <c r="D1501" t="inlineStr">
        <is>
          <t>JÄMTLANDS LÄN</t>
        </is>
      </c>
      <c r="E1501" t="inlineStr">
        <is>
          <t>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33748-2025</t>
        </is>
      </c>
      <c r="B1502" s="1" t="n">
        <v>45842</v>
      </c>
      <c r="C1502" s="1" t="n">
        <v>45844</v>
      </c>
      <c r="D1502" t="inlineStr">
        <is>
          <t>JÄMTLANDS LÄN</t>
        </is>
      </c>
      <c r="E1502" t="inlineStr">
        <is>
          <t>BERG</t>
        </is>
      </c>
      <c r="G1502" t="n">
        <v>2.1</v>
      </c>
      <c r="H1502" t="n">
        <v>0</v>
      </c>
      <c r="I1502" t="n">
        <v>0</v>
      </c>
      <c r="J1502" t="n">
        <v>0</v>
      </c>
      <c r="K1502" t="n">
        <v>0</v>
      </c>
      <c r="L1502" t="n">
        <v>0</v>
      </c>
      <c r="M1502" t="n">
        <v>0</v>
      </c>
      <c r="N1502" t="n">
        <v>0</v>
      </c>
      <c r="O1502" t="n">
        <v>0</v>
      </c>
      <c r="P1502" t="n">
        <v>0</v>
      </c>
      <c r="Q1502" t="n">
        <v>0</v>
      </c>
      <c r="R1502" s="2" t="inlineStr"/>
    </row>
    <row r="1503">
      <c r="A1503" t="inlineStr">
        <is>
          <t>A 33753-2025</t>
        </is>
      </c>
      <c r="B1503" s="1" t="n">
        <v>45842</v>
      </c>
      <c r="C1503" s="1" t="n">
        <v>45844</v>
      </c>
      <c r="D1503" t="inlineStr">
        <is>
          <t>JÄMTLANDS LÄN</t>
        </is>
      </c>
      <c r="E1503" t="inlineStr">
        <is>
          <t>BERG</t>
        </is>
      </c>
      <c r="G1503" t="n">
        <v>1</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2025-07-06T19:29:13Z</dcterms:created>
  <dcterms:modified xmlns:dcterms="http://purl.org/dc/terms/" xmlns:xsi="http://www.w3.org/2001/XMLSchema-instance" xsi:type="dcterms:W3CDTF">2025-07-06T19:29:14Z</dcterms:modified>
</cp:coreProperties>
</file>